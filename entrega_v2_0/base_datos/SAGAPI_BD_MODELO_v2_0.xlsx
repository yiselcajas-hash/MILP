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5.xml.rels" ContentType="application/vnd.openxmlformats-package.relationships+xml"/>
  <Override PartName="/xl/worksheets/_rels/sheet16.xml.rels" ContentType="application/vnd.openxmlformats-package.relationships+xml"/>
  <Override PartName="/xl/worksheets/_rels/sheet17.xml.rels" ContentType="application/vnd.openxmlformats-package.relationships+xml"/>
  <Override PartName="/xl/worksheets/_rels/sheet18.xml.rels" ContentType="application/vnd.openxmlformats-package.relationships+xml"/>
  <Override PartName="/xl/worksheets/_rels/sheet20.xml.rels" ContentType="application/vnd.openxmlformats-package.relationships+xml"/>
  <Override PartName="/xl/worksheets/_rels/sheet2.xml.rels" ContentType="application/vnd.openxmlformats-package.relationships+xml"/>
  <Override PartName="/xl/worksheets/_rels/sheet19.xml.rels" ContentType="application/vnd.openxmlformats-package.relationships+xml"/>
  <Override PartName="/xl/worksheets/_rels/sheet21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23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24.xml.rels" ContentType="application/vnd.openxmlformats-package.relationships+xml"/>
  <Override PartName="/xl/worksheets/_rels/sheet10.xml.rels" ContentType="application/vnd.openxmlformats-package.relationships+xml"/>
  <Override PartName="/xl/worksheets/_rels/sheet22.xml.rels" ContentType="application/vnd.openxmlformats-package.relationships+xml"/>
  <Override PartName="/xl/worksheets/_rels/sheet9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8.xml" ContentType="application/vnd.openxmlformats-officedocument.drawing+xml"/>
  <Override PartName="/xl/drawings/drawing17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5.xml" ContentType="application/vnd.openxmlformats-officedocument.drawing+xml"/>
  <Override PartName="/xl/drawings/drawing14.xml" ContentType="application/vnd.openxmlformats-officedocument.drawing+xml"/>
  <Override PartName="/xl/drawings/drawing6.xml" ContentType="application/vnd.openxmlformats-officedocument.drawing+xml"/>
  <Override PartName="/xl/drawings/drawing15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7.xml" ContentType="application/vnd.openxmlformats-officedocument.drawing+xml"/>
  <Override PartName="/xl/drawings/drawing1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INDICE" sheetId="1" state="visible" r:id="rId3"/>
    <sheet name="01_PRODUCTOS" sheetId="2" state="visible" r:id="rId4"/>
    <sheet name="02_MATERIALES" sheetId="3" state="visible" r:id="rId5"/>
    <sheet name="03_DESPIECE" sheetId="4" state="visible" r:id="rId6"/>
    <sheet name="04_MAQUINAS" sheetId="5" state="visible" r:id="rId7"/>
    <sheet name="05_RUTAS" sheetId="6" state="visible" r:id="rId8"/>
    <sheet name="06B_HABILIDADES" sheetId="7" state="visible" r:id="rId9"/>
    <sheet name="06_OPERARIOS" sheetId="8" state="visible" r:id="rId10"/>
    <sheet name="07_CALENDARIO" sheetId="9" state="visible" r:id="rId11"/>
    <sheet name="08_PEDIDOS" sheetId="10" state="visible" r:id="rId12"/>
    <sheet name="09_CARGA_ORDEN" sheetId="11" state="visible" r:id="rId13"/>
    <sheet name="10_MATERIALES_ORDEN" sheetId="12" state="visible" r:id="rId14"/>
    <sheet name="11_CAPACIDAD" sheetId="13" state="visible" r:id="rId15"/>
    <sheet name="12_PRECIOS" sheetId="14" state="visible" r:id="rId16"/>
    <sheet name="13_ELEGIBILIDAD" sheetId="15" state="visible" r:id="rId17"/>
    <sheet name="14_FALLAS_ESC" sheetId="16" state="visible" r:id="rId18"/>
    <sheet name="15_RECUPERACION" sheetId="17" state="visible" r:id="rId19"/>
    <sheet name="16_PROGRAMA_BASE" sheetId="18" state="visible" r:id="rId20"/>
    <sheet name="18_ESCENARIOS" sheetId="19" state="visible" r:id="rId21"/>
    <sheet name="19_PARAMETROS" sheetId="20" state="visible" r:id="rId22"/>
    <sheet name="20_COSTOS" sheetId="21" state="visible" r:id="rId23"/>
    <sheet name="24_VALIDACIONES" sheetId="22" state="visible" r:id="rId24"/>
    <sheet name="25_PERDIDA_CAPACIDAD_ESC" sheetId="23" state="visible" r:id="rId25"/>
    <sheet name="27_SENSIBILIDAD" sheetId="24" state="visible" r:id="rId26"/>
  </sheets>
  <definedNames>
    <definedName function="false" hidden="true" localSheetId="1" name="_xlnm._FilterDatabase" vbProcedure="false">'01_PRODUCTOS'!$A$1:$M$51</definedName>
    <definedName function="false" hidden="true" localSheetId="2" name="_xlnm._FilterDatabase" vbProcedure="false">'02_MATERIALES'!$A$1:$J$42</definedName>
    <definedName function="false" hidden="true" localSheetId="3" name="_xlnm._FilterDatabase" vbProcedure="false">'03_DESPIECE'!$A$1:$N$225</definedName>
    <definedName function="false" hidden="true" localSheetId="4" name="_xlnm._FilterDatabase" vbProcedure="false">'04_MAQUINAS'!$A$1:$O$18</definedName>
    <definedName function="false" hidden="true" localSheetId="5" name="_xlnm._FilterDatabase" vbProcedure="false">'05_RUTAS'!$A$1:$M$407</definedName>
    <definedName function="false" hidden="true" localSheetId="7" name="_xlnm._FilterDatabase" vbProcedure="false">'06_OPERARIOS'!$A$1:$E$26</definedName>
    <definedName function="false" hidden="true" localSheetId="6" name="_xlnm._FilterDatabase" vbProcedure="false">'06B_HABILIDADES'!$A$1:$R$26</definedName>
    <definedName function="false" hidden="true" localSheetId="8" name="_xlnm._FilterDatabase" vbProcedure="false">'07_CALENDARIO'!$A$1:$E$397</definedName>
    <definedName function="false" hidden="true" localSheetId="9" name="_xlnm._FilterDatabase" vbProcedure="false">'08_PEDIDOS'!$A$1:$S$97</definedName>
    <definedName function="false" hidden="true" localSheetId="10" name="_xlnm._FilterDatabase" vbProcedure="false">'09_CARGA_ORDEN'!$A$1:$N$1153</definedName>
    <definedName function="false" hidden="true" localSheetId="11" name="_xlnm._FilterDatabase" vbProcedure="false">'10_MATERIALES_ORDEN'!$A$1:$M$637</definedName>
    <definedName function="false" hidden="true" localSheetId="12" name="_xlnm._FilterDatabase" vbProcedure="false">'11_CAPACIDAD'!$A$1:$I$205</definedName>
    <definedName function="false" hidden="true" localSheetId="13" name="_xlnm._FilterDatabase" vbProcedure="false">'12_PRECIOS'!$A$1:$G$5</definedName>
    <definedName function="false" hidden="true" localSheetId="14" name="_xlnm._FilterDatabase" vbProcedure="false">'13_ELEGIBILIDAD'!$A$1:$H$474</definedName>
    <definedName function="false" hidden="true" localSheetId="15" name="_xlnm._FilterDatabase" vbProcedure="false">'14_FALLAS_ESC'!$A$1:$K$22</definedName>
    <definedName function="false" hidden="true" localSheetId="16" name="_xlnm._FilterDatabase" vbProcedure="false">'15_RECUPERACION'!$A$1:$J$63</definedName>
    <definedName function="false" hidden="true" localSheetId="17" name="_xlnm._FilterDatabase" vbProcedure="false">'16_PROGRAMA_BASE'!$A$1:$J$1153</definedName>
    <definedName function="false" hidden="true" localSheetId="18" name="_xlnm._FilterDatabase" vbProcedure="false">'18_ESCENARIOS'!$A$1:$I$41</definedName>
    <definedName function="false" hidden="true" localSheetId="19" name="_xlnm._FilterDatabase" vbProcedure="false">'19_PARAMETROS'!$A$1:$F$35</definedName>
    <definedName function="false" hidden="true" localSheetId="20" name="_xlnm._FilterDatabase" vbProcedure="false">'20_COSTOS'!$A$1:$K$97</definedName>
    <definedName function="false" hidden="true" localSheetId="21" name="_xlnm._FilterDatabase" vbProcedure="false">'24_VALIDACIONES'!$A$1:$E$16</definedName>
    <definedName function="false" hidden="true" localSheetId="22" name="_xlnm._FilterDatabase" vbProcedure="false">'25_PERDIDA_CAPACIDAD_ESC'!$A$1:$I$40</definedName>
    <definedName function="false" hidden="true" localSheetId="23" name="_xlnm._FilterDatabase" vbProcedure="false">'27_SENSIBILIDAD'!$A$1:$E$6</definedName>
    <definedName function="false" hidden="false" name="p_anio_base" vbProcedure="false">'19_PARAMETROS'!$B$8</definedName>
    <definedName function="false" hidden="false" name="p_aplicar_feriados" vbProcedure="false">'19_PARAMETROS'!$B$7</definedName>
    <definedName function="false" hidden="false" name="p_costo_hora_hombre" vbProcedure="false">'19_PARAMETROS'!$B$16</definedName>
    <definedName function="false" hidden="false" name="p_horas_productivas_dia" vbProcedure="false">'19_PARAMETROS'!$B$4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<sst xmlns="http://schemas.openxmlformats.org/spreadsheetml/2006/main" count="24559" uniqueCount="948">
  <si>
    <t xml:space="preserve">Hoja</t>
  </si>
  <si>
    <t xml:space="preserve">Rol</t>
  </si>
  <si>
    <t xml:space="preserve">Origen</t>
  </si>
  <si>
    <t xml:space="preserve">01_PRODUCTOS</t>
  </si>
  <si>
    <t xml:space="preserve">ENTRADA_PYTHON</t>
  </si>
  <si>
    <t xml:space="preserve">OPERATIVA 02_PRODUCTOS</t>
  </si>
  <si>
    <t xml:space="preserve">02_MATERIALES</t>
  </si>
  <si>
    <t xml:space="preserve">REFERENCIA</t>
  </si>
  <si>
    <t xml:space="preserve">OPERATIVA 03_MATERIALES</t>
  </si>
  <si>
    <t xml:space="preserve">03_DESPIECE</t>
  </si>
  <si>
    <t xml:space="preserve">ENTRADA_PYTHON (opcional)</t>
  </si>
  <si>
    <t xml:space="preserve">OPERATIVA 04_DESPIECE (valores materializados)</t>
  </si>
  <si>
    <t xml:space="preserve">04_MAQUINAS</t>
  </si>
  <si>
    <t xml:space="preserve">OPERATIVA 05_RECURSOS</t>
  </si>
  <si>
    <t xml:space="preserve">05_RUTAS</t>
  </si>
  <si>
    <t xml:space="preserve">OPERATIVA 06_RUTAS</t>
  </si>
  <si>
    <t xml:space="preserve">06B_HABILIDADES</t>
  </si>
  <si>
    <t xml:space="preserve">SIMULACION 03_HABILIDADES_SIM</t>
  </si>
  <si>
    <t xml:space="preserve">06_OPERARIOS</t>
  </si>
  <si>
    <t xml:space="preserve">OPERATIVA 08_PERSONAL + SIMULACION 02_PERFILES_SIM</t>
  </si>
  <si>
    <t xml:space="preserve">07_CALENDARIO</t>
  </si>
  <si>
    <t xml:space="preserve">OPERATIVA 09_CALENDARIO</t>
  </si>
  <si>
    <t xml:space="preserve">08_PEDIDOS</t>
  </si>
  <si>
    <t xml:space="preserve">SIMULACION 01_PEDIDOS_SIM</t>
  </si>
  <si>
    <t xml:space="preserve">09_CARGA_ORDEN</t>
  </si>
  <si>
    <t xml:space="preserve">DERIVADA (fórmulas)</t>
  </si>
  <si>
    <t xml:space="preserve">08_PEDIDOS × 05_RUTAS</t>
  </si>
  <si>
    <t xml:space="preserve">10_MATERIALES_ORDEN</t>
  </si>
  <si>
    <t xml:space="preserve">08_PEDIDOS × 03_DESPIECE</t>
  </si>
  <si>
    <t xml:space="preserve">11_CAPACIDAD</t>
  </si>
  <si>
    <t xml:space="preserve">07_CALENDARIO × 04_MAQUINAS × 09_CARGA_ORDEN</t>
  </si>
  <si>
    <t xml:space="preserve">12_PRECIOS</t>
  </si>
  <si>
    <t xml:space="preserve">OPERATIVA 01_FAMILIAS</t>
  </si>
  <si>
    <t xml:space="preserve">13_ELEGIBILIDAD</t>
  </si>
  <si>
    <t xml:space="preserve">OPERATIVA 07_ELEGIBILIDAD</t>
  </si>
  <si>
    <t xml:space="preserve">14_FALLAS_ESC</t>
  </si>
  <si>
    <t xml:space="preserve">SIMULACION 04_EVENTOS_SIM</t>
  </si>
  <si>
    <t xml:space="preserve">15_RECUPERACION</t>
  </si>
  <si>
    <t xml:space="preserve">SIMULACION 06_RECUPERACION_SIM</t>
  </si>
  <si>
    <t xml:space="preserve">16_PROGRAMA_BASE</t>
  </si>
  <si>
    <t xml:space="preserve">ENTRADA_PYTHON (opcional, comparación E0)</t>
  </si>
  <si>
    <t xml:space="preserve">SIMULACION 09_PROGRAMA_FIFO_REF</t>
  </si>
  <si>
    <t xml:space="preserve">18_ESCENARIOS</t>
  </si>
  <si>
    <t xml:space="preserve">SIMULACION 05_ESCENARIOS_SIM</t>
  </si>
  <si>
    <t xml:space="preserve">19_PARAMETROS</t>
  </si>
  <si>
    <t xml:space="preserve">OPERATIVA 11_PARAMETROS + SIMULACION 08_CONFIG_MODELO</t>
  </si>
  <si>
    <t xml:space="preserve">20_COSTOS</t>
  </si>
  <si>
    <t xml:space="preserve">09_CARGA_ORDEN + 10_MATERIALES_ORDEN</t>
  </si>
  <si>
    <t xml:space="preserve">24_VALIDACIONES</t>
  </si>
  <si>
    <t xml:space="preserve">CONTROL (fórmulas)</t>
  </si>
  <si>
    <t xml:space="preserve">todas</t>
  </si>
  <si>
    <t xml:space="preserve">25_PERDIDA_CAPACIDAD_ESC</t>
  </si>
  <si>
    <t xml:space="preserve">18_ESCENARIOS × 14_FALLAS_ESC</t>
  </si>
  <si>
    <t xml:space="preserve">27_SENSIBILIDAD</t>
  </si>
  <si>
    <t xml:space="preserve">ENTRADA_PYTHON (leída; niveles no usados por el código 1.4.0)</t>
  </si>
  <si>
    <t xml:space="preserve">SIMULACION 07_SENSIBILIDAD_SIM</t>
  </si>
  <si>
    <t xml:space="preserve">LIBRO GENERADO</t>
  </si>
  <si>
    <t xml:space="preserve">No editar a mano</t>
  </si>
  <si>
    <t xml:space="preserve">Regenerar con herramientas/construir_bd_v2.py --paso modelo (BD v2.0.0)</t>
  </si>
  <si>
    <t xml:space="preserve">Columnas leídas por Optimizacion_MILP_SAGAPI.py 1.4.0</t>
  </si>
  <si>
    <t xml:space="preserve">Valores literales (no fórmulas)</t>
  </si>
  <si>
    <t xml:space="preserve">DERIVADA</t>
  </si>
  <si>
    <t xml:space="preserve">Tablas de análisis con fórmulas vivas</t>
  </si>
  <si>
    <t xml:space="preserve">No las lee Python</t>
  </si>
  <si>
    <t xml:space="preserve">Naturaleza</t>
  </si>
  <si>
    <t xml:space="preserve">REAL / REFERENCIA / CALCULADO / ESTIMADO / SIMULADO / CONFIGURACION / PENDIENTE</t>
  </si>
  <si>
    <t xml:space="preserve">Definiciones en SAGAPI_BD_OPERATIVA_v2_0.xlsx, hoja 00_CODIGOS</t>
  </si>
  <si>
    <t xml:space="preserve">Familia</t>
  </si>
  <si>
    <t xml:space="preserve">Nombre completo</t>
  </si>
  <si>
    <t xml:space="preserve">Tipo</t>
  </si>
  <si>
    <t xml:space="preserve">Alto cm</t>
  </si>
  <si>
    <t xml:space="preserve">Ancho cm</t>
  </si>
  <si>
    <t xml:space="preserve">Fondo cm</t>
  </si>
  <si>
    <t xml:space="preserve">Puertas</t>
  </si>
  <si>
    <t xml:space="preserve">Lote guía</t>
  </si>
  <si>
    <t xml:space="preserve">Componentes</t>
  </si>
  <si>
    <t xml:space="preserve">Pasos de ruta</t>
  </si>
  <si>
    <t xml:space="preserve">Familia válida (1/0)</t>
  </si>
  <si>
    <t xml:space="preserve">Dimensiones genéricas (1/0)</t>
  </si>
  <si>
    <t xml:space="preserve">Racks industriales</t>
  </si>
  <si>
    <t xml:space="preserve">Minirack metálico con bandejas</t>
  </si>
  <si>
    <t xml:space="preserve">Estantería liviana</t>
  </si>
  <si>
    <t xml:space="preserve">ESTIMADO</t>
  </si>
  <si>
    <t xml:space="preserve">Estante reforzado modular</t>
  </si>
  <si>
    <t xml:space="preserve">Estantería reforzada</t>
  </si>
  <si>
    <t xml:space="preserve">Rack selectivo para pallets</t>
  </si>
  <si>
    <t xml:space="preserve">Selectivo</t>
  </si>
  <si>
    <t xml:space="preserve">Rack cantilever 3 niveles</t>
  </si>
  <si>
    <t xml:space="preserve">Cantilever</t>
  </si>
  <si>
    <t xml:space="preserve">Estantería metálica K45 5 niveles</t>
  </si>
  <si>
    <t xml:space="preserve">Picking</t>
  </si>
  <si>
    <t xml:space="preserve">Rack Mecano Strong MY-075-1</t>
  </si>
  <si>
    <t xml:space="preserve">Semindustrial</t>
  </si>
  <si>
    <t xml:space="preserve">Góndolas comerciales</t>
  </si>
  <si>
    <t xml:space="preserve">Góndola central comercial</t>
  </si>
  <si>
    <t xml:space="preserve">Góndola central</t>
  </si>
  <si>
    <t xml:space="preserve">Góndola mural</t>
  </si>
  <si>
    <t xml:space="preserve">Góndola central doble forro liso</t>
  </si>
  <si>
    <t xml:space="preserve">Central</t>
  </si>
  <si>
    <t xml:space="preserve">Góndola mural de forro liso</t>
  </si>
  <si>
    <t xml:space="preserve">Pared</t>
  </si>
  <si>
    <t xml:space="preserve">Góndola de cabecera liso</t>
  </si>
  <si>
    <t xml:space="preserve">Cabecera</t>
  </si>
  <si>
    <t xml:space="preserve">Góndola isla modular</t>
  </si>
  <si>
    <t xml:space="preserve">Isla</t>
  </si>
  <si>
    <t xml:space="preserve">Lockers metálicos</t>
  </si>
  <si>
    <t xml:space="preserve">Locker de 4 puertas</t>
  </si>
  <si>
    <t xml:space="preserve">Locker de 4 compartimentos</t>
  </si>
  <si>
    <t xml:space="preserve">Locker de 6 puertas</t>
  </si>
  <si>
    <t xml:space="preserve">Locker de 6 compartimentos</t>
  </si>
  <si>
    <t xml:space="preserve">Locker metálico simple MK1-01</t>
  </si>
  <si>
    <t xml:space="preserve">1 puertas</t>
  </si>
  <si>
    <t xml:space="preserve">Locker metálico simple MK2-01</t>
  </si>
  <si>
    <t xml:space="preserve">2 puertas</t>
  </si>
  <si>
    <t xml:space="preserve">Locker metálico simple MK3-01</t>
  </si>
  <si>
    <t xml:space="preserve">3 puertas</t>
  </si>
  <si>
    <t xml:space="preserve">Locker metálico simple MK4-01</t>
  </si>
  <si>
    <t xml:space="preserve">4 puertas</t>
  </si>
  <si>
    <t xml:space="preserve">Otros productos metalmecánicos</t>
  </si>
  <si>
    <t xml:space="preserve">Armario metálico</t>
  </si>
  <si>
    <t xml:space="preserve">Gabinete metálico</t>
  </si>
  <si>
    <t xml:space="preserve">Estantería liviana metálica</t>
  </si>
  <si>
    <t xml:space="preserve">Silla fija PC0173</t>
  </si>
  <si>
    <t xml:space="preserve">Silla</t>
  </si>
  <si>
    <t xml:space="preserve">Silla capacitación 105</t>
  </si>
  <si>
    <t xml:space="preserve">Cajonera metálica P1019</t>
  </si>
  <si>
    <t xml:space="preserve">Archivador</t>
  </si>
  <si>
    <t xml:space="preserve">Archivador metálico 3 cajones</t>
  </si>
  <si>
    <t xml:space="preserve">Archivador metálico 4 cajones</t>
  </si>
  <si>
    <t xml:space="preserve">Armario metálico KD-034</t>
  </si>
  <si>
    <t xml:space="preserve">Gabinete</t>
  </si>
  <si>
    <t xml:space="preserve">Banqueta con patas metálicas</t>
  </si>
  <si>
    <t xml:space="preserve">Banco</t>
  </si>
  <si>
    <t xml:space="preserve">Armario herramientas MY-TC-03</t>
  </si>
  <si>
    <t xml:space="preserve">Armario herramientas MY-TC-04</t>
  </si>
  <si>
    <t xml:space="preserve">Armario herramientas MY-TC-05</t>
  </si>
  <si>
    <t xml:space="preserve">Armario herramientas MY-TC-06</t>
  </si>
  <si>
    <t xml:space="preserve">Carro taller MY-STC-15 (5 cajones)</t>
  </si>
  <si>
    <t xml:space="preserve">Carro taller</t>
  </si>
  <si>
    <t xml:space="preserve">Carro taller MY-STC-13 (7 cajones)</t>
  </si>
  <si>
    <t xml:space="preserve">Carro taller MY-STC-26 (7 cajones)</t>
  </si>
  <si>
    <t xml:space="preserve">Estantería metálica K45</t>
  </si>
  <si>
    <t xml:space="preserve">Estantería</t>
  </si>
  <si>
    <t xml:space="preserve">Silla ejecutiva 623 AN</t>
  </si>
  <si>
    <t xml:space="preserve">Silla ejecutiva 623 AC</t>
  </si>
  <si>
    <t xml:space="preserve">Escritorio London 118</t>
  </si>
  <si>
    <t xml:space="preserve">Escritorio</t>
  </si>
  <si>
    <t xml:space="preserve">Escritorio London con pizarra 108</t>
  </si>
  <si>
    <t xml:space="preserve">Escritorio regulable Skala</t>
  </si>
  <si>
    <t xml:space="preserve">Camarote de metal 1.5 plaza</t>
  </si>
  <si>
    <t xml:space="preserve">Camarote</t>
  </si>
  <si>
    <t xml:space="preserve">Mesa de centro Turín</t>
  </si>
  <si>
    <t xml:space="preserve">Mesa</t>
  </si>
  <si>
    <t xml:space="preserve">Mesa de centro London</t>
  </si>
  <si>
    <t xml:space="preserve">Banco bar Pop fijo</t>
  </si>
  <si>
    <t xml:space="preserve">Banco bar Brand</t>
  </si>
  <si>
    <t xml:space="preserve">Banco bar Aster</t>
  </si>
  <si>
    <t xml:space="preserve">Banco bar Glen</t>
  </si>
  <si>
    <t xml:space="preserve">Juego comedor Bahía (mesa)</t>
  </si>
  <si>
    <t xml:space="preserve">Mesa terraza New Bistro</t>
  </si>
  <si>
    <t xml:space="preserve">Silla terraza New Bistro</t>
  </si>
  <si>
    <t xml:space="preserve">Material o accesorio (nombre completo)</t>
  </si>
  <si>
    <t xml:space="preserve">Clave técnica auxiliar</t>
  </si>
  <si>
    <t xml:space="preserve">Grupo</t>
  </si>
  <si>
    <t xml:space="preserve">Unidad de costo</t>
  </si>
  <si>
    <t xml:space="preserve">Espesor mm</t>
  </si>
  <si>
    <t xml:space="preserve">Ancho m</t>
  </si>
  <si>
    <t xml:space="preserve">Largo m</t>
  </si>
  <si>
    <t xml:space="preserve">Costo unitario S/</t>
  </si>
  <si>
    <t xml:space="preserve">Material genérico (1/0)</t>
  </si>
  <si>
    <t xml:space="preserve">Plancha de acero laminado en caliente de 2 mm, 1.20 × 2.40 m</t>
  </si>
  <si>
    <t xml:space="preserve">MAT-LAC2</t>
  </si>
  <si>
    <t xml:space="preserve">CHAPA</t>
  </si>
  <si>
    <t xml:space="preserve">kg</t>
  </si>
  <si>
    <t xml:space="preserve">Lámina LAF o acero 1.0 mm (alternativa V4)</t>
  </si>
  <si>
    <t xml:space="preserve">MAT-CH-1.0</t>
  </si>
  <si>
    <t xml:space="preserve">Lámina LAF o acero 1.5 mm (alternativa V4)</t>
  </si>
  <si>
    <t xml:space="preserve">MAT-CH-1.5</t>
  </si>
  <si>
    <t xml:space="preserve">Lámina LAF 0.6 mm (catálogo lockers)</t>
  </si>
  <si>
    <t xml:space="preserve">MAT-LAF06</t>
  </si>
  <si>
    <t xml:space="preserve">Lámina LAF 0.8 mm (catálogo góndolas)</t>
  </si>
  <si>
    <t xml:space="preserve">MAT-LAF08</t>
  </si>
  <si>
    <t xml:space="preserve">Lámina LAF 1.2 mm (taller)</t>
  </si>
  <si>
    <t xml:space="preserve">MAT-LAF12</t>
  </si>
  <si>
    <t xml:space="preserve">Tubo o perfil de acero (sección por definir)</t>
  </si>
  <si>
    <t xml:space="preserve">MAT-PR-1</t>
  </si>
  <si>
    <t xml:space="preserve">PERFIL</t>
  </si>
  <si>
    <t xml:space="preserve">m</t>
  </si>
  <si>
    <t xml:space="preserve">Elementos de fijación metálica (tipo por desagregar)</t>
  </si>
  <si>
    <t xml:space="preserve">MAT-FIJ</t>
  </si>
  <si>
    <t xml:space="preserve">HERRAJE</t>
  </si>
  <si>
    <t xml:space="preserve">und</t>
  </si>
  <si>
    <t xml:space="preserve">Tablero melamina/MDP 18 mm comprado</t>
  </si>
  <si>
    <t xml:space="preserve">MAT-MEL18</t>
  </si>
  <si>
    <t xml:space="preserve">OTRO</t>
  </si>
  <si>
    <t xml:space="preserve">PENDIENTE</t>
  </si>
  <si>
    <t xml:space="preserve">Asiento, ruedas, vidrio, PVC o mecanismos comprados</t>
  </si>
  <si>
    <t xml:space="preserve">MAT-OTR</t>
  </si>
  <si>
    <t xml:space="preserve">Pintura electrostática en polvo poliéster</t>
  </si>
  <si>
    <t xml:space="preserve">COM-001</t>
  </si>
  <si>
    <t xml:space="preserve">PINTURA</t>
  </si>
  <si>
    <t xml:space="preserve">Pintura en polvo epoxi-poliéster</t>
  </si>
  <si>
    <t xml:space="preserve">COM-002</t>
  </si>
  <si>
    <t xml:space="preserve">Desengrasante industrial</t>
  </si>
  <si>
    <t xml:space="preserve">COM-003</t>
  </si>
  <si>
    <t xml:space="preserve">PREPARACION_SUPERFICIAL</t>
  </si>
  <si>
    <t xml:space="preserve">l</t>
  </si>
  <si>
    <t xml:space="preserve">Disco abrasivo de corte</t>
  </si>
  <si>
    <t xml:space="preserve">COM-004</t>
  </si>
  <si>
    <t xml:space="preserve">CONSUMIBLE</t>
  </si>
  <si>
    <t xml:space="preserve">Disco abrasivo para desbarbado</t>
  </si>
  <si>
    <t xml:space="preserve">COM-005</t>
  </si>
  <si>
    <t xml:space="preserve">Alambre para soldadura MIG/MAG</t>
  </si>
  <si>
    <t xml:space="preserve">COM-006</t>
  </si>
  <si>
    <t xml:space="preserve">SOLDADURA</t>
  </si>
  <si>
    <t xml:space="preserve">Electrodo revestido para soldadura</t>
  </si>
  <si>
    <t xml:space="preserve">COM-007</t>
  </si>
  <si>
    <t xml:space="preserve">Gas protector para soldadura MIG/MAG</t>
  </si>
  <si>
    <t xml:space="preserve">COM-008</t>
  </si>
  <si>
    <t xml:space="preserve">m3</t>
  </si>
  <si>
    <t xml:space="preserve">Tubo cuadrado de acero 30 × 30 mm</t>
  </si>
  <si>
    <t xml:space="preserve">COM-009</t>
  </si>
  <si>
    <t xml:space="preserve">Tubo cuadrado de acero 40 × 40 mm</t>
  </si>
  <si>
    <t xml:space="preserve">COM-010</t>
  </si>
  <si>
    <t xml:space="preserve">Ángulo de acero estructural</t>
  </si>
  <si>
    <t xml:space="preserve">COM-011</t>
  </si>
  <si>
    <t xml:space="preserve">Canal de acero estructural</t>
  </si>
  <si>
    <t xml:space="preserve">COM-012</t>
  </si>
  <si>
    <t xml:space="preserve">Perno hexagonal M6</t>
  </si>
  <si>
    <t xml:space="preserve">COM-013</t>
  </si>
  <si>
    <t xml:space="preserve">FIJACION</t>
  </si>
  <si>
    <t xml:space="preserve">Tuerca hexagonal M6</t>
  </si>
  <si>
    <t xml:space="preserve">COM-014</t>
  </si>
  <si>
    <t xml:space="preserve">Arandela plana M6</t>
  </si>
  <si>
    <t xml:space="preserve">COM-015</t>
  </si>
  <si>
    <t xml:space="preserve">Perno hexagonal M8</t>
  </si>
  <si>
    <t xml:space="preserve">COM-016</t>
  </si>
  <si>
    <t xml:space="preserve">Tuerca hexagonal M8</t>
  </si>
  <si>
    <t xml:space="preserve">COM-017</t>
  </si>
  <si>
    <t xml:space="preserve">Arandela plana M8</t>
  </si>
  <si>
    <t xml:space="preserve">COM-018</t>
  </si>
  <si>
    <t xml:space="preserve">Remache metálico</t>
  </si>
  <si>
    <t xml:space="preserve">COM-019</t>
  </si>
  <si>
    <t xml:space="preserve">Bisagra para puertas de locker</t>
  </si>
  <si>
    <t xml:space="preserve">COM-020</t>
  </si>
  <si>
    <t xml:space="preserve">Cerradura para locker</t>
  </si>
  <si>
    <t xml:space="preserve">COM-021</t>
  </si>
  <si>
    <t xml:space="preserve">Manija para puerta</t>
  </si>
  <si>
    <t xml:space="preserve">COM-022</t>
  </si>
  <si>
    <t xml:space="preserve">Tapón plástico para tubo</t>
  </si>
  <si>
    <t xml:space="preserve">COM-023</t>
  </si>
  <si>
    <t xml:space="preserve">ACCESORIO</t>
  </si>
  <si>
    <t xml:space="preserve">Nivelador de base roscado</t>
  </si>
  <si>
    <t xml:space="preserve">COM-024</t>
  </si>
  <si>
    <t xml:space="preserve">Rueda giratoria para mueble</t>
  </si>
  <si>
    <t xml:space="preserve">COM-025</t>
  </si>
  <si>
    <t xml:space="preserve">Gancho para panel de góndola</t>
  </si>
  <si>
    <t xml:space="preserve">COM-026</t>
  </si>
  <si>
    <t xml:space="preserve">Soporte de repisa ajustable</t>
  </si>
  <si>
    <t xml:space="preserve">COM-027</t>
  </si>
  <si>
    <t xml:space="preserve">Etiqueta de producto terminado</t>
  </si>
  <si>
    <t xml:space="preserve">COM-028</t>
  </si>
  <si>
    <t xml:space="preserve">EMBALAJE</t>
  </si>
  <si>
    <t xml:space="preserve">Película estirable de embalaje</t>
  </si>
  <si>
    <t xml:space="preserve">COM-029</t>
  </si>
  <si>
    <t xml:space="preserve">Cartón corrugado de protección</t>
  </si>
  <si>
    <t xml:space="preserve">COM-030</t>
  </si>
  <si>
    <t xml:space="preserve">m2</t>
  </si>
  <si>
    <t xml:space="preserve">Guante anticorte reutilizable</t>
  </si>
  <si>
    <t xml:space="preserve">COM-031</t>
  </si>
  <si>
    <t xml:space="preserve">SEGURIDAD</t>
  </si>
  <si>
    <t xml:space="preserve">par</t>
  </si>
  <si>
    <t xml:space="preserve">Producto</t>
  </si>
  <si>
    <t xml:space="preserve">Componente</t>
  </si>
  <si>
    <t xml:space="preserve">Material</t>
  </si>
  <si>
    <t xml:space="preserve">Piezas por unidad</t>
  </si>
  <si>
    <t xml:space="preserve">Ancho pieza mm</t>
  </si>
  <si>
    <t xml:space="preserve">Alto pieza mm</t>
  </si>
  <si>
    <t xml:space="preserve">Longitud pieza m</t>
  </si>
  <si>
    <t xml:space="preserve">Área de chapa m²</t>
  </si>
  <si>
    <t xml:space="preserve">Masa kg / producto</t>
  </si>
  <si>
    <t xml:space="preserve">Costo S/ / producto</t>
  </si>
  <si>
    <t xml:space="preserve">Planchas 1.20×2.40 equivalentes / producto</t>
  </si>
  <si>
    <t xml:space="preserve">Costo disponible (1/0)</t>
  </si>
  <si>
    <t xml:space="preserve">Tipo de cálculo</t>
  </si>
  <si>
    <t xml:space="preserve">Parante vertical</t>
  </si>
  <si>
    <t xml:space="preserve">PERFIL_LONGITUD</t>
  </si>
  <si>
    <t xml:space="preserve">Larguero horizontal</t>
  </si>
  <si>
    <t xml:space="preserve">Refuerzo transversal</t>
  </si>
  <si>
    <t xml:space="preserve">Bandeja acero</t>
  </si>
  <si>
    <t xml:space="preserve">CHAPA_AREA</t>
  </si>
  <si>
    <t xml:space="preserve">Cartela unión</t>
  </si>
  <si>
    <t xml:space="preserve">Tornillería sujeción</t>
  </si>
  <si>
    <t xml:space="preserve">UNIDAD</t>
  </si>
  <si>
    <t xml:space="preserve">Tapa protectora</t>
  </si>
  <si>
    <t xml:space="preserve">Parante perfil</t>
  </si>
  <si>
    <t xml:space="preserve">Travesaño frontal</t>
  </si>
  <si>
    <t xml:space="preserve">Travesaño lateral</t>
  </si>
  <si>
    <t xml:space="preserve">Bandeja reforzada</t>
  </si>
  <si>
    <t xml:space="preserve">Cartela</t>
  </si>
  <si>
    <t xml:space="preserve">Juego pernos</t>
  </si>
  <si>
    <t xml:space="preserve">Columna doble</t>
  </si>
  <si>
    <t xml:space="preserve">Base apoyo</t>
  </si>
  <si>
    <t xml:space="preserve">Panel trasero</t>
  </si>
  <si>
    <t xml:space="preserve">Estante de exposición</t>
  </si>
  <si>
    <t xml:space="preserve">Ménsula</t>
  </si>
  <si>
    <t xml:space="preserve">Zócalo frontal</t>
  </si>
  <si>
    <t xml:space="preserve">Pernos de ensamble</t>
  </si>
  <si>
    <t xml:space="preserve">Montante mural</t>
  </si>
  <si>
    <t xml:space="preserve">Panel de fondo</t>
  </si>
  <si>
    <t xml:space="preserve">Bandeja</t>
  </si>
  <si>
    <t xml:space="preserve">Soporte bandeja</t>
  </si>
  <si>
    <t xml:space="preserve">Pie soporte</t>
  </si>
  <si>
    <t xml:space="preserve">Fijaciones</t>
  </si>
  <si>
    <t xml:space="preserve">Panel lateral</t>
  </si>
  <si>
    <t xml:space="preserve">Techo/base</t>
  </si>
  <si>
    <t xml:space="preserve">Panel posterior</t>
  </si>
  <si>
    <t xml:space="preserve">Puerta individual</t>
  </si>
  <si>
    <t xml:space="preserve">Separador interior</t>
  </si>
  <si>
    <t xml:space="preserve">Bisagra</t>
  </si>
  <si>
    <t xml:space="preserve">Cerradura</t>
  </si>
  <si>
    <t xml:space="preserve">Costado externo</t>
  </si>
  <si>
    <t xml:space="preserve">Panel techo/base</t>
  </si>
  <si>
    <t xml:space="preserve">Fondo</t>
  </si>
  <si>
    <t xml:space="preserve">Puerta con rejilla</t>
  </si>
  <si>
    <t xml:space="preserve">Separador vertical</t>
  </si>
  <si>
    <t xml:space="preserve">Entrepiso</t>
  </si>
  <si>
    <t xml:space="preserve">Lateral gabinete</t>
  </si>
  <si>
    <t xml:space="preserve">Puerta</t>
  </si>
  <si>
    <t xml:space="preserve">Parante</t>
  </si>
  <si>
    <t xml:space="preserve">Travesaño</t>
  </si>
  <si>
    <t xml:space="preserve">Escuadra</t>
  </si>
  <si>
    <t xml:space="preserve">Tornillería</t>
  </si>
  <si>
    <t xml:space="preserve">Montante estructural</t>
  </si>
  <si>
    <t xml:space="preserve">Viga longitudinal</t>
  </si>
  <si>
    <t xml:space="preserve">Anclajes/seguros</t>
  </si>
  <si>
    <t xml:space="preserve">Panel/bandeja desmontable segmento</t>
  </si>
  <si>
    <t xml:space="preserve">Bastidor vertical tubular</t>
  </si>
  <si>
    <t xml:space="preserve">Panel trasero chapa</t>
  </si>
  <si>
    <t xml:space="preserve">Bandeja de exhibición</t>
  </si>
  <si>
    <t xml:space="preserve">Base y refuerzo perfil</t>
  </si>
  <si>
    <t xml:space="preserve">Ménsula y herrajes</t>
  </si>
  <si>
    <t xml:space="preserve">Costados chapa</t>
  </si>
  <si>
    <t xml:space="preserve">Panel posterior segmentado</t>
  </si>
  <si>
    <t xml:space="preserve">Puerta con ventilación</t>
  </si>
  <si>
    <t xml:space="preserve">Tapa superior/inferior</t>
  </si>
  <si>
    <t xml:space="preserve">Bisagras/cerraduras</t>
  </si>
  <si>
    <t xml:space="preserve">Piezas metálicas del bastidor</t>
  </si>
  <si>
    <t xml:space="preserve">Asiento / mecanismo comprado</t>
  </si>
  <si>
    <t xml:space="preserve">SIN_PRECIO</t>
  </si>
  <si>
    <t xml:space="preserve">Herrajes unión</t>
  </si>
  <si>
    <t xml:space="preserve">Paredes laterales</t>
  </si>
  <si>
    <t xml:space="preserve">Puertas/cajones metal</t>
  </si>
  <si>
    <t xml:space="preserve">Guías/seguros comprados</t>
  </si>
  <si>
    <t xml:space="preserve">Bastidor tubular</t>
  </si>
  <si>
    <t xml:space="preserve">Travesaño tubular</t>
  </si>
  <si>
    <t xml:space="preserve">Asiento o tablero comprado</t>
  </si>
  <si>
    <t xml:space="preserve">Tornillos/tapones</t>
  </si>
  <si>
    <t xml:space="preserve">Ruedas compradas</t>
  </si>
  <si>
    <t xml:space="preserve">Tablero comprado</t>
  </si>
  <si>
    <t xml:space="preserve">Somier/listones o componente comprado</t>
  </si>
  <si>
    <t xml:space="preserve">Equipo o recurso completo</t>
  </si>
  <si>
    <t xml:space="preserve">Clave interna</t>
  </si>
  <si>
    <t xml:space="preserve">Tipo técnico</t>
  </si>
  <si>
    <t xml:space="preserve">Tipo de recurso</t>
  </si>
  <si>
    <t xml:space="preserve">Cantidad de escenario</t>
  </si>
  <si>
    <t xml:space="preserve">Costo de uso S//h</t>
  </si>
  <si>
    <t xml:space="preserve">Potencia nominal kW (referencia)</t>
  </si>
  <si>
    <t xml:space="preserve">Factor de carga medio</t>
  </si>
  <si>
    <t xml:space="preserve">Grupo de operarios</t>
  </si>
  <si>
    <t xml:space="preserve">Máquina crítica (1/0)</t>
  </si>
  <si>
    <t xml:space="preserve">Operarios habilitados (simulado)</t>
  </si>
  <si>
    <t xml:space="preserve">Horas requeridas 2025 (calculado)</t>
  </si>
  <si>
    <t xml:space="preserve">Utilización anual 2025</t>
  </si>
  <si>
    <t xml:space="preserve">Usado en rutas (1/0)</t>
  </si>
  <si>
    <t xml:space="preserve">Guillotina hidráulica para corte de planchas de acero</t>
  </si>
  <si>
    <t xml:space="preserve">CCH-01</t>
  </si>
  <si>
    <t xml:space="preserve">Guillotina hidráulica de chapa, hasta 4 mm</t>
  </si>
  <si>
    <t xml:space="preserve">MAQUINA</t>
  </si>
  <si>
    <t xml:space="preserve">Corte</t>
  </si>
  <si>
    <t xml:space="preserve">Sierra de cinta para corte de tubos y perfiles</t>
  </si>
  <si>
    <t xml:space="preserve">CPR-01</t>
  </si>
  <si>
    <t xml:space="preserve">Sierra de cinta para metal</t>
  </si>
  <si>
    <t xml:space="preserve">Taladro de banco para perforación de acero</t>
  </si>
  <si>
    <t xml:space="preserve">PER-01</t>
  </si>
  <si>
    <t xml:space="preserve">Taladro de banco industrial</t>
  </si>
  <si>
    <t xml:space="preserve">Perforación</t>
  </si>
  <si>
    <t xml:space="preserve">Plegadora hidráulica de chapa metálica</t>
  </si>
  <si>
    <t xml:space="preserve">PLE-01</t>
  </si>
  <si>
    <t xml:space="preserve">Plegadora hidráulica compacta</t>
  </si>
  <si>
    <t xml:space="preserve">Plegado</t>
  </si>
  <si>
    <t xml:space="preserve">Máquina de soldadura por arco MIG/MAG</t>
  </si>
  <si>
    <t xml:space="preserve">SOL-01</t>
  </si>
  <si>
    <t xml:space="preserve">Soldadora inversora MIG/MAG</t>
  </si>
  <si>
    <t xml:space="preserve">Soldadura y armado</t>
  </si>
  <si>
    <t xml:space="preserve">Mesa de desbarbado/esmerilado</t>
  </si>
  <si>
    <t xml:space="preserve">DES-01</t>
  </si>
  <si>
    <t xml:space="preserve">PUESTO_MANUAL</t>
  </si>
  <si>
    <t xml:space="preserve">Acabado</t>
  </si>
  <si>
    <t xml:space="preserve">Zona de preparación superficial</t>
  </si>
  <si>
    <t xml:space="preserve">PRE-01</t>
  </si>
  <si>
    <t xml:space="preserve">AREA</t>
  </si>
  <si>
    <t xml:space="preserve">Pistola manual de pintura electrostática en polvo</t>
  </si>
  <si>
    <t xml:space="preserve">PIN-01</t>
  </si>
  <si>
    <t xml:space="preserve">EQUIPO_MANUAL</t>
  </si>
  <si>
    <t xml:space="preserve">Pintura y curado</t>
  </si>
  <si>
    <t xml:space="preserve">Mesa de armado</t>
  </si>
  <si>
    <t xml:space="preserve">ARM-01</t>
  </si>
  <si>
    <t xml:space="preserve">Área de inspección</t>
  </si>
  <si>
    <t xml:space="preserve">CAL-01</t>
  </si>
  <si>
    <t xml:space="preserve">Calidad y despacho</t>
  </si>
  <si>
    <t xml:space="preserve">Zona de protección y embalaje</t>
  </si>
  <si>
    <t xml:space="preserve">EMP-01</t>
  </si>
  <si>
    <t xml:space="preserve">Segundo taladro (alternativo)</t>
  </si>
  <si>
    <t xml:space="preserve">PER-02</t>
  </si>
  <si>
    <t xml:space="preserve">Segunda estación soldadura (alternativa)</t>
  </si>
  <si>
    <t xml:space="preserve">SOL-02</t>
  </si>
  <si>
    <t xml:space="preserve">Proveedor de pintura externo</t>
  </si>
  <si>
    <t xml:space="preserve">PIN-EXT</t>
  </si>
  <si>
    <t xml:space="preserve">EXTERNO</t>
  </si>
  <si>
    <t xml:space="preserve">No aplica</t>
  </si>
  <si>
    <t xml:space="preserve">Horno de curado de pintura electrostática por lotes</t>
  </si>
  <si>
    <t xml:space="preserve">HOR-01</t>
  </si>
  <si>
    <t xml:space="preserve">Manipulación y enfriamiento de piezas</t>
  </si>
  <si>
    <t xml:space="preserve">MAN-01</t>
  </si>
  <si>
    <t xml:space="preserve">Sala acondicionada para pintura electrostática</t>
  </si>
  <si>
    <t xml:space="preserve">SAL-PIN</t>
  </si>
  <si>
    <t xml:space="preserve">Paso</t>
  </si>
  <si>
    <t xml:space="preserve">Operación</t>
  </si>
  <si>
    <t xml:space="preserve">Equipo principal</t>
  </si>
  <si>
    <t xml:space="preserve">Min fijos por lote</t>
  </si>
  <si>
    <t xml:space="preserve">Minutos por unidad</t>
  </si>
  <si>
    <t xml:space="preserve">Precedencia</t>
  </si>
  <si>
    <t xml:space="preserve">Tratamiento del tiempo</t>
  </si>
  <si>
    <t xml:space="preserve">Min ciclo horno (incluidos)</t>
  </si>
  <si>
    <t xml:space="preserve">Origen de duración</t>
  </si>
  <si>
    <t xml:space="preserve">Equipo válido (1/0)</t>
  </si>
  <si>
    <t xml:space="preserve">Corte de planchas de acero</t>
  </si>
  <si>
    <t xml:space="preserve">Inicio</t>
  </si>
  <si>
    <t xml:space="preserve">POR_UNIDAD</t>
  </si>
  <si>
    <t xml:space="preserve">VALOR HEREDADO SIN CRONOMETRAJE</t>
  </si>
  <si>
    <t xml:space="preserve">Corte de tubos y perfiles</t>
  </si>
  <si>
    <t xml:space="preserve">Soldadura</t>
  </si>
  <si>
    <t xml:space="preserve">Desbarbado</t>
  </si>
  <si>
    <t xml:space="preserve">Preparación superficial</t>
  </si>
  <si>
    <t xml:space="preserve">Aplicación electrostática de polvo</t>
  </si>
  <si>
    <t xml:space="preserve">HIPOTESIS TECNICA</t>
  </si>
  <si>
    <t xml:space="preserve">Curado térmico en horno</t>
  </si>
  <si>
    <t xml:space="preserve">POR_LOTE</t>
  </si>
  <si>
    <t xml:space="preserve">Colgado, traslado y enfriamiento</t>
  </si>
  <si>
    <t xml:space="preserve">Ensamblaje</t>
  </si>
  <si>
    <t xml:space="preserve">Inspección de calidad</t>
  </si>
  <si>
    <t xml:space="preserve">Embalaje</t>
  </si>
  <si>
    <t xml:space="preserve">Inspección final de integridad del producto</t>
  </si>
  <si>
    <t xml:space="preserve">Operario (seudónimo)</t>
  </si>
  <si>
    <t xml:space="preserve">OP-01</t>
  </si>
  <si>
    <t xml:space="preserve">SIMULADO</t>
  </si>
  <si>
    <t xml:space="preserve">OP-02</t>
  </si>
  <si>
    <t xml:space="preserve">OP-03</t>
  </si>
  <si>
    <t xml:space="preserve">OP-04</t>
  </si>
  <si>
    <t xml:space="preserve">OP-05</t>
  </si>
  <si>
    <t xml:space="preserve">OP-06</t>
  </si>
  <si>
    <t xml:space="preserve">OP-07</t>
  </si>
  <si>
    <t xml:space="preserve">OP-08</t>
  </si>
  <si>
    <t xml:space="preserve">OP-09</t>
  </si>
  <si>
    <t xml:space="preserve">OP-10</t>
  </si>
  <si>
    <t xml:space="preserve">OP-11</t>
  </si>
  <si>
    <t xml:space="preserve">OP-12</t>
  </si>
  <si>
    <t xml:space="preserve">OP-13</t>
  </si>
  <si>
    <t xml:space="preserve">OP-14</t>
  </si>
  <si>
    <t xml:space="preserve">OP-15</t>
  </si>
  <si>
    <t xml:space="preserve">OP-16</t>
  </si>
  <si>
    <t xml:space="preserve">OP-17</t>
  </si>
  <si>
    <t xml:space="preserve">OP-18</t>
  </si>
  <si>
    <t xml:space="preserve">OP-19</t>
  </si>
  <si>
    <t xml:space="preserve">OP-20</t>
  </si>
  <si>
    <t xml:space="preserve">OP-21</t>
  </si>
  <si>
    <t xml:space="preserve">OP-22</t>
  </si>
  <si>
    <t xml:space="preserve">OP-23</t>
  </si>
  <si>
    <t xml:space="preserve">OP-24</t>
  </si>
  <si>
    <t xml:space="preserve">OP-25</t>
  </si>
  <si>
    <t xml:space="preserve">Especialidad (simulada)</t>
  </si>
  <si>
    <t xml:space="preserve">Turnos</t>
  </si>
  <si>
    <t xml:space="preserve">Horas netas / día</t>
  </si>
  <si>
    <t xml:space="preserve">REAL (cantidad y jornada); especialidad SIMULADA</t>
  </si>
  <si>
    <t xml:space="preserve">Pintura</t>
  </si>
  <si>
    <t xml:space="preserve">Armado</t>
  </si>
  <si>
    <t xml:space="preserve">Inspección</t>
  </si>
  <si>
    <t xml:space="preserve">Curado</t>
  </si>
  <si>
    <t xml:space="preserve">Manipulación</t>
  </si>
  <si>
    <t xml:space="preserve">Fecha</t>
  </si>
  <si>
    <t xml:space="preserve">Productivo (1/0)</t>
  </si>
  <si>
    <t xml:space="preserve">Feriado nacional Perú</t>
  </si>
  <si>
    <t xml:space="preserve">Productivo efectivo (1/0)</t>
  </si>
  <si>
    <t xml:space="preserve">Año Nuevo</t>
  </si>
  <si>
    <t xml:space="preserve">Jueves Santo</t>
  </si>
  <si>
    <t xml:space="preserve">Viernes Santo</t>
  </si>
  <si>
    <t xml:space="preserve">Día del Trabajo</t>
  </si>
  <si>
    <t xml:space="preserve">Batalla de Arica y Día de la Bandera</t>
  </si>
  <si>
    <t xml:space="preserve">San Pedro y San Pablo</t>
  </si>
  <si>
    <t xml:space="preserve">Día de la Fuerza Aérea del Perú</t>
  </si>
  <si>
    <t xml:space="preserve">Fiestas Patrias</t>
  </si>
  <si>
    <t xml:space="preserve">Batalla de Junín</t>
  </si>
  <si>
    <t xml:space="preserve">Santa Rosa de Lima</t>
  </si>
  <si>
    <t xml:space="preserve">Combate de Angamos</t>
  </si>
  <si>
    <t xml:space="preserve">Día de Todos los Santos</t>
  </si>
  <si>
    <t xml:space="preserve">Inmaculada Concepción</t>
  </si>
  <si>
    <t xml:space="preserve">Batalla de Ayacucho</t>
  </si>
  <si>
    <t xml:space="preserve">Navidad</t>
  </si>
  <si>
    <t xml:space="preserve">Pedido</t>
  </si>
  <si>
    <t xml:space="preserve">Unidades</t>
  </si>
  <si>
    <t xml:space="preserve">Recepción 2025</t>
  </si>
  <si>
    <t xml:space="preserve">Liberación 2025</t>
  </si>
  <si>
    <t xml:space="preserve">Compromiso 2025</t>
  </si>
  <si>
    <t xml:space="preserve">Lote</t>
  </si>
  <si>
    <t xml:space="preserve">Clasificación</t>
  </si>
  <si>
    <t xml:space="preserve">Precio familiar S/</t>
  </si>
  <si>
    <t xml:space="preserve">Valor pedido S/</t>
  </si>
  <si>
    <t xml:space="preserve">Penalidad fija S/</t>
  </si>
  <si>
    <t xml:space="preserve">Plazo días</t>
  </si>
  <si>
    <t xml:space="preserve">Horas de proceso (ruta principal)</t>
  </si>
  <si>
    <t xml:space="preserve">Horas productivas disponibles r→d</t>
  </si>
  <si>
    <t xml:space="preserve">Ruta excede ventana (1/0)</t>
  </si>
  <si>
    <t xml:space="preserve">Fecha en fin de semana (1/0)</t>
  </si>
  <si>
    <t xml:space="preserve">Producto válido (1/0)</t>
  </si>
  <si>
    <t xml:space="preserve">P001</t>
  </si>
  <si>
    <t xml:space="preserve">P002</t>
  </si>
  <si>
    <t xml:space="preserve">P003</t>
  </si>
  <si>
    <t xml:space="preserve">P004</t>
  </si>
  <si>
    <t xml:space="preserve">P005</t>
  </si>
  <si>
    <t xml:space="preserve">P006</t>
  </si>
  <si>
    <t xml:space="preserve">P007</t>
  </si>
  <si>
    <t xml:space="preserve">P008</t>
  </si>
  <si>
    <t xml:space="preserve">P009</t>
  </si>
  <si>
    <t xml:space="preserve">P010</t>
  </si>
  <si>
    <t xml:space="preserve">P011</t>
  </si>
  <si>
    <t xml:space="preserve">P012</t>
  </si>
  <si>
    <t xml:space="preserve">P013</t>
  </si>
  <si>
    <t xml:space="preserve">P014</t>
  </si>
  <si>
    <t xml:space="preserve">P015</t>
  </si>
  <si>
    <t xml:space="preserve">P016</t>
  </si>
  <si>
    <t xml:space="preserve">P017</t>
  </si>
  <si>
    <t xml:space="preserve">P018</t>
  </si>
  <si>
    <t xml:space="preserve">P019</t>
  </si>
  <si>
    <t xml:space="preserve">P020</t>
  </si>
  <si>
    <t xml:space="preserve">P021</t>
  </si>
  <si>
    <t xml:space="preserve">P022</t>
  </si>
  <si>
    <t xml:space="preserve">P023</t>
  </si>
  <si>
    <t xml:space="preserve">P024</t>
  </si>
  <si>
    <t xml:space="preserve">P025</t>
  </si>
  <si>
    <t xml:space="preserve">P026</t>
  </si>
  <si>
    <t xml:space="preserve">P027</t>
  </si>
  <si>
    <t xml:space="preserve">P028</t>
  </si>
  <si>
    <t xml:space="preserve">P029</t>
  </si>
  <si>
    <t xml:space="preserve">P030</t>
  </si>
  <si>
    <t xml:space="preserve">P031</t>
  </si>
  <si>
    <t xml:space="preserve">P032</t>
  </si>
  <si>
    <t xml:space="preserve">P033</t>
  </si>
  <si>
    <t xml:space="preserve">P034</t>
  </si>
  <si>
    <t xml:space="preserve">P035</t>
  </si>
  <si>
    <t xml:space="preserve">P036</t>
  </si>
  <si>
    <t xml:space="preserve">P037</t>
  </si>
  <si>
    <t xml:space="preserve">P038</t>
  </si>
  <si>
    <t xml:space="preserve">P039</t>
  </si>
  <si>
    <t xml:space="preserve">P040</t>
  </si>
  <si>
    <t xml:space="preserve">P041</t>
  </si>
  <si>
    <t xml:space="preserve">P042</t>
  </si>
  <si>
    <t xml:space="preserve">P043</t>
  </si>
  <si>
    <t xml:space="preserve">P044</t>
  </si>
  <si>
    <t xml:space="preserve">P045</t>
  </si>
  <si>
    <t xml:space="preserve">P046</t>
  </si>
  <si>
    <t xml:space="preserve">P047</t>
  </si>
  <si>
    <t xml:space="preserve">P048</t>
  </si>
  <si>
    <t xml:space="preserve">P049</t>
  </si>
  <si>
    <t xml:space="preserve">P050</t>
  </si>
  <si>
    <t xml:space="preserve">P051</t>
  </si>
  <si>
    <t xml:space="preserve">P052</t>
  </si>
  <si>
    <t xml:space="preserve">P053</t>
  </si>
  <si>
    <t xml:space="preserve">P054</t>
  </si>
  <si>
    <t xml:space="preserve">P055</t>
  </si>
  <si>
    <t xml:space="preserve">P056</t>
  </si>
  <si>
    <t xml:space="preserve">P057</t>
  </si>
  <si>
    <t xml:space="preserve">P058</t>
  </si>
  <si>
    <t xml:space="preserve">P059</t>
  </si>
  <si>
    <t xml:space="preserve">P060</t>
  </si>
  <si>
    <t xml:space="preserve">P061</t>
  </si>
  <si>
    <t xml:space="preserve">P062</t>
  </si>
  <si>
    <t xml:space="preserve">P063</t>
  </si>
  <si>
    <t xml:space="preserve">P064</t>
  </si>
  <si>
    <t xml:space="preserve">P065</t>
  </si>
  <si>
    <t xml:space="preserve">P066</t>
  </si>
  <si>
    <t xml:space="preserve">P067</t>
  </si>
  <si>
    <t xml:space="preserve">P068</t>
  </si>
  <si>
    <t xml:space="preserve">P069</t>
  </si>
  <si>
    <t xml:space="preserve">P070</t>
  </si>
  <si>
    <t xml:space="preserve">P071</t>
  </si>
  <si>
    <t xml:space="preserve">P072</t>
  </si>
  <si>
    <t xml:space="preserve">P073</t>
  </si>
  <si>
    <t xml:space="preserve">P074</t>
  </si>
  <si>
    <t xml:space="preserve">P075</t>
  </si>
  <si>
    <t xml:space="preserve">P076</t>
  </si>
  <si>
    <t xml:space="preserve">P077</t>
  </si>
  <si>
    <t xml:space="preserve">P078</t>
  </si>
  <si>
    <t xml:space="preserve">P079</t>
  </si>
  <si>
    <t xml:space="preserve">P080</t>
  </si>
  <si>
    <t xml:space="preserve">P081</t>
  </si>
  <si>
    <t xml:space="preserve">P082</t>
  </si>
  <si>
    <t xml:space="preserve">P083</t>
  </si>
  <si>
    <t xml:space="preserve">P084</t>
  </si>
  <si>
    <t xml:space="preserve">P085</t>
  </si>
  <si>
    <t xml:space="preserve">P086</t>
  </si>
  <si>
    <t xml:space="preserve">P087</t>
  </si>
  <si>
    <t xml:space="preserve">P088</t>
  </si>
  <si>
    <t xml:space="preserve">P089</t>
  </si>
  <si>
    <t xml:space="preserve">P090</t>
  </si>
  <si>
    <t xml:space="preserve">P091</t>
  </si>
  <si>
    <t xml:space="preserve">P092</t>
  </si>
  <si>
    <t xml:space="preserve">P093</t>
  </si>
  <si>
    <t xml:space="preserve">P094</t>
  </si>
  <si>
    <t xml:space="preserve">P095</t>
  </si>
  <si>
    <t xml:space="preserve">P096</t>
  </si>
  <si>
    <t xml:space="preserve">Equipo</t>
  </si>
  <si>
    <t xml:space="preserve">Cantidad</t>
  </si>
  <si>
    <t xml:space="preserve">Min fijo/lote</t>
  </si>
  <si>
    <t xml:space="preserve">Min unidad</t>
  </si>
  <si>
    <t xml:space="preserve">Horas requeridas</t>
  </si>
  <si>
    <t xml:space="preserve">Mes</t>
  </si>
  <si>
    <t xml:space="preserve">Costo máquina S/ (tarifa 04)</t>
  </si>
  <si>
    <t xml:space="preserve">Energía kWh (04)</t>
  </si>
  <si>
    <t xml:space="preserve">CALCULADO</t>
  </si>
  <si>
    <t xml:space="preserve">Cantidad pedida</t>
  </si>
  <si>
    <t xml:space="preserve">Piezas / unidad</t>
  </si>
  <si>
    <t xml:space="preserve">Piezas requeridas</t>
  </si>
  <si>
    <t xml:space="preserve">Costo componente por producto S/</t>
  </si>
  <si>
    <t xml:space="preserve">Costo pedido S/</t>
  </si>
  <si>
    <t xml:space="preserve">Masa de material del pedido kg</t>
  </si>
  <si>
    <t xml:space="preserve">Planchas equivalentes del pedido</t>
  </si>
  <si>
    <t xml:space="preserve">Recurso</t>
  </si>
  <si>
    <t xml:space="preserve">Días</t>
  </si>
  <si>
    <t xml:space="preserve">Horas/día</t>
  </si>
  <si>
    <t xml:space="preserve">Horas programadas</t>
  </si>
  <si>
    <t xml:space="preserve">Carga requerida h</t>
  </si>
  <si>
    <t xml:space="preserve">Carga / capacidad</t>
  </si>
  <si>
    <t xml:space="preserve">Unidades agregadas 2025</t>
  </si>
  <si>
    <t xml:space="preserve">Ventas agregadas S/</t>
  </si>
  <si>
    <t xml:space="preserve">Precio promedio S/</t>
  </si>
  <si>
    <t xml:space="preserve">Penalidad fija %</t>
  </si>
  <si>
    <t xml:space="preserve">Penalidad diaria %</t>
  </si>
  <si>
    <t xml:space="preserve">REAL (ventas); ESTIMADO (penalidades)</t>
  </si>
  <si>
    <t xml:space="preserve">Máquina elegible</t>
  </si>
  <si>
    <t xml:space="preserve">Tipo de asignación</t>
  </si>
  <si>
    <t xml:space="preserve">Elegible 1/0</t>
  </si>
  <si>
    <t xml:space="preserve">Factor de tiempo relativo</t>
  </si>
  <si>
    <t xml:space="preserve">PRINCIPAL</t>
  </si>
  <si>
    <t xml:space="preserve">ALTERNATIVA CON UTILLAJE COMPATIBLE</t>
  </si>
  <si>
    <t xml:space="preserve">ALTERNATIVA MISMO PROCESO</t>
  </si>
  <si>
    <t xml:space="preserve">Evento</t>
  </si>
  <si>
    <t xml:space="preserve">Fin</t>
  </si>
  <si>
    <t xml:space="preserve">Horas de reloj</t>
  </si>
  <si>
    <t xml:space="preserve">Motivo hipotético</t>
  </si>
  <si>
    <t xml:space="preserve">Pedido potencialmente afectado</t>
  </si>
  <si>
    <t xml:space="preserve">Tipo de dato</t>
  </si>
  <si>
    <t xml:space="preserve">Horas de turno afectadas</t>
  </si>
  <si>
    <t xml:space="preserve">F01</t>
  </si>
  <si>
    <t xml:space="preserve">Interrupción hidráulica hipotética</t>
  </si>
  <si>
    <t xml:space="preserve">F02</t>
  </si>
  <si>
    <t xml:space="preserve">Falla de sensor de seguridad</t>
  </si>
  <si>
    <t xml:space="preserve">F03</t>
  </si>
  <si>
    <t xml:space="preserve">Desajuste del tope posterior</t>
  </si>
  <si>
    <t xml:space="preserve">F04</t>
  </si>
  <si>
    <t xml:space="preserve">Corte eléctrico local</t>
  </si>
  <si>
    <t xml:space="preserve">F05</t>
  </si>
  <si>
    <t xml:space="preserve">Ajuste de herramienta</t>
  </si>
  <si>
    <t xml:space="preserve">F06</t>
  </si>
  <si>
    <t xml:space="preserve">Descenso de presión</t>
  </si>
  <si>
    <t xml:space="preserve">F07</t>
  </si>
  <si>
    <t xml:space="preserve">F08</t>
  </si>
  <si>
    <t xml:space="preserve">F09</t>
  </si>
  <si>
    <t xml:space="preserve">F10</t>
  </si>
  <si>
    <t xml:space="preserve">F11</t>
  </si>
  <si>
    <t xml:space="preserve">F12</t>
  </si>
  <si>
    <t xml:space="preserve">F13</t>
  </si>
  <si>
    <t xml:space="preserve">Fuga en cilindro hidráulico; espera de retén de repuesto</t>
  </si>
  <si>
    <t xml:space="preserve">F14</t>
  </si>
  <si>
    <t xml:space="preserve">Desajuste del tope posterior (recurrente)</t>
  </si>
  <si>
    <t xml:space="preserve">F15</t>
  </si>
  <si>
    <t xml:space="preserve">Falla de rodamientos del husillo</t>
  </si>
  <si>
    <t xml:space="preserve">F16</t>
  </si>
  <si>
    <t xml:space="preserve">Falla del alimentador de alambre</t>
  </si>
  <si>
    <t xml:space="preserve">F17</t>
  </si>
  <si>
    <t xml:space="preserve">Falla de resistencia o termocupla del horno</t>
  </si>
  <si>
    <t xml:space="preserve">F18</t>
  </si>
  <si>
    <t xml:space="preserve">Desajuste de cuchillas de la guillotina</t>
  </si>
  <si>
    <t xml:space="preserve">F19</t>
  </si>
  <si>
    <t xml:space="preserve">Corte de energía en el tablero del área de conformado (simultánea con F20)</t>
  </si>
  <si>
    <t xml:space="preserve">F20</t>
  </si>
  <si>
    <t xml:space="preserve">Corte de energía en el tablero del área de conformado (simultánea con F19)</t>
  </si>
  <si>
    <t xml:space="preserve">F21</t>
  </si>
  <si>
    <t xml:space="preserve">Mantenimiento preventivo programado: cambio de aceite hidráulico y calibración de topes</t>
  </si>
  <si>
    <t xml:space="preserve">SIMULADO (mantenimiento planificado)</t>
  </si>
  <si>
    <t xml:space="preserve">Política</t>
  </si>
  <si>
    <t xml:space="preserve">Conserva piezas</t>
  </si>
  <si>
    <t xml:space="preserve">Reinicia lote</t>
  </si>
  <si>
    <t xml:space="preserve">Repite setup</t>
  </si>
  <si>
    <t xml:space="preserve">Piezas a repetir por interrupción</t>
  </si>
  <si>
    <t xml:space="preserve">Min de verificación tras reparación</t>
  </si>
  <si>
    <t xml:space="preserve">A - reanudar</t>
  </si>
  <si>
    <t xml:space="preserve">B - reiniciar lote</t>
  </si>
  <si>
    <t xml:space="preserve">(Genérico) operaciones POR_UNIDAD</t>
  </si>
  <si>
    <t xml:space="preserve">operaciones POR_UNIDAD</t>
  </si>
  <si>
    <t xml:space="preserve">(Genérico) Curado térmico POR_LOTE</t>
  </si>
  <si>
    <t xml:space="preserve">Curado térmico POR_LOTE</t>
  </si>
  <si>
    <t xml:space="preserve">Máquina</t>
  </si>
  <si>
    <t xml:space="preserve">Duración h</t>
  </si>
  <si>
    <t xml:space="preserve">Fecha compromiso</t>
  </si>
  <si>
    <t xml:space="preserve">Escenario</t>
  </si>
  <si>
    <t xml:space="preserve">Caso</t>
  </si>
  <si>
    <t xml:space="preserve">Momento de falla</t>
  </si>
  <si>
    <t xml:space="preserve">Duración (h)</t>
  </si>
  <si>
    <t xml:space="preserve">Recuperación</t>
  </si>
  <si>
    <t xml:space="preserve">Semilla</t>
  </si>
  <si>
    <t xml:space="preserve">S00</t>
  </si>
  <si>
    <t xml:space="preserve">Sin falla</t>
  </si>
  <si>
    <t xml:space="preserve">Ninguna</t>
  </si>
  <si>
    <t xml:space="preserve">FIFO</t>
  </si>
  <si>
    <t xml:space="preserve">BASE</t>
  </si>
  <si>
    <t xml:space="preserve">CONFIGURACION</t>
  </si>
  <si>
    <t xml:space="preserve">S01A</t>
  </si>
  <si>
    <t xml:space="preserve">Parada plegadora</t>
  </si>
  <si>
    <t xml:space="preserve">S01B</t>
  </si>
  <si>
    <t xml:space="preserve">S02A</t>
  </si>
  <si>
    <t xml:space="preserve">S02B</t>
  </si>
  <si>
    <t xml:space="preserve">S03A</t>
  </si>
  <si>
    <t xml:space="preserve">S03B</t>
  </si>
  <si>
    <t xml:space="preserve">S04A</t>
  </si>
  <si>
    <t xml:space="preserve">S04B</t>
  </si>
  <si>
    <t xml:space="preserve">S05A</t>
  </si>
  <si>
    <t xml:space="preserve">S05B</t>
  </si>
  <si>
    <t xml:space="preserve">S06A</t>
  </si>
  <si>
    <t xml:space="preserve">S06B</t>
  </si>
  <si>
    <t xml:space="preserve">S07A</t>
  </si>
  <si>
    <t xml:space="preserve">S07B</t>
  </si>
  <si>
    <t xml:space="preserve">S08A</t>
  </si>
  <si>
    <t xml:space="preserve">S08B</t>
  </si>
  <si>
    <t xml:space="preserve">S09A</t>
  </si>
  <si>
    <t xml:space="preserve">S09B</t>
  </si>
  <si>
    <t xml:space="preserve">S10A</t>
  </si>
  <si>
    <t xml:space="preserve">S10B</t>
  </si>
  <si>
    <t xml:space="preserve">S11A</t>
  </si>
  <si>
    <t xml:space="preserve">S11B</t>
  </si>
  <si>
    <t xml:space="preserve">S12A</t>
  </si>
  <si>
    <t xml:space="preserve">S12B</t>
  </si>
  <si>
    <t xml:space="preserve">S13A</t>
  </si>
  <si>
    <t xml:space="preserve">Falla prolongada plegadora</t>
  </si>
  <si>
    <t xml:space="preserve">S13B</t>
  </si>
  <si>
    <t xml:space="preserve">S14A</t>
  </si>
  <si>
    <t xml:space="preserve">Fallas recurrentes plegadora (junio)</t>
  </si>
  <si>
    <t xml:space="preserve">F01+F02+F14</t>
  </si>
  <si>
    <t xml:space="preserve">S14B</t>
  </si>
  <si>
    <t xml:space="preserve">S15A</t>
  </si>
  <si>
    <t xml:space="preserve">Falla taladro con alternativa</t>
  </si>
  <si>
    <t xml:space="preserve">S15B</t>
  </si>
  <si>
    <t xml:space="preserve">S16A</t>
  </si>
  <si>
    <t xml:space="preserve">Falla soldadora con alternativa</t>
  </si>
  <si>
    <t xml:space="preserve">S16B</t>
  </si>
  <si>
    <t xml:space="preserve">S17B</t>
  </si>
  <si>
    <t xml:space="preserve">Falla horno de curado</t>
  </si>
  <si>
    <t xml:space="preserve">S18A</t>
  </si>
  <si>
    <t xml:space="preserve">Falla guillotina</t>
  </si>
  <si>
    <t xml:space="preserve">S18B</t>
  </si>
  <si>
    <t xml:space="preserve">S19A</t>
  </si>
  <si>
    <t xml:space="preserve">Fallas simultáneas plegadora y guillotina</t>
  </si>
  <si>
    <t xml:space="preserve">F19+F20</t>
  </si>
  <si>
    <t xml:space="preserve">S19B</t>
  </si>
  <si>
    <t xml:space="preserve">S21A</t>
  </si>
  <si>
    <t xml:space="preserve">Falla soldadora con mantenimiento anunciado de plegadora</t>
  </si>
  <si>
    <t xml:space="preserve">F16+F21</t>
  </si>
  <si>
    <t xml:space="preserve">S20A</t>
  </si>
  <si>
    <t xml:space="preserve">Año 2025 completo con F01-F12 (horizonte rodante)</t>
  </si>
  <si>
    <t xml:space="preserve">F01+F02+F03+F04+F05+F06+F07+F08+F09+F10+F11+F12</t>
  </si>
  <si>
    <t xml:space="preserve">Parámetro</t>
  </si>
  <si>
    <t xml:space="preserve">Valor</t>
  </si>
  <si>
    <t xml:space="preserve">Unidad</t>
  </si>
  <si>
    <t xml:space="preserve">Nota</t>
  </si>
  <si>
    <t xml:space="preserve">Leído por Python (1/0)</t>
  </si>
  <si>
    <t xml:space="preserve">Número total de trabajadores de producción</t>
  </si>
  <si>
    <t xml:space="preserve">personas</t>
  </si>
  <si>
    <t xml:space="preserve">REAL</t>
  </si>
  <si>
    <t xml:space="preserve">Confirmado por la empresa (06C v1.2).</t>
  </si>
  <si>
    <t xml:space="preserve">Turnos diarios</t>
  </si>
  <si>
    <t xml:space="preserve">turnos</t>
  </si>
  <si>
    <t xml:space="preserve">Confirmado por la empresa.</t>
  </si>
  <si>
    <t xml:space="preserve">Horas productivas por día</t>
  </si>
  <si>
    <t xml:space="preserve">h/día</t>
  </si>
  <si>
    <t xml:space="preserve">Jornada neta confirmada; el modelo la deriva de 'Jornada productiva'.</t>
  </si>
  <si>
    <t xml:space="preserve">Jornada productiva</t>
  </si>
  <si>
    <t xml:space="preserve">08:00-12:00 y 13:00-17:00</t>
  </si>
  <si>
    <t xml:space="preserve">hora</t>
  </si>
  <si>
    <t xml:space="preserve">Horario no confirmado por la empresa; define el eje de horas productivas.</t>
  </si>
  <si>
    <t xml:space="preserve">Refrigerio</t>
  </si>
  <si>
    <t xml:space="preserve">12:00-13:00</t>
  </si>
  <si>
    <t xml:space="preserve">Horario no confirmado.</t>
  </si>
  <si>
    <t xml:space="preserve">Aplicar feriados nacionales (1/0)</t>
  </si>
  <si>
    <t xml:space="preserve">1/0</t>
  </si>
  <si>
    <t xml:space="preserve">0 = calendario v1.2 (feriados laborables). Práctica real de SAGAPI pendiente de confirmación.</t>
  </si>
  <si>
    <t xml:space="preserve">Año base del estudio</t>
  </si>
  <si>
    <t xml:space="preserve">año</t>
  </si>
  <si>
    <t xml:space="preserve">Hora de liberación</t>
  </si>
  <si>
    <t xml:space="preserve">08:00</t>
  </si>
  <si>
    <t xml:space="preserve">Fijada en el código (instancia.py); el valor aquí es informativo.</t>
  </si>
  <si>
    <t xml:space="preserve">Hora de vencimiento d_j</t>
  </si>
  <si>
    <t xml:space="preserve">17:00</t>
  </si>
  <si>
    <t xml:space="preserve">Cierre del día comprometido o del último día productivo previo (calendario.py).</t>
  </si>
  <si>
    <t xml:space="preserve">Densidad del acero</t>
  </si>
  <si>
    <t xml:space="preserve">kg/m³</t>
  </si>
  <si>
    <t xml:space="preserve">Constante física; reproduce exactamente la masa de chapa de v1.2.</t>
  </si>
  <si>
    <t xml:space="preserve">Masa lineal del perfil genérico</t>
  </si>
  <si>
    <t xml:space="preserve">kg/m</t>
  </si>
  <si>
    <t xml:space="preserve">Implícito en v1.2 (masa = piezas × longitud × 1,5); sección del perfil por definir.</t>
  </si>
  <si>
    <t xml:space="preserve">Factor de aprovechamiento de chapa</t>
  </si>
  <si>
    <t xml:space="preserve">fracción</t>
  </si>
  <si>
    <t xml:space="preserve">Implícito en v1.2 (costo = masa × precio / 0,92); sin medición de merma.</t>
  </si>
  <si>
    <t xml:space="preserve">Factor de aprovechamiento de perfil</t>
  </si>
  <si>
    <t xml:space="preserve">Implícito en v1.2 (costo = masa × precio / 0,96).</t>
  </si>
  <si>
    <t xml:space="preserve">Área de plancha estándar 1,20 × 2,40 m</t>
  </si>
  <si>
    <t xml:space="preserve">m²</t>
  </si>
  <si>
    <t xml:space="preserve">Formato del material MAT-LAC2; no confirma que todas las chapas se compren en ese formato.</t>
  </si>
  <si>
    <t xml:space="preserve">Costo hora-hombre</t>
  </si>
  <si>
    <t xml:space="preserve">S/ por h</t>
  </si>
  <si>
    <t xml:space="preserve">Supuesto económico sin planilla.</t>
  </si>
  <si>
    <t xml:space="preserve">Tarifa eléctrica</t>
  </si>
  <si>
    <t xml:space="preserve">S/ por kWh</t>
  </si>
  <si>
    <t xml:space="preserve">Verificar con recibo eléctrico.</t>
  </si>
  <si>
    <t xml:space="preserve">Factor de emisión de la red</t>
  </si>
  <si>
    <t xml:space="preserve">kg CO2/kWh</t>
  </si>
  <si>
    <t xml:space="preserve">Sin dato oficial cargado; el programa no calcula CO2.</t>
  </si>
  <si>
    <t xml:space="preserve">Ventas anuales aproximadas</t>
  </si>
  <si>
    <t xml:space="preserve">S/</t>
  </si>
  <si>
    <t xml:space="preserve">Declarado por la empresa.</t>
  </si>
  <si>
    <t xml:space="preserve">UIT 2025</t>
  </si>
  <si>
    <t xml:space="preserve">Valor oficial 2025.</t>
  </si>
  <si>
    <t xml:space="preserve">Ciclo horno</t>
  </si>
  <si>
    <t xml:space="preserve">min por carga</t>
  </si>
  <si>
    <t xml:space="preserve">Incluido en el tiempo fijo (45 min) del curado en 06_RUTAS.</t>
  </si>
  <si>
    <t xml:space="preserve">Capacidad horno por lote</t>
  </si>
  <si>
    <t xml:space="preserve">piezas por carga (declarado)</t>
  </si>
  <si>
    <t xml:space="preserve">Conflicto de unidades: el lote del modelo es de 10 UNIDADES de producto, no 10 piezas.</t>
  </si>
  <si>
    <t xml:space="preserve">Máquina de la avería</t>
  </si>
  <si>
    <t xml:space="preserve">-</t>
  </si>
  <si>
    <t xml:space="preserve">Recurso crítico de los experimentos de Monte Carlo.</t>
  </si>
  <si>
    <t xml:space="preserve">Costo equivalente reasignación</t>
  </si>
  <si>
    <t xml:space="preserve">h equivalentes</t>
  </si>
  <si>
    <t xml:space="preserve">Peso β de f2 (inestabilidad).</t>
  </si>
  <si>
    <t xml:space="preserve">Réplicas Monte Carlo de fallas de la plegadora</t>
  </si>
  <si>
    <t xml:space="preserve">réplicas</t>
  </si>
  <si>
    <t xml:space="preserve">Semilla Monte Carlo</t>
  </si>
  <si>
    <t xml:space="preserve">Regla de penalidad del modelo</t>
  </si>
  <si>
    <t xml:space="preserve">FIJA</t>
  </si>
  <si>
    <t xml:space="preserve">FIJA = penalidad fija de 01_FAMILIAS si hay atraso; DIARIA_CON_TOPE solo en sensibilidad.</t>
  </si>
  <si>
    <t xml:space="preserve">Penalidad diaria (sensibilidad)</t>
  </si>
  <si>
    <t xml:space="preserve">0,10·valor/(F·plazo); F=0,40 si plazo ≤ 60 d; 0,25 si &gt; 60 d</t>
  </si>
  <si>
    <t xml:space="preserve">S/ por día</t>
  </si>
  <si>
    <t xml:space="preserve">Referencia de contratación pública peruana; no es cláusula de SAGAPI. Fórmula fija en datos.py.</t>
  </si>
  <si>
    <t xml:space="preserve">Tolerancia lexicográfica τ</t>
  </si>
  <si>
    <t xml:space="preserve">proporción</t>
  </si>
  <si>
    <t xml:space="preserve">Valor fijo en el código (optimizacion.py).</t>
  </si>
  <si>
    <t xml:space="preserve">Tolerancia de verificación</t>
  </si>
  <si>
    <t xml:space="preserve">h</t>
  </si>
  <si>
    <t xml:space="preserve">Valor fijo en el código (verificacion.py).</t>
  </si>
  <si>
    <t xml:space="preserve">Coeficiente de aumentación ε (ρ)</t>
  </si>
  <si>
    <t xml:space="preserve">Límite de cómputo por fase</t>
  </si>
  <si>
    <t xml:space="preserve">s</t>
  </si>
  <si>
    <t xml:space="preserve">Se fija con --tl en la línea de comandos.</t>
  </si>
  <si>
    <t xml:space="preserve">Brecha relativa máxima</t>
  </si>
  <si>
    <t xml:space="preserve">Niveles para epsilon</t>
  </si>
  <si>
    <t xml:space="preserve">niveles</t>
  </si>
  <si>
    <t xml:space="preserve">Solucionador</t>
  </si>
  <si>
    <t xml:space="preserve">HiGHS vía scipy.optimize.milp (API pública); una resolución por fase lexicográfica; sin votación</t>
  </si>
  <si>
    <t xml:space="preserve">Corrige el texto de v1.2 (cartera de 3 configuraciones), obsoleto en el código 1.4.0.</t>
  </si>
  <si>
    <t xml:space="preserve">Materiales S/</t>
  </si>
  <si>
    <t xml:space="preserve">Mano de obra S/</t>
  </si>
  <si>
    <t xml:space="preserve">Máquinas S/</t>
  </si>
  <si>
    <t xml:space="preserve">Costo total S/</t>
  </si>
  <si>
    <t xml:space="preserve">Margen bruto %</t>
  </si>
  <si>
    <t xml:space="preserve">Costo de materiales completo (1/0)</t>
  </si>
  <si>
    <t xml:space="preserve">Control</t>
  </si>
  <si>
    <t xml:space="preserve">Resultado calculado</t>
  </si>
  <si>
    <t xml:space="preserve">Objetivo</t>
  </si>
  <si>
    <t xml:space="preserve">Estado</t>
  </si>
  <si>
    <t xml:space="preserve">Interpretación</t>
  </si>
  <si>
    <t xml:space="preserve">Pedidos</t>
  </si>
  <si>
    <t xml:space="preserve">Estructura (pedidos SIMULADOS)</t>
  </si>
  <si>
    <t xml:space="preserve">Unidades pedidas = unidades vendidas 2025 (12_PRECIOS)</t>
  </si>
  <si>
    <t xml:space="preserve">Los pedidos simulados reparten exactamente las unidades REALES agregadas</t>
  </si>
  <si>
    <t xml:space="preserve">Operaciones pedido × ruta</t>
  </si>
  <si>
    <t xml:space="preserve">Instancia de cálculo</t>
  </si>
  <si>
    <t xml:space="preserve">Horas de proceso 08 = 09</t>
  </si>
  <si>
    <t xml:space="preserve">Consistencia de cargas</t>
  </si>
  <si>
    <t xml:space="preserve">Carga 11 = 09</t>
  </si>
  <si>
    <t xml:space="preserve">Consistencia de capacidad</t>
  </si>
  <si>
    <t xml:space="preserve">Días productivos del año base</t>
  </si>
  <si>
    <t xml:space="preserve">261 sin feriados (interruptor = 0); 249 con feriados</t>
  </si>
  <si>
    <t xml:space="preserve">Productos con familia inválida</t>
  </si>
  <si>
    <t xml:space="preserve">Integridad 01 ↔ 12</t>
  </si>
  <si>
    <t xml:space="preserve">Rutas con equipo inexistente</t>
  </si>
  <si>
    <t xml:space="preserve">Integridad 05 ↔ 04</t>
  </si>
  <si>
    <t xml:space="preserve">Pedidos con producto inexistente</t>
  </si>
  <si>
    <t xml:space="preserve">Integridad 08 ↔ 01</t>
  </si>
  <si>
    <t xml:space="preserve">Recursos usados en rutas sin operario habilitado (simulado)</t>
  </si>
  <si>
    <t xml:space="preserve">Matriz de habilidades SIMULADA</t>
  </si>
  <si>
    <t xml:space="preserve">Pedidos cuya ruta excede la ventana r→d (ALERTA)</t>
  </si>
  <si>
    <t xml:space="preserve">INFO</t>
  </si>
  <si>
    <t xml:space="preserve">Infactibles por construcción aun con planta vacía (precedencia lineal, sin traslape)</t>
  </si>
  <si>
    <t xml:space="preserve">Pedidos con liberación o compromiso en fin de semana (ALERTA)</t>
  </si>
  <si>
    <t xml:space="preserve">El modelo los desplaza al día productivo; fechas SIMULADAS</t>
  </si>
  <si>
    <t xml:space="preserve">Pedidos con costo de materiales incompleto (ALERTA)</t>
  </si>
  <si>
    <t xml:space="preserve">Componentes comprados sin precio (MAT-OTR, MAT-MEL18)</t>
  </si>
  <si>
    <t xml:space="preserve">Margen bruto medio implícito (ALERTA)</t>
  </si>
  <si>
    <t xml:space="preserve">Un margen &gt; 50 % sugiere costos incompletos (sin planilla completa de 25 trabajadores ni gastos)</t>
  </si>
  <si>
    <t xml:space="preserve">Python reproduce 16_PROGRAMA_BASE</t>
  </si>
  <si>
    <t xml:space="preserve">Ver entrega_v2_0/verificacion</t>
  </si>
  <si>
    <t xml:space="preserve">Sí</t>
  </si>
  <si>
    <t xml:space="preserve">Lo actualiza el comando 'reportes --escribir-excel'; la verificación v2 está en E5</t>
  </si>
  <si>
    <t xml:space="preserve">Eventos</t>
  </si>
  <si>
    <t xml:space="preserve">Total horas de turno perdidas</t>
  </si>
  <si>
    <t xml:space="preserve">Factor</t>
  </si>
  <si>
    <t xml:space="preserve">Niveles</t>
  </si>
  <si>
    <t xml:space="preserve">Aplicado a</t>
  </si>
  <si>
    <t xml:space="preserve">Propósito</t>
  </si>
  <si>
    <t xml:space="preserve">Multiplicador de duración de la avería</t>
  </si>
  <si>
    <t xml:space="preserve">0.5;1;2;4</t>
  </si>
  <si>
    <t xml:space="preserve">F01–F12, política A</t>
  </si>
  <si>
    <t xml:space="preserve">Robustez ante averías más cortas o más largas</t>
  </si>
  <si>
    <t xml:space="preserve">Peso de reasignación β (h)</t>
  </si>
  <si>
    <t xml:space="preserve">0;8;24</t>
  </si>
  <si>
    <t xml:space="preserve">Efecto del criterio humano de estabilidad</t>
  </si>
  <si>
    <t xml:space="preserve">Regla de penalidad</t>
  </si>
  <si>
    <t xml:space="preserve">FIJA;DIARIA_CON_TOPE</t>
  </si>
  <si>
    <t xml:space="preserve">Año 2025 y F01–F12</t>
  </si>
  <si>
    <t xml:space="preserve">Cambio de la regla económica</t>
  </si>
  <si>
    <t xml:space="preserve">Factor de tiempo en máquina alternativa</t>
  </si>
  <si>
    <t xml:space="preserve">1.0;1.1;1.25</t>
  </si>
  <si>
    <t xml:space="preserve">S15 y S16</t>
  </si>
  <si>
    <t xml:space="preserve">Valor de la flexibilidad de asignación</t>
  </si>
  <si>
    <t xml:space="preserve">Aplicar feriados nacionales</t>
  </si>
  <si>
    <t xml:space="preserve">0;1</t>
  </si>
  <si>
    <t xml:space="preserve">Año 2025</t>
  </si>
  <si>
    <t xml:space="preserve">Calendario sin y con feriados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</si>
</sst>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@"/>
    <numFmt numFmtId="166" formatCode="0.0"/>
    <numFmt numFmtId="167" formatCode="0"/>
    <numFmt numFmtId="168" formatCode="#,##0.00"/>
    <numFmt numFmtId="169" formatCode="&quot;S/ &quot;#,##0.00"/>
    <numFmt numFmtId="170" formatCode="0.000"/>
    <numFmt numFmtId="171" formatCode="0.0000"/>
    <numFmt numFmtId="172" formatCode="0.000000"/>
    <numFmt numFmtId="173" formatCode="0.0%"/>
    <numFmt numFmtId="174" formatCode="yyyy\-mm\-dd"/>
    <numFmt numFmtId="175" formatCode="yyyy\-mm\-dd\ hh:mm:ss"/>
    <numFmt numFmtId="176" formatCode="General"/>
    <numFmt numFmtId="177" formatCode="0.0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right" vertical="bottom" textRotation="90" wrapText="true" indent="0" shrinkToFit="false"/>
      <protection locked="true" hidden="false"/>
    </xf>
    <xf numFmtId="17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5100"/>
      <rgbColor rgb="FF595959"/>
      <rgbColor rgb="FF969696"/>
      <rgbColor rgb="FF1F3864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C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4"/>
    <col collapsed="false" customWidth="true" hidden="false" outlineLevel="0" max="3" min="3" style="0" width="58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2" t="s">
        <v>4</v>
      </c>
      <c r="C2" s="2" t="s">
        <v>5</v>
      </c>
    </row>
    <row r="3" customFormat="false" ht="15" hidden="false" customHeight="false" outlineLevel="0" collapsed="false">
      <c r="A3" s="2" t="s">
        <v>6</v>
      </c>
      <c r="B3" s="2" t="s">
        <v>7</v>
      </c>
      <c r="C3" s="2" t="s">
        <v>8</v>
      </c>
    </row>
    <row r="4" customFormat="false" ht="15" hidden="false" customHeight="false" outlineLevel="0" collapsed="false">
      <c r="A4" s="2" t="s">
        <v>9</v>
      </c>
      <c r="B4" s="2" t="s">
        <v>10</v>
      </c>
      <c r="C4" s="2" t="s">
        <v>11</v>
      </c>
    </row>
    <row r="5" customFormat="false" ht="15" hidden="false" customHeight="false" outlineLevel="0" collapsed="false">
      <c r="A5" s="2" t="s">
        <v>12</v>
      </c>
      <c r="B5" s="2" t="s">
        <v>4</v>
      </c>
      <c r="C5" s="2" t="s">
        <v>13</v>
      </c>
    </row>
    <row r="6" customFormat="false" ht="15" hidden="false" customHeight="false" outlineLevel="0" collapsed="false">
      <c r="A6" s="2" t="s">
        <v>14</v>
      </c>
      <c r="B6" s="2" t="s">
        <v>4</v>
      </c>
      <c r="C6" s="2" t="s">
        <v>15</v>
      </c>
    </row>
    <row r="7" customFormat="false" ht="15" hidden="false" customHeight="false" outlineLevel="0" collapsed="false">
      <c r="A7" s="2" t="s">
        <v>16</v>
      </c>
      <c r="B7" s="2" t="s">
        <v>4</v>
      </c>
      <c r="C7" s="2" t="s">
        <v>17</v>
      </c>
    </row>
    <row r="8" customFormat="false" ht="15" hidden="false" customHeight="false" outlineLevel="0" collapsed="false">
      <c r="A8" s="2" t="s">
        <v>18</v>
      </c>
      <c r="B8" s="2" t="s">
        <v>4</v>
      </c>
      <c r="C8" s="2" t="s">
        <v>19</v>
      </c>
    </row>
    <row r="9" customFormat="false" ht="15" hidden="false" customHeight="false" outlineLevel="0" collapsed="false">
      <c r="A9" s="2" t="s">
        <v>20</v>
      </c>
      <c r="B9" s="2" t="s">
        <v>4</v>
      </c>
      <c r="C9" s="2" t="s">
        <v>21</v>
      </c>
    </row>
    <row r="10" customFormat="false" ht="15" hidden="false" customHeight="false" outlineLevel="0" collapsed="false">
      <c r="A10" s="2" t="s">
        <v>22</v>
      </c>
      <c r="B10" s="2" t="s">
        <v>4</v>
      </c>
      <c r="C10" s="2" t="s">
        <v>23</v>
      </c>
    </row>
    <row r="11" customFormat="false" ht="15" hidden="false" customHeight="false" outlineLevel="0" collapsed="false">
      <c r="A11" s="2" t="s">
        <v>24</v>
      </c>
      <c r="B11" s="2" t="s">
        <v>25</v>
      </c>
      <c r="C11" s="2" t="s">
        <v>26</v>
      </c>
    </row>
    <row r="12" customFormat="false" ht="15" hidden="false" customHeight="false" outlineLevel="0" collapsed="false">
      <c r="A12" s="2" t="s">
        <v>27</v>
      </c>
      <c r="B12" s="2" t="s">
        <v>25</v>
      </c>
      <c r="C12" s="2" t="s">
        <v>28</v>
      </c>
    </row>
    <row r="13" customFormat="false" ht="15" hidden="false" customHeight="false" outlineLevel="0" collapsed="false">
      <c r="A13" s="2" t="s">
        <v>29</v>
      </c>
      <c r="B13" s="2" t="s">
        <v>25</v>
      </c>
      <c r="C13" s="2" t="s">
        <v>30</v>
      </c>
    </row>
    <row r="14" customFormat="false" ht="15" hidden="false" customHeight="false" outlineLevel="0" collapsed="false">
      <c r="A14" s="2" t="s">
        <v>31</v>
      </c>
      <c r="B14" s="2" t="s">
        <v>4</v>
      </c>
      <c r="C14" s="2" t="s">
        <v>32</v>
      </c>
    </row>
    <row r="15" customFormat="false" ht="15" hidden="false" customHeight="false" outlineLevel="0" collapsed="false">
      <c r="A15" s="2" t="s">
        <v>33</v>
      </c>
      <c r="B15" s="2" t="s">
        <v>4</v>
      </c>
      <c r="C15" s="2" t="s">
        <v>34</v>
      </c>
    </row>
    <row r="16" customFormat="false" ht="15" hidden="false" customHeight="false" outlineLevel="0" collapsed="false">
      <c r="A16" s="2" t="s">
        <v>35</v>
      </c>
      <c r="B16" s="2" t="s">
        <v>4</v>
      </c>
      <c r="C16" s="2" t="s">
        <v>36</v>
      </c>
    </row>
    <row r="17" customFormat="false" ht="15" hidden="false" customHeight="false" outlineLevel="0" collapsed="false">
      <c r="A17" s="2" t="s">
        <v>37</v>
      </c>
      <c r="B17" s="2" t="s">
        <v>4</v>
      </c>
      <c r="C17" s="2" t="s">
        <v>38</v>
      </c>
    </row>
    <row r="18" customFormat="false" ht="15" hidden="false" customHeight="false" outlineLevel="0" collapsed="false">
      <c r="A18" s="2" t="s">
        <v>39</v>
      </c>
      <c r="B18" s="2" t="s">
        <v>40</v>
      </c>
      <c r="C18" s="2" t="s">
        <v>41</v>
      </c>
    </row>
    <row r="19" customFormat="false" ht="15" hidden="false" customHeight="false" outlineLevel="0" collapsed="false">
      <c r="A19" s="2" t="s">
        <v>42</v>
      </c>
      <c r="B19" s="2" t="s">
        <v>4</v>
      </c>
      <c r="C19" s="2" t="s">
        <v>43</v>
      </c>
    </row>
    <row r="20" customFormat="false" ht="15" hidden="false" customHeight="false" outlineLevel="0" collapsed="false">
      <c r="A20" s="2" t="s">
        <v>44</v>
      </c>
      <c r="B20" s="2" t="s">
        <v>4</v>
      </c>
      <c r="C20" s="2" t="s">
        <v>45</v>
      </c>
    </row>
    <row r="21" customFormat="false" ht="15" hidden="false" customHeight="false" outlineLevel="0" collapsed="false">
      <c r="A21" s="2" t="s">
        <v>46</v>
      </c>
      <c r="B21" s="2" t="s">
        <v>25</v>
      </c>
      <c r="C21" s="2" t="s">
        <v>47</v>
      </c>
    </row>
    <row r="22" customFormat="false" ht="15" hidden="false" customHeight="false" outlineLevel="0" collapsed="false">
      <c r="A22" s="2" t="s">
        <v>48</v>
      </c>
      <c r="B22" s="2" t="s">
        <v>49</v>
      </c>
      <c r="C22" s="2" t="s">
        <v>50</v>
      </c>
    </row>
    <row r="23" customFormat="false" ht="15" hidden="false" customHeight="false" outlineLevel="0" collapsed="false">
      <c r="A23" s="2" t="s">
        <v>51</v>
      </c>
      <c r="B23" s="2" t="s">
        <v>25</v>
      </c>
      <c r="C23" s="2" t="s">
        <v>52</v>
      </c>
    </row>
    <row r="24" customFormat="false" ht="15" hidden="false" customHeight="false" outlineLevel="0" collapsed="false">
      <c r="A24" s="2" t="s">
        <v>53</v>
      </c>
      <c r="B24" s="2" t="s">
        <v>54</v>
      </c>
      <c r="C24" s="2" t="s">
        <v>55</v>
      </c>
    </row>
    <row r="26" customFormat="false" ht="15" hidden="false" customHeight="false" outlineLevel="0" collapsed="false">
      <c r="A26" s="2" t="s">
        <v>56</v>
      </c>
      <c r="B26" s="2" t="s">
        <v>57</v>
      </c>
      <c r="C26" s="2" t="s">
        <v>58</v>
      </c>
    </row>
    <row r="27" customFormat="false" ht="15" hidden="false" customHeight="false" outlineLevel="0" collapsed="false">
      <c r="A27" s="2" t="s">
        <v>4</v>
      </c>
      <c r="B27" s="2" t="s">
        <v>59</v>
      </c>
      <c r="C27" s="2" t="s">
        <v>60</v>
      </c>
    </row>
    <row r="28" customFormat="false" ht="15" hidden="false" customHeight="false" outlineLevel="0" collapsed="false">
      <c r="A28" s="2" t="s">
        <v>61</v>
      </c>
      <c r="B28" s="2" t="s">
        <v>62</v>
      </c>
      <c r="C28" s="2" t="s">
        <v>63</v>
      </c>
    </row>
    <row r="29" customFormat="false" ht="15" hidden="false" customHeight="false" outlineLevel="0" collapsed="false">
      <c r="A29" s="2" t="s">
        <v>64</v>
      </c>
      <c r="B29" s="2" t="s">
        <v>65</v>
      </c>
      <c r="C29" s="2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M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6"/>
    <col collapsed="false" customWidth="true" hidden="false" outlineLevel="0" max="3" min="3" style="0" width="22"/>
    <col collapsed="false" customWidth="true" hidden="false" outlineLevel="0" max="8" min="4" style="0" width="8"/>
    <col collapsed="false" customWidth="true" hidden="false" outlineLevel="0" max="9" min="9" style="0" width="11"/>
    <col collapsed="false" customWidth="true" hidden="false" outlineLevel="0" max="11" min="10" style="0" width="10"/>
    <col collapsed="false" customWidth="true" hidden="false" outlineLevel="0" max="13" min="12" style="0" width="12"/>
  </cols>
  <sheetData>
    <row r="1" customFormat="false" ht="31.5" hidden="false" customHeight="true" outlineLevel="0" collapsed="false">
      <c r="A1" s="1" t="s">
        <v>67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64</v>
      </c>
    </row>
    <row r="2" customFormat="false" ht="15" hidden="false" customHeight="false" outlineLevel="0" collapsed="false">
      <c r="A2" s="2" t="s">
        <v>79</v>
      </c>
      <c r="B2" s="2" t="s">
        <v>80</v>
      </c>
      <c r="C2" s="2" t="s">
        <v>81</v>
      </c>
      <c r="D2" s="3" t="n">
        <v>200</v>
      </c>
      <c r="E2" s="3" t="n">
        <v>120</v>
      </c>
      <c r="F2" s="3" t="n">
        <v>60</v>
      </c>
      <c r="H2" s="4" t="n">
        <v>10</v>
      </c>
      <c r="I2" s="5" t="n">
        <f aca="false">COUNTIF('03_DESPIECE'!$A$2:$A$225,B2)</f>
        <v>7</v>
      </c>
      <c r="J2" s="5" t="n">
        <f aca="false">COUNTIF('05_RUTAS'!$A$2:$A$407,B2)</f>
        <v>13</v>
      </c>
      <c r="K2" s="5" t="n">
        <f aca="false">IF(COUNTIF('12_PRECIOS'!$A$2:$A$5,A2)&gt;0,1,0)</f>
        <v>1</v>
      </c>
      <c r="L2" s="5" t="n">
        <f aca="false">IF(COUNTIFS($D$2:$D$51,D2,$E$2:$E$51,E2,$F$2:$F$51,F2)&gt;=5,1,0)</f>
        <v>0</v>
      </c>
      <c r="M2" s="2" t="s">
        <v>82</v>
      </c>
    </row>
    <row r="3" customFormat="false" ht="15" hidden="false" customHeight="false" outlineLevel="0" collapsed="false">
      <c r="A3" s="2" t="s">
        <v>79</v>
      </c>
      <c r="B3" s="2" t="s">
        <v>83</v>
      </c>
      <c r="C3" s="2" t="s">
        <v>84</v>
      </c>
      <c r="D3" s="3" t="n">
        <v>200</v>
      </c>
      <c r="E3" s="3" t="n">
        <v>120</v>
      </c>
      <c r="F3" s="3" t="n">
        <v>60</v>
      </c>
      <c r="H3" s="4" t="n">
        <v>10</v>
      </c>
      <c r="I3" s="5" t="n">
        <f aca="false">COUNTIF('03_DESPIECE'!$A$2:$A$225,B3)</f>
        <v>6</v>
      </c>
      <c r="J3" s="5" t="n">
        <f aca="false">COUNTIF('05_RUTAS'!$A$2:$A$407,B3)</f>
        <v>13</v>
      </c>
      <c r="K3" s="5" t="n">
        <f aca="false">IF(COUNTIF('12_PRECIOS'!$A$2:$A$5,A3)&gt;0,1,0)</f>
        <v>1</v>
      </c>
      <c r="L3" s="5" t="n">
        <f aca="false">IF(COUNTIFS($D$2:$D$51,D3,$E$2:$E$51,E3,$F$2:$F$51,F3)&gt;=5,1,0)</f>
        <v>0</v>
      </c>
      <c r="M3" s="2" t="s">
        <v>82</v>
      </c>
    </row>
    <row r="4" customFormat="false" ht="15" hidden="false" customHeight="false" outlineLevel="0" collapsed="false">
      <c r="A4" s="2" t="s">
        <v>79</v>
      </c>
      <c r="B4" s="2" t="s">
        <v>85</v>
      </c>
      <c r="C4" s="2" t="s">
        <v>86</v>
      </c>
      <c r="D4" s="3" t="n">
        <v>400</v>
      </c>
      <c r="E4" s="3" t="n">
        <v>270</v>
      </c>
      <c r="F4" s="3" t="n">
        <v>110</v>
      </c>
      <c r="H4" s="4" t="n">
        <v>10</v>
      </c>
      <c r="I4" s="5" t="n">
        <f aca="false">COUNTIF('03_DESPIECE'!$A$2:$A$225,B4)</f>
        <v>4</v>
      </c>
      <c r="J4" s="5" t="n">
        <f aca="false">COUNTIF('05_RUTAS'!$A$2:$A$407,B4)</f>
        <v>8</v>
      </c>
      <c r="K4" s="5" t="n">
        <f aca="false">IF(COUNTIF('12_PRECIOS'!$A$2:$A$5,A4)&gt;0,1,0)</f>
        <v>1</v>
      </c>
      <c r="L4" s="5" t="n">
        <f aca="false">IF(COUNTIFS($D$2:$D$51,D4,$E$2:$E$51,E4,$F$2:$F$51,F4)&gt;=5,1,0)</f>
        <v>0</v>
      </c>
      <c r="M4" s="2" t="s">
        <v>82</v>
      </c>
    </row>
    <row r="5" customFormat="false" ht="15" hidden="false" customHeight="false" outlineLevel="0" collapsed="false">
      <c r="A5" s="2" t="s">
        <v>79</v>
      </c>
      <c r="B5" s="2" t="s">
        <v>87</v>
      </c>
      <c r="C5" s="2" t="s">
        <v>88</v>
      </c>
      <c r="D5" s="3" t="n">
        <v>300</v>
      </c>
      <c r="E5" s="3" t="n">
        <v>150</v>
      </c>
      <c r="F5" s="3" t="n">
        <v>100</v>
      </c>
      <c r="H5" s="4" t="n">
        <v>10</v>
      </c>
      <c r="I5" s="5" t="n">
        <f aca="false">COUNTIF('03_DESPIECE'!$A$2:$A$225,B5)</f>
        <v>4</v>
      </c>
      <c r="J5" s="5" t="n">
        <f aca="false">COUNTIF('05_RUTAS'!$A$2:$A$407,B5)</f>
        <v>8</v>
      </c>
      <c r="K5" s="5" t="n">
        <f aca="false">IF(COUNTIF('12_PRECIOS'!$A$2:$A$5,A5)&gt;0,1,0)</f>
        <v>1</v>
      </c>
      <c r="L5" s="5" t="n">
        <f aca="false">IF(COUNTIFS($D$2:$D$51,D5,$E$2:$E$51,E5,$F$2:$F$51,F5)&gt;=5,1,0)</f>
        <v>0</v>
      </c>
      <c r="M5" s="2" t="s">
        <v>82</v>
      </c>
    </row>
    <row r="6" customFormat="false" ht="15" hidden="false" customHeight="false" outlineLevel="0" collapsed="false">
      <c r="A6" s="2" t="s">
        <v>79</v>
      </c>
      <c r="B6" s="2" t="s">
        <v>89</v>
      </c>
      <c r="C6" s="2" t="s">
        <v>90</v>
      </c>
      <c r="D6" s="3" t="n">
        <v>200</v>
      </c>
      <c r="E6" s="3" t="n">
        <v>120</v>
      </c>
      <c r="F6" s="3" t="n">
        <v>60</v>
      </c>
      <c r="H6" s="4" t="n">
        <v>10</v>
      </c>
      <c r="I6" s="5" t="n">
        <f aca="false">COUNTIF('03_DESPIECE'!$A$2:$A$225,B6)</f>
        <v>4</v>
      </c>
      <c r="J6" s="5" t="n">
        <f aca="false">COUNTIF('05_RUTAS'!$A$2:$A$407,B6)</f>
        <v>10</v>
      </c>
      <c r="K6" s="5" t="n">
        <f aca="false">IF(COUNTIF('12_PRECIOS'!$A$2:$A$5,A6)&gt;0,1,0)</f>
        <v>1</v>
      </c>
      <c r="L6" s="5" t="n">
        <f aca="false">IF(COUNTIFS($D$2:$D$51,D6,$E$2:$E$51,E6,$F$2:$F$51,F6)&gt;=5,1,0)</f>
        <v>0</v>
      </c>
      <c r="M6" s="2" t="s">
        <v>82</v>
      </c>
    </row>
    <row r="7" customFormat="false" ht="15" hidden="false" customHeight="false" outlineLevel="0" collapsed="false">
      <c r="A7" s="2" t="s">
        <v>79</v>
      </c>
      <c r="B7" s="2" t="s">
        <v>91</v>
      </c>
      <c r="C7" s="2" t="s">
        <v>92</v>
      </c>
      <c r="D7" s="3" t="n">
        <v>200</v>
      </c>
      <c r="E7" s="3" t="n">
        <v>120</v>
      </c>
      <c r="F7" s="3" t="n">
        <v>60</v>
      </c>
      <c r="H7" s="4" t="n">
        <v>10</v>
      </c>
      <c r="I7" s="5" t="n">
        <f aca="false">COUNTIF('03_DESPIECE'!$A$2:$A$225,B7)</f>
        <v>4</v>
      </c>
      <c r="J7" s="5" t="n">
        <f aca="false">COUNTIF('05_RUTAS'!$A$2:$A$407,B7)</f>
        <v>8</v>
      </c>
      <c r="K7" s="5" t="n">
        <f aca="false">IF(COUNTIF('12_PRECIOS'!$A$2:$A$5,A7)&gt;0,1,0)</f>
        <v>1</v>
      </c>
      <c r="L7" s="5" t="n">
        <f aca="false">IF(COUNTIFS($D$2:$D$51,D7,$E$2:$E$51,E7,$F$2:$F$51,F7)&gt;=5,1,0)</f>
        <v>0</v>
      </c>
      <c r="M7" s="2" t="s">
        <v>82</v>
      </c>
    </row>
    <row r="8" customFormat="false" ht="15" hidden="false" customHeight="false" outlineLevel="0" collapsed="false">
      <c r="A8" s="2" t="s">
        <v>93</v>
      </c>
      <c r="B8" s="2" t="s">
        <v>94</v>
      </c>
      <c r="C8" s="2" t="s">
        <v>95</v>
      </c>
      <c r="D8" s="3" t="n">
        <v>160</v>
      </c>
      <c r="E8" s="3" t="n">
        <v>100</v>
      </c>
      <c r="F8" s="3" t="n">
        <v>90</v>
      </c>
      <c r="H8" s="4" t="n">
        <v>10</v>
      </c>
      <c r="I8" s="5" t="n">
        <f aca="false">COUNTIF('03_DESPIECE'!$A$2:$A$225,B8)</f>
        <v>7</v>
      </c>
      <c r="J8" s="5" t="n">
        <f aca="false">COUNTIF('05_RUTAS'!$A$2:$A$407,B8)</f>
        <v>12</v>
      </c>
      <c r="K8" s="5" t="n">
        <f aca="false">IF(COUNTIF('12_PRECIOS'!$A$2:$A$5,A8)&gt;0,1,0)</f>
        <v>1</v>
      </c>
      <c r="L8" s="5" t="n">
        <f aca="false">IF(COUNTIFS($D$2:$D$51,D8,$E$2:$E$51,E8,$F$2:$F$51,F8)&gt;=5,1,0)</f>
        <v>0</v>
      </c>
      <c r="M8" s="2" t="s">
        <v>82</v>
      </c>
    </row>
    <row r="9" customFormat="false" ht="15" hidden="false" customHeight="false" outlineLevel="0" collapsed="false">
      <c r="A9" s="2" t="s">
        <v>93</v>
      </c>
      <c r="B9" s="2" t="s">
        <v>96</v>
      </c>
      <c r="C9" s="2" t="s">
        <v>96</v>
      </c>
      <c r="D9" s="3" t="n">
        <v>200</v>
      </c>
      <c r="E9" s="3" t="n">
        <v>100</v>
      </c>
      <c r="F9" s="3" t="n">
        <v>45</v>
      </c>
      <c r="H9" s="4" t="n">
        <v>10</v>
      </c>
      <c r="I9" s="5" t="n">
        <f aca="false">COUNTIF('03_DESPIECE'!$A$2:$A$225,B9)</f>
        <v>6</v>
      </c>
      <c r="J9" s="5" t="n">
        <f aca="false">COUNTIF('05_RUTAS'!$A$2:$A$407,B9)</f>
        <v>13</v>
      </c>
      <c r="K9" s="5" t="n">
        <f aca="false">IF(COUNTIF('12_PRECIOS'!$A$2:$A$5,A9)&gt;0,1,0)</f>
        <v>1</v>
      </c>
      <c r="L9" s="5" t="n">
        <f aca="false">IF(COUNTIFS($D$2:$D$51,D9,$E$2:$E$51,E9,$F$2:$F$51,F9)&gt;=5,1,0)</f>
        <v>0</v>
      </c>
      <c r="M9" s="2" t="s">
        <v>82</v>
      </c>
    </row>
    <row r="10" customFormat="false" ht="15" hidden="false" customHeight="false" outlineLevel="0" collapsed="false">
      <c r="A10" s="2" t="s">
        <v>93</v>
      </c>
      <c r="B10" s="2" t="s">
        <v>97</v>
      </c>
      <c r="C10" s="2" t="s">
        <v>98</v>
      </c>
      <c r="D10" s="3" t="n">
        <v>160</v>
      </c>
      <c r="E10" s="3" t="n">
        <v>100</v>
      </c>
      <c r="F10" s="3" t="n">
        <v>90</v>
      </c>
      <c r="H10" s="4" t="n">
        <v>10</v>
      </c>
      <c r="I10" s="5" t="n">
        <f aca="false">COUNTIF('03_DESPIECE'!$A$2:$A$225,B10)</f>
        <v>5</v>
      </c>
      <c r="J10" s="5" t="n">
        <f aca="false">COUNTIF('05_RUTAS'!$A$2:$A$407,B10)</f>
        <v>10</v>
      </c>
      <c r="K10" s="5" t="n">
        <f aca="false">IF(COUNTIF('12_PRECIOS'!$A$2:$A$5,A10)&gt;0,1,0)</f>
        <v>1</v>
      </c>
      <c r="L10" s="5" t="n">
        <f aca="false">IF(COUNTIFS($D$2:$D$51,D10,$E$2:$E$51,E10,$F$2:$F$51,F10)&gt;=5,1,0)</f>
        <v>0</v>
      </c>
      <c r="M10" s="2" t="s">
        <v>82</v>
      </c>
    </row>
    <row r="11" customFormat="false" ht="15" hidden="false" customHeight="false" outlineLevel="0" collapsed="false">
      <c r="A11" s="2" t="s">
        <v>93</v>
      </c>
      <c r="B11" s="2" t="s">
        <v>99</v>
      </c>
      <c r="C11" s="2" t="s">
        <v>100</v>
      </c>
      <c r="D11" s="3" t="n">
        <v>200</v>
      </c>
      <c r="E11" s="3" t="n">
        <v>100</v>
      </c>
      <c r="F11" s="3" t="n">
        <v>45</v>
      </c>
      <c r="H11" s="4" t="n">
        <v>10</v>
      </c>
      <c r="I11" s="5" t="n">
        <f aca="false">COUNTIF('03_DESPIECE'!$A$2:$A$225,B11)</f>
        <v>5</v>
      </c>
      <c r="J11" s="5" t="n">
        <f aca="false">COUNTIF('05_RUTAS'!$A$2:$A$407,B11)</f>
        <v>10</v>
      </c>
      <c r="K11" s="5" t="n">
        <f aca="false">IF(COUNTIF('12_PRECIOS'!$A$2:$A$5,A11)&gt;0,1,0)</f>
        <v>1</v>
      </c>
      <c r="L11" s="5" t="n">
        <f aca="false">IF(COUNTIFS($D$2:$D$51,D11,$E$2:$E$51,E11,$F$2:$F$51,F11)&gt;=5,1,0)</f>
        <v>0</v>
      </c>
      <c r="M11" s="2" t="s">
        <v>82</v>
      </c>
    </row>
    <row r="12" customFormat="false" ht="15" hidden="false" customHeight="false" outlineLevel="0" collapsed="false">
      <c r="A12" s="2" t="s">
        <v>93</v>
      </c>
      <c r="B12" s="2" t="s">
        <v>101</v>
      </c>
      <c r="C12" s="2" t="s">
        <v>102</v>
      </c>
      <c r="D12" s="3" t="n">
        <v>150</v>
      </c>
      <c r="E12" s="3" t="n">
        <v>90</v>
      </c>
      <c r="F12" s="3" t="n">
        <v>45</v>
      </c>
      <c r="H12" s="4" t="n">
        <v>10</v>
      </c>
      <c r="I12" s="5" t="n">
        <f aca="false">COUNTIF('03_DESPIECE'!$A$2:$A$225,B12)</f>
        <v>5</v>
      </c>
      <c r="J12" s="5" t="n">
        <f aca="false">COUNTIF('05_RUTAS'!$A$2:$A$407,B12)</f>
        <v>10</v>
      </c>
      <c r="K12" s="5" t="n">
        <f aca="false">IF(COUNTIF('12_PRECIOS'!$A$2:$A$5,A12)&gt;0,1,0)</f>
        <v>1</v>
      </c>
      <c r="L12" s="5" t="n">
        <f aca="false">IF(COUNTIFS($D$2:$D$51,D12,$E$2:$E$51,E12,$F$2:$F$51,F12)&gt;=5,1,0)</f>
        <v>0</v>
      </c>
      <c r="M12" s="2" t="s">
        <v>82</v>
      </c>
    </row>
    <row r="13" customFormat="false" ht="15" hidden="false" customHeight="false" outlineLevel="0" collapsed="false">
      <c r="A13" s="2" t="s">
        <v>93</v>
      </c>
      <c r="B13" s="2" t="s">
        <v>103</v>
      </c>
      <c r="C13" s="2" t="s">
        <v>104</v>
      </c>
      <c r="D13" s="3" t="n">
        <v>160</v>
      </c>
      <c r="E13" s="3" t="n">
        <v>100</v>
      </c>
      <c r="F13" s="3" t="n">
        <v>90</v>
      </c>
      <c r="H13" s="4" t="n">
        <v>10</v>
      </c>
      <c r="I13" s="5" t="n">
        <f aca="false">COUNTIF('03_DESPIECE'!$A$2:$A$225,B13)</f>
        <v>5</v>
      </c>
      <c r="J13" s="5" t="n">
        <f aca="false">COUNTIF('05_RUTAS'!$A$2:$A$407,B13)</f>
        <v>10</v>
      </c>
      <c r="K13" s="5" t="n">
        <f aca="false">IF(COUNTIF('12_PRECIOS'!$A$2:$A$5,A13)&gt;0,1,0)</f>
        <v>1</v>
      </c>
      <c r="L13" s="5" t="n">
        <f aca="false">IF(COUNTIFS($D$2:$D$51,D13,$E$2:$E$51,E13,$F$2:$F$51,F13)&gt;=5,1,0)</f>
        <v>0</v>
      </c>
      <c r="M13" s="2" t="s">
        <v>82</v>
      </c>
    </row>
    <row r="14" customFormat="false" ht="15" hidden="false" customHeight="false" outlineLevel="0" collapsed="false">
      <c r="A14" s="2" t="s">
        <v>105</v>
      </c>
      <c r="B14" s="2" t="s">
        <v>106</v>
      </c>
      <c r="C14" s="2" t="s">
        <v>107</v>
      </c>
      <c r="D14" s="3" t="n">
        <v>180</v>
      </c>
      <c r="E14" s="3" t="n">
        <v>80</v>
      </c>
      <c r="F14" s="3" t="n">
        <v>45</v>
      </c>
      <c r="G14" s="4" t="n">
        <v>4</v>
      </c>
      <c r="H14" s="4" t="n">
        <v>10</v>
      </c>
      <c r="I14" s="5" t="n">
        <f aca="false">COUNTIF('03_DESPIECE'!$A$2:$A$225,B14)</f>
        <v>7</v>
      </c>
      <c r="J14" s="5" t="n">
        <f aca="false">COUNTIF('05_RUTAS'!$A$2:$A$407,B14)</f>
        <v>11</v>
      </c>
      <c r="K14" s="5" t="n">
        <f aca="false">IF(COUNTIF('12_PRECIOS'!$A$2:$A$5,A14)&gt;0,1,0)</f>
        <v>1</v>
      </c>
      <c r="L14" s="5" t="n">
        <f aca="false">IF(COUNTIFS($D$2:$D$51,D14,$E$2:$E$51,E14,$F$2:$F$51,F14)&gt;=5,1,0)</f>
        <v>0</v>
      </c>
      <c r="M14" s="2" t="s">
        <v>82</v>
      </c>
    </row>
    <row r="15" customFormat="false" ht="15" hidden="false" customHeight="false" outlineLevel="0" collapsed="false">
      <c r="A15" s="2" t="s">
        <v>105</v>
      </c>
      <c r="B15" s="2" t="s">
        <v>108</v>
      </c>
      <c r="C15" s="2" t="s">
        <v>109</v>
      </c>
      <c r="D15" s="3" t="n">
        <v>180</v>
      </c>
      <c r="E15" s="3" t="n">
        <v>80</v>
      </c>
      <c r="F15" s="3" t="n">
        <v>45</v>
      </c>
      <c r="G15" s="4" t="n">
        <v>6</v>
      </c>
      <c r="H15" s="4" t="n">
        <v>10</v>
      </c>
      <c r="I15" s="5" t="n">
        <f aca="false">COUNTIF('03_DESPIECE'!$A$2:$A$225,B15)</f>
        <v>8</v>
      </c>
      <c r="J15" s="5" t="n">
        <f aca="false">COUNTIF('05_RUTAS'!$A$2:$A$407,B15)</f>
        <v>11</v>
      </c>
      <c r="K15" s="5" t="n">
        <f aca="false">IF(COUNTIF('12_PRECIOS'!$A$2:$A$5,A15)&gt;0,1,0)</f>
        <v>1</v>
      </c>
      <c r="L15" s="5" t="n">
        <f aca="false">IF(COUNTIFS($D$2:$D$51,D15,$E$2:$E$51,E15,$F$2:$F$51,F15)&gt;=5,1,0)</f>
        <v>0</v>
      </c>
      <c r="M15" s="2" t="s">
        <v>82</v>
      </c>
    </row>
    <row r="16" customFormat="false" ht="15" hidden="false" customHeight="false" outlineLevel="0" collapsed="false">
      <c r="A16" s="2" t="s">
        <v>105</v>
      </c>
      <c r="B16" s="2" t="s">
        <v>110</v>
      </c>
      <c r="C16" s="2" t="s">
        <v>111</v>
      </c>
      <c r="D16" s="3" t="n">
        <v>180</v>
      </c>
      <c r="E16" s="3" t="n">
        <v>40</v>
      </c>
      <c r="F16" s="3" t="n">
        <v>45</v>
      </c>
      <c r="G16" s="4" t="n">
        <v>1</v>
      </c>
      <c r="H16" s="4" t="n">
        <v>10</v>
      </c>
      <c r="I16" s="5" t="n">
        <f aca="false">COUNTIF('03_DESPIECE'!$A$2:$A$225,B16)</f>
        <v>5</v>
      </c>
      <c r="J16" s="5" t="n">
        <f aca="false">COUNTIF('05_RUTAS'!$A$2:$A$407,B16)</f>
        <v>8</v>
      </c>
      <c r="K16" s="5" t="n">
        <f aca="false">IF(COUNTIF('12_PRECIOS'!$A$2:$A$5,A16)&gt;0,1,0)</f>
        <v>1</v>
      </c>
      <c r="L16" s="5" t="n">
        <f aca="false">IF(COUNTIFS($D$2:$D$51,D16,$E$2:$E$51,E16,$F$2:$F$51,F16)&gt;=5,1,0)</f>
        <v>0</v>
      </c>
      <c r="M16" s="2" t="s">
        <v>82</v>
      </c>
    </row>
    <row r="17" customFormat="false" ht="15" hidden="false" customHeight="false" outlineLevel="0" collapsed="false">
      <c r="A17" s="2" t="s">
        <v>105</v>
      </c>
      <c r="B17" s="2" t="s">
        <v>112</v>
      </c>
      <c r="C17" s="2" t="s">
        <v>113</v>
      </c>
      <c r="D17" s="3" t="n">
        <v>180</v>
      </c>
      <c r="E17" s="3" t="n">
        <v>40</v>
      </c>
      <c r="F17" s="3" t="n">
        <v>45</v>
      </c>
      <c r="G17" s="4" t="n">
        <v>2</v>
      </c>
      <c r="H17" s="4" t="n">
        <v>10</v>
      </c>
      <c r="I17" s="5" t="n">
        <f aca="false">COUNTIF('03_DESPIECE'!$A$2:$A$225,B17)</f>
        <v>5</v>
      </c>
      <c r="J17" s="5" t="n">
        <f aca="false">COUNTIF('05_RUTAS'!$A$2:$A$407,B17)</f>
        <v>8</v>
      </c>
      <c r="K17" s="5" t="n">
        <f aca="false">IF(COUNTIF('12_PRECIOS'!$A$2:$A$5,A17)&gt;0,1,0)</f>
        <v>1</v>
      </c>
      <c r="L17" s="5" t="n">
        <f aca="false">IF(COUNTIFS($D$2:$D$51,D17,$E$2:$E$51,E17,$F$2:$F$51,F17)&gt;=5,1,0)</f>
        <v>0</v>
      </c>
      <c r="M17" s="2" t="s">
        <v>82</v>
      </c>
    </row>
    <row r="18" customFormat="false" ht="15" hidden="false" customHeight="false" outlineLevel="0" collapsed="false">
      <c r="A18" s="2" t="s">
        <v>105</v>
      </c>
      <c r="B18" s="2" t="s">
        <v>114</v>
      </c>
      <c r="C18" s="2" t="s">
        <v>115</v>
      </c>
      <c r="D18" s="3" t="n">
        <v>180</v>
      </c>
      <c r="E18" s="3" t="n">
        <v>40</v>
      </c>
      <c r="F18" s="3" t="n">
        <v>45</v>
      </c>
      <c r="G18" s="4" t="n">
        <v>3</v>
      </c>
      <c r="H18" s="4" t="n">
        <v>10</v>
      </c>
      <c r="I18" s="5" t="n">
        <f aca="false">COUNTIF('03_DESPIECE'!$A$2:$A$225,B18)</f>
        <v>5</v>
      </c>
      <c r="J18" s="5" t="n">
        <f aca="false">COUNTIF('05_RUTAS'!$A$2:$A$407,B18)</f>
        <v>8</v>
      </c>
      <c r="K18" s="5" t="n">
        <f aca="false">IF(COUNTIF('12_PRECIOS'!$A$2:$A$5,A18)&gt;0,1,0)</f>
        <v>1</v>
      </c>
      <c r="L18" s="5" t="n">
        <f aca="false">IF(COUNTIFS($D$2:$D$51,D18,$E$2:$E$51,E18,$F$2:$F$51,F18)&gt;=5,1,0)</f>
        <v>0</v>
      </c>
      <c r="M18" s="2" t="s">
        <v>82</v>
      </c>
    </row>
    <row r="19" customFormat="false" ht="15" hidden="false" customHeight="false" outlineLevel="0" collapsed="false">
      <c r="A19" s="2" t="s">
        <v>105</v>
      </c>
      <c r="B19" s="2" t="s">
        <v>116</v>
      </c>
      <c r="C19" s="2" t="s">
        <v>117</v>
      </c>
      <c r="D19" s="3" t="n">
        <v>180</v>
      </c>
      <c r="E19" s="3" t="n">
        <v>40</v>
      </c>
      <c r="F19" s="3" t="n">
        <v>45</v>
      </c>
      <c r="G19" s="4" t="n">
        <v>4</v>
      </c>
      <c r="H19" s="4" t="n">
        <v>10</v>
      </c>
      <c r="I19" s="5" t="n">
        <f aca="false">COUNTIF('03_DESPIECE'!$A$2:$A$225,B19)</f>
        <v>5</v>
      </c>
      <c r="J19" s="5" t="n">
        <f aca="false">COUNTIF('05_RUTAS'!$A$2:$A$407,B19)</f>
        <v>8</v>
      </c>
      <c r="K19" s="5" t="n">
        <f aca="false">IF(COUNTIF('12_PRECIOS'!$A$2:$A$5,A19)&gt;0,1,0)</f>
        <v>1</v>
      </c>
      <c r="L19" s="5" t="n">
        <f aca="false">IF(COUNTIFS($D$2:$D$51,D19,$E$2:$E$51,E19,$F$2:$F$51,F19)&gt;=5,1,0)</f>
        <v>0</v>
      </c>
      <c r="M19" s="2" t="s">
        <v>82</v>
      </c>
    </row>
    <row r="20" customFormat="false" ht="15" hidden="false" customHeight="false" outlineLevel="0" collapsed="false">
      <c r="A20" s="2" t="s">
        <v>118</v>
      </c>
      <c r="B20" s="2" t="s">
        <v>119</v>
      </c>
      <c r="C20" s="2" t="s">
        <v>120</v>
      </c>
      <c r="D20" s="3" t="n">
        <v>85</v>
      </c>
      <c r="E20" s="3" t="n">
        <v>120</v>
      </c>
      <c r="F20" s="3" t="n">
        <v>60</v>
      </c>
      <c r="H20" s="4" t="n">
        <v>10</v>
      </c>
      <c r="I20" s="5" t="n">
        <f aca="false">COUNTIF('03_DESPIECE'!$A$2:$A$225,B20)</f>
        <v>7</v>
      </c>
      <c r="J20" s="5" t="n">
        <f aca="false">COUNTIF('05_RUTAS'!$A$2:$A$407,B20)</f>
        <v>11</v>
      </c>
      <c r="K20" s="5" t="n">
        <f aca="false">IF(COUNTIF('12_PRECIOS'!$A$2:$A$5,A20)&gt;0,1,0)</f>
        <v>1</v>
      </c>
      <c r="L20" s="5" t="n">
        <f aca="false">IF(COUNTIFS($D$2:$D$51,D20,$E$2:$E$51,E20,$F$2:$F$51,F20)&gt;=5,1,0)</f>
        <v>1</v>
      </c>
      <c r="M20" s="2" t="s">
        <v>82</v>
      </c>
    </row>
    <row r="21" customFormat="false" ht="15" hidden="false" customHeight="false" outlineLevel="0" collapsed="false">
      <c r="A21" s="2" t="s">
        <v>118</v>
      </c>
      <c r="B21" s="2" t="s">
        <v>121</v>
      </c>
      <c r="C21" s="2" t="s">
        <v>81</v>
      </c>
      <c r="D21" s="3" t="n">
        <v>85</v>
      </c>
      <c r="E21" s="3" t="n">
        <v>120</v>
      </c>
      <c r="F21" s="3" t="n">
        <v>60</v>
      </c>
      <c r="H21" s="4" t="n">
        <v>10</v>
      </c>
      <c r="I21" s="5" t="n">
        <f aca="false">COUNTIF('03_DESPIECE'!$A$2:$A$225,B21)</f>
        <v>5</v>
      </c>
      <c r="J21" s="5" t="n">
        <f aca="false">COUNTIF('05_RUTAS'!$A$2:$A$407,B21)</f>
        <v>12</v>
      </c>
      <c r="K21" s="5" t="n">
        <f aca="false">IF(COUNTIF('12_PRECIOS'!$A$2:$A$5,A21)&gt;0,1,0)</f>
        <v>1</v>
      </c>
      <c r="L21" s="5" t="n">
        <f aca="false">IF(COUNTIFS($D$2:$D$51,D21,$E$2:$E$51,E21,$F$2:$F$51,F21)&gt;=5,1,0)</f>
        <v>1</v>
      </c>
      <c r="M21" s="2" t="s">
        <v>82</v>
      </c>
    </row>
    <row r="22" customFormat="false" ht="15" hidden="false" customHeight="false" outlineLevel="0" collapsed="false">
      <c r="A22" s="2" t="s">
        <v>118</v>
      </c>
      <c r="B22" s="2" t="s">
        <v>122</v>
      </c>
      <c r="C22" s="2" t="s">
        <v>123</v>
      </c>
      <c r="D22" s="3" t="n">
        <v>85</v>
      </c>
      <c r="E22" s="3" t="n">
        <v>45</v>
      </c>
      <c r="F22" s="3" t="n">
        <v>50</v>
      </c>
      <c r="H22" s="4" t="n">
        <v>10</v>
      </c>
      <c r="I22" s="5" t="n">
        <f aca="false">COUNTIF('03_DESPIECE'!$A$2:$A$225,B22)</f>
        <v>3</v>
      </c>
      <c r="J22" s="5" t="n">
        <f aca="false">COUNTIF('05_RUTAS'!$A$2:$A$407,B22)</f>
        <v>8</v>
      </c>
      <c r="K22" s="5" t="n">
        <f aca="false">IF(COUNTIF('12_PRECIOS'!$A$2:$A$5,A22)&gt;0,1,0)</f>
        <v>1</v>
      </c>
      <c r="L22" s="5" t="n">
        <f aca="false">IF(COUNTIFS($D$2:$D$51,D22,$E$2:$E$51,E22,$F$2:$F$51,F22)&gt;=5,1,0)</f>
        <v>1</v>
      </c>
      <c r="M22" s="2" t="s">
        <v>82</v>
      </c>
    </row>
    <row r="23" customFormat="false" ht="15" hidden="false" customHeight="false" outlineLevel="0" collapsed="false">
      <c r="A23" s="2" t="s">
        <v>118</v>
      </c>
      <c r="B23" s="2" t="s">
        <v>124</v>
      </c>
      <c r="C23" s="2" t="s">
        <v>123</v>
      </c>
      <c r="D23" s="3" t="n">
        <v>85</v>
      </c>
      <c r="E23" s="3" t="n">
        <v>45</v>
      </c>
      <c r="F23" s="3" t="n">
        <v>50</v>
      </c>
      <c r="H23" s="4" t="n">
        <v>10</v>
      </c>
      <c r="I23" s="5" t="n">
        <f aca="false">COUNTIF('03_DESPIECE'!$A$2:$A$225,B23)</f>
        <v>3</v>
      </c>
      <c r="J23" s="5" t="n">
        <f aca="false">COUNTIF('05_RUTAS'!$A$2:$A$407,B23)</f>
        <v>2</v>
      </c>
      <c r="K23" s="5" t="n">
        <f aca="false">IF(COUNTIF('12_PRECIOS'!$A$2:$A$5,A23)&gt;0,1,0)</f>
        <v>1</v>
      </c>
      <c r="L23" s="5" t="n">
        <f aca="false">IF(COUNTIFS($D$2:$D$51,D23,$E$2:$E$51,E23,$F$2:$F$51,F23)&gt;=5,1,0)</f>
        <v>1</v>
      </c>
      <c r="M23" s="2" t="s">
        <v>82</v>
      </c>
    </row>
    <row r="24" customFormat="false" ht="15" hidden="false" customHeight="false" outlineLevel="0" collapsed="false">
      <c r="A24" s="2" t="s">
        <v>118</v>
      </c>
      <c r="B24" s="2" t="s">
        <v>125</v>
      </c>
      <c r="C24" s="2" t="s">
        <v>126</v>
      </c>
      <c r="D24" s="3" t="n">
        <v>85</v>
      </c>
      <c r="E24" s="3" t="n">
        <v>120</v>
      </c>
      <c r="F24" s="3" t="n">
        <v>60</v>
      </c>
      <c r="H24" s="4" t="n">
        <v>10</v>
      </c>
      <c r="I24" s="5" t="n">
        <f aca="false">COUNTIF('03_DESPIECE'!$A$2:$A$225,B24)</f>
        <v>4</v>
      </c>
      <c r="J24" s="5" t="n">
        <f aca="false">COUNTIF('05_RUTAS'!$A$2:$A$407,B24)</f>
        <v>8</v>
      </c>
      <c r="K24" s="5" t="n">
        <f aca="false">IF(COUNTIF('12_PRECIOS'!$A$2:$A$5,A24)&gt;0,1,0)</f>
        <v>1</v>
      </c>
      <c r="L24" s="5" t="n">
        <f aca="false">IF(COUNTIFS($D$2:$D$51,D24,$E$2:$E$51,E24,$F$2:$F$51,F24)&gt;=5,1,0)</f>
        <v>1</v>
      </c>
      <c r="M24" s="2" t="s">
        <v>82</v>
      </c>
    </row>
    <row r="25" customFormat="false" ht="15" hidden="false" customHeight="false" outlineLevel="0" collapsed="false">
      <c r="A25" s="2" t="s">
        <v>118</v>
      </c>
      <c r="B25" s="2" t="s">
        <v>127</v>
      </c>
      <c r="C25" s="2" t="s">
        <v>126</v>
      </c>
      <c r="D25" s="3" t="n">
        <v>85</v>
      </c>
      <c r="E25" s="3" t="n">
        <v>120</v>
      </c>
      <c r="F25" s="3" t="n">
        <v>60</v>
      </c>
      <c r="H25" s="4" t="n">
        <v>10</v>
      </c>
      <c r="I25" s="5" t="n">
        <f aca="false">COUNTIF('03_DESPIECE'!$A$2:$A$225,B25)</f>
        <v>4</v>
      </c>
      <c r="J25" s="5" t="n">
        <f aca="false">COUNTIF('05_RUTAS'!$A$2:$A$407,B25)</f>
        <v>8</v>
      </c>
      <c r="K25" s="5" t="n">
        <f aca="false">IF(COUNTIF('12_PRECIOS'!$A$2:$A$5,A25)&gt;0,1,0)</f>
        <v>1</v>
      </c>
      <c r="L25" s="5" t="n">
        <f aca="false">IF(COUNTIFS($D$2:$D$51,D25,$E$2:$E$51,E25,$F$2:$F$51,F25)&gt;=5,1,0)</f>
        <v>1</v>
      </c>
      <c r="M25" s="2" t="s">
        <v>82</v>
      </c>
    </row>
    <row r="26" customFormat="false" ht="15" hidden="false" customHeight="false" outlineLevel="0" collapsed="false">
      <c r="A26" s="2" t="s">
        <v>118</v>
      </c>
      <c r="B26" s="2" t="s">
        <v>128</v>
      </c>
      <c r="C26" s="2" t="s">
        <v>126</v>
      </c>
      <c r="D26" s="3" t="n">
        <v>85</v>
      </c>
      <c r="E26" s="3" t="n">
        <v>120</v>
      </c>
      <c r="F26" s="3" t="n">
        <v>60</v>
      </c>
      <c r="H26" s="4" t="n">
        <v>10</v>
      </c>
      <c r="I26" s="5" t="n">
        <f aca="false">COUNTIF('03_DESPIECE'!$A$2:$A$225,B26)</f>
        <v>4</v>
      </c>
      <c r="J26" s="5" t="n">
        <f aca="false">COUNTIF('05_RUTAS'!$A$2:$A$407,B26)</f>
        <v>8</v>
      </c>
      <c r="K26" s="5" t="n">
        <f aca="false">IF(COUNTIF('12_PRECIOS'!$A$2:$A$5,A26)&gt;0,1,0)</f>
        <v>1</v>
      </c>
      <c r="L26" s="5" t="n">
        <f aca="false">IF(COUNTIFS($D$2:$D$51,D26,$E$2:$E$51,E26,$F$2:$F$51,F26)&gt;=5,1,0)</f>
        <v>1</v>
      </c>
      <c r="M26" s="2" t="s">
        <v>82</v>
      </c>
    </row>
    <row r="27" customFormat="false" ht="15" hidden="false" customHeight="false" outlineLevel="0" collapsed="false">
      <c r="A27" s="2" t="s">
        <v>118</v>
      </c>
      <c r="B27" s="2" t="s">
        <v>129</v>
      </c>
      <c r="C27" s="2" t="s">
        <v>130</v>
      </c>
      <c r="D27" s="3" t="n">
        <v>85</v>
      </c>
      <c r="E27" s="3" t="n">
        <v>120</v>
      </c>
      <c r="F27" s="3" t="n">
        <v>60</v>
      </c>
      <c r="H27" s="4" t="n">
        <v>10</v>
      </c>
      <c r="I27" s="5" t="n">
        <f aca="false">COUNTIF('03_DESPIECE'!$A$2:$A$225,B27)</f>
        <v>4</v>
      </c>
      <c r="J27" s="5" t="n">
        <f aca="false">COUNTIF('05_RUTAS'!$A$2:$A$407,B27)</f>
        <v>8</v>
      </c>
      <c r="K27" s="5" t="n">
        <f aca="false">IF(COUNTIF('12_PRECIOS'!$A$2:$A$5,A27)&gt;0,1,0)</f>
        <v>1</v>
      </c>
      <c r="L27" s="5" t="n">
        <f aca="false">IF(COUNTIFS($D$2:$D$51,D27,$E$2:$E$51,E27,$F$2:$F$51,F27)&gt;=5,1,0)</f>
        <v>1</v>
      </c>
      <c r="M27" s="2" t="s">
        <v>82</v>
      </c>
    </row>
    <row r="28" customFormat="false" ht="15" hidden="false" customHeight="false" outlineLevel="0" collapsed="false">
      <c r="A28" s="2" t="s">
        <v>118</v>
      </c>
      <c r="B28" s="2" t="s">
        <v>131</v>
      </c>
      <c r="C28" s="2" t="s">
        <v>132</v>
      </c>
      <c r="D28" s="3" t="n">
        <v>85</v>
      </c>
      <c r="E28" s="3" t="n">
        <v>120</v>
      </c>
      <c r="F28" s="3" t="n">
        <v>60</v>
      </c>
      <c r="H28" s="4" t="n">
        <v>10</v>
      </c>
      <c r="I28" s="5" t="n">
        <f aca="false">COUNTIF('03_DESPIECE'!$A$2:$A$225,B28)</f>
        <v>4</v>
      </c>
      <c r="J28" s="5" t="n">
        <f aca="false">COUNTIF('05_RUTAS'!$A$2:$A$407,B28)</f>
        <v>8</v>
      </c>
      <c r="K28" s="5" t="n">
        <f aca="false">IF(COUNTIF('12_PRECIOS'!$A$2:$A$5,A28)&gt;0,1,0)</f>
        <v>1</v>
      </c>
      <c r="L28" s="5" t="n">
        <f aca="false">IF(COUNTIFS($D$2:$D$51,D28,$E$2:$E$51,E28,$F$2:$F$51,F28)&gt;=5,1,0)</f>
        <v>1</v>
      </c>
      <c r="M28" s="2" t="s">
        <v>82</v>
      </c>
    </row>
    <row r="29" customFormat="false" ht="15" hidden="false" customHeight="false" outlineLevel="0" collapsed="false">
      <c r="A29" s="2" t="s">
        <v>118</v>
      </c>
      <c r="B29" s="2" t="s">
        <v>133</v>
      </c>
      <c r="C29" s="2" t="s">
        <v>130</v>
      </c>
      <c r="D29" s="3" t="n">
        <v>85</v>
      </c>
      <c r="E29" s="3" t="n">
        <v>120</v>
      </c>
      <c r="F29" s="3" t="n">
        <v>60</v>
      </c>
      <c r="H29" s="4" t="n">
        <v>10</v>
      </c>
      <c r="I29" s="5" t="n">
        <f aca="false">COUNTIF('03_DESPIECE'!$A$2:$A$225,B29)</f>
        <v>4</v>
      </c>
      <c r="J29" s="5" t="n">
        <f aca="false">COUNTIF('05_RUTAS'!$A$2:$A$407,B29)</f>
        <v>8</v>
      </c>
      <c r="K29" s="5" t="n">
        <f aca="false">IF(COUNTIF('12_PRECIOS'!$A$2:$A$5,A29)&gt;0,1,0)</f>
        <v>1</v>
      </c>
      <c r="L29" s="5" t="n">
        <f aca="false">IF(COUNTIFS($D$2:$D$51,D29,$E$2:$E$51,E29,$F$2:$F$51,F29)&gt;=5,1,0)</f>
        <v>1</v>
      </c>
      <c r="M29" s="2" t="s">
        <v>82</v>
      </c>
    </row>
    <row r="30" customFormat="false" ht="15" hidden="false" customHeight="false" outlineLevel="0" collapsed="false">
      <c r="A30" s="2" t="s">
        <v>118</v>
      </c>
      <c r="B30" s="2" t="s">
        <v>134</v>
      </c>
      <c r="C30" s="2" t="s">
        <v>130</v>
      </c>
      <c r="D30" s="3" t="n">
        <v>85</v>
      </c>
      <c r="E30" s="3" t="n">
        <v>120</v>
      </c>
      <c r="F30" s="3" t="n">
        <v>60</v>
      </c>
      <c r="H30" s="4" t="n">
        <v>10</v>
      </c>
      <c r="I30" s="5" t="n">
        <f aca="false">COUNTIF('03_DESPIECE'!$A$2:$A$225,B30)</f>
        <v>4</v>
      </c>
      <c r="J30" s="5" t="n">
        <f aca="false">COUNTIF('05_RUTAS'!$A$2:$A$407,B30)</f>
        <v>8</v>
      </c>
      <c r="K30" s="5" t="n">
        <f aca="false">IF(COUNTIF('12_PRECIOS'!$A$2:$A$5,A30)&gt;0,1,0)</f>
        <v>1</v>
      </c>
      <c r="L30" s="5" t="n">
        <f aca="false">IF(COUNTIFS($D$2:$D$51,D30,$E$2:$E$51,E30,$F$2:$F$51,F30)&gt;=5,1,0)</f>
        <v>1</v>
      </c>
      <c r="M30" s="2" t="s">
        <v>82</v>
      </c>
    </row>
    <row r="31" customFormat="false" ht="15" hidden="false" customHeight="false" outlineLevel="0" collapsed="false">
      <c r="A31" s="2" t="s">
        <v>118</v>
      </c>
      <c r="B31" s="2" t="s">
        <v>135</v>
      </c>
      <c r="C31" s="2" t="s">
        <v>130</v>
      </c>
      <c r="D31" s="3" t="n">
        <v>85</v>
      </c>
      <c r="E31" s="3" t="n">
        <v>120</v>
      </c>
      <c r="F31" s="3" t="n">
        <v>60</v>
      </c>
      <c r="H31" s="4" t="n">
        <v>10</v>
      </c>
      <c r="I31" s="5" t="n">
        <f aca="false">COUNTIF('03_DESPIECE'!$A$2:$A$225,B31)</f>
        <v>4</v>
      </c>
      <c r="J31" s="5" t="n">
        <f aca="false">COUNTIF('05_RUTAS'!$A$2:$A$407,B31)</f>
        <v>8</v>
      </c>
      <c r="K31" s="5" t="n">
        <f aca="false">IF(COUNTIF('12_PRECIOS'!$A$2:$A$5,A31)&gt;0,1,0)</f>
        <v>1</v>
      </c>
      <c r="L31" s="5" t="n">
        <f aca="false">IF(COUNTIFS($D$2:$D$51,D31,$E$2:$E$51,E31,$F$2:$F$51,F31)&gt;=5,1,0)</f>
        <v>1</v>
      </c>
      <c r="M31" s="2" t="s">
        <v>82</v>
      </c>
    </row>
    <row r="32" customFormat="false" ht="15" hidden="false" customHeight="false" outlineLevel="0" collapsed="false">
      <c r="A32" s="2" t="s">
        <v>118</v>
      </c>
      <c r="B32" s="2" t="s">
        <v>136</v>
      </c>
      <c r="C32" s="2" t="s">
        <v>130</v>
      </c>
      <c r="D32" s="3" t="n">
        <v>85</v>
      </c>
      <c r="E32" s="3" t="n">
        <v>120</v>
      </c>
      <c r="F32" s="3" t="n">
        <v>60</v>
      </c>
      <c r="H32" s="4" t="n">
        <v>10</v>
      </c>
      <c r="I32" s="5" t="n">
        <f aca="false">COUNTIF('03_DESPIECE'!$A$2:$A$225,B32)</f>
        <v>4</v>
      </c>
      <c r="J32" s="5" t="n">
        <f aca="false">COUNTIF('05_RUTAS'!$A$2:$A$407,B32)</f>
        <v>8</v>
      </c>
      <c r="K32" s="5" t="n">
        <f aca="false">IF(COUNTIF('12_PRECIOS'!$A$2:$A$5,A32)&gt;0,1,0)</f>
        <v>1</v>
      </c>
      <c r="L32" s="5" t="n">
        <f aca="false">IF(COUNTIFS($D$2:$D$51,D32,$E$2:$E$51,E32,$F$2:$F$51,F32)&gt;=5,1,0)</f>
        <v>1</v>
      </c>
      <c r="M32" s="2" t="s">
        <v>82</v>
      </c>
    </row>
    <row r="33" customFormat="false" ht="15" hidden="false" customHeight="false" outlineLevel="0" collapsed="false">
      <c r="A33" s="2" t="s">
        <v>118</v>
      </c>
      <c r="B33" s="2" t="s">
        <v>137</v>
      </c>
      <c r="C33" s="2" t="s">
        <v>138</v>
      </c>
      <c r="D33" s="3" t="n">
        <v>85</v>
      </c>
      <c r="E33" s="3" t="n">
        <v>120</v>
      </c>
      <c r="F33" s="3" t="n">
        <v>60</v>
      </c>
      <c r="H33" s="4" t="n">
        <v>10</v>
      </c>
      <c r="I33" s="5" t="n">
        <f aca="false">COUNTIF('03_DESPIECE'!$A$2:$A$225,B33)</f>
        <v>5</v>
      </c>
      <c r="J33" s="5" t="n">
        <f aca="false">COUNTIF('05_RUTAS'!$A$2:$A$407,B33)</f>
        <v>8</v>
      </c>
      <c r="K33" s="5" t="n">
        <f aca="false">IF(COUNTIF('12_PRECIOS'!$A$2:$A$5,A33)&gt;0,1,0)</f>
        <v>1</v>
      </c>
      <c r="L33" s="5" t="n">
        <f aca="false">IF(COUNTIFS($D$2:$D$51,D33,$E$2:$E$51,E33,$F$2:$F$51,F33)&gt;=5,1,0)</f>
        <v>1</v>
      </c>
      <c r="M33" s="2" t="s">
        <v>82</v>
      </c>
    </row>
    <row r="34" customFormat="false" ht="15" hidden="false" customHeight="false" outlineLevel="0" collapsed="false">
      <c r="A34" s="2" t="s">
        <v>118</v>
      </c>
      <c r="B34" s="2" t="s">
        <v>139</v>
      </c>
      <c r="C34" s="2" t="s">
        <v>138</v>
      </c>
      <c r="D34" s="3" t="n">
        <v>85</v>
      </c>
      <c r="E34" s="3" t="n">
        <v>120</v>
      </c>
      <c r="F34" s="3" t="n">
        <v>60</v>
      </c>
      <c r="H34" s="4" t="n">
        <v>10</v>
      </c>
      <c r="I34" s="5" t="n">
        <f aca="false">COUNTIF('03_DESPIECE'!$A$2:$A$225,B34)</f>
        <v>5</v>
      </c>
      <c r="J34" s="5" t="n">
        <f aca="false">COUNTIF('05_RUTAS'!$A$2:$A$407,B34)</f>
        <v>8</v>
      </c>
      <c r="K34" s="5" t="n">
        <f aca="false">IF(COUNTIF('12_PRECIOS'!$A$2:$A$5,A34)&gt;0,1,0)</f>
        <v>1</v>
      </c>
      <c r="L34" s="5" t="n">
        <f aca="false">IF(COUNTIFS($D$2:$D$51,D34,$E$2:$E$51,E34,$F$2:$F$51,F34)&gt;=5,1,0)</f>
        <v>1</v>
      </c>
      <c r="M34" s="2" t="s">
        <v>82</v>
      </c>
    </row>
    <row r="35" customFormat="false" ht="15" hidden="false" customHeight="false" outlineLevel="0" collapsed="false">
      <c r="A35" s="2" t="s">
        <v>118</v>
      </c>
      <c r="B35" s="2" t="s">
        <v>140</v>
      </c>
      <c r="C35" s="2" t="s">
        <v>138</v>
      </c>
      <c r="D35" s="3" t="n">
        <v>85</v>
      </c>
      <c r="E35" s="3" t="n">
        <v>120</v>
      </c>
      <c r="F35" s="3" t="n">
        <v>60</v>
      </c>
      <c r="H35" s="4" t="n">
        <v>10</v>
      </c>
      <c r="I35" s="5" t="n">
        <f aca="false">COUNTIF('03_DESPIECE'!$A$2:$A$225,B35)</f>
        <v>5</v>
      </c>
      <c r="J35" s="5" t="n">
        <f aca="false">COUNTIF('05_RUTAS'!$A$2:$A$407,B35)</f>
        <v>8</v>
      </c>
      <c r="K35" s="5" t="n">
        <f aca="false">IF(COUNTIF('12_PRECIOS'!$A$2:$A$5,A35)&gt;0,1,0)</f>
        <v>1</v>
      </c>
      <c r="L35" s="5" t="n">
        <f aca="false">IF(COUNTIFS($D$2:$D$51,D35,$E$2:$E$51,E35,$F$2:$F$51,F35)&gt;=5,1,0)</f>
        <v>1</v>
      </c>
      <c r="M35" s="2" t="s">
        <v>82</v>
      </c>
    </row>
    <row r="36" customFormat="false" ht="15" hidden="false" customHeight="false" outlineLevel="0" collapsed="false">
      <c r="A36" s="2" t="s">
        <v>118</v>
      </c>
      <c r="B36" s="2" t="s">
        <v>141</v>
      </c>
      <c r="C36" s="2" t="s">
        <v>142</v>
      </c>
      <c r="D36" s="3" t="n">
        <v>85</v>
      </c>
      <c r="E36" s="3" t="n">
        <v>120</v>
      </c>
      <c r="F36" s="3" t="n">
        <v>60</v>
      </c>
      <c r="H36" s="4" t="n">
        <v>10</v>
      </c>
      <c r="I36" s="5" t="n">
        <f aca="false">COUNTIF('03_DESPIECE'!$A$2:$A$225,B36)</f>
        <v>4</v>
      </c>
      <c r="J36" s="5" t="n">
        <f aca="false">COUNTIF('05_RUTAS'!$A$2:$A$407,B36)</f>
        <v>8</v>
      </c>
      <c r="K36" s="5" t="n">
        <f aca="false">IF(COUNTIF('12_PRECIOS'!$A$2:$A$5,A36)&gt;0,1,0)</f>
        <v>1</v>
      </c>
      <c r="L36" s="5" t="n">
        <f aca="false">IF(COUNTIFS($D$2:$D$51,D36,$E$2:$E$51,E36,$F$2:$F$51,F36)&gt;=5,1,0)</f>
        <v>1</v>
      </c>
      <c r="M36" s="2" t="s">
        <v>82</v>
      </c>
    </row>
    <row r="37" customFormat="false" ht="15" hidden="false" customHeight="false" outlineLevel="0" collapsed="false">
      <c r="A37" s="2" t="s">
        <v>118</v>
      </c>
      <c r="B37" s="2" t="s">
        <v>143</v>
      </c>
      <c r="C37" s="2" t="s">
        <v>123</v>
      </c>
      <c r="D37" s="3" t="n">
        <v>85</v>
      </c>
      <c r="E37" s="3" t="n">
        <v>45</v>
      </c>
      <c r="F37" s="3" t="n">
        <v>50</v>
      </c>
      <c r="H37" s="4" t="n">
        <v>10</v>
      </c>
      <c r="I37" s="5" t="n">
        <f aca="false">COUNTIF('03_DESPIECE'!$A$2:$A$225,B37)</f>
        <v>3</v>
      </c>
      <c r="J37" s="5" t="n">
        <f aca="false">COUNTIF('05_RUTAS'!$A$2:$A$407,B37)</f>
        <v>2</v>
      </c>
      <c r="K37" s="5" t="n">
        <f aca="false">IF(COUNTIF('12_PRECIOS'!$A$2:$A$5,A37)&gt;0,1,0)</f>
        <v>1</v>
      </c>
      <c r="L37" s="5" t="n">
        <f aca="false">IF(COUNTIFS($D$2:$D$51,D37,$E$2:$E$51,E37,$F$2:$F$51,F37)&gt;=5,1,0)</f>
        <v>1</v>
      </c>
      <c r="M37" s="2" t="s">
        <v>82</v>
      </c>
    </row>
    <row r="38" customFormat="false" ht="15" hidden="false" customHeight="false" outlineLevel="0" collapsed="false">
      <c r="A38" s="2" t="s">
        <v>118</v>
      </c>
      <c r="B38" s="2" t="s">
        <v>144</v>
      </c>
      <c r="C38" s="2" t="s">
        <v>123</v>
      </c>
      <c r="D38" s="3" t="n">
        <v>85</v>
      </c>
      <c r="E38" s="3" t="n">
        <v>45</v>
      </c>
      <c r="F38" s="3" t="n">
        <v>50</v>
      </c>
      <c r="H38" s="4" t="n">
        <v>10</v>
      </c>
      <c r="I38" s="5" t="n">
        <f aca="false">COUNTIF('03_DESPIECE'!$A$2:$A$225,B38)</f>
        <v>3</v>
      </c>
      <c r="J38" s="5" t="n">
        <f aca="false">COUNTIF('05_RUTAS'!$A$2:$A$407,B38)</f>
        <v>2</v>
      </c>
      <c r="K38" s="5" t="n">
        <f aca="false">IF(COUNTIF('12_PRECIOS'!$A$2:$A$5,A38)&gt;0,1,0)</f>
        <v>1</v>
      </c>
      <c r="L38" s="5" t="n">
        <f aca="false">IF(COUNTIFS($D$2:$D$51,D38,$E$2:$E$51,E38,$F$2:$F$51,F38)&gt;=5,1,0)</f>
        <v>1</v>
      </c>
      <c r="M38" s="2" t="s">
        <v>82</v>
      </c>
    </row>
    <row r="39" customFormat="false" ht="15" hidden="false" customHeight="false" outlineLevel="0" collapsed="false">
      <c r="A39" s="2" t="s">
        <v>118</v>
      </c>
      <c r="B39" s="2" t="s">
        <v>145</v>
      </c>
      <c r="C39" s="2" t="s">
        <v>146</v>
      </c>
      <c r="D39" s="3" t="n">
        <v>75</v>
      </c>
      <c r="E39" s="3" t="n">
        <v>120</v>
      </c>
      <c r="F39" s="3" t="n">
        <v>60</v>
      </c>
      <c r="H39" s="4" t="n">
        <v>10</v>
      </c>
      <c r="I39" s="5" t="n">
        <f aca="false">COUNTIF('03_DESPIECE'!$A$2:$A$225,B39)</f>
        <v>4</v>
      </c>
      <c r="J39" s="5" t="n">
        <f aca="false">COUNTIF('05_RUTAS'!$A$2:$A$407,B39)</f>
        <v>8</v>
      </c>
      <c r="K39" s="5" t="n">
        <f aca="false">IF(COUNTIF('12_PRECIOS'!$A$2:$A$5,A39)&gt;0,1,0)</f>
        <v>1</v>
      </c>
      <c r="L39" s="5" t="n">
        <f aca="false">IF(COUNTIFS($D$2:$D$51,D39,$E$2:$E$51,E39,$F$2:$F$51,F39)&gt;=5,1,0)</f>
        <v>1</v>
      </c>
      <c r="M39" s="2" t="s">
        <v>82</v>
      </c>
    </row>
    <row r="40" customFormat="false" ht="15" hidden="false" customHeight="false" outlineLevel="0" collapsed="false">
      <c r="A40" s="2" t="s">
        <v>118</v>
      </c>
      <c r="B40" s="2" t="s">
        <v>147</v>
      </c>
      <c r="C40" s="2" t="s">
        <v>146</v>
      </c>
      <c r="D40" s="3" t="n">
        <v>75</v>
      </c>
      <c r="E40" s="3" t="n">
        <v>120</v>
      </c>
      <c r="F40" s="3" t="n">
        <v>60</v>
      </c>
      <c r="H40" s="4" t="n">
        <v>10</v>
      </c>
      <c r="I40" s="5" t="n">
        <f aca="false">COUNTIF('03_DESPIECE'!$A$2:$A$225,B40)</f>
        <v>4</v>
      </c>
      <c r="J40" s="5" t="n">
        <f aca="false">COUNTIF('05_RUTAS'!$A$2:$A$407,B40)</f>
        <v>8</v>
      </c>
      <c r="K40" s="5" t="n">
        <f aca="false">IF(COUNTIF('12_PRECIOS'!$A$2:$A$5,A40)&gt;0,1,0)</f>
        <v>1</v>
      </c>
      <c r="L40" s="5" t="n">
        <f aca="false">IF(COUNTIFS($D$2:$D$51,D40,$E$2:$E$51,E40,$F$2:$F$51,F40)&gt;=5,1,0)</f>
        <v>1</v>
      </c>
      <c r="M40" s="2" t="s">
        <v>82</v>
      </c>
    </row>
    <row r="41" customFormat="false" ht="15" hidden="false" customHeight="false" outlineLevel="0" collapsed="false">
      <c r="A41" s="2" t="s">
        <v>118</v>
      </c>
      <c r="B41" s="2" t="s">
        <v>148</v>
      </c>
      <c r="C41" s="2" t="s">
        <v>146</v>
      </c>
      <c r="D41" s="3" t="n">
        <v>75</v>
      </c>
      <c r="E41" s="3" t="n">
        <v>120</v>
      </c>
      <c r="F41" s="3" t="n">
        <v>60</v>
      </c>
      <c r="H41" s="4" t="n">
        <v>10</v>
      </c>
      <c r="I41" s="5" t="n">
        <f aca="false">COUNTIF('03_DESPIECE'!$A$2:$A$225,B41)</f>
        <v>3</v>
      </c>
      <c r="J41" s="5" t="n">
        <f aca="false">COUNTIF('05_RUTAS'!$A$2:$A$407,B41)</f>
        <v>2</v>
      </c>
      <c r="K41" s="5" t="n">
        <f aca="false">IF(COUNTIF('12_PRECIOS'!$A$2:$A$5,A41)&gt;0,1,0)</f>
        <v>1</v>
      </c>
      <c r="L41" s="5" t="n">
        <f aca="false">IF(COUNTIFS($D$2:$D$51,D41,$E$2:$E$51,E41,$F$2:$F$51,F41)&gt;=5,1,0)</f>
        <v>1</v>
      </c>
      <c r="M41" s="2" t="s">
        <v>82</v>
      </c>
    </row>
    <row r="42" customFormat="false" ht="15" hidden="false" customHeight="false" outlineLevel="0" collapsed="false">
      <c r="A42" s="2" t="s">
        <v>118</v>
      </c>
      <c r="B42" s="2" t="s">
        <v>149</v>
      </c>
      <c r="C42" s="2" t="s">
        <v>150</v>
      </c>
      <c r="D42" s="3" t="n">
        <v>160</v>
      </c>
      <c r="E42" s="3" t="n">
        <v>190</v>
      </c>
      <c r="F42" s="3" t="n">
        <v>90</v>
      </c>
      <c r="H42" s="4" t="n">
        <v>10</v>
      </c>
      <c r="I42" s="5" t="n">
        <f aca="false">COUNTIF('03_DESPIECE'!$A$2:$A$225,B42)</f>
        <v>4</v>
      </c>
      <c r="J42" s="5" t="n">
        <f aca="false">COUNTIF('05_RUTAS'!$A$2:$A$407,B42)</f>
        <v>8</v>
      </c>
      <c r="K42" s="5" t="n">
        <f aca="false">IF(COUNTIF('12_PRECIOS'!$A$2:$A$5,A42)&gt;0,1,0)</f>
        <v>1</v>
      </c>
      <c r="L42" s="5" t="n">
        <f aca="false">IF(COUNTIFS($D$2:$D$51,D42,$E$2:$E$51,E42,$F$2:$F$51,F42)&gt;=5,1,0)</f>
        <v>0</v>
      </c>
      <c r="M42" s="2" t="s">
        <v>82</v>
      </c>
    </row>
    <row r="43" customFormat="false" ht="15" hidden="false" customHeight="false" outlineLevel="0" collapsed="false">
      <c r="A43" s="2" t="s">
        <v>118</v>
      </c>
      <c r="B43" s="2" t="s">
        <v>151</v>
      </c>
      <c r="C43" s="2" t="s">
        <v>152</v>
      </c>
      <c r="D43" s="3" t="n">
        <v>75</v>
      </c>
      <c r="E43" s="3" t="n">
        <v>120</v>
      </c>
      <c r="F43" s="3" t="n">
        <v>60</v>
      </c>
      <c r="H43" s="4" t="n">
        <v>10</v>
      </c>
      <c r="I43" s="5" t="n">
        <f aca="false">COUNTIF('03_DESPIECE'!$A$2:$A$225,B43)</f>
        <v>4</v>
      </c>
      <c r="J43" s="5" t="n">
        <f aca="false">COUNTIF('05_RUTAS'!$A$2:$A$407,B43)</f>
        <v>8</v>
      </c>
      <c r="K43" s="5" t="n">
        <f aca="false">IF(COUNTIF('12_PRECIOS'!$A$2:$A$5,A43)&gt;0,1,0)</f>
        <v>1</v>
      </c>
      <c r="L43" s="5" t="n">
        <f aca="false">IF(COUNTIFS($D$2:$D$51,D43,$E$2:$E$51,E43,$F$2:$F$51,F43)&gt;=5,1,0)</f>
        <v>1</v>
      </c>
      <c r="M43" s="2" t="s">
        <v>82</v>
      </c>
    </row>
    <row r="44" customFormat="false" ht="15" hidden="false" customHeight="false" outlineLevel="0" collapsed="false">
      <c r="A44" s="2" t="s">
        <v>118</v>
      </c>
      <c r="B44" s="2" t="s">
        <v>153</v>
      </c>
      <c r="C44" s="2" t="s">
        <v>152</v>
      </c>
      <c r="D44" s="3" t="n">
        <v>75</v>
      </c>
      <c r="E44" s="3" t="n">
        <v>120</v>
      </c>
      <c r="F44" s="3" t="n">
        <v>60</v>
      </c>
      <c r="H44" s="4" t="n">
        <v>10</v>
      </c>
      <c r="I44" s="5" t="n">
        <f aca="false">COUNTIF('03_DESPIECE'!$A$2:$A$225,B44)</f>
        <v>4</v>
      </c>
      <c r="J44" s="5" t="n">
        <f aca="false">COUNTIF('05_RUTAS'!$A$2:$A$407,B44)</f>
        <v>8</v>
      </c>
      <c r="K44" s="5" t="n">
        <f aca="false">IF(COUNTIF('12_PRECIOS'!$A$2:$A$5,A44)&gt;0,1,0)</f>
        <v>1</v>
      </c>
      <c r="L44" s="5" t="n">
        <f aca="false">IF(COUNTIFS($D$2:$D$51,D44,$E$2:$E$51,E44,$F$2:$F$51,F44)&gt;=5,1,0)</f>
        <v>1</v>
      </c>
      <c r="M44" s="2" t="s">
        <v>82</v>
      </c>
    </row>
    <row r="45" customFormat="false" ht="15" hidden="false" customHeight="false" outlineLevel="0" collapsed="false">
      <c r="A45" s="2" t="s">
        <v>118</v>
      </c>
      <c r="B45" s="2" t="s">
        <v>154</v>
      </c>
      <c r="C45" s="2" t="s">
        <v>132</v>
      </c>
      <c r="D45" s="3" t="n">
        <v>85</v>
      </c>
      <c r="E45" s="3" t="n">
        <v>120</v>
      </c>
      <c r="F45" s="3" t="n">
        <v>60</v>
      </c>
      <c r="H45" s="4" t="n">
        <v>10</v>
      </c>
      <c r="I45" s="5" t="n">
        <f aca="false">COUNTIF('03_DESPIECE'!$A$2:$A$225,B45)</f>
        <v>4</v>
      </c>
      <c r="J45" s="5" t="n">
        <f aca="false">COUNTIF('05_RUTAS'!$A$2:$A$407,B45)</f>
        <v>8</v>
      </c>
      <c r="K45" s="5" t="n">
        <f aca="false">IF(COUNTIF('12_PRECIOS'!$A$2:$A$5,A45)&gt;0,1,0)</f>
        <v>1</v>
      </c>
      <c r="L45" s="5" t="n">
        <f aca="false">IF(COUNTIFS($D$2:$D$51,D45,$E$2:$E$51,E45,$F$2:$F$51,F45)&gt;=5,1,0)</f>
        <v>1</v>
      </c>
      <c r="M45" s="2" t="s">
        <v>82</v>
      </c>
    </row>
    <row r="46" customFormat="false" ht="15" hidden="false" customHeight="false" outlineLevel="0" collapsed="false">
      <c r="A46" s="2" t="s">
        <v>118</v>
      </c>
      <c r="B46" s="2" t="s">
        <v>155</v>
      </c>
      <c r="C46" s="2" t="s">
        <v>132</v>
      </c>
      <c r="D46" s="3" t="n">
        <v>85</v>
      </c>
      <c r="E46" s="3" t="n">
        <v>120</v>
      </c>
      <c r="F46" s="3" t="n">
        <v>60</v>
      </c>
      <c r="H46" s="4" t="n">
        <v>10</v>
      </c>
      <c r="I46" s="5" t="n">
        <f aca="false">COUNTIF('03_DESPIECE'!$A$2:$A$225,B46)</f>
        <v>3</v>
      </c>
      <c r="J46" s="5" t="n">
        <f aca="false">COUNTIF('05_RUTAS'!$A$2:$A$407,B46)</f>
        <v>2</v>
      </c>
      <c r="K46" s="5" t="n">
        <f aca="false">IF(COUNTIF('12_PRECIOS'!$A$2:$A$5,A46)&gt;0,1,0)</f>
        <v>1</v>
      </c>
      <c r="L46" s="5" t="n">
        <f aca="false">IF(COUNTIFS($D$2:$D$51,D46,$E$2:$E$51,E46,$F$2:$F$51,F46)&gt;=5,1,0)</f>
        <v>1</v>
      </c>
      <c r="M46" s="2" t="s">
        <v>82</v>
      </c>
    </row>
    <row r="47" customFormat="false" ht="15" hidden="false" customHeight="false" outlineLevel="0" collapsed="false">
      <c r="A47" s="2" t="s">
        <v>118</v>
      </c>
      <c r="B47" s="2" t="s">
        <v>156</v>
      </c>
      <c r="C47" s="2" t="s">
        <v>132</v>
      </c>
      <c r="D47" s="3" t="n">
        <v>85</v>
      </c>
      <c r="E47" s="3" t="n">
        <v>120</v>
      </c>
      <c r="F47" s="3" t="n">
        <v>60</v>
      </c>
      <c r="H47" s="4" t="n">
        <v>10</v>
      </c>
      <c r="I47" s="5" t="n">
        <f aca="false">COUNTIF('03_DESPIECE'!$A$2:$A$225,B47)</f>
        <v>3</v>
      </c>
      <c r="J47" s="5" t="n">
        <f aca="false">COUNTIF('05_RUTAS'!$A$2:$A$407,B47)</f>
        <v>2</v>
      </c>
      <c r="K47" s="5" t="n">
        <f aca="false">IF(COUNTIF('12_PRECIOS'!$A$2:$A$5,A47)&gt;0,1,0)</f>
        <v>1</v>
      </c>
      <c r="L47" s="5" t="n">
        <f aca="false">IF(COUNTIFS($D$2:$D$51,D47,$E$2:$E$51,E47,$F$2:$F$51,F47)&gt;=5,1,0)</f>
        <v>1</v>
      </c>
      <c r="M47" s="2" t="s">
        <v>82</v>
      </c>
    </row>
    <row r="48" customFormat="false" ht="15" hidden="false" customHeight="false" outlineLevel="0" collapsed="false">
      <c r="A48" s="2" t="s">
        <v>118</v>
      </c>
      <c r="B48" s="2" t="s">
        <v>157</v>
      </c>
      <c r="C48" s="2" t="s">
        <v>132</v>
      </c>
      <c r="D48" s="3" t="n">
        <v>85</v>
      </c>
      <c r="E48" s="3" t="n">
        <v>120</v>
      </c>
      <c r="F48" s="3" t="n">
        <v>60</v>
      </c>
      <c r="H48" s="4" t="n">
        <v>10</v>
      </c>
      <c r="I48" s="5" t="n">
        <f aca="false">COUNTIF('03_DESPIECE'!$A$2:$A$225,B48)</f>
        <v>4</v>
      </c>
      <c r="J48" s="5" t="n">
        <f aca="false">COUNTIF('05_RUTAS'!$A$2:$A$407,B48)</f>
        <v>8</v>
      </c>
      <c r="K48" s="5" t="n">
        <f aca="false">IF(COUNTIF('12_PRECIOS'!$A$2:$A$5,A48)&gt;0,1,0)</f>
        <v>1</v>
      </c>
      <c r="L48" s="5" t="n">
        <f aca="false">IF(COUNTIFS($D$2:$D$51,D48,$E$2:$E$51,E48,$F$2:$F$51,F48)&gt;=5,1,0)</f>
        <v>1</v>
      </c>
      <c r="M48" s="2" t="s">
        <v>82</v>
      </c>
    </row>
    <row r="49" customFormat="false" ht="15" hidden="false" customHeight="false" outlineLevel="0" collapsed="false">
      <c r="A49" s="2" t="s">
        <v>118</v>
      </c>
      <c r="B49" s="2" t="s">
        <v>158</v>
      </c>
      <c r="C49" s="2" t="s">
        <v>152</v>
      </c>
      <c r="D49" s="3" t="n">
        <v>75</v>
      </c>
      <c r="E49" s="3" t="n">
        <v>120</v>
      </c>
      <c r="F49" s="3" t="n">
        <v>60</v>
      </c>
      <c r="H49" s="4" t="n">
        <v>10</v>
      </c>
      <c r="I49" s="5" t="n">
        <f aca="false">COUNTIF('03_DESPIECE'!$A$2:$A$225,B49)</f>
        <v>4</v>
      </c>
      <c r="J49" s="5" t="n">
        <f aca="false">COUNTIF('05_RUTAS'!$A$2:$A$407,B49)</f>
        <v>8</v>
      </c>
      <c r="K49" s="5" t="n">
        <f aca="false">IF(COUNTIF('12_PRECIOS'!$A$2:$A$5,A49)&gt;0,1,0)</f>
        <v>1</v>
      </c>
      <c r="L49" s="5" t="n">
        <f aca="false">IF(COUNTIFS($D$2:$D$51,D49,$E$2:$E$51,E49,$F$2:$F$51,F49)&gt;=5,1,0)</f>
        <v>1</v>
      </c>
      <c r="M49" s="2" t="s">
        <v>82</v>
      </c>
    </row>
    <row r="50" customFormat="false" ht="15" hidden="false" customHeight="false" outlineLevel="0" collapsed="false">
      <c r="A50" s="2" t="s">
        <v>118</v>
      </c>
      <c r="B50" s="2" t="s">
        <v>159</v>
      </c>
      <c r="C50" s="2" t="s">
        <v>152</v>
      </c>
      <c r="D50" s="3" t="n">
        <v>75</v>
      </c>
      <c r="E50" s="3" t="n">
        <v>120</v>
      </c>
      <c r="F50" s="3" t="n">
        <v>60</v>
      </c>
      <c r="H50" s="4" t="n">
        <v>10</v>
      </c>
      <c r="I50" s="5" t="n">
        <f aca="false">COUNTIF('03_DESPIECE'!$A$2:$A$225,B50)</f>
        <v>4</v>
      </c>
      <c r="J50" s="5" t="n">
        <f aca="false">COUNTIF('05_RUTAS'!$A$2:$A$407,B50)</f>
        <v>8</v>
      </c>
      <c r="K50" s="5" t="n">
        <f aca="false">IF(COUNTIF('12_PRECIOS'!$A$2:$A$5,A50)&gt;0,1,0)</f>
        <v>1</v>
      </c>
      <c r="L50" s="5" t="n">
        <f aca="false">IF(COUNTIFS($D$2:$D$51,D50,$E$2:$E$51,E50,$F$2:$F$51,F50)&gt;=5,1,0)</f>
        <v>1</v>
      </c>
      <c r="M50" s="2" t="s">
        <v>82</v>
      </c>
    </row>
    <row r="51" customFormat="false" ht="15" hidden="false" customHeight="false" outlineLevel="0" collapsed="false">
      <c r="A51" s="2" t="s">
        <v>118</v>
      </c>
      <c r="B51" s="2" t="s">
        <v>160</v>
      </c>
      <c r="C51" s="2" t="s">
        <v>123</v>
      </c>
      <c r="D51" s="3" t="n">
        <v>85</v>
      </c>
      <c r="E51" s="3" t="n">
        <v>45</v>
      </c>
      <c r="F51" s="3" t="n">
        <v>50</v>
      </c>
      <c r="H51" s="4" t="n">
        <v>10</v>
      </c>
      <c r="I51" s="5" t="n">
        <f aca="false">COUNTIF('03_DESPIECE'!$A$2:$A$225,B51)</f>
        <v>3</v>
      </c>
      <c r="J51" s="5" t="n">
        <f aca="false">COUNTIF('05_RUTAS'!$A$2:$A$407,B51)</f>
        <v>8</v>
      </c>
      <c r="K51" s="5" t="n">
        <f aca="false">IF(COUNTIF('12_PRECIOS'!$A$2:$A$5,A51)&gt;0,1,0)</f>
        <v>1</v>
      </c>
      <c r="L51" s="5" t="n">
        <f aca="false">IF(COUNTIFS($D$2:$D$51,D51,$E$2:$E$51,E51,$F$2:$F$51,F51)&gt;=5,1,0)</f>
        <v>1</v>
      </c>
      <c r="M51" s="2" t="s">
        <v>82</v>
      </c>
    </row>
  </sheetData>
  <autoFilter ref="A1:M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J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5" min="4" style="0" width="9"/>
    <col collapsed="false" customWidth="true" hidden="false" outlineLevel="0" max="7" min="6" style="0" width="8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2"/>
  </cols>
  <sheetData>
    <row r="1" customFormat="false" ht="31.5" hidden="false" customHeight="true" outlineLevel="0" collapsed="false">
      <c r="A1" s="1" t="s">
        <v>161</v>
      </c>
      <c r="B1" s="1" t="s">
        <v>162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  <c r="J1" s="1" t="s">
        <v>64</v>
      </c>
    </row>
    <row r="2" customFormat="false" ht="15" hidden="false" customHeight="false" outlineLevel="0" collapsed="false">
      <c r="A2" s="2" t="s">
        <v>170</v>
      </c>
      <c r="B2" s="2" t="s">
        <v>171</v>
      </c>
      <c r="C2" s="2" t="s">
        <v>172</v>
      </c>
      <c r="D2" s="2" t="s">
        <v>173</v>
      </c>
      <c r="E2" s="6" t="n">
        <v>2</v>
      </c>
      <c r="F2" s="6" t="n">
        <v>1.2</v>
      </c>
      <c r="G2" s="6" t="n">
        <v>2.4</v>
      </c>
      <c r="H2" s="7" t="n">
        <v>6.8</v>
      </c>
      <c r="I2" s="4" t="n">
        <v>0</v>
      </c>
      <c r="J2" s="2" t="s">
        <v>82</v>
      </c>
    </row>
    <row r="3" customFormat="false" ht="15" hidden="false" customHeight="false" outlineLevel="0" collapsed="false">
      <c r="A3" s="2" t="s">
        <v>174</v>
      </c>
      <c r="B3" s="2" t="s">
        <v>175</v>
      </c>
      <c r="C3" s="2" t="s">
        <v>172</v>
      </c>
      <c r="D3" s="2" t="s">
        <v>173</v>
      </c>
      <c r="E3" s="6" t="n">
        <v>1</v>
      </c>
      <c r="H3" s="7" t="n">
        <v>6.8</v>
      </c>
      <c r="I3" s="4" t="n">
        <v>0</v>
      </c>
      <c r="J3" s="2" t="s">
        <v>82</v>
      </c>
    </row>
    <row r="4" customFormat="false" ht="15" hidden="false" customHeight="false" outlineLevel="0" collapsed="false">
      <c r="A4" s="2" t="s">
        <v>176</v>
      </c>
      <c r="B4" s="2" t="s">
        <v>177</v>
      </c>
      <c r="C4" s="2" t="s">
        <v>172</v>
      </c>
      <c r="D4" s="2" t="s">
        <v>173</v>
      </c>
      <c r="E4" s="6" t="n">
        <v>1.5</v>
      </c>
      <c r="H4" s="7" t="n">
        <v>6.8</v>
      </c>
      <c r="I4" s="4" t="n">
        <v>0</v>
      </c>
      <c r="J4" s="2" t="s">
        <v>82</v>
      </c>
    </row>
    <row r="5" customFormat="false" ht="15" hidden="false" customHeight="false" outlineLevel="0" collapsed="false">
      <c r="A5" s="2" t="s">
        <v>178</v>
      </c>
      <c r="B5" s="2" t="s">
        <v>179</v>
      </c>
      <c r="C5" s="2" t="s">
        <v>172</v>
      </c>
      <c r="D5" s="2" t="s">
        <v>173</v>
      </c>
      <c r="E5" s="6" t="n">
        <v>0.6</v>
      </c>
      <c r="H5" s="7" t="n">
        <v>6.8</v>
      </c>
      <c r="I5" s="4" t="n">
        <v>0</v>
      </c>
      <c r="J5" s="2" t="s">
        <v>82</v>
      </c>
    </row>
    <row r="6" customFormat="false" ht="15" hidden="false" customHeight="false" outlineLevel="0" collapsed="false">
      <c r="A6" s="2" t="s">
        <v>180</v>
      </c>
      <c r="B6" s="2" t="s">
        <v>181</v>
      </c>
      <c r="C6" s="2" t="s">
        <v>172</v>
      </c>
      <c r="D6" s="2" t="s">
        <v>173</v>
      </c>
      <c r="E6" s="6" t="n">
        <v>0.8</v>
      </c>
      <c r="H6" s="7" t="n">
        <v>6.8</v>
      </c>
      <c r="I6" s="4" t="n">
        <v>0</v>
      </c>
      <c r="J6" s="2" t="s">
        <v>82</v>
      </c>
    </row>
    <row r="7" customFormat="false" ht="15" hidden="false" customHeight="false" outlineLevel="0" collapsed="false">
      <c r="A7" s="2" t="s">
        <v>182</v>
      </c>
      <c r="B7" s="2" t="s">
        <v>183</v>
      </c>
      <c r="C7" s="2" t="s">
        <v>172</v>
      </c>
      <c r="D7" s="2" t="s">
        <v>173</v>
      </c>
      <c r="E7" s="6" t="n">
        <v>1.2</v>
      </c>
      <c r="H7" s="7" t="n">
        <v>6.8</v>
      </c>
      <c r="I7" s="4" t="n">
        <v>0</v>
      </c>
      <c r="J7" s="2" t="s">
        <v>82</v>
      </c>
    </row>
    <row r="8" customFormat="false" ht="15" hidden="false" customHeight="false" outlineLevel="0" collapsed="false">
      <c r="A8" s="2" t="s">
        <v>184</v>
      </c>
      <c r="B8" s="2" t="s">
        <v>185</v>
      </c>
      <c r="C8" s="2" t="s">
        <v>186</v>
      </c>
      <c r="D8" s="2" t="s">
        <v>187</v>
      </c>
      <c r="H8" s="7" t="n">
        <v>6.1</v>
      </c>
      <c r="I8" s="4" t="n">
        <v>1</v>
      </c>
      <c r="J8" s="2" t="s">
        <v>82</v>
      </c>
    </row>
    <row r="9" customFormat="false" ht="15" hidden="false" customHeight="false" outlineLevel="0" collapsed="false">
      <c r="A9" s="2" t="s">
        <v>188</v>
      </c>
      <c r="B9" s="2" t="s">
        <v>189</v>
      </c>
      <c r="C9" s="2" t="s">
        <v>190</v>
      </c>
      <c r="D9" s="2" t="s">
        <v>191</v>
      </c>
      <c r="H9" s="7" t="n">
        <v>0.9</v>
      </c>
      <c r="I9" s="4" t="n">
        <v>1</v>
      </c>
      <c r="J9" s="2" t="s">
        <v>82</v>
      </c>
    </row>
    <row r="10" customFormat="false" ht="15" hidden="false" customHeight="false" outlineLevel="0" collapsed="false">
      <c r="A10" s="2" t="s">
        <v>192</v>
      </c>
      <c r="B10" s="2" t="s">
        <v>193</v>
      </c>
      <c r="C10" s="2" t="s">
        <v>194</v>
      </c>
      <c r="D10" s="2" t="s">
        <v>191</v>
      </c>
      <c r="E10" s="6" t="n">
        <v>18</v>
      </c>
      <c r="I10" s="4" t="n">
        <v>0</v>
      </c>
      <c r="J10" s="2" t="s">
        <v>195</v>
      </c>
    </row>
    <row r="11" customFormat="false" ht="15" hidden="false" customHeight="false" outlineLevel="0" collapsed="false">
      <c r="A11" s="2" t="s">
        <v>196</v>
      </c>
      <c r="B11" s="2" t="s">
        <v>197</v>
      </c>
      <c r="C11" s="2" t="s">
        <v>194</v>
      </c>
      <c r="D11" s="2" t="s">
        <v>191</v>
      </c>
      <c r="I11" s="4" t="n">
        <v>1</v>
      </c>
      <c r="J11" s="2" t="s">
        <v>195</v>
      </c>
    </row>
    <row r="12" customFormat="false" ht="15" hidden="false" customHeight="false" outlineLevel="0" collapsed="false">
      <c r="A12" s="2" t="s">
        <v>198</v>
      </c>
      <c r="B12" s="2" t="s">
        <v>199</v>
      </c>
      <c r="C12" s="2" t="s">
        <v>200</v>
      </c>
      <c r="D12" s="2" t="s">
        <v>173</v>
      </c>
      <c r="I12" s="4" t="n">
        <v>0</v>
      </c>
      <c r="J12" s="2" t="s">
        <v>195</v>
      </c>
    </row>
    <row r="13" customFormat="false" ht="15" hidden="false" customHeight="false" outlineLevel="0" collapsed="false">
      <c r="A13" s="2" t="s">
        <v>201</v>
      </c>
      <c r="B13" s="2" t="s">
        <v>202</v>
      </c>
      <c r="C13" s="2" t="s">
        <v>200</v>
      </c>
      <c r="D13" s="2" t="s">
        <v>173</v>
      </c>
      <c r="I13" s="4" t="n">
        <v>0</v>
      </c>
      <c r="J13" s="2" t="s">
        <v>195</v>
      </c>
    </row>
    <row r="14" customFormat="false" ht="15" hidden="false" customHeight="false" outlineLevel="0" collapsed="false">
      <c r="A14" s="2" t="s">
        <v>203</v>
      </c>
      <c r="B14" s="2" t="s">
        <v>204</v>
      </c>
      <c r="C14" s="2" t="s">
        <v>205</v>
      </c>
      <c r="D14" s="2" t="s">
        <v>206</v>
      </c>
      <c r="I14" s="4" t="n">
        <v>0</v>
      </c>
      <c r="J14" s="2" t="s">
        <v>195</v>
      </c>
    </row>
    <row r="15" customFormat="false" ht="15" hidden="false" customHeight="false" outlineLevel="0" collapsed="false">
      <c r="A15" s="2" t="s">
        <v>207</v>
      </c>
      <c r="B15" s="2" t="s">
        <v>208</v>
      </c>
      <c r="C15" s="2" t="s">
        <v>209</v>
      </c>
      <c r="D15" s="2" t="s">
        <v>191</v>
      </c>
      <c r="I15" s="4" t="n">
        <v>0</v>
      </c>
      <c r="J15" s="2" t="s">
        <v>195</v>
      </c>
    </row>
    <row r="16" customFormat="false" ht="15" hidden="false" customHeight="false" outlineLevel="0" collapsed="false">
      <c r="A16" s="2" t="s">
        <v>210</v>
      </c>
      <c r="B16" s="2" t="s">
        <v>211</v>
      </c>
      <c r="C16" s="2" t="s">
        <v>209</v>
      </c>
      <c r="D16" s="2" t="s">
        <v>191</v>
      </c>
      <c r="I16" s="4" t="n">
        <v>0</v>
      </c>
      <c r="J16" s="2" t="s">
        <v>195</v>
      </c>
    </row>
    <row r="17" customFormat="false" ht="15" hidden="false" customHeight="false" outlineLevel="0" collapsed="false">
      <c r="A17" s="2" t="s">
        <v>212</v>
      </c>
      <c r="B17" s="2" t="s">
        <v>213</v>
      </c>
      <c r="C17" s="2" t="s">
        <v>214</v>
      </c>
      <c r="D17" s="2" t="s">
        <v>173</v>
      </c>
      <c r="I17" s="4" t="n">
        <v>0</v>
      </c>
      <c r="J17" s="2" t="s">
        <v>195</v>
      </c>
    </row>
    <row r="18" customFormat="false" ht="15" hidden="false" customHeight="false" outlineLevel="0" collapsed="false">
      <c r="A18" s="2" t="s">
        <v>215</v>
      </c>
      <c r="B18" s="2" t="s">
        <v>216</v>
      </c>
      <c r="C18" s="2" t="s">
        <v>214</v>
      </c>
      <c r="D18" s="2" t="s">
        <v>173</v>
      </c>
      <c r="I18" s="4" t="n">
        <v>0</v>
      </c>
      <c r="J18" s="2" t="s">
        <v>195</v>
      </c>
    </row>
    <row r="19" customFormat="false" ht="15" hidden="false" customHeight="false" outlineLevel="0" collapsed="false">
      <c r="A19" s="2" t="s">
        <v>217</v>
      </c>
      <c r="B19" s="2" t="s">
        <v>218</v>
      </c>
      <c r="C19" s="2" t="s">
        <v>214</v>
      </c>
      <c r="D19" s="2" t="s">
        <v>219</v>
      </c>
      <c r="I19" s="4" t="n">
        <v>0</v>
      </c>
      <c r="J19" s="2" t="s">
        <v>195</v>
      </c>
    </row>
    <row r="20" customFormat="false" ht="15" hidden="false" customHeight="false" outlineLevel="0" collapsed="false">
      <c r="A20" s="2" t="s">
        <v>220</v>
      </c>
      <c r="B20" s="2" t="s">
        <v>221</v>
      </c>
      <c r="C20" s="2" t="s">
        <v>186</v>
      </c>
      <c r="D20" s="2" t="s">
        <v>187</v>
      </c>
      <c r="I20" s="4" t="n">
        <v>0</v>
      </c>
      <c r="J20" s="2" t="s">
        <v>195</v>
      </c>
    </row>
    <row r="21" customFormat="false" ht="15" hidden="false" customHeight="false" outlineLevel="0" collapsed="false">
      <c r="A21" s="2" t="s">
        <v>222</v>
      </c>
      <c r="B21" s="2" t="s">
        <v>223</v>
      </c>
      <c r="C21" s="2" t="s">
        <v>186</v>
      </c>
      <c r="D21" s="2" t="s">
        <v>187</v>
      </c>
      <c r="I21" s="4" t="n">
        <v>0</v>
      </c>
      <c r="J21" s="2" t="s">
        <v>195</v>
      </c>
    </row>
    <row r="22" customFormat="false" ht="15" hidden="false" customHeight="false" outlineLevel="0" collapsed="false">
      <c r="A22" s="2" t="s">
        <v>224</v>
      </c>
      <c r="B22" s="2" t="s">
        <v>225</v>
      </c>
      <c r="C22" s="2" t="s">
        <v>186</v>
      </c>
      <c r="D22" s="2" t="s">
        <v>187</v>
      </c>
      <c r="I22" s="4" t="n">
        <v>0</v>
      </c>
      <c r="J22" s="2" t="s">
        <v>195</v>
      </c>
    </row>
    <row r="23" customFormat="false" ht="15" hidden="false" customHeight="false" outlineLevel="0" collapsed="false">
      <c r="A23" s="2" t="s">
        <v>226</v>
      </c>
      <c r="B23" s="2" t="s">
        <v>227</v>
      </c>
      <c r="C23" s="2" t="s">
        <v>186</v>
      </c>
      <c r="D23" s="2" t="s">
        <v>187</v>
      </c>
      <c r="I23" s="4" t="n">
        <v>0</v>
      </c>
      <c r="J23" s="2" t="s">
        <v>195</v>
      </c>
    </row>
    <row r="24" customFormat="false" ht="15" hidden="false" customHeight="false" outlineLevel="0" collapsed="false">
      <c r="A24" s="2" t="s">
        <v>228</v>
      </c>
      <c r="B24" s="2" t="s">
        <v>229</v>
      </c>
      <c r="C24" s="2" t="s">
        <v>230</v>
      </c>
      <c r="D24" s="2" t="s">
        <v>191</v>
      </c>
      <c r="I24" s="4" t="n">
        <v>0</v>
      </c>
      <c r="J24" s="2" t="s">
        <v>195</v>
      </c>
    </row>
    <row r="25" customFormat="false" ht="15" hidden="false" customHeight="false" outlineLevel="0" collapsed="false">
      <c r="A25" s="2" t="s">
        <v>231</v>
      </c>
      <c r="B25" s="2" t="s">
        <v>232</v>
      </c>
      <c r="C25" s="2" t="s">
        <v>230</v>
      </c>
      <c r="D25" s="2" t="s">
        <v>191</v>
      </c>
      <c r="I25" s="4" t="n">
        <v>0</v>
      </c>
      <c r="J25" s="2" t="s">
        <v>195</v>
      </c>
    </row>
    <row r="26" customFormat="false" ht="15" hidden="false" customHeight="false" outlineLevel="0" collapsed="false">
      <c r="A26" s="2" t="s">
        <v>233</v>
      </c>
      <c r="B26" s="2" t="s">
        <v>234</v>
      </c>
      <c r="C26" s="2" t="s">
        <v>230</v>
      </c>
      <c r="D26" s="2" t="s">
        <v>191</v>
      </c>
      <c r="I26" s="4" t="n">
        <v>0</v>
      </c>
      <c r="J26" s="2" t="s">
        <v>195</v>
      </c>
    </row>
    <row r="27" customFormat="false" ht="15" hidden="false" customHeight="false" outlineLevel="0" collapsed="false">
      <c r="A27" s="2" t="s">
        <v>235</v>
      </c>
      <c r="B27" s="2" t="s">
        <v>236</v>
      </c>
      <c r="C27" s="2" t="s">
        <v>230</v>
      </c>
      <c r="D27" s="2" t="s">
        <v>191</v>
      </c>
      <c r="I27" s="4" t="n">
        <v>0</v>
      </c>
      <c r="J27" s="2" t="s">
        <v>195</v>
      </c>
    </row>
    <row r="28" customFormat="false" ht="15" hidden="false" customHeight="false" outlineLevel="0" collapsed="false">
      <c r="A28" s="2" t="s">
        <v>237</v>
      </c>
      <c r="B28" s="2" t="s">
        <v>238</v>
      </c>
      <c r="C28" s="2" t="s">
        <v>230</v>
      </c>
      <c r="D28" s="2" t="s">
        <v>191</v>
      </c>
      <c r="I28" s="4" t="n">
        <v>0</v>
      </c>
      <c r="J28" s="2" t="s">
        <v>195</v>
      </c>
    </row>
    <row r="29" customFormat="false" ht="15" hidden="false" customHeight="false" outlineLevel="0" collapsed="false">
      <c r="A29" s="2" t="s">
        <v>239</v>
      </c>
      <c r="B29" s="2" t="s">
        <v>240</v>
      </c>
      <c r="C29" s="2" t="s">
        <v>230</v>
      </c>
      <c r="D29" s="2" t="s">
        <v>191</v>
      </c>
      <c r="I29" s="4" t="n">
        <v>0</v>
      </c>
      <c r="J29" s="2" t="s">
        <v>195</v>
      </c>
    </row>
    <row r="30" customFormat="false" ht="15" hidden="false" customHeight="false" outlineLevel="0" collapsed="false">
      <c r="A30" s="2" t="s">
        <v>241</v>
      </c>
      <c r="B30" s="2" t="s">
        <v>242</v>
      </c>
      <c r="C30" s="2" t="s">
        <v>230</v>
      </c>
      <c r="D30" s="2" t="s">
        <v>191</v>
      </c>
      <c r="I30" s="4" t="n">
        <v>0</v>
      </c>
      <c r="J30" s="2" t="s">
        <v>195</v>
      </c>
    </row>
    <row r="31" customFormat="false" ht="15" hidden="false" customHeight="false" outlineLevel="0" collapsed="false">
      <c r="A31" s="2" t="s">
        <v>243</v>
      </c>
      <c r="B31" s="2" t="s">
        <v>244</v>
      </c>
      <c r="C31" s="2" t="s">
        <v>190</v>
      </c>
      <c r="D31" s="2" t="s">
        <v>191</v>
      </c>
      <c r="I31" s="4" t="n">
        <v>0</v>
      </c>
      <c r="J31" s="2" t="s">
        <v>195</v>
      </c>
    </row>
    <row r="32" customFormat="false" ht="15" hidden="false" customHeight="false" outlineLevel="0" collapsed="false">
      <c r="A32" s="2" t="s">
        <v>245</v>
      </c>
      <c r="B32" s="2" t="s">
        <v>246</v>
      </c>
      <c r="C32" s="2" t="s">
        <v>190</v>
      </c>
      <c r="D32" s="2" t="s">
        <v>191</v>
      </c>
      <c r="I32" s="4" t="n">
        <v>0</v>
      </c>
      <c r="J32" s="2" t="s">
        <v>195</v>
      </c>
    </row>
    <row r="33" customFormat="false" ht="15" hidden="false" customHeight="false" outlineLevel="0" collapsed="false">
      <c r="A33" s="2" t="s">
        <v>247</v>
      </c>
      <c r="B33" s="2" t="s">
        <v>248</v>
      </c>
      <c r="C33" s="2" t="s">
        <v>190</v>
      </c>
      <c r="D33" s="2" t="s">
        <v>191</v>
      </c>
      <c r="I33" s="4" t="n">
        <v>0</v>
      </c>
      <c r="J33" s="2" t="s">
        <v>195</v>
      </c>
    </row>
    <row r="34" customFormat="false" ht="15" hidden="false" customHeight="false" outlineLevel="0" collapsed="false">
      <c r="A34" s="2" t="s">
        <v>249</v>
      </c>
      <c r="B34" s="2" t="s">
        <v>250</v>
      </c>
      <c r="C34" s="2" t="s">
        <v>251</v>
      </c>
      <c r="D34" s="2" t="s">
        <v>191</v>
      </c>
      <c r="I34" s="4" t="n">
        <v>0</v>
      </c>
      <c r="J34" s="2" t="s">
        <v>195</v>
      </c>
    </row>
    <row r="35" customFormat="false" ht="15" hidden="false" customHeight="false" outlineLevel="0" collapsed="false">
      <c r="A35" s="2" t="s">
        <v>252</v>
      </c>
      <c r="B35" s="2" t="s">
        <v>253</v>
      </c>
      <c r="C35" s="2" t="s">
        <v>251</v>
      </c>
      <c r="D35" s="2" t="s">
        <v>191</v>
      </c>
      <c r="I35" s="4" t="n">
        <v>0</v>
      </c>
      <c r="J35" s="2" t="s">
        <v>195</v>
      </c>
    </row>
    <row r="36" customFormat="false" ht="15" hidden="false" customHeight="false" outlineLevel="0" collapsed="false">
      <c r="A36" s="2" t="s">
        <v>254</v>
      </c>
      <c r="B36" s="2" t="s">
        <v>255</v>
      </c>
      <c r="C36" s="2" t="s">
        <v>251</v>
      </c>
      <c r="D36" s="2" t="s">
        <v>191</v>
      </c>
      <c r="I36" s="4" t="n">
        <v>0</v>
      </c>
      <c r="J36" s="2" t="s">
        <v>195</v>
      </c>
    </row>
    <row r="37" customFormat="false" ht="15" hidden="false" customHeight="false" outlineLevel="0" collapsed="false">
      <c r="A37" s="2" t="s">
        <v>256</v>
      </c>
      <c r="B37" s="2" t="s">
        <v>257</v>
      </c>
      <c r="C37" s="2" t="s">
        <v>251</v>
      </c>
      <c r="D37" s="2" t="s">
        <v>191</v>
      </c>
      <c r="I37" s="4" t="n">
        <v>0</v>
      </c>
      <c r="J37" s="2" t="s">
        <v>195</v>
      </c>
    </row>
    <row r="38" customFormat="false" ht="15" hidden="false" customHeight="false" outlineLevel="0" collapsed="false">
      <c r="A38" s="2" t="s">
        <v>258</v>
      </c>
      <c r="B38" s="2" t="s">
        <v>259</v>
      </c>
      <c r="C38" s="2" t="s">
        <v>251</v>
      </c>
      <c r="D38" s="2" t="s">
        <v>191</v>
      </c>
      <c r="I38" s="4" t="n">
        <v>0</v>
      </c>
      <c r="J38" s="2" t="s">
        <v>195</v>
      </c>
    </row>
    <row r="39" customFormat="false" ht="15" hidden="false" customHeight="false" outlineLevel="0" collapsed="false">
      <c r="A39" s="2" t="s">
        <v>260</v>
      </c>
      <c r="B39" s="2" t="s">
        <v>261</v>
      </c>
      <c r="C39" s="2" t="s">
        <v>262</v>
      </c>
      <c r="D39" s="2" t="s">
        <v>191</v>
      </c>
      <c r="I39" s="4" t="n">
        <v>0</v>
      </c>
      <c r="J39" s="2" t="s">
        <v>195</v>
      </c>
    </row>
    <row r="40" customFormat="false" ht="15" hidden="false" customHeight="false" outlineLevel="0" collapsed="false">
      <c r="A40" s="2" t="s">
        <v>263</v>
      </c>
      <c r="B40" s="2" t="s">
        <v>264</v>
      </c>
      <c r="C40" s="2" t="s">
        <v>262</v>
      </c>
      <c r="D40" s="2" t="s">
        <v>187</v>
      </c>
      <c r="I40" s="4" t="n">
        <v>0</v>
      </c>
      <c r="J40" s="2" t="s">
        <v>195</v>
      </c>
    </row>
    <row r="41" customFormat="false" ht="15" hidden="false" customHeight="false" outlineLevel="0" collapsed="false">
      <c r="A41" s="2" t="s">
        <v>265</v>
      </c>
      <c r="B41" s="2" t="s">
        <v>266</v>
      </c>
      <c r="C41" s="2" t="s">
        <v>262</v>
      </c>
      <c r="D41" s="2" t="s">
        <v>267</v>
      </c>
      <c r="I41" s="4" t="n">
        <v>0</v>
      </c>
      <c r="J41" s="2" t="s">
        <v>195</v>
      </c>
    </row>
    <row r="42" customFormat="false" ht="15" hidden="false" customHeight="false" outlineLevel="0" collapsed="false">
      <c r="A42" s="2" t="s">
        <v>268</v>
      </c>
      <c r="B42" s="2" t="s">
        <v>269</v>
      </c>
      <c r="C42" s="2" t="s">
        <v>270</v>
      </c>
      <c r="D42" s="2" t="s">
        <v>271</v>
      </c>
      <c r="I42" s="4" t="n">
        <v>0</v>
      </c>
      <c r="J42" s="2" t="s">
        <v>195</v>
      </c>
    </row>
  </sheetData>
  <autoFilter ref="A1:J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N2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8"/>
    <col collapsed="false" customWidth="true" hidden="false" outlineLevel="0" max="3" min="3" style="0" width="44"/>
    <col collapsed="false" customWidth="true" hidden="false" outlineLevel="0" max="7" min="4" style="0" width="9"/>
    <col collapsed="false" customWidth="true" hidden="false" outlineLevel="0" max="9" min="8" style="0" width="11"/>
    <col collapsed="false" customWidth="true" hidden="false" outlineLevel="0" max="11" min="10" style="0" width="12"/>
    <col collapsed="false" customWidth="true" hidden="false" outlineLevel="0" max="12" min="12" style="0" width="10"/>
    <col collapsed="false" customWidth="true" hidden="false" outlineLevel="0" max="13" min="13" style="0" width="16"/>
    <col collapsed="false" customWidth="true" hidden="false" outlineLevel="0" max="14" min="14" style="0" width="12"/>
  </cols>
  <sheetData>
    <row r="1" customFormat="false" ht="31.5" hidden="false" customHeight="true" outlineLevel="0" collapsed="false">
      <c r="A1" s="1" t="s">
        <v>272</v>
      </c>
      <c r="B1" s="1" t="s">
        <v>273</v>
      </c>
      <c r="C1" s="1" t="s">
        <v>274</v>
      </c>
      <c r="D1" s="1" t="s">
        <v>275</v>
      </c>
      <c r="E1" s="1" t="s">
        <v>276</v>
      </c>
      <c r="F1" s="1" t="s">
        <v>277</v>
      </c>
      <c r="G1" s="1" t="s">
        <v>278</v>
      </c>
      <c r="H1" s="1" t="s">
        <v>279</v>
      </c>
      <c r="I1" s="1" t="s">
        <v>280</v>
      </c>
      <c r="J1" s="1" t="s">
        <v>281</v>
      </c>
      <c r="K1" s="1" t="s">
        <v>282</v>
      </c>
      <c r="L1" s="1" t="s">
        <v>283</v>
      </c>
      <c r="M1" s="1" t="s">
        <v>284</v>
      </c>
      <c r="N1" s="1" t="s">
        <v>64</v>
      </c>
    </row>
    <row r="2" customFormat="false" ht="15" hidden="false" customHeight="false" outlineLevel="0" collapsed="false">
      <c r="A2" s="2" t="s">
        <v>80</v>
      </c>
      <c r="B2" s="2" t="s">
        <v>285</v>
      </c>
      <c r="C2" s="2" t="s">
        <v>184</v>
      </c>
      <c r="D2" s="4" t="n">
        <v>4</v>
      </c>
      <c r="G2" s="8" t="n">
        <v>1.8</v>
      </c>
      <c r="I2" s="9" t="n">
        <v>10.8</v>
      </c>
      <c r="J2" s="7" t="n">
        <v>68.625</v>
      </c>
      <c r="L2" s="4" t="n">
        <v>1</v>
      </c>
      <c r="M2" s="2" t="s">
        <v>286</v>
      </c>
      <c r="N2" s="2" t="s">
        <v>82</v>
      </c>
    </row>
    <row r="3" customFormat="false" ht="15" hidden="false" customHeight="false" outlineLevel="0" collapsed="false">
      <c r="A3" s="2" t="s">
        <v>80</v>
      </c>
      <c r="B3" s="2" t="s">
        <v>287</v>
      </c>
      <c r="C3" s="2" t="s">
        <v>184</v>
      </c>
      <c r="D3" s="4" t="n">
        <v>8</v>
      </c>
      <c r="G3" s="8" t="n">
        <v>1.2</v>
      </c>
      <c r="I3" s="9" t="n">
        <v>14.4</v>
      </c>
      <c r="J3" s="7" t="n">
        <v>91.5</v>
      </c>
      <c r="L3" s="4" t="n">
        <v>1</v>
      </c>
      <c r="M3" s="2" t="s">
        <v>286</v>
      </c>
      <c r="N3" s="2" t="s">
        <v>82</v>
      </c>
    </row>
    <row r="4" customFormat="false" ht="15" hidden="false" customHeight="false" outlineLevel="0" collapsed="false">
      <c r="A4" s="2" t="s">
        <v>80</v>
      </c>
      <c r="B4" s="2" t="s">
        <v>288</v>
      </c>
      <c r="C4" s="2" t="s">
        <v>184</v>
      </c>
      <c r="D4" s="4" t="n">
        <v>4</v>
      </c>
      <c r="G4" s="8" t="n">
        <v>0.6</v>
      </c>
      <c r="I4" s="9" t="n">
        <v>3.6</v>
      </c>
      <c r="J4" s="7" t="n">
        <v>22.875</v>
      </c>
      <c r="L4" s="4" t="n">
        <v>1</v>
      </c>
      <c r="M4" s="2" t="s">
        <v>286</v>
      </c>
      <c r="N4" s="2" t="s">
        <v>82</v>
      </c>
    </row>
    <row r="5" customFormat="false" ht="15" hidden="false" customHeight="false" outlineLevel="0" collapsed="false">
      <c r="A5" s="2" t="s">
        <v>80</v>
      </c>
      <c r="B5" s="2" t="s">
        <v>289</v>
      </c>
      <c r="C5" s="2" t="s">
        <v>170</v>
      </c>
      <c r="D5" s="4" t="n">
        <v>4</v>
      </c>
      <c r="H5" s="10" t="n">
        <v>0.72</v>
      </c>
      <c r="I5" s="9" t="n">
        <v>45.216</v>
      </c>
      <c r="J5" s="7" t="n">
        <v>334.2052173913</v>
      </c>
      <c r="K5" s="9" t="n">
        <v>1</v>
      </c>
      <c r="L5" s="4" t="n">
        <v>1</v>
      </c>
      <c r="M5" s="2" t="s">
        <v>290</v>
      </c>
      <c r="N5" s="2" t="s">
        <v>82</v>
      </c>
    </row>
    <row r="6" customFormat="false" ht="15" hidden="false" customHeight="false" outlineLevel="0" collapsed="false">
      <c r="A6" s="2" t="s">
        <v>80</v>
      </c>
      <c r="B6" s="2" t="s">
        <v>291</v>
      </c>
      <c r="C6" s="2" t="s">
        <v>170</v>
      </c>
      <c r="D6" s="4" t="n">
        <v>8</v>
      </c>
      <c r="H6" s="10" t="n">
        <v>0.025</v>
      </c>
      <c r="I6" s="9" t="n">
        <v>3.14</v>
      </c>
      <c r="J6" s="7" t="n">
        <v>23.2086956522</v>
      </c>
      <c r="K6" s="9" t="n">
        <v>0.0694444444</v>
      </c>
      <c r="L6" s="4" t="n">
        <v>1</v>
      </c>
      <c r="M6" s="2" t="s">
        <v>290</v>
      </c>
      <c r="N6" s="2" t="s">
        <v>82</v>
      </c>
    </row>
    <row r="7" customFormat="false" ht="15" hidden="false" customHeight="false" outlineLevel="0" collapsed="false">
      <c r="A7" s="2" t="s">
        <v>80</v>
      </c>
      <c r="B7" s="2" t="s">
        <v>292</v>
      </c>
      <c r="C7" s="2" t="s">
        <v>188</v>
      </c>
      <c r="D7" s="4" t="n">
        <v>24</v>
      </c>
      <c r="J7" s="7" t="n">
        <v>21.6</v>
      </c>
      <c r="L7" s="4" t="n">
        <v>1</v>
      </c>
      <c r="M7" s="2" t="s">
        <v>293</v>
      </c>
      <c r="N7" s="2" t="s">
        <v>82</v>
      </c>
    </row>
    <row r="8" customFormat="false" ht="15" hidden="false" customHeight="false" outlineLevel="0" collapsed="false">
      <c r="A8" s="2" t="s">
        <v>80</v>
      </c>
      <c r="B8" s="2" t="s">
        <v>294</v>
      </c>
      <c r="C8" s="2" t="s">
        <v>188</v>
      </c>
      <c r="D8" s="4" t="n">
        <v>4</v>
      </c>
      <c r="J8" s="7" t="n">
        <v>3.6</v>
      </c>
      <c r="L8" s="4" t="n">
        <v>1</v>
      </c>
      <c r="M8" s="2" t="s">
        <v>293</v>
      </c>
      <c r="N8" s="2" t="s">
        <v>82</v>
      </c>
    </row>
    <row r="9" customFormat="false" ht="15" hidden="false" customHeight="false" outlineLevel="0" collapsed="false">
      <c r="A9" s="2" t="s">
        <v>83</v>
      </c>
      <c r="B9" s="2" t="s">
        <v>295</v>
      </c>
      <c r="C9" s="2" t="s">
        <v>184</v>
      </c>
      <c r="D9" s="4" t="n">
        <v>4</v>
      </c>
      <c r="G9" s="8" t="n">
        <v>2</v>
      </c>
      <c r="I9" s="9" t="n">
        <v>12</v>
      </c>
      <c r="J9" s="7" t="n">
        <v>76.25</v>
      </c>
      <c r="L9" s="4" t="n">
        <v>1</v>
      </c>
      <c r="M9" s="2" t="s">
        <v>286</v>
      </c>
      <c r="N9" s="2" t="s">
        <v>82</v>
      </c>
    </row>
    <row r="10" customFormat="false" ht="15" hidden="false" customHeight="false" outlineLevel="0" collapsed="false">
      <c r="A10" s="2" t="s">
        <v>83</v>
      </c>
      <c r="B10" s="2" t="s">
        <v>296</v>
      </c>
      <c r="C10" s="2" t="s">
        <v>184</v>
      </c>
      <c r="D10" s="4" t="n">
        <v>8</v>
      </c>
      <c r="G10" s="8" t="n">
        <v>1</v>
      </c>
      <c r="I10" s="9" t="n">
        <v>12</v>
      </c>
      <c r="J10" s="7" t="n">
        <v>76.25</v>
      </c>
      <c r="L10" s="4" t="n">
        <v>1</v>
      </c>
      <c r="M10" s="2" t="s">
        <v>286</v>
      </c>
      <c r="N10" s="2" t="s">
        <v>82</v>
      </c>
    </row>
    <row r="11" customFormat="false" ht="15" hidden="false" customHeight="false" outlineLevel="0" collapsed="false">
      <c r="A11" s="2" t="s">
        <v>83</v>
      </c>
      <c r="B11" s="2" t="s">
        <v>297</v>
      </c>
      <c r="C11" s="2" t="s">
        <v>184</v>
      </c>
      <c r="D11" s="4" t="n">
        <v>8</v>
      </c>
      <c r="G11" s="8" t="n">
        <v>0.5</v>
      </c>
      <c r="I11" s="9" t="n">
        <v>6</v>
      </c>
      <c r="J11" s="7" t="n">
        <v>38.125</v>
      </c>
      <c r="L11" s="4" t="n">
        <v>1</v>
      </c>
      <c r="M11" s="2" t="s">
        <v>286</v>
      </c>
      <c r="N11" s="2" t="s">
        <v>82</v>
      </c>
    </row>
    <row r="12" customFormat="false" ht="15" hidden="false" customHeight="false" outlineLevel="0" collapsed="false">
      <c r="A12" s="2" t="s">
        <v>83</v>
      </c>
      <c r="B12" s="2" t="s">
        <v>298</v>
      </c>
      <c r="C12" s="2" t="s">
        <v>170</v>
      </c>
      <c r="D12" s="4" t="n">
        <v>5</v>
      </c>
      <c r="H12" s="10" t="n">
        <v>0.5</v>
      </c>
      <c r="I12" s="9" t="n">
        <v>39.25</v>
      </c>
      <c r="J12" s="7" t="n">
        <v>290.1086956522</v>
      </c>
      <c r="K12" s="9" t="n">
        <v>0.8680555556</v>
      </c>
      <c r="L12" s="4" t="n">
        <v>1</v>
      </c>
      <c r="M12" s="2" t="s">
        <v>290</v>
      </c>
      <c r="N12" s="2" t="s">
        <v>82</v>
      </c>
    </row>
    <row r="13" customFormat="false" ht="15" hidden="false" customHeight="false" outlineLevel="0" collapsed="false">
      <c r="A13" s="2" t="s">
        <v>83</v>
      </c>
      <c r="B13" s="2" t="s">
        <v>299</v>
      </c>
      <c r="C13" s="2" t="s">
        <v>170</v>
      </c>
      <c r="D13" s="4" t="n">
        <v>8</v>
      </c>
      <c r="H13" s="10" t="n">
        <v>0.035</v>
      </c>
      <c r="I13" s="9" t="n">
        <v>4.396</v>
      </c>
      <c r="J13" s="7" t="n">
        <v>32.492173913</v>
      </c>
      <c r="K13" s="9" t="n">
        <v>0.0972222222</v>
      </c>
      <c r="L13" s="4" t="n">
        <v>1</v>
      </c>
      <c r="M13" s="2" t="s">
        <v>290</v>
      </c>
      <c r="N13" s="2" t="s">
        <v>82</v>
      </c>
    </row>
    <row r="14" customFormat="false" ht="15" hidden="false" customHeight="false" outlineLevel="0" collapsed="false">
      <c r="A14" s="2" t="s">
        <v>83</v>
      </c>
      <c r="B14" s="2" t="s">
        <v>300</v>
      </c>
      <c r="C14" s="2" t="s">
        <v>188</v>
      </c>
      <c r="D14" s="4" t="n">
        <v>28</v>
      </c>
      <c r="J14" s="7" t="n">
        <v>25.2</v>
      </c>
      <c r="L14" s="4" t="n">
        <v>1</v>
      </c>
      <c r="M14" s="2" t="s">
        <v>293</v>
      </c>
      <c r="N14" s="2" t="s">
        <v>82</v>
      </c>
    </row>
    <row r="15" customFormat="false" ht="15" hidden="false" customHeight="false" outlineLevel="0" collapsed="false">
      <c r="A15" s="2" t="s">
        <v>94</v>
      </c>
      <c r="B15" s="2" t="s">
        <v>301</v>
      </c>
      <c r="C15" s="2" t="s">
        <v>184</v>
      </c>
      <c r="D15" s="4" t="n">
        <v>2</v>
      </c>
      <c r="G15" s="8" t="n">
        <v>1.65</v>
      </c>
      <c r="I15" s="9" t="n">
        <v>4.95</v>
      </c>
      <c r="J15" s="7" t="n">
        <v>31.453125</v>
      </c>
      <c r="L15" s="4" t="n">
        <v>1</v>
      </c>
      <c r="M15" s="2" t="s">
        <v>286</v>
      </c>
      <c r="N15" s="2" t="s">
        <v>82</v>
      </c>
    </row>
    <row r="16" customFormat="false" ht="15" hidden="false" customHeight="false" outlineLevel="0" collapsed="false">
      <c r="A16" s="2" t="s">
        <v>94</v>
      </c>
      <c r="B16" s="2" t="s">
        <v>302</v>
      </c>
      <c r="C16" s="2" t="s">
        <v>174</v>
      </c>
      <c r="D16" s="4" t="n">
        <v>2</v>
      </c>
      <c r="H16" s="10" t="n">
        <v>0.3</v>
      </c>
      <c r="I16" s="9" t="n">
        <v>4.71</v>
      </c>
      <c r="J16" s="7" t="n">
        <v>34.8130434783</v>
      </c>
      <c r="K16" s="9" t="n">
        <v>0.2083333333</v>
      </c>
      <c r="L16" s="4" t="n">
        <v>1</v>
      </c>
      <c r="M16" s="2" t="s">
        <v>290</v>
      </c>
      <c r="N16" s="2" t="s">
        <v>82</v>
      </c>
    </row>
    <row r="17" customFormat="false" ht="15" hidden="false" customHeight="false" outlineLevel="0" collapsed="false">
      <c r="A17" s="2" t="s">
        <v>94</v>
      </c>
      <c r="B17" s="2" t="s">
        <v>303</v>
      </c>
      <c r="C17" s="2" t="s">
        <v>174</v>
      </c>
      <c r="D17" s="4" t="n">
        <v>4</v>
      </c>
      <c r="H17" s="10" t="n">
        <v>0.56</v>
      </c>
      <c r="I17" s="9" t="n">
        <v>17.584</v>
      </c>
      <c r="J17" s="7" t="n">
        <v>129.9686956522</v>
      </c>
      <c r="K17" s="9" t="n">
        <v>0.7777777778</v>
      </c>
      <c r="L17" s="4" t="n">
        <v>1</v>
      </c>
      <c r="M17" s="2" t="s">
        <v>290</v>
      </c>
      <c r="N17" s="2" t="s">
        <v>82</v>
      </c>
    </row>
    <row r="18" customFormat="false" ht="15" hidden="false" customHeight="false" outlineLevel="0" collapsed="false">
      <c r="A18" s="2" t="s">
        <v>94</v>
      </c>
      <c r="B18" s="2" t="s">
        <v>304</v>
      </c>
      <c r="C18" s="2" t="s">
        <v>174</v>
      </c>
      <c r="D18" s="4" t="n">
        <v>8</v>
      </c>
      <c r="H18" s="10" t="n">
        <v>0.4</v>
      </c>
      <c r="I18" s="9" t="n">
        <v>25.12</v>
      </c>
      <c r="J18" s="7" t="n">
        <v>185.6695652174</v>
      </c>
      <c r="K18" s="9" t="n">
        <v>1.1111111111</v>
      </c>
      <c r="L18" s="4" t="n">
        <v>1</v>
      </c>
      <c r="M18" s="2" t="s">
        <v>290</v>
      </c>
      <c r="N18" s="2" t="s">
        <v>82</v>
      </c>
    </row>
    <row r="19" customFormat="false" ht="15" hidden="false" customHeight="false" outlineLevel="0" collapsed="false">
      <c r="A19" s="2" t="s">
        <v>94</v>
      </c>
      <c r="B19" s="2" t="s">
        <v>305</v>
      </c>
      <c r="C19" s="2" t="s">
        <v>174</v>
      </c>
      <c r="D19" s="4" t="n">
        <v>16</v>
      </c>
      <c r="H19" s="10" t="n">
        <v>0.04</v>
      </c>
      <c r="I19" s="9" t="n">
        <v>5.024</v>
      </c>
      <c r="J19" s="7" t="n">
        <v>37.1339130435</v>
      </c>
      <c r="K19" s="9" t="n">
        <v>0.2222222222</v>
      </c>
      <c r="L19" s="4" t="n">
        <v>1</v>
      </c>
      <c r="M19" s="2" t="s">
        <v>290</v>
      </c>
      <c r="N19" s="2" t="s">
        <v>82</v>
      </c>
    </row>
    <row r="20" customFormat="false" ht="15" hidden="false" customHeight="false" outlineLevel="0" collapsed="false">
      <c r="A20" s="2" t="s">
        <v>94</v>
      </c>
      <c r="B20" s="2" t="s">
        <v>306</v>
      </c>
      <c r="C20" s="2" t="s">
        <v>174</v>
      </c>
      <c r="D20" s="4" t="n">
        <v>2</v>
      </c>
      <c r="H20" s="10" t="n">
        <v>0.12</v>
      </c>
      <c r="I20" s="9" t="n">
        <v>1.884</v>
      </c>
      <c r="J20" s="7" t="n">
        <v>13.9252173913</v>
      </c>
      <c r="K20" s="9" t="n">
        <v>0.0833333333</v>
      </c>
      <c r="L20" s="4" t="n">
        <v>1</v>
      </c>
      <c r="M20" s="2" t="s">
        <v>290</v>
      </c>
      <c r="N20" s="2" t="s">
        <v>82</v>
      </c>
    </row>
    <row r="21" customFormat="false" ht="15" hidden="false" customHeight="false" outlineLevel="0" collapsed="false">
      <c r="A21" s="2" t="s">
        <v>94</v>
      </c>
      <c r="B21" s="2" t="s">
        <v>307</v>
      </c>
      <c r="C21" s="2" t="s">
        <v>188</v>
      </c>
      <c r="D21" s="4" t="n">
        <v>36</v>
      </c>
      <c r="J21" s="7" t="n">
        <v>32.4</v>
      </c>
      <c r="L21" s="4" t="n">
        <v>1</v>
      </c>
      <c r="M21" s="2" t="s">
        <v>293</v>
      </c>
      <c r="N21" s="2" t="s">
        <v>82</v>
      </c>
    </row>
    <row r="22" customFormat="false" ht="15" hidden="false" customHeight="false" outlineLevel="0" collapsed="false">
      <c r="A22" s="2" t="s">
        <v>96</v>
      </c>
      <c r="B22" s="2" t="s">
        <v>308</v>
      </c>
      <c r="C22" s="2" t="s">
        <v>184</v>
      </c>
      <c r="D22" s="4" t="n">
        <v>2</v>
      </c>
      <c r="G22" s="8" t="n">
        <v>1.9</v>
      </c>
      <c r="I22" s="9" t="n">
        <v>5.7</v>
      </c>
      <c r="J22" s="7" t="n">
        <v>36.21875</v>
      </c>
      <c r="L22" s="4" t="n">
        <v>1</v>
      </c>
      <c r="M22" s="2" t="s">
        <v>286</v>
      </c>
      <c r="N22" s="2" t="s">
        <v>82</v>
      </c>
    </row>
    <row r="23" customFormat="false" ht="15" hidden="false" customHeight="false" outlineLevel="0" collapsed="false">
      <c r="A23" s="2" t="s">
        <v>96</v>
      </c>
      <c r="B23" s="2" t="s">
        <v>309</v>
      </c>
      <c r="C23" s="2" t="s">
        <v>174</v>
      </c>
      <c r="D23" s="4" t="n">
        <v>3</v>
      </c>
      <c r="H23" s="10" t="n">
        <v>0.55</v>
      </c>
      <c r="I23" s="9" t="n">
        <v>12.9525</v>
      </c>
      <c r="J23" s="7" t="n">
        <v>95.7358695652</v>
      </c>
      <c r="K23" s="9" t="n">
        <v>0.5729166667</v>
      </c>
      <c r="L23" s="4" t="n">
        <v>1</v>
      </c>
      <c r="M23" s="2" t="s">
        <v>290</v>
      </c>
      <c r="N23" s="2" t="s">
        <v>82</v>
      </c>
    </row>
    <row r="24" customFormat="false" ht="15" hidden="false" customHeight="false" outlineLevel="0" collapsed="false">
      <c r="A24" s="2" t="s">
        <v>96</v>
      </c>
      <c r="B24" s="2" t="s">
        <v>310</v>
      </c>
      <c r="C24" s="2" t="s">
        <v>174</v>
      </c>
      <c r="D24" s="4" t="n">
        <v>5</v>
      </c>
      <c r="H24" s="10" t="n">
        <v>0.42</v>
      </c>
      <c r="I24" s="9" t="n">
        <v>16.485</v>
      </c>
      <c r="J24" s="7" t="n">
        <v>121.8456521739</v>
      </c>
      <c r="K24" s="9" t="n">
        <v>0.7291666667</v>
      </c>
      <c r="L24" s="4" t="n">
        <v>1</v>
      </c>
      <c r="M24" s="2" t="s">
        <v>290</v>
      </c>
      <c r="N24" s="2" t="s">
        <v>82</v>
      </c>
    </row>
    <row r="25" customFormat="false" ht="15" hidden="false" customHeight="false" outlineLevel="0" collapsed="false">
      <c r="A25" s="2" t="s">
        <v>96</v>
      </c>
      <c r="B25" s="2" t="s">
        <v>311</v>
      </c>
      <c r="C25" s="2" t="s">
        <v>174</v>
      </c>
      <c r="D25" s="4" t="n">
        <v>10</v>
      </c>
      <c r="H25" s="10" t="n">
        <v>0.04</v>
      </c>
      <c r="I25" s="9" t="n">
        <v>3.14</v>
      </c>
      <c r="J25" s="7" t="n">
        <v>23.2086956522</v>
      </c>
      <c r="K25" s="9" t="n">
        <v>0.1388888889</v>
      </c>
      <c r="L25" s="4" t="n">
        <v>1</v>
      </c>
      <c r="M25" s="2" t="s">
        <v>290</v>
      </c>
      <c r="N25" s="2" t="s">
        <v>82</v>
      </c>
    </row>
    <row r="26" customFormat="false" ht="15" hidden="false" customHeight="false" outlineLevel="0" collapsed="false">
      <c r="A26" s="2" t="s">
        <v>96</v>
      </c>
      <c r="B26" s="2" t="s">
        <v>312</v>
      </c>
      <c r="C26" s="2" t="s">
        <v>174</v>
      </c>
      <c r="D26" s="4" t="n">
        <v>2</v>
      </c>
      <c r="H26" s="10" t="n">
        <v>0.25</v>
      </c>
      <c r="I26" s="9" t="n">
        <v>3.925</v>
      </c>
      <c r="J26" s="7" t="n">
        <v>29.0108695652</v>
      </c>
      <c r="K26" s="9" t="n">
        <v>0.1736111111</v>
      </c>
      <c r="L26" s="4" t="n">
        <v>1</v>
      </c>
      <c r="M26" s="2" t="s">
        <v>290</v>
      </c>
      <c r="N26" s="2" t="s">
        <v>82</v>
      </c>
    </row>
    <row r="27" customFormat="false" ht="15" hidden="false" customHeight="false" outlineLevel="0" collapsed="false">
      <c r="A27" s="2" t="s">
        <v>96</v>
      </c>
      <c r="B27" s="2" t="s">
        <v>313</v>
      </c>
      <c r="C27" s="2" t="s">
        <v>188</v>
      </c>
      <c r="D27" s="4" t="n">
        <v>26</v>
      </c>
      <c r="J27" s="7" t="n">
        <v>23.4</v>
      </c>
      <c r="L27" s="4" t="n">
        <v>1</v>
      </c>
      <c r="M27" s="2" t="s">
        <v>293</v>
      </c>
      <c r="N27" s="2" t="s">
        <v>82</v>
      </c>
    </row>
    <row r="28" customFormat="false" ht="15" hidden="false" customHeight="false" outlineLevel="0" collapsed="false">
      <c r="A28" s="2" t="s">
        <v>106</v>
      </c>
      <c r="B28" s="2" t="s">
        <v>314</v>
      </c>
      <c r="C28" s="2" t="s">
        <v>176</v>
      </c>
      <c r="D28" s="4" t="n">
        <v>2</v>
      </c>
      <c r="H28" s="10" t="n">
        <v>0.95</v>
      </c>
      <c r="I28" s="9" t="n">
        <v>22.3725</v>
      </c>
      <c r="J28" s="7" t="n">
        <v>165.3619565217</v>
      </c>
      <c r="K28" s="9" t="n">
        <v>0.6597222222</v>
      </c>
      <c r="L28" s="4" t="n">
        <v>1</v>
      </c>
      <c r="M28" s="2" t="s">
        <v>290</v>
      </c>
      <c r="N28" s="2" t="s">
        <v>82</v>
      </c>
    </row>
    <row r="29" customFormat="false" ht="15" hidden="false" customHeight="false" outlineLevel="0" collapsed="false">
      <c r="A29" s="2" t="s">
        <v>106</v>
      </c>
      <c r="B29" s="2" t="s">
        <v>315</v>
      </c>
      <c r="C29" s="2" t="s">
        <v>176</v>
      </c>
      <c r="D29" s="4" t="n">
        <v>2</v>
      </c>
      <c r="H29" s="10" t="n">
        <v>0.35</v>
      </c>
      <c r="I29" s="9" t="n">
        <v>8.2425</v>
      </c>
      <c r="J29" s="7" t="n">
        <v>60.922826087</v>
      </c>
      <c r="K29" s="9" t="n">
        <v>0.2430555556</v>
      </c>
      <c r="L29" s="4" t="n">
        <v>1</v>
      </c>
      <c r="M29" s="2" t="s">
        <v>290</v>
      </c>
      <c r="N29" s="2" t="s">
        <v>82</v>
      </c>
    </row>
    <row r="30" customFormat="false" ht="15" hidden="false" customHeight="false" outlineLevel="0" collapsed="false">
      <c r="A30" s="2" t="s">
        <v>106</v>
      </c>
      <c r="B30" s="2" t="s">
        <v>316</v>
      </c>
      <c r="C30" s="2" t="s">
        <v>176</v>
      </c>
      <c r="D30" s="4" t="n">
        <v>1</v>
      </c>
      <c r="H30" s="10" t="n">
        <v>1.7</v>
      </c>
      <c r="I30" s="9" t="n">
        <v>20.0175</v>
      </c>
      <c r="J30" s="7" t="n">
        <v>147.9554347826</v>
      </c>
      <c r="K30" s="9" t="n">
        <v>0.5902777778</v>
      </c>
      <c r="L30" s="4" t="n">
        <v>1</v>
      </c>
      <c r="M30" s="2" t="s">
        <v>290</v>
      </c>
      <c r="N30" s="2" t="s">
        <v>82</v>
      </c>
    </row>
    <row r="31" customFormat="false" ht="15" hidden="false" customHeight="false" outlineLevel="0" collapsed="false">
      <c r="A31" s="2" t="s">
        <v>106</v>
      </c>
      <c r="B31" s="2" t="s">
        <v>317</v>
      </c>
      <c r="C31" s="2" t="s">
        <v>176</v>
      </c>
      <c r="D31" s="4" t="n">
        <v>4</v>
      </c>
      <c r="H31" s="10" t="n">
        <v>0.37</v>
      </c>
      <c r="I31" s="9" t="n">
        <v>17.427</v>
      </c>
      <c r="J31" s="7" t="n">
        <v>128.8082608696</v>
      </c>
      <c r="K31" s="9" t="n">
        <v>0.5138888889</v>
      </c>
      <c r="L31" s="4" t="n">
        <v>1</v>
      </c>
      <c r="M31" s="2" t="s">
        <v>290</v>
      </c>
      <c r="N31" s="2" t="s">
        <v>82</v>
      </c>
    </row>
    <row r="32" customFormat="false" ht="15" hidden="false" customHeight="false" outlineLevel="0" collapsed="false">
      <c r="A32" s="2" t="s">
        <v>106</v>
      </c>
      <c r="B32" s="2" t="s">
        <v>318</v>
      </c>
      <c r="C32" s="2" t="s">
        <v>176</v>
      </c>
      <c r="D32" s="4" t="n">
        <v>3</v>
      </c>
      <c r="H32" s="10" t="n">
        <v>0.35</v>
      </c>
      <c r="I32" s="9" t="n">
        <v>12.36375</v>
      </c>
      <c r="J32" s="7" t="n">
        <v>91.3842391304</v>
      </c>
      <c r="K32" s="9" t="n">
        <v>0.3645833333</v>
      </c>
      <c r="L32" s="4" t="n">
        <v>1</v>
      </c>
      <c r="M32" s="2" t="s">
        <v>290</v>
      </c>
      <c r="N32" s="2" t="s">
        <v>82</v>
      </c>
    </row>
    <row r="33" customFormat="false" ht="15" hidden="false" customHeight="false" outlineLevel="0" collapsed="false">
      <c r="A33" s="2" t="s">
        <v>106</v>
      </c>
      <c r="B33" s="2" t="s">
        <v>319</v>
      </c>
      <c r="C33" s="2" t="s">
        <v>188</v>
      </c>
      <c r="D33" s="4" t="n">
        <v>8</v>
      </c>
      <c r="J33" s="7" t="n">
        <v>7.2</v>
      </c>
      <c r="L33" s="4" t="n">
        <v>1</v>
      </c>
      <c r="M33" s="2" t="s">
        <v>293</v>
      </c>
      <c r="N33" s="2" t="s">
        <v>82</v>
      </c>
    </row>
    <row r="34" customFormat="false" ht="15" hidden="false" customHeight="false" outlineLevel="0" collapsed="false">
      <c r="A34" s="2" t="s">
        <v>106</v>
      </c>
      <c r="B34" s="2" t="s">
        <v>320</v>
      </c>
      <c r="C34" s="2" t="s">
        <v>188</v>
      </c>
      <c r="D34" s="4" t="n">
        <v>4</v>
      </c>
      <c r="J34" s="7" t="n">
        <v>3.6</v>
      </c>
      <c r="L34" s="4" t="n">
        <v>1</v>
      </c>
      <c r="M34" s="2" t="s">
        <v>293</v>
      </c>
      <c r="N34" s="2" t="s">
        <v>82</v>
      </c>
    </row>
    <row r="35" customFormat="false" ht="15" hidden="false" customHeight="false" outlineLevel="0" collapsed="false">
      <c r="A35" s="2" t="s">
        <v>108</v>
      </c>
      <c r="B35" s="2" t="s">
        <v>321</v>
      </c>
      <c r="C35" s="2" t="s">
        <v>176</v>
      </c>
      <c r="D35" s="4" t="n">
        <v>2</v>
      </c>
      <c r="H35" s="10" t="n">
        <v>1.1</v>
      </c>
      <c r="I35" s="9" t="n">
        <v>25.905</v>
      </c>
      <c r="J35" s="7" t="n">
        <v>191.4717391304</v>
      </c>
      <c r="K35" s="9" t="n">
        <v>0.7638888889</v>
      </c>
      <c r="L35" s="4" t="n">
        <v>1</v>
      </c>
      <c r="M35" s="2" t="s">
        <v>290</v>
      </c>
      <c r="N35" s="2" t="s">
        <v>82</v>
      </c>
    </row>
    <row r="36" customFormat="false" ht="15" hidden="false" customHeight="false" outlineLevel="0" collapsed="false">
      <c r="A36" s="2" t="s">
        <v>108</v>
      </c>
      <c r="B36" s="2" t="s">
        <v>322</v>
      </c>
      <c r="C36" s="2" t="s">
        <v>176</v>
      </c>
      <c r="D36" s="4" t="n">
        <v>2</v>
      </c>
      <c r="H36" s="10" t="n">
        <v>0.48</v>
      </c>
      <c r="I36" s="9" t="n">
        <v>11.304</v>
      </c>
      <c r="J36" s="7" t="n">
        <v>83.5513043478</v>
      </c>
      <c r="K36" s="9" t="n">
        <v>0.3333333333</v>
      </c>
      <c r="L36" s="4" t="n">
        <v>1</v>
      </c>
      <c r="M36" s="2" t="s">
        <v>290</v>
      </c>
      <c r="N36" s="2" t="s">
        <v>82</v>
      </c>
    </row>
    <row r="37" customFormat="false" ht="15" hidden="false" customHeight="false" outlineLevel="0" collapsed="false">
      <c r="A37" s="2" t="s">
        <v>108</v>
      </c>
      <c r="B37" s="2" t="s">
        <v>323</v>
      </c>
      <c r="C37" s="2" t="s">
        <v>176</v>
      </c>
      <c r="D37" s="4" t="n">
        <v>1</v>
      </c>
      <c r="H37" s="10" t="n">
        <v>1.8</v>
      </c>
      <c r="I37" s="9" t="n">
        <v>21.195</v>
      </c>
      <c r="J37" s="7" t="n">
        <v>156.6586956522</v>
      </c>
      <c r="K37" s="9" t="n">
        <v>0.625</v>
      </c>
      <c r="L37" s="4" t="n">
        <v>1</v>
      </c>
      <c r="M37" s="2" t="s">
        <v>290</v>
      </c>
      <c r="N37" s="2" t="s">
        <v>82</v>
      </c>
    </row>
    <row r="38" customFormat="false" ht="15" hidden="false" customHeight="false" outlineLevel="0" collapsed="false">
      <c r="A38" s="2" t="s">
        <v>108</v>
      </c>
      <c r="B38" s="2" t="s">
        <v>324</v>
      </c>
      <c r="C38" s="2" t="s">
        <v>176</v>
      </c>
      <c r="D38" s="4" t="n">
        <v>6</v>
      </c>
      <c r="H38" s="10" t="n">
        <v>0.3</v>
      </c>
      <c r="I38" s="9" t="n">
        <v>21.195</v>
      </c>
      <c r="J38" s="7" t="n">
        <v>156.6586956522</v>
      </c>
      <c r="K38" s="9" t="n">
        <v>0.625</v>
      </c>
      <c r="L38" s="4" t="n">
        <v>1</v>
      </c>
      <c r="M38" s="2" t="s">
        <v>290</v>
      </c>
      <c r="N38" s="2" t="s">
        <v>82</v>
      </c>
    </row>
    <row r="39" customFormat="false" ht="15" hidden="false" customHeight="false" outlineLevel="0" collapsed="false">
      <c r="A39" s="2" t="s">
        <v>108</v>
      </c>
      <c r="B39" s="2" t="s">
        <v>325</v>
      </c>
      <c r="C39" s="2" t="s">
        <v>176</v>
      </c>
      <c r="D39" s="4" t="n">
        <v>2</v>
      </c>
      <c r="H39" s="10" t="n">
        <v>0.7</v>
      </c>
      <c r="I39" s="9" t="n">
        <v>16.485</v>
      </c>
      <c r="J39" s="7" t="n">
        <v>121.8456521739</v>
      </c>
      <c r="K39" s="9" t="n">
        <v>0.4861111111</v>
      </c>
      <c r="L39" s="4" t="n">
        <v>1</v>
      </c>
      <c r="M39" s="2" t="s">
        <v>290</v>
      </c>
      <c r="N39" s="2" t="s">
        <v>82</v>
      </c>
    </row>
    <row r="40" customFormat="false" ht="15" hidden="false" customHeight="false" outlineLevel="0" collapsed="false">
      <c r="A40" s="2" t="s">
        <v>108</v>
      </c>
      <c r="B40" s="2" t="s">
        <v>326</v>
      </c>
      <c r="C40" s="2" t="s">
        <v>176</v>
      </c>
      <c r="D40" s="4" t="n">
        <v>4</v>
      </c>
      <c r="H40" s="10" t="n">
        <v>0.4</v>
      </c>
      <c r="I40" s="9" t="n">
        <v>18.84</v>
      </c>
      <c r="J40" s="7" t="n">
        <v>139.252173913</v>
      </c>
      <c r="K40" s="9" t="n">
        <v>0.5555555556</v>
      </c>
      <c r="L40" s="4" t="n">
        <v>1</v>
      </c>
      <c r="M40" s="2" t="s">
        <v>290</v>
      </c>
      <c r="N40" s="2" t="s">
        <v>82</v>
      </c>
    </row>
    <row r="41" customFormat="false" ht="15" hidden="false" customHeight="false" outlineLevel="0" collapsed="false">
      <c r="A41" s="2" t="s">
        <v>108</v>
      </c>
      <c r="B41" s="2" t="s">
        <v>319</v>
      </c>
      <c r="C41" s="2" t="s">
        <v>188</v>
      </c>
      <c r="D41" s="4" t="n">
        <v>12</v>
      </c>
      <c r="J41" s="7" t="n">
        <v>10.8</v>
      </c>
      <c r="L41" s="4" t="n">
        <v>1</v>
      </c>
      <c r="M41" s="2" t="s">
        <v>293</v>
      </c>
      <c r="N41" s="2" t="s">
        <v>82</v>
      </c>
    </row>
    <row r="42" customFormat="false" ht="15" hidden="false" customHeight="false" outlineLevel="0" collapsed="false">
      <c r="A42" s="2" t="s">
        <v>108</v>
      </c>
      <c r="B42" s="2" t="s">
        <v>320</v>
      </c>
      <c r="C42" s="2" t="s">
        <v>188</v>
      </c>
      <c r="D42" s="4" t="n">
        <v>6</v>
      </c>
      <c r="J42" s="7" t="n">
        <v>5.4</v>
      </c>
      <c r="L42" s="4" t="n">
        <v>1</v>
      </c>
      <c r="M42" s="2" t="s">
        <v>293</v>
      </c>
      <c r="N42" s="2" t="s">
        <v>82</v>
      </c>
    </row>
    <row r="43" customFormat="false" ht="15" hidden="false" customHeight="false" outlineLevel="0" collapsed="false">
      <c r="A43" s="2" t="s">
        <v>119</v>
      </c>
      <c r="B43" s="2" t="s">
        <v>327</v>
      </c>
      <c r="C43" s="2" t="s">
        <v>174</v>
      </c>
      <c r="D43" s="4" t="n">
        <v>2</v>
      </c>
      <c r="H43" s="10" t="n">
        <v>0.95</v>
      </c>
      <c r="I43" s="9" t="n">
        <v>14.915</v>
      </c>
      <c r="J43" s="7" t="n">
        <v>110.2413043478</v>
      </c>
      <c r="K43" s="9" t="n">
        <v>0.6597222222</v>
      </c>
      <c r="L43" s="4" t="n">
        <v>1</v>
      </c>
      <c r="M43" s="2" t="s">
        <v>290</v>
      </c>
      <c r="N43" s="2" t="s">
        <v>82</v>
      </c>
    </row>
    <row r="44" customFormat="false" ht="15" hidden="false" customHeight="false" outlineLevel="0" collapsed="false">
      <c r="A44" s="2" t="s">
        <v>119</v>
      </c>
      <c r="B44" s="2" t="s">
        <v>316</v>
      </c>
      <c r="C44" s="2" t="s">
        <v>174</v>
      </c>
      <c r="D44" s="4" t="n">
        <v>1</v>
      </c>
      <c r="H44" s="10" t="n">
        <v>1.3</v>
      </c>
      <c r="I44" s="9" t="n">
        <v>10.205</v>
      </c>
      <c r="J44" s="7" t="n">
        <v>75.4282608696</v>
      </c>
      <c r="K44" s="9" t="n">
        <v>0.4513888889</v>
      </c>
      <c r="L44" s="4" t="n">
        <v>1</v>
      </c>
      <c r="M44" s="2" t="s">
        <v>290</v>
      </c>
      <c r="N44" s="2" t="s">
        <v>82</v>
      </c>
    </row>
    <row r="45" customFormat="false" ht="15" hidden="false" customHeight="false" outlineLevel="0" collapsed="false">
      <c r="A45" s="2" t="s">
        <v>119</v>
      </c>
      <c r="B45" s="2" t="s">
        <v>322</v>
      </c>
      <c r="C45" s="2" t="s">
        <v>174</v>
      </c>
      <c r="D45" s="4" t="n">
        <v>2</v>
      </c>
      <c r="H45" s="10" t="n">
        <v>0.5</v>
      </c>
      <c r="I45" s="9" t="n">
        <v>7.85</v>
      </c>
      <c r="J45" s="7" t="n">
        <v>58.0217391304</v>
      </c>
      <c r="K45" s="9" t="n">
        <v>0.3472222222</v>
      </c>
      <c r="L45" s="4" t="n">
        <v>1</v>
      </c>
      <c r="M45" s="2" t="s">
        <v>290</v>
      </c>
      <c r="N45" s="2" t="s">
        <v>82</v>
      </c>
    </row>
    <row r="46" customFormat="false" ht="15" hidden="false" customHeight="false" outlineLevel="0" collapsed="false">
      <c r="A46" s="2" t="s">
        <v>119</v>
      </c>
      <c r="B46" s="2" t="s">
        <v>328</v>
      </c>
      <c r="C46" s="2" t="s">
        <v>174</v>
      </c>
      <c r="D46" s="4" t="n">
        <v>2</v>
      </c>
      <c r="H46" s="10" t="n">
        <v>0.7</v>
      </c>
      <c r="I46" s="9" t="n">
        <v>10.99</v>
      </c>
      <c r="J46" s="7" t="n">
        <v>81.2304347826</v>
      </c>
      <c r="K46" s="9" t="n">
        <v>0.4861111111</v>
      </c>
      <c r="L46" s="4" t="n">
        <v>1</v>
      </c>
      <c r="M46" s="2" t="s">
        <v>290</v>
      </c>
      <c r="N46" s="2" t="s">
        <v>82</v>
      </c>
    </row>
    <row r="47" customFormat="false" ht="15" hidden="false" customHeight="false" outlineLevel="0" collapsed="false">
      <c r="A47" s="2" t="s">
        <v>119</v>
      </c>
      <c r="B47" s="2" t="s">
        <v>310</v>
      </c>
      <c r="C47" s="2" t="s">
        <v>174</v>
      </c>
      <c r="D47" s="4" t="n">
        <v>3</v>
      </c>
      <c r="H47" s="10" t="n">
        <v>0.48</v>
      </c>
      <c r="I47" s="9" t="n">
        <v>11.304</v>
      </c>
      <c r="J47" s="7" t="n">
        <v>83.5513043478</v>
      </c>
      <c r="K47" s="9" t="n">
        <v>0.5</v>
      </c>
      <c r="L47" s="4" t="n">
        <v>1</v>
      </c>
      <c r="M47" s="2" t="s">
        <v>290</v>
      </c>
      <c r="N47" s="2" t="s">
        <v>82</v>
      </c>
    </row>
    <row r="48" customFormat="false" ht="15" hidden="false" customHeight="false" outlineLevel="0" collapsed="false">
      <c r="A48" s="2" t="s">
        <v>119</v>
      </c>
      <c r="B48" s="2" t="s">
        <v>319</v>
      </c>
      <c r="C48" s="2" t="s">
        <v>188</v>
      </c>
      <c r="D48" s="4" t="n">
        <v>4</v>
      </c>
      <c r="J48" s="7" t="n">
        <v>3.6</v>
      </c>
      <c r="L48" s="4" t="n">
        <v>1</v>
      </c>
      <c r="M48" s="2" t="s">
        <v>293</v>
      </c>
      <c r="N48" s="2" t="s">
        <v>82</v>
      </c>
    </row>
    <row r="49" customFormat="false" ht="15" hidden="false" customHeight="false" outlineLevel="0" collapsed="false">
      <c r="A49" s="2" t="s">
        <v>119</v>
      </c>
      <c r="B49" s="2" t="s">
        <v>320</v>
      </c>
      <c r="C49" s="2" t="s">
        <v>188</v>
      </c>
      <c r="D49" s="4" t="n">
        <v>2</v>
      </c>
      <c r="J49" s="7" t="n">
        <v>1.8</v>
      </c>
      <c r="L49" s="4" t="n">
        <v>1</v>
      </c>
      <c r="M49" s="2" t="s">
        <v>293</v>
      </c>
      <c r="N49" s="2" t="s">
        <v>82</v>
      </c>
    </row>
    <row r="50" customFormat="false" ht="15" hidden="false" customHeight="false" outlineLevel="0" collapsed="false">
      <c r="A50" s="2" t="s">
        <v>121</v>
      </c>
      <c r="B50" s="2" t="s">
        <v>329</v>
      </c>
      <c r="C50" s="2" t="s">
        <v>184</v>
      </c>
      <c r="D50" s="4" t="n">
        <v>4</v>
      </c>
      <c r="G50" s="8" t="n">
        <v>1.65</v>
      </c>
      <c r="I50" s="9" t="n">
        <v>9.9</v>
      </c>
      <c r="J50" s="7" t="n">
        <v>62.90625</v>
      </c>
      <c r="L50" s="4" t="n">
        <v>1</v>
      </c>
      <c r="M50" s="2" t="s">
        <v>286</v>
      </c>
      <c r="N50" s="2" t="s">
        <v>82</v>
      </c>
    </row>
    <row r="51" customFormat="false" ht="15" hidden="false" customHeight="false" outlineLevel="0" collapsed="false">
      <c r="A51" s="2" t="s">
        <v>121</v>
      </c>
      <c r="B51" s="2" t="s">
        <v>330</v>
      </c>
      <c r="C51" s="2" t="s">
        <v>184</v>
      </c>
      <c r="D51" s="4" t="n">
        <v>8</v>
      </c>
      <c r="G51" s="8" t="n">
        <v>0.9</v>
      </c>
      <c r="I51" s="9" t="n">
        <v>10.8</v>
      </c>
      <c r="J51" s="7" t="n">
        <v>68.625</v>
      </c>
      <c r="L51" s="4" t="n">
        <v>1</v>
      </c>
      <c r="M51" s="2" t="s">
        <v>286</v>
      </c>
      <c r="N51" s="2" t="s">
        <v>82</v>
      </c>
    </row>
    <row r="52" customFormat="false" ht="15" hidden="false" customHeight="false" outlineLevel="0" collapsed="false">
      <c r="A52" s="2" t="s">
        <v>121</v>
      </c>
      <c r="B52" s="2" t="s">
        <v>310</v>
      </c>
      <c r="C52" s="2" t="s">
        <v>174</v>
      </c>
      <c r="D52" s="4" t="n">
        <v>5</v>
      </c>
      <c r="H52" s="10" t="n">
        <v>0.4</v>
      </c>
      <c r="I52" s="9" t="n">
        <v>15.7</v>
      </c>
      <c r="J52" s="7" t="n">
        <v>116.0434782609</v>
      </c>
      <c r="K52" s="9" t="n">
        <v>0.6944444444</v>
      </c>
      <c r="L52" s="4" t="n">
        <v>1</v>
      </c>
      <c r="M52" s="2" t="s">
        <v>290</v>
      </c>
      <c r="N52" s="2" t="s">
        <v>82</v>
      </c>
    </row>
    <row r="53" customFormat="false" ht="15" hidden="false" customHeight="false" outlineLevel="0" collapsed="false">
      <c r="A53" s="2" t="s">
        <v>121</v>
      </c>
      <c r="B53" s="2" t="s">
        <v>331</v>
      </c>
      <c r="C53" s="2" t="s">
        <v>174</v>
      </c>
      <c r="D53" s="4" t="n">
        <v>8</v>
      </c>
      <c r="H53" s="10" t="n">
        <v>0.035</v>
      </c>
      <c r="I53" s="9" t="n">
        <v>2.198</v>
      </c>
      <c r="J53" s="7" t="n">
        <v>16.2460869565</v>
      </c>
      <c r="K53" s="9" t="n">
        <v>0.0972222222</v>
      </c>
      <c r="L53" s="4" t="n">
        <v>1</v>
      </c>
      <c r="M53" s="2" t="s">
        <v>290</v>
      </c>
      <c r="N53" s="2" t="s">
        <v>82</v>
      </c>
    </row>
    <row r="54" customFormat="false" ht="15" hidden="false" customHeight="false" outlineLevel="0" collapsed="false">
      <c r="A54" s="2" t="s">
        <v>121</v>
      </c>
      <c r="B54" s="2" t="s">
        <v>332</v>
      </c>
      <c r="C54" s="2" t="s">
        <v>188</v>
      </c>
      <c r="D54" s="4" t="n">
        <v>32</v>
      </c>
      <c r="J54" s="7" t="n">
        <v>28.8</v>
      </c>
      <c r="L54" s="4" t="n">
        <v>1</v>
      </c>
      <c r="M54" s="2" t="s">
        <v>293</v>
      </c>
      <c r="N54" s="2" t="s">
        <v>82</v>
      </c>
    </row>
    <row r="55" customFormat="false" ht="15" hidden="false" customHeight="false" outlineLevel="0" collapsed="false">
      <c r="A55" s="2" t="s">
        <v>85</v>
      </c>
      <c r="B55" s="2" t="s">
        <v>333</v>
      </c>
      <c r="C55" s="2" t="s">
        <v>184</v>
      </c>
      <c r="D55" s="4" t="n">
        <v>4</v>
      </c>
      <c r="G55" s="8" t="n">
        <v>4.5</v>
      </c>
      <c r="I55" s="9" t="n">
        <v>27</v>
      </c>
      <c r="J55" s="7" t="n">
        <v>171.5625</v>
      </c>
      <c r="L55" s="4" t="n">
        <v>1</v>
      </c>
      <c r="M55" s="2" t="s">
        <v>286</v>
      </c>
      <c r="N55" s="2" t="s">
        <v>82</v>
      </c>
    </row>
    <row r="56" customFormat="false" ht="15" hidden="false" customHeight="false" outlineLevel="0" collapsed="false">
      <c r="A56" s="2" t="s">
        <v>85</v>
      </c>
      <c r="B56" s="2" t="s">
        <v>334</v>
      </c>
      <c r="C56" s="2" t="s">
        <v>184</v>
      </c>
      <c r="D56" s="4" t="n">
        <v>8</v>
      </c>
      <c r="G56" s="8" t="n">
        <v>2.7</v>
      </c>
      <c r="I56" s="9" t="n">
        <v>32.4</v>
      </c>
      <c r="J56" s="7" t="n">
        <v>205.875</v>
      </c>
      <c r="L56" s="4" t="n">
        <v>1</v>
      </c>
      <c r="M56" s="2" t="s">
        <v>286</v>
      </c>
      <c r="N56" s="2" t="s">
        <v>82</v>
      </c>
    </row>
    <row r="57" customFormat="false" ht="15" hidden="false" customHeight="false" outlineLevel="0" collapsed="false">
      <c r="A57" s="2" t="s">
        <v>85</v>
      </c>
      <c r="B57" s="2" t="s">
        <v>297</v>
      </c>
      <c r="C57" s="2" t="s">
        <v>184</v>
      </c>
      <c r="D57" s="4" t="n">
        <v>8</v>
      </c>
      <c r="G57" s="8" t="n">
        <v>1</v>
      </c>
      <c r="I57" s="9" t="n">
        <v>12</v>
      </c>
      <c r="J57" s="7" t="n">
        <v>76.25</v>
      </c>
      <c r="L57" s="4" t="n">
        <v>1</v>
      </c>
      <c r="M57" s="2" t="s">
        <v>286</v>
      </c>
      <c r="N57" s="2" t="s">
        <v>82</v>
      </c>
    </row>
    <row r="58" customFormat="false" ht="15" hidden="false" customHeight="false" outlineLevel="0" collapsed="false">
      <c r="A58" s="2" t="s">
        <v>85</v>
      </c>
      <c r="B58" s="2" t="s">
        <v>335</v>
      </c>
      <c r="C58" s="2" t="s">
        <v>188</v>
      </c>
      <c r="D58" s="4" t="n">
        <v>16</v>
      </c>
      <c r="J58" s="7" t="n">
        <v>14.4</v>
      </c>
      <c r="L58" s="4" t="n">
        <v>1</v>
      </c>
      <c r="M58" s="2" t="s">
        <v>293</v>
      </c>
      <c r="N58" s="2" t="s">
        <v>82</v>
      </c>
    </row>
    <row r="59" customFormat="false" ht="15" hidden="false" customHeight="false" outlineLevel="0" collapsed="false">
      <c r="A59" s="2" t="s">
        <v>87</v>
      </c>
      <c r="B59" s="2" t="s">
        <v>333</v>
      </c>
      <c r="C59" s="2" t="s">
        <v>184</v>
      </c>
      <c r="D59" s="4" t="n">
        <v>4</v>
      </c>
      <c r="G59" s="8" t="n">
        <v>3</v>
      </c>
      <c r="I59" s="9" t="n">
        <v>18</v>
      </c>
      <c r="J59" s="7" t="n">
        <v>114.375</v>
      </c>
      <c r="L59" s="4" t="n">
        <v>1</v>
      </c>
      <c r="M59" s="2" t="s">
        <v>286</v>
      </c>
      <c r="N59" s="2" t="s">
        <v>82</v>
      </c>
    </row>
    <row r="60" customFormat="false" ht="15" hidden="false" customHeight="false" outlineLevel="0" collapsed="false">
      <c r="A60" s="2" t="s">
        <v>87</v>
      </c>
      <c r="B60" s="2" t="s">
        <v>334</v>
      </c>
      <c r="C60" s="2" t="s">
        <v>184</v>
      </c>
      <c r="D60" s="4" t="n">
        <v>8</v>
      </c>
      <c r="G60" s="8" t="n">
        <v>2</v>
      </c>
      <c r="I60" s="9" t="n">
        <v>24</v>
      </c>
      <c r="J60" s="7" t="n">
        <v>152.5</v>
      </c>
      <c r="L60" s="4" t="n">
        <v>1</v>
      </c>
      <c r="M60" s="2" t="s">
        <v>286</v>
      </c>
      <c r="N60" s="2" t="s">
        <v>82</v>
      </c>
    </row>
    <row r="61" customFormat="false" ht="15" hidden="false" customHeight="false" outlineLevel="0" collapsed="false">
      <c r="A61" s="2" t="s">
        <v>87</v>
      </c>
      <c r="B61" s="2" t="s">
        <v>297</v>
      </c>
      <c r="C61" s="2" t="s">
        <v>184</v>
      </c>
      <c r="D61" s="4" t="n">
        <v>8</v>
      </c>
      <c r="G61" s="8" t="n">
        <v>1.5</v>
      </c>
      <c r="I61" s="9" t="n">
        <v>18</v>
      </c>
      <c r="J61" s="7" t="n">
        <v>114.375</v>
      </c>
      <c r="L61" s="4" t="n">
        <v>1</v>
      </c>
      <c r="M61" s="2" t="s">
        <v>286</v>
      </c>
      <c r="N61" s="2" t="s">
        <v>82</v>
      </c>
    </row>
    <row r="62" customFormat="false" ht="15" hidden="false" customHeight="false" outlineLevel="0" collapsed="false">
      <c r="A62" s="2" t="s">
        <v>87</v>
      </c>
      <c r="B62" s="2" t="s">
        <v>335</v>
      </c>
      <c r="C62" s="2" t="s">
        <v>188</v>
      </c>
      <c r="D62" s="4" t="n">
        <v>16</v>
      </c>
      <c r="J62" s="7" t="n">
        <v>14.4</v>
      </c>
      <c r="L62" s="4" t="n">
        <v>1</v>
      </c>
      <c r="M62" s="2" t="s">
        <v>293</v>
      </c>
      <c r="N62" s="2" t="s">
        <v>82</v>
      </c>
    </row>
    <row r="63" customFormat="false" ht="15" hidden="false" customHeight="false" outlineLevel="0" collapsed="false">
      <c r="A63" s="2" t="s">
        <v>89</v>
      </c>
      <c r="B63" s="2" t="s">
        <v>333</v>
      </c>
      <c r="C63" s="2" t="s">
        <v>184</v>
      </c>
      <c r="D63" s="4" t="n">
        <v>4</v>
      </c>
      <c r="G63" s="8" t="n">
        <v>1.8</v>
      </c>
      <c r="I63" s="9" t="n">
        <v>10.8</v>
      </c>
      <c r="J63" s="7" t="n">
        <v>68.625</v>
      </c>
      <c r="L63" s="4" t="n">
        <v>1</v>
      </c>
      <c r="M63" s="2" t="s">
        <v>286</v>
      </c>
      <c r="N63" s="2" t="s">
        <v>82</v>
      </c>
    </row>
    <row r="64" customFormat="false" ht="15" hidden="false" customHeight="false" outlineLevel="0" collapsed="false">
      <c r="A64" s="2" t="s">
        <v>89</v>
      </c>
      <c r="B64" s="2" t="s">
        <v>334</v>
      </c>
      <c r="C64" s="2" t="s">
        <v>184</v>
      </c>
      <c r="D64" s="4" t="n">
        <v>8</v>
      </c>
      <c r="G64" s="8" t="n">
        <v>0.9</v>
      </c>
      <c r="I64" s="9" t="n">
        <v>10.8</v>
      </c>
      <c r="J64" s="7" t="n">
        <v>68.625</v>
      </c>
      <c r="L64" s="4" t="n">
        <v>1</v>
      </c>
      <c r="M64" s="2" t="s">
        <v>286</v>
      </c>
      <c r="N64" s="2" t="s">
        <v>82</v>
      </c>
    </row>
    <row r="65" customFormat="false" ht="15" hidden="false" customHeight="false" outlineLevel="0" collapsed="false">
      <c r="A65" s="2" t="s">
        <v>89</v>
      </c>
      <c r="B65" s="2" t="s">
        <v>297</v>
      </c>
      <c r="C65" s="2" t="s">
        <v>184</v>
      </c>
      <c r="D65" s="4" t="n">
        <v>8</v>
      </c>
      <c r="G65" s="8" t="n">
        <v>0.45</v>
      </c>
      <c r="I65" s="9" t="n">
        <v>5.4</v>
      </c>
      <c r="J65" s="7" t="n">
        <v>34.3125</v>
      </c>
      <c r="L65" s="4" t="n">
        <v>1</v>
      </c>
      <c r="M65" s="2" t="s">
        <v>286</v>
      </c>
      <c r="N65" s="2" t="s">
        <v>82</v>
      </c>
    </row>
    <row r="66" customFormat="false" ht="15" hidden="false" customHeight="false" outlineLevel="0" collapsed="false">
      <c r="A66" s="2" t="s">
        <v>89</v>
      </c>
      <c r="B66" s="2" t="s">
        <v>336</v>
      </c>
      <c r="C66" s="2" t="s">
        <v>180</v>
      </c>
      <c r="D66" s="4" t="n">
        <v>4</v>
      </c>
      <c r="E66" s="3" t="n">
        <v>828</v>
      </c>
      <c r="F66" s="3" t="n">
        <v>423</v>
      </c>
      <c r="H66" s="10" t="n">
        <v>0.350244</v>
      </c>
      <c r="I66" s="9" t="n">
        <v>8.79812928</v>
      </c>
      <c r="J66" s="7" t="n">
        <v>65.0296512</v>
      </c>
      <c r="K66" s="9" t="n">
        <v>0.48645</v>
      </c>
      <c r="L66" s="4" t="n">
        <v>1</v>
      </c>
      <c r="M66" s="2" t="s">
        <v>290</v>
      </c>
      <c r="N66" s="2" t="s">
        <v>82</v>
      </c>
    </row>
    <row r="67" customFormat="false" ht="15" hidden="false" customHeight="false" outlineLevel="0" collapsed="false">
      <c r="A67" s="2" t="s">
        <v>91</v>
      </c>
      <c r="B67" s="2" t="s">
        <v>333</v>
      </c>
      <c r="C67" s="2" t="s">
        <v>184</v>
      </c>
      <c r="D67" s="4" t="n">
        <v>4</v>
      </c>
      <c r="G67" s="8" t="n">
        <v>2</v>
      </c>
      <c r="I67" s="9" t="n">
        <v>12</v>
      </c>
      <c r="J67" s="7" t="n">
        <v>76.25</v>
      </c>
      <c r="L67" s="4" t="n">
        <v>1</v>
      </c>
      <c r="M67" s="2" t="s">
        <v>286</v>
      </c>
      <c r="N67" s="2" t="s">
        <v>82</v>
      </c>
    </row>
    <row r="68" customFormat="false" ht="15" hidden="false" customHeight="false" outlineLevel="0" collapsed="false">
      <c r="A68" s="2" t="s">
        <v>91</v>
      </c>
      <c r="B68" s="2" t="s">
        <v>334</v>
      </c>
      <c r="C68" s="2" t="s">
        <v>184</v>
      </c>
      <c r="D68" s="4" t="n">
        <v>8</v>
      </c>
      <c r="G68" s="8" t="n">
        <v>2</v>
      </c>
      <c r="I68" s="9" t="n">
        <v>24</v>
      </c>
      <c r="J68" s="7" t="n">
        <v>152.5</v>
      </c>
      <c r="L68" s="4" t="n">
        <v>1</v>
      </c>
      <c r="M68" s="2" t="s">
        <v>286</v>
      </c>
      <c r="N68" s="2" t="s">
        <v>82</v>
      </c>
    </row>
    <row r="69" customFormat="false" ht="15" hidden="false" customHeight="false" outlineLevel="0" collapsed="false">
      <c r="A69" s="2" t="s">
        <v>91</v>
      </c>
      <c r="B69" s="2" t="s">
        <v>297</v>
      </c>
      <c r="C69" s="2" t="s">
        <v>184</v>
      </c>
      <c r="D69" s="4" t="n">
        <v>8</v>
      </c>
      <c r="G69" s="8" t="n">
        <v>0.6</v>
      </c>
      <c r="I69" s="9" t="n">
        <v>7.2</v>
      </c>
      <c r="J69" s="7" t="n">
        <v>45.75</v>
      </c>
      <c r="L69" s="4" t="n">
        <v>1</v>
      </c>
      <c r="M69" s="2" t="s">
        <v>286</v>
      </c>
      <c r="N69" s="2" t="s">
        <v>82</v>
      </c>
    </row>
    <row r="70" customFormat="false" ht="15" hidden="false" customHeight="false" outlineLevel="0" collapsed="false">
      <c r="A70" s="2" t="s">
        <v>91</v>
      </c>
      <c r="B70" s="2" t="s">
        <v>335</v>
      </c>
      <c r="C70" s="2" t="s">
        <v>188</v>
      </c>
      <c r="D70" s="4" t="n">
        <v>16</v>
      </c>
      <c r="J70" s="7" t="n">
        <v>14.4</v>
      </c>
      <c r="L70" s="4" t="n">
        <v>1</v>
      </c>
      <c r="M70" s="2" t="s">
        <v>293</v>
      </c>
      <c r="N70" s="2" t="s">
        <v>82</v>
      </c>
    </row>
    <row r="71" customFormat="false" ht="15" hidden="false" customHeight="false" outlineLevel="0" collapsed="false">
      <c r="A71" s="2" t="s">
        <v>97</v>
      </c>
      <c r="B71" s="2" t="s">
        <v>337</v>
      </c>
      <c r="C71" s="2" t="s">
        <v>184</v>
      </c>
      <c r="D71" s="4" t="n">
        <v>2</v>
      </c>
      <c r="G71" s="8" t="n">
        <v>1.5</v>
      </c>
      <c r="I71" s="9" t="n">
        <v>4.5</v>
      </c>
      <c r="J71" s="7" t="n">
        <v>28.59375</v>
      </c>
      <c r="L71" s="4" t="n">
        <v>1</v>
      </c>
      <c r="M71" s="2" t="s">
        <v>286</v>
      </c>
      <c r="N71" s="2" t="s">
        <v>82</v>
      </c>
    </row>
    <row r="72" customFormat="false" ht="15" hidden="false" customHeight="false" outlineLevel="0" collapsed="false">
      <c r="A72" s="2" t="s">
        <v>97</v>
      </c>
      <c r="B72" s="2" t="s">
        <v>338</v>
      </c>
      <c r="C72" s="2" t="s">
        <v>180</v>
      </c>
      <c r="D72" s="4" t="n">
        <v>1</v>
      </c>
      <c r="E72" s="3" t="n">
        <v>1092.5</v>
      </c>
      <c r="F72" s="3" t="n">
        <v>1350</v>
      </c>
      <c r="H72" s="10" t="n">
        <v>1.474875</v>
      </c>
      <c r="I72" s="9" t="n">
        <v>9.262215</v>
      </c>
      <c r="J72" s="7" t="n">
        <v>68.45985</v>
      </c>
      <c r="K72" s="9" t="n">
        <v>0.512109375</v>
      </c>
      <c r="L72" s="4" t="n">
        <v>1</v>
      </c>
      <c r="M72" s="2" t="s">
        <v>290</v>
      </c>
      <c r="N72" s="2" t="s">
        <v>82</v>
      </c>
    </row>
    <row r="73" customFormat="false" ht="15" hidden="false" customHeight="false" outlineLevel="0" collapsed="false">
      <c r="A73" s="2" t="s">
        <v>97</v>
      </c>
      <c r="B73" s="2" t="s">
        <v>339</v>
      </c>
      <c r="C73" s="2" t="s">
        <v>180</v>
      </c>
      <c r="D73" s="4" t="n">
        <v>5</v>
      </c>
      <c r="E73" s="3" t="n">
        <v>1058</v>
      </c>
      <c r="F73" s="3" t="n">
        <v>405</v>
      </c>
      <c r="H73" s="10" t="n">
        <v>0.42849</v>
      </c>
      <c r="I73" s="9" t="n">
        <v>13.454586</v>
      </c>
      <c r="J73" s="7" t="n">
        <v>99.44694</v>
      </c>
      <c r="K73" s="9" t="n">
        <v>0.74390625</v>
      </c>
      <c r="L73" s="4" t="n">
        <v>1</v>
      </c>
      <c r="M73" s="2" t="s">
        <v>290</v>
      </c>
      <c r="N73" s="2" t="s">
        <v>82</v>
      </c>
    </row>
    <row r="74" customFormat="false" ht="15" hidden="false" customHeight="false" outlineLevel="0" collapsed="false">
      <c r="A74" s="2" t="s">
        <v>97</v>
      </c>
      <c r="B74" s="2" t="s">
        <v>340</v>
      </c>
      <c r="C74" s="2" t="s">
        <v>184</v>
      </c>
      <c r="D74" s="4" t="n">
        <v>2</v>
      </c>
      <c r="G74" s="8" t="n">
        <v>0.9</v>
      </c>
      <c r="I74" s="9" t="n">
        <v>2.7</v>
      </c>
      <c r="J74" s="7" t="n">
        <v>17.15625</v>
      </c>
      <c r="L74" s="4" t="n">
        <v>1</v>
      </c>
      <c r="M74" s="2" t="s">
        <v>286</v>
      </c>
      <c r="N74" s="2" t="s">
        <v>82</v>
      </c>
    </row>
    <row r="75" customFormat="false" ht="15" hidden="false" customHeight="false" outlineLevel="0" collapsed="false">
      <c r="A75" s="2" t="s">
        <v>97</v>
      </c>
      <c r="B75" s="2" t="s">
        <v>341</v>
      </c>
      <c r="C75" s="2" t="s">
        <v>188</v>
      </c>
      <c r="D75" s="4" t="n">
        <v>10</v>
      </c>
      <c r="J75" s="7" t="n">
        <v>9</v>
      </c>
      <c r="L75" s="4" t="n">
        <v>1</v>
      </c>
      <c r="M75" s="2" t="s">
        <v>293</v>
      </c>
      <c r="N75" s="2" t="s">
        <v>82</v>
      </c>
    </row>
    <row r="76" customFormat="false" ht="15" hidden="false" customHeight="false" outlineLevel="0" collapsed="false">
      <c r="A76" s="2" t="s">
        <v>99</v>
      </c>
      <c r="B76" s="2" t="s">
        <v>337</v>
      </c>
      <c r="C76" s="2" t="s">
        <v>184</v>
      </c>
      <c r="D76" s="4" t="n">
        <v>2</v>
      </c>
      <c r="G76" s="8" t="n">
        <v>1.85</v>
      </c>
      <c r="I76" s="9" t="n">
        <v>5.55</v>
      </c>
      <c r="J76" s="7" t="n">
        <v>35.265625</v>
      </c>
      <c r="L76" s="4" t="n">
        <v>1</v>
      </c>
      <c r="M76" s="2" t="s">
        <v>286</v>
      </c>
      <c r="N76" s="2" t="s">
        <v>82</v>
      </c>
    </row>
    <row r="77" customFormat="false" ht="15" hidden="false" customHeight="false" outlineLevel="0" collapsed="false">
      <c r="A77" s="2" t="s">
        <v>99</v>
      </c>
      <c r="B77" s="2" t="s">
        <v>338</v>
      </c>
      <c r="C77" s="2" t="s">
        <v>180</v>
      </c>
      <c r="D77" s="4" t="n">
        <v>1</v>
      </c>
      <c r="E77" s="3" t="n">
        <v>1092.5</v>
      </c>
      <c r="F77" s="3" t="n">
        <v>1665</v>
      </c>
      <c r="H77" s="10" t="n">
        <v>1.8190125</v>
      </c>
      <c r="I77" s="9" t="n">
        <v>11.4233985</v>
      </c>
      <c r="J77" s="7" t="n">
        <v>84.433815</v>
      </c>
      <c r="K77" s="9" t="n">
        <v>0.6316015625</v>
      </c>
      <c r="L77" s="4" t="n">
        <v>1</v>
      </c>
      <c r="M77" s="2" t="s">
        <v>290</v>
      </c>
      <c r="N77" s="2" t="s">
        <v>82</v>
      </c>
    </row>
    <row r="78" customFormat="false" ht="15" hidden="false" customHeight="false" outlineLevel="0" collapsed="false">
      <c r="A78" s="2" t="s">
        <v>99</v>
      </c>
      <c r="B78" s="2" t="s">
        <v>339</v>
      </c>
      <c r="C78" s="2" t="s">
        <v>180</v>
      </c>
      <c r="D78" s="4" t="n">
        <v>5</v>
      </c>
      <c r="E78" s="3" t="n">
        <v>1058</v>
      </c>
      <c r="F78" s="3" t="n">
        <v>180</v>
      </c>
      <c r="H78" s="10" t="n">
        <v>0.19044</v>
      </c>
      <c r="I78" s="9" t="n">
        <v>5.979816</v>
      </c>
      <c r="J78" s="7" t="n">
        <v>44.19864</v>
      </c>
      <c r="K78" s="9" t="n">
        <v>0.330625</v>
      </c>
      <c r="L78" s="4" t="n">
        <v>1</v>
      </c>
      <c r="M78" s="2" t="s">
        <v>290</v>
      </c>
      <c r="N78" s="2" t="s">
        <v>82</v>
      </c>
    </row>
    <row r="79" customFormat="false" ht="15" hidden="false" customHeight="false" outlineLevel="0" collapsed="false">
      <c r="A79" s="2" t="s">
        <v>99</v>
      </c>
      <c r="B79" s="2" t="s">
        <v>340</v>
      </c>
      <c r="C79" s="2" t="s">
        <v>184</v>
      </c>
      <c r="D79" s="4" t="n">
        <v>2</v>
      </c>
      <c r="G79" s="8" t="n">
        <v>0.4</v>
      </c>
      <c r="I79" s="9" t="n">
        <v>1.2</v>
      </c>
      <c r="J79" s="7" t="n">
        <v>7.625</v>
      </c>
      <c r="L79" s="4" t="n">
        <v>1</v>
      </c>
      <c r="M79" s="2" t="s">
        <v>286</v>
      </c>
      <c r="N79" s="2" t="s">
        <v>82</v>
      </c>
    </row>
    <row r="80" customFormat="false" ht="15" hidden="false" customHeight="false" outlineLevel="0" collapsed="false">
      <c r="A80" s="2" t="s">
        <v>99</v>
      </c>
      <c r="B80" s="2" t="s">
        <v>341</v>
      </c>
      <c r="C80" s="2" t="s">
        <v>188</v>
      </c>
      <c r="D80" s="4" t="n">
        <v>10</v>
      </c>
      <c r="J80" s="7" t="n">
        <v>9</v>
      </c>
      <c r="L80" s="4" t="n">
        <v>1</v>
      </c>
      <c r="M80" s="2" t="s">
        <v>293</v>
      </c>
      <c r="N80" s="2" t="s">
        <v>82</v>
      </c>
    </row>
    <row r="81" customFormat="false" ht="15" hidden="false" customHeight="false" outlineLevel="0" collapsed="false">
      <c r="A81" s="2" t="s">
        <v>101</v>
      </c>
      <c r="B81" s="2" t="s">
        <v>337</v>
      </c>
      <c r="C81" s="2" t="s">
        <v>184</v>
      </c>
      <c r="D81" s="4" t="n">
        <v>2</v>
      </c>
      <c r="G81" s="8" t="n">
        <v>1.5</v>
      </c>
      <c r="I81" s="9" t="n">
        <v>4.5</v>
      </c>
      <c r="J81" s="7" t="n">
        <v>28.59375</v>
      </c>
      <c r="L81" s="4" t="n">
        <v>1</v>
      </c>
      <c r="M81" s="2" t="s">
        <v>286</v>
      </c>
      <c r="N81" s="2" t="s">
        <v>82</v>
      </c>
    </row>
    <row r="82" customFormat="false" ht="15" hidden="false" customHeight="false" outlineLevel="0" collapsed="false">
      <c r="A82" s="2" t="s">
        <v>101</v>
      </c>
      <c r="B82" s="2" t="s">
        <v>338</v>
      </c>
      <c r="C82" s="2" t="s">
        <v>180</v>
      </c>
      <c r="D82" s="4" t="n">
        <v>1</v>
      </c>
      <c r="E82" s="3" t="n">
        <v>855</v>
      </c>
      <c r="F82" s="3" t="n">
        <v>1350</v>
      </c>
      <c r="H82" s="10" t="n">
        <v>1.15425</v>
      </c>
      <c r="I82" s="9" t="n">
        <v>7.24869</v>
      </c>
      <c r="J82" s="7" t="n">
        <v>53.577273913</v>
      </c>
      <c r="K82" s="9" t="n">
        <v>0.40078125</v>
      </c>
      <c r="L82" s="4" t="n">
        <v>1</v>
      </c>
      <c r="M82" s="2" t="s">
        <v>290</v>
      </c>
      <c r="N82" s="2" t="s">
        <v>82</v>
      </c>
    </row>
    <row r="83" customFormat="false" ht="15" hidden="false" customHeight="false" outlineLevel="0" collapsed="false">
      <c r="A83" s="2" t="s">
        <v>101</v>
      </c>
      <c r="B83" s="2" t="s">
        <v>339</v>
      </c>
      <c r="C83" s="2" t="s">
        <v>180</v>
      </c>
      <c r="D83" s="4" t="n">
        <v>5</v>
      </c>
      <c r="E83" s="3" t="n">
        <v>828</v>
      </c>
      <c r="F83" s="3" t="n">
        <v>180</v>
      </c>
      <c r="H83" s="10" t="n">
        <v>0.14904</v>
      </c>
      <c r="I83" s="9" t="n">
        <v>4.679856</v>
      </c>
      <c r="J83" s="7" t="n">
        <v>34.59024</v>
      </c>
      <c r="K83" s="9" t="n">
        <v>0.25875</v>
      </c>
      <c r="L83" s="4" t="n">
        <v>1</v>
      </c>
      <c r="M83" s="2" t="s">
        <v>290</v>
      </c>
      <c r="N83" s="2" t="s">
        <v>82</v>
      </c>
    </row>
    <row r="84" customFormat="false" ht="15" hidden="false" customHeight="false" outlineLevel="0" collapsed="false">
      <c r="A84" s="2" t="s">
        <v>101</v>
      </c>
      <c r="B84" s="2" t="s">
        <v>340</v>
      </c>
      <c r="C84" s="2" t="s">
        <v>184</v>
      </c>
      <c r="D84" s="4" t="n">
        <v>2</v>
      </c>
      <c r="G84" s="8" t="n">
        <v>0.4</v>
      </c>
      <c r="I84" s="9" t="n">
        <v>1.2</v>
      </c>
      <c r="J84" s="7" t="n">
        <v>7.625</v>
      </c>
      <c r="L84" s="4" t="n">
        <v>1</v>
      </c>
      <c r="M84" s="2" t="s">
        <v>286</v>
      </c>
      <c r="N84" s="2" t="s">
        <v>82</v>
      </c>
    </row>
    <row r="85" customFormat="false" ht="15" hidden="false" customHeight="false" outlineLevel="0" collapsed="false">
      <c r="A85" s="2" t="s">
        <v>101</v>
      </c>
      <c r="B85" s="2" t="s">
        <v>341</v>
      </c>
      <c r="C85" s="2" t="s">
        <v>188</v>
      </c>
      <c r="D85" s="4" t="n">
        <v>10</v>
      </c>
      <c r="J85" s="7" t="n">
        <v>9</v>
      </c>
      <c r="L85" s="4" t="n">
        <v>1</v>
      </c>
      <c r="M85" s="2" t="s">
        <v>293</v>
      </c>
      <c r="N85" s="2" t="s">
        <v>82</v>
      </c>
    </row>
    <row r="86" customFormat="false" ht="15" hidden="false" customHeight="false" outlineLevel="0" collapsed="false">
      <c r="A86" s="2" t="s">
        <v>103</v>
      </c>
      <c r="B86" s="2" t="s">
        <v>337</v>
      </c>
      <c r="C86" s="2" t="s">
        <v>184</v>
      </c>
      <c r="D86" s="4" t="n">
        <v>2</v>
      </c>
      <c r="G86" s="8" t="n">
        <v>1.5</v>
      </c>
      <c r="I86" s="9" t="n">
        <v>4.5</v>
      </c>
      <c r="J86" s="7" t="n">
        <v>28.59375</v>
      </c>
      <c r="L86" s="4" t="n">
        <v>1</v>
      </c>
      <c r="M86" s="2" t="s">
        <v>286</v>
      </c>
      <c r="N86" s="2" t="s">
        <v>82</v>
      </c>
    </row>
    <row r="87" customFormat="false" ht="15" hidden="false" customHeight="false" outlineLevel="0" collapsed="false">
      <c r="A87" s="2" t="s">
        <v>103</v>
      </c>
      <c r="B87" s="2" t="s">
        <v>338</v>
      </c>
      <c r="C87" s="2" t="s">
        <v>180</v>
      </c>
      <c r="D87" s="4" t="n">
        <v>1</v>
      </c>
      <c r="E87" s="3" t="n">
        <v>665</v>
      </c>
      <c r="F87" s="3" t="n">
        <v>1350</v>
      </c>
      <c r="H87" s="10" t="n">
        <v>0.89775</v>
      </c>
      <c r="I87" s="9" t="n">
        <v>5.63787</v>
      </c>
      <c r="J87" s="7" t="n">
        <v>41.6712130435</v>
      </c>
      <c r="K87" s="9" t="n">
        <v>0.31171875</v>
      </c>
      <c r="L87" s="4" t="n">
        <v>1</v>
      </c>
      <c r="M87" s="2" t="s">
        <v>290</v>
      </c>
      <c r="N87" s="2" t="s">
        <v>82</v>
      </c>
    </row>
    <row r="88" customFormat="false" ht="15" hidden="false" customHeight="false" outlineLevel="0" collapsed="false">
      <c r="A88" s="2" t="s">
        <v>103</v>
      </c>
      <c r="B88" s="2" t="s">
        <v>339</v>
      </c>
      <c r="C88" s="2" t="s">
        <v>180</v>
      </c>
      <c r="D88" s="4" t="n">
        <v>5</v>
      </c>
      <c r="E88" s="3" t="n">
        <v>644</v>
      </c>
      <c r="F88" s="3" t="n">
        <v>315</v>
      </c>
      <c r="H88" s="10" t="n">
        <v>0.20286</v>
      </c>
      <c r="I88" s="9" t="n">
        <v>6.369804</v>
      </c>
      <c r="J88" s="7" t="n">
        <v>47.08116</v>
      </c>
      <c r="K88" s="9" t="n">
        <v>0.3521875</v>
      </c>
      <c r="L88" s="4" t="n">
        <v>1</v>
      </c>
      <c r="M88" s="2" t="s">
        <v>290</v>
      </c>
      <c r="N88" s="2" t="s">
        <v>82</v>
      </c>
    </row>
    <row r="89" customFormat="false" ht="15" hidden="false" customHeight="false" outlineLevel="0" collapsed="false">
      <c r="A89" s="2" t="s">
        <v>103</v>
      </c>
      <c r="B89" s="2" t="s">
        <v>340</v>
      </c>
      <c r="C89" s="2" t="s">
        <v>184</v>
      </c>
      <c r="D89" s="4" t="n">
        <v>2</v>
      </c>
      <c r="G89" s="8" t="n">
        <v>0.7</v>
      </c>
      <c r="I89" s="9" t="n">
        <v>2.1</v>
      </c>
      <c r="J89" s="7" t="n">
        <v>13.34375</v>
      </c>
      <c r="L89" s="4" t="n">
        <v>1</v>
      </c>
      <c r="M89" s="2" t="s">
        <v>286</v>
      </c>
      <c r="N89" s="2" t="s">
        <v>82</v>
      </c>
    </row>
    <row r="90" customFormat="false" ht="15" hidden="false" customHeight="false" outlineLevel="0" collapsed="false">
      <c r="A90" s="2" t="s">
        <v>103</v>
      </c>
      <c r="B90" s="2" t="s">
        <v>341</v>
      </c>
      <c r="C90" s="2" t="s">
        <v>188</v>
      </c>
      <c r="D90" s="4" t="n">
        <v>10</v>
      </c>
      <c r="J90" s="7" t="n">
        <v>9</v>
      </c>
      <c r="L90" s="4" t="n">
        <v>1</v>
      </c>
      <c r="M90" s="2" t="s">
        <v>293</v>
      </c>
      <c r="N90" s="2" t="s">
        <v>82</v>
      </c>
    </row>
    <row r="91" customFormat="false" ht="15" hidden="false" customHeight="false" outlineLevel="0" collapsed="false">
      <c r="A91" s="2" t="s">
        <v>110</v>
      </c>
      <c r="B91" s="2" t="s">
        <v>342</v>
      </c>
      <c r="C91" s="2" t="s">
        <v>178</v>
      </c>
      <c r="D91" s="4" t="n">
        <v>2</v>
      </c>
      <c r="E91" s="3" t="n">
        <v>376</v>
      </c>
      <c r="F91" s="3" t="n">
        <v>1656</v>
      </c>
      <c r="H91" s="10" t="n">
        <v>0.622656</v>
      </c>
      <c r="I91" s="9" t="n">
        <v>5.86541952</v>
      </c>
      <c r="J91" s="7" t="n">
        <v>43.3531008</v>
      </c>
      <c r="K91" s="9" t="n">
        <v>0.4324</v>
      </c>
      <c r="L91" s="4" t="n">
        <v>1</v>
      </c>
      <c r="M91" s="2" t="s">
        <v>290</v>
      </c>
      <c r="N91" s="2" t="s">
        <v>82</v>
      </c>
    </row>
    <row r="92" customFormat="false" ht="15" hidden="false" customHeight="false" outlineLevel="0" collapsed="false">
      <c r="A92" s="2" t="s">
        <v>110</v>
      </c>
      <c r="B92" s="2" t="s">
        <v>343</v>
      </c>
      <c r="C92" s="2" t="s">
        <v>178</v>
      </c>
      <c r="D92" s="4" t="n">
        <v>1</v>
      </c>
      <c r="E92" s="3" t="n">
        <v>339.5</v>
      </c>
      <c r="F92" s="3" t="n">
        <v>1620</v>
      </c>
      <c r="H92" s="10" t="n">
        <v>0.54999</v>
      </c>
      <c r="I92" s="9" t="n">
        <v>2.5904529</v>
      </c>
      <c r="J92" s="7" t="n">
        <v>19.1468257826</v>
      </c>
      <c r="K92" s="9" t="n">
        <v>0.19096875</v>
      </c>
      <c r="L92" s="4" t="n">
        <v>1</v>
      </c>
      <c r="M92" s="2" t="s">
        <v>290</v>
      </c>
      <c r="N92" s="2" t="s">
        <v>82</v>
      </c>
    </row>
    <row r="93" customFormat="false" ht="15" hidden="false" customHeight="false" outlineLevel="0" collapsed="false">
      <c r="A93" s="2" t="s">
        <v>110</v>
      </c>
      <c r="B93" s="2" t="s">
        <v>344</v>
      </c>
      <c r="C93" s="2" t="s">
        <v>178</v>
      </c>
      <c r="D93" s="4" t="n">
        <v>1</v>
      </c>
      <c r="E93" s="3" t="n">
        <v>324.8</v>
      </c>
      <c r="F93" s="3" t="n">
        <v>1548</v>
      </c>
      <c r="H93" s="10" t="n">
        <v>0.5027904</v>
      </c>
      <c r="I93" s="9" t="n">
        <v>2.368142784</v>
      </c>
      <c r="J93" s="7" t="n">
        <v>17.5036640557</v>
      </c>
      <c r="K93" s="9" t="n">
        <v>0.17458</v>
      </c>
      <c r="L93" s="4" t="n">
        <v>1</v>
      </c>
      <c r="M93" s="2" t="s">
        <v>290</v>
      </c>
      <c r="N93" s="2" t="s">
        <v>82</v>
      </c>
    </row>
    <row r="94" customFormat="false" ht="15" hidden="false" customHeight="false" outlineLevel="0" collapsed="false">
      <c r="A94" s="2" t="s">
        <v>110</v>
      </c>
      <c r="B94" s="2" t="s">
        <v>345</v>
      </c>
      <c r="C94" s="2" t="s">
        <v>178</v>
      </c>
      <c r="D94" s="4" t="n">
        <v>2</v>
      </c>
      <c r="E94" s="3" t="n">
        <v>328.5</v>
      </c>
      <c r="F94" s="3" t="n">
        <v>376</v>
      </c>
      <c r="H94" s="10" t="n">
        <v>0.123516</v>
      </c>
      <c r="I94" s="9" t="n">
        <v>1.16352072</v>
      </c>
      <c r="J94" s="7" t="n">
        <v>8.5999357565</v>
      </c>
      <c r="K94" s="9" t="n">
        <v>0.085775</v>
      </c>
      <c r="L94" s="4" t="n">
        <v>1</v>
      </c>
      <c r="M94" s="2" t="s">
        <v>290</v>
      </c>
      <c r="N94" s="2" t="s">
        <v>82</v>
      </c>
    </row>
    <row r="95" customFormat="false" ht="15" hidden="false" customHeight="false" outlineLevel="0" collapsed="false">
      <c r="A95" s="2" t="s">
        <v>110</v>
      </c>
      <c r="B95" s="2" t="s">
        <v>346</v>
      </c>
      <c r="C95" s="2" t="s">
        <v>188</v>
      </c>
      <c r="D95" s="4" t="n">
        <v>3</v>
      </c>
      <c r="J95" s="7" t="n">
        <v>2.7</v>
      </c>
      <c r="L95" s="4" t="n">
        <v>1</v>
      </c>
      <c r="M95" s="2" t="s">
        <v>293</v>
      </c>
      <c r="N95" s="2" t="s">
        <v>82</v>
      </c>
    </row>
    <row r="96" customFormat="false" ht="15" hidden="false" customHeight="false" outlineLevel="0" collapsed="false">
      <c r="A96" s="2" t="s">
        <v>112</v>
      </c>
      <c r="B96" s="2" t="s">
        <v>342</v>
      </c>
      <c r="C96" s="2" t="s">
        <v>178</v>
      </c>
      <c r="D96" s="4" t="n">
        <v>2</v>
      </c>
      <c r="E96" s="3" t="n">
        <v>376</v>
      </c>
      <c r="F96" s="3" t="n">
        <v>1656</v>
      </c>
      <c r="H96" s="10" t="n">
        <v>0.622656</v>
      </c>
      <c r="I96" s="9" t="n">
        <v>5.86541952</v>
      </c>
      <c r="J96" s="7" t="n">
        <v>43.3531008</v>
      </c>
      <c r="K96" s="9" t="n">
        <v>0.4324</v>
      </c>
      <c r="L96" s="4" t="n">
        <v>1</v>
      </c>
      <c r="M96" s="2" t="s">
        <v>290</v>
      </c>
      <c r="N96" s="2" t="s">
        <v>82</v>
      </c>
    </row>
    <row r="97" customFormat="false" ht="15" hidden="false" customHeight="false" outlineLevel="0" collapsed="false">
      <c r="A97" s="2" t="s">
        <v>112</v>
      </c>
      <c r="B97" s="2" t="s">
        <v>343</v>
      </c>
      <c r="C97" s="2" t="s">
        <v>178</v>
      </c>
      <c r="D97" s="4" t="n">
        <v>1</v>
      </c>
      <c r="E97" s="3" t="n">
        <v>651</v>
      </c>
      <c r="F97" s="3" t="n">
        <v>1620</v>
      </c>
      <c r="H97" s="10" t="n">
        <v>1.05462</v>
      </c>
      <c r="I97" s="9" t="n">
        <v>4.9672602</v>
      </c>
      <c r="J97" s="7" t="n">
        <v>36.714531913</v>
      </c>
      <c r="K97" s="9" t="n">
        <v>0.3661875</v>
      </c>
      <c r="L97" s="4" t="n">
        <v>1</v>
      </c>
      <c r="M97" s="2" t="s">
        <v>290</v>
      </c>
      <c r="N97" s="2" t="s">
        <v>82</v>
      </c>
    </row>
    <row r="98" customFormat="false" ht="15" hidden="false" customHeight="false" outlineLevel="0" collapsed="false">
      <c r="A98" s="2" t="s">
        <v>112</v>
      </c>
      <c r="B98" s="2" t="s">
        <v>344</v>
      </c>
      <c r="C98" s="2" t="s">
        <v>178</v>
      </c>
      <c r="D98" s="4" t="n">
        <v>2</v>
      </c>
      <c r="E98" s="3" t="n">
        <v>311.5</v>
      </c>
      <c r="F98" s="3" t="n">
        <v>1548</v>
      </c>
      <c r="H98" s="10" t="n">
        <v>0.482202</v>
      </c>
      <c r="I98" s="9" t="n">
        <v>4.54234284</v>
      </c>
      <c r="J98" s="7" t="n">
        <v>33.5738383826</v>
      </c>
      <c r="K98" s="9" t="n">
        <v>0.3348625</v>
      </c>
      <c r="L98" s="4" t="n">
        <v>1</v>
      </c>
      <c r="M98" s="2" t="s">
        <v>290</v>
      </c>
      <c r="N98" s="2" t="s">
        <v>82</v>
      </c>
    </row>
    <row r="99" customFormat="false" ht="15" hidden="false" customHeight="false" outlineLevel="0" collapsed="false">
      <c r="A99" s="2" t="s">
        <v>112</v>
      </c>
      <c r="B99" s="2" t="s">
        <v>345</v>
      </c>
      <c r="C99" s="2" t="s">
        <v>178</v>
      </c>
      <c r="D99" s="4" t="n">
        <v>2</v>
      </c>
      <c r="E99" s="3" t="n">
        <v>630</v>
      </c>
      <c r="F99" s="3" t="n">
        <v>376</v>
      </c>
      <c r="H99" s="10" t="n">
        <v>0.23688</v>
      </c>
      <c r="I99" s="9" t="n">
        <v>2.2314096</v>
      </c>
      <c r="J99" s="7" t="n">
        <v>16.4930274783</v>
      </c>
      <c r="K99" s="9" t="n">
        <v>0.1645</v>
      </c>
      <c r="L99" s="4" t="n">
        <v>1</v>
      </c>
      <c r="M99" s="2" t="s">
        <v>290</v>
      </c>
      <c r="N99" s="2" t="s">
        <v>82</v>
      </c>
    </row>
    <row r="100" customFormat="false" ht="15" hidden="false" customHeight="false" outlineLevel="0" collapsed="false">
      <c r="A100" s="2" t="s">
        <v>112</v>
      </c>
      <c r="B100" s="2" t="s">
        <v>346</v>
      </c>
      <c r="C100" s="2" t="s">
        <v>188</v>
      </c>
      <c r="D100" s="4" t="n">
        <v>6</v>
      </c>
      <c r="J100" s="7" t="n">
        <v>5.4</v>
      </c>
      <c r="L100" s="4" t="n">
        <v>1</v>
      </c>
      <c r="M100" s="2" t="s">
        <v>293</v>
      </c>
      <c r="N100" s="2" t="s">
        <v>82</v>
      </c>
    </row>
    <row r="101" customFormat="false" ht="15" hidden="false" customHeight="false" outlineLevel="0" collapsed="false">
      <c r="A101" s="2" t="s">
        <v>114</v>
      </c>
      <c r="B101" s="2" t="s">
        <v>342</v>
      </c>
      <c r="C101" s="2" t="s">
        <v>178</v>
      </c>
      <c r="D101" s="4" t="n">
        <v>2</v>
      </c>
      <c r="E101" s="3" t="n">
        <v>376</v>
      </c>
      <c r="F101" s="3" t="n">
        <v>1656</v>
      </c>
      <c r="H101" s="10" t="n">
        <v>0.622656</v>
      </c>
      <c r="I101" s="9" t="n">
        <v>5.86541952</v>
      </c>
      <c r="J101" s="7" t="n">
        <v>43.3531008</v>
      </c>
      <c r="K101" s="9" t="n">
        <v>0.4324</v>
      </c>
      <c r="L101" s="4" t="n">
        <v>1</v>
      </c>
      <c r="M101" s="2" t="s">
        <v>290</v>
      </c>
      <c r="N101" s="2" t="s">
        <v>82</v>
      </c>
    </row>
    <row r="102" customFormat="false" ht="15" hidden="false" customHeight="false" outlineLevel="0" collapsed="false">
      <c r="A102" s="2" t="s">
        <v>114</v>
      </c>
      <c r="B102" s="2" t="s">
        <v>343</v>
      </c>
      <c r="C102" s="2" t="s">
        <v>178</v>
      </c>
      <c r="D102" s="4" t="n">
        <v>1</v>
      </c>
      <c r="E102" s="3" t="n">
        <v>967.2</v>
      </c>
      <c r="F102" s="3" t="n">
        <v>1620</v>
      </c>
      <c r="H102" s="10" t="n">
        <v>1.566864</v>
      </c>
      <c r="I102" s="9" t="n">
        <v>7.37992944</v>
      </c>
      <c r="J102" s="7" t="n">
        <v>54.5473045565</v>
      </c>
      <c r="K102" s="9" t="n">
        <v>0.54405</v>
      </c>
      <c r="L102" s="4" t="n">
        <v>1</v>
      </c>
      <c r="M102" s="2" t="s">
        <v>290</v>
      </c>
      <c r="N102" s="2" t="s">
        <v>82</v>
      </c>
    </row>
    <row r="103" customFormat="false" ht="15" hidden="false" customHeight="false" outlineLevel="0" collapsed="false">
      <c r="A103" s="2" t="s">
        <v>114</v>
      </c>
      <c r="B103" s="2" t="s">
        <v>344</v>
      </c>
      <c r="C103" s="2" t="s">
        <v>178</v>
      </c>
      <c r="D103" s="4" t="n">
        <v>3</v>
      </c>
      <c r="E103" s="3" t="n">
        <v>308.5</v>
      </c>
      <c r="F103" s="3" t="n">
        <v>1548</v>
      </c>
      <c r="H103" s="10" t="n">
        <v>0.477558</v>
      </c>
      <c r="I103" s="9" t="n">
        <v>6.74789454</v>
      </c>
      <c r="J103" s="7" t="n">
        <v>49.8757422522</v>
      </c>
      <c r="K103" s="9" t="n">
        <v>0.49745625</v>
      </c>
      <c r="L103" s="4" t="n">
        <v>1</v>
      </c>
      <c r="M103" s="2" t="s">
        <v>290</v>
      </c>
      <c r="N103" s="2" t="s">
        <v>82</v>
      </c>
    </row>
    <row r="104" customFormat="false" ht="15" hidden="false" customHeight="false" outlineLevel="0" collapsed="false">
      <c r="A104" s="2" t="s">
        <v>114</v>
      </c>
      <c r="B104" s="2" t="s">
        <v>345</v>
      </c>
      <c r="C104" s="2" t="s">
        <v>178</v>
      </c>
      <c r="D104" s="4" t="n">
        <v>2</v>
      </c>
      <c r="E104" s="3" t="n">
        <v>936</v>
      </c>
      <c r="F104" s="3" t="n">
        <v>376</v>
      </c>
      <c r="H104" s="10" t="n">
        <v>0.351936</v>
      </c>
      <c r="I104" s="9" t="n">
        <v>3.31523712</v>
      </c>
      <c r="J104" s="7" t="n">
        <v>24.5039265391</v>
      </c>
      <c r="K104" s="9" t="n">
        <v>0.2444</v>
      </c>
      <c r="L104" s="4" t="n">
        <v>1</v>
      </c>
      <c r="M104" s="2" t="s">
        <v>290</v>
      </c>
      <c r="N104" s="2" t="s">
        <v>82</v>
      </c>
    </row>
    <row r="105" customFormat="false" ht="15" hidden="false" customHeight="false" outlineLevel="0" collapsed="false">
      <c r="A105" s="2" t="s">
        <v>114</v>
      </c>
      <c r="B105" s="2" t="s">
        <v>346</v>
      </c>
      <c r="C105" s="2" t="s">
        <v>188</v>
      </c>
      <c r="D105" s="4" t="n">
        <v>9</v>
      </c>
      <c r="J105" s="7" t="n">
        <v>8.1</v>
      </c>
      <c r="L105" s="4" t="n">
        <v>1</v>
      </c>
      <c r="M105" s="2" t="s">
        <v>293</v>
      </c>
      <c r="N105" s="2" t="s">
        <v>82</v>
      </c>
    </row>
    <row r="106" customFormat="false" ht="15" hidden="false" customHeight="false" outlineLevel="0" collapsed="false">
      <c r="A106" s="2" t="s">
        <v>116</v>
      </c>
      <c r="B106" s="2" t="s">
        <v>342</v>
      </c>
      <c r="C106" s="2" t="s">
        <v>178</v>
      </c>
      <c r="D106" s="4" t="n">
        <v>2</v>
      </c>
      <c r="E106" s="3" t="n">
        <v>376</v>
      </c>
      <c r="F106" s="3" t="n">
        <v>1656</v>
      </c>
      <c r="H106" s="10" t="n">
        <v>0.622656</v>
      </c>
      <c r="I106" s="9" t="n">
        <v>5.86541952</v>
      </c>
      <c r="J106" s="7" t="n">
        <v>43.3531008</v>
      </c>
      <c r="K106" s="9" t="n">
        <v>0.4324</v>
      </c>
      <c r="L106" s="4" t="n">
        <v>1</v>
      </c>
      <c r="M106" s="2" t="s">
        <v>290</v>
      </c>
      <c r="N106" s="2" t="s">
        <v>82</v>
      </c>
    </row>
    <row r="107" customFormat="false" ht="15" hidden="false" customHeight="false" outlineLevel="0" collapsed="false">
      <c r="A107" s="2" t="s">
        <v>116</v>
      </c>
      <c r="B107" s="2" t="s">
        <v>343</v>
      </c>
      <c r="C107" s="2" t="s">
        <v>178</v>
      </c>
      <c r="D107" s="4" t="n">
        <v>2</v>
      </c>
      <c r="E107" s="3" t="n">
        <v>641.7</v>
      </c>
      <c r="F107" s="3" t="n">
        <v>1620</v>
      </c>
      <c r="H107" s="10" t="n">
        <v>1.039554</v>
      </c>
      <c r="I107" s="9" t="n">
        <v>9.79259868</v>
      </c>
      <c r="J107" s="7" t="n">
        <v>72.3800772</v>
      </c>
      <c r="K107" s="9" t="n">
        <v>0.7219125</v>
      </c>
      <c r="L107" s="4" t="n">
        <v>1</v>
      </c>
      <c r="M107" s="2" t="s">
        <v>290</v>
      </c>
      <c r="N107" s="2" t="s">
        <v>82</v>
      </c>
    </row>
    <row r="108" customFormat="false" ht="15" hidden="false" customHeight="false" outlineLevel="0" collapsed="false">
      <c r="A108" s="2" t="s">
        <v>116</v>
      </c>
      <c r="B108" s="2" t="s">
        <v>344</v>
      </c>
      <c r="C108" s="2" t="s">
        <v>178</v>
      </c>
      <c r="D108" s="4" t="n">
        <v>4</v>
      </c>
      <c r="E108" s="3" t="n">
        <v>307.1</v>
      </c>
      <c r="F108" s="3" t="n">
        <v>1548</v>
      </c>
      <c r="H108" s="10" t="n">
        <v>0.4753908</v>
      </c>
      <c r="I108" s="9" t="n">
        <v>8.956362672</v>
      </c>
      <c r="J108" s="7" t="n">
        <v>66.1992023583</v>
      </c>
      <c r="K108" s="9" t="n">
        <v>0.660265</v>
      </c>
      <c r="L108" s="4" t="n">
        <v>1</v>
      </c>
      <c r="M108" s="2" t="s">
        <v>290</v>
      </c>
      <c r="N108" s="2" t="s">
        <v>82</v>
      </c>
    </row>
    <row r="109" customFormat="false" ht="15" hidden="false" customHeight="false" outlineLevel="0" collapsed="false">
      <c r="A109" s="2" t="s">
        <v>116</v>
      </c>
      <c r="B109" s="2" t="s">
        <v>345</v>
      </c>
      <c r="C109" s="2" t="s">
        <v>178</v>
      </c>
      <c r="D109" s="4" t="n">
        <v>4</v>
      </c>
      <c r="E109" s="3" t="n">
        <v>621</v>
      </c>
      <c r="F109" s="3" t="n">
        <v>376</v>
      </c>
      <c r="H109" s="10" t="n">
        <v>0.233496</v>
      </c>
      <c r="I109" s="9" t="n">
        <v>4.39906464</v>
      </c>
      <c r="J109" s="7" t="n">
        <v>32.5148256</v>
      </c>
      <c r="K109" s="9" t="n">
        <v>0.3243</v>
      </c>
      <c r="L109" s="4" t="n">
        <v>1</v>
      </c>
      <c r="M109" s="2" t="s">
        <v>290</v>
      </c>
      <c r="N109" s="2" t="s">
        <v>82</v>
      </c>
    </row>
    <row r="110" customFormat="false" ht="15" hidden="false" customHeight="false" outlineLevel="0" collapsed="false">
      <c r="A110" s="2" t="s">
        <v>116</v>
      </c>
      <c r="B110" s="2" t="s">
        <v>346</v>
      </c>
      <c r="C110" s="2" t="s">
        <v>188</v>
      </c>
      <c r="D110" s="4" t="n">
        <v>12</v>
      </c>
      <c r="J110" s="7" t="n">
        <v>10.8</v>
      </c>
      <c r="L110" s="4" t="n">
        <v>1</v>
      </c>
      <c r="M110" s="2" t="s">
        <v>293</v>
      </c>
      <c r="N110" s="2" t="s">
        <v>82</v>
      </c>
    </row>
    <row r="111" customFormat="false" ht="15" hidden="false" customHeight="false" outlineLevel="0" collapsed="false">
      <c r="A111" s="2" t="s">
        <v>122</v>
      </c>
      <c r="B111" s="2" t="s">
        <v>347</v>
      </c>
      <c r="C111" s="2" t="s">
        <v>184</v>
      </c>
      <c r="D111" s="4" t="n">
        <v>4</v>
      </c>
      <c r="G111" s="8" t="n">
        <v>0.5775</v>
      </c>
      <c r="I111" s="9" t="n">
        <v>3.465</v>
      </c>
      <c r="J111" s="7" t="n">
        <v>22.0171875</v>
      </c>
      <c r="L111" s="4" t="n">
        <v>1</v>
      </c>
      <c r="M111" s="2" t="s">
        <v>286</v>
      </c>
      <c r="N111" s="2" t="s">
        <v>82</v>
      </c>
    </row>
    <row r="112" customFormat="false" ht="15" hidden="false" customHeight="false" outlineLevel="0" collapsed="false">
      <c r="A112" s="2" t="s">
        <v>122</v>
      </c>
      <c r="B112" s="2" t="s">
        <v>348</v>
      </c>
      <c r="C112" s="2" t="s">
        <v>196</v>
      </c>
      <c r="D112" s="4" t="n">
        <v>1</v>
      </c>
      <c r="L112" s="4" t="n">
        <v>0</v>
      </c>
      <c r="M112" s="2" t="s">
        <v>349</v>
      </c>
      <c r="N112" s="2" t="s">
        <v>82</v>
      </c>
    </row>
    <row r="113" customFormat="false" ht="15" hidden="false" customHeight="false" outlineLevel="0" collapsed="false">
      <c r="A113" s="2" t="s">
        <v>122</v>
      </c>
      <c r="B113" s="2" t="s">
        <v>350</v>
      </c>
      <c r="C113" s="2" t="s">
        <v>188</v>
      </c>
      <c r="D113" s="4" t="n">
        <v>8</v>
      </c>
      <c r="J113" s="7" t="n">
        <v>7.2</v>
      </c>
      <c r="L113" s="4" t="n">
        <v>1</v>
      </c>
      <c r="M113" s="2" t="s">
        <v>293</v>
      </c>
      <c r="N113" s="2" t="s">
        <v>82</v>
      </c>
    </row>
    <row r="114" customFormat="false" ht="15" hidden="false" customHeight="false" outlineLevel="0" collapsed="false">
      <c r="A114" s="2" t="s">
        <v>124</v>
      </c>
      <c r="B114" s="2" t="s">
        <v>347</v>
      </c>
      <c r="C114" s="2" t="s">
        <v>184</v>
      </c>
      <c r="D114" s="4" t="n">
        <v>4</v>
      </c>
      <c r="G114" s="8" t="n">
        <v>0.595</v>
      </c>
      <c r="I114" s="9" t="n">
        <v>3.57</v>
      </c>
      <c r="J114" s="7" t="n">
        <v>22.684375</v>
      </c>
      <c r="L114" s="4" t="n">
        <v>1</v>
      </c>
      <c r="M114" s="2" t="s">
        <v>286</v>
      </c>
      <c r="N114" s="2" t="s">
        <v>82</v>
      </c>
    </row>
    <row r="115" customFormat="false" ht="15" hidden="false" customHeight="false" outlineLevel="0" collapsed="false">
      <c r="A115" s="2" t="s">
        <v>124</v>
      </c>
      <c r="B115" s="2" t="s">
        <v>348</v>
      </c>
      <c r="C115" s="2" t="s">
        <v>196</v>
      </c>
      <c r="D115" s="4" t="n">
        <v>1</v>
      </c>
      <c r="L115" s="4" t="n">
        <v>0</v>
      </c>
      <c r="M115" s="2" t="s">
        <v>349</v>
      </c>
      <c r="N115" s="2" t="s">
        <v>82</v>
      </c>
    </row>
    <row r="116" customFormat="false" ht="15" hidden="false" customHeight="false" outlineLevel="0" collapsed="false">
      <c r="A116" s="2" t="s">
        <v>124</v>
      </c>
      <c r="B116" s="2" t="s">
        <v>350</v>
      </c>
      <c r="C116" s="2" t="s">
        <v>188</v>
      </c>
      <c r="D116" s="4" t="n">
        <v>8</v>
      </c>
      <c r="J116" s="7" t="n">
        <v>7.2</v>
      </c>
      <c r="L116" s="4" t="n">
        <v>1</v>
      </c>
      <c r="M116" s="2" t="s">
        <v>293</v>
      </c>
      <c r="N116" s="2" t="s">
        <v>82</v>
      </c>
    </row>
    <row r="117" customFormat="false" ht="15" hidden="false" customHeight="false" outlineLevel="0" collapsed="false">
      <c r="A117" s="2" t="s">
        <v>125</v>
      </c>
      <c r="B117" s="2" t="s">
        <v>351</v>
      </c>
      <c r="C117" s="2" t="s">
        <v>180</v>
      </c>
      <c r="D117" s="4" t="n">
        <v>2</v>
      </c>
      <c r="E117" s="3" t="n">
        <v>468</v>
      </c>
      <c r="F117" s="3" t="n">
        <v>552</v>
      </c>
      <c r="H117" s="10" t="n">
        <v>0.258336</v>
      </c>
      <c r="I117" s="9" t="n">
        <v>3.24470016</v>
      </c>
      <c r="J117" s="7" t="n">
        <v>23.9825664</v>
      </c>
      <c r="K117" s="9" t="n">
        <v>0.1794</v>
      </c>
      <c r="L117" s="4" t="n">
        <v>1</v>
      </c>
      <c r="M117" s="2" t="s">
        <v>290</v>
      </c>
      <c r="N117" s="2" t="s">
        <v>82</v>
      </c>
    </row>
    <row r="118" customFormat="false" ht="15" hidden="false" customHeight="false" outlineLevel="0" collapsed="false">
      <c r="A118" s="2" t="s">
        <v>125</v>
      </c>
      <c r="B118" s="2" t="s">
        <v>309</v>
      </c>
      <c r="C118" s="2" t="s">
        <v>180</v>
      </c>
      <c r="D118" s="4" t="n">
        <v>1</v>
      </c>
      <c r="E118" s="3" t="n">
        <v>846.3</v>
      </c>
      <c r="F118" s="3" t="n">
        <v>540</v>
      </c>
      <c r="H118" s="10" t="n">
        <v>0.457002</v>
      </c>
      <c r="I118" s="9" t="n">
        <v>2.86997256</v>
      </c>
      <c r="J118" s="7" t="n">
        <v>21.2128406609</v>
      </c>
      <c r="K118" s="9" t="n">
        <v>0.15868125</v>
      </c>
      <c r="L118" s="4" t="n">
        <v>1</v>
      </c>
      <c r="M118" s="2" t="s">
        <v>290</v>
      </c>
      <c r="N118" s="2" t="s">
        <v>82</v>
      </c>
    </row>
    <row r="119" customFormat="false" ht="15" hidden="false" customHeight="false" outlineLevel="0" collapsed="false">
      <c r="A119" s="2" t="s">
        <v>125</v>
      </c>
      <c r="B119" s="2" t="s">
        <v>352</v>
      </c>
      <c r="C119" s="2" t="s">
        <v>180</v>
      </c>
      <c r="D119" s="4" t="n">
        <v>3</v>
      </c>
      <c r="E119" s="3" t="n">
        <v>348.8</v>
      </c>
      <c r="F119" s="3" t="n">
        <v>324</v>
      </c>
      <c r="H119" s="10" t="n">
        <v>0.1130112</v>
      </c>
      <c r="I119" s="9" t="n">
        <v>2.129131008</v>
      </c>
      <c r="J119" s="7" t="n">
        <v>15.7370552765</v>
      </c>
      <c r="K119" s="9" t="n">
        <v>0.11772</v>
      </c>
      <c r="L119" s="4" t="n">
        <v>1</v>
      </c>
      <c r="M119" s="2" t="s">
        <v>290</v>
      </c>
      <c r="N119" s="2" t="s">
        <v>82</v>
      </c>
    </row>
    <row r="120" customFormat="false" ht="15" hidden="false" customHeight="false" outlineLevel="0" collapsed="false">
      <c r="A120" s="2" t="s">
        <v>125</v>
      </c>
      <c r="B120" s="2" t="s">
        <v>353</v>
      </c>
      <c r="C120" s="2" t="s">
        <v>188</v>
      </c>
      <c r="D120" s="4" t="n">
        <v>12</v>
      </c>
      <c r="J120" s="7" t="n">
        <v>10.8</v>
      </c>
      <c r="L120" s="4" t="n">
        <v>1</v>
      </c>
      <c r="M120" s="2" t="s">
        <v>293</v>
      </c>
      <c r="N120" s="2" t="s">
        <v>82</v>
      </c>
    </row>
    <row r="121" customFormat="false" ht="15" hidden="false" customHeight="false" outlineLevel="0" collapsed="false">
      <c r="A121" s="2" t="s">
        <v>127</v>
      </c>
      <c r="B121" s="2" t="s">
        <v>351</v>
      </c>
      <c r="C121" s="2" t="s">
        <v>180</v>
      </c>
      <c r="D121" s="4" t="n">
        <v>2</v>
      </c>
      <c r="E121" s="3" t="n">
        <v>558</v>
      </c>
      <c r="F121" s="3" t="n">
        <v>938.4</v>
      </c>
      <c r="H121" s="10" t="n">
        <v>0.5236272</v>
      </c>
      <c r="I121" s="9" t="n">
        <v>6.576757632</v>
      </c>
      <c r="J121" s="7" t="n">
        <v>48.61081728</v>
      </c>
      <c r="K121" s="9" t="n">
        <v>0.36363</v>
      </c>
      <c r="L121" s="4" t="n">
        <v>1</v>
      </c>
      <c r="M121" s="2" t="s">
        <v>290</v>
      </c>
      <c r="N121" s="2" t="s">
        <v>82</v>
      </c>
    </row>
    <row r="122" customFormat="false" ht="15" hidden="false" customHeight="false" outlineLevel="0" collapsed="false">
      <c r="A122" s="2" t="s">
        <v>127</v>
      </c>
      <c r="B122" s="2" t="s">
        <v>309</v>
      </c>
      <c r="C122" s="2" t="s">
        <v>180</v>
      </c>
      <c r="D122" s="4" t="n">
        <v>1</v>
      </c>
      <c r="E122" s="3" t="n">
        <v>405</v>
      </c>
      <c r="F122" s="3" t="n">
        <v>918</v>
      </c>
      <c r="H122" s="10" t="n">
        <v>0.37179</v>
      </c>
      <c r="I122" s="9" t="n">
        <v>2.3348412</v>
      </c>
      <c r="J122" s="7" t="n">
        <v>17.257521913</v>
      </c>
      <c r="K122" s="9" t="n">
        <v>0.12909375</v>
      </c>
      <c r="L122" s="4" t="n">
        <v>1</v>
      </c>
      <c r="M122" s="2" t="s">
        <v>290</v>
      </c>
      <c r="N122" s="2" t="s">
        <v>82</v>
      </c>
    </row>
    <row r="123" customFormat="false" ht="15" hidden="false" customHeight="false" outlineLevel="0" collapsed="false">
      <c r="A123" s="2" t="s">
        <v>127</v>
      </c>
      <c r="B123" s="2" t="s">
        <v>352</v>
      </c>
      <c r="C123" s="2" t="s">
        <v>180</v>
      </c>
      <c r="D123" s="4" t="n">
        <v>3</v>
      </c>
      <c r="E123" s="3" t="n">
        <v>166.9</v>
      </c>
      <c r="F123" s="3" t="n">
        <v>550.8</v>
      </c>
      <c r="H123" s="10" t="n">
        <v>0.09192852</v>
      </c>
      <c r="I123" s="9" t="n">
        <v>1.7319333168</v>
      </c>
      <c r="J123" s="7" t="n">
        <v>12.8012462546</v>
      </c>
      <c r="K123" s="9" t="n">
        <v>0.095758875</v>
      </c>
      <c r="L123" s="4" t="n">
        <v>1</v>
      </c>
      <c r="M123" s="2" t="s">
        <v>290</v>
      </c>
      <c r="N123" s="2" t="s">
        <v>82</v>
      </c>
    </row>
    <row r="124" customFormat="false" ht="15" hidden="false" customHeight="false" outlineLevel="0" collapsed="false">
      <c r="A124" s="2" t="s">
        <v>127</v>
      </c>
      <c r="B124" s="2" t="s">
        <v>353</v>
      </c>
      <c r="C124" s="2" t="s">
        <v>188</v>
      </c>
      <c r="D124" s="4" t="n">
        <v>12</v>
      </c>
      <c r="J124" s="7" t="n">
        <v>10.8</v>
      </c>
      <c r="L124" s="4" t="n">
        <v>1</v>
      </c>
      <c r="M124" s="2" t="s">
        <v>293</v>
      </c>
      <c r="N124" s="2" t="s">
        <v>82</v>
      </c>
    </row>
    <row r="125" customFormat="false" ht="15" hidden="false" customHeight="false" outlineLevel="0" collapsed="false">
      <c r="A125" s="2" t="s">
        <v>128</v>
      </c>
      <c r="B125" s="2" t="s">
        <v>351</v>
      </c>
      <c r="C125" s="2" t="s">
        <v>180</v>
      </c>
      <c r="D125" s="4" t="n">
        <v>2</v>
      </c>
      <c r="E125" s="3" t="n">
        <v>558</v>
      </c>
      <c r="F125" s="3" t="n">
        <v>1219</v>
      </c>
      <c r="H125" s="10" t="n">
        <v>0.680202</v>
      </c>
      <c r="I125" s="9" t="n">
        <v>8.54333712</v>
      </c>
      <c r="J125" s="7" t="n">
        <v>63.1464048</v>
      </c>
      <c r="K125" s="9" t="n">
        <v>0.4723625</v>
      </c>
      <c r="L125" s="4" t="n">
        <v>1</v>
      </c>
      <c r="M125" s="2" t="s">
        <v>290</v>
      </c>
      <c r="N125" s="2" t="s">
        <v>82</v>
      </c>
    </row>
    <row r="126" customFormat="false" ht="15" hidden="false" customHeight="false" outlineLevel="0" collapsed="false">
      <c r="A126" s="2" t="s">
        <v>128</v>
      </c>
      <c r="B126" s="2" t="s">
        <v>309</v>
      </c>
      <c r="C126" s="2" t="s">
        <v>180</v>
      </c>
      <c r="D126" s="4" t="n">
        <v>1</v>
      </c>
      <c r="E126" s="3" t="n">
        <v>405</v>
      </c>
      <c r="F126" s="3" t="n">
        <v>1192.5</v>
      </c>
      <c r="H126" s="10" t="n">
        <v>0.4829625</v>
      </c>
      <c r="I126" s="9" t="n">
        <v>3.0330045</v>
      </c>
      <c r="J126" s="7" t="n">
        <v>22.4178593478</v>
      </c>
      <c r="K126" s="9" t="n">
        <v>0.1676953125</v>
      </c>
      <c r="L126" s="4" t="n">
        <v>1</v>
      </c>
      <c r="M126" s="2" t="s">
        <v>290</v>
      </c>
      <c r="N126" s="2" t="s">
        <v>82</v>
      </c>
    </row>
    <row r="127" customFormat="false" ht="15" hidden="false" customHeight="false" outlineLevel="0" collapsed="false">
      <c r="A127" s="2" t="s">
        <v>128</v>
      </c>
      <c r="B127" s="2" t="s">
        <v>352</v>
      </c>
      <c r="C127" s="2" t="s">
        <v>180</v>
      </c>
      <c r="D127" s="4" t="n">
        <v>3</v>
      </c>
      <c r="E127" s="3" t="n">
        <v>166.9</v>
      </c>
      <c r="F127" s="3" t="n">
        <v>715.5</v>
      </c>
      <c r="H127" s="10" t="n">
        <v>0.11941695</v>
      </c>
      <c r="I127" s="9" t="n">
        <v>2.249815338</v>
      </c>
      <c r="J127" s="7" t="n">
        <v>16.6290698896</v>
      </c>
      <c r="K127" s="9" t="n">
        <v>0.1243926563</v>
      </c>
      <c r="L127" s="4" t="n">
        <v>1</v>
      </c>
      <c r="M127" s="2" t="s">
        <v>290</v>
      </c>
      <c r="N127" s="2" t="s">
        <v>82</v>
      </c>
    </row>
    <row r="128" customFormat="false" ht="15" hidden="false" customHeight="false" outlineLevel="0" collapsed="false">
      <c r="A128" s="2" t="s">
        <v>128</v>
      </c>
      <c r="B128" s="2" t="s">
        <v>353</v>
      </c>
      <c r="C128" s="2" t="s">
        <v>188</v>
      </c>
      <c r="D128" s="4" t="n">
        <v>12</v>
      </c>
      <c r="J128" s="7" t="n">
        <v>10.8</v>
      </c>
      <c r="L128" s="4" t="n">
        <v>1</v>
      </c>
      <c r="M128" s="2" t="s">
        <v>293</v>
      </c>
      <c r="N128" s="2" t="s">
        <v>82</v>
      </c>
    </row>
    <row r="129" customFormat="false" ht="15" hidden="false" customHeight="false" outlineLevel="0" collapsed="false">
      <c r="A129" s="2" t="s">
        <v>129</v>
      </c>
      <c r="B129" s="2" t="s">
        <v>351</v>
      </c>
      <c r="C129" s="2" t="s">
        <v>180</v>
      </c>
      <c r="D129" s="4" t="n">
        <v>2</v>
      </c>
      <c r="E129" s="3" t="n">
        <v>360</v>
      </c>
      <c r="F129" s="3" t="n">
        <v>1702</v>
      </c>
      <c r="H129" s="10" t="n">
        <v>0.61272</v>
      </c>
      <c r="I129" s="9" t="n">
        <v>7.6957632</v>
      </c>
      <c r="J129" s="7" t="n">
        <v>56.881728</v>
      </c>
      <c r="K129" s="9" t="n">
        <v>0.4255</v>
      </c>
      <c r="L129" s="4" t="n">
        <v>1</v>
      </c>
      <c r="M129" s="2" t="s">
        <v>290</v>
      </c>
      <c r="N129" s="2" t="s">
        <v>82</v>
      </c>
    </row>
    <row r="130" customFormat="false" ht="15" hidden="false" customHeight="false" outlineLevel="0" collapsed="false">
      <c r="A130" s="2" t="s">
        <v>129</v>
      </c>
      <c r="B130" s="2" t="s">
        <v>309</v>
      </c>
      <c r="C130" s="2" t="s">
        <v>180</v>
      </c>
      <c r="D130" s="4" t="n">
        <v>1</v>
      </c>
      <c r="E130" s="3" t="n">
        <v>819</v>
      </c>
      <c r="F130" s="3" t="n">
        <v>1665</v>
      </c>
      <c r="H130" s="10" t="n">
        <v>1.363635</v>
      </c>
      <c r="I130" s="9" t="n">
        <v>8.5636278</v>
      </c>
      <c r="J130" s="7" t="n">
        <v>63.2963793913</v>
      </c>
      <c r="K130" s="9" t="n">
        <v>0.473484375</v>
      </c>
      <c r="L130" s="4" t="n">
        <v>1</v>
      </c>
      <c r="M130" s="2" t="s">
        <v>290</v>
      </c>
      <c r="N130" s="2" t="s">
        <v>82</v>
      </c>
    </row>
    <row r="131" customFormat="false" ht="15" hidden="false" customHeight="false" outlineLevel="0" collapsed="false">
      <c r="A131" s="2" t="s">
        <v>129</v>
      </c>
      <c r="B131" s="2" t="s">
        <v>352</v>
      </c>
      <c r="C131" s="2" t="s">
        <v>180</v>
      </c>
      <c r="D131" s="4" t="n">
        <v>3</v>
      </c>
      <c r="E131" s="3" t="n">
        <v>337.5</v>
      </c>
      <c r="F131" s="3" t="n">
        <v>999</v>
      </c>
      <c r="H131" s="10" t="n">
        <v>0.3371625</v>
      </c>
      <c r="I131" s="9" t="n">
        <v>6.3521415</v>
      </c>
      <c r="J131" s="7" t="n">
        <v>46.950611087</v>
      </c>
      <c r="K131" s="9" t="n">
        <v>0.3512109375</v>
      </c>
      <c r="L131" s="4" t="n">
        <v>1</v>
      </c>
      <c r="M131" s="2" t="s">
        <v>290</v>
      </c>
      <c r="N131" s="2" t="s">
        <v>82</v>
      </c>
    </row>
    <row r="132" customFormat="false" ht="15" hidden="false" customHeight="false" outlineLevel="0" collapsed="false">
      <c r="A132" s="2" t="s">
        <v>129</v>
      </c>
      <c r="B132" s="2" t="s">
        <v>353</v>
      </c>
      <c r="C132" s="2" t="s">
        <v>188</v>
      </c>
      <c r="D132" s="4" t="n">
        <v>12</v>
      </c>
      <c r="J132" s="7" t="n">
        <v>10.8</v>
      </c>
      <c r="L132" s="4" t="n">
        <v>1</v>
      </c>
      <c r="M132" s="2" t="s">
        <v>293</v>
      </c>
      <c r="N132" s="2" t="s">
        <v>82</v>
      </c>
    </row>
    <row r="133" customFormat="false" ht="15" hidden="false" customHeight="false" outlineLevel="0" collapsed="false">
      <c r="A133" s="2" t="s">
        <v>131</v>
      </c>
      <c r="B133" s="2" t="s">
        <v>354</v>
      </c>
      <c r="C133" s="2" t="s">
        <v>184</v>
      </c>
      <c r="D133" s="4" t="n">
        <v>4</v>
      </c>
      <c r="G133" s="8" t="n">
        <v>0.432</v>
      </c>
      <c r="I133" s="9" t="n">
        <v>2.592</v>
      </c>
      <c r="J133" s="7" t="n">
        <v>16.47</v>
      </c>
      <c r="L133" s="4" t="n">
        <v>1</v>
      </c>
      <c r="M133" s="2" t="s">
        <v>286</v>
      </c>
      <c r="N133" s="2" t="s">
        <v>82</v>
      </c>
    </row>
    <row r="134" customFormat="false" ht="15" hidden="false" customHeight="false" outlineLevel="0" collapsed="false">
      <c r="A134" s="2" t="s">
        <v>131</v>
      </c>
      <c r="B134" s="2" t="s">
        <v>355</v>
      </c>
      <c r="C134" s="2" t="s">
        <v>184</v>
      </c>
      <c r="D134" s="4" t="n">
        <v>4</v>
      </c>
      <c r="G134" s="8" t="n">
        <v>1.35</v>
      </c>
      <c r="I134" s="9" t="n">
        <v>8.1</v>
      </c>
      <c r="J134" s="7" t="n">
        <v>51.46875</v>
      </c>
      <c r="L134" s="4" t="n">
        <v>1</v>
      </c>
      <c r="M134" s="2" t="s">
        <v>286</v>
      </c>
      <c r="N134" s="2" t="s">
        <v>82</v>
      </c>
    </row>
    <row r="135" customFormat="false" ht="15" hidden="false" customHeight="false" outlineLevel="0" collapsed="false">
      <c r="A135" s="2" t="s">
        <v>131</v>
      </c>
      <c r="B135" s="2" t="s">
        <v>356</v>
      </c>
      <c r="C135" s="2" t="s">
        <v>196</v>
      </c>
      <c r="D135" s="4" t="n">
        <v>1</v>
      </c>
      <c r="L135" s="4" t="n">
        <v>0</v>
      </c>
      <c r="M135" s="2" t="s">
        <v>349</v>
      </c>
      <c r="N135" s="2" t="s">
        <v>82</v>
      </c>
    </row>
    <row r="136" customFormat="false" ht="15" hidden="false" customHeight="false" outlineLevel="0" collapsed="false">
      <c r="A136" s="2" t="s">
        <v>131</v>
      </c>
      <c r="B136" s="2" t="s">
        <v>357</v>
      </c>
      <c r="C136" s="2" t="s">
        <v>188</v>
      </c>
      <c r="D136" s="4" t="n">
        <v>12</v>
      </c>
      <c r="J136" s="7" t="n">
        <v>10.8</v>
      </c>
      <c r="L136" s="4" t="n">
        <v>1</v>
      </c>
      <c r="M136" s="2" t="s">
        <v>293</v>
      </c>
      <c r="N136" s="2" t="s">
        <v>82</v>
      </c>
    </row>
    <row r="137" customFormat="false" ht="15" hidden="false" customHeight="false" outlineLevel="0" collapsed="false">
      <c r="A137" s="2" t="s">
        <v>133</v>
      </c>
      <c r="B137" s="2" t="s">
        <v>351</v>
      </c>
      <c r="C137" s="2" t="s">
        <v>182</v>
      </c>
      <c r="D137" s="4" t="n">
        <v>2</v>
      </c>
      <c r="E137" s="3" t="n">
        <v>450</v>
      </c>
      <c r="F137" s="3" t="n">
        <v>1702</v>
      </c>
      <c r="H137" s="10" t="n">
        <v>0.7659</v>
      </c>
      <c r="I137" s="9" t="n">
        <v>14.429556</v>
      </c>
      <c r="J137" s="7" t="n">
        <v>106.65324</v>
      </c>
      <c r="K137" s="9" t="n">
        <v>0.531875</v>
      </c>
      <c r="L137" s="4" t="n">
        <v>1</v>
      </c>
      <c r="M137" s="2" t="s">
        <v>290</v>
      </c>
      <c r="N137" s="2" t="s">
        <v>82</v>
      </c>
    </row>
    <row r="138" customFormat="false" ht="15" hidden="false" customHeight="false" outlineLevel="0" collapsed="false">
      <c r="A138" s="2" t="s">
        <v>133</v>
      </c>
      <c r="B138" s="2" t="s">
        <v>309</v>
      </c>
      <c r="C138" s="2" t="s">
        <v>180</v>
      </c>
      <c r="D138" s="4" t="n">
        <v>1</v>
      </c>
      <c r="E138" s="3" t="n">
        <v>910</v>
      </c>
      <c r="F138" s="3" t="n">
        <v>1665</v>
      </c>
      <c r="H138" s="10" t="n">
        <v>1.51515</v>
      </c>
      <c r="I138" s="9" t="n">
        <v>9.515142</v>
      </c>
      <c r="J138" s="7" t="n">
        <v>70.3293104348</v>
      </c>
      <c r="K138" s="9" t="n">
        <v>0.52609375</v>
      </c>
      <c r="L138" s="4" t="n">
        <v>1</v>
      </c>
      <c r="M138" s="2" t="s">
        <v>290</v>
      </c>
      <c r="N138" s="2" t="s">
        <v>82</v>
      </c>
    </row>
    <row r="139" customFormat="false" ht="15" hidden="false" customHeight="false" outlineLevel="0" collapsed="false">
      <c r="A139" s="2" t="s">
        <v>133</v>
      </c>
      <c r="B139" s="2" t="s">
        <v>352</v>
      </c>
      <c r="C139" s="2" t="s">
        <v>180</v>
      </c>
      <c r="D139" s="4" t="n">
        <v>3</v>
      </c>
      <c r="E139" s="3" t="n">
        <v>375</v>
      </c>
      <c r="F139" s="3" t="n">
        <v>999</v>
      </c>
      <c r="H139" s="10" t="n">
        <v>0.374625</v>
      </c>
      <c r="I139" s="9" t="n">
        <v>7.057935</v>
      </c>
      <c r="J139" s="7" t="n">
        <v>52.1673456522</v>
      </c>
      <c r="K139" s="9" t="n">
        <v>0.390234375</v>
      </c>
      <c r="L139" s="4" t="n">
        <v>1</v>
      </c>
      <c r="M139" s="2" t="s">
        <v>290</v>
      </c>
      <c r="N139" s="2" t="s">
        <v>82</v>
      </c>
    </row>
    <row r="140" customFormat="false" ht="15" hidden="false" customHeight="false" outlineLevel="0" collapsed="false">
      <c r="A140" s="2" t="s">
        <v>133</v>
      </c>
      <c r="B140" s="2" t="s">
        <v>353</v>
      </c>
      <c r="C140" s="2" t="s">
        <v>188</v>
      </c>
      <c r="D140" s="4" t="n">
        <v>12</v>
      </c>
      <c r="J140" s="7" t="n">
        <v>10.8</v>
      </c>
      <c r="L140" s="4" t="n">
        <v>1</v>
      </c>
      <c r="M140" s="2" t="s">
        <v>293</v>
      </c>
      <c r="N140" s="2" t="s">
        <v>82</v>
      </c>
    </row>
    <row r="141" customFormat="false" ht="15" hidden="false" customHeight="false" outlineLevel="0" collapsed="false">
      <c r="A141" s="2" t="s">
        <v>134</v>
      </c>
      <c r="B141" s="2" t="s">
        <v>351</v>
      </c>
      <c r="C141" s="2" t="s">
        <v>182</v>
      </c>
      <c r="D141" s="4" t="n">
        <v>2</v>
      </c>
      <c r="E141" s="3" t="n">
        <v>450</v>
      </c>
      <c r="F141" s="3" t="n">
        <v>1702</v>
      </c>
      <c r="H141" s="10" t="n">
        <v>0.7659</v>
      </c>
      <c r="I141" s="9" t="n">
        <v>14.429556</v>
      </c>
      <c r="J141" s="7" t="n">
        <v>106.65324</v>
      </c>
      <c r="K141" s="9" t="n">
        <v>0.531875</v>
      </c>
      <c r="L141" s="4" t="n">
        <v>1</v>
      </c>
      <c r="M141" s="2" t="s">
        <v>290</v>
      </c>
      <c r="N141" s="2" t="s">
        <v>82</v>
      </c>
    </row>
    <row r="142" customFormat="false" ht="15" hidden="false" customHeight="false" outlineLevel="0" collapsed="false">
      <c r="A142" s="2" t="s">
        <v>134</v>
      </c>
      <c r="B142" s="2" t="s">
        <v>309</v>
      </c>
      <c r="C142" s="2" t="s">
        <v>180</v>
      </c>
      <c r="D142" s="4" t="n">
        <v>1</v>
      </c>
      <c r="E142" s="3" t="n">
        <v>910</v>
      </c>
      <c r="F142" s="3" t="n">
        <v>1665</v>
      </c>
      <c r="H142" s="10" t="n">
        <v>1.51515</v>
      </c>
      <c r="I142" s="9" t="n">
        <v>9.515142</v>
      </c>
      <c r="J142" s="7" t="n">
        <v>70.3293104348</v>
      </c>
      <c r="K142" s="9" t="n">
        <v>0.52609375</v>
      </c>
      <c r="L142" s="4" t="n">
        <v>1</v>
      </c>
      <c r="M142" s="2" t="s">
        <v>290</v>
      </c>
      <c r="N142" s="2" t="s">
        <v>82</v>
      </c>
    </row>
    <row r="143" customFormat="false" ht="15" hidden="false" customHeight="false" outlineLevel="0" collapsed="false">
      <c r="A143" s="2" t="s">
        <v>134</v>
      </c>
      <c r="B143" s="2" t="s">
        <v>352</v>
      </c>
      <c r="C143" s="2" t="s">
        <v>180</v>
      </c>
      <c r="D143" s="4" t="n">
        <v>3</v>
      </c>
      <c r="E143" s="3" t="n">
        <v>375</v>
      </c>
      <c r="F143" s="3" t="n">
        <v>999</v>
      </c>
      <c r="H143" s="10" t="n">
        <v>0.374625</v>
      </c>
      <c r="I143" s="9" t="n">
        <v>7.057935</v>
      </c>
      <c r="J143" s="7" t="n">
        <v>52.1673456522</v>
      </c>
      <c r="K143" s="9" t="n">
        <v>0.390234375</v>
      </c>
      <c r="L143" s="4" t="n">
        <v>1</v>
      </c>
      <c r="M143" s="2" t="s">
        <v>290</v>
      </c>
      <c r="N143" s="2" t="s">
        <v>82</v>
      </c>
    </row>
    <row r="144" customFormat="false" ht="15" hidden="false" customHeight="false" outlineLevel="0" collapsed="false">
      <c r="A144" s="2" t="s">
        <v>134</v>
      </c>
      <c r="B144" s="2" t="s">
        <v>353</v>
      </c>
      <c r="C144" s="2" t="s">
        <v>188</v>
      </c>
      <c r="D144" s="4" t="n">
        <v>12</v>
      </c>
      <c r="J144" s="7" t="n">
        <v>10.8</v>
      </c>
      <c r="L144" s="4" t="n">
        <v>1</v>
      </c>
      <c r="M144" s="2" t="s">
        <v>293</v>
      </c>
      <c r="N144" s="2" t="s">
        <v>82</v>
      </c>
    </row>
    <row r="145" customFormat="false" ht="15" hidden="false" customHeight="false" outlineLevel="0" collapsed="false">
      <c r="A145" s="2" t="s">
        <v>135</v>
      </c>
      <c r="B145" s="2" t="s">
        <v>351</v>
      </c>
      <c r="C145" s="2" t="s">
        <v>182</v>
      </c>
      <c r="D145" s="4" t="n">
        <v>2</v>
      </c>
      <c r="E145" s="3" t="n">
        <v>450</v>
      </c>
      <c r="F145" s="3" t="n">
        <v>1702</v>
      </c>
      <c r="H145" s="10" t="n">
        <v>0.7659</v>
      </c>
      <c r="I145" s="9" t="n">
        <v>14.429556</v>
      </c>
      <c r="J145" s="7" t="n">
        <v>106.65324</v>
      </c>
      <c r="K145" s="9" t="n">
        <v>0.531875</v>
      </c>
      <c r="L145" s="4" t="n">
        <v>1</v>
      </c>
      <c r="M145" s="2" t="s">
        <v>290</v>
      </c>
      <c r="N145" s="2" t="s">
        <v>82</v>
      </c>
    </row>
    <row r="146" customFormat="false" ht="15" hidden="false" customHeight="false" outlineLevel="0" collapsed="false">
      <c r="A146" s="2" t="s">
        <v>135</v>
      </c>
      <c r="B146" s="2" t="s">
        <v>309</v>
      </c>
      <c r="C146" s="2" t="s">
        <v>180</v>
      </c>
      <c r="D146" s="4" t="n">
        <v>1</v>
      </c>
      <c r="E146" s="3" t="n">
        <v>910</v>
      </c>
      <c r="F146" s="3" t="n">
        <v>1665</v>
      </c>
      <c r="H146" s="10" t="n">
        <v>1.51515</v>
      </c>
      <c r="I146" s="9" t="n">
        <v>9.515142</v>
      </c>
      <c r="J146" s="7" t="n">
        <v>70.3293104348</v>
      </c>
      <c r="K146" s="9" t="n">
        <v>0.52609375</v>
      </c>
      <c r="L146" s="4" t="n">
        <v>1</v>
      </c>
      <c r="M146" s="2" t="s">
        <v>290</v>
      </c>
      <c r="N146" s="2" t="s">
        <v>82</v>
      </c>
    </row>
    <row r="147" customFormat="false" ht="15" hidden="false" customHeight="false" outlineLevel="0" collapsed="false">
      <c r="A147" s="2" t="s">
        <v>135</v>
      </c>
      <c r="B147" s="2" t="s">
        <v>352</v>
      </c>
      <c r="C147" s="2" t="s">
        <v>180</v>
      </c>
      <c r="D147" s="4" t="n">
        <v>3</v>
      </c>
      <c r="E147" s="3" t="n">
        <v>375</v>
      </c>
      <c r="F147" s="3" t="n">
        <v>999</v>
      </c>
      <c r="H147" s="10" t="n">
        <v>0.374625</v>
      </c>
      <c r="I147" s="9" t="n">
        <v>7.057935</v>
      </c>
      <c r="J147" s="7" t="n">
        <v>52.1673456522</v>
      </c>
      <c r="K147" s="9" t="n">
        <v>0.390234375</v>
      </c>
      <c r="L147" s="4" t="n">
        <v>1</v>
      </c>
      <c r="M147" s="2" t="s">
        <v>290</v>
      </c>
      <c r="N147" s="2" t="s">
        <v>82</v>
      </c>
    </row>
    <row r="148" customFormat="false" ht="15" hidden="false" customHeight="false" outlineLevel="0" collapsed="false">
      <c r="A148" s="2" t="s">
        <v>135</v>
      </c>
      <c r="B148" s="2" t="s">
        <v>353</v>
      </c>
      <c r="C148" s="2" t="s">
        <v>188</v>
      </c>
      <c r="D148" s="4" t="n">
        <v>12</v>
      </c>
      <c r="J148" s="7" t="n">
        <v>10.8</v>
      </c>
      <c r="L148" s="4" t="n">
        <v>1</v>
      </c>
      <c r="M148" s="2" t="s">
        <v>293</v>
      </c>
      <c r="N148" s="2" t="s">
        <v>82</v>
      </c>
    </row>
    <row r="149" customFormat="false" ht="15" hidden="false" customHeight="false" outlineLevel="0" collapsed="false">
      <c r="A149" s="2" t="s">
        <v>136</v>
      </c>
      <c r="B149" s="2" t="s">
        <v>351</v>
      </c>
      <c r="C149" s="2" t="s">
        <v>182</v>
      </c>
      <c r="D149" s="4" t="n">
        <v>2</v>
      </c>
      <c r="E149" s="3" t="n">
        <v>450</v>
      </c>
      <c r="F149" s="3" t="n">
        <v>1702</v>
      </c>
      <c r="H149" s="10" t="n">
        <v>0.7659</v>
      </c>
      <c r="I149" s="9" t="n">
        <v>14.429556</v>
      </c>
      <c r="J149" s="7" t="n">
        <v>106.65324</v>
      </c>
      <c r="K149" s="9" t="n">
        <v>0.531875</v>
      </c>
      <c r="L149" s="4" t="n">
        <v>1</v>
      </c>
      <c r="M149" s="2" t="s">
        <v>290</v>
      </c>
      <c r="N149" s="2" t="s">
        <v>82</v>
      </c>
    </row>
    <row r="150" customFormat="false" ht="15" hidden="false" customHeight="false" outlineLevel="0" collapsed="false">
      <c r="A150" s="2" t="s">
        <v>136</v>
      </c>
      <c r="B150" s="2" t="s">
        <v>309</v>
      </c>
      <c r="C150" s="2" t="s">
        <v>180</v>
      </c>
      <c r="D150" s="4" t="n">
        <v>1</v>
      </c>
      <c r="E150" s="3" t="n">
        <v>910</v>
      </c>
      <c r="F150" s="3" t="n">
        <v>1665</v>
      </c>
      <c r="H150" s="10" t="n">
        <v>1.51515</v>
      </c>
      <c r="I150" s="9" t="n">
        <v>9.515142</v>
      </c>
      <c r="J150" s="7" t="n">
        <v>70.3293104348</v>
      </c>
      <c r="K150" s="9" t="n">
        <v>0.52609375</v>
      </c>
      <c r="L150" s="4" t="n">
        <v>1</v>
      </c>
      <c r="M150" s="2" t="s">
        <v>290</v>
      </c>
      <c r="N150" s="2" t="s">
        <v>82</v>
      </c>
    </row>
    <row r="151" customFormat="false" ht="15" hidden="false" customHeight="false" outlineLevel="0" collapsed="false">
      <c r="A151" s="2" t="s">
        <v>136</v>
      </c>
      <c r="B151" s="2" t="s">
        <v>352</v>
      </c>
      <c r="C151" s="2" t="s">
        <v>180</v>
      </c>
      <c r="D151" s="4" t="n">
        <v>3</v>
      </c>
      <c r="E151" s="3" t="n">
        <v>375</v>
      </c>
      <c r="F151" s="3" t="n">
        <v>999</v>
      </c>
      <c r="H151" s="10" t="n">
        <v>0.374625</v>
      </c>
      <c r="I151" s="9" t="n">
        <v>7.057935</v>
      </c>
      <c r="J151" s="7" t="n">
        <v>52.1673456522</v>
      </c>
      <c r="K151" s="9" t="n">
        <v>0.390234375</v>
      </c>
      <c r="L151" s="4" t="n">
        <v>1</v>
      </c>
      <c r="M151" s="2" t="s">
        <v>290</v>
      </c>
      <c r="N151" s="2" t="s">
        <v>82</v>
      </c>
    </row>
    <row r="152" customFormat="false" ht="15" hidden="false" customHeight="false" outlineLevel="0" collapsed="false">
      <c r="A152" s="2" t="s">
        <v>136</v>
      </c>
      <c r="B152" s="2" t="s">
        <v>353</v>
      </c>
      <c r="C152" s="2" t="s">
        <v>188</v>
      </c>
      <c r="D152" s="4" t="n">
        <v>12</v>
      </c>
      <c r="J152" s="7" t="n">
        <v>10.8</v>
      </c>
      <c r="L152" s="4" t="n">
        <v>1</v>
      </c>
      <c r="M152" s="2" t="s">
        <v>293</v>
      </c>
      <c r="N152" s="2" t="s">
        <v>82</v>
      </c>
    </row>
    <row r="153" customFormat="false" ht="15" hidden="false" customHeight="false" outlineLevel="0" collapsed="false">
      <c r="A153" s="2" t="s">
        <v>137</v>
      </c>
      <c r="B153" s="2" t="s">
        <v>351</v>
      </c>
      <c r="C153" s="2" t="s">
        <v>180</v>
      </c>
      <c r="D153" s="4" t="n">
        <v>2</v>
      </c>
      <c r="E153" s="3" t="n">
        <v>450</v>
      </c>
      <c r="F153" s="3" t="n">
        <v>878.6</v>
      </c>
      <c r="H153" s="10" t="n">
        <v>0.39537</v>
      </c>
      <c r="I153" s="9" t="n">
        <v>4.9658472</v>
      </c>
      <c r="J153" s="7" t="n">
        <v>36.704088</v>
      </c>
      <c r="K153" s="9" t="n">
        <v>0.2745625</v>
      </c>
      <c r="L153" s="4" t="n">
        <v>1</v>
      </c>
      <c r="M153" s="2" t="s">
        <v>290</v>
      </c>
      <c r="N153" s="2" t="s">
        <v>82</v>
      </c>
    </row>
    <row r="154" customFormat="false" ht="15" hidden="false" customHeight="false" outlineLevel="0" collapsed="false">
      <c r="A154" s="2" t="s">
        <v>137</v>
      </c>
      <c r="B154" s="2" t="s">
        <v>309</v>
      </c>
      <c r="C154" s="2" t="s">
        <v>180</v>
      </c>
      <c r="D154" s="4" t="n">
        <v>1</v>
      </c>
      <c r="E154" s="3" t="n">
        <v>650.6</v>
      </c>
      <c r="F154" s="3" t="n">
        <v>859.5</v>
      </c>
      <c r="H154" s="10" t="n">
        <v>0.5591907</v>
      </c>
      <c r="I154" s="9" t="n">
        <v>3.511717596</v>
      </c>
      <c r="J154" s="7" t="n">
        <v>25.9561735357</v>
      </c>
      <c r="K154" s="9" t="n">
        <v>0.1941634375</v>
      </c>
      <c r="L154" s="4" t="n">
        <v>1</v>
      </c>
      <c r="M154" s="2" t="s">
        <v>290</v>
      </c>
      <c r="N154" s="2" t="s">
        <v>82</v>
      </c>
    </row>
    <row r="155" customFormat="false" ht="15" hidden="false" customHeight="false" outlineLevel="0" collapsed="false">
      <c r="A155" s="2" t="s">
        <v>137</v>
      </c>
      <c r="B155" s="2" t="s">
        <v>352</v>
      </c>
      <c r="C155" s="2" t="s">
        <v>180</v>
      </c>
      <c r="D155" s="4" t="n">
        <v>3</v>
      </c>
      <c r="E155" s="3" t="n">
        <v>268.1</v>
      </c>
      <c r="F155" s="3" t="n">
        <v>515.7</v>
      </c>
      <c r="H155" s="10" t="n">
        <v>0.13825917</v>
      </c>
      <c r="I155" s="9" t="n">
        <v>2.6048027628</v>
      </c>
      <c r="J155" s="7" t="n">
        <v>19.2528899859</v>
      </c>
      <c r="K155" s="9" t="n">
        <v>0.1440199688</v>
      </c>
      <c r="L155" s="4" t="n">
        <v>1</v>
      </c>
      <c r="M155" s="2" t="s">
        <v>290</v>
      </c>
      <c r="N155" s="2" t="s">
        <v>82</v>
      </c>
    </row>
    <row r="156" customFormat="false" ht="15" hidden="false" customHeight="false" outlineLevel="0" collapsed="false">
      <c r="A156" s="2" t="s">
        <v>137</v>
      </c>
      <c r="B156" s="2" t="s">
        <v>353</v>
      </c>
      <c r="C156" s="2" t="s">
        <v>188</v>
      </c>
      <c r="D156" s="4" t="n">
        <v>12</v>
      </c>
      <c r="J156" s="7" t="n">
        <v>10.8</v>
      </c>
      <c r="L156" s="4" t="n">
        <v>1</v>
      </c>
      <c r="M156" s="2" t="s">
        <v>293</v>
      </c>
      <c r="N156" s="2" t="s">
        <v>82</v>
      </c>
    </row>
    <row r="157" customFormat="false" ht="15" hidden="false" customHeight="false" outlineLevel="0" collapsed="false">
      <c r="A157" s="2" t="s">
        <v>137</v>
      </c>
      <c r="B157" s="2" t="s">
        <v>358</v>
      </c>
      <c r="C157" s="2" t="s">
        <v>196</v>
      </c>
      <c r="D157" s="4" t="n">
        <v>4</v>
      </c>
      <c r="L157" s="4" t="n">
        <v>0</v>
      </c>
      <c r="M157" s="2" t="s">
        <v>349</v>
      </c>
      <c r="N157" s="2" t="s">
        <v>82</v>
      </c>
    </row>
    <row r="158" customFormat="false" ht="15" hidden="false" customHeight="false" outlineLevel="0" collapsed="false">
      <c r="A158" s="2" t="s">
        <v>139</v>
      </c>
      <c r="B158" s="2" t="s">
        <v>351</v>
      </c>
      <c r="C158" s="2" t="s">
        <v>180</v>
      </c>
      <c r="D158" s="4" t="n">
        <v>2</v>
      </c>
      <c r="E158" s="3" t="n">
        <v>450</v>
      </c>
      <c r="F158" s="3" t="n">
        <v>878.6</v>
      </c>
      <c r="H158" s="10" t="n">
        <v>0.39537</v>
      </c>
      <c r="I158" s="9" t="n">
        <v>4.9658472</v>
      </c>
      <c r="J158" s="7" t="n">
        <v>36.704088</v>
      </c>
      <c r="K158" s="9" t="n">
        <v>0.2745625</v>
      </c>
      <c r="L158" s="4" t="n">
        <v>1</v>
      </c>
      <c r="M158" s="2" t="s">
        <v>290</v>
      </c>
      <c r="N158" s="2" t="s">
        <v>82</v>
      </c>
    </row>
    <row r="159" customFormat="false" ht="15" hidden="false" customHeight="false" outlineLevel="0" collapsed="false">
      <c r="A159" s="2" t="s">
        <v>139</v>
      </c>
      <c r="B159" s="2" t="s">
        <v>309</v>
      </c>
      <c r="C159" s="2" t="s">
        <v>180</v>
      </c>
      <c r="D159" s="4" t="n">
        <v>1</v>
      </c>
      <c r="E159" s="3" t="n">
        <v>650.6</v>
      </c>
      <c r="F159" s="3" t="n">
        <v>859.5</v>
      </c>
      <c r="H159" s="10" t="n">
        <v>0.5591907</v>
      </c>
      <c r="I159" s="9" t="n">
        <v>3.511717596</v>
      </c>
      <c r="J159" s="7" t="n">
        <v>25.9561735357</v>
      </c>
      <c r="K159" s="9" t="n">
        <v>0.1941634375</v>
      </c>
      <c r="L159" s="4" t="n">
        <v>1</v>
      </c>
      <c r="M159" s="2" t="s">
        <v>290</v>
      </c>
      <c r="N159" s="2" t="s">
        <v>82</v>
      </c>
    </row>
    <row r="160" customFormat="false" ht="15" hidden="false" customHeight="false" outlineLevel="0" collapsed="false">
      <c r="A160" s="2" t="s">
        <v>139</v>
      </c>
      <c r="B160" s="2" t="s">
        <v>352</v>
      </c>
      <c r="C160" s="2" t="s">
        <v>180</v>
      </c>
      <c r="D160" s="4" t="n">
        <v>3</v>
      </c>
      <c r="E160" s="3" t="n">
        <v>268.1</v>
      </c>
      <c r="F160" s="3" t="n">
        <v>515.7</v>
      </c>
      <c r="H160" s="10" t="n">
        <v>0.13825917</v>
      </c>
      <c r="I160" s="9" t="n">
        <v>2.6048027628</v>
      </c>
      <c r="J160" s="7" t="n">
        <v>19.2528899859</v>
      </c>
      <c r="K160" s="9" t="n">
        <v>0.1440199688</v>
      </c>
      <c r="L160" s="4" t="n">
        <v>1</v>
      </c>
      <c r="M160" s="2" t="s">
        <v>290</v>
      </c>
      <c r="N160" s="2" t="s">
        <v>82</v>
      </c>
    </row>
    <row r="161" customFormat="false" ht="15" hidden="false" customHeight="false" outlineLevel="0" collapsed="false">
      <c r="A161" s="2" t="s">
        <v>139</v>
      </c>
      <c r="B161" s="2" t="s">
        <v>353</v>
      </c>
      <c r="C161" s="2" t="s">
        <v>188</v>
      </c>
      <c r="D161" s="4" t="n">
        <v>12</v>
      </c>
      <c r="J161" s="7" t="n">
        <v>10.8</v>
      </c>
      <c r="L161" s="4" t="n">
        <v>1</v>
      </c>
      <c r="M161" s="2" t="s">
        <v>293</v>
      </c>
      <c r="N161" s="2" t="s">
        <v>82</v>
      </c>
    </row>
    <row r="162" customFormat="false" ht="15" hidden="false" customHeight="false" outlineLevel="0" collapsed="false">
      <c r="A162" s="2" t="s">
        <v>139</v>
      </c>
      <c r="B162" s="2" t="s">
        <v>358</v>
      </c>
      <c r="C162" s="2" t="s">
        <v>196</v>
      </c>
      <c r="D162" s="4" t="n">
        <v>4</v>
      </c>
      <c r="L162" s="4" t="n">
        <v>0</v>
      </c>
      <c r="M162" s="2" t="s">
        <v>349</v>
      </c>
      <c r="N162" s="2" t="s">
        <v>82</v>
      </c>
    </row>
    <row r="163" customFormat="false" ht="15" hidden="false" customHeight="false" outlineLevel="0" collapsed="false">
      <c r="A163" s="2" t="s">
        <v>140</v>
      </c>
      <c r="B163" s="2" t="s">
        <v>351</v>
      </c>
      <c r="C163" s="2" t="s">
        <v>180</v>
      </c>
      <c r="D163" s="4" t="n">
        <v>2</v>
      </c>
      <c r="E163" s="3" t="n">
        <v>459</v>
      </c>
      <c r="F163" s="3" t="n">
        <v>796.7</v>
      </c>
      <c r="H163" s="10" t="n">
        <v>0.3656853</v>
      </c>
      <c r="I163" s="9" t="n">
        <v>4.593007368</v>
      </c>
      <c r="J163" s="7" t="n">
        <v>33.9483153287</v>
      </c>
      <c r="K163" s="9" t="n">
        <v>0.253948125</v>
      </c>
      <c r="L163" s="4" t="n">
        <v>1</v>
      </c>
      <c r="M163" s="2" t="s">
        <v>290</v>
      </c>
      <c r="N163" s="2" t="s">
        <v>82</v>
      </c>
    </row>
    <row r="164" customFormat="false" ht="15" hidden="false" customHeight="false" outlineLevel="0" collapsed="false">
      <c r="A164" s="2" t="s">
        <v>140</v>
      </c>
      <c r="B164" s="2" t="s">
        <v>309</v>
      </c>
      <c r="C164" s="2" t="s">
        <v>180</v>
      </c>
      <c r="D164" s="4" t="n">
        <v>2</v>
      </c>
      <c r="E164" s="3" t="n">
        <v>671.1</v>
      </c>
      <c r="F164" s="3" t="n">
        <v>779.4</v>
      </c>
      <c r="H164" s="10" t="n">
        <v>0.52305534</v>
      </c>
      <c r="I164" s="9" t="n">
        <v>6.5695750704</v>
      </c>
      <c r="J164" s="7" t="n">
        <v>48.5577287812</v>
      </c>
      <c r="K164" s="9" t="n">
        <v>0.363232875</v>
      </c>
      <c r="L164" s="4" t="n">
        <v>1</v>
      </c>
      <c r="M164" s="2" t="s">
        <v>290</v>
      </c>
      <c r="N164" s="2" t="s">
        <v>82</v>
      </c>
    </row>
    <row r="165" customFormat="false" ht="15" hidden="false" customHeight="false" outlineLevel="0" collapsed="false">
      <c r="A165" s="2" t="s">
        <v>140</v>
      </c>
      <c r="B165" s="2" t="s">
        <v>352</v>
      </c>
      <c r="C165" s="2" t="s">
        <v>180</v>
      </c>
      <c r="D165" s="4" t="n">
        <v>3</v>
      </c>
      <c r="E165" s="3" t="n">
        <v>553.1</v>
      </c>
      <c r="F165" s="3" t="n">
        <v>467.6</v>
      </c>
      <c r="H165" s="10" t="n">
        <v>0.25862956</v>
      </c>
      <c r="I165" s="9" t="n">
        <v>4.8725809104</v>
      </c>
      <c r="J165" s="7" t="n">
        <v>36.0147284682</v>
      </c>
      <c r="K165" s="9" t="n">
        <v>0.2694057917</v>
      </c>
      <c r="L165" s="4" t="n">
        <v>1</v>
      </c>
      <c r="M165" s="2" t="s">
        <v>290</v>
      </c>
      <c r="N165" s="2" t="s">
        <v>82</v>
      </c>
    </row>
    <row r="166" customFormat="false" ht="15" hidden="false" customHeight="false" outlineLevel="0" collapsed="false">
      <c r="A166" s="2" t="s">
        <v>140</v>
      </c>
      <c r="B166" s="2" t="s">
        <v>353</v>
      </c>
      <c r="C166" s="2" t="s">
        <v>188</v>
      </c>
      <c r="D166" s="4" t="n">
        <v>12</v>
      </c>
      <c r="J166" s="7" t="n">
        <v>10.8</v>
      </c>
      <c r="L166" s="4" t="n">
        <v>1</v>
      </c>
      <c r="M166" s="2" t="s">
        <v>293</v>
      </c>
      <c r="N166" s="2" t="s">
        <v>82</v>
      </c>
    </row>
    <row r="167" customFormat="false" ht="15" hidden="false" customHeight="false" outlineLevel="0" collapsed="false">
      <c r="A167" s="2" t="s">
        <v>140</v>
      </c>
      <c r="B167" s="2" t="s">
        <v>358</v>
      </c>
      <c r="C167" s="2" t="s">
        <v>196</v>
      </c>
      <c r="D167" s="4" t="n">
        <v>4</v>
      </c>
      <c r="L167" s="4" t="n">
        <v>0</v>
      </c>
      <c r="M167" s="2" t="s">
        <v>349</v>
      </c>
      <c r="N167" s="2" t="s">
        <v>82</v>
      </c>
    </row>
    <row r="168" customFormat="false" ht="15" hidden="false" customHeight="false" outlineLevel="0" collapsed="false">
      <c r="A168" s="2" t="s">
        <v>141</v>
      </c>
      <c r="B168" s="2" t="s">
        <v>351</v>
      </c>
      <c r="C168" s="2" t="s">
        <v>180</v>
      </c>
      <c r="D168" s="4" t="n">
        <v>2</v>
      </c>
      <c r="E168" s="3" t="n">
        <v>405</v>
      </c>
      <c r="F168" s="3" t="n">
        <v>1656</v>
      </c>
      <c r="H168" s="10" t="n">
        <v>0.67068</v>
      </c>
      <c r="I168" s="9" t="n">
        <v>8.4237408</v>
      </c>
      <c r="J168" s="7" t="n">
        <v>62.262432</v>
      </c>
      <c r="K168" s="9" t="n">
        <v>0.46575</v>
      </c>
      <c r="L168" s="4" t="n">
        <v>1</v>
      </c>
      <c r="M168" s="2" t="s">
        <v>290</v>
      </c>
      <c r="N168" s="2" t="s">
        <v>82</v>
      </c>
    </row>
    <row r="169" customFormat="false" ht="15" hidden="false" customHeight="false" outlineLevel="0" collapsed="false">
      <c r="A169" s="2" t="s">
        <v>141</v>
      </c>
      <c r="B169" s="2" t="s">
        <v>309</v>
      </c>
      <c r="C169" s="2" t="s">
        <v>180</v>
      </c>
      <c r="D169" s="4" t="n">
        <v>1</v>
      </c>
      <c r="E169" s="3" t="n">
        <v>819</v>
      </c>
      <c r="F169" s="3" t="n">
        <v>1620</v>
      </c>
      <c r="H169" s="10" t="n">
        <v>1.32678</v>
      </c>
      <c r="I169" s="9" t="n">
        <v>8.3321784</v>
      </c>
      <c r="J169" s="7" t="n">
        <v>61.5856664348</v>
      </c>
      <c r="K169" s="9" t="n">
        <v>0.4606875</v>
      </c>
      <c r="L169" s="4" t="n">
        <v>1</v>
      </c>
      <c r="M169" s="2" t="s">
        <v>290</v>
      </c>
      <c r="N169" s="2" t="s">
        <v>82</v>
      </c>
    </row>
    <row r="170" customFormat="false" ht="15" hidden="false" customHeight="false" outlineLevel="0" collapsed="false">
      <c r="A170" s="2" t="s">
        <v>141</v>
      </c>
      <c r="B170" s="2" t="s">
        <v>352</v>
      </c>
      <c r="C170" s="2" t="s">
        <v>180</v>
      </c>
      <c r="D170" s="4" t="n">
        <v>3</v>
      </c>
      <c r="E170" s="3" t="n">
        <v>337.5</v>
      </c>
      <c r="F170" s="3" t="n">
        <v>972</v>
      </c>
      <c r="H170" s="10" t="n">
        <v>0.32805</v>
      </c>
      <c r="I170" s="9" t="n">
        <v>6.180462</v>
      </c>
      <c r="J170" s="7" t="n">
        <v>45.6816756522</v>
      </c>
      <c r="K170" s="9" t="n">
        <v>0.34171875</v>
      </c>
      <c r="L170" s="4" t="n">
        <v>1</v>
      </c>
      <c r="M170" s="2" t="s">
        <v>290</v>
      </c>
      <c r="N170" s="2" t="s">
        <v>82</v>
      </c>
    </row>
    <row r="171" customFormat="false" ht="15" hidden="false" customHeight="false" outlineLevel="0" collapsed="false">
      <c r="A171" s="2" t="s">
        <v>141</v>
      </c>
      <c r="B171" s="2" t="s">
        <v>353</v>
      </c>
      <c r="C171" s="2" t="s">
        <v>188</v>
      </c>
      <c r="D171" s="4" t="n">
        <v>12</v>
      </c>
      <c r="J171" s="7" t="n">
        <v>10.8</v>
      </c>
      <c r="L171" s="4" t="n">
        <v>1</v>
      </c>
      <c r="M171" s="2" t="s">
        <v>293</v>
      </c>
      <c r="N171" s="2" t="s">
        <v>82</v>
      </c>
    </row>
    <row r="172" customFormat="false" ht="15" hidden="false" customHeight="false" outlineLevel="0" collapsed="false">
      <c r="A172" s="2" t="s">
        <v>143</v>
      </c>
      <c r="B172" s="2" t="s">
        <v>347</v>
      </c>
      <c r="C172" s="2" t="s">
        <v>184</v>
      </c>
      <c r="D172" s="4" t="n">
        <v>4</v>
      </c>
      <c r="G172" s="8" t="n">
        <v>0.847</v>
      </c>
      <c r="I172" s="9" t="n">
        <v>5.082</v>
      </c>
      <c r="J172" s="7" t="n">
        <v>32.291875</v>
      </c>
      <c r="L172" s="4" t="n">
        <v>1</v>
      </c>
      <c r="M172" s="2" t="s">
        <v>286</v>
      </c>
      <c r="N172" s="2" t="s">
        <v>82</v>
      </c>
    </row>
    <row r="173" customFormat="false" ht="15" hidden="false" customHeight="false" outlineLevel="0" collapsed="false">
      <c r="A173" s="2" t="s">
        <v>143</v>
      </c>
      <c r="B173" s="2" t="s">
        <v>348</v>
      </c>
      <c r="C173" s="2" t="s">
        <v>196</v>
      </c>
      <c r="D173" s="4" t="n">
        <v>1</v>
      </c>
      <c r="L173" s="4" t="n">
        <v>0</v>
      </c>
      <c r="M173" s="2" t="s">
        <v>349</v>
      </c>
      <c r="N173" s="2" t="s">
        <v>82</v>
      </c>
    </row>
    <row r="174" customFormat="false" ht="15" hidden="false" customHeight="false" outlineLevel="0" collapsed="false">
      <c r="A174" s="2" t="s">
        <v>143</v>
      </c>
      <c r="B174" s="2" t="s">
        <v>350</v>
      </c>
      <c r="C174" s="2" t="s">
        <v>188</v>
      </c>
      <c r="D174" s="4" t="n">
        <v>8</v>
      </c>
      <c r="J174" s="7" t="n">
        <v>7.2</v>
      </c>
      <c r="L174" s="4" t="n">
        <v>1</v>
      </c>
      <c r="M174" s="2" t="s">
        <v>293</v>
      </c>
      <c r="N174" s="2" t="s">
        <v>82</v>
      </c>
    </row>
    <row r="175" customFormat="false" ht="15" hidden="false" customHeight="false" outlineLevel="0" collapsed="false">
      <c r="A175" s="2" t="s">
        <v>144</v>
      </c>
      <c r="B175" s="2" t="s">
        <v>347</v>
      </c>
      <c r="C175" s="2" t="s">
        <v>184</v>
      </c>
      <c r="D175" s="4" t="n">
        <v>4</v>
      </c>
      <c r="G175" s="8" t="n">
        <v>0.847</v>
      </c>
      <c r="I175" s="9" t="n">
        <v>5.082</v>
      </c>
      <c r="J175" s="7" t="n">
        <v>32.291875</v>
      </c>
      <c r="L175" s="4" t="n">
        <v>1</v>
      </c>
      <c r="M175" s="2" t="s">
        <v>286</v>
      </c>
      <c r="N175" s="2" t="s">
        <v>82</v>
      </c>
    </row>
    <row r="176" customFormat="false" ht="15" hidden="false" customHeight="false" outlineLevel="0" collapsed="false">
      <c r="A176" s="2" t="s">
        <v>144</v>
      </c>
      <c r="B176" s="2" t="s">
        <v>348</v>
      </c>
      <c r="C176" s="2" t="s">
        <v>196</v>
      </c>
      <c r="D176" s="4" t="n">
        <v>1</v>
      </c>
      <c r="L176" s="4" t="n">
        <v>0</v>
      </c>
      <c r="M176" s="2" t="s">
        <v>349</v>
      </c>
      <c r="N176" s="2" t="s">
        <v>82</v>
      </c>
    </row>
    <row r="177" customFormat="false" ht="15" hidden="false" customHeight="false" outlineLevel="0" collapsed="false">
      <c r="A177" s="2" t="s">
        <v>144</v>
      </c>
      <c r="B177" s="2" t="s">
        <v>350</v>
      </c>
      <c r="C177" s="2" t="s">
        <v>188</v>
      </c>
      <c r="D177" s="4" t="n">
        <v>8</v>
      </c>
      <c r="J177" s="7" t="n">
        <v>7.2</v>
      </c>
      <c r="L177" s="4" t="n">
        <v>1</v>
      </c>
      <c r="M177" s="2" t="s">
        <v>293</v>
      </c>
      <c r="N177" s="2" t="s">
        <v>82</v>
      </c>
    </row>
    <row r="178" customFormat="false" ht="15" hidden="false" customHeight="false" outlineLevel="0" collapsed="false">
      <c r="A178" s="2" t="s">
        <v>145</v>
      </c>
      <c r="B178" s="2" t="s">
        <v>354</v>
      </c>
      <c r="C178" s="2" t="s">
        <v>184</v>
      </c>
      <c r="D178" s="4" t="n">
        <v>4</v>
      </c>
      <c r="G178" s="8" t="n">
        <v>0.7296</v>
      </c>
      <c r="I178" s="9" t="n">
        <v>4.3776</v>
      </c>
      <c r="J178" s="7" t="n">
        <v>27.816</v>
      </c>
      <c r="L178" s="4" t="n">
        <v>1</v>
      </c>
      <c r="M178" s="2" t="s">
        <v>286</v>
      </c>
      <c r="N178" s="2" t="s">
        <v>82</v>
      </c>
    </row>
    <row r="179" customFormat="false" ht="15" hidden="false" customHeight="false" outlineLevel="0" collapsed="false">
      <c r="A179" s="2" t="s">
        <v>145</v>
      </c>
      <c r="B179" s="2" t="s">
        <v>355</v>
      </c>
      <c r="C179" s="2" t="s">
        <v>184</v>
      </c>
      <c r="D179" s="4" t="n">
        <v>4</v>
      </c>
      <c r="G179" s="8" t="n">
        <v>1.062</v>
      </c>
      <c r="I179" s="9" t="n">
        <v>6.372</v>
      </c>
      <c r="J179" s="7" t="n">
        <v>40.48875</v>
      </c>
      <c r="L179" s="4" t="n">
        <v>1</v>
      </c>
      <c r="M179" s="2" t="s">
        <v>286</v>
      </c>
      <c r="N179" s="2" t="s">
        <v>82</v>
      </c>
    </row>
    <row r="180" customFormat="false" ht="15" hidden="false" customHeight="false" outlineLevel="0" collapsed="false">
      <c r="A180" s="2" t="s">
        <v>145</v>
      </c>
      <c r="B180" s="2" t="s">
        <v>359</v>
      </c>
      <c r="C180" s="2" t="s">
        <v>192</v>
      </c>
      <c r="D180" s="4" t="n">
        <v>1</v>
      </c>
      <c r="E180" s="3" t="n">
        <v>1132.8</v>
      </c>
      <c r="F180" s="3" t="n">
        <v>576</v>
      </c>
      <c r="H180" s="10" t="n">
        <v>0.6524928</v>
      </c>
      <c r="K180" s="9" t="n">
        <v>0.22656</v>
      </c>
      <c r="L180" s="4" t="n">
        <v>0</v>
      </c>
      <c r="M180" s="2" t="s">
        <v>349</v>
      </c>
      <c r="N180" s="2" t="s">
        <v>82</v>
      </c>
    </row>
    <row r="181" customFormat="false" ht="15" hidden="false" customHeight="false" outlineLevel="0" collapsed="false">
      <c r="A181" s="2" t="s">
        <v>145</v>
      </c>
      <c r="B181" s="2" t="s">
        <v>357</v>
      </c>
      <c r="C181" s="2" t="s">
        <v>188</v>
      </c>
      <c r="D181" s="4" t="n">
        <v>12</v>
      </c>
      <c r="J181" s="7" t="n">
        <v>10.8</v>
      </c>
      <c r="L181" s="4" t="n">
        <v>1</v>
      </c>
      <c r="M181" s="2" t="s">
        <v>293</v>
      </c>
      <c r="N181" s="2" t="s">
        <v>82</v>
      </c>
    </row>
    <row r="182" customFormat="false" ht="15" hidden="false" customHeight="false" outlineLevel="0" collapsed="false">
      <c r="A182" s="2" t="s">
        <v>147</v>
      </c>
      <c r="B182" s="2" t="s">
        <v>354</v>
      </c>
      <c r="C182" s="2" t="s">
        <v>184</v>
      </c>
      <c r="D182" s="4" t="n">
        <v>4</v>
      </c>
      <c r="G182" s="8" t="n">
        <v>1.344</v>
      </c>
      <c r="I182" s="9" t="n">
        <v>8.064</v>
      </c>
      <c r="J182" s="7" t="n">
        <v>51.24</v>
      </c>
      <c r="L182" s="4" t="n">
        <v>1</v>
      </c>
      <c r="M182" s="2" t="s">
        <v>286</v>
      </c>
      <c r="N182" s="2" t="s">
        <v>82</v>
      </c>
    </row>
    <row r="183" customFormat="false" ht="15" hidden="false" customHeight="false" outlineLevel="0" collapsed="false">
      <c r="A183" s="2" t="s">
        <v>147</v>
      </c>
      <c r="B183" s="2" t="s">
        <v>355</v>
      </c>
      <c r="C183" s="2" t="s">
        <v>184</v>
      </c>
      <c r="D183" s="4" t="n">
        <v>4</v>
      </c>
      <c r="G183" s="8" t="n">
        <v>0.972</v>
      </c>
      <c r="I183" s="9" t="n">
        <v>5.832</v>
      </c>
      <c r="J183" s="7" t="n">
        <v>37.0575</v>
      </c>
      <c r="L183" s="4" t="n">
        <v>1</v>
      </c>
      <c r="M183" s="2" t="s">
        <v>286</v>
      </c>
      <c r="N183" s="2" t="s">
        <v>82</v>
      </c>
    </row>
    <row r="184" customFormat="false" ht="15" hidden="false" customHeight="false" outlineLevel="0" collapsed="false">
      <c r="A184" s="2" t="s">
        <v>147</v>
      </c>
      <c r="B184" s="2" t="s">
        <v>359</v>
      </c>
      <c r="C184" s="2" t="s">
        <v>192</v>
      </c>
      <c r="D184" s="4" t="n">
        <v>1</v>
      </c>
      <c r="E184" s="3" t="n">
        <v>1036.8</v>
      </c>
      <c r="F184" s="3" t="n">
        <v>595.2</v>
      </c>
      <c r="H184" s="10" t="n">
        <v>0.61710336</v>
      </c>
      <c r="K184" s="9" t="n">
        <v>0.214272</v>
      </c>
      <c r="L184" s="4" t="n">
        <v>0</v>
      </c>
      <c r="M184" s="2" t="s">
        <v>349</v>
      </c>
      <c r="N184" s="2" t="s">
        <v>82</v>
      </c>
    </row>
    <row r="185" customFormat="false" ht="15" hidden="false" customHeight="false" outlineLevel="0" collapsed="false">
      <c r="A185" s="2" t="s">
        <v>147</v>
      </c>
      <c r="B185" s="2" t="s">
        <v>357</v>
      </c>
      <c r="C185" s="2" t="s">
        <v>188</v>
      </c>
      <c r="D185" s="4" t="n">
        <v>12</v>
      </c>
      <c r="J185" s="7" t="n">
        <v>10.8</v>
      </c>
      <c r="L185" s="4" t="n">
        <v>1</v>
      </c>
      <c r="M185" s="2" t="s">
        <v>293</v>
      </c>
      <c r="N185" s="2" t="s">
        <v>82</v>
      </c>
    </row>
    <row r="186" customFormat="false" ht="15" hidden="false" customHeight="false" outlineLevel="0" collapsed="false">
      <c r="A186" s="2" t="s">
        <v>148</v>
      </c>
      <c r="B186" s="2" t="s">
        <v>347</v>
      </c>
      <c r="C186" s="2" t="s">
        <v>184</v>
      </c>
      <c r="D186" s="4" t="n">
        <v>4</v>
      </c>
      <c r="G186" s="8" t="n">
        <v>0.847</v>
      </c>
      <c r="I186" s="9" t="n">
        <v>5.082</v>
      </c>
      <c r="J186" s="7" t="n">
        <v>32.291875</v>
      </c>
      <c r="L186" s="4" t="n">
        <v>1</v>
      </c>
      <c r="M186" s="2" t="s">
        <v>286</v>
      </c>
      <c r="N186" s="2" t="s">
        <v>82</v>
      </c>
    </row>
    <row r="187" customFormat="false" ht="15" hidden="false" customHeight="false" outlineLevel="0" collapsed="false">
      <c r="A187" s="2" t="s">
        <v>148</v>
      </c>
      <c r="B187" s="2" t="s">
        <v>348</v>
      </c>
      <c r="C187" s="2" t="s">
        <v>196</v>
      </c>
      <c r="D187" s="4" t="n">
        <v>1</v>
      </c>
      <c r="L187" s="4" t="n">
        <v>0</v>
      </c>
      <c r="M187" s="2" t="s">
        <v>349</v>
      </c>
      <c r="N187" s="2" t="s">
        <v>82</v>
      </c>
    </row>
    <row r="188" customFormat="false" ht="15" hidden="false" customHeight="false" outlineLevel="0" collapsed="false">
      <c r="A188" s="2" t="s">
        <v>148</v>
      </c>
      <c r="B188" s="2" t="s">
        <v>350</v>
      </c>
      <c r="C188" s="2" t="s">
        <v>188</v>
      </c>
      <c r="D188" s="4" t="n">
        <v>8</v>
      </c>
      <c r="J188" s="7" t="n">
        <v>7.2</v>
      </c>
      <c r="L188" s="4" t="n">
        <v>1</v>
      </c>
      <c r="M188" s="2" t="s">
        <v>293</v>
      </c>
      <c r="N188" s="2" t="s">
        <v>82</v>
      </c>
    </row>
    <row r="189" customFormat="false" ht="15" hidden="false" customHeight="false" outlineLevel="0" collapsed="false">
      <c r="A189" s="2" t="s">
        <v>149</v>
      </c>
      <c r="B189" s="2" t="s">
        <v>354</v>
      </c>
      <c r="C189" s="2" t="s">
        <v>184</v>
      </c>
      <c r="D189" s="4" t="n">
        <v>4</v>
      </c>
      <c r="G189" s="8" t="n">
        <v>1.68</v>
      </c>
      <c r="I189" s="9" t="n">
        <v>10.08</v>
      </c>
      <c r="J189" s="7" t="n">
        <v>64.05</v>
      </c>
      <c r="L189" s="4" t="n">
        <v>1</v>
      </c>
      <c r="M189" s="2" t="s">
        <v>286</v>
      </c>
      <c r="N189" s="2" t="s">
        <v>82</v>
      </c>
    </row>
    <row r="190" customFormat="false" ht="15" hidden="false" customHeight="false" outlineLevel="0" collapsed="false">
      <c r="A190" s="2" t="s">
        <v>149</v>
      </c>
      <c r="B190" s="2" t="s">
        <v>355</v>
      </c>
      <c r="C190" s="2" t="s">
        <v>184</v>
      </c>
      <c r="D190" s="4" t="n">
        <v>4</v>
      </c>
      <c r="G190" s="8" t="n">
        <v>0.945</v>
      </c>
      <c r="I190" s="9" t="n">
        <v>5.67</v>
      </c>
      <c r="J190" s="7" t="n">
        <v>36.028125</v>
      </c>
      <c r="L190" s="4" t="n">
        <v>1</v>
      </c>
      <c r="M190" s="2" t="s">
        <v>286</v>
      </c>
      <c r="N190" s="2" t="s">
        <v>82</v>
      </c>
    </row>
    <row r="191" customFormat="false" ht="15" hidden="false" customHeight="false" outlineLevel="0" collapsed="false">
      <c r="A191" s="2" t="s">
        <v>149</v>
      </c>
      <c r="B191" s="2" t="s">
        <v>360</v>
      </c>
      <c r="C191" s="2" t="s">
        <v>196</v>
      </c>
      <c r="D191" s="4" t="n">
        <v>2</v>
      </c>
      <c r="L191" s="4" t="n">
        <v>0</v>
      </c>
      <c r="M191" s="2" t="s">
        <v>349</v>
      </c>
      <c r="N191" s="2" t="s">
        <v>82</v>
      </c>
    </row>
    <row r="192" customFormat="false" ht="15" hidden="false" customHeight="false" outlineLevel="0" collapsed="false">
      <c r="A192" s="2" t="s">
        <v>149</v>
      </c>
      <c r="B192" s="2" t="s">
        <v>357</v>
      </c>
      <c r="C192" s="2" t="s">
        <v>188</v>
      </c>
      <c r="D192" s="4" t="n">
        <v>12</v>
      </c>
      <c r="J192" s="7" t="n">
        <v>10.8</v>
      </c>
      <c r="L192" s="4" t="n">
        <v>1</v>
      </c>
      <c r="M192" s="2" t="s">
        <v>293</v>
      </c>
      <c r="N192" s="2" t="s">
        <v>82</v>
      </c>
    </row>
    <row r="193" customFormat="false" ht="15" hidden="false" customHeight="false" outlineLevel="0" collapsed="false">
      <c r="A193" s="2" t="s">
        <v>151</v>
      </c>
      <c r="B193" s="2" t="s">
        <v>354</v>
      </c>
      <c r="C193" s="2" t="s">
        <v>184</v>
      </c>
      <c r="D193" s="4" t="n">
        <v>4</v>
      </c>
      <c r="G193" s="8" t="n">
        <v>0.4032</v>
      </c>
      <c r="I193" s="9" t="n">
        <v>2.4192</v>
      </c>
      <c r="J193" s="7" t="n">
        <v>15.372</v>
      </c>
      <c r="L193" s="4" t="n">
        <v>1</v>
      </c>
      <c r="M193" s="2" t="s">
        <v>286</v>
      </c>
      <c r="N193" s="2" t="s">
        <v>82</v>
      </c>
    </row>
    <row r="194" customFormat="false" ht="15" hidden="false" customHeight="false" outlineLevel="0" collapsed="false">
      <c r="A194" s="2" t="s">
        <v>151</v>
      </c>
      <c r="B194" s="2" t="s">
        <v>355</v>
      </c>
      <c r="C194" s="2" t="s">
        <v>184</v>
      </c>
      <c r="D194" s="4" t="n">
        <v>4</v>
      </c>
      <c r="G194" s="8" t="n">
        <v>0.945</v>
      </c>
      <c r="I194" s="9" t="n">
        <v>5.67</v>
      </c>
      <c r="J194" s="7" t="n">
        <v>36.028125</v>
      </c>
      <c r="L194" s="4" t="n">
        <v>1</v>
      </c>
      <c r="M194" s="2" t="s">
        <v>286</v>
      </c>
      <c r="N194" s="2" t="s">
        <v>82</v>
      </c>
    </row>
    <row r="195" customFormat="false" ht="15" hidden="false" customHeight="false" outlineLevel="0" collapsed="false">
      <c r="A195" s="2" t="s">
        <v>151</v>
      </c>
      <c r="B195" s="2" t="s">
        <v>359</v>
      </c>
      <c r="C195" s="2" t="s">
        <v>192</v>
      </c>
      <c r="D195" s="4" t="n">
        <v>1</v>
      </c>
      <c r="E195" s="3" t="n">
        <v>1008</v>
      </c>
      <c r="F195" s="3" t="n">
        <v>480</v>
      </c>
      <c r="H195" s="10" t="n">
        <v>0.48384</v>
      </c>
      <c r="K195" s="9" t="n">
        <v>0.168</v>
      </c>
      <c r="L195" s="4" t="n">
        <v>0</v>
      </c>
      <c r="M195" s="2" t="s">
        <v>349</v>
      </c>
      <c r="N195" s="2" t="s">
        <v>82</v>
      </c>
    </row>
    <row r="196" customFormat="false" ht="15" hidden="false" customHeight="false" outlineLevel="0" collapsed="false">
      <c r="A196" s="2" t="s">
        <v>151</v>
      </c>
      <c r="B196" s="2" t="s">
        <v>357</v>
      </c>
      <c r="C196" s="2" t="s">
        <v>188</v>
      </c>
      <c r="D196" s="4" t="n">
        <v>12</v>
      </c>
      <c r="J196" s="7" t="n">
        <v>10.8</v>
      </c>
      <c r="L196" s="4" t="n">
        <v>1</v>
      </c>
      <c r="M196" s="2" t="s">
        <v>293</v>
      </c>
      <c r="N196" s="2" t="s">
        <v>82</v>
      </c>
    </row>
    <row r="197" customFormat="false" ht="15" hidden="false" customHeight="false" outlineLevel="0" collapsed="false">
      <c r="A197" s="2" t="s">
        <v>153</v>
      </c>
      <c r="B197" s="2" t="s">
        <v>354</v>
      </c>
      <c r="C197" s="2" t="s">
        <v>184</v>
      </c>
      <c r="D197" s="4" t="n">
        <v>4</v>
      </c>
      <c r="G197" s="8" t="n">
        <v>0.3936</v>
      </c>
      <c r="I197" s="9" t="n">
        <v>2.3616</v>
      </c>
      <c r="J197" s="7" t="n">
        <v>15.006</v>
      </c>
      <c r="L197" s="4" t="n">
        <v>1</v>
      </c>
      <c r="M197" s="2" t="s">
        <v>286</v>
      </c>
      <c r="N197" s="2" t="s">
        <v>82</v>
      </c>
    </row>
    <row r="198" customFormat="false" ht="15" hidden="false" customHeight="false" outlineLevel="0" collapsed="false">
      <c r="A198" s="2" t="s">
        <v>153</v>
      </c>
      <c r="B198" s="2" t="s">
        <v>355</v>
      </c>
      <c r="C198" s="2" t="s">
        <v>184</v>
      </c>
      <c r="D198" s="4" t="n">
        <v>4</v>
      </c>
      <c r="G198" s="8" t="n">
        <v>0.819</v>
      </c>
      <c r="I198" s="9" t="n">
        <v>4.914</v>
      </c>
      <c r="J198" s="7" t="n">
        <v>31.224375</v>
      </c>
      <c r="L198" s="4" t="n">
        <v>1</v>
      </c>
      <c r="M198" s="2" t="s">
        <v>286</v>
      </c>
      <c r="N198" s="2" t="s">
        <v>82</v>
      </c>
    </row>
    <row r="199" customFormat="false" ht="15" hidden="false" customHeight="false" outlineLevel="0" collapsed="false">
      <c r="A199" s="2" t="s">
        <v>153</v>
      </c>
      <c r="B199" s="2" t="s">
        <v>359</v>
      </c>
      <c r="C199" s="2" t="s">
        <v>192</v>
      </c>
      <c r="D199" s="4" t="n">
        <v>1</v>
      </c>
      <c r="E199" s="3" t="n">
        <v>873.6</v>
      </c>
      <c r="F199" s="3" t="n">
        <v>432</v>
      </c>
      <c r="H199" s="10" t="n">
        <v>0.3773952</v>
      </c>
      <c r="K199" s="9" t="n">
        <v>0.13104</v>
      </c>
      <c r="L199" s="4" t="n">
        <v>0</v>
      </c>
      <c r="M199" s="2" t="s">
        <v>349</v>
      </c>
      <c r="N199" s="2" t="s">
        <v>82</v>
      </c>
    </row>
    <row r="200" customFormat="false" ht="15" hidden="false" customHeight="false" outlineLevel="0" collapsed="false">
      <c r="A200" s="2" t="s">
        <v>153</v>
      </c>
      <c r="B200" s="2" t="s">
        <v>357</v>
      </c>
      <c r="C200" s="2" t="s">
        <v>188</v>
      </c>
      <c r="D200" s="4" t="n">
        <v>12</v>
      </c>
      <c r="J200" s="7" t="n">
        <v>10.8</v>
      </c>
      <c r="L200" s="4" t="n">
        <v>1</v>
      </c>
      <c r="M200" s="2" t="s">
        <v>293</v>
      </c>
      <c r="N200" s="2" t="s">
        <v>82</v>
      </c>
    </row>
    <row r="201" customFormat="false" ht="15" hidden="false" customHeight="false" outlineLevel="0" collapsed="false">
      <c r="A201" s="2" t="s">
        <v>154</v>
      </c>
      <c r="B201" s="2" t="s">
        <v>354</v>
      </c>
      <c r="C201" s="2" t="s">
        <v>184</v>
      </c>
      <c r="D201" s="4" t="n">
        <v>4</v>
      </c>
      <c r="G201" s="8" t="n">
        <v>0.9792</v>
      </c>
      <c r="I201" s="9" t="n">
        <v>5.8752</v>
      </c>
      <c r="J201" s="7" t="n">
        <v>37.332</v>
      </c>
      <c r="L201" s="4" t="n">
        <v>1</v>
      </c>
      <c r="M201" s="2" t="s">
        <v>286</v>
      </c>
      <c r="N201" s="2" t="s">
        <v>82</v>
      </c>
    </row>
    <row r="202" customFormat="false" ht="15" hidden="false" customHeight="false" outlineLevel="0" collapsed="false">
      <c r="A202" s="2" t="s">
        <v>154</v>
      </c>
      <c r="B202" s="2" t="s">
        <v>355</v>
      </c>
      <c r="C202" s="2" t="s">
        <v>184</v>
      </c>
      <c r="D202" s="4" t="n">
        <v>4</v>
      </c>
      <c r="G202" s="8" t="n">
        <v>0.405</v>
      </c>
      <c r="I202" s="9" t="n">
        <v>2.43</v>
      </c>
      <c r="J202" s="7" t="n">
        <v>15.440625</v>
      </c>
      <c r="L202" s="4" t="n">
        <v>1</v>
      </c>
      <c r="M202" s="2" t="s">
        <v>286</v>
      </c>
      <c r="N202" s="2" t="s">
        <v>82</v>
      </c>
    </row>
    <row r="203" customFormat="false" ht="15" hidden="false" customHeight="false" outlineLevel="0" collapsed="false">
      <c r="A203" s="2" t="s">
        <v>154</v>
      </c>
      <c r="B203" s="2" t="s">
        <v>356</v>
      </c>
      <c r="C203" s="2" t="s">
        <v>196</v>
      </c>
      <c r="D203" s="4" t="n">
        <v>1</v>
      </c>
      <c r="L203" s="4" t="n">
        <v>0</v>
      </c>
      <c r="M203" s="2" t="s">
        <v>349</v>
      </c>
      <c r="N203" s="2" t="s">
        <v>82</v>
      </c>
    </row>
    <row r="204" customFormat="false" ht="15" hidden="false" customHeight="false" outlineLevel="0" collapsed="false">
      <c r="A204" s="2" t="s">
        <v>154</v>
      </c>
      <c r="B204" s="2" t="s">
        <v>357</v>
      </c>
      <c r="C204" s="2" t="s">
        <v>188</v>
      </c>
      <c r="D204" s="4" t="n">
        <v>12</v>
      </c>
      <c r="J204" s="7" t="n">
        <v>10.8</v>
      </c>
      <c r="L204" s="4" t="n">
        <v>1</v>
      </c>
      <c r="M204" s="2" t="s">
        <v>293</v>
      </c>
      <c r="N204" s="2" t="s">
        <v>82</v>
      </c>
    </row>
    <row r="205" customFormat="false" ht="15" hidden="false" customHeight="false" outlineLevel="0" collapsed="false">
      <c r="A205" s="2" t="s">
        <v>155</v>
      </c>
      <c r="B205" s="2" t="s">
        <v>347</v>
      </c>
      <c r="C205" s="2" t="s">
        <v>184</v>
      </c>
      <c r="D205" s="4" t="n">
        <v>4</v>
      </c>
      <c r="G205" s="8" t="n">
        <v>0.588</v>
      </c>
      <c r="I205" s="9" t="n">
        <v>3.528</v>
      </c>
      <c r="J205" s="7" t="n">
        <v>22.4175</v>
      </c>
      <c r="L205" s="4" t="n">
        <v>1</v>
      </c>
      <c r="M205" s="2" t="s">
        <v>286</v>
      </c>
      <c r="N205" s="2" t="s">
        <v>82</v>
      </c>
    </row>
    <row r="206" customFormat="false" ht="15" hidden="false" customHeight="false" outlineLevel="0" collapsed="false">
      <c r="A206" s="2" t="s">
        <v>155</v>
      </c>
      <c r="B206" s="2" t="s">
        <v>348</v>
      </c>
      <c r="C206" s="2" t="s">
        <v>196</v>
      </c>
      <c r="D206" s="4" t="n">
        <v>1</v>
      </c>
      <c r="L206" s="4" t="n">
        <v>0</v>
      </c>
      <c r="M206" s="2" t="s">
        <v>349</v>
      </c>
      <c r="N206" s="2" t="s">
        <v>82</v>
      </c>
    </row>
    <row r="207" customFormat="false" ht="15" hidden="false" customHeight="false" outlineLevel="0" collapsed="false">
      <c r="A207" s="2" t="s">
        <v>155</v>
      </c>
      <c r="B207" s="2" t="s">
        <v>350</v>
      </c>
      <c r="C207" s="2" t="s">
        <v>188</v>
      </c>
      <c r="D207" s="4" t="n">
        <v>8</v>
      </c>
      <c r="J207" s="7" t="n">
        <v>7.2</v>
      </c>
      <c r="L207" s="4" t="n">
        <v>1</v>
      </c>
      <c r="M207" s="2" t="s">
        <v>293</v>
      </c>
      <c r="N207" s="2" t="s">
        <v>82</v>
      </c>
    </row>
    <row r="208" customFormat="false" ht="15" hidden="false" customHeight="false" outlineLevel="0" collapsed="false">
      <c r="A208" s="2" t="s">
        <v>156</v>
      </c>
      <c r="B208" s="2" t="s">
        <v>347</v>
      </c>
      <c r="C208" s="2" t="s">
        <v>184</v>
      </c>
      <c r="D208" s="4" t="n">
        <v>4</v>
      </c>
      <c r="G208" s="8" t="n">
        <v>0.679</v>
      </c>
      <c r="I208" s="9" t="n">
        <v>4.074</v>
      </c>
      <c r="J208" s="7" t="n">
        <v>25.886875</v>
      </c>
      <c r="L208" s="4" t="n">
        <v>1</v>
      </c>
      <c r="M208" s="2" t="s">
        <v>286</v>
      </c>
      <c r="N208" s="2" t="s">
        <v>82</v>
      </c>
    </row>
    <row r="209" customFormat="false" ht="15" hidden="false" customHeight="false" outlineLevel="0" collapsed="false">
      <c r="A209" s="2" t="s">
        <v>156</v>
      </c>
      <c r="B209" s="2" t="s">
        <v>348</v>
      </c>
      <c r="C209" s="2" t="s">
        <v>196</v>
      </c>
      <c r="D209" s="4" t="n">
        <v>1</v>
      </c>
      <c r="L209" s="4" t="n">
        <v>0</v>
      </c>
      <c r="M209" s="2" t="s">
        <v>349</v>
      </c>
      <c r="N209" s="2" t="s">
        <v>82</v>
      </c>
    </row>
    <row r="210" customFormat="false" ht="15" hidden="false" customHeight="false" outlineLevel="0" collapsed="false">
      <c r="A210" s="2" t="s">
        <v>156</v>
      </c>
      <c r="B210" s="2" t="s">
        <v>350</v>
      </c>
      <c r="C210" s="2" t="s">
        <v>188</v>
      </c>
      <c r="D210" s="4" t="n">
        <v>8</v>
      </c>
      <c r="J210" s="7" t="n">
        <v>7.2</v>
      </c>
      <c r="L210" s="4" t="n">
        <v>1</v>
      </c>
      <c r="M210" s="2" t="s">
        <v>293</v>
      </c>
      <c r="N210" s="2" t="s">
        <v>82</v>
      </c>
    </row>
    <row r="211" customFormat="false" ht="15" hidden="false" customHeight="false" outlineLevel="0" collapsed="false">
      <c r="A211" s="2" t="s">
        <v>157</v>
      </c>
      <c r="B211" s="2" t="s">
        <v>354</v>
      </c>
      <c r="C211" s="2" t="s">
        <v>184</v>
      </c>
      <c r="D211" s="4" t="n">
        <v>4</v>
      </c>
      <c r="G211" s="8" t="n">
        <v>0.8256</v>
      </c>
      <c r="I211" s="9" t="n">
        <v>4.9536</v>
      </c>
      <c r="J211" s="7" t="n">
        <v>31.476</v>
      </c>
      <c r="L211" s="4" t="n">
        <v>1</v>
      </c>
      <c r="M211" s="2" t="s">
        <v>286</v>
      </c>
      <c r="N211" s="2" t="s">
        <v>82</v>
      </c>
    </row>
    <row r="212" customFormat="false" ht="15" hidden="false" customHeight="false" outlineLevel="0" collapsed="false">
      <c r="A212" s="2" t="s">
        <v>157</v>
      </c>
      <c r="B212" s="2" t="s">
        <v>355</v>
      </c>
      <c r="C212" s="2" t="s">
        <v>184</v>
      </c>
      <c r="D212" s="4" t="n">
        <v>4</v>
      </c>
      <c r="G212" s="8" t="n">
        <v>0.315</v>
      </c>
      <c r="I212" s="9" t="n">
        <v>1.89</v>
      </c>
      <c r="J212" s="7" t="n">
        <v>12.009375</v>
      </c>
      <c r="L212" s="4" t="n">
        <v>1</v>
      </c>
      <c r="M212" s="2" t="s">
        <v>286</v>
      </c>
      <c r="N212" s="2" t="s">
        <v>82</v>
      </c>
    </row>
    <row r="213" customFormat="false" ht="15" hidden="false" customHeight="false" outlineLevel="0" collapsed="false">
      <c r="A213" s="2" t="s">
        <v>157</v>
      </c>
      <c r="B213" s="2" t="s">
        <v>356</v>
      </c>
      <c r="C213" s="2" t="s">
        <v>196</v>
      </c>
      <c r="D213" s="4" t="n">
        <v>1</v>
      </c>
      <c r="L213" s="4" t="n">
        <v>0</v>
      </c>
      <c r="M213" s="2" t="s">
        <v>349</v>
      </c>
      <c r="N213" s="2" t="s">
        <v>82</v>
      </c>
    </row>
    <row r="214" customFormat="false" ht="15" hidden="false" customHeight="false" outlineLevel="0" collapsed="false">
      <c r="A214" s="2" t="s">
        <v>157</v>
      </c>
      <c r="B214" s="2" t="s">
        <v>357</v>
      </c>
      <c r="C214" s="2" t="s">
        <v>188</v>
      </c>
      <c r="D214" s="4" t="n">
        <v>12</v>
      </c>
      <c r="J214" s="7" t="n">
        <v>10.8</v>
      </c>
      <c r="L214" s="4" t="n">
        <v>1</v>
      </c>
      <c r="M214" s="2" t="s">
        <v>293</v>
      </c>
      <c r="N214" s="2" t="s">
        <v>82</v>
      </c>
    </row>
    <row r="215" customFormat="false" ht="15" hidden="false" customHeight="false" outlineLevel="0" collapsed="false">
      <c r="A215" s="2" t="s">
        <v>158</v>
      </c>
      <c r="B215" s="2" t="s">
        <v>354</v>
      </c>
      <c r="C215" s="2" t="s">
        <v>184</v>
      </c>
      <c r="D215" s="4" t="n">
        <v>4</v>
      </c>
      <c r="G215" s="8" t="n">
        <v>0.7296</v>
      </c>
      <c r="I215" s="9" t="n">
        <v>4.3776</v>
      </c>
      <c r="J215" s="7" t="n">
        <v>27.816</v>
      </c>
      <c r="L215" s="4" t="n">
        <v>1</v>
      </c>
      <c r="M215" s="2" t="s">
        <v>286</v>
      </c>
      <c r="N215" s="2" t="s">
        <v>82</v>
      </c>
    </row>
    <row r="216" customFormat="false" ht="15" hidden="false" customHeight="false" outlineLevel="0" collapsed="false">
      <c r="A216" s="2" t="s">
        <v>158</v>
      </c>
      <c r="B216" s="2" t="s">
        <v>355</v>
      </c>
      <c r="C216" s="2" t="s">
        <v>184</v>
      </c>
      <c r="D216" s="4" t="n">
        <v>4</v>
      </c>
      <c r="G216" s="8" t="n">
        <v>0.99</v>
      </c>
      <c r="I216" s="9" t="n">
        <v>5.94</v>
      </c>
      <c r="J216" s="7" t="n">
        <v>37.74375</v>
      </c>
      <c r="L216" s="4" t="n">
        <v>1</v>
      </c>
      <c r="M216" s="2" t="s">
        <v>286</v>
      </c>
      <c r="N216" s="2" t="s">
        <v>82</v>
      </c>
    </row>
    <row r="217" customFormat="false" ht="15" hidden="false" customHeight="false" outlineLevel="0" collapsed="false">
      <c r="A217" s="2" t="s">
        <v>158</v>
      </c>
      <c r="B217" s="2" t="s">
        <v>359</v>
      </c>
      <c r="C217" s="2" t="s">
        <v>192</v>
      </c>
      <c r="D217" s="4" t="n">
        <v>1</v>
      </c>
      <c r="E217" s="3" t="n">
        <v>1056</v>
      </c>
      <c r="F217" s="3" t="n">
        <v>672</v>
      </c>
      <c r="H217" s="10" t="n">
        <v>0.709632</v>
      </c>
      <c r="K217" s="9" t="n">
        <v>0.2464</v>
      </c>
      <c r="L217" s="4" t="n">
        <v>0</v>
      </c>
      <c r="M217" s="2" t="s">
        <v>349</v>
      </c>
      <c r="N217" s="2" t="s">
        <v>82</v>
      </c>
    </row>
    <row r="218" customFormat="false" ht="15" hidden="false" customHeight="false" outlineLevel="0" collapsed="false">
      <c r="A218" s="2" t="s">
        <v>158</v>
      </c>
      <c r="B218" s="2" t="s">
        <v>357</v>
      </c>
      <c r="C218" s="2" t="s">
        <v>188</v>
      </c>
      <c r="D218" s="4" t="n">
        <v>12</v>
      </c>
      <c r="J218" s="7" t="n">
        <v>10.8</v>
      </c>
      <c r="L218" s="4" t="n">
        <v>1</v>
      </c>
      <c r="M218" s="2" t="s">
        <v>293</v>
      </c>
      <c r="N218" s="2" t="s">
        <v>82</v>
      </c>
    </row>
    <row r="219" customFormat="false" ht="15" hidden="false" customHeight="false" outlineLevel="0" collapsed="false">
      <c r="A219" s="2" t="s">
        <v>159</v>
      </c>
      <c r="B219" s="2" t="s">
        <v>354</v>
      </c>
      <c r="C219" s="2" t="s">
        <v>184</v>
      </c>
      <c r="D219" s="4" t="n">
        <v>4</v>
      </c>
      <c r="G219" s="8" t="n">
        <v>0.6816</v>
      </c>
      <c r="I219" s="9" t="n">
        <v>4.0896</v>
      </c>
      <c r="J219" s="7" t="n">
        <v>25.986</v>
      </c>
      <c r="L219" s="4" t="n">
        <v>1</v>
      </c>
      <c r="M219" s="2" t="s">
        <v>286</v>
      </c>
      <c r="N219" s="2" t="s">
        <v>82</v>
      </c>
    </row>
    <row r="220" customFormat="false" ht="15" hidden="false" customHeight="false" outlineLevel="0" collapsed="false">
      <c r="A220" s="2" t="s">
        <v>159</v>
      </c>
      <c r="B220" s="2" t="s">
        <v>355</v>
      </c>
      <c r="C220" s="2" t="s">
        <v>184</v>
      </c>
      <c r="D220" s="4" t="n">
        <v>4</v>
      </c>
      <c r="G220" s="8" t="n">
        <v>0.54</v>
      </c>
      <c r="I220" s="9" t="n">
        <v>3.24</v>
      </c>
      <c r="J220" s="7" t="n">
        <v>20.5875</v>
      </c>
      <c r="L220" s="4" t="n">
        <v>1</v>
      </c>
      <c r="M220" s="2" t="s">
        <v>286</v>
      </c>
      <c r="N220" s="2" t="s">
        <v>82</v>
      </c>
    </row>
    <row r="221" customFormat="false" ht="15" hidden="false" customHeight="false" outlineLevel="0" collapsed="false">
      <c r="A221" s="2" t="s">
        <v>159</v>
      </c>
      <c r="B221" s="2" t="s">
        <v>359</v>
      </c>
      <c r="C221" s="2" t="s">
        <v>192</v>
      </c>
      <c r="D221" s="4" t="n">
        <v>1</v>
      </c>
      <c r="E221" s="3" t="n">
        <v>576</v>
      </c>
      <c r="F221" s="3" t="n">
        <v>576</v>
      </c>
      <c r="H221" s="10" t="n">
        <v>0.331776</v>
      </c>
      <c r="K221" s="9" t="n">
        <v>0.1152</v>
      </c>
      <c r="L221" s="4" t="n">
        <v>0</v>
      </c>
      <c r="M221" s="2" t="s">
        <v>349</v>
      </c>
      <c r="N221" s="2" t="s">
        <v>82</v>
      </c>
    </row>
    <row r="222" customFormat="false" ht="15" hidden="false" customHeight="false" outlineLevel="0" collapsed="false">
      <c r="A222" s="2" t="s">
        <v>159</v>
      </c>
      <c r="B222" s="2" t="s">
        <v>357</v>
      </c>
      <c r="C222" s="2" t="s">
        <v>188</v>
      </c>
      <c r="D222" s="4" t="n">
        <v>12</v>
      </c>
      <c r="J222" s="7" t="n">
        <v>10.8</v>
      </c>
      <c r="L222" s="4" t="n">
        <v>1</v>
      </c>
      <c r="M222" s="2" t="s">
        <v>293</v>
      </c>
      <c r="N222" s="2" t="s">
        <v>82</v>
      </c>
    </row>
    <row r="223" customFormat="false" ht="15" hidden="false" customHeight="false" outlineLevel="0" collapsed="false">
      <c r="A223" s="2" t="s">
        <v>160</v>
      </c>
      <c r="B223" s="2" t="s">
        <v>347</v>
      </c>
      <c r="C223" s="2" t="s">
        <v>184</v>
      </c>
      <c r="D223" s="4" t="n">
        <v>4</v>
      </c>
      <c r="G223" s="8" t="n">
        <v>0.504</v>
      </c>
      <c r="I223" s="9" t="n">
        <v>3.024</v>
      </c>
      <c r="J223" s="7" t="n">
        <v>19.215</v>
      </c>
      <c r="L223" s="4" t="n">
        <v>1</v>
      </c>
      <c r="M223" s="2" t="s">
        <v>286</v>
      </c>
      <c r="N223" s="2" t="s">
        <v>82</v>
      </c>
    </row>
    <row r="224" customFormat="false" ht="15" hidden="false" customHeight="false" outlineLevel="0" collapsed="false">
      <c r="A224" s="2" t="s">
        <v>160</v>
      </c>
      <c r="B224" s="2" t="s">
        <v>348</v>
      </c>
      <c r="C224" s="2" t="s">
        <v>196</v>
      </c>
      <c r="D224" s="4" t="n">
        <v>1</v>
      </c>
      <c r="L224" s="4" t="n">
        <v>0</v>
      </c>
      <c r="M224" s="2" t="s">
        <v>349</v>
      </c>
      <c r="N224" s="2" t="s">
        <v>82</v>
      </c>
    </row>
    <row r="225" customFormat="false" ht="15" hidden="false" customHeight="false" outlineLevel="0" collapsed="false">
      <c r="A225" s="2" t="s">
        <v>160</v>
      </c>
      <c r="B225" s="2" t="s">
        <v>350</v>
      </c>
      <c r="C225" s="2" t="s">
        <v>188</v>
      </c>
      <c r="D225" s="4" t="n">
        <v>8</v>
      </c>
      <c r="J225" s="7" t="n">
        <v>7.2</v>
      </c>
      <c r="L225" s="4" t="n">
        <v>1</v>
      </c>
      <c r="M225" s="2" t="s">
        <v>293</v>
      </c>
      <c r="N225" s="2" t="s">
        <v>82</v>
      </c>
    </row>
  </sheetData>
  <autoFilter ref="A1:N2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O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3" min="3" style="0" width="36"/>
    <col collapsed="false" customWidth="true" hidden="false" outlineLevel="0" max="4" min="4" style="0" width="15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8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11"/>
    <col collapsed="false" customWidth="true" hidden="false" outlineLevel="0" max="14" min="14" style="0" width="9"/>
    <col collapsed="false" customWidth="true" hidden="false" outlineLevel="0" max="15" min="15" style="0" width="12"/>
  </cols>
  <sheetData>
    <row r="1" customFormat="false" ht="31.5" hidden="false" customHeight="true" outlineLevel="0" collapsed="false">
      <c r="A1" s="1" t="s">
        <v>361</v>
      </c>
      <c r="B1" s="1" t="s">
        <v>362</v>
      </c>
      <c r="C1" s="1" t="s">
        <v>363</v>
      </c>
      <c r="D1" s="1" t="s">
        <v>364</v>
      </c>
      <c r="E1" s="1" t="s">
        <v>365</v>
      </c>
      <c r="F1" s="1" t="s">
        <v>366</v>
      </c>
      <c r="G1" s="1" t="s">
        <v>367</v>
      </c>
      <c r="H1" s="1" t="s">
        <v>368</v>
      </c>
      <c r="I1" s="1" t="s">
        <v>369</v>
      </c>
      <c r="J1" s="1" t="s">
        <v>370</v>
      </c>
      <c r="K1" s="1" t="s">
        <v>371</v>
      </c>
      <c r="L1" s="1" t="s">
        <v>372</v>
      </c>
      <c r="M1" s="1" t="s">
        <v>373</v>
      </c>
      <c r="N1" s="1" t="s">
        <v>374</v>
      </c>
      <c r="O1" s="1" t="s">
        <v>64</v>
      </c>
    </row>
    <row r="2" customFormat="false" ht="15" hidden="false" customHeight="false" outlineLevel="0" collapsed="false">
      <c r="A2" s="2" t="s">
        <v>375</v>
      </c>
      <c r="B2" s="2" t="s">
        <v>376</v>
      </c>
      <c r="C2" s="2" t="s">
        <v>377</v>
      </c>
      <c r="D2" s="2" t="s">
        <v>378</v>
      </c>
      <c r="E2" s="4" t="n">
        <v>1</v>
      </c>
      <c r="F2" s="7" t="n">
        <v>24</v>
      </c>
      <c r="G2" s="6" t="n">
        <v>5.5</v>
      </c>
      <c r="H2" s="6" t="n">
        <v>0.5</v>
      </c>
      <c r="I2" s="2" t="s">
        <v>379</v>
      </c>
      <c r="J2" s="4" t="n">
        <v>0</v>
      </c>
      <c r="K2" s="5" t="n">
        <f aca="false">SUMPRODUCT(('06B_HABILIDADES'!$B$1:$Q$1=A2)*('06B_HABILIDADES'!$B$2:$Q$26))</f>
        <v>6</v>
      </c>
      <c r="L2" s="11" t="n">
        <f aca="false">SUMIF('09_CARGA_ORDEN'!$E$2:$E$1153,A2,'09_CARGA_ORDEN'!$J$2:$J$1153)</f>
        <v>658.536083333333</v>
      </c>
      <c r="M2" s="12" t="n">
        <f aca="false">IF(N(E2)=0,"",L2/(SUMPRODUCT((YEAR('07_CALENDARIO'!$A$2:$A$397)=p_anio_base)*'07_CALENDARIO'!$D$2:$D$397)*p_horas_productivas_dia*E2))</f>
        <v>0.315390844508301</v>
      </c>
      <c r="N2" s="5" t="n">
        <f aca="false">IF(COUNTIF('05_RUTAS'!$E$2:$E$407,A2)&gt;0,1,0)</f>
        <v>1</v>
      </c>
      <c r="O2" s="2" t="s">
        <v>82</v>
      </c>
    </row>
    <row r="3" customFormat="false" ht="15" hidden="false" customHeight="false" outlineLevel="0" collapsed="false">
      <c r="A3" s="2" t="s">
        <v>380</v>
      </c>
      <c r="B3" s="2" t="s">
        <v>381</v>
      </c>
      <c r="C3" s="2" t="s">
        <v>382</v>
      </c>
      <c r="D3" s="2" t="s">
        <v>378</v>
      </c>
      <c r="E3" s="4" t="n">
        <v>1</v>
      </c>
      <c r="F3" s="7" t="n">
        <v>22</v>
      </c>
      <c r="G3" s="6" t="n">
        <v>0.75</v>
      </c>
      <c r="H3" s="6" t="n">
        <v>0.6</v>
      </c>
      <c r="I3" s="2" t="s">
        <v>379</v>
      </c>
      <c r="J3" s="4" t="n">
        <v>0</v>
      </c>
      <c r="K3" s="5" t="n">
        <f aca="false">SUMPRODUCT(('06B_HABILIDADES'!$B$1:$Q$1=A3)*('06B_HABILIDADES'!$B$2:$Q$26))</f>
        <v>3</v>
      </c>
      <c r="L3" s="11" t="n">
        <f aca="false">SUMIF('09_CARGA_ORDEN'!$E$2:$E$1153,A3,'09_CARGA_ORDEN'!$J$2:$J$1153)</f>
        <v>331.640666666667</v>
      </c>
      <c r="M3" s="12" t="n">
        <f aca="false">IF(N(E3)=0,"",L3/(SUMPRODUCT((YEAR('07_CALENDARIO'!$A$2:$A$397)=p_anio_base)*'07_CALENDARIO'!$D$2:$D$397)*p_horas_productivas_dia*E3))</f>
        <v>0.158831736909323</v>
      </c>
      <c r="N3" s="5" t="n">
        <f aca="false">IF(COUNTIF('05_RUTAS'!$E$2:$E$407,A3)&gt;0,1,0)</f>
        <v>1</v>
      </c>
      <c r="O3" s="2" t="s">
        <v>82</v>
      </c>
    </row>
    <row r="4" customFormat="false" ht="15" hidden="false" customHeight="false" outlineLevel="0" collapsed="false">
      <c r="A4" s="2" t="s">
        <v>383</v>
      </c>
      <c r="B4" s="2" t="s">
        <v>384</v>
      </c>
      <c r="C4" s="2" t="s">
        <v>385</v>
      </c>
      <c r="D4" s="2" t="s">
        <v>378</v>
      </c>
      <c r="E4" s="4" t="n">
        <v>1</v>
      </c>
      <c r="F4" s="7" t="n">
        <v>22</v>
      </c>
      <c r="G4" s="6" t="n">
        <v>0.55</v>
      </c>
      <c r="H4" s="6" t="n">
        <v>0.5</v>
      </c>
      <c r="I4" s="2" t="s">
        <v>386</v>
      </c>
      <c r="J4" s="4" t="n">
        <v>0</v>
      </c>
      <c r="K4" s="5" t="n">
        <f aca="false">SUMPRODUCT(('06B_HABILIDADES'!$B$1:$Q$1=A4)*('06B_HABILIDADES'!$B$2:$Q$26))</f>
        <v>3</v>
      </c>
      <c r="L4" s="11" t="n">
        <f aca="false">SUMIF('09_CARGA_ORDEN'!$E$2:$E$1153,A4,'09_CARGA_ORDEN'!$J$2:$J$1153)</f>
        <v>782.07</v>
      </c>
      <c r="M4" s="12" t="n">
        <f aca="false">IF(N(E4)=0,"",L4/(SUMPRODUCT((YEAR('07_CALENDARIO'!$A$2:$A$397)=p_anio_base)*'07_CALENDARIO'!$D$2:$D$397)*p_horas_productivas_dia*E4))</f>
        <v>0.374554597701149</v>
      </c>
      <c r="N4" s="5" t="n">
        <f aca="false">IF(COUNTIF('05_RUTAS'!$E$2:$E$407,A4)&gt;0,1,0)</f>
        <v>1</v>
      </c>
      <c r="O4" s="2" t="s">
        <v>82</v>
      </c>
    </row>
    <row r="5" customFormat="false" ht="15" hidden="false" customHeight="false" outlineLevel="0" collapsed="false">
      <c r="A5" s="2" t="s">
        <v>387</v>
      </c>
      <c r="B5" s="2" t="s">
        <v>388</v>
      </c>
      <c r="C5" s="2" t="s">
        <v>389</v>
      </c>
      <c r="D5" s="2" t="s">
        <v>378</v>
      </c>
      <c r="E5" s="4" t="n">
        <v>1</v>
      </c>
      <c r="F5" s="7" t="n">
        <v>28</v>
      </c>
      <c r="G5" s="6" t="n">
        <v>5.5</v>
      </c>
      <c r="H5" s="6" t="n">
        <v>0.45</v>
      </c>
      <c r="I5" s="2" t="s">
        <v>390</v>
      </c>
      <c r="J5" s="4" t="n">
        <v>1</v>
      </c>
      <c r="K5" s="5" t="n">
        <f aca="false">SUMPRODUCT(('06B_HABILIDADES'!$B$1:$Q$1=A5)*('06B_HABILIDADES'!$B$2:$Q$26))</f>
        <v>3</v>
      </c>
      <c r="L5" s="11" t="n">
        <f aca="false">SUMIF('09_CARGA_ORDEN'!$E$2:$E$1153,A5,'09_CARGA_ORDEN'!$J$2:$J$1153)</f>
        <v>1437.25</v>
      </c>
      <c r="M5" s="12" t="n">
        <f aca="false">IF(N(E5)=0,"",L5/(SUMPRODUCT((YEAR('07_CALENDARIO'!$A$2:$A$397)=p_anio_base)*'07_CALENDARIO'!$D$2:$D$397)*p_horas_productivas_dia*E5))</f>
        <v>0.688338122605364</v>
      </c>
      <c r="N5" s="5" t="n">
        <f aca="false">IF(COUNTIF('05_RUTAS'!$E$2:$E$407,A5)&gt;0,1,0)</f>
        <v>1</v>
      </c>
      <c r="O5" s="2" t="s">
        <v>82</v>
      </c>
    </row>
    <row r="6" customFormat="false" ht="15" hidden="false" customHeight="false" outlineLevel="0" collapsed="false">
      <c r="A6" s="2" t="s">
        <v>391</v>
      </c>
      <c r="B6" s="2" t="s">
        <v>392</v>
      </c>
      <c r="C6" s="2" t="s">
        <v>393</v>
      </c>
      <c r="D6" s="2" t="s">
        <v>378</v>
      </c>
      <c r="E6" s="4" t="n">
        <v>1</v>
      </c>
      <c r="F6" s="7" t="n">
        <v>32</v>
      </c>
      <c r="G6" s="6" t="n">
        <v>5</v>
      </c>
      <c r="H6" s="6" t="n">
        <v>0.35</v>
      </c>
      <c r="I6" s="2" t="s">
        <v>394</v>
      </c>
      <c r="J6" s="4" t="n">
        <v>0</v>
      </c>
      <c r="K6" s="5" t="n">
        <f aca="false">SUMPRODUCT(('06B_HABILIDADES'!$B$1:$Q$1=A6)*('06B_HABILIDADES'!$B$2:$Q$26))</f>
        <v>5</v>
      </c>
      <c r="L6" s="11" t="n">
        <f aca="false">SUMIF('09_CARGA_ORDEN'!$E$2:$E$1153,A6,'09_CARGA_ORDEN'!$J$2:$J$1153)</f>
        <v>403.586666666667</v>
      </c>
      <c r="M6" s="12" t="n">
        <f aca="false">IF(N(E6)=0,"",L6/(SUMPRODUCT((YEAR('07_CALENDARIO'!$A$2:$A$397)=p_anio_base)*'07_CALENDARIO'!$D$2:$D$397)*p_horas_productivas_dia*E6))</f>
        <v>0.193288633461047</v>
      </c>
      <c r="N6" s="5" t="n">
        <f aca="false">IF(COUNTIF('05_RUTAS'!$E$2:$E$407,A6)&gt;0,1,0)</f>
        <v>1</v>
      </c>
      <c r="O6" s="2" t="s">
        <v>82</v>
      </c>
    </row>
    <row r="7" customFormat="false" ht="15" hidden="false" customHeight="false" outlineLevel="0" collapsed="false">
      <c r="A7" s="2" t="s">
        <v>395</v>
      </c>
      <c r="B7" s="2" t="s">
        <v>396</v>
      </c>
      <c r="C7" s="2" t="s">
        <v>395</v>
      </c>
      <c r="D7" s="2" t="s">
        <v>397</v>
      </c>
      <c r="E7" s="4" t="n">
        <v>1</v>
      </c>
      <c r="F7" s="7" t="n">
        <v>21</v>
      </c>
      <c r="G7" s="6" t="n">
        <v>1.5</v>
      </c>
      <c r="H7" s="6" t="n">
        <v>0.5</v>
      </c>
      <c r="I7" s="2" t="s">
        <v>398</v>
      </c>
      <c r="J7" s="4" t="n">
        <v>0</v>
      </c>
      <c r="K7" s="5" t="n">
        <f aca="false">SUMPRODUCT(('06B_HABILIDADES'!$B$1:$Q$1=A7)*('06B_HABILIDADES'!$B$2:$Q$26))</f>
        <v>5</v>
      </c>
      <c r="L7" s="11" t="n">
        <f aca="false">SUMIF('09_CARGA_ORDEN'!$E$2:$E$1153,A7,'09_CARGA_ORDEN'!$J$2:$J$1153)</f>
        <v>508.225</v>
      </c>
      <c r="M7" s="12" t="n">
        <f aca="false">IF(N(E7)=0,"",L7/(SUMPRODUCT((YEAR('07_CALENDARIO'!$A$2:$A$397)=p_anio_base)*'07_CALENDARIO'!$D$2:$D$397)*p_horas_productivas_dia*E7))</f>
        <v>0.243402777777778</v>
      </c>
      <c r="N7" s="5" t="n">
        <f aca="false">IF(COUNTIF('05_RUTAS'!$E$2:$E$407,A7)&gt;0,1,0)</f>
        <v>1</v>
      </c>
      <c r="O7" s="2" t="s">
        <v>82</v>
      </c>
    </row>
    <row r="8" customFormat="false" ht="15" hidden="false" customHeight="false" outlineLevel="0" collapsed="false">
      <c r="A8" s="2" t="s">
        <v>399</v>
      </c>
      <c r="B8" s="2" t="s">
        <v>400</v>
      </c>
      <c r="C8" s="2" t="s">
        <v>399</v>
      </c>
      <c r="D8" s="2" t="s">
        <v>401</v>
      </c>
      <c r="E8" s="4" t="n">
        <v>1</v>
      </c>
      <c r="F8" s="7" t="n">
        <v>19</v>
      </c>
      <c r="G8" s="6" t="n">
        <v>2.2</v>
      </c>
      <c r="H8" s="6" t="n">
        <v>0.4</v>
      </c>
      <c r="I8" s="2" t="s">
        <v>398</v>
      </c>
      <c r="J8" s="4" t="n">
        <v>0</v>
      </c>
      <c r="K8" s="5" t="n">
        <f aca="false">SUMPRODUCT(('06B_HABILIDADES'!$B$1:$Q$1=A8)*('06B_HABILIDADES'!$B$2:$Q$26))</f>
        <v>4</v>
      </c>
      <c r="L8" s="11" t="n">
        <f aca="false">SUMIF('09_CARGA_ORDEN'!$E$2:$E$1153,A8,'09_CARGA_ORDEN'!$J$2:$J$1153)</f>
        <v>437.393426666667</v>
      </c>
      <c r="M8" s="12" t="n">
        <f aca="false">IF(N(E8)=0,"",L8/(SUMPRODUCT((YEAR('07_CALENDARIO'!$A$2:$A$397)=p_anio_base)*'07_CALENDARIO'!$D$2:$D$397)*p_horas_productivas_dia*E8))</f>
        <v>0.209479610472542</v>
      </c>
      <c r="N8" s="5" t="n">
        <f aca="false">IF(COUNTIF('05_RUTAS'!$E$2:$E$407,A8)&gt;0,1,0)</f>
        <v>1</v>
      </c>
      <c r="O8" s="2" t="s">
        <v>82</v>
      </c>
    </row>
    <row r="9" customFormat="false" ht="15" hidden="false" customHeight="false" outlineLevel="0" collapsed="false">
      <c r="A9" s="2" t="s">
        <v>402</v>
      </c>
      <c r="B9" s="2" t="s">
        <v>403</v>
      </c>
      <c r="C9" s="2" t="s">
        <v>402</v>
      </c>
      <c r="D9" s="2" t="s">
        <v>404</v>
      </c>
      <c r="E9" s="4" t="n">
        <v>1</v>
      </c>
      <c r="F9" s="7" t="n">
        <v>32</v>
      </c>
      <c r="G9" s="6" t="n">
        <v>1.5</v>
      </c>
      <c r="H9" s="6" t="n">
        <v>0.7</v>
      </c>
      <c r="I9" s="2" t="s">
        <v>405</v>
      </c>
      <c r="J9" s="4" t="n">
        <v>0</v>
      </c>
      <c r="K9" s="5" t="n">
        <f aca="false">SUMPRODUCT(('06B_HABILIDADES'!$B$1:$Q$1=A9)*('06B_HABILIDADES'!$B$2:$Q$26))</f>
        <v>4</v>
      </c>
      <c r="L9" s="11" t="n">
        <f aca="false">SUMIF('09_CARGA_ORDEN'!$E$2:$E$1153,A9,'09_CARGA_ORDEN'!$J$2:$J$1153)</f>
        <v>128.860833333333</v>
      </c>
      <c r="M9" s="12" t="n">
        <f aca="false">IF(N(E9)=0,"",L9/(SUMPRODUCT((YEAR('07_CALENDARIO'!$A$2:$A$397)=p_anio_base)*'07_CALENDARIO'!$D$2:$D$397)*p_horas_productivas_dia*E9))</f>
        <v>0.0617149584929757</v>
      </c>
      <c r="N9" s="5" t="n">
        <f aca="false">IF(COUNTIF('05_RUTAS'!$E$2:$E$407,A9)&gt;0,1,0)</f>
        <v>1</v>
      </c>
      <c r="O9" s="2" t="s">
        <v>82</v>
      </c>
    </row>
    <row r="10" customFormat="false" ht="15" hidden="false" customHeight="false" outlineLevel="0" collapsed="false">
      <c r="A10" s="2" t="s">
        <v>406</v>
      </c>
      <c r="B10" s="2" t="s">
        <v>407</v>
      </c>
      <c r="C10" s="2" t="s">
        <v>406</v>
      </c>
      <c r="D10" s="2" t="s">
        <v>397</v>
      </c>
      <c r="E10" s="4" t="n">
        <v>1</v>
      </c>
      <c r="F10" s="7" t="n">
        <v>19</v>
      </c>
      <c r="G10" s="6" t="n">
        <v>1</v>
      </c>
      <c r="H10" s="6" t="n">
        <v>0.3</v>
      </c>
      <c r="I10" s="2" t="s">
        <v>394</v>
      </c>
      <c r="J10" s="4" t="n">
        <v>0</v>
      </c>
      <c r="K10" s="5" t="n">
        <f aca="false">SUMPRODUCT(('06B_HABILIDADES'!$B$1:$Q$1=A10)*('06B_HABILIDADES'!$B$2:$Q$26))</f>
        <v>5</v>
      </c>
      <c r="L10" s="11" t="n">
        <f aca="false">SUMIF('09_CARGA_ORDEN'!$E$2:$E$1153,A10,'09_CARGA_ORDEN'!$J$2:$J$1153)</f>
        <v>775.975</v>
      </c>
      <c r="M10" s="12" t="n">
        <f aca="false">IF(N(E10)=0,"",L10/(SUMPRODUCT((YEAR('07_CALENDARIO'!$A$2:$A$397)=p_anio_base)*'07_CALENDARIO'!$D$2:$D$397)*p_horas_productivas_dia*E10))</f>
        <v>0.371635536398467</v>
      </c>
      <c r="N10" s="5" t="n">
        <f aca="false">IF(COUNTIF('05_RUTAS'!$E$2:$E$407,A10)&gt;0,1,0)</f>
        <v>1</v>
      </c>
      <c r="O10" s="2" t="s">
        <v>82</v>
      </c>
    </row>
    <row r="11" customFormat="false" ht="15" hidden="false" customHeight="false" outlineLevel="0" collapsed="false">
      <c r="A11" s="2" t="s">
        <v>408</v>
      </c>
      <c r="B11" s="2" t="s">
        <v>409</v>
      </c>
      <c r="C11" s="2" t="s">
        <v>408</v>
      </c>
      <c r="D11" s="2" t="s">
        <v>401</v>
      </c>
      <c r="E11" s="4" t="n">
        <v>1</v>
      </c>
      <c r="F11" s="7" t="n">
        <v>20</v>
      </c>
      <c r="G11" s="6" t="n">
        <v>0.2</v>
      </c>
      <c r="H11" s="6" t="n">
        <v>0.5</v>
      </c>
      <c r="I11" s="2" t="s">
        <v>410</v>
      </c>
      <c r="J11" s="4" t="n">
        <v>0</v>
      </c>
      <c r="K11" s="5" t="n">
        <f aca="false">SUMPRODUCT(('06B_HABILIDADES'!$B$1:$Q$1=A11)*('06B_HABILIDADES'!$B$2:$Q$26))</f>
        <v>5</v>
      </c>
      <c r="L11" s="11" t="n">
        <f aca="false">SUMIF('09_CARGA_ORDEN'!$E$2:$E$1153,A11,'09_CARGA_ORDEN'!$J$2:$J$1153)</f>
        <v>56.0828333333333</v>
      </c>
      <c r="M11" s="12" t="n">
        <f aca="false">IF(N(E11)=0,"",L11/(SUMPRODUCT((YEAR('07_CALENDARIO'!$A$2:$A$397)=p_anio_base)*'07_CALENDARIO'!$D$2:$D$397)*p_horas_productivas_dia*E11))</f>
        <v>0.0268595945083014</v>
      </c>
      <c r="N11" s="5" t="n">
        <f aca="false">IF(COUNTIF('05_RUTAS'!$E$2:$E$407,A11)&gt;0,1,0)</f>
        <v>1</v>
      </c>
      <c r="O11" s="2" t="s">
        <v>82</v>
      </c>
    </row>
    <row r="12" customFormat="false" ht="15" hidden="false" customHeight="false" outlineLevel="0" collapsed="false">
      <c r="A12" s="2" t="s">
        <v>411</v>
      </c>
      <c r="B12" s="2" t="s">
        <v>412</v>
      </c>
      <c r="C12" s="2" t="s">
        <v>411</v>
      </c>
      <c r="D12" s="2" t="s">
        <v>401</v>
      </c>
      <c r="E12" s="4" t="n">
        <v>1</v>
      </c>
      <c r="F12" s="7" t="n">
        <v>18</v>
      </c>
      <c r="G12" s="6" t="n">
        <v>0.3</v>
      </c>
      <c r="H12" s="6" t="n">
        <v>0.3</v>
      </c>
      <c r="I12" s="2" t="s">
        <v>410</v>
      </c>
      <c r="J12" s="4" t="n">
        <v>0</v>
      </c>
      <c r="K12" s="5" t="n">
        <f aca="false">SUMPRODUCT(('06B_HABILIDADES'!$B$1:$Q$1=A12)*('06B_HABILIDADES'!$B$2:$Q$26))</f>
        <v>5</v>
      </c>
      <c r="L12" s="11" t="n">
        <f aca="false">SUMIF('09_CARGA_ORDEN'!$E$2:$E$1153,A12,'09_CARGA_ORDEN'!$J$2:$J$1153)</f>
        <v>74.947</v>
      </c>
      <c r="M12" s="12" t="n">
        <f aca="false">IF(N(E12)=0,"",L12/(SUMPRODUCT((YEAR('07_CALENDARIO'!$A$2:$A$397)=p_anio_base)*'07_CALENDARIO'!$D$2:$D$397)*p_horas_productivas_dia*E12))</f>
        <v>0.0358941570881226</v>
      </c>
      <c r="N12" s="5" t="n">
        <f aca="false">IF(COUNTIF('05_RUTAS'!$E$2:$E$407,A12)&gt;0,1,0)</f>
        <v>1</v>
      </c>
      <c r="O12" s="2" t="s">
        <v>82</v>
      </c>
    </row>
    <row r="13" customFormat="false" ht="15" hidden="false" customHeight="false" outlineLevel="0" collapsed="false">
      <c r="A13" s="2" t="s">
        <v>413</v>
      </c>
      <c r="B13" s="2" t="s">
        <v>414</v>
      </c>
      <c r="C13" s="2" t="s">
        <v>413</v>
      </c>
      <c r="D13" s="2" t="s">
        <v>378</v>
      </c>
      <c r="E13" s="4" t="n">
        <v>1</v>
      </c>
      <c r="F13" s="7" t="n">
        <v>22</v>
      </c>
      <c r="G13" s="6" t="n">
        <v>0.75</v>
      </c>
      <c r="H13" s="6" t="n">
        <v>0.5</v>
      </c>
      <c r="I13" s="2" t="s">
        <v>386</v>
      </c>
      <c r="J13" s="4" t="n">
        <v>0</v>
      </c>
      <c r="K13" s="5" t="n">
        <f aca="false">SUMPRODUCT(('06B_HABILIDADES'!$B$1:$Q$1=A13)*('06B_HABILIDADES'!$B$2:$Q$26))</f>
        <v>3</v>
      </c>
      <c r="L13" s="11" t="n">
        <f aca="false">SUMIF('09_CARGA_ORDEN'!$E$2:$E$1153,A13,'09_CARGA_ORDEN'!$J$2:$J$1153)</f>
        <v>0</v>
      </c>
      <c r="M13" s="12" t="n">
        <f aca="false">IF(N(E13)=0,"",L13/(SUMPRODUCT((YEAR('07_CALENDARIO'!$A$2:$A$397)=p_anio_base)*'07_CALENDARIO'!$D$2:$D$397)*p_horas_productivas_dia*E13))</f>
        <v>0</v>
      </c>
      <c r="N13" s="5" t="n">
        <f aca="false">IF(COUNTIF('05_RUTAS'!$E$2:$E$407,A13)&gt;0,1,0)</f>
        <v>1</v>
      </c>
      <c r="O13" s="2" t="s">
        <v>82</v>
      </c>
    </row>
    <row r="14" customFormat="false" ht="15" hidden="false" customHeight="false" outlineLevel="0" collapsed="false">
      <c r="A14" s="2" t="s">
        <v>415</v>
      </c>
      <c r="B14" s="2" t="s">
        <v>416</v>
      </c>
      <c r="C14" s="2" t="s">
        <v>415</v>
      </c>
      <c r="D14" s="2" t="s">
        <v>378</v>
      </c>
      <c r="E14" s="4" t="n">
        <v>1</v>
      </c>
      <c r="F14" s="7" t="n">
        <v>32</v>
      </c>
      <c r="G14" s="6" t="n">
        <v>5</v>
      </c>
      <c r="H14" s="6" t="n">
        <v>0.35</v>
      </c>
      <c r="I14" s="2" t="s">
        <v>394</v>
      </c>
      <c r="J14" s="4" t="n">
        <v>0</v>
      </c>
      <c r="K14" s="5" t="n">
        <f aca="false">SUMPRODUCT(('06B_HABILIDADES'!$B$1:$Q$1=A14)*('06B_HABILIDADES'!$B$2:$Q$26))</f>
        <v>5</v>
      </c>
      <c r="L14" s="11" t="n">
        <f aca="false">SUMIF('09_CARGA_ORDEN'!$E$2:$E$1153,A14,'09_CARGA_ORDEN'!$J$2:$J$1153)</f>
        <v>0</v>
      </c>
      <c r="M14" s="12" t="n">
        <f aca="false">IF(N(E14)=0,"",L14/(SUMPRODUCT((YEAR('07_CALENDARIO'!$A$2:$A$397)=p_anio_base)*'07_CALENDARIO'!$D$2:$D$397)*p_horas_productivas_dia*E14))</f>
        <v>0</v>
      </c>
      <c r="N14" s="5" t="n">
        <f aca="false">IF(COUNTIF('05_RUTAS'!$E$2:$E$407,A14)&gt;0,1,0)</f>
        <v>1</v>
      </c>
      <c r="O14" s="2" t="s">
        <v>82</v>
      </c>
    </row>
    <row r="15" customFormat="false" ht="15" hidden="false" customHeight="false" outlineLevel="0" collapsed="false">
      <c r="A15" s="2" t="s">
        <v>417</v>
      </c>
      <c r="B15" s="2" t="s">
        <v>418</v>
      </c>
      <c r="C15" s="2" t="s">
        <v>417</v>
      </c>
      <c r="D15" s="2" t="s">
        <v>419</v>
      </c>
      <c r="E15" s="4" t="n">
        <v>0</v>
      </c>
      <c r="G15" s="6" t="n">
        <v>0</v>
      </c>
      <c r="H15" s="6" t="n">
        <v>0</v>
      </c>
      <c r="I15" s="2" t="s">
        <v>420</v>
      </c>
      <c r="J15" s="4" t="n">
        <v>0</v>
      </c>
      <c r="K15" s="5" t="n">
        <f aca="false">SUMPRODUCT(('06B_HABILIDADES'!$B$1:$Q$1=A15)*('06B_HABILIDADES'!$B$2:$Q$26))</f>
        <v>0</v>
      </c>
      <c r="L15" s="11" t="n">
        <f aca="false">SUMIF('09_CARGA_ORDEN'!$E$2:$E$1153,A15,'09_CARGA_ORDEN'!$J$2:$J$1153)</f>
        <v>0</v>
      </c>
      <c r="M15" s="12" t="str">
        <f aca="false">IF(N(E15)=0,"",L15/(SUMPRODUCT((YEAR('07_CALENDARIO'!$A$2:$A$397)=p_anio_base)*'07_CALENDARIO'!$D$2:$D$397)*p_horas_productivas_dia*E15))</f>
        <v/>
      </c>
      <c r="N15" s="5" t="n">
        <f aca="false">IF(COUNTIF('05_RUTAS'!$E$2:$E$407,A15)&gt;0,1,0)</f>
        <v>0</v>
      </c>
      <c r="O15" s="2" t="s">
        <v>82</v>
      </c>
    </row>
    <row r="16" customFormat="false" ht="15" hidden="false" customHeight="false" outlineLevel="0" collapsed="false">
      <c r="A16" s="2" t="s">
        <v>421</v>
      </c>
      <c r="B16" s="2" t="s">
        <v>422</v>
      </c>
      <c r="C16" s="2" t="s">
        <v>421</v>
      </c>
      <c r="D16" s="2" t="s">
        <v>378</v>
      </c>
      <c r="E16" s="4" t="n">
        <v>1</v>
      </c>
      <c r="F16" s="7" t="n">
        <v>26</v>
      </c>
      <c r="G16" s="6" t="n">
        <v>24</v>
      </c>
      <c r="H16" s="6" t="n">
        <v>0.6</v>
      </c>
      <c r="I16" s="2" t="s">
        <v>405</v>
      </c>
      <c r="J16" s="4" t="n">
        <v>0</v>
      </c>
      <c r="K16" s="5" t="n">
        <f aca="false">SUMPRODUCT(('06B_HABILIDADES'!$B$1:$Q$1=A16)*('06B_HABILIDADES'!$B$2:$Q$26))</f>
        <v>2</v>
      </c>
      <c r="L16" s="11" t="n">
        <f aca="false">SUMIF('09_CARGA_ORDEN'!$E$2:$E$1153,A16,'09_CARGA_ORDEN'!$J$2:$J$1153)</f>
        <v>94.5</v>
      </c>
      <c r="M16" s="12" t="n">
        <f aca="false">IF(N(E16)=0,"",L16/(SUMPRODUCT((YEAR('07_CALENDARIO'!$A$2:$A$397)=p_anio_base)*'07_CALENDARIO'!$D$2:$D$397)*p_horas_productivas_dia*E16))</f>
        <v>0.0452586206896552</v>
      </c>
      <c r="N16" s="5" t="n">
        <f aca="false">IF(COUNTIF('05_RUTAS'!$E$2:$E$407,A16)&gt;0,1,0)</f>
        <v>1</v>
      </c>
      <c r="O16" s="2" t="s">
        <v>82</v>
      </c>
    </row>
    <row r="17" customFormat="false" ht="15" hidden="false" customHeight="false" outlineLevel="0" collapsed="false">
      <c r="A17" s="2" t="s">
        <v>423</v>
      </c>
      <c r="B17" s="2" t="s">
        <v>424</v>
      </c>
      <c r="C17" s="2" t="s">
        <v>423</v>
      </c>
      <c r="D17" s="2" t="s">
        <v>397</v>
      </c>
      <c r="E17" s="4" t="n">
        <v>1</v>
      </c>
      <c r="F17" s="7" t="n">
        <v>16</v>
      </c>
      <c r="G17" s="6" t="n">
        <v>0.5</v>
      </c>
      <c r="H17" s="6" t="n">
        <v>0.5</v>
      </c>
      <c r="I17" s="2" t="s">
        <v>405</v>
      </c>
      <c r="J17" s="4" t="n">
        <v>0</v>
      </c>
      <c r="K17" s="5" t="n">
        <f aca="false">SUMPRODUCT(('06B_HABILIDADES'!$B$1:$Q$1=A17)*('06B_HABILIDADES'!$B$2:$Q$26))</f>
        <v>2</v>
      </c>
      <c r="L17" s="11" t="n">
        <f aca="false">SUMIF('09_CARGA_ORDEN'!$E$2:$E$1153,A17,'09_CARGA_ORDEN'!$J$2:$J$1153)</f>
        <v>52.6551666666667</v>
      </c>
      <c r="M17" s="12" t="n">
        <f aca="false">IF(N(E17)=0,"",L17/(SUMPRODUCT((YEAR('07_CALENDARIO'!$A$2:$A$397)=p_anio_base)*'07_CALENDARIO'!$D$2:$D$397)*p_horas_productivas_dia*E17))</f>
        <v>0.0252179916985951</v>
      </c>
      <c r="N17" s="5" t="n">
        <f aca="false">IF(COUNTIF('05_RUTAS'!$E$2:$E$407,A17)&gt;0,1,0)</f>
        <v>1</v>
      </c>
      <c r="O17" s="2" t="s">
        <v>82</v>
      </c>
    </row>
    <row r="18" customFormat="false" ht="15" hidden="false" customHeight="false" outlineLevel="0" collapsed="false">
      <c r="A18" s="2" t="s">
        <v>425</v>
      </c>
      <c r="B18" s="2" t="s">
        <v>426</v>
      </c>
      <c r="C18" s="2" t="s">
        <v>425</v>
      </c>
      <c r="D18" s="2" t="s">
        <v>401</v>
      </c>
      <c r="E18" s="4" t="n">
        <v>1</v>
      </c>
      <c r="G18" s="6" t="n">
        <v>3</v>
      </c>
      <c r="H18" s="6" t="n">
        <v>0.5</v>
      </c>
      <c r="I18" s="2" t="s">
        <v>405</v>
      </c>
      <c r="J18" s="4" t="n">
        <v>0</v>
      </c>
      <c r="K18" s="5" t="n">
        <f aca="false">SUMPRODUCT(('06B_HABILIDADES'!$B$1:$Q$1=A18)*('06B_HABILIDADES'!$B$2:$Q$26))</f>
        <v>4</v>
      </c>
      <c r="L18" s="11" t="n">
        <f aca="false">SUMIF('09_CARGA_ORDEN'!$E$2:$E$1153,A18,'09_CARGA_ORDEN'!$J$2:$J$1153)</f>
        <v>0</v>
      </c>
      <c r="M18" s="12" t="n">
        <f aca="false">IF(N(E18)=0,"",L18/(SUMPRODUCT((YEAR('07_CALENDARIO'!$A$2:$A$397)=p_anio_base)*'07_CALENDARIO'!$D$2:$D$397)*p_horas_productivas_dia*E18))</f>
        <v>0</v>
      </c>
      <c r="N18" s="5" t="n">
        <f aca="false">IF(COUNTIF('05_RUTAS'!$E$2:$E$407,A18)&gt;0,1,0)</f>
        <v>0</v>
      </c>
      <c r="O18" s="2" t="s">
        <v>82</v>
      </c>
    </row>
  </sheetData>
  <autoFilter ref="A1:O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M4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6"/>
    <col collapsed="false" customWidth="true" hidden="false" outlineLevel="0" max="3" min="3" style="0" width="6"/>
    <col collapsed="false" customWidth="true" hidden="false" outlineLevel="0" max="4" min="4" style="0" width="30"/>
    <col collapsed="false" customWidth="true" hidden="false" outlineLevel="0" max="5" min="5" style="0" width="44"/>
    <col collapsed="false" customWidth="true" hidden="false" outlineLevel="0" max="6" min="6" style="0" width="9"/>
    <col collapsed="false" customWidth="true" hidden="false" outlineLevel="0" max="8" min="7" style="0" width="10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30"/>
    <col collapsed="false" customWidth="true" hidden="false" outlineLevel="0" max="12" min="12" style="0" width="9"/>
    <col collapsed="false" customWidth="true" hidden="false" outlineLevel="0" max="13" min="13" style="0" width="12"/>
  </cols>
  <sheetData>
    <row r="1" customFormat="false" ht="31.5" hidden="false" customHeight="true" outlineLevel="0" collapsed="false">
      <c r="A1" s="1" t="s">
        <v>272</v>
      </c>
      <c r="B1" s="1" t="s">
        <v>67</v>
      </c>
      <c r="C1" s="1" t="s">
        <v>427</v>
      </c>
      <c r="D1" s="1" t="s">
        <v>428</v>
      </c>
      <c r="E1" s="1" t="s">
        <v>429</v>
      </c>
      <c r="F1" s="1" t="s">
        <v>430</v>
      </c>
      <c r="G1" s="1" t="s">
        <v>431</v>
      </c>
      <c r="H1" s="1" t="s">
        <v>432</v>
      </c>
      <c r="I1" s="1" t="s">
        <v>433</v>
      </c>
      <c r="J1" s="1" t="s">
        <v>434</v>
      </c>
      <c r="K1" s="1" t="s">
        <v>435</v>
      </c>
      <c r="L1" s="1" t="s">
        <v>436</v>
      </c>
      <c r="M1" s="1" t="s">
        <v>64</v>
      </c>
    </row>
    <row r="2" customFormat="false" ht="15" hidden="false" customHeight="false" outlineLevel="0" collapsed="false">
      <c r="A2" s="2" t="s">
        <v>80</v>
      </c>
      <c r="B2" s="2" t="s">
        <v>79</v>
      </c>
      <c r="C2" s="4" t="n">
        <v>1</v>
      </c>
      <c r="D2" s="2" t="s">
        <v>437</v>
      </c>
      <c r="E2" s="2" t="s">
        <v>375</v>
      </c>
      <c r="F2" s="6" t="n">
        <v>8</v>
      </c>
      <c r="G2" s="9" t="n">
        <v>34.62</v>
      </c>
      <c r="H2" s="13" t="s">
        <v>438</v>
      </c>
      <c r="I2" s="2" t="s">
        <v>439</v>
      </c>
      <c r="J2" s="3" t="n">
        <v>0</v>
      </c>
      <c r="K2" s="2" t="s">
        <v>440</v>
      </c>
      <c r="L2" s="5" t="n">
        <f aca="false">IF(COUNTIF('04_MAQUINAS'!$A$2:$A$18,E2)&gt;0,1,0)</f>
        <v>1</v>
      </c>
      <c r="M2" s="2" t="s">
        <v>82</v>
      </c>
    </row>
    <row r="3" customFormat="false" ht="15" hidden="false" customHeight="false" outlineLevel="0" collapsed="false">
      <c r="A3" s="2" t="s">
        <v>80</v>
      </c>
      <c r="B3" s="2" t="s">
        <v>79</v>
      </c>
      <c r="C3" s="4" t="n">
        <v>2</v>
      </c>
      <c r="D3" s="2" t="s">
        <v>441</v>
      </c>
      <c r="E3" s="2" t="s">
        <v>380</v>
      </c>
      <c r="F3" s="6" t="n">
        <v>8</v>
      </c>
      <c r="G3" s="9" t="n">
        <v>43.52</v>
      </c>
      <c r="H3" s="13" t="n">
        <v>1</v>
      </c>
      <c r="I3" s="2" t="s">
        <v>439</v>
      </c>
      <c r="J3" s="3" t="n">
        <v>0</v>
      </c>
      <c r="K3" s="2" t="s">
        <v>440</v>
      </c>
      <c r="L3" s="5" t="n">
        <f aca="false">IF(COUNTIF('04_MAQUINAS'!$A$2:$A$18,E3)&gt;0,1,0)</f>
        <v>1</v>
      </c>
      <c r="M3" s="2" t="s">
        <v>82</v>
      </c>
    </row>
    <row r="4" customFormat="false" ht="15" hidden="false" customHeight="false" outlineLevel="0" collapsed="false">
      <c r="A4" s="2" t="s">
        <v>80</v>
      </c>
      <c r="B4" s="2" t="s">
        <v>79</v>
      </c>
      <c r="C4" s="4" t="n">
        <v>3</v>
      </c>
      <c r="D4" s="2" t="s">
        <v>386</v>
      </c>
      <c r="E4" s="2" t="s">
        <v>383</v>
      </c>
      <c r="F4" s="6" t="n">
        <v>10</v>
      </c>
      <c r="G4" s="9" t="n">
        <v>63.2</v>
      </c>
      <c r="H4" s="13" t="n">
        <v>2</v>
      </c>
      <c r="I4" s="2" t="s">
        <v>439</v>
      </c>
      <c r="J4" s="3" t="n">
        <v>0</v>
      </c>
      <c r="K4" s="2" t="s">
        <v>440</v>
      </c>
      <c r="L4" s="5" t="n">
        <f aca="false">IF(COUNTIF('04_MAQUINAS'!$A$2:$A$18,E4)&gt;0,1,0)</f>
        <v>1</v>
      </c>
      <c r="M4" s="2" t="s">
        <v>82</v>
      </c>
    </row>
    <row r="5" customFormat="false" ht="15" hidden="false" customHeight="false" outlineLevel="0" collapsed="false">
      <c r="A5" s="2" t="s">
        <v>80</v>
      </c>
      <c r="B5" s="2" t="s">
        <v>79</v>
      </c>
      <c r="C5" s="4" t="n">
        <v>4</v>
      </c>
      <c r="D5" s="2" t="s">
        <v>390</v>
      </c>
      <c r="E5" s="2" t="s">
        <v>387</v>
      </c>
      <c r="F5" s="6" t="n">
        <v>12</v>
      </c>
      <c r="G5" s="9" t="n">
        <v>60</v>
      </c>
      <c r="H5" s="13" t="n">
        <v>3</v>
      </c>
      <c r="I5" s="2" t="s">
        <v>439</v>
      </c>
      <c r="J5" s="3" t="n">
        <v>0</v>
      </c>
      <c r="K5" s="2" t="s">
        <v>440</v>
      </c>
      <c r="L5" s="5" t="n">
        <f aca="false">IF(COUNTIF('04_MAQUINAS'!$A$2:$A$18,E5)&gt;0,1,0)</f>
        <v>1</v>
      </c>
      <c r="M5" s="2" t="s">
        <v>82</v>
      </c>
    </row>
    <row r="6" customFormat="false" ht="15" hidden="false" customHeight="false" outlineLevel="0" collapsed="false">
      <c r="A6" s="2" t="s">
        <v>80</v>
      </c>
      <c r="B6" s="2" t="s">
        <v>79</v>
      </c>
      <c r="C6" s="4" t="n">
        <v>5</v>
      </c>
      <c r="D6" s="2" t="s">
        <v>442</v>
      </c>
      <c r="E6" s="2" t="s">
        <v>391</v>
      </c>
      <c r="F6" s="6" t="n">
        <v>10</v>
      </c>
      <c r="G6" s="9" t="n">
        <v>78.4</v>
      </c>
      <c r="H6" s="13" t="n">
        <v>4</v>
      </c>
      <c r="I6" s="2" t="s">
        <v>439</v>
      </c>
      <c r="J6" s="3" t="n">
        <v>0</v>
      </c>
      <c r="K6" s="2" t="s">
        <v>440</v>
      </c>
      <c r="L6" s="5" t="n">
        <f aca="false">IF(COUNTIF('04_MAQUINAS'!$A$2:$A$18,E6)&gt;0,1,0)</f>
        <v>1</v>
      </c>
      <c r="M6" s="2" t="s">
        <v>82</v>
      </c>
    </row>
    <row r="7" customFormat="false" ht="15" hidden="false" customHeight="false" outlineLevel="0" collapsed="false">
      <c r="A7" s="2" t="s">
        <v>80</v>
      </c>
      <c r="B7" s="2" t="s">
        <v>79</v>
      </c>
      <c r="C7" s="4" t="n">
        <v>6</v>
      </c>
      <c r="D7" s="2" t="s">
        <v>443</v>
      </c>
      <c r="E7" s="2" t="s">
        <v>395</v>
      </c>
      <c r="F7" s="6" t="n">
        <v>3</v>
      </c>
      <c r="G7" s="9" t="n">
        <v>42</v>
      </c>
      <c r="H7" s="13" t="n">
        <v>5</v>
      </c>
      <c r="I7" s="2" t="s">
        <v>439</v>
      </c>
      <c r="J7" s="3" t="n">
        <v>0</v>
      </c>
      <c r="K7" s="2" t="s">
        <v>440</v>
      </c>
      <c r="L7" s="5" t="n">
        <f aca="false">IF(COUNTIF('04_MAQUINAS'!$A$2:$A$18,E7)&gt;0,1,0)</f>
        <v>1</v>
      </c>
      <c r="M7" s="2" t="s">
        <v>82</v>
      </c>
    </row>
    <row r="8" customFormat="false" ht="15" hidden="false" customHeight="false" outlineLevel="0" collapsed="false">
      <c r="A8" s="2" t="s">
        <v>80</v>
      </c>
      <c r="B8" s="2" t="s">
        <v>79</v>
      </c>
      <c r="C8" s="4" t="n">
        <v>7</v>
      </c>
      <c r="D8" s="2" t="s">
        <v>444</v>
      </c>
      <c r="E8" s="2" t="s">
        <v>399</v>
      </c>
      <c r="F8" s="6" t="n">
        <v>6</v>
      </c>
      <c r="G8" s="9" t="n">
        <v>29.7248</v>
      </c>
      <c r="H8" s="13" t="n">
        <v>6</v>
      </c>
      <c r="I8" s="2" t="s">
        <v>439</v>
      </c>
      <c r="J8" s="3" t="n">
        <v>0</v>
      </c>
      <c r="K8" s="2" t="s">
        <v>440</v>
      </c>
      <c r="L8" s="5" t="n">
        <f aca="false">IF(COUNTIF('04_MAQUINAS'!$A$2:$A$18,E8)&gt;0,1,0)</f>
        <v>1</v>
      </c>
      <c r="M8" s="2" t="s">
        <v>82</v>
      </c>
    </row>
    <row r="9" customFormat="false" ht="15" hidden="false" customHeight="false" outlineLevel="0" collapsed="false">
      <c r="A9" s="2" t="s">
        <v>80</v>
      </c>
      <c r="B9" s="2" t="s">
        <v>79</v>
      </c>
      <c r="C9" s="4" t="n">
        <v>8</v>
      </c>
      <c r="D9" s="2" t="s">
        <v>445</v>
      </c>
      <c r="E9" s="2" t="s">
        <v>402</v>
      </c>
      <c r="F9" s="6" t="n">
        <v>12</v>
      </c>
      <c r="G9" s="9" t="n">
        <v>8.02</v>
      </c>
      <c r="H9" s="13" t="n">
        <v>7</v>
      </c>
      <c r="I9" s="2" t="s">
        <v>439</v>
      </c>
      <c r="J9" s="3" t="n">
        <v>0</v>
      </c>
      <c r="K9" s="2" t="s">
        <v>446</v>
      </c>
      <c r="L9" s="5" t="n">
        <f aca="false">IF(COUNTIF('04_MAQUINAS'!$A$2:$A$18,E9)&gt;0,1,0)</f>
        <v>1</v>
      </c>
      <c r="M9" s="2" t="s">
        <v>82</v>
      </c>
    </row>
    <row r="10" customFormat="false" ht="15" hidden="false" customHeight="false" outlineLevel="0" collapsed="false">
      <c r="A10" s="2" t="s">
        <v>80</v>
      </c>
      <c r="B10" s="2" t="s">
        <v>79</v>
      </c>
      <c r="C10" s="4" t="n">
        <v>9</v>
      </c>
      <c r="D10" s="2" t="s">
        <v>447</v>
      </c>
      <c r="E10" s="2" t="s">
        <v>421</v>
      </c>
      <c r="F10" s="6" t="n">
        <v>45</v>
      </c>
      <c r="G10" s="9" t="n">
        <v>0</v>
      </c>
      <c r="H10" s="13" t="n">
        <v>8</v>
      </c>
      <c r="I10" s="2" t="s">
        <v>448</v>
      </c>
      <c r="J10" s="3" t="n">
        <v>40</v>
      </c>
      <c r="K10" s="2" t="s">
        <v>446</v>
      </c>
      <c r="L10" s="5" t="n">
        <f aca="false">IF(COUNTIF('04_MAQUINAS'!$A$2:$A$18,E10)&gt;0,1,0)</f>
        <v>1</v>
      </c>
      <c r="M10" s="2" t="s">
        <v>82</v>
      </c>
    </row>
    <row r="11" customFormat="false" ht="15" hidden="false" customHeight="false" outlineLevel="0" collapsed="false">
      <c r="A11" s="2" t="s">
        <v>80</v>
      </c>
      <c r="B11" s="2" t="s">
        <v>79</v>
      </c>
      <c r="C11" s="4" t="n">
        <v>10</v>
      </c>
      <c r="D11" s="2" t="s">
        <v>449</v>
      </c>
      <c r="E11" s="2" t="s">
        <v>423</v>
      </c>
      <c r="F11" s="6" t="n">
        <v>8</v>
      </c>
      <c r="G11" s="9" t="n">
        <v>2.69</v>
      </c>
      <c r="H11" s="13" t="n">
        <v>9</v>
      </c>
      <c r="I11" s="2" t="s">
        <v>439</v>
      </c>
      <c r="J11" s="3" t="n">
        <v>0</v>
      </c>
      <c r="K11" s="2" t="s">
        <v>446</v>
      </c>
      <c r="L11" s="5" t="n">
        <f aca="false">IF(COUNTIF('04_MAQUINAS'!$A$2:$A$18,E11)&gt;0,1,0)</f>
        <v>1</v>
      </c>
      <c r="M11" s="2" t="s">
        <v>82</v>
      </c>
    </row>
    <row r="12" customFormat="false" ht="15" hidden="false" customHeight="false" outlineLevel="0" collapsed="false">
      <c r="A12" s="2" t="s">
        <v>80</v>
      </c>
      <c r="B12" s="2" t="s">
        <v>79</v>
      </c>
      <c r="C12" s="4" t="n">
        <v>11</v>
      </c>
      <c r="D12" s="2" t="s">
        <v>450</v>
      </c>
      <c r="E12" s="2" t="s">
        <v>406</v>
      </c>
      <c r="F12" s="6" t="n">
        <v>6</v>
      </c>
      <c r="G12" s="9" t="n">
        <v>60</v>
      </c>
      <c r="H12" s="13" t="n">
        <v>10</v>
      </c>
      <c r="I12" s="2" t="s">
        <v>439</v>
      </c>
      <c r="J12" s="3" t="n">
        <v>0</v>
      </c>
      <c r="K12" s="2" t="s">
        <v>440</v>
      </c>
      <c r="L12" s="5" t="n">
        <f aca="false">IF(COUNTIF('04_MAQUINAS'!$A$2:$A$18,E12)&gt;0,1,0)</f>
        <v>1</v>
      </c>
      <c r="M12" s="2" t="s">
        <v>82</v>
      </c>
    </row>
    <row r="13" customFormat="false" ht="15" hidden="false" customHeight="false" outlineLevel="0" collapsed="false">
      <c r="A13" s="2" t="s">
        <v>80</v>
      </c>
      <c r="B13" s="2" t="s">
        <v>79</v>
      </c>
      <c r="C13" s="4" t="n">
        <v>12</v>
      </c>
      <c r="D13" s="2" t="s">
        <v>451</v>
      </c>
      <c r="E13" s="2" t="s">
        <v>408</v>
      </c>
      <c r="F13" s="6" t="n">
        <v>2</v>
      </c>
      <c r="G13" s="9" t="n">
        <v>3.86</v>
      </c>
      <c r="H13" s="13" t="n">
        <v>11</v>
      </c>
      <c r="I13" s="2" t="s">
        <v>439</v>
      </c>
      <c r="J13" s="3" t="n">
        <v>0</v>
      </c>
      <c r="K13" s="2" t="s">
        <v>446</v>
      </c>
      <c r="L13" s="5" t="n">
        <f aca="false">IF(COUNTIF('04_MAQUINAS'!$A$2:$A$18,E13)&gt;0,1,0)</f>
        <v>1</v>
      </c>
      <c r="M13" s="2" t="s">
        <v>82</v>
      </c>
    </row>
    <row r="14" customFormat="false" ht="15" hidden="false" customHeight="false" outlineLevel="0" collapsed="false">
      <c r="A14" s="2" t="s">
        <v>80</v>
      </c>
      <c r="B14" s="2" t="s">
        <v>79</v>
      </c>
      <c r="C14" s="4" t="n">
        <v>13</v>
      </c>
      <c r="D14" s="2" t="s">
        <v>452</v>
      </c>
      <c r="E14" s="2" t="s">
        <v>411</v>
      </c>
      <c r="F14" s="6" t="n">
        <v>2</v>
      </c>
      <c r="G14" s="9" t="n">
        <v>5.3</v>
      </c>
      <c r="H14" s="13" t="n">
        <v>12</v>
      </c>
      <c r="I14" s="2" t="s">
        <v>439</v>
      </c>
      <c r="J14" s="3" t="n">
        <v>0</v>
      </c>
      <c r="K14" s="2" t="s">
        <v>446</v>
      </c>
      <c r="L14" s="5" t="n">
        <f aca="false">IF(COUNTIF('04_MAQUINAS'!$A$2:$A$18,E14)&gt;0,1,0)</f>
        <v>1</v>
      </c>
      <c r="M14" s="2" t="s">
        <v>82</v>
      </c>
    </row>
    <row r="15" customFormat="false" ht="15" hidden="false" customHeight="false" outlineLevel="0" collapsed="false">
      <c r="A15" s="2" t="s">
        <v>83</v>
      </c>
      <c r="B15" s="2" t="s">
        <v>79</v>
      </c>
      <c r="C15" s="4" t="n">
        <v>1</v>
      </c>
      <c r="D15" s="2" t="s">
        <v>437</v>
      </c>
      <c r="E15" s="2" t="s">
        <v>375</v>
      </c>
      <c r="F15" s="6" t="n">
        <v>8</v>
      </c>
      <c r="G15" s="9" t="n">
        <v>36.67</v>
      </c>
      <c r="H15" s="13" t="s">
        <v>438</v>
      </c>
      <c r="I15" s="2" t="s">
        <v>439</v>
      </c>
      <c r="J15" s="3" t="n">
        <v>0</v>
      </c>
      <c r="K15" s="2" t="s">
        <v>440</v>
      </c>
      <c r="L15" s="5" t="n">
        <f aca="false">IF(COUNTIF('04_MAQUINAS'!$A$2:$A$18,E15)&gt;0,1,0)</f>
        <v>1</v>
      </c>
      <c r="M15" s="2" t="s">
        <v>82</v>
      </c>
    </row>
    <row r="16" customFormat="false" ht="15" hidden="false" customHeight="false" outlineLevel="0" collapsed="false">
      <c r="A16" s="2" t="s">
        <v>83</v>
      </c>
      <c r="B16" s="2" t="s">
        <v>79</v>
      </c>
      <c r="C16" s="4" t="n">
        <v>2</v>
      </c>
      <c r="D16" s="2" t="s">
        <v>441</v>
      </c>
      <c r="E16" s="2" t="s">
        <v>380</v>
      </c>
      <c r="F16" s="6" t="n">
        <v>8</v>
      </c>
      <c r="G16" s="9" t="n">
        <v>52</v>
      </c>
      <c r="H16" s="13" t="n">
        <v>1</v>
      </c>
      <c r="I16" s="2" t="s">
        <v>439</v>
      </c>
      <c r="J16" s="3" t="n">
        <v>0</v>
      </c>
      <c r="K16" s="2" t="s">
        <v>440</v>
      </c>
      <c r="L16" s="5" t="n">
        <f aca="false">IF(COUNTIF('04_MAQUINAS'!$A$2:$A$18,E16)&gt;0,1,0)</f>
        <v>1</v>
      </c>
      <c r="M16" s="2" t="s">
        <v>82</v>
      </c>
    </row>
    <row r="17" customFormat="false" ht="15" hidden="false" customHeight="false" outlineLevel="0" collapsed="false">
      <c r="A17" s="2" t="s">
        <v>83</v>
      </c>
      <c r="B17" s="2" t="s">
        <v>79</v>
      </c>
      <c r="C17" s="4" t="n">
        <v>3</v>
      </c>
      <c r="D17" s="2" t="s">
        <v>386</v>
      </c>
      <c r="E17" s="2" t="s">
        <v>383</v>
      </c>
      <c r="F17" s="6" t="n">
        <v>10</v>
      </c>
      <c r="G17" s="9" t="n">
        <v>82.1</v>
      </c>
      <c r="H17" s="13" t="n">
        <v>2</v>
      </c>
      <c r="I17" s="2" t="s">
        <v>439</v>
      </c>
      <c r="J17" s="3" t="n">
        <v>0</v>
      </c>
      <c r="K17" s="2" t="s">
        <v>440</v>
      </c>
      <c r="L17" s="5" t="n">
        <f aca="false">IF(COUNTIF('04_MAQUINAS'!$A$2:$A$18,E17)&gt;0,1,0)</f>
        <v>1</v>
      </c>
      <c r="M17" s="2" t="s">
        <v>82</v>
      </c>
    </row>
    <row r="18" customFormat="false" ht="15" hidden="false" customHeight="false" outlineLevel="0" collapsed="false">
      <c r="A18" s="2" t="s">
        <v>83</v>
      </c>
      <c r="B18" s="2" t="s">
        <v>79</v>
      </c>
      <c r="C18" s="4" t="n">
        <v>4</v>
      </c>
      <c r="D18" s="2" t="s">
        <v>390</v>
      </c>
      <c r="E18" s="2" t="s">
        <v>387</v>
      </c>
      <c r="F18" s="6" t="n">
        <v>12</v>
      </c>
      <c r="G18" s="9" t="n">
        <v>69</v>
      </c>
      <c r="H18" s="13" t="n">
        <v>3</v>
      </c>
      <c r="I18" s="2" t="s">
        <v>439</v>
      </c>
      <c r="J18" s="3" t="n">
        <v>0</v>
      </c>
      <c r="K18" s="2" t="s">
        <v>440</v>
      </c>
      <c r="L18" s="5" t="n">
        <f aca="false">IF(COUNTIF('04_MAQUINAS'!$A$2:$A$18,E18)&gt;0,1,0)</f>
        <v>1</v>
      </c>
      <c r="M18" s="2" t="s">
        <v>82</v>
      </c>
    </row>
    <row r="19" customFormat="false" ht="15" hidden="false" customHeight="false" outlineLevel="0" collapsed="false">
      <c r="A19" s="2" t="s">
        <v>83</v>
      </c>
      <c r="B19" s="2" t="s">
        <v>79</v>
      </c>
      <c r="C19" s="4" t="n">
        <v>5</v>
      </c>
      <c r="D19" s="2" t="s">
        <v>442</v>
      </c>
      <c r="E19" s="2" t="s">
        <v>391</v>
      </c>
      <c r="F19" s="6" t="n">
        <v>10</v>
      </c>
      <c r="G19" s="9" t="n">
        <v>78.4</v>
      </c>
      <c r="H19" s="13" t="n">
        <v>4</v>
      </c>
      <c r="I19" s="2" t="s">
        <v>439</v>
      </c>
      <c r="J19" s="3" t="n">
        <v>0</v>
      </c>
      <c r="K19" s="2" t="s">
        <v>440</v>
      </c>
      <c r="L19" s="5" t="n">
        <f aca="false">IF(COUNTIF('04_MAQUINAS'!$A$2:$A$18,E19)&gt;0,1,0)</f>
        <v>1</v>
      </c>
      <c r="M19" s="2" t="s">
        <v>82</v>
      </c>
    </row>
    <row r="20" customFormat="false" ht="15" hidden="false" customHeight="false" outlineLevel="0" collapsed="false">
      <c r="A20" s="2" t="s">
        <v>83</v>
      </c>
      <c r="B20" s="2" t="s">
        <v>79</v>
      </c>
      <c r="C20" s="4" t="n">
        <v>6</v>
      </c>
      <c r="D20" s="2" t="s">
        <v>443</v>
      </c>
      <c r="E20" s="2" t="s">
        <v>395</v>
      </c>
      <c r="F20" s="6" t="n">
        <v>3</v>
      </c>
      <c r="G20" s="9" t="n">
        <v>49.5</v>
      </c>
      <c r="H20" s="13" t="n">
        <v>5</v>
      </c>
      <c r="I20" s="2" t="s">
        <v>439</v>
      </c>
      <c r="J20" s="3" t="n">
        <v>0</v>
      </c>
      <c r="K20" s="2" t="s">
        <v>440</v>
      </c>
      <c r="L20" s="5" t="n">
        <f aca="false">IF(COUNTIF('04_MAQUINAS'!$A$2:$A$18,E20)&gt;0,1,0)</f>
        <v>1</v>
      </c>
      <c r="M20" s="2" t="s">
        <v>82</v>
      </c>
    </row>
    <row r="21" customFormat="false" ht="15" hidden="false" customHeight="false" outlineLevel="0" collapsed="false">
      <c r="A21" s="2" t="s">
        <v>83</v>
      </c>
      <c r="B21" s="2" t="s">
        <v>79</v>
      </c>
      <c r="C21" s="4" t="n">
        <v>7</v>
      </c>
      <c r="D21" s="2" t="s">
        <v>444</v>
      </c>
      <c r="E21" s="2" t="s">
        <v>399</v>
      </c>
      <c r="F21" s="6" t="n">
        <v>6</v>
      </c>
      <c r="G21" s="9" t="n">
        <v>32.064</v>
      </c>
      <c r="H21" s="13" t="n">
        <v>6</v>
      </c>
      <c r="I21" s="2" t="s">
        <v>439</v>
      </c>
      <c r="J21" s="3" t="n">
        <v>0</v>
      </c>
      <c r="K21" s="2" t="s">
        <v>440</v>
      </c>
      <c r="L21" s="5" t="n">
        <f aca="false">IF(COUNTIF('04_MAQUINAS'!$A$2:$A$18,E21)&gt;0,1,0)</f>
        <v>1</v>
      </c>
      <c r="M21" s="2" t="s">
        <v>82</v>
      </c>
    </row>
    <row r="22" customFormat="false" ht="15" hidden="false" customHeight="false" outlineLevel="0" collapsed="false">
      <c r="A22" s="2" t="s">
        <v>83</v>
      </c>
      <c r="B22" s="2" t="s">
        <v>79</v>
      </c>
      <c r="C22" s="4" t="n">
        <v>8</v>
      </c>
      <c r="D22" s="2" t="s">
        <v>445</v>
      </c>
      <c r="E22" s="2" t="s">
        <v>402</v>
      </c>
      <c r="F22" s="6" t="n">
        <v>12</v>
      </c>
      <c r="G22" s="9" t="n">
        <v>8.02</v>
      </c>
      <c r="H22" s="13" t="n">
        <v>7</v>
      </c>
      <c r="I22" s="2" t="s">
        <v>439</v>
      </c>
      <c r="J22" s="3" t="n">
        <v>0</v>
      </c>
      <c r="K22" s="2" t="s">
        <v>446</v>
      </c>
      <c r="L22" s="5" t="n">
        <f aca="false">IF(COUNTIF('04_MAQUINAS'!$A$2:$A$18,E22)&gt;0,1,0)</f>
        <v>1</v>
      </c>
      <c r="M22" s="2" t="s">
        <v>82</v>
      </c>
    </row>
    <row r="23" customFormat="false" ht="15" hidden="false" customHeight="false" outlineLevel="0" collapsed="false">
      <c r="A23" s="2" t="s">
        <v>83</v>
      </c>
      <c r="B23" s="2" t="s">
        <v>79</v>
      </c>
      <c r="C23" s="4" t="n">
        <v>9</v>
      </c>
      <c r="D23" s="2" t="s">
        <v>447</v>
      </c>
      <c r="E23" s="2" t="s">
        <v>421</v>
      </c>
      <c r="F23" s="6" t="n">
        <v>45</v>
      </c>
      <c r="G23" s="9" t="n">
        <v>0</v>
      </c>
      <c r="H23" s="13" t="n">
        <v>8</v>
      </c>
      <c r="I23" s="2" t="s">
        <v>448</v>
      </c>
      <c r="J23" s="3" t="n">
        <v>40</v>
      </c>
      <c r="K23" s="2" t="s">
        <v>446</v>
      </c>
      <c r="L23" s="5" t="n">
        <f aca="false">IF(COUNTIF('04_MAQUINAS'!$A$2:$A$18,E23)&gt;0,1,0)</f>
        <v>1</v>
      </c>
      <c r="M23" s="2" t="s">
        <v>82</v>
      </c>
    </row>
    <row r="24" customFormat="false" ht="15" hidden="false" customHeight="false" outlineLevel="0" collapsed="false">
      <c r="A24" s="2" t="s">
        <v>83</v>
      </c>
      <c r="B24" s="2" t="s">
        <v>79</v>
      </c>
      <c r="C24" s="4" t="n">
        <v>10</v>
      </c>
      <c r="D24" s="2" t="s">
        <v>449</v>
      </c>
      <c r="E24" s="2" t="s">
        <v>423</v>
      </c>
      <c r="F24" s="6" t="n">
        <v>8</v>
      </c>
      <c r="G24" s="9" t="n">
        <v>2.69</v>
      </c>
      <c r="H24" s="13" t="n">
        <v>9</v>
      </c>
      <c r="I24" s="2" t="s">
        <v>439</v>
      </c>
      <c r="J24" s="3" t="n">
        <v>0</v>
      </c>
      <c r="K24" s="2" t="s">
        <v>446</v>
      </c>
      <c r="L24" s="5" t="n">
        <f aca="false">IF(COUNTIF('04_MAQUINAS'!$A$2:$A$18,E24)&gt;0,1,0)</f>
        <v>1</v>
      </c>
      <c r="M24" s="2" t="s">
        <v>82</v>
      </c>
    </row>
    <row r="25" customFormat="false" ht="15" hidden="false" customHeight="false" outlineLevel="0" collapsed="false">
      <c r="A25" s="2" t="s">
        <v>83</v>
      </c>
      <c r="B25" s="2" t="s">
        <v>79</v>
      </c>
      <c r="C25" s="4" t="n">
        <v>11</v>
      </c>
      <c r="D25" s="2" t="s">
        <v>450</v>
      </c>
      <c r="E25" s="2" t="s">
        <v>406</v>
      </c>
      <c r="F25" s="6" t="n">
        <v>6</v>
      </c>
      <c r="G25" s="9" t="n">
        <v>62.25</v>
      </c>
      <c r="H25" s="13" t="n">
        <v>10</v>
      </c>
      <c r="I25" s="2" t="s">
        <v>439</v>
      </c>
      <c r="J25" s="3" t="n">
        <v>0</v>
      </c>
      <c r="K25" s="2" t="s">
        <v>440</v>
      </c>
      <c r="L25" s="5" t="n">
        <f aca="false">IF(COUNTIF('04_MAQUINAS'!$A$2:$A$18,E25)&gt;0,1,0)</f>
        <v>1</v>
      </c>
      <c r="M25" s="2" t="s">
        <v>82</v>
      </c>
    </row>
    <row r="26" customFormat="false" ht="15" hidden="false" customHeight="false" outlineLevel="0" collapsed="false">
      <c r="A26" s="2" t="s">
        <v>83</v>
      </c>
      <c r="B26" s="2" t="s">
        <v>79</v>
      </c>
      <c r="C26" s="4" t="n">
        <v>12</v>
      </c>
      <c r="D26" s="2" t="s">
        <v>451</v>
      </c>
      <c r="E26" s="2" t="s">
        <v>408</v>
      </c>
      <c r="F26" s="6" t="n">
        <v>2</v>
      </c>
      <c r="G26" s="9" t="n">
        <v>3.86</v>
      </c>
      <c r="H26" s="13" t="n">
        <v>11</v>
      </c>
      <c r="I26" s="2" t="s">
        <v>439</v>
      </c>
      <c r="J26" s="3" t="n">
        <v>0</v>
      </c>
      <c r="K26" s="2" t="s">
        <v>446</v>
      </c>
      <c r="L26" s="5" t="n">
        <f aca="false">IF(COUNTIF('04_MAQUINAS'!$A$2:$A$18,E26)&gt;0,1,0)</f>
        <v>1</v>
      </c>
      <c r="M26" s="2" t="s">
        <v>82</v>
      </c>
    </row>
    <row r="27" customFormat="false" ht="15" hidden="false" customHeight="false" outlineLevel="0" collapsed="false">
      <c r="A27" s="2" t="s">
        <v>83</v>
      </c>
      <c r="B27" s="2" t="s">
        <v>79</v>
      </c>
      <c r="C27" s="4" t="n">
        <v>13</v>
      </c>
      <c r="D27" s="2" t="s">
        <v>452</v>
      </c>
      <c r="E27" s="2" t="s">
        <v>411</v>
      </c>
      <c r="F27" s="6" t="n">
        <v>2</v>
      </c>
      <c r="G27" s="9" t="n">
        <v>5.3</v>
      </c>
      <c r="H27" s="13" t="n">
        <v>12</v>
      </c>
      <c r="I27" s="2" t="s">
        <v>439</v>
      </c>
      <c r="J27" s="3" t="n">
        <v>0</v>
      </c>
      <c r="K27" s="2" t="s">
        <v>446</v>
      </c>
      <c r="L27" s="5" t="n">
        <f aca="false">IF(COUNTIF('04_MAQUINAS'!$A$2:$A$18,E27)&gt;0,1,0)</f>
        <v>1</v>
      </c>
      <c r="M27" s="2" t="s">
        <v>82</v>
      </c>
    </row>
    <row r="28" customFormat="false" ht="15" hidden="false" customHeight="false" outlineLevel="0" collapsed="false">
      <c r="A28" s="2" t="s">
        <v>94</v>
      </c>
      <c r="B28" s="2" t="s">
        <v>93</v>
      </c>
      <c r="C28" s="4" t="n">
        <v>1</v>
      </c>
      <c r="D28" s="2" t="s">
        <v>437</v>
      </c>
      <c r="E28" s="2" t="s">
        <v>375</v>
      </c>
      <c r="F28" s="6" t="n">
        <v>8</v>
      </c>
      <c r="G28" s="9" t="n">
        <v>90.38</v>
      </c>
      <c r="H28" s="13" t="s">
        <v>438</v>
      </c>
      <c r="I28" s="2" t="s">
        <v>439</v>
      </c>
      <c r="J28" s="3" t="n">
        <v>0</v>
      </c>
      <c r="K28" s="2" t="s">
        <v>440</v>
      </c>
      <c r="L28" s="5" t="n">
        <f aca="false">IF(COUNTIF('04_MAQUINAS'!$A$2:$A$18,E28)&gt;0,1,0)</f>
        <v>1</v>
      </c>
      <c r="M28" s="2" t="s">
        <v>82</v>
      </c>
    </row>
    <row r="29" customFormat="false" ht="15" hidden="false" customHeight="false" outlineLevel="0" collapsed="false">
      <c r="A29" s="2" t="s">
        <v>94</v>
      </c>
      <c r="B29" s="2" t="s">
        <v>93</v>
      </c>
      <c r="C29" s="4" t="n">
        <v>2</v>
      </c>
      <c r="D29" s="2" t="s">
        <v>441</v>
      </c>
      <c r="E29" s="2" t="s">
        <v>380</v>
      </c>
      <c r="F29" s="6" t="n">
        <v>8</v>
      </c>
      <c r="G29" s="9" t="n">
        <v>5.98</v>
      </c>
      <c r="H29" s="13" t="n">
        <v>1</v>
      </c>
      <c r="I29" s="2" t="s">
        <v>439</v>
      </c>
      <c r="J29" s="3" t="n">
        <v>0</v>
      </c>
      <c r="K29" s="2" t="s">
        <v>440</v>
      </c>
      <c r="L29" s="5" t="n">
        <f aca="false">IF(COUNTIF('04_MAQUINAS'!$A$2:$A$18,E29)&gt;0,1,0)</f>
        <v>1</v>
      </c>
      <c r="M29" s="2" t="s">
        <v>82</v>
      </c>
    </row>
    <row r="30" customFormat="false" ht="15" hidden="false" customHeight="false" outlineLevel="0" collapsed="false">
      <c r="A30" s="2" t="s">
        <v>94</v>
      </c>
      <c r="B30" s="2" t="s">
        <v>93</v>
      </c>
      <c r="C30" s="4" t="n">
        <v>3</v>
      </c>
      <c r="D30" s="2" t="s">
        <v>386</v>
      </c>
      <c r="E30" s="2" t="s">
        <v>383</v>
      </c>
      <c r="F30" s="6" t="n">
        <v>10</v>
      </c>
      <c r="G30" s="9" t="n">
        <v>97</v>
      </c>
      <c r="H30" s="13" t="n">
        <v>2</v>
      </c>
      <c r="I30" s="2" t="s">
        <v>439</v>
      </c>
      <c r="J30" s="3" t="n">
        <v>0</v>
      </c>
      <c r="K30" s="2" t="s">
        <v>440</v>
      </c>
      <c r="L30" s="5" t="n">
        <f aca="false">IF(COUNTIF('04_MAQUINAS'!$A$2:$A$18,E30)&gt;0,1,0)</f>
        <v>1</v>
      </c>
      <c r="M30" s="2" t="s">
        <v>82</v>
      </c>
    </row>
    <row r="31" customFormat="false" ht="15" hidden="false" customHeight="false" outlineLevel="0" collapsed="false">
      <c r="A31" s="2" t="s">
        <v>94</v>
      </c>
      <c r="B31" s="2" t="s">
        <v>93</v>
      </c>
      <c r="C31" s="4" t="n">
        <v>4</v>
      </c>
      <c r="D31" s="2" t="s">
        <v>390</v>
      </c>
      <c r="E31" s="2" t="s">
        <v>387</v>
      </c>
      <c r="F31" s="6" t="n">
        <v>12</v>
      </c>
      <c r="G31" s="9" t="n">
        <v>196</v>
      </c>
      <c r="H31" s="13" t="n">
        <v>3</v>
      </c>
      <c r="I31" s="2" t="s">
        <v>439</v>
      </c>
      <c r="J31" s="3" t="n">
        <v>0</v>
      </c>
      <c r="K31" s="2" t="s">
        <v>440</v>
      </c>
      <c r="L31" s="5" t="n">
        <f aca="false">IF(COUNTIF('04_MAQUINAS'!$A$2:$A$18,E31)&gt;0,1,0)</f>
        <v>1</v>
      </c>
      <c r="M31" s="2" t="s">
        <v>82</v>
      </c>
    </row>
    <row r="32" customFormat="false" ht="15" hidden="false" customHeight="false" outlineLevel="0" collapsed="false">
      <c r="A32" s="2" t="s">
        <v>94</v>
      </c>
      <c r="B32" s="2" t="s">
        <v>93</v>
      </c>
      <c r="C32" s="4" t="n">
        <v>5</v>
      </c>
      <c r="D32" s="2" t="s">
        <v>443</v>
      </c>
      <c r="E32" s="2" t="s">
        <v>395</v>
      </c>
      <c r="F32" s="6" t="n">
        <v>3</v>
      </c>
      <c r="G32" s="9" t="n">
        <v>51</v>
      </c>
      <c r="H32" s="13" t="n">
        <v>4</v>
      </c>
      <c r="I32" s="2" t="s">
        <v>439</v>
      </c>
      <c r="J32" s="3" t="n">
        <v>0</v>
      </c>
      <c r="K32" s="2" t="s">
        <v>440</v>
      </c>
      <c r="L32" s="5" t="n">
        <f aca="false">IF(COUNTIF('04_MAQUINAS'!$A$2:$A$18,E32)&gt;0,1,0)</f>
        <v>1</v>
      </c>
      <c r="M32" s="2" t="s">
        <v>82</v>
      </c>
    </row>
    <row r="33" customFormat="false" ht="15" hidden="false" customHeight="false" outlineLevel="0" collapsed="false">
      <c r="A33" s="2" t="s">
        <v>94</v>
      </c>
      <c r="B33" s="2" t="s">
        <v>93</v>
      </c>
      <c r="C33" s="4" t="n">
        <v>6</v>
      </c>
      <c r="D33" s="2" t="s">
        <v>444</v>
      </c>
      <c r="E33" s="2" t="s">
        <v>399</v>
      </c>
      <c r="F33" s="6" t="n">
        <v>6</v>
      </c>
      <c r="G33" s="9" t="n">
        <v>40.5152</v>
      </c>
      <c r="H33" s="13" t="n">
        <v>5</v>
      </c>
      <c r="I33" s="2" t="s">
        <v>439</v>
      </c>
      <c r="J33" s="3" t="n">
        <v>0</v>
      </c>
      <c r="K33" s="2" t="s">
        <v>440</v>
      </c>
      <c r="L33" s="5" t="n">
        <f aca="false">IF(COUNTIF('04_MAQUINAS'!$A$2:$A$18,E33)&gt;0,1,0)</f>
        <v>1</v>
      </c>
      <c r="M33" s="2" t="s">
        <v>82</v>
      </c>
    </row>
    <row r="34" customFormat="false" ht="15" hidden="false" customHeight="false" outlineLevel="0" collapsed="false">
      <c r="A34" s="2" t="s">
        <v>94</v>
      </c>
      <c r="B34" s="2" t="s">
        <v>93</v>
      </c>
      <c r="C34" s="4" t="n">
        <v>7</v>
      </c>
      <c r="D34" s="2" t="s">
        <v>445</v>
      </c>
      <c r="E34" s="2" t="s">
        <v>402</v>
      </c>
      <c r="F34" s="6" t="n">
        <v>12</v>
      </c>
      <c r="G34" s="9" t="n">
        <v>7.76</v>
      </c>
      <c r="H34" s="13" t="n">
        <v>6</v>
      </c>
      <c r="I34" s="2" t="s">
        <v>439</v>
      </c>
      <c r="J34" s="3" t="n">
        <v>0</v>
      </c>
      <c r="K34" s="2" t="s">
        <v>446</v>
      </c>
      <c r="L34" s="5" t="n">
        <f aca="false">IF(COUNTIF('04_MAQUINAS'!$A$2:$A$18,E34)&gt;0,1,0)</f>
        <v>1</v>
      </c>
      <c r="M34" s="2" t="s">
        <v>82</v>
      </c>
    </row>
    <row r="35" customFormat="false" ht="15" hidden="false" customHeight="false" outlineLevel="0" collapsed="false">
      <c r="A35" s="2" t="s">
        <v>94</v>
      </c>
      <c r="B35" s="2" t="s">
        <v>93</v>
      </c>
      <c r="C35" s="4" t="n">
        <v>8</v>
      </c>
      <c r="D35" s="2" t="s">
        <v>447</v>
      </c>
      <c r="E35" s="2" t="s">
        <v>421</v>
      </c>
      <c r="F35" s="6" t="n">
        <v>45</v>
      </c>
      <c r="G35" s="9" t="n">
        <v>0</v>
      </c>
      <c r="H35" s="13" t="n">
        <v>7</v>
      </c>
      <c r="I35" s="2" t="s">
        <v>448</v>
      </c>
      <c r="J35" s="3" t="n">
        <v>40</v>
      </c>
      <c r="K35" s="2" t="s">
        <v>446</v>
      </c>
      <c r="L35" s="5" t="n">
        <f aca="false">IF(COUNTIF('04_MAQUINAS'!$A$2:$A$18,E35)&gt;0,1,0)</f>
        <v>1</v>
      </c>
      <c r="M35" s="2" t="s">
        <v>82</v>
      </c>
    </row>
    <row r="36" customFormat="false" ht="15" hidden="false" customHeight="false" outlineLevel="0" collapsed="false">
      <c r="A36" s="2" t="s">
        <v>94</v>
      </c>
      <c r="B36" s="2" t="s">
        <v>93</v>
      </c>
      <c r="C36" s="4" t="n">
        <v>9</v>
      </c>
      <c r="D36" s="2" t="s">
        <v>449</v>
      </c>
      <c r="E36" s="2" t="s">
        <v>423</v>
      </c>
      <c r="F36" s="6" t="n">
        <v>8</v>
      </c>
      <c r="G36" s="9" t="n">
        <v>2.63</v>
      </c>
      <c r="H36" s="13" t="n">
        <v>8</v>
      </c>
      <c r="I36" s="2" t="s">
        <v>439</v>
      </c>
      <c r="J36" s="3" t="n">
        <v>0</v>
      </c>
      <c r="K36" s="2" t="s">
        <v>446</v>
      </c>
      <c r="L36" s="5" t="n">
        <f aca="false">IF(COUNTIF('04_MAQUINAS'!$A$2:$A$18,E36)&gt;0,1,0)</f>
        <v>1</v>
      </c>
      <c r="M36" s="2" t="s">
        <v>82</v>
      </c>
    </row>
    <row r="37" customFormat="false" ht="15" hidden="false" customHeight="false" outlineLevel="0" collapsed="false">
      <c r="A37" s="2" t="s">
        <v>94</v>
      </c>
      <c r="B37" s="2" t="s">
        <v>93</v>
      </c>
      <c r="C37" s="4" t="n">
        <v>10</v>
      </c>
      <c r="D37" s="2" t="s">
        <v>450</v>
      </c>
      <c r="E37" s="2" t="s">
        <v>406</v>
      </c>
      <c r="F37" s="6" t="n">
        <v>6</v>
      </c>
      <c r="G37" s="9" t="n">
        <v>69</v>
      </c>
      <c r="H37" s="13" t="n">
        <v>9</v>
      </c>
      <c r="I37" s="2" t="s">
        <v>439</v>
      </c>
      <c r="J37" s="3" t="n">
        <v>0</v>
      </c>
      <c r="K37" s="2" t="s">
        <v>440</v>
      </c>
      <c r="L37" s="5" t="n">
        <f aca="false">IF(COUNTIF('04_MAQUINAS'!$A$2:$A$18,E37)&gt;0,1,0)</f>
        <v>1</v>
      </c>
      <c r="M37" s="2" t="s">
        <v>82</v>
      </c>
    </row>
    <row r="38" customFormat="false" ht="15" hidden="false" customHeight="false" outlineLevel="0" collapsed="false">
      <c r="A38" s="2" t="s">
        <v>94</v>
      </c>
      <c r="B38" s="2" t="s">
        <v>93</v>
      </c>
      <c r="C38" s="4" t="n">
        <v>11</v>
      </c>
      <c r="D38" s="2" t="s">
        <v>451</v>
      </c>
      <c r="E38" s="2" t="s">
        <v>408</v>
      </c>
      <c r="F38" s="6" t="n">
        <v>2</v>
      </c>
      <c r="G38" s="9" t="n">
        <v>3.79</v>
      </c>
      <c r="H38" s="13" t="n">
        <v>10</v>
      </c>
      <c r="I38" s="2" t="s">
        <v>439</v>
      </c>
      <c r="J38" s="3" t="n">
        <v>0</v>
      </c>
      <c r="K38" s="2" t="s">
        <v>446</v>
      </c>
      <c r="L38" s="5" t="n">
        <f aca="false">IF(COUNTIF('04_MAQUINAS'!$A$2:$A$18,E38)&gt;0,1,0)</f>
        <v>1</v>
      </c>
      <c r="M38" s="2" t="s">
        <v>82</v>
      </c>
    </row>
    <row r="39" customFormat="false" ht="15" hidden="false" customHeight="false" outlineLevel="0" collapsed="false">
      <c r="A39" s="2" t="s">
        <v>94</v>
      </c>
      <c r="B39" s="2" t="s">
        <v>93</v>
      </c>
      <c r="C39" s="4" t="n">
        <v>12</v>
      </c>
      <c r="D39" s="2" t="s">
        <v>452</v>
      </c>
      <c r="E39" s="2" t="s">
        <v>411</v>
      </c>
      <c r="F39" s="6" t="n">
        <v>2</v>
      </c>
      <c r="G39" s="9" t="n">
        <v>5.18</v>
      </c>
      <c r="H39" s="13" t="n">
        <v>11</v>
      </c>
      <c r="I39" s="2" t="s">
        <v>439</v>
      </c>
      <c r="J39" s="3" t="n">
        <v>0</v>
      </c>
      <c r="K39" s="2" t="s">
        <v>446</v>
      </c>
      <c r="L39" s="5" t="n">
        <f aca="false">IF(COUNTIF('04_MAQUINAS'!$A$2:$A$18,E39)&gt;0,1,0)</f>
        <v>1</v>
      </c>
      <c r="M39" s="2" t="s">
        <v>82</v>
      </c>
    </row>
    <row r="40" customFormat="false" ht="15" hidden="false" customHeight="false" outlineLevel="0" collapsed="false">
      <c r="A40" s="2" t="s">
        <v>96</v>
      </c>
      <c r="B40" s="2" t="s">
        <v>93</v>
      </c>
      <c r="C40" s="4" t="n">
        <v>1</v>
      </c>
      <c r="D40" s="2" t="s">
        <v>437</v>
      </c>
      <c r="E40" s="2" t="s">
        <v>375</v>
      </c>
      <c r="F40" s="6" t="n">
        <v>8</v>
      </c>
      <c r="G40" s="9" t="n">
        <v>56.975</v>
      </c>
      <c r="H40" s="13" t="s">
        <v>438</v>
      </c>
      <c r="I40" s="2" t="s">
        <v>439</v>
      </c>
      <c r="J40" s="3" t="n">
        <v>0</v>
      </c>
      <c r="K40" s="2" t="s">
        <v>440</v>
      </c>
      <c r="L40" s="5" t="n">
        <f aca="false">IF(COUNTIF('04_MAQUINAS'!$A$2:$A$18,E40)&gt;0,1,0)</f>
        <v>1</v>
      </c>
      <c r="M40" s="2" t="s">
        <v>82</v>
      </c>
    </row>
    <row r="41" customFormat="false" ht="15" hidden="false" customHeight="false" outlineLevel="0" collapsed="false">
      <c r="A41" s="2" t="s">
        <v>96</v>
      </c>
      <c r="B41" s="2" t="s">
        <v>93</v>
      </c>
      <c r="C41" s="4" t="n">
        <v>2</v>
      </c>
      <c r="D41" s="2" t="s">
        <v>441</v>
      </c>
      <c r="E41" s="2" t="s">
        <v>380</v>
      </c>
      <c r="F41" s="6" t="n">
        <v>8</v>
      </c>
      <c r="G41" s="9" t="n">
        <v>6.28</v>
      </c>
      <c r="H41" s="13" t="n">
        <v>1</v>
      </c>
      <c r="I41" s="2" t="s">
        <v>439</v>
      </c>
      <c r="J41" s="3" t="n">
        <v>0</v>
      </c>
      <c r="K41" s="2" t="s">
        <v>440</v>
      </c>
      <c r="L41" s="5" t="n">
        <f aca="false">IF(COUNTIF('04_MAQUINAS'!$A$2:$A$18,E41)&gt;0,1,0)</f>
        <v>1</v>
      </c>
      <c r="M41" s="2" t="s">
        <v>82</v>
      </c>
    </row>
    <row r="42" customFormat="false" ht="15" hidden="false" customHeight="false" outlineLevel="0" collapsed="false">
      <c r="A42" s="2" t="s">
        <v>96</v>
      </c>
      <c r="B42" s="2" t="s">
        <v>93</v>
      </c>
      <c r="C42" s="4" t="n">
        <v>3</v>
      </c>
      <c r="D42" s="2" t="s">
        <v>386</v>
      </c>
      <c r="E42" s="2" t="s">
        <v>383</v>
      </c>
      <c r="F42" s="6" t="n">
        <v>10</v>
      </c>
      <c r="G42" s="9" t="n">
        <v>67</v>
      </c>
      <c r="H42" s="13" t="n">
        <v>2</v>
      </c>
      <c r="I42" s="2" t="s">
        <v>439</v>
      </c>
      <c r="J42" s="3" t="n">
        <v>0</v>
      </c>
      <c r="K42" s="2" t="s">
        <v>440</v>
      </c>
      <c r="L42" s="5" t="n">
        <f aca="false">IF(COUNTIF('04_MAQUINAS'!$A$2:$A$18,E42)&gt;0,1,0)</f>
        <v>1</v>
      </c>
      <c r="M42" s="2" t="s">
        <v>82</v>
      </c>
    </row>
    <row r="43" customFormat="false" ht="15" hidden="false" customHeight="false" outlineLevel="0" collapsed="false">
      <c r="A43" s="2" t="s">
        <v>96</v>
      </c>
      <c r="B43" s="2" t="s">
        <v>93</v>
      </c>
      <c r="C43" s="4" t="n">
        <v>4</v>
      </c>
      <c r="D43" s="2" t="s">
        <v>390</v>
      </c>
      <c r="E43" s="2" t="s">
        <v>387</v>
      </c>
      <c r="F43" s="6" t="n">
        <v>12</v>
      </c>
      <c r="G43" s="9" t="n">
        <v>124</v>
      </c>
      <c r="H43" s="13" t="n">
        <v>3</v>
      </c>
      <c r="I43" s="2" t="s">
        <v>439</v>
      </c>
      <c r="J43" s="3" t="n">
        <v>0</v>
      </c>
      <c r="K43" s="2" t="s">
        <v>440</v>
      </c>
      <c r="L43" s="5" t="n">
        <f aca="false">IF(COUNTIF('04_MAQUINAS'!$A$2:$A$18,E43)&gt;0,1,0)</f>
        <v>1</v>
      </c>
      <c r="M43" s="2" t="s">
        <v>82</v>
      </c>
    </row>
    <row r="44" customFormat="false" ht="15" hidden="false" customHeight="false" outlineLevel="0" collapsed="false">
      <c r="A44" s="2" t="s">
        <v>96</v>
      </c>
      <c r="B44" s="2" t="s">
        <v>93</v>
      </c>
      <c r="C44" s="4" t="n">
        <v>5</v>
      </c>
      <c r="D44" s="2" t="s">
        <v>442</v>
      </c>
      <c r="E44" s="2" t="s">
        <v>391</v>
      </c>
      <c r="F44" s="6" t="n">
        <v>10</v>
      </c>
      <c r="G44" s="9" t="n">
        <v>5.6</v>
      </c>
      <c r="H44" s="13" t="n">
        <v>4</v>
      </c>
      <c r="I44" s="2" t="s">
        <v>439</v>
      </c>
      <c r="J44" s="3" t="n">
        <v>0</v>
      </c>
      <c r="K44" s="2" t="s">
        <v>440</v>
      </c>
      <c r="L44" s="5" t="n">
        <f aca="false">IF(COUNTIF('04_MAQUINAS'!$A$2:$A$18,E44)&gt;0,1,0)</f>
        <v>1</v>
      </c>
      <c r="M44" s="2" t="s">
        <v>82</v>
      </c>
    </row>
    <row r="45" customFormat="false" ht="15" hidden="false" customHeight="false" outlineLevel="0" collapsed="false">
      <c r="A45" s="2" t="s">
        <v>96</v>
      </c>
      <c r="B45" s="2" t="s">
        <v>93</v>
      </c>
      <c r="C45" s="4" t="n">
        <v>6</v>
      </c>
      <c r="D45" s="2" t="s">
        <v>443</v>
      </c>
      <c r="E45" s="2" t="s">
        <v>395</v>
      </c>
      <c r="F45" s="6" t="n">
        <v>3</v>
      </c>
      <c r="G45" s="9" t="n">
        <v>33</v>
      </c>
      <c r="H45" s="13" t="n">
        <v>5</v>
      </c>
      <c r="I45" s="2" t="s">
        <v>439</v>
      </c>
      <c r="J45" s="3" t="n">
        <v>0</v>
      </c>
      <c r="K45" s="2" t="s">
        <v>440</v>
      </c>
      <c r="L45" s="5" t="n">
        <f aca="false">IF(COUNTIF('04_MAQUINAS'!$A$2:$A$18,E45)&gt;0,1,0)</f>
        <v>1</v>
      </c>
      <c r="M45" s="2" t="s">
        <v>82</v>
      </c>
    </row>
    <row r="46" customFormat="false" ht="15" hidden="false" customHeight="false" outlineLevel="0" collapsed="false">
      <c r="A46" s="2" t="s">
        <v>96</v>
      </c>
      <c r="B46" s="2" t="s">
        <v>93</v>
      </c>
      <c r="C46" s="4" t="n">
        <v>7</v>
      </c>
      <c r="D46" s="2" t="s">
        <v>444</v>
      </c>
      <c r="E46" s="2" t="s">
        <v>399</v>
      </c>
      <c r="F46" s="6" t="n">
        <v>6</v>
      </c>
      <c r="G46" s="9" t="n">
        <v>27.0712</v>
      </c>
      <c r="H46" s="13" t="n">
        <v>6</v>
      </c>
      <c r="I46" s="2" t="s">
        <v>439</v>
      </c>
      <c r="J46" s="3" t="n">
        <v>0</v>
      </c>
      <c r="K46" s="2" t="s">
        <v>440</v>
      </c>
      <c r="L46" s="5" t="n">
        <f aca="false">IF(COUNTIF('04_MAQUINAS'!$A$2:$A$18,E46)&gt;0,1,0)</f>
        <v>1</v>
      </c>
      <c r="M46" s="2" t="s">
        <v>82</v>
      </c>
    </row>
    <row r="47" customFormat="false" ht="15" hidden="false" customHeight="false" outlineLevel="0" collapsed="false">
      <c r="A47" s="2" t="s">
        <v>96</v>
      </c>
      <c r="B47" s="2" t="s">
        <v>93</v>
      </c>
      <c r="C47" s="4" t="n">
        <v>8</v>
      </c>
      <c r="D47" s="2" t="s">
        <v>445</v>
      </c>
      <c r="E47" s="2" t="s">
        <v>402</v>
      </c>
      <c r="F47" s="6" t="n">
        <v>12</v>
      </c>
      <c r="G47" s="9" t="n">
        <v>7.34</v>
      </c>
      <c r="H47" s="13" t="n">
        <v>7</v>
      </c>
      <c r="I47" s="2" t="s">
        <v>439</v>
      </c>
      <c r="J47" s="3" t="n">
        <v>0</v>
      </c>
      <c r="K47" s="2" t="s">
        <v>446</v>
      </c>
      <c r="L47" s="5" t="n">
        <f aca="false">IF(COUNTIF('04_MAQUINAS'!$A$2:$A$18,E47)&gt;0,1,0)</f>
        <v>1</v>
      </c>
      <c r="M47" s="2" t="s">
        <v>82</v>
      </c>
    </row>
    <row r="48" customFormat="false" ht="15" hidden="false" customHeight="false" outlineLevel="0" collapsed="false">
      <c r="A48" s="2" t="s">
        <v>96</v>
      </c>
      <c r="B48" s="2" t="s">
        <v>93</v>
      </c>
      <c r="C48" s="4" t="n">
        <v>9</v>
      </c>
      <c r="D48" s="2" t="s">
        <v>447</v>
      </c>
      <c r="E48" s="2" t="s">
        <v>421</v>
      </c>
      <c r="F48" s="6" t="n">
        <v>45</v>
      </c>
      <c r="G48" s="9" t="n">
        <v>0</v>
      </c>
      <c r="H48" s="13" t="n">
        <v>8</v>
      </c>
      <c r="I48" s="2" t="s">
        <v>448</v>
      </c>
      <c r="J48" s="3" t="n">
        <v>40</v>
      </c>
      <c r="K48" s="2" t="s">
        <v>446</v>
      </c>
      <c r="L48" s="5" t="n">
        <f aca="false">IF(COUNTIF('04_MAQUINAS'!$A$2:$A$18,E48)&gt;0,1,0)</f>
        <v>1</v>
      </c>
      <c r="M48" s="2" t="s">
        <v>82</v>
      </c>
    </row>
    <row r="49" customFormat="false" ht="15" hidden="false" customHeight="false" outlineLevel="0" collapsed="false">
      <c r="A49" s="2" t="s">
        <v>96</v>
      </c>
      <c r="B49" s="2" t="s">
        <v>93</v>
      </c>
      <c r="C49" s="4" t="n">
        <v>10</v>
      </c>
      <c r="D49" s="2" t="s">
        <v>449</v>
      </c>
      <c r="E49" s="2" t="s">
        <v>423</v>
      </c>
      <c r="F49" s="6" t="n">
        <v>8</v>
      </c>
      <c r="G49" s="9" t="n">
        <v>2.54</v>
      </c>
      <c r="H49" s="13" t="n">
        <v>9</v>
      </c>
      <c r="I49" s="2" t="s">
        <v>439</v>
      </c>
      <c r="J49" s="3" t="n">
        <v>0</v>
      </c>
      <c r="K49" s="2" t="s">
        <v>446</v>
      </c>
      <c r="L49" s="5" t="n">
        <f aca="false">IF(COUNTIF('04_MAQUINAS'!$A$2:$A$18,E49)&gt;0,1,0)</f>
        <v>1</v>
      </c>
      <c r="M49" s="2" t="s">
        <v>82</v>
      </c>
    </row>
    <row r="50" customFormat="false" ht="15" hidden="false" customHeight="false" outlineLevel="0" collapsed="false">
      <c r="A50" s="2" t="s">
        <v>96</v>
      </c>
      <c r="B50" s="2" t="s">
        <v>93</v>
      </c>
      <c r="C50" s="4" t="n">
        <v>11</v>
      </c>
      <c r="D50" s="2" t="s">
        <v>450</v>
      </c>
      <c r="E50" s="2" t="s">
        <v>406</v>
      </c>
      <c r="F50" s="6" t="n">
        <v>6</v>
      </c>
      <c r="G50" s="9" t="n">
        <v>48.75</v>
      </c>
      <c r="H50" s="13" t="n">
        <v>10</v>
      </c>
      <c r="I50" s="2" t="s">
        <v>439</v>
      </c>
      <c r="J50" s="3" t="n">
        <v>0</v>
      </c>
      <c r="K50" s="2" t="s">
        <v>440</v>
      </c>
      <c r="L50" s="5" t="n">
        <f aca="false">IF(COUNTIF('04_MAQUINAS'!$A$2:$A$18,E50)&gt;0,1,0)</f>
        <v>1</v>
      </c>
      <c r="M50" s="2" t="s">
        <v>82</v>
      </c>
    </row>
    <row r="51" customFormat="false" ht="15" hidden="false" customHeight="false" outlineLevel="0" collapsed="false">
      <c r="A51" s="2" t="s">
        <v>96</v>
      </c>
      <c r="B51" s="2" t="s">
        <v>93</v>
      </c>
      <c r="C51" s="4" t="n">
        <v>12</v>
      </c>
      <c r="D51" s="2" t="s">
        <v>451</v>
      </c>
      <c r="E51" s="2" t="s">
        <v>408</v>
      </c>
      <c r="F51" s="6" t="n">
        <v>2</v>
      </c>
      <c r="G51" s="9" t="n">
        <v>3.67</v>
      </c>
      <c r="H51" s="13" t="n">
        <v>11</v>
      </c>
      <c r="I51" s="2" t="s">
        <v>439</v>
      </c>
      <c r="J51" s="3" t="n">
        <v>0</v>
      </c>
      <c r="K51" s="2" t="s">
        <v>446</v>
      </c>
      <c r="L51" s="5" t="n">
        <f aca="false">IF(COUNTIF('04_MAQUINAS'!$A$2:$A$18,E51)&gt;0,1,0)</f>
        <v>1</v>
      </c>
      <c r="M51" s="2" t="s">
        <v>82</v>
      </c>
    </row>
    <row r="52" customFormat="false" ht="15" hidden="false" customHeight="false" outlineLevel="0" collapsed="false">
      <c r="A52" s="2" t="s">
        <v>96</v>
      </c>
      <c r="B52" s="2" t="s">
        <v>93</v>
      </c>
      <c r="C52" s="4" t="n">
        <v>13</v>
      </c>
      <c r="D52" s="2" t="s">
        <v>452</v>
      </c>
      <c r="E52" s="2" t="s">
        <v>411</v>
      </c>
      <c r="F52" s="6" t="n">
        <v>2</v>
      </c>
      <c r="G52" s="9" t="n">
        <v>5</v>
      </c>
      <c r="H52" s="13" t="n">
        <v>12</v>
      </c>
      <c r="I52" s="2" t="s">
        <v>439</v>
      </c>
      <c r="J52" s="3" t="n">
        <v>0</v>
      </c>
      <c r="K52" s="2" t="s">
        <v>446</v>
      </c>
      <c r="L52" s="5" t="n">
        <f aca="false">IF(COUNTIF('04_MAQUINAS'!$A$2:$A$18,E52)&gt;0,1,0)</f>
        <v>1</v>
      </c>
      <c r="M52" s="2" t="s">
        <v>82</v>
      </c>
    </row>
    <row r="53" customFormat="false" ht="15" hidden="false" customHeight="false" outlineLevel="0" collapsed="false">
      <c r="A53" s="2" t="s">
        <v>106</v>
      </c>
      <c r="B53" s="2" t="s">
        <v>105</v>
      </c>
      <c r="C53" s="4" t="n">
        <v>1</v>
      </c>
      <c r="D53" s="2" t="s">
        <v>437</v>
      </c>
      <c r="E53" s="2" t="s">
        <v>375</v>
      </c>
      <c r="F53" s="6" t="n">
        <v>8</v>
      </c>
      <c r="G53" s="9" t="n">
        <v>40.245</v>
      </c>
      <c r="H53" s="13" t="s">
        <v>438</v>
      </c>
      <c r="I53" s="2" t="s">
        <v>439</v>
      </c>
      <c r="J53" s="3" t="n">
        <v>0</v>
      </c>
      <c r="K53" s="2" t="s">
        <v>440</v>
      </c>
      <c r="L53" s="5" t="n">
        <f aca="false">IF(COUNTIF('04_MAQUINAS'!$A$2:$A$18,E53)&gt;0,1,0)</f>
        <v>1</v>
      </c>
      <c r="M53" s="2" t="s">
        <v>82</v>
      </c>
    </row>
    <row r="54" customFormat="false" ht="15" hidden="false" customHeight="false" outlineLevel="0" collapsed="false">
      <c r="A54" s="2" t="s">
        <v>106</v>
      </c>
      <c r="B54" s="2" t="s">
        <v>105</v>
      </c>
      <c r="C54" s="4" t="n">
        <v>2</v>
      </c>
      <c r="D54" s="2" t="s">
        <v>386</v>
      </c>
      <c r="E54" s="2" t="s">
        <v>383</v>
      </c>
      <c r="F54" s="6" t="n">
        <v>10</v>
      </c>
      <c r="G54" s="9" t="n">
        <v>14.8</v>
      </c>
      <c r="H54" s="13" t="n">
        <v>1</v>
      </c>
      <c r="I54" s="2" t="s">
        <v>439</v>
      </c>
      <c r="J54" s="3" t="n">
        <v>0</v>
      </c>
      <c r="K54" s="2" t="s">
        <v>440</v>
      </c>
      <c r="L54" s="5" t="n">
        <f aca="false">IF(COUNTIF('04_MAQUINAS'!$A$2:$A$18,E54)&gt;0,1,0)</f>
        <v>1</v>
      </c>
      <c r="M54" s="2" t="s">
        <v>82</v>
      </c>
    </row>
    <row r="55" customFormat="false" ht="15" hidden="false" customHeight="false" outlineLevel="0" collapsed="false">
      <c r="A55" s="2" t="s">
        <v>106</v>
      </c>
      <c r="B55" s="2" t="s">
        <v>105</v>
      </c>
      <c r="C55" s="4" t="n">
        <v>3</v>
      </c>
      <c r="D55" s="2" t="s">
        <v>390</v>
      </c>
      <c r="E55" s="2" t="s">
        <v>387</v>
      </c>
      <c r="F55" s="6" t="n">
        <v>12</v>
      </c>
      <c r="G55" s="9" t="n">
        <v>104</v>
      </c>
      <c r="H55" s="13" t="n">
        <v>2</v>
      </c>
      <c r="I55" s="2" t="s">
        <v>439</v>
      </c>
      <c r="J55" s="3" t="n">
        <v>0</v>
      </c>
      <c r="K55" s="2" t="s">
        <v>440</v>
      </c>
      <c r="L55" s="5" t="n">
        <f aca="false">IF(COUNTIF('04_MAQUINAS'!$A$2:$A$18,E55)&gt;0,1,0)</f>
        <v>1</v>
      </c>
      <c r="M55" s="2" t="s">
        <v>82</v>
      </c>
    </row>
    <row r="56" customFormat="false" ht="15" hidden="false" customHeight="false" outlineLevel="0" collapsed="false">
      <c r="A56" s="2" t="s">
        <v>106</v>
      </c>
      <c r="B56" s="2" t="s">
        <v>105</v>
      </c>
      <c r="C56" s="4" t="n">
        <v>4</v>
      </c>
      <c r="D56" s="2" t="s">
        <v>443</v>
      </c>
      <c r="E56" s="2" t="s">
        <v>395</v>
      </c>
      <c r="F56" s="6" t="n">
        <v>3</v>
      </c>
      <c r="G56" s="9" t="n">
        <v>18</v>
      </c>
      <c r="H56" s="13" t="n">
        <v>3</v>
      </c>
      <c r="I56" s="2" t="s">
        <v>439</v>
      </c>
      <c r="J56" s="3" t="n">
        <v>0</v>
      </c>
      <c r="K56" s="2" t="s">
        <v>440</v>
      </c>
      <c r="L56" s="5" t="n">
        <f aca="false">IF(COUNTIF('04_MAQUINAS'!$A$2:$A$18,E56)&gt;0,1,0)</f>
        <v>1</v>
      </c>
      <c r="M56" s="2" t="s">
        <v>82</v>
      </c>
    </row>
    <row r="57" customFormat="false" ht="15" hidden="false" customHeight="false" outlineLevel="0" collapsed="false">
      <c r="A57" s="2" t="s">
        <v>106</v>
      </c>
      <c r="B57" s="2" t="s">
        <v>105</v>
      </c>
      <c r="C57" s="4" t="n">
        <v>5</v>
      </c>
      <c r="D57" s="2" t="s">
        <v>444</v>
      </c>
      <c r="E57" s="2" t="s">
        <v>399</v>
      </c>
      <c r="F57" s="6" t="n">
        <v>6</v>
      </c>
      <c r="G57" s="9" t="n">
        <v>26.324</v>
      </c>
      <c r="H57" s="13" t="n">
        <v>4</v>
      </c>
      <c r="I57" s="2" t="s">
        <v>439</v>
      </c>
      <c r="J57" s="3" t="n">
        <v>0</v>
      </c>
      <c r="K57" s="2" t="s">
        <v>440</v>
      </c>
      <c r="L57" s="5" t="n">
        <f aca="false">IF(COUNTIF('04_MAQUINAS'!$A$2:$A$18,E57)&gt;0,1,0)</f>
        <v>1</v>
      </c>
      <c r="M57" s="2" t="s">
        <v>82</v>
      </c>
    </row>
    <row r="58" customFormat="false" ht="15" hidden="false" customHeight="false" outlineLevel="0" collapsed="false">
      <c r="A58" s="2" t="s">
        <v>106</v>
      </c>
      <c r="B58" s="2" t="s">
        <v>105</v>
      </c>
      <c r="C58" s="4" t="n">
        <v>6</v>
      </c>
      <c r="D58" s="2" t="s">
        <v>445</v>
      </c>
      <c r="E58" s="2" t="s">
        <v>402</v>
      </c>
      <c r="F58" s="6" t="n">
        <v>12</v>
      </c>
      <c r="G58" s="9" t="n">
        <v>6.83</v>
      </c>
      <c r="H58" s="13" t="n">
        <v>5</v>
      </c>
      <c r="I58" s="2" t="s">
        <v>439</v>
      </c>
      <c r="J58" s="3" t="n">
        <v>0</v>
      </c>
      <c r="K58" s="2" t="s">
        <v>446</v>
      </c>
      <c r="L58" s="5" t="n">
        <f aca="false">IF(COUNTIF('04_MAQUINAS'!$A$2:$A$18,E58)&gt;0,1,0)</f>
        <v>1</v>
      </c>
      <c r="M58" s="2" t="s">
        <v>82</v>
      </c>
    </row>
    <row r="59" customFormat="false" ht="15" hidden="false" customHeight="false" outlineLevel="0" collapsed="false">
      <c r="A59" s="2" t="s">
        <v>106</v>
      </c>
      <c r="B59" s="2" t="s">
        <v>105</v>
      </c>
      <c r="C59" s="4" t="n">
        <v>7</v>
      </c>
      <c r="D59" s="2" t="s">
        <v>447</v>
      </c>
      <c r="E59" s="2" t="s">
        <v>421</v>
      </c>
      <c r="F59" s="6" t="n">
        <v>45</v>
      </c>
      <c r="G59" s="9" t="n">
        <v>0</v>
      </c>
      <c r="H59" s="13" t="n">
        <v>6</v>
      </c>
      <c r="I59" s="2" t="s">
        <v>448</v>
      </c>
      <c r="J59" s="3" t="n">
        <v>40</v>
      </c>
      <c r="K59" s="2" t="s">
        <v>446</v>
      </c>
      <c r="L59" s="5" t="n">
        <f aca="false">IF(COUNTIF('04_MAQUINAS'!$A$2:$A$18,E59)&gt;0,1,0)</f>
        <v>1</v>
      </c>
      <c r="M59" s="2" t="s">
        <v>82</v>
      </c>
    </row>
    <row r="60" customFormat="false" ht="15" hidden="false" customHeight="false" outlineLevel="0" collapsed="false">
      <c r="A60" s="2" t="s">
        <v>106</v>
      </c>
      <c r="B60" s="2" t="s">
        <v>105</v>
      </c>
      <c r="C60" s="4" t="n">
        <v>8</v>
      </c>
      <c r="D60" s="2" t="s">
        <v>449</v>
      </c>
      <c r="E60" s="2" t="s">
        <v>423</v>
      </c>
      <c r="F60" s="6" t="n">
        <v>8</v>
      </c>
      <c r="G60" s="9" t="n">
        <v>2.42</v>
      </c>
      <c r="H60" s="13" t="n">
        <v>7</v>
      </c>
      <c r="I60" s="2" t="s">
        <v>439</v>
      </c>
      <c r="J60" s="3" t="n">
        <v>0</v>
      </c>
      <c r="K60" s="2" t="s">
        <v>446</v>
      </c>
      <c r="L60" s="5" t="n">
        <f aca="false">IF(COUNTIF('04_MAQUINAS'!$A$2:$A$18,E60)&gt;0,1,0)</f>
        <v>1</v>
      </c>
      <c r="M60" s="2" t="s">
        <v>82</v>
      </c>
    </row>
    <row r="61" customFormat="false" ht="15" hidden="false" customHeight="false" outlineLevel="0" collapsed="false">
      <c r="A61" s="2" t="s">
        <v>106</v>
      </c>
      <c r="B61" s="2" t="s">
        <v>105</v>
      </c>
      <c r="C61" s="4" t="n">
        <v>9</v>
      </c>
      <c r="D61" s="2" t="s">
        <v>450</v>
      </c>
      <c r="E61" s="2" t="s">
        <v>406</v>
      </c>
      <c r="F61" s="6" t="n">
        <v>6</v>
      </c>
      <c r="G61" s="9" t="n">
        <v>42</v>
      </c>
      <c r="H61" s="13" t="n">
        <v>8</v>
      </c>
      <c r="I61" s="2" t="s">
        <v>439</v>
      </c>
      <c r="J61" s="3" t="n">
        <v>0</v>
      </c>
      <c r="K61" s="2" t="s">
        <v>440</v>
      </c>
      <c r="L61" s="5" t="n">
        <f aca="false">IF(COUNTIF('04_MAQUINAS'!$A$2:$A$18,E61)&gt;0,1,0)</f>
        <v>1</v>
      </c>
      <c r="M61" s="2" t="s">
        <v>82</v>
      </c>
    </row>
    <row r="62" customFormat="false" ht="15" hidden="false" customHeight="false" outlineLevel="0" collapsed="false">
      <c r="A62" s="2" t="s">
        <v>106</v>
      </c>
      <c r="B62" s="2" t="s">
        <v>105</v>
      </c>
      <c r="C62" s="4" t="n">
        <v>10</v>
      </c>
      <c r="D62" s="2" t="s">
        <v>451</v>
      </c>
      <c r="E62" s="2" t="s">
        <v>408</v>
      </c>
      <c r="F62" s="6" t="n">
        <v>2</v>
      </c>
      <c r="G62" s="9" t="n">
        <v>3.52</v>
      </c>
      <c r="H62" s="13" t="n">
        <v>9</v>
      </c>
      <c r="I62" s="2" t="s">
        <v>439</v>
      </c>
      <c r="J62" s="3" t="n">
        <v>0</v>
      </c>
      <c r="K62" s="2" t="s">
        <v>446</v>
      </c>
      <c r="L62" s="5" t="n">
        <f aca="false">IF(COUNTIF('04_MAQUINAS'!$A$2:$A$18,E62)&gt;0,1,0)</f>
        <v>1</v>
      </c>
      <c r="M62" s="2" t="s">
        <v>82</v>
      </c>
    </row>
    <row r="63" customFormat="false" ht="15" hidden="false" customHeight="false" outlineLevel="0" collapsed="false">
      <c r="A63" s="2" t="s">
        <v>106</v>
      </c>
      <c r="B63" s="2" t="s">
        <v>105</v>
      </c>
      <c r="C63" s="4" t="n">
        <v>11</v>
      </c>
      <c r="D63" s="2" t="s">
        <v>452</v>
      </c>
      <c r="E63" s="2" t="s">
        <v>411</v>
      </c>
      <c r="F63" s="6" t="n">
        <v>2</v>
      </c>
      <c r="G63" s="9" t="n">
        <v>4.78</v>
      </c>
      <c r="H63" s="13" t="n">
        <v>10</v>
      </c>
      <c r="I63" s="2" t="s">
        <v>439</v>
      </c>
      <c r="J63" s="3" t="n">
        <v>0</v>
      </c>
      <c r="K63" s="2" t="s">
        <v>446</v>
      </c>
      <c r="L63" s="5" t="n">
        <f aca="false">IF(COUNTIF('04_MAQUINAS'!$A$2:$A$18,E63)&gt;0,1,0)</f>
        <v>1</v>
      </c>
      <c r="M63" s="2" t="s">
        <v>82</v>
      </c>
    </row>
    <row r="64" customFormat="false" ht="15" hidden="false" customHeight="false" outlineLevel="0" collapsed="false">
      <c r="A64" s="2" t="s">
        <v>108</v>
      </c>
      <c r="B64" s="2" t="s">
        <v>105</v>
      </c>
      <c r="C64" s="4" t="n">
        <v>1</v>
      </c>
      <c r="D64" s="2" t="s">
        <v>437</v>
      </c>
      <c r="E64" s="2" t="s">
        <v>375</v>
      </c>
      <c r="F64" s="6" t="n">
        <v>8</v>
      </c>
      <c r="G64" s="9" t="n">
        <v>57.14</v>
      </c>
      <c r="H64" s="13" t="s">
        <v>438</v>
      </c>
      <c r="I64" s="2" t="s">
        <v>439</v>
      </c>
      <c r="J64" s="3" t="n">
        <v>0</v>
      </c>
      <c r="K64" s="2" t="s">
        <v>440</v>
      </c>
      <c r="L64" s="5" t="n">
        <f aca="false">IF(COUNTIF('04_MAQUINAS'!$A$2:$A$18,E64)&gt;0,1,0)</f>
        <v>1</v>
      </c>
      <c r="M64" s="2" t="s">
        <v>82</v>
      </c>
    </row>
    <row r="65" customFormat="false" ht="15" hidden="false" customHeight="false" outlineLevel="0" collapsed="false">
      <c r="A65" s="2" t="s">
        <v>108</v>
      </c>
      <c r="B65" s="2" t="s">
        <v>105</v>
      </c>
      <c r="C65" s="4" t="n">
        <v>2</v>
      </c>
      <c r="D65" s="2" t="s">
        <v>386</v>
      </c>
      <c r="E65" s="2" t="s">
        <v>383</v>
      </c>
      <c r="F65" s="6" t="n">
        <v>10</v>
      </c>
      <c r="G65" s="9" t="n">
        <v>27</v>
      </c>
      <c r="H65" s="13" t="n">
        <v>1</v>
      </c>
      <c r="I65" s="2" t="s">
        <v>439</v>
      </c>
      <c r="J65" s="3" t="n">
        <v>0</v>
      </c>
      <c r="K65" s="2" t="s">
        <v>440</v>
      </c>
      <c r="L65" s="5" t="n">
        <f aca="false">IF(COUNTIF('04_MAQUINAS'!$A$2:$A$18,E65)&gt;0,1,0)</f>
        <v>1</v>
      </c>
      <c r="M65" s="2" t="s">
        <v>82</v>
      </c>
    </row>
    <row r="66" customFormat="false" ht="15" hidden="false" customHeight="false" outlineLevel="0" collapsed="false">
      <c r="A66" s="2" t="s">
        <v>108</v>
      </c>
      <c r="B66" s="2" t="s">
        <v>105</v>
      </c>
      <c r="C66" s="4" t="n">
        <v>3</v>
      </c>
      <c r="D66" s="2" t="s">
        <v>390</v>
      </c>
      <c r="E66" s="2" t="s">
        <v>387</v>
      </c>
      <c r="F66" s="6" t="n">
        <v>12</v>
      </c>
      <c r="G66" s="9" t="n">
        <v>149</v>
      </c>
      <c r="H66" s="13" t="n">
        <v>2</v>
      </c>
      <c r="I66" s="2" t="s">
        <v>439</v>
      </c>
      <c r="J66" s="3" t="n">
        <v>0</v>
      </c>
      <c r="K66" s="2" t="s">
        <v>440</v>
      </c>
      <c r="L66" s="5" t="n">
        <f aca="false">IF(COUNTIF('04_MAQUINAS'!$A$2:$A$18,E66)&gt;0,1,0)</f>
        <v>1</v>
      </c>
      <c r="M66" s="2" t="s">
        <v>82</v>
      </c>
    </row>
    <row r="67" customFormat="false" ht="15" hidden="false" customHeight="false" outlineLevel="0" collapsed="false">
      <c r="A67" s="2" t="s">
        <v>108</v>
      </c>
      <c r="B67" s="2" t="s">
        <v>105</v>
      </c>
      <c r="C67" s="4" t="n">
        <v>4</v>
      </c>
      <c r="D67" s="2" t="s">
        <v>443</v>
      </c>
      <c r="E67" s="2" t="s">
        <v>395</v>
      </c>
      <c r="F67" s="6" t="n">
        <v>3</v>
      </c>
      <c r="G67" s="9" t="n">
        <v>25.5</v>
      </c>
      <c r="H67" s="13" t="n">
        <v>3</v>
      </c>
      <c r="I67" s="2" t="s">
        <v>439</v>
      </c>
      <c r="J67" s="3" t="n">
        <v>0</v>
      </c>
      <c r="K67" s="2" t="s">
        <v>440</v>
      </c>
      <c r="L67" s="5" t="n">
        <f aca="false">IF(COUNTIF('04_MAQUINAS'!$A$2:$A$18,E67)&gt;0,1,0)</f>
        <v>1</v>
      </c>
      <c r="M67" s="2" t="s">
        <v>82</v>
      </c>
    </row>
    <row r="68" customFormat="false" ht="15" hidden="false" customHeight="false" outlineLevel="0" collapsed="false">
      <c r="A68" s="2" t="s">
        <v>108</v>
      </c>
      <c r="B68" s="2" t="s">
        <v>105</v>
      </c>
      <c r="C68" s="4" t="n">
        <v>5</v>
      </c>
      <c r="D68" s="2" t="s">
        <v>444</v>
      </c>
      <c r="E68" s="2" t="s">
        <v>399</v>
      </c>
      <c r="F68" s="6" t="n">
        <v>6</v>
      </c>
      <c r="G68" s="9" t="n">
        <v>37.528</v>
      </c>
      <c r="H68" s="13" t="n">
        <v>4</v>
      </c>
      <c r="I68" s="2" t="s">
        <v>439</v>
      </c>
      <c r="J68" s="3" t="n">
        <v>0</v>
      </c>
      <c r="K68" s="2" t="s">
        <v>440</v>
      </c>
      <c r="L68" s="5" t="n">
        <f aca="false">IF(COUNTIF('04_MAQUINAS'!$A$2:$A$18,E68)&gt;0,1,0)</f>
        <v>1</v>
      </c>
      <c r="M68" s="2" t="s">
        <v>82</v>
      </c>
    </row>
    <row r="69" customFormat="false" ht="15" hidden="false" customHeight="false" outlineLevel="0" collapsed="false">
      <c r="A69" s="2" t="s">
        <v>108</v>
      </c>
      <c r="B69" s="2" t="s">
        <v>105</v>
      </c>
      <c r="C69" s="4" t="n">
        <v>6</v>
      </c>
      <c r="D69" s="2" t="s">
        <v>445</v>
      </c>
      <c r="E69" s="2" t="s">
        <v>402</v>
      </c>
      <c r="F69" s="6" t="n">
        <v>12</v>
      </c>
      <c r="G69" s="9" t="n">
        <v>6.83</v>
      </c>
      <c r="H69" s="13" t="n">
        <v>5</v>
      </c>
      <c r="I69" s="2" t="s">
        <v>439</v>
      </c>
      <c r="J69" s="3" t="n">
        <v>0</v>
      </c>
      <c r="K69" s="2" t="s">
        <v>446</v>
      </c>
      <c r="L69" s="5" t="n">
        <f aca="false">IF(COUNTIF('04_MAQUINAS'!$A$2:$A$18,E69)&gt;0,1,0)</f>
        <v>1</v>
      </c>
      <c r="M69" s="2" t="s">
        <v>82</v>
      </c>
    </row>
    <row r="70" customFormat="false" ht="15" hidden="false" customHeight="false" outlineLevel="0" collapsed="false">
      <c r="A70" s="2" t="s">
        <v>108</v>
      </c>
      <c r="B70" s="2" t="s">
        <v>105</v>
      </c>
      <c r="C70" s="4" t="n">
        <v>7</v>
      </c>
      <c r="D70" s="2" t="s">
        <v>447</v>
      </c>
      <c r="E70" s="2" t="s">
        <v>421</v>
      </c>
      <c r="F70" s="6" t="n">
        <v>45</v>
      </c>
      <c r="G70" s="9" t="n">
        <v>0</v>
      </c>
      <c r="H70" s="13" t="n">
        <v>6</v>
      </c>
      <c r="I70" s="2" t="s">
        <v>448</v>
      </c>
      <c r="J70" s="3" t="n">
        <v>40</v>
      </c>
      <c r="K70" s="2" t="s">
        <v>446</v>
      </c>
      <c r="L70" s="5" t="n">
        <f aca="false">IF(COUNTIF('04_MAQUINAS'!$A$2:$A$18,E70)&gt;0,1,0)</f>
        <v>1</v>
      </c>
      <c r="M70" s="2" t="s">
        <v>82</v>
      </c>
    </row>
    <row r="71" customFormat="false" ht="15" hidden="false" customHeight="false" outlineLevel="0" collapsed="false">
      <c r="A71" s="2" t="s">
        <v>108</v>
      </c>
      <c r="B71" s="2" t="s">
        <v>105</v>
      </c>
      <c r="C71" s="4" t="n">
        <v>8</v>
      </c>
      <c r="D71" s="2" t="s">
        <v>449</v>
      </c>
      <c r="E71" s="2" t="s">
        <v>423</v>
      </c>
      <c r="F71" s="6" t="n">
        <v>8</v>
      </c>
      <c r="G71" s="9" t="n">
        <v>2.42</v>
      </c>
      <c r="H71" s="13" t="n">
        <v>7</v>
      </c>
      <c r="I71" s="2" t="s">
        <v>439</v>
      </c>
      <c r="J71" s="3" t="n">
        <v>0</v>
      </c>
      <c r="K71" s="2" t="s">
        <v>446</v>
      </c>
      <c r="L71" s="5" t="n">
        <f aca="false">IF(COUNTIF('04_MAQUINAS'!$A$2:$A$18,E71)&gt;0,1,0)</f>
        <v>1</v>
      </c>
      <c r="M71" s="2" t="s">
        <v>82</v>
      </c>
    </row>
    <row r="72" customFormat="false" ht="15" hidden="false" customHeight="false" outlineLevel="0" collapsed="false">
      <c r="A72" s="2" t="s">
        <v>108</v>
      </c>
      <c r="B72" s="2" t="s">
        <v>105</v>
      </c>
      <c r="C72" s="4" t="n">
        <v>9</v>
      </c>
      <c r="D72" s="2" t="s">
        <v>450</v>
      </c>
      <c r="E72" s="2" t="s">
        <v>406</v>
      </c>
      <c r="F72" s="6" t="n">
        <v>6</v>
      </c>
      <c r="G72" s="9" t="n">
        <v>56.25</v>
      </c>
      <c r="H72" s="13" t="n">
        <v>8</v>
      </c>
      <c r="I72" s="2" t="s">
        <v>439</v>
      </c>
      <c r="J72" s="3" t="n">
        <v>0</v>
      </c>
      <c r="K72" s="2" t="s">
        <v>440</v>
      </c>
      <c r="L72" s="5" t="n">
        <f aca="false">IF(COUNTIF('04_MAQUINAS'!$A$2:$A$18,E72)&gt;0,1,0)</f>
        <v>1</v>
      </c>
      <c r="M72" s="2" t="s">
        <v>82</v>
      </c>
    </row>
    <row r="73" customFormat="false" ht="15" hidden="false" customHeight="false" outlineLevel="0" collapsed="false">
      <c r="A73" s="2" t="s">
        <v>108</v>
      </c>
      <c r="B73" s="2" t="s">
        <v>105</v>
      </c>
      <c r="C73" s="4" t="n">
        <v>10</v>
      </c>
      <c r="D73" s="2" t="s">
        <v>451</v>
      </c>
      <c r="E73" s="2" t="s">
        <v>408</v>
      </c>
      <c r="F73" s="6" t="n">
        <v>2</v>
      </c>
      <c r="G73" s="9" t="n">
        <v>3.52</v>
      </c>
      <c r="H73" s="13" t="n">
        <v>9</v>
      </c>
      <c r="I73" s="2" t="s">
        <v>439</v>
      </c>
      <c r="J73" s="3" t="n">
        <v>0</v>
      </c>
      <c r="K73" s="2" t="s">
        <v>446</v>
      </c>
      <c r="L73" s="5" t="n">
        <f aca="false">IF(COUNTIF('04_MAQUINAS'!$A$2:$A$18,E73)&gt;0,1,0)</f>
        <v>1</v>
      </c>
      <c r="M73" s="2" t="s">
        <v>82</v>
      </c>
    </row>
    <row r="74" customFormat="false" ht="15" hidden="false" customHeight="false" outlineLevel="0" collapsed="false">
      <c r="A74" s="2" t="s">
        <v>108</v>
      </c>
      <c r="B74" s="2" t="s">
        <v>105</v>
      </c>
      <c r="C74" s="4" t="n">
        <v>11</v>
      </c>
      <c r="D74" s="2" t="s">
        <v>452</v>
      </c>
      <c r="E74" s="2" t="s">
        <v>411</v>
      </c>
      <c r="F74" s="6" t="n">
        <v>2</v>
      </c>
      <c r="G74" s="9" t="n">
        <v>4.78</v>
      </c>
      <c r="H74" s="13" t="n">
        <v>10</v>
      </c>
      <c r="I74" s="2" t="s">
        <v>439</v>
      </c>
      <c r="J74" s="3" t="n">
        <v>0</v>
      </c>
      <c r="K74" s="2" t="s">
        <v>446</v>
      </c>
      <c r="L74" s="5" t="n">
        <f aca="false">IF(COUNTIF('04_MAQUINAS'!$A$2:$A$18,E74)&gt;0,1,0)</f>
        <v>1</v>
      </c>
      <c r="M74" s="2" t="s">
        <v>82</v>
      </c>
    </row>
    <row r="75" customFormat="false" ht="15" hidden="false" customHeight="false" outlineLevel="0" collapsed="false">
      <c r="A75" s="2" t="s">
        <v>119</v>
      </c>
      <c r="B75" s="2" t="s">
        <v>118</v>
      </c>
      <c r="C75" s="4" t="n">
        <v>1</v>
      </c>
      <c r="D75" s="2" t="s">
        <v>437</v>
      </c>
      <c r="E75" s="2" t="s">
        <v>375</v>
      </c>
      <c r="F75" s="6" t="n">
        <v>8</v>
      </c>
      <c r="G75" s="9" t="n">
        <v>35.56</v>
      </c>
      <c r="H75" s="13" t="s">
        <v>438</v>
      </c>
      <c r="I75" s="2" t="s">
        <v>439</v>
      </c>
      <c r="J75" s="3" t="n">
        <v>0</v>
      </c>
      <c r="K75" s="2" t="s">
        <v>440</v>
      </c>
      <c r="L75" s="5" t="n">
        <f aca="false">IF(COUNTIF('04_MAQUINAS'!$A$2:$A$18,E75)&gt;0,1,0)</f>
        <v>1</v>
      </c>
      <c r="M75" s="2" t="s">
        <v>82</v>
      </c>
    </row>
    <row r="76" customFormat="false" ht="15" hidden="false" customHeight="false" outlineLevel="0" collapsed="false">
      <c r="A76" s="2" t="s">
        <v>119</v>
      </c>
      <c r="B76" s="2" t="s">
        <v>118</v>
      </c>
      <c r="C76" s="4" t="n">
        <v>2</v>
      </c>
      <c r="D76" s="2" t="s">
        <v>386</v>
      </c>
      <c r="E76" s="2" t="s">
        <v>383</v>
      </c>
      <c r="F76" s="6" t="n">
        <v>10</v>
      </c>
      <c r="G76" s="9" t="n">
        <v>5.8</v>
      </c>
      <c r="H76" s="13" t="n">
        <v>1</v>
      </c>
      <c r="I76" s="2" t="s">
        <v>439</v>
      </c>
      <c r="J76" s="3" t="n">
        <v>0</v>
      </c>
      <c r="K76" s="2" t="s">
        <v>440</v>
      </c>
      <c r="L76" s="5" t="n">
        <f aca="false">IF(COUNTIF('04_MAQUINAS'!$A$2:$A$18,E76)&gt;0,1,0)</f>
        <v>1</v>
      </c>
      <c r="M76" s="2" t="s">
        <v>82</v>
      </c>
    </row>
    <row r="77" customFormat="false" ht="15" hidden="false" customHeight="false" outlineLevel="0" collapsed="false">
      <c r="A77" s="2" t="s">
        <v>119</v>
      </c>
      <c r="B77" s="2" t="s">
        <v>118</v>
      </c>
      <c r="C77" s="4" t="n">
        <v>3</v>
      </c>
      <c r="D77" s="2" t="s">
        <v>390</v>
      </c>
      <c r="E77" s="2" t="s">
        <v>387</v>
      </c>
      <c r="F77" s="6" t="n">
        <v>12</v>
      </c>
      <c r="G77" s="9" t="n">
        <v>86</v>
      </c>
      <c r="H77" s="13" t="n">
        <v>2</v>
      </c>
      <c r="I77" s="2" t="s">
        <v>439</v>
      </c>
      <c r="J77" s="3" t="n">
        <v>0</v>
      </c>
      <c r="K77" s="2" t="s">
        <v>440</v>
      </c>
      <c r="L77" s="5" t="n">
        <f aca="false">IF(COUNTIF('04_MAQUINAS'!$A$2:$A$18,E77)&gt;0,1,0)</f>
        <v>1</v>
      </c>
      <c r="M77" s="2" t="s">
        <v>82</v>
      </c>
    </row>
    <row r="78" customFormat="false" ht="15" hidden="false" customHeight="false" outlineLevel="0" collapsed="false">
      <c r="A78" s="2" t="s">
        <v>119</v>
      </c>
      <c r="B78" s="2" t="s">
        <v>118</v>
      </c>
      <c r="C78" s="4" t="n">
        <v>4</v>
      </c>
      <c r="D78" s="2" t="s">
        <v>443</v>
      </c>
      <c r="E78" s="2" t="s">
        <v>395</v>
      </c>
      <c r="F78" s="6" t="n">
        <v>3</v>
      </c>
      <c r="G78" s="9" t="n">
        <v>15</v>
      </c>
      <c r="H78" s="13" t="n">
        <v>3</v>
      </c>
      <c r="I78" s="2" t="s">
        <v>439</v>
      </c>
      <c r="J78" s="3" t="n">
        <v>0</v>
      </c>
      <c r="K78" s="2" t="s">
        <v>440</v>
      </c>
      <c r="L78" s="5" t="n">
        <f aca="false">IF(COUNTIF('04_MAQUINAS'!$A$2:$A$18,E78)&gt;0,1,0)</f>
        <v>1</v>
      </c>
      <c r="M78" s="2" t="s">
        <v>82</v>
      </c>
    </row>
    <row r="79" customFormat="false" ht="15" hidden="false" customHeight="false" outlineLevel="0" collapsed="false">
      <c r="A79" s="2" t="s">
        <v>119</v>
      </c>
      <c r="B79" s="2" t="s">
        <v>118</v>
      </c>
      <c r="C79" s="4" t="n">
        <v>5</v>
      </c>
      <c r="D79" s="2" t="s">
        <v>444</v>
      </c>
      <c r="E79" s="2" t="s">
        <v>399</v>
      </c>
      <c r="F79" s="6" t="n">
        <v>6</v>
      </c>
      <c r="G79" s="9" t="n">
        <v>25.712</v>
      </c>
      <c r="H79" s="13" t="n">
        <v>4</v>
      </c>
      <c r="I79" s="2" t="s">
        <v>439</v>
      </c>
      <c r="J79" s="3" t="n">
        <v>0</v>
      </c>
      <c r="K79" s="2" t="s">
        <v>440</v>
      </c>
      <c r="L79" s="5" t="n">
        <f aca="false">IF(COUNTIF('04_MAQUINAS'!$A$2:$A$18,E79)&gt;0,1,0)</f>
        <v>1</v>
      </c>
      <c r="M79" s="2" t="s">
        <v>82</v>
      </c>
    </row>
    <row r="80" customFormat="false" ht="15" hidden="false" customHeight="false" outlineLevel="0" collapsed="false">
      <c r="A80" s="2" t="s">
        <v>119</v>
      </c>
      <c r="B80" s="2" t="s">
        <v>118</v>
      </c>
      <c r="C80" s="4" t="n">
        <v>6</v>
      </c>
      <c r="D80" s="2" t="s">
        <v>445</v>
      </c>
      <c r="E80" s="2" t="s">
        <v>402</v>
      </c>
      <c r="F80" s="6" t="n">
        <v>12</v>
      </c>
      <c r="G80" s="9" t="n">
        <v>6.58</v>
      </c>
      <c r="H80" s="13" t="n">
        <v>5</v>
      </c>
      <c r="I80" s="2" t="s">
        <v>439</v>
      </c>
      <c r="J80" s="3" t="n">
        <v>0</v>
      </c>
      <c r="K80" s="2" t="s">
        <v>446</v>
      </c>
      <c r="L80" s="5" t="n">
        <f aca="false">IF(COUNTIF('04_MAQUINAS'!$A$2:$A$18,E80)&gt;0,1,0)</f>
        <v>1</v>
      </c>
      <c r="M80" s="2" t="s">
        <v>82</v>
      </c>
    </row>
    <row r="81" customFormat="false" ht="15" hidden="false" customHeight="false" outlineLevel="0" collapsed="false">
      <c r="A81" s="2" t="s">
        <v>119</v>
      </c>
      <c r="B81" s="2" t="s">
        <v>118</v>
      </c>
      <c r="C81" s="4" t="n">
        <v>7</v>
      </c>
      <c r="D81" s="2" t="s">
        <v>447</v>
      </c>
      <c r="E81" s="2" t="s">
        <v>421</v>
      </c>
      <c r="F81" s="6" t="n">
        <v>45</v>
      </c>
      <c r="G81" s="9" t="n">
        <v>0</v>
      </c>
      <c r="H81" s="13" t="n">
        <v>6</v>
      </c>
      <c r="I81" s="2" t="s">
        <v>448</v>
      </c>
      <c r="J81" s="3" t="n">
        <v>40</v>
      </c>
      <c r="K81" s="2" t="s">
        <v>446</v>
      </c>
      <c r="L81" s="5" t="n">
        <f aca="false">IF(COUNTIF('04_MAQUINAS'!$A$2:$A$18,E81)&gt;0,1,0)</f>
        <v>1</v>
      </c>
      <c r="M81" s="2" t="s">
        <v>82</v>
      </c>
    </row>
    <row r="82" customFormat="false" ht="15" hidden="false" customHeight="false" outlineLevel="0" collapsed="false">
      <c r="A82" s="2" t="s">
        <v>119</v>
      </c>
      <c r="B82" s="2" t="s">
        <v>118</v>
      </c>
      <c r="C82" s="4" t="n">
        <v>8</v>
      </c>
      <c r="D82" s="2" t="s">
        <v>449</v>
      </c>
      <c r="E82" s="2" t="s">
        <v>423</v>
      </c>
      <c r="F82" s="6" t="n">
        <v>8</v>
      </c>
      <c r="G82" s="9" t="n">
        <v>2.36</v>
      </c>
      <c r="H82" s="13" t="n">
        <v>7</v>
      </c>
      <c r="I82" s="2" t="s">
        <v>439</v>
      </c>
      <c r="J82" s="3" t="n">
        <v>0</v>
      </c>
      <c r="K82" s="2" t="s">
        <v>446</v>
      </c>
      <c r="L82" s="5" t="n">
        <f aca="false">IF(COUNTIF('04_MAQUINAS'!$A$2:$A$18,E82)&gt;0,1,0)</f>
        <v>1</v>
      </c>
      <c r="M82" s="2" t="s">
        <v>82</v>
      </c>
    </row>
    <row r="83" customFormat="false" ht="15" hidden="false" customHeight="false" outlineLevel="0" collapsed="false">
      <c r="A83" s="2" t="s">
        <v>119</v>
      </c>
      <c r="B83" s="2" t="s">
        <v>118</v>
      </c>
      <c r="C83" s="4" t="n">
        <v>9</v>
      </c>
      <c r="D83" s="2" t="s">
        <v>450</v>
      </c>
      <c r="E83" s="2" t="s">
        <v>406</v>
      </c>
      <c r="F83" s="6" t="n">
        <v>6</v>
      </c>
      <c r="G83" s="9" t="n">
        <v>27</v>
      </c>
      <c r="H83" s="13" t="n">
        <v>8</v>
      </c>
      <c r="I83" s="2" t="s">
        <v>439</v>
      </c>
      <c r="J83" s="3" t="n">
        <v>0</v>
      </c>
      <c r="K83" s="2" t="s">
        <v>440</v>
      </c>
      <c r="L83" s="5" t="n">
        <f aca="false">IF(COUNTIF('04_MAQUINAS'!$A$2:$A$18,E83)&gt;0,1,0)</f>
        <v>1</v>
      </c>
      <c r="M83" s="2" t="s">
        <v>82</v>
      </c>
    </row>
    <row r="84" customFormat="false" ht="15" hidden="false" customHeight="false" outlineLevel="0" collapsed="false">
      <c r="A84" s="2" t="s">
        <v>119</v>
      </c>
      <c r="B84" s="2" t="s">
        <v>118</v>
      </c>
      <c r="C84" s="4" t="n">
        <v>10</v>
      </c>
      <c r="D84" s="2" t="s">
        <v>451</v>
      </c>
      <c r="E84" s="2" t="s">
        <v>408</v>
      </c>
      <c r="F84" s="6" t="n">
        <v>2</v>
      </c>
      <c r="G84" s="9" t="n">
        <v>3.45</v>
      </c>
      <c r="H84" s="13" t="n">
        <v>9</v>
      </c>
      <c r="I84" s="2" t="s">
        <v>439</v>
      </c>
      <c r="J84" s="3" t="n">
        <v>0</v>
      </c>
      <c r="K84" s="2" t="s">
        <v>446</v>
      </c>
      <c r="L84" s="5" t="n">
        <f aca="false">IF(COUNTIF('04_MAQUINAS'!$A$2:$A$18,E84)&gt;0,1,0)</f>
        <v>1</v>
      </c>
      <c r="M84" s="2" t="s">
        <v>82</v>
      </c>
    </row>
    <row r="85" customFormat="false" ht="15" hidden="false" customHeight="false" outlineLevel="0" collapsed="false">
      <c r="A85" s="2" t="s">
        <v>119</v>
      </c>
      <c r="B85" s="2" t="s">
        <v>118</v>
      </c>
      <c r="C85" s="4" t="n">
        <v>11</v>
      </c>
      <c r="D85" s="2" t="s">
        <v>452</v>
      </c>
      <c r="E85" s="2" t="s">
        <v>411</v>
      </c>
      <c r="F85" s="6" t="n">
        <v>2</v>
      </c>
      <c r="G85" s="9" t="n">
        <v>4.67</v>
      </c>
      <c r="H85" s="13" t="n">
        <v>10</v>
      </c>
      <c r="I85" s="2" t="s">
        <v>439</v>
      </c>
      <c r="J85" s="3" t="n">
        <v>0</v>
      </c>
      <c r="K85" s="2" t="s">
        <v>446</v>
      </c>
      <c r="L85" s="5" t="n">
        <f aca="false">IF(COUNTIF('04_MAQUINAS'!$A$2:$A$18,E85)&gt;0,1,0)</f>
        <v>1</v>
      </c>
      <c r="M85" s="2" t="s">
        <v>82</v>
      </c>
    </row>
    <row r="86" customFormat="false" ht="15" hidden="false" customHeight="false" outlineLevel="0" collapsed="false">
      <c r="A86" s="2" t="s">
        <v>121</v>
      </c>
      <c r="B86" s="2" t="s">
        <v>118</v>
      </c>
      <c r="C86" s="4" t="n">
        <v>1</v>
      </c>
      <c r="D86" s="2" t="s">
        <v>437</v>
      </c>
      <c r="E86" s="2" t="s">
        <v>375</v>
      </c>
      <c r="F86" s="6" t="n">
        <v>8</v>
      </c>
      <c r="G86" s="9" t="n">
        <v>35.92</v>
      </c>
      <c r="H86" s="13" t="s">
        <v>438</v>
      </c>
      <c r="I86" s="2" t="s">
        <v>439</v>
      </c>
      <c r="J86" s="3" t="n">
        <v>0</v>
      </c>
      <c r="K86" s="2" t="s">
        <v>440</v>
      </c>
      <c r="L86" s="5" t="n">
        <f aca="false">IF(COUNTIF('04_MAQUINAS'!$A$2:$A$18,E86)&gt;0,1,0)</f>
        <v>1</v>
      </c>
      <c r="M86" s="2" t="s">
        <v>82</v>
      </c>
    </row>
    <row r="87" customFormat="false" ht="15" hidden="false" customHeight="false" outlineLevel="0" collapsed="false">
      <c r="A87" s="2" t="s">
        <v>121</v>
      </c>
      <c r="B87" s="2" t="s">
        <v>118</v>
      </c>
      <c r="C87" s="4" t="n">
        <v>2</v>
      </c>
      <c r="D87" s="2" t="s">
        <v>441</v>
      </c>
      <c r="E87" s="2" t="s">
        <v>380</v>
      </c>
      <c r="F87" s="6" t="n">
        <v>8</v>
      </c>
      <c r="G87" s="9" t="n">
        <v>32.28</v>
      </c>
      <c r="H87" s="13" t="n">
        <v>1</v>
      </c>
      <c r="I87" s="2" t="s">
        <v>439</v>
      </c>
      <c r="J87" s="3" t="n">
        <v>0</v>
      </c>
      <c r="K87" s="2" t="s">
        <v>440</v>
      </c>
      <c r="L87" s="5" t="n">
        <f aca="false">IF(COUNTIF('04_MAQUINAS'!$A$2:$A$18,E87)&gt;0,1,0)</f>
        <v>1</v>
      </c>
      <c r="M87" s="2" t="s">
        <v>82</v>
      </c>
    </row>
    <row r="88" customFormat="false" ht="15" hidden="false" customHeight="false" outlineLevel="0" collapsed="false">
      <c r="A88" s="2" t="s">
        <v>121</v>
      </c>
      <c r="B88" s="2" t="s">
        <v>118</v>
      </c>
      <c r="C88" s="4" t="n">
        <v>3</v>
      </c>
      <c r="D88" s="2" t="s">
        <v>386</v>
      </c>
      <c r="E88" s="2" t="s">
        <v>383</v>
      </c>
      <c r="F88" s="6" t="n">
        <v>10</v>
      </c>
      <c r="G88" s="9" t="n">
        <v>54.8</v>
      </c>
      <c r="H88" s="13" t="n">
        <v>2</v>
      </c>
      <c r="I88" s="2" t="s">
        <v>439</v>
      </c>
      <c r="J88" s="3" t="n">
        <v>0</v>
      </c>
      <c r="K88" s="2" t="s">
        <v>440</v>
      </c>
      <c r="L88" s="5" t="n">
        <f aca="false">IF(COUNTIF('04_MAQUINAS'!$A$2:$A$18,E88)&gt;0,1,0)</f>
        <v>1</v>
      </c>
      <c r="M88" s="2" t="s">
        <v>82</v>
      </c>
    </row>
    <row r="89" customFormat="false" ht="15" hidden="false" customHeight="false" outlineLevel="0" collapsed="false">
      <c r="A89" s="2" t="s">
        <v>121</v>
      </c>
      <c r="B89" s="2" t="s">
        <v>118</v>
      </c>
      <c r="C89" s="4" t="n">
        <v>4</v>
      </c>
      <c r="D89" s="2" t="s">
        <v>390</v>
      </c>
      <c r="E89" s="2" t="s">
        <v>387</v>
      </c>
      <c r="F89" s="6" t="n">
        <v>12</v>
      </c>
      <c r="G89" s="9" t="n">
        <v>85</v>
      </c>
      <c r="H89" s="13" t="n">
        <v>3</v>
      </c>
      <c r="I89" s="2" t="s">
        <v>439</v>
      </c>
      <c r="J89" s="3" t="n">
        <v>0</v>
      </c>
      <c r="K89" s="2" t="s">
        <v>440</v>
      </c>
      <c r="L89" s="5" t="n">
        <f aca="false">IF(COUNTIF('04_MAQUINAS'!$A$2:$A$18,E89)&gt;0,1,0)</f>
        <v>1</v>
      </c>
      <c r="M89" s="2" t="s">
        <v>82</v>
      </c>
    </row>
    <row r="90" customFormat="false" ht="15" hidden="false" customHeight="false" outlineLevel="0" collapsed="false">
      <c r="A90" s="2" t="s">
        <v>121</v>
      </c>
      <c r="B90" s="2" t="s">
        <v>118</v>
      </c>
      <c r="C90" s="4" t="n">
        <v>5</v>
      </c>
      <c r="D90" s="2" t="s">
        <v>443</v>
      </c>
      <c r="E90" s="2" t="s">
        <v>395</v>
      </c>
      <c r="F90" s="6" t="n">
        <v>3</v>
      </c>
      <c r="G90" s="9" t="n">
        <v>37.5</v>
      </c>
      <c r="H90" s="13" t="n">
        <v>4</v>
      </c>
      <c r="I90" s="2" t="s">
        <v>439</v>
      </c>
      <c r="J90" s="3" t="n">
        <v>0</v>
      </c>
      <c r="K90" s="2" t="s">
        <v>440</v>
      </c>
      <c r="L90" s="5" t="n">
        <f aca="false">IF(COUNTIF('04_MAQUINAS'!$A$2:$A$18,E90)&gt;0,1,0)</f>
        <v>1</v>
      </c>
      <c r="M90" s="2" t="s">
        <v>82</v>
      </c>
    </row>
    <row r="91" customFormat="false" ht="15" hidden="false" customHeight="false" outlineLevel="0" collapsed="false">
      <c r="A91" s="2" t="s">
        <v>121</v>
      </c>
      <c r="B91" s="2" t="s">
        <v>118</v>
      </c>
      <c r="C91" s="4" t="n">
        <v>6</v>
      </c>
      <c r="D91" s="2" t="s">
        <v>444</v>
      </c>
      <c r="E91" s="2" t="s">
        <v>399</v>
      </c>
      <c r="F91" s="6" t="n">
        <v>6</v>
      </c>
      <c r="G91" s="9" t="n">
        <v>24.4752</v>
      </c>
      <c r="H91" s="13" t="n">
        <v>5</v>
      </c>
      <c r="I91" s="2" t="s">
        <v>439</v>
      </c>
      <c r="J91" s="3" t="n">
        <v>0</v>
      </c>
      <c r="K91" s="2" t="s">
        <v>440</v>
      </c>
      <c r="L91" s="5" t="n">
        <f aca="false">IF(COUNTIF('04_MAQUINAS'!$A$2:$A$18,E91)&gt;0,1,0)</f>
        <v>1</v>
      </c>
      <c r="M91" s="2" t="s">
        <v>82</v>
      </c>
    </row>
    <row r="92" customFormat="false" ht="15" hidden="false" customHeight="false" outlineLevel="0" collapsed="false">
      <c r="A92" s="2" t="s">
        <v>121</v>
      </c>
      <c r="B92" s="2" t="s">
        <v>118</v>
      </c>
      <c r="C92" s="4" t="n">
        <v>7</v>
      </c>
      <c r="D92" s="2" t="s">
        <v>445</v>
      </c>
      <c r="E92" s="2" t="s">
        <v>402</v>
      </c>
      <c r="F92" s="6" t="n">
        <v>12</v>
      </c>
      <c r="G92" s="9" t="n">
        <v>6.58</v>
      </c>
      <c r="H92" s="13" t="n">
        <v>6</v>
      </c>
      <c r="I92" s="2" t="s">
        <v>439</v>
      </c>
      <c r="J92" s="3" t="n">
        <v>0</v>
      </c>
      <c r="K92" s="2" t="s">
        <v>446</v>
      </c>
      <c r="L92" s="5" t="n">
        <f aca="false">IF(COUNTIF('04_MAQUINAS'!$A$2:$A$18,E92)&gt;0,1,0)</f>
        <v>1</v>
      </c>
      <c r="M92" s="2" t="s">
        <v>82</v>
      </c>
    </row>
    <row r="93" customFormat="false" ht="15" hidden="false" customHeight="false" outlineLevel="0" collapsed="false">
      <c r="A93" s="2" t="s">
        <v>121</v>
      </c>
      <c r="B93" s="2" t="s">
        <v>118</v>
      </c>
      <c r="C93" s="4" t="n">
        <v>8</v>
      </c>
      <c r="D93" s="2" t="s">
        <v>447</v>
      </c>
      <c r="E93" s="2" t="s">
        <v>421</v>
      </c>
      <c r="F93" s="6" t="n">
        <v>45</v>
      </c>
      <c r="G93" s="9" t="n">
        <v>0</v>
      </c>
      <c r="H93" s="13" t="n">
        <v>7</v>
      </c>
      <c r="I93" s="2" t="s">
        <v>448</v>
      </c>
      <c r="J93" s="3" t="n">
        <v>40</v>
      </c>
      <c r="K93" s="2" t="s">
        <v>446</v>
      </c>
      <c r="L93" s="5" t="n">
        <f aca="false">IF(COUNTIF('04_MAQUINAS'!$A$2:$A$18,E93)&gt;0,1,0)</f>
        <v>1</v>
      </c>
      <c r="M93" s="2" t="s">
        <v>82</v>
      </c>
    </row>
    <row r="94" customFormat="false" ht="15" hidden="false" customHeight="false" outlineLevel="0" collapsed="false">
      <c r="A94" s="2" t="s">
        <v>121</v>
      </c>
      <c r="B94" s="2" t="s">
        <v>118</v>
      </c>
      <c r="C94" s="4" t="n">
        <v>9</v>
      </c>
      <c r="D94" s="2" t="s">
        <v>449</v>
      </c>
      <c r="E94" s="2" t="s">
        <v>423</v>
      </c>
      <c r="F94" s="6" t="n">
        <v>8</v>
      </c>
      <c r="G94" s="9" t="n">
        <v>2.36</v>
      </c>
      <c r="H94" s="13" t="n">
        <v>8</v>
      </c>
      <c r="I94" s="2" t="s">
        <v>439</v>
      </c>
      <c r="J94" s="3" t="n">
        <v>0</v>
      </c>
      <c r="K94" s="2" t="s">
        <v>446</v>
      </c>
      <c r="L94" s="5" t="n">
        <f aca="false">IF(COUNTIF('04_MAQUINAS'!$A$2:$A$18,E94)&gt;0,1,0)</f>
        <v>1</v>
      </c>
      <c r="M94" s="2" t="s">
        <v>82</v>
      </c>
    </row>
    <row r="95" customFormat="false" ht="15" hidden="false" customHeight="false" outlineLevel="0" collapsed="false">
      <c r="A95" s="2" t="s">
        <v>121</v>
      </c>
      <c r="B95" s="2" t="s">
        <v>118</v>
      </c>
      <c r="C95" s="4" t="n">
        <v>10</v>
      </c>
      <c r="D95" s="2" t="s">
        <v>450</v>
      </c>
      <c r="E95" s="2" t="s">
        <v>406</v>
      </c>
      <c r="F95" s="6" t="n">
        <v>6</v>
      </c>
      <c r="G95" s="9" t="n">
        <v>61.5</v>
      </c>
      <c r="H95" s="13" t="n">
        <v>9</v>
      </c>
      <c r="I95" s="2" t="s">
        <v>439</v>
      </c>
      <c r="J95" s="3" t="n">
        <v>0</v>
      </c>
      <c r="K95" s="2" t="s">
        <v>440</v>
      </c>
      <c r="L95" s="5" t="n">
        <f aca="false">IF(COUNTIF('04_MAQUINAS'!$A$2:$A$18,E95)&gt;0,1,0)</f>
        <v>1</v>
      </c>
      <c r="M95" s="2" t="s">
        <v>82</v>
      </c>
    </row>
    <row r="96" customFormat="false" ht="15" hidden="false" customHeight="false" outlineLevel="0" collapsed="false">
      <c r="A96" s="2" t="s">
        <v>121</v>
      </c>
      <c r="B96" s="2" t="s">
        <v>118</v>
      </c>
      <c r="C96" s="4" t="n">
        <v>11</v>
      </c>
      <c r="D96" s="2" t="s">
        <v>451</v>
      </c>
      <c r="E96" s="2" t="s">
        <v>408</v>
      </c>
      <c r="F96" s="6" t="n">
        <v>2</v>
      </c>
      <c r="G96" s="9" t="n">
        <v>3.45</v>
      </c>
      <c r="H96" s="13" t="n">
        <v>10</v>
      </c>
      <c r="I96" s="2" t="s">
        <v>439</v>
      </c>
      <c r="J96" s="3" t="n">
        <v>0</v>
      </c>
      <c r="K96" s="2" t="s">
        <v>446</v>
      </c>
      <c r="L96" s="5" t="n">
        <f aca="false">IF(COUNTIF('04_MAQUINAS'!$A$2:$A$18,E96)&gt;0,1,0)</f>
        <v>1</v>
      </c>
      <c r="M96" s="2" t="s">
        <v>82</v>
      </c>
    </row>
    <row r="97" customFormat="false" ht="15" hidden="false" customHeight="false" outlineLevel="0" collapsed="false">
      <c r="A97" s="2" t="s">
        <v>121</v>
      </c>
      <c r="B97" s="2" t="s">
        <v>118</v>
      </c>
      <c r="C97" s="4" t="n">
        <v>12</v>
      </c>
      <c r="D97" s="2" t="s">
        <v>452</v>
      </c>
      <c r="E97" s="2" t="s">
        <v>411</v>
      </c>
      <c r="F97" s="6" t="n">
        <v>2</v>
      </c>
      <c r="G97" s="9" t="n">
        <v>4.67</v>
      </c>
      <c r="H97" s="13" t="n">
        <v>11</v>
      </c>
      <c r="I97" s="2" t="s">
        <v>439</v>
      </c>
      <c r="J97" s="3" t="n">
        <v>0</v>
      </c>
      <c r="K97" s="2" t="s">
        <v>446</v>
      </c>
      <c r="L97" s="5" t="n">
        <f aca="false">IF(COUNTIF('04_MAQUINAS'!$A$2:$A$18,E97)&gt;0,1,0)</f>
        <v>1</v>
      </c>
      <c r="M97" s="2" t="s">
        <v>82</v>
      </c>
    </row>
    <row r="98" customFormat="false" ht="15" hidden="false" customHeight="false" outlineLevel="0" collapsed="false">
      <c r="A98" s="2" t="s">
        <v>85</v>
      </c>
      <c r="B98" s="2" t="s">
        <v>79</v>
      </c>
      <c r="C98" s="4" t="n">
        <v>1</v>
      </c>
      <c r="D98" s="2" t="s">
        <v>441</v>
      </c>
      <c r="E98" s="2" t="s">
        <v>380</v>
      </c>
      <c r="F98" s="6" t="n">
        <v>8</v>
      </c>
      <c r="G98" s="9" t="n">
        <v>68.56</v>
      </c>
      <c r="H98" s="13" t="s">
        <v>438</v>
      </c>
      <c r="I98" s="2" t="s">
        <v>439</v>
      </c>
      <c r="J98" s="3" t="n">
        <v>0</v>
      </c>
      <c r="K98" s="2" t="s">
        <v>440</v>
      </c>
      <c r="L98" s="5" t="n">
        <f aca="false">IF(COUNTIF('04_MAQUINAS'!$A$2:$A$18,E98)&gt;0,1,0)</f>
        <v>1</v>
      </c>
      <c r="M98" s="2" t="s">
        <v>82</v>
      </c>
    </row>
    <row r="99" customFormat="false" ht="15" hidden="false" customHeight="false" outlineLevel="0" collapsed="false">
      <c r="A99" s="2" t="s">
        <v>85</v>
      </c>
      <c r="B99" s="2" t="s">
        <v>79</v>
      </c>
      <c r="C99" s="4" t="n">
        <v>2</v>
      </c>
      <c r="D99" s="2" t="s">
        <v>386</v>
      </c>
      <c r="E99" s="2" t="s">
        <v>413</v>
      </c>
      <c r="F99" s="6" t="n">
        <v>10</v>
      </c>
      <c r="G99" s="9" t="n">
        <v>35.6</v>
      </c>
      <c r="H99" s="13" t="n">
        <v>1</v>
      </c>
      <c r="I99" s="2" t="s">
        <v>439</v>
      </c>
      <c r="J99" s="3" t="n">
        <v>0</v>
      </c>
      <c r="K99" s="2" t="s">
        <v>440</v>
      </c>
      <c r="L99" s="5" t="n">
        <f aca="false">IF(COUNTIF('04_MAQUINAS'!$A$2:$A$18,E99)&gt;0,1,0)</f>
        <v>1</v>
      </c>
      <c r="M99" s="2" t="s">
        <v>82</v>
      </c>
    </row>
    <row r="100" customFormat="false" ht="15" hidden="false" customHeight="false" outlineLevel="0" collapsed="false">
      <c r="A100" s="2" t="s">
        <v>85</v>
      </c>
      <c r="B100" s="2" t="s">
        <v>79</v>
      </c>
      <c r="C100" s="4" t="n">
        <v>3</v>
      </c>
      <c r="D100" s="2" t="s">
        <v>442</v>
      </c>
      <c r="E100" s="2" t="s">
        <v>415</v>
      </c>
      <c r="F100" s="6" t="n">
        <v>10</v>
      </c>
      <c r="G100" s="9" t="n">
        <v>89.6</v>
      </c>
      <c r="H100" s="13" t="n">
        <v>2</v>
      </c>
      <c r="I100" s="2" t="s">
        <v>439</v>
      </c>
      <c r="J100" s="3" t="n">
        <v>0</v>
      </c>
      <c r="K100" s="2" t="s">
        <v>440</v>
      </c>
      <c r="L100" s="5" t="n">
        <f aca="false">IF(COUNTIF('04_MAQUINAS'!$A$2:$A$18,E100)&gt;0,1,0)</f>
        <v>1</v>
      </c>
      <c r="M100" s="2" t="s">
        <v>82</v>
      </c>
    </row>
    <row r="101" customFormat="false" ht="15" hidden="false" customHeight="false" outlineLevel="0" collapsed="false">
      <c r="A101" s="2" t="s">
        <v>85</v>
      </c>
      <c r="B101" s="2" t="s">
        <v>79</v>
      </c>
      <c r="C101" s="4" t="n">
        <v>4</v>
      </c>
      <c r="D101" s="2" t="s">
        <v>445</v>
      </c>
      <c r="E101" s="2" t="s">
        <v>402</v>
      </c>
      <c r="F101" s="6" t="n">
        <v>12</v>
      </c>
      <c r="G101" s="9" t="n">
        <v>17.72</v>
      </c>
      <c r="H101" s="13" t="n">
        <v>3</v>
      </c>
      <c r="I101" s="2" t="s">
        <v>439</v>
      </c>
      <c r="J101" s="3" t="n">
        <v>0</v>
      </c>
      <c r="K101" s="2" t="s">
        <v>446</v>
      </c>
      <c r="L101" s="5" t="n">
        <f aca="false">IF(COUNTIF('04_MAQUINAS'!$A$2:$A$18,E101)&gt;0,1,0)</f>
        <v>1</v>
      </c>
      <c r="M101" s="2" t="s">
        <v>82</v>
      </c>
    </row>
    <row r="102" customFormat="false" ht="15" hidden="false" customHeight="false" outlineLevel="0" collapsed="false">
      <c r="A102" s="2" t="s">
        <v>85</v>
      </c>
      <c r="B102" s="2" t="s">
        <v>79</v>
      </c>
      <c r="C102" s="4" t="n">
        <v>5</v>
      </c>
      <c r="D102" s="2" t="s">
        <v>447</v>
      </c>
      <c r="E102" s="2" t="s">
        <v>421</v>
      </c>
      <c r="F102" s="6" t="n">
        <v>45</v>
      </c>
      <c r="G102" s="9" t="n">
        <v>0</v>
      </c>
      <c r="H102" s="13" t="n">
        <v>4</v>
      </c>
      <c r="I102" s="2" t="s">
        <v>448</v>
      </c>
      <c r="J102" s="3" t="n">
        <v>40</v>
      </c>
      <c r="K102" s="2" t="s">
        <v>446</v>
      </c>
      <c r="L102" s="5" t="n">
        <f aca="false">IF(COUNTIF('04_MAQUINAS'!$A$2:$A$18,E102)&gt;0,1,0)</f>
        <v>1</v>
      </c>
      <c r="M102" s="2" t="s">
        <v>82</v>
      </c>
    </row>
    <row r="103" customFormat="false" ht="15" hidden="false" customHeight="false" outlineLevel="0" collapsed="false">
      <c r="A103" s="2" t="s">
        <v>85</v>
      </c>
      <c r="B103" s="2" t="s">
        <v>79</v>
      </c>
      <c r="C103" s="4" t="n">
        <v>6</v>
      </c>
      <c r="D103" s="2" t="s">
        <v>449</v>
      </c>
      <c r="E103" s="2" t="s">
        <v>423</v>
      </c>
      <c r="F103" s="6" t="n">
        <v>8</v>
      </c>
      <c r="G103" s="9" t="n">
        <v>4.91</v>
      </c>
      <c r="H103" s="13" t="n">
        <v>5</v>
      </c>
      <c r="I103" s="2" t="s">
        <v>439</v>
      </c>
      <c r="J103" s="3" t="n">
        <v>0</v>
      </c>
      <c r="K103" s="2" t="s">
        <v>446</v>
      </c>
      <c r="L103" s="5" t="n">
        <f aca="false">IF(COUNTIF('04_MAQUINAS'!$A$2:$A$18,E103)&gt;0,1,0)</f>
        <v>1</v>
      </c>
      <c r="M103" s="2" t="s">
        <v>82</v>
      </c>
    </row>
    <row r="104" customFormat="false" ht="15" hidden="false" customHeight="false" outlineLevel="0" collapsed="false">
      <c r="A104" s="2" t="s">
        <v>85</v>
      </c>
      <c r="B104" s="2" t="s">
        <v>79</v>
      </c>
      <c r="C104" s="4" t="n">
        <v>7</v>
      </c>
      <c r="D104" s="2" t="s">
        <v>450</v>
      </c>
      <c r="E104" s="2" t="s">
        <v>406</v>
      </c>
      <c r="F104" s="6" t="n">
        <v>6</v>
      </c>
      <c r="G104" s="9" t="n">
        <v>192</v>
      </c>
      <c r="H104" s="13" t="n">
        <v>6</v>
      </c>
      <c r="I104" s="2" t="s">
        <v>439</v>
      </c>
      <c r="J104" s="3" t="n">
        <v>0</v>
      </c>
      <c r="K104" s="2" t="s">
        <v>440</v>
      </c>
      <c r="L104" s="5" t="n">
        <f aca="false">IF(COUNTIF('04_MAQUINAS'!$A$2:$A$18,E104)&gt;0,1,0)</f>
        <v>1</v>
      </c>
      <c r="M104" s="2" t="s">
        <v>82</v>
      </c>
    </row>
    <row r="105" customFormat="false" ht="15" hidden="false" customHeight="false" outlineLevel="0" collapsed="false">
      <c r="A105" s="2" t="s">
        <v>85</v>
      </c>
      <c r="B105" s="2" t="s">
        <v>79</v>
      </c>
      <c r="C105" s="4" t="n">
        <v>8</v>
      </c>
      <c r="D105" s="2" t="s">
        <v>453</v>
      </c>
      <c r="E105" s="2" t="s">
        <v>406</v>
      </c>
      <c r="F105" s="6" t="n">
        <v>0</v>
      </c>
      <c r="G105" s="9" t="n">
        <v>4</v>
      </c>
      <c r="H105" s="13" t="n">
        <v>7</v>
      </c>
      <c r="I105" s="2" t="s">
        <v>439</v>
      </c>
      <c r="J105" s="3" t="n">
        <v>0</v>
      </c>
      <c r="K105" s="2" t="s">
        <v>446</v>
      </c>
      <c r="L105" s="5" t="n">
        <f aca="false">IF(COUNTIF('04_MAQUINAS'!$A$2:$A$18,E105)&gt;0,1,0)</f>
        <v>1</v>
      </c>
      <c r="M105" s="2" t="s">
        <v>82</v>
      </c>
    </row>
    <row r="106" customFormat="false" ht="15" hidden="false" customHeight="false" outlineLevel="0" collapsed="false">
      <c r="A106" s="2" t="s">
        <v>87</v>
      </c>
      <c r="B106" s="2" t="s">
        <v>79</v>
      </c>
      <c r="C106" s="4" t="n">
        <v>1</v>
      </c>
      <c r="D106" s="2" t="s">
        <v>441</v>
      </c>
      <c r="E106" s="2" t="s">
        <v>380</v>
      </c>
      <c r="F106" s="6" t="n">
        <v>8</v>
      </c>
      <c r="G106" s="9" t="n">
        <v>64</v>
      </c>
      <c r="H106" s="13" t="s">
        <v>438</v>
      </c>
      <c r="I106" s="2" t="s">
        <v>439</v>
      </c>
      <c r="J106" s="3" t="n">
        <v>0</v>
      </c>
      <c r="K106" s="2" t="s">
        <v>440</v>
      </c>
      <c r="L106" s="5" t="n">
        <f aca="false">IF(COUNTIF('04_MAQUINAS'!$A$2:$A$18,E106)&gt;0,1,0)</f>
        <v>1</v>
      </c>
      <c r="M106" s="2" t="s">
        <v>82</v>
      </c>
    </row>
    <row r="107" customFormat="false" ht="15" hidden="false" customHeight="false" outlineLevel="0" collapsed="false">
      <c r="A107" s="2" t="s">
        <v>87</v>
      </c>
      <c r="B107" s="2" t="s">
        <v>79</v>
      </c>
      <c r="C107" s="4" t="n">
        <v>2</v>
      </c>
      <c r="D107" s="2" t="s">
        <v>386</v>
      </c>
      <c r="E107" s="2" t="s">
        <v>413</v>
      </c>
      <c r="F107" s="6" t="n">
        <v>10</v>
      </c>
      <c r="G107" s="9" t="n">
        <v>35.6</v>
      </c>
      <c r="H107" s="13" t="n">
        <v>1</v>
      </c>
      <c r="I107" s="2" t="s">
        <v>439</v>
      </c>
      <c r="J107" s="3" t="n">
        <v>0</v>
      </c>
      <c r="K107" s="2" t="s">
        <v>440</v>
      </c>
      <c r="L107" s="5" t="n">
        <f aca="false">IF(COUNTIF('04_MAQUINAS'!$A$2:$A$18,E107)&gt;0,1,0)</f>
        <v>1</v>
      </c>
      <c r="M107" s="2" t="s">
        <v>82</v>
      </c>
    </row>
    <row r="108" customFormat="false" ht="15" hidden="false" customHeight="false" outlineLevel="0" collapsed="false">
      <c r="A108" s="2" t="s">
        <v>87</v>
      </c>
      <c r="B108" s="2" t="s">
        <v>79</v>
      </c>
      <c r="C108" s="4" t="n">
        <v>3</v>
      </c>
      <c r="D108" s="2" t="s">
        <v>442</v>
      </c>
      <c r="E108" s="2" t="s">
        <v>415</v>
      </c>
      <c r="F108" s="6" t="n">
        <v>10</v>
      </c>
      <c r="G108" s="9" t="n">
        <v>89.6</v>
      </c>
      <c r="H108" s="13" t="n">
        <v>2</v>
      </c>
      <c r="I108" s="2" t="s">
        <v>439</v>
      </c>
      <c r="J108" s="3" t="n">
        <v>0</v>
      </c>
      <c r="K108" s="2" t="s">
        <v>440</v>
      </c>
      <c r="L108" s="5" t="n">
        <f aca="false">IF(COUNTIF('04_MAQUINAS'!$A$2:$A$18,E108)&gt;0,1,0)</f>
        <v>1</v>
      </c>
      <c r="M108" s="2" t="s">
        <v>82</v>
      </c>
    </row>
    <row r="109" customFormat="false" ht="15" hidden="false" customHeight="false" outlineLevel="0" collapsed="false">
      <c r="A109" s="2" t="s">
        <v>87</v>
      </c>
      <c r="B109" s="2" t="s">
        <v>79</v>
      </c>
      <c r="C109" s="4" t="n">
        <v>4</v>
      </c>
      <c r="D109" s="2" t="s">
        <v>445</v>
      </c>
      <c r="E109" s="2" t="s">
        <v>402</v>
      </c>
      <c r="F109" s="6" t="n">
        <v>12</v>
      </c>
      <c r="G109" s="9" t="n">
        <v>11.3</v>
      </c>
      <c r="H109" s="13" t="n">
        <v>3</v>
      </c>
      <c r="I109" s="2" t="s">
        <v>439</v>
      </c>
      <c r="J109" s="3" t="n">
        <v>0</v>
      </c>
      <c r="K109" s="2" t="s">
        <v>446</v>
      </c>
      <c r="L109" s="5" t="n">
        <f aca="false">IF(COUNTIF('04_MAQUINAS'!$A$2:$A$18,E109)&gt;0,1,0)</f>
        <v>1</v>
      </c>
      <c r="M109" s="2" t="s">
        <v>82</v>
      </c>
    </row>
    <row r="110" customFormat="false" ht="15" hidden="false" customHeight="false" outlineLevel="0" collapsed="false">
      <c r="A110" s="2" t="s">
        <v>87</v>
      </c>
      <c r="B110" s="2" t="s">
        <v>79</v>
      </c>
      <c r="C110" s="4" t="n">
        <v>5</v>
      </c>
      <c r="D110" s="2" t="s">
        <v>447</v>
      </c>
      <c r="E110" s="2" t="s">
        <v>421</v>
      </c>
      <c r="F110" s="6" t="n">
        <v>45</v>
      </c>
      <c r="G110" s="9" t="n">
        <v>0</v>
      </c>
      <c r="H110" s="13" t="n">
        <v>4</v>
      </c>
      <c r="I110" s="2" t="s">
        <v>448</v>
      </c>
      <c r="J110" s="3" t="n">
        <v>40</v>
      </c>
      <c r="K110" s="2" t="s">
        <v>446</v>
      </c>
      <c r="L110" s="5" t="n">
        <f aca="false">IF(COUNTIF('04_MAQUINAS'!$A$2:$A$18,E110)&gt;0,1,0)</f>
        <v>1</v>
      </c>
      <c r="M110" s="2" t="s">
        <v>82</v>
      </c>
    </row>
    <row r="111" customFormat="false" ht="15" hidden="false" customHeight="false" outlineLevel="0" collapsed="false">
      <c r="A111" s="2" t="s">
        <v>87</v>
      </c>
      <c r="B111" s="2" t="s">
        <v>79</v>
      </c>
      <c r="C111" s="4" t="n">
        <v>6</v>
      </c>
      <c r="D111" s="2" t="s">
        <v>449</v>
      </c>
      <c r="E111" s="2" t="s">
        <v>423</v>
      </c>
      <c r="F111" s="6" t="n">
        <v>8</v>
      </c>
      <c r="G111" s="9" t="n">
        <v>3.44</v>
      </c>
      <c r="H111" s="13" t="n">
        <v>5</v>
      </c>
      <c r="I111" s="2" t="s">
        <v>439</v>
      </c>
      <c r="J111" s="3" t="n">
        <v>0</v>
      </c>
      <c r="K111" s="2" t="s">
        <v>446</v>
      </c>
      <c r="L111" s="5" t="n">
        <f aca="false">IF(COUNTIF('04_MAQUINAS'!$A$2:$A$18,E111)&gt;0,1,0)</f>
        <v>1</v>
      </c>
      <c r="M111" s="2" t="s">
        <v>82</v>
      </c>
    </row>
    <row r="112" customFormat="false" ht="15" hidden="false" customHeight="false" outlineLevel="0" collapsed="false">
      <c r="A112" s="2" t="s">
        <v>87</v>
      </c>
      <c r="B112" s="2" t="s">
        <v>79</v>
      </c>
      <c r="C112" s="4" t="n">
        <v>7</v>
      </c>
      <c r="D112" s="2" t="s">
        <v>450</v>
      </c>
      <c r="E112" s="2" t="s">
        <v>406</v>
      </c>
      <c r="F112" s="6" t="n">
        <v>6</v>
      </c>
      <c r="G112" s="9" t="n">
        <v>192</v>
      </c>
      <c r="H112" s="13" t="n">
        <v>6</v>
      </c>
      <c r="I112" s="2" t="s">
        <v>439</v>
      </c>
      <c r="J112" s="3" t="n">
        <v>0</v>
      </c>
      <c r="K112" s="2" t="s">
        <v>440</v>
      </c>
      <c r="L112" s="5" t="n">
        <f aca="false">IF(COUNTIF('04_MAQUINAS'!$A$2:$A$18,E112)&gt;0,1,0)</f>
        <v>1</v>
      </c>
      <c r="M112" s="2" t="s">
        <v>82</v>
      </c>
    </row>
    <row r="113" customFormat="false" ht="15" hidden="false" customHeight="false" outlineLevel="0" collapsed="false">
      <c r="A113" s="2" t="s">
        <v>87</v>
      </c>
      <c r="B113" s="2" t="s">
        <v>79</v>
      </c>
      <c r="C113" s="4" t="n">
        <v>8</v>
      </c>
      <c r="D113" s="2" t="s">
        <v>453</v>
      </c>
      <c r="E113" s="2" t="s">
        <v>406</v>
      </c>
      <c r="F113" s="6" t="n">
        <v>0</v>
      </c>
      <c r="G113" s="9" t="n">
        <v>4</v>
      </c>
      <c r="H113" s="13" t="n">
        <v>7</v>
      </c>
      <c r="I113" s="2" t="s">
        <v>439</v>
      </c>
      <c r="J113" s="3" t="n">
        <v>0</v>
      </c>
      <c r="K113" s="2" t="s">
        <v>446</v>
      </c>
      <c r="L113" s="5" t="n">
        <f aca="false">IF(COUNTIF('04_MAQUINAS'!$A$2:$A$18,E113)&gt;0,1,0)</f>
        <v>1</v>
      </c>
      <c r="M113" s="2" t="s">
        <v>82</v>
      </c>
    </row>
    <row r="114" customFormat="false" ht="15" hidden="false" customHeight="false" outlineLevel="0" collapsed="false">
      <c r="A114" s="2" t="s">
        <v>89</v>
      </c>
      <c r="B114" s="2" t="s">
        <v>79</v>
      </c>
      <c r="C114" s="4" t="n">
        <v>1</v>
      </c>
      <c r="D114" s="2" t="s">
        <v>437</v>
      </c>
      <c r="E114" s="2" t="s">
        <v>375</v>
      </c>
      <c r="F114" s="6" t="n">
        <v>8</v>
      </c>
      <c r="G114" s="9" t="n">
        <v>12.101464</v>
      </c>
      <c r="H114" s="13" t="s">
        <v>438</v>
      </c>
      <c r="I114" s="2" t="s">
        <v>439</v>
      </c>
      <c r="J114" s="3" t="n">
        <v>0</v>
      </c>
      <c r="K114" s="2" t="s">
        <v>440</v>
      </c>
      <c r="L114" s="5" t="n">
        <f aca="false">IF(COUNTIF('04_MAQUINAS'!$A$2:$A$18,E114)&gt;0,1,0)</f>
        <v>1</v>
      </c>
      <c r="M114" s="2" t="s">
        <v>82</v>
      </c>
    </row>
    <row r="115" customFormat="false" ht="15" hidden="false" customHeight="false" outlineLevel="0" collapsed="false">
      <c r="A115" s="2" t="s">
        <v>89</v>
      </c>
      <c r="B115" s="2" t="s">
        <v>79</v>
      </c>
      <c r="C115" s="4" t="n">
        <v>2</v>
      </c>
      <c r="D115" s="2" t="s">
        <v>441</v>
      </c>
      <c r="E115" s="2" t="s">
        <v>380</v>
      </c>
      <c r="F115" s="6" t="n">
        <v>8</v>
      </c>
      <c r="G115" s="9" t="n">
        <v>50.8</v>
      </c>
      <c r="H115" s="13" t="n">
        <v>1</v>
      </c>
      <c r="I115" s="2" t="s">
        <v>439</v>
      </c>
      <c r="J115" s="3" t="n">
        <v>0</v>
      </c>
      <c r="K115" s="2" t="s">
        <v>440</v>
      </c>
      <c r="L115" s="5" t="n">
        <f aca="false">IF(COUNTIF('04_MAQUINAS'!$A$2:$A$18,E115)&gt;0,1,0)</f>
        <v>1</v>
      </c>
      <c r="M115" s="2" t="s">
        <v>82</v>
      </c>
    </row>
    <row r="116" customFormat="false" ht="15" hidden="false" customHeight="false" outlineLevel="0" collapsed="false">
      <c r="A116" s="2" t="s">
        <v>89</v>
      </c>
      <c r="B116" s="2" t="s">
        <v>79</v>
      </c>
      <c r="C116" s="4" t="n">
        <v>3</v>
      </c>
      <c r="D116" s="2" t="s">
        <v>386</v>
      </c>
      <c r="E116" s="2" t="s">
        <v>413</v>
      </c>
      <c r="F116" s="6" t="n">
        <v>10</v>
      </c>
      <c r="G116" s="9" t="n">
        <v>44</v>
      </c>
      <c r="H116" s="13" t="n">
        <v>2</v>
      </c>
      <c r="I116" s="2" t="s">
        <v>439</v>
      </c>
      <c r="J116" s="3" t="n">
        <v>0</v>
      </c>
      <c r="K116" s="2" t="s">
        <v>440</v>
      </c>
      <c r="L116" s="5" t="n">
        <f aca="false">IF(COUNTIF('04_MAQUINAS'!$A$2:$A$18,E116)&gt;0,1,0)</f>
        <v>1</v>
      </c>
      <c r="M116" s="2" t="s">
        <v>82</v>
      </c>
    </row>
    <row r="117" customFormat="false" ht="15" hidden="false" customHeight="false" outlineLevel="0" collapsed="false">
      <c r="A117" s="2" t="s">
        <v>89</v>
      </c>
      <c r="B117" s="2" t="s">
        <v>79</v>
      </c>
      <c r="C117" s="4" t="n">
        <v>4</v>
      </c>
      <c r="D117" s="2" t="s">
        <v>390</v>
      </c>
      <c r="E117" s="2" t="s">
        <v>387</v>
      </c>
      <c r="F117" s="6" t="n">
        <v>12</v>
      </c>
      <c r="G117" s="9" t="n">
        <v>20</v>
      </c>
      <c r="H117" s="13" t="n">
        <v>3</v>
      </c>
      <c r="I117" s="2" t="s">
        <v>439</v>
      </c>
      <c r="J117" s="3" t="n">
        <v>0</v>
      </c>
      <c r="K117" s="2" t="s">
        <v>440</v>
      </c>
      <c r="L117" s="5" t="n">
        <f aca="false">IF(COUNTIF('04_MAQUINAS'!$A$2:$A$18,E117)&gt;0,1,0)</f>
        <v>1</v>
      </c>
      <c r="M117" s="2" t="s">
        <v>82</v>
      </c>
    </row>
    <row r="118" customFormat="false" ht="15" hidden="false" customHeight="false" outlineLevel="0" collapsed="false">
      <c r="A118" s="2" t="s">
        <v>89</v>
      </c>
      <c r="B118" s="2" t="s">
        <v>79</v>
      </c>
      <c r="C118" s="4" t="n">
        <v>5</v>
      </c>
      <c r="D118" s="2" t="s">
        <v>442</v>
      </c>
      <c r="E118" s="2" t="s">
        <v>415</v>
      </c>
      <c r="F118" s="6" t="n">
        <v>10</v>
      </c>
      <c r="G118" s="9" t="n">
        <v>89.6</v>
      </c>
      <c r="H118" s="13" t="n">
        <v>4</v>
      </c>
      <c r="I118" s="2" t="s">
        <v>439</v>
      </c>
      <c r="J118" s="3" t="n">
        <v>0</v>
      </c>
      <c r="K118" s="2" t="s">
        <v>440</v>
      </c>
      <c r="L118" s="5" t="n">
        <f aca="false">IF(COUNTIF('04_MAQUINAS'!$A$2:$A$18,E118)&gt;0,1,0)</f>
        <v>1</v>
      </c>
      <c r="M118" s="2" t="s">
        <v>82</v>
      </c>
    </row>
    <row r="119" customFormat="false" ht="15" hidden="false" customHeight="false" outlineLevel="0" collapsed="false">
      <c r="A119" s="2" t="s">
        <v>89</v>
      </c>
      <c r="B119" s="2" t="s">
        <v>79</v>
      </c>
      <c r="C119" s="4" t="n">
        <v>6</v>
      </c>
      <c r="D119" s="2" t="s">
        <v>445</v>
      </c>
      <c r="E119" s="2" t="s">
        <v>402</v>
      </c>
      <c r="F119" s="6" t="n">
        <v>12</v>
      </c>
      <c r="G119" s="9" t="n">
        <v>8.02</v>
      </c>
      <c r="H119" s="13" t="n">
        <v>5</v>
      </c>
      <c r="I119" s="2" t="s">
        <v>439</v>
      </c>
      <c r="J119" s="3" t="n">
        <v>0</v>
      </c>
      <c r="K119" s="2" t="s">
        <v>446</v>
      </c>
      <c r="L119" s="5" t="n">
        <f aca="false">IF(COUNTIF('04_MAQUINAS'!$A$2:$A$18,E119)&gt;0,1,0)</f>
        <v>1</v>
      </c>
      <c r="M119" s="2" t="s">
        <v>82</v>
      </c>
    </row>
    <row r="120" customFormat="false" ht="15" hidden="false" customHeight="false" outlineLevel="0" collapsed="false">
      <c r="A120" s="2" t="s">
        <v>89</v>
      </c>
      <c r="B120" s="2" t="s">
        <v>79</v>
      </c>
      <c r="C120" s="4" t="n">
        <v>7</v>
      </c>
      <c r="D120" s="2" t="s">
        <v>447</v>
      </c>
      <c r="E120" s="2" t="s">
        <v>421</v>
      </c>
      <c r="F120" s="6" t="n">
        <v>45</v>
      </c>
      <c r="G120" s="9" t="n">
        <v>0</v>
      </c>
      <c r="H120" s="13" t="n">
        <v>6</v>
      </c>
      <c r="I120" s="2" t="s">
        <v>448</v>
      </c>
      <c r="J120" s="3" t="n">
        <v>40</v>
      </c>
      <c r="K120" s="2" t="s">
        <v>446</v>
      </c>
      <c r="L120" s="5" t="n">
        <f aca="false">IF(COUNTIF('04_MAQUINAS'!$A$2:$A$18,E120)&gt;0,1,0)</f>
        <v>1</v>
      </c>
      <c r="M120" s="2" t="s">
        <v>82</v>
      </c>
    </row>
    <row r="121" customFormat="false" ht="15" hidden="false" customHeight="false" outlineLevel="0" collapsed="false">
      <c r="A121" s="2" t="s">
        <v>89</v>
      </c>
      <c r="B121" s="2" t="s">
        <v>79</v>
      </c>
      <c r="C121" s="4" t="n">
        <v>8</v>
      </c>
      <c r="D121" s="2" t="s">
        <v>449</v>
      </c>
      <c r="E121" s="2" t="s">
        <v>423</v>
      </c>
      <c r="F121" s="6" t="n">
        <v>8</v>
      </c>
      <c r="G121" s="9" t="n">
        <v>2.69</v>
      </c>
      <c r="H121" s="13" t="n">
        <v>7</v>
      </c>
      <c r="I121" s="2" t="s">
        <v>439</v>
      </c>
      <c r="J121" s="3" t="n">
        <v>0</v>
      </c>
      <c r="K121" s="2" t="s">
        <v>446</v>
      </c>
      <c r="L121" s="5" t="n">
        <f aca="false">IF(COUNTIF('04_MAQUINAS'!$A$2:$A$18,E121)&gt;0,1,0)</f>
        <v>1</v>
      </c>
      <c r="M121" s="2" t="s">
        <v>82</v>
      </c>
    </row>
    <row r="122" customFormat="false" ht="15" hidden="false" customHeight="false" outlineLevel="0" collapsed="false">
      <c r="A122" s="2" t="s">
        <v>89</v>
      </c>
      <c r="B122" s="2" t="s">
        <v>79</v>
      </c>
      <c r="C122" s="4" t="n">
        <v>9</v>
      </c>
      <c r="D122" s="2" t="s">
        <v>450</v>
      </c>
      <c r="E122" s="2" t="s">
        <v>406</v>
      </c>
      <c r="F122" s="6" t="n">
        <v>6</v>
      </c>
      <c r="G122" s="9" t="n">
        <v>4</v>
      </c>
      <c r="H122" s="13" t="n">
        <v>8</v>
      </c>
      <c r="I122" s="2" t="s">
        <v>439</v>
      </c>
      <c r="J122" s="3" t="n">
        <v>0</v>
      </c>
      <c r="K122" s="2" t="s">
        <v>446</v>
      </c>
      <c r="L122" s="5" t="n">
        <f aca="false">IF(COUNTIF('04_MAQUINAS'!$A$2:$A$18,E122)&gt;0,1,0)</f>
        <v>1</v>
      </c>
      <c r="M122" s="2" t="s">
        <v>82</v>
      </c>
    </row>
    <row r="123" customFormat="false" ht="15" hidden="false" customHeight="false" outlineLevel="0" collapsed="false">
      <c r="A123" s="2" t="s">
        <v>89</v>
      </c>
      <c r="B123" s="2" t="s">
        <v>79</v>
      </c>
      <c r="C123" s="4" t="n">
        <v>10</v>
      </c>
      <c r="D123" s="2" t="s">
        <v>453</v>
      </c>
      <c r="E123" s="2" t="s">
        <v>406</v>
      </c>
      <c r="F123" s="6" t="n">
        <v>0</v>
      </c>
      <c r="G123" s="9" t="n">
        <v>4</v>
      </c>
      <c r="H123" s="13" t="n">
        <v>9</v>
      </c>
      <c r="I123" s="2" t="s">
        <v>439</v>
      </c>
      <c r="J123" s="3" t="n">
        <v>0</v>
      </c>
      <c r="K123" s="2" t="s">
        <v>446</v>
      </c>
      <c r="L123" s="5" t="n">
        <f aca="false">IF(COUNTIF('04_MAQUINAS'!$A$2:$A$18,E123)&gt;0,1,0)</f>
        <v>1</v>
      </c>
      <c r="M123" s="2" t="s">
        <v>82</v>
      </c>
    </row>
    <row r="124" customFormat="false" ht="15" hidden="false" customHeight="false" outlineLevel="0" collapsed="false">
      <c r="A124" s="2" t="s">
        <v>91</v>
      </c>
      <c r="B124" s="2" t="s">
        <v>79</v>
      </c>
      <c r="C124" s="4" t="n">
        <v>1</v>
      </c>
      <c r="D124" s="2" t="s">
        <v>441</v>
      </c>
      <c r="E124" s="2" t="s">
        <v>380</v>
      </c>
      <c r="F124" s="6" t="n">
        <v>8</v>
      </c>
      <c r="G124" s="9" t="n">
        <v>57.28</v>
      </c>
      <c r="H124" s="13" t="s">
        <v>438</v>
      </c>
      <c r="I124" s="2" t="s">
        <v>439</v>
      </c>
      <c r="J124" s="3" t="n">
        <v>0</v>
      </c>
      <c r="K124" s="2" t="s">
        <v>440</v>
      </c>
      <c r="L124" s="5" t="n">
        <f aca="false">IF(COUNTIF('04_MAQUINAS'!$A$2:$A$18,E124)&gt;0,1,0)</f>
        <v>1</v>
      </c>
      <c r="M124" s="2" t="s">
        <v>82</v>
      </c>
    </row>
    <row r="125" customFormat="false" ht="15" hidden="false" customHeight="false" outlineLevel="0" collapsed="false">
      <c r="A125" s="2" t="s">
        <v>91</v>
      </c>
      <c r="B125" s="2" t="s">
        <v>79</v>
      </c>
      <c r="C125" s="4" t="n">
        <v>2</v>
      </c>
      <c r="D125" s="2" t="s">
        <v>386</v>
      </c>
      <c r="E125" s="2" t="s">
        <v>413</v>
      </c>
      <c r="F125" s="6" t="n">
        <v>10</v>
      </c>
      <c r="G125" s="9" t="n">
        <v>35.6</v>
      </c>
      <c r="H125" s="13" t="n">
        <v>1</v>
      </c>
      <c r="I125" s="2" t="s">
        <v>439</v>
      </c>
      <c r="J125" s="3" t="n">
        <v>0</v>
      </c>
      <c r="K125" s="2" t="s">
        <v>440</v>
      </c>
      <c r="L125" s="5" t="n">
        <f aca="false">IF(COUNTIF('04_MAQUINAS'!$A$2:$A$18,E125)&gt;0,1,0)</f>
        <v>1</v>
      </c>
      <c r="M125" s="2" t="s">
        <v>82</v>
      </c>
    </row>
    <row r="126" customFormat="false" ht="15" hidden="false" customHeight="false" outlineLevel="0" collapsed="false">
      <c r="A126" s="2" t="s">
        <v>91</v>
      </c>
      <c r="B126" s="2" t="s">
        <v>79</v>
      </c>
      <c r="C126" s="4" t="n">
        <v>3</v>
      </c>
      <c r="D126" s="2" t="s">
        <v>442</v>
      </c>
      <c r="E126" s="2" t="s">
        <v>415</v>
      </c>
      <c r="F126" s="6" t="n">
        <v>10</v>
      </c>
      <c r="G126" s="9" t="n">
        <v>89.6</v>
      </c>
      <c r="H126" s="13" t="n">
        <v>2</v>
      </c>
      <c r="I126" s="2" t="s">
        <v>439</v>
      </c>
      <c r="J126" s="3" t="n">
        <v>0</v>
      </c>
      <c r="K126" s="2" t="s">
        <v>440</v>
      </c>
      <c r="L126" s="5" t="n">
        <f aca="false">IF(COUNTIF('04_MAQUINAS'!$A$2:$A$18,E126)&gt;0,1,0)</f>
        <v>1</v>
      </c>
      <c r="M126" s="2" t="s">
        <v>82</v>
      </c>
    </row>
    <row r="127" customFormat="false" ht="15" hidden="false" customHeight="false" outlineLevel="0" collapsed="false">
      <c r="A127" s="2" t="s">
        <v>91</v>
      </c>
      <c r="B127" s="2" t="s">
        <v>79</v>
      </c>
      <c r="C127" s="4" t="n">
        <v>4</v>
      </c>
      <c r="D127" s="2" t="s">
        <v>445</v>
      </c>
      <c r="E127" s="2" t="s">
        <v>402</v>
      </c>
      <c r="F127" s="6" t="n">
        <v>12</v>
      </c>
      <c r="G127" s="9" t="n">
        <v>8.02</v>
      </c>
      <c r="H127" s="13" t="n">
        <v>3</v>
      </c>
      <c r="I127" s="2" t="s">
        <v>439</v>
      </c>
      <c r="J127" s="3" t="n">
        <v>0</v>
      </c>
      <c r="K127" s="2" t="s">
        <v>446</v>
      </c>
      <c r="L127" s="5" t="n">
        <f aca="false">IF(COUNTIF('04_MAQUINAS'!$A$2:$A$18,E127)&gt;0,1,0)</f>
        <v>1</v>
      </c>
      <c r="M127" s="2" t="s">
        <v>82</v>
      </c>
    </row>
    <row r="128" customFormat="false" ht="15" hidden="false" customHeight="false" outlineLevel="0" collapsed="false">
      <c r="A128" s="2" t="s">
        <v>91</v>
      </c>
      <c r="B128" s="2" t="s">
        <v>79</v>
      </c>
      <c r="C128" s="4" t="n">
        <v>5</v>
      </c>
      <c r="D128" s="2" t="s">
        <v>447</v>
      </c>
      <c r="E128" s="2" t="s">
        <v>421</v>
      </c>
      <c r="F128" s="6" t="n">
        <v>45</v>
      </c>
      <c r="G128" s="9" t="n">
        <v>0</v>
      </c>
      <c r="H128" s="13" t="n">
        <v>4</v>
      </c>
      <c r="I128" s="2" t="s">
        <v>448</v>
      </c>
      <c r="J128" s="3" t="n">
        <v>40</v>
      </c>
      <c r="K128" s="2" t="s">
        <v>446</v>
      </c>
      <c r="L128" s="5" t="n">
        <f aca="false">IF(COUNTIF('04_MAQUINAS'!$A$2:$A$18,E128)&gt;0,1,0)</f>
        <v>1</v>
      </c>
      <c r="M128" s="2" t="s">
        <v>82</v>
      </c>
    </row>
    <row r="129" customFormat="false" ht="15" hidden="false" customHeight="false" outlineLevel="0" collapsed="false">
      <c r="A129" s="2" t="s">
        <v>91</v>
      </c>
      <c r="B129" s="2" t="s">
        <v>79</v>
      </c>
      <c r="C129" s="4" t="n">
        <v>6</v>
      </c>
      <c r="D129" s="2" t="s">
        <v>449</v>
      </c>
      <c r="E129" s="2" t="s">
        <v>423</v>
      </c>
      <c r="F129" s="6" t="n">
        <v>8</v>
      </c>
      <c r="G129" s="9" t="n">
        <v>2.69</v>
      </c>
      <c r="H129" s="13" t="n">
        <v>5</v>
      </c>
      <c r="I129" s="2" t="s">
        <v>439</v>
      </c>
      <c r="J129" s="3" t="n">
        <v>0</v>
      </c>
      <c r="K129" s="2" t="s">
        <v>446</v>
      </c>
      <c r="L129" s="5" t="n">
        <f aca="false">IF(COUNTIF('04_MAQUINAS'!$A$2:$A$18,E129)&gt;0,1,0)</f>
        <v>1</v>
      </c>
      <c r="M129" s="2" t="s">
        <v>82</v>
      </c>
    </row>
    <row r="130" customFormat="false" ht="15" hidden="false" customHeight="false" outlineLevel="0" collapsed="false">
      <c r="A130" s="2" t="s">
        <v>91</v>
      </c>
      <c r="B130" s="2" t="s">
        <v>79</v>
      </c>
      <c r="C130" s="4" t="n">
        <v>7</v>
      </c>
      <c r="D130" s="2" t="s">
        <v>450</v>
      </c>
      <c r="E130" s="2" t="s">
        <v>406</v>
      </c>
      <c r="F130" s="6" t="n">
        <v>6</v>
      </c>
      <c r="G130" s="9" t="n">
        <v>192</v>
      </c>
      <c r="H130" s="13" t="n">
        <v>6</v>
      </c>
      <c r="I130" s="2" t="s">
        <v>439</v>
      </c>
      <c r="J130" s="3" t="n">
        <v>0</v>
      </c>
      <c r="K130" s="2" t="s">
        <v>440</v>
      </c>
      <c r="L130" s="5" t="n">
        <f aca="false">IF(COUNTIF('04_MAQUINAS'!$A$2:$A$18,E130)&gt;0,1,0)</f>
        <v>1</v>
      </c>
      <c r="M130" s="2" t="s">
        <v>82</v>
      </c>
    </row>
    <row r="131" customFormat="false" ht="15" hidden="false" customHeight="false" outlineLevel="0" collapsed="false">
      <c r="A131" s="2" t="s">
        <v>91</v>
      </c>
      <c r="B131" s="2" t="s">
        <v>79</v>
      </c>
      <c r="C131" s="4" t="n">
        <v>8</v>
      </c>
      <c r="D131" s="2" t="s">
        <v>453</v>
      </c>
      <c r="E131" s="2" t="s">
        <v>406</v>
      </c>
      <c r="F131" s="6" t="n">
        <v>0</v>
      </c>
      <c r="G131" s="9" t="n">
        <v>4</v>
      </c>
      <c r="H131" s="13" t="n">
        <v>7</v>
      </c>
      <c r="I131" s="2" t="s">
        <v>439</v>
      </c>
      <c r="J131" s="3" t="n">
        <v>0</v>
      </c>
      <c r="K131" s="2" t="s">
        <v>446</v>
      </c>
      <c r="L131" s="5" t="n">
        <f aca="false">IF(COUNTIF('04_MAQUINAS'!$A$2:$A$18,E131)&gt;0,1,0)</f>
        <v>1</v>
      </c>
      <c r="M131" s="2" t="s">
        <v>82</v>
      </c>
    </row>
    <row r="132" customFormat="false" ht="15" hidden="false" customHeight="false" outlineLevel="0" collapsed="false">
      <c r="A132" s="2" t="s">
        <v>97</v>
      </c>
      <c r="B132" s="2" t="s">
        <v>93</v>
      </c>
      <c r="C132" s="4" t="n">
        <v>1</v>
      </c>
      <c r="D132" s="2" t="s">
        <v>437</v>
      </c>
      <c r="E132" s="2" t="s">
        <v>375</v>
      </c>
      <c r="F132" s="6" t="n">
        <v>8</v>
      </c>
      <c r="G132" s="9" t="n">
        <v>20.4259875</v>
      </c>
      <c r="H132" s="13" t="s">
        <v>438</v>
      </c>
      <c r="I132" s="2" t="s">
        <v>439</v>
      </c>
      <c r="J132" s="3" t="n">
        <v>0</v>
      </c>
      <c r="K132" s="2" t="s">
        <v>440</v>
      </c>
      <c r="L132" s="5" t="n">
        <f aca="false">IF(COUNTIF('04_MAQUINAS'!$A$2:$A$18,E132)&gt;0,1,0)</f>
        <v>1</v>
      </c>
      <c r="M132" s="2" t="s">
        <v>82</v>
      </c>
    </row>
    <row r="133" customFormat="false" ht="15" hidden="false" customHeight="false" outlineLevel="0" collapsed="false">
      <c r="A133" s="2" t="s">
        <v>97</v>
      </c>
      <c r="B133" s="2" t="s">
        <v>93</v>
      </c>
      <c r="C133" s="4" t="n">
        <v>2</v>
      </c>
      <c r="D133" s="2" t="s">
        <v>441</v>
      </c>
      <c r="E133" s="2" t="s">
        <v>380</v>
      </c>
      <c r="F133" s="6" t="n">
        <v>8</v>
      </c>
      <c r="G133" s="9" t="n">
        <v>10.88</v>
      </c>
      <c r="H133" s="13" t="n">
        <v>1</v>
      </c>
      <c r="I133" s="2" t="s">
        <v>439</v>
      </c>
      <c r="J133" s="3" t="n">
        <v>0</v>
      </c>
      <c r="K133" s="2" t="s">
        <v>440</v>
      </c>
      <c r="L133" s="5" t="n">
        <f aca="false">IF(COUNTIF('04_MAQUINAS'!$A$2:$A$18,E133)&gt;0,1,0)</f>
        <v>1</v>
      </c>
      <c r="M133" s="2" t="s">
        <v>82</v>
      </c>
    </row>
    <row r="134" customFormat="false" ht="15" hidden="false" customHeight="false" outlineLevel="0" collapsed="false">
      <c r="A134" s="2" t="s">
        <v>97</v>
      </c>
      <c r="B134" s="2" t="s">
        <v>93</v>
      </c>
      <c r="C134" s="4" t="n">
        <v>3</v>
      </c>
      <c r="D134" s="2" t="s">
        <v>386</v>
      </c>
      <c r="E134" s="2" t="s">
        <v>413</v>
      </c>
      <c r="F134" s="6" t="n">
        <v>10</v>
      </c>
      <c r="G134" s="9" t="n">
        <v>24.2</v>
      </c>
      <c r="H134" s="13" t="n">
        <v>2</v>
      </c>
      <c r="I134" s="2" t="s">
        <v>439</v>
      </c>
      <c r="J134" s="3" t="n">
        <v>0</v>
      </c>
      <c r="K134" s="2" t="s">
        <v>440</v>
      </c>
      <c r="L134" s="5" t="n">
        <f aca="false">IF(COUNTIF('04_MAQUINAS'!$A$2:$A$18,E134)&gt;0,1,0)</f>
        <v>1</v>
      </c>
      <c r="M134" s="2" t="s">
        <v>82</v>
      </c>
    </row>
    <row r="135" customFormat="false" ht="15" hidden="false" customHeight="false" outlineLevel="0" collapsed="false">
      <c r="A135" s="2" t="s">
        <v>97</v>
      </c>
      <c r="B135" s="2" t="s">
        <v>93</v>
      </c>
      <c r="C135" s="4" t="n">
        <v>4</v>
      </c>
      <c r="D135" s="2" t="s">
        <v>390</v>
      </c>
      <c r="E135" s="2" t="s">
        <v>387</v>
      </c>
      <c r="F135" s="6" t="n">
        <v>12</v>
      </c>
      <c r="G135" s="9" t="n">
        <v>30</v>
      </c>
      <c r="H135" s="13" t="n">
        <v>3</v>
      </c>
      <c r="I135" s="2" t="s">
        <v>439</v>
      </c>
      <c r="J135" s="3" t="n">
        <v>0</v>
      </c>
      <c r="K135" s="2" t="s">
        <v>440</v>
      </c>
      <c r="L135" s="5" t="n">
        <f aca="false">IF(COUNTIF('04_MAQUINAS'!$A$2:$A$18,E135)&gt;0,1,0)</f>
        <v>1</v>
      </c>
      <c r="M135" s="2" t="s">
        <v>82</v>
      </c>
    </row>
    <row r="136" customFormat="false" ht="15" hidden="false" customHeight="false" outlineLevel="0" collapsed="false">
      <c r="A136" s="2" t="s">
        <v>97</v>
      </c>
      <c r="B136" s="2" t="s">
        <v>93</v>
      </c>
      <c r="C136" s="4" t="n">
        <v>5</v>
      </c>
      <c r="D136" s="2" t="s">
        <v>442</v>
      </c>
      <c r="E136" s="2" t="s">
        <v>415</v>
      </c>
      <c r="F136" s="6" t="n">
        <v>10</v>
      </c>
      <c r="G136" s="9" t="n">
        <v>22.4</v>
      </c>
      <c r="H136" s="13" t="n">
        <v>4</v>
      </c>
      <c r="I136" s="2" t="s">
        <v>439</v>
      </c>
      <c r="J136" s="3" t="n">
        <v>0</v>
      </c>
      <c r="K136" s="2" t="s">
        <v>440</v>
      </c>
      <c r="L136" s="5" t="n">
        <f aca="false">IF(COUNTIF('04_MAQUINAS'!$A$2:$A$18,E136)&gt;0,1,0)</f>
        <v>1</v>
      </c>
      <c r="M136" s="2" t="s">
        <v>82</v>
      </c>
    </row>
    <row r="137" customFormat="false" ht="15" hidden="false" customHeight="false" outlineLevel="0" collapsed="false">
      <c r="A137" s="2" t="s">
        <v>97</v>
      </c>
      <c r="B137" s="2" t="s">
        <v>93</v>
      </c>
      <c r="C137" s="4" t="n">
        <v>6</v>
      </c>
      <c r="D137" s="2" t="s">
        <v>445</v>
      </c>
      <c r="E137" s="2" t="s">
        <v>402</v>
      </c>
      <c r="F137" s="6" t="n">
        <v>12</v>
      </c>
      <c r="G137" s="9" t="n">
        <v>7.76</v>
      </c>
      <c r="H137" s="13" t="n">
        <v>5</v>
      </c>
      <c r="I137" s="2" t="s">
        <v>439</v>
      </c>
      <c r="J137" s="3" t="n">
        <v>0</v>
      </c>
      <c r="K137" s="2" t="s">
        <v>446</v>
      </c>
      <c r="L137" s="5" t="n">
        <f aca="false">IF(COUNTIF('04_MAQUINAS'!$A$2:$A$18,E137)&gt;0,1,0)</f>
        <v>1</v>
      </c>
      <c r="M137" s="2" t="s">
        <v>82</v>
      </c>
    </row>
    <row r="138" customFormat="false" ht="15" hidden="false" customHeight="false" outlineLevel="0" collapsed="false">
      <c r="A138" s="2" t="s">
        <v>97</v>
      </c>
      <c r="B138" s="2" t="s">
        <v>93</v>
      </c>
      <c r="C138" s="4" t="n">
        <v>7</v>
      </c>
      <c r="D138" s="2" t="s">
        <v>447</v>
      </c>
      <c r="E138" s="2" t="s">
        <v>421</v>
      </c>
      <c r="F138" s="6" t="n">
        <v>45</v>
      </c>
      <c r="G138" s="9" t="n">
        <v>0</v>
      </c>
      <c r="H138" s="13" t="n">
        <v>6</v>
      </c>
      <c r="I138" s="2" t="s">
        <v>448</v>
      </c>
      <c r="J138" s="3" t="n">
        <v>40</v>
      </c>
      <c r="K138" s="2" t="s">
        <v>446</v>
      </c>
      <c r="L138" s="5" t="n">
        <f aca="false">IF(COUNTIF('04_MAQUINAS'!$A$2:$A$18,E138)&gt;0,1,0)</f>
        <v>1</v>
      </c>
      <c r="M138" s="2" t="s">
        <v>82</v>
      </c>
    </row>
    <row r="139" customFormat="false" ht="15" hidden="false" customHeight="false" outlineLevel="0" collapsed="false">
      <c r="A139" s="2" t="s">
        <v>97</v>
      </c>
      <c r="B139" s="2" t="s">
        <v>93</v>
      </c>
      <c r="C139" s="4" t="n">
        <v>8</v>
      </c>
      <c r="D139" s="2" t="s">
        <v>449</v>
      </c>
      <c r="E139" s="2" t="s">
        <v>423</v>
      </c>
      <c r="F139" s="6" t="n">
        <v>8</v>
      </c>
      <c r="G139" s="9" t="n">
        <v>2.63</v>
      </c>
      <c r="H139" s="13" t="n">
        <v>7</v>
      </c>
      <c r="I139" s="2" t="s">
        <v>439</v>
      </c>
      <c r="J139" s="3" t="n">
        <v>0</v>
      </c>
      <c r="K139" s="2" t="s">
        <v>446</v>
      </c>
      <c r="L139" s="5" t="n">
        <f aca="false">IF(COUNTIF('04_MAQUINAS'!$A$2:$A$18,E139)&gt;0,1,0)</f>
        <v>1</v>
      </c>
      <c r="M139" s="2" t="s">
        <v>82</v>
      </c>
    </row>
    <row r="140" customFormat="false" ht="15" hidden="false" customHeight="false" outlineLevel="0" collapsed="false">
      <c r="A140" s="2" t="s">
        <v>97</v>
      </c>
      <c r="B140" s="2" t="s">
        <v>93</v>
      </c>
      <c r="C140" s="4" t="n">
        <v>9</v>
      </c>
      <c r="D140" s="2" t="s">
        <v>450</v>
      </c>
      <c r="E140" s="2" t="s">
        <v>406</v>
      </c>
      <c r="F140" s="6" t="n">
        <v>6</v>
      </c>
      <c r="G140" s="9" t="n">
        <v>75</v>
      </c>
      <c r="H140" s="13" t="n">
        <v>8</v>
      </c>
      <c r="I140" s="2" t="s">
        <v>439</v>
      </c>
      <c r="J140" s="3" t="n">
        <v>0</v>
      </c>
      <c r="K140" s="2" t="s">
        <v>440</v>
      </c>
      <c r="L140" s="5" t="n">
        <f aca="false">IF(COUNTIF('04_MAQUINAS'!$A$2:$A$18,E140)&gt;0,1,0)</f>
        <v>1</v>
      </c>
      <c r="M140" s="2" t="s">
        <v>82</v>
      </c>
    </row>
    <row r="141" customFormat="false" ht="15" hidden="false" customHeight="false" outlineLevel="0" collapsed="false">
      <c r="A141" s="2" t="s">
        <v>97</v>
      </c>
      <c r="B141" s="2" t="s">
        <v>93</v>
      </c>
      <c r="C141" s="4" t="n">
        <v>10</v>
      </c>
      <c r="D141" s="2" t="s">
        <v>453</v>
      </c>
      <c r="E141" s="2" t="s">
        <v>406</v>
      </c>
      <c r="F141" s="6" t="n">
        <v>0</v>
      </c>
      <c r="G141" s="9" t="n">
        <v>4</v>
      </c>
      <c r="H141" s="13" t="n">
        <v>9</v>
      </c>
      <c r="I141" s="2" t="s">
        <v>439</v>
      </c>
      <c r="J141" s="3" t="n">
        <v>0</v>
      </c>
      <c r="K141" s="2" t="s">
        <v>446</v>
      </c>
      <c r="L141" s="5" t="n">
        <f aca="false">IF(COUNTIF('04_MAQUINAS'!$A$2:$A$18,E141)&gt;0,1,0)</f>
        <v>1</v>
      </c>
      <c r="M141" s="2" t="s">
        <v>82</v>
      </c>
    </row>
    <row r="142" customFormat="false" ht="15" hidden="false" customHeight="false" outlineLevel="0" collapsed="false">
      <c r="A142" s="2" t="s">
        <v>99</v>
      </c>
      <c r="B142" s="2" t="s">
        <v>93</v>
      </c>
      <c r="C142" s="4" t="n">
        <v>1</v>
      </c>
      <c r="D142" s="2" t="s">
        <v>437</v>
      </c>
      <c r="E142" s="2" t="s">
        <v>375</v>
      </c>
      <c r="F142" s="6" t="n">
        <v>8</v>
      </c>
      <c r="G142" s="9" t="n">
        <v>19.15681875</v>
      </c>
      <c r="H142" s="13" t="s">
        <v>438</v>
      </c>
      <c r="I142" s="2" t="s">
        <v>439</v>
      </c>
      <c r="J142" s="3" t="n">
        <v>0</v>
      </c>
      <c r="K142" s="2" t="s">
        <v>440</v>
      </c>
      <c r="L142" s="5" t="n">
        <f aca="false">IF(COUNTIF('04_MAQUINAS'!$A$2:$A$18,E142)&gt;0,1,0)</f>
        <v>1</v>
      </c>
      <c r="M142" s="2" t="s">
        <v>82</v>
      </c>
    </row>
    <row r="143" customFormat="false" ht="15" hidden="false" customHeight="false" outlineLevel="0" collapsed="false">
      <c r="A143" s="2" t="s">
        <v>99</v>
      </c>
      <c r="B143" s="2" t="s">
        <v>93</v>
      </c>
      <c r="C143" s="4" t="n">
        <v>2</v>
      </c>
      <c r="D143" s="2" t="s">
        <v>441</v>
      </c>
      <c r="E143" s="2" t="s">
        <v>380</v>
      </c>
      <c r="F143" s="6" t="n">
        <v>8</v>
      </c>
      <c r="G143" s="9" t="n">
        <v>10.7</v>
      </c>
      <c r="H143" s="13" t="n">
        <v>1</v>
      </c>
      <c r="I143" s="2" t="s">
        <v>439</v>
      </c>
      <c r="J143" s="3" t="n">
        <v>0</v>
      </c>
      <c r="K143" s="2" t="s">
        <v>440</v>
      </c>
      <c r="L143" s="5" t="n">
        <f aca="false">IF(COUNTIF('04_MAQUINAS'!$A$2:$A$18,E143)&gt;0,1,0)</f>
        <v>1</v>
      </c>
      <c r="M143" s="2" t="s">
        <v>82</v>
      </c>
    </row>
    <row r="144" customFormat="false" ht="15" hidden="false" customHeight="false" outlineLevel="0" collapsed="false">
      <c r="A144" s="2" t="s">
        <v>99</v>
      </c>
      <c r="B144" s="2" t="s">
        <v>93</v>
      </c>
      <c r="C144" s="4" t="n">
        <v>3</v>
      </c>
      <c r="D144" s="2" t="s">
        <v>386</v>
      </c>
      <c r="E144" s="2" t="s">
        <v>413</v>
      </c>
      <c r="F144" s="6" t="n">
        <v>10</v>
      </c>
      <c r="G144" s="9" t="n">
        <v>24.2</v>
      </c>
      <c r="H144" s="13" t="n">
        <v>2</v>
      </c>
      <c r="I144" s="2" t="s">
        <v>439</v>
      </c>
      <c r="J144" s="3" t="n">
        <v>0</v>
      </c>
      <c r="K144" s="2" t="s">
        <v>440</v>
      </c>
      <c r="L144" s="5" t="n">
        <f aca="false">IF(COUNTIF('04_MAQUINAS'!$A$2:$A$18,E144)&gt;0,1,0)</f>
        <v>1</v>
      </c>
      <c r="M144" s="2" t="s">
        <v>82</v>
      </c>
    </row>
    <row r="145" customFormat="false" ht="15" hidden="false" customHeight="false" outlineLevel="0" collapsed="false">
      <c r="A145" s="2" t="s">
        <v>99</v>
      </c>
      <c r="B145" s="2" t="s">
        <v>93</v>
      </c>
      <c r="C145" s="4" t="n">
        <v>4</v>
      </c>
      <c r="D145" s="2" t="s">
        <v>390</v>
      </c>
      <c r="E145" s="2" t="s">
        <v>387</v>
      </c>
      <c r="F145" s="6" t="n">
        <v>12</v>
      </c>
      <c r="G145" s="9" t="n">
        <v>30</v>
      </c>
      <c r="H145" s="13" t="n">
        <v>3</v>
      </c>
      <c r="I145" s="2" t="s">
        <v>439</v>
      </c>
      <c r="J145" s="3" t="n">
        <v>0</v>
      </c>
      <c r="K145" s="2" t="s">
        <v>440</v>
      </c>
      <c r="L145" s="5" t="n">
        <f aca="false">IF(COUNTIF('04_MAQUINAS'!$A$2:$A$18,E145)&gt;0,1,0)</f>
        <v>1</v>
      </c>
      <c r="M145" s="2" t="s">
        <v>82</v>
      </c>
    </row>
    <row r="146" customFormat="false" ht="15" hidden="false" customHeight="false" outlineLevel="0" collapsed="false">
      <c r="A146" s="2" t="s">
        <v>99</v>
      </c>
      <c r="B146" s="2" t="s">
        <v>93</v>
      </c>
      <c r="C146" s="4" t="n">
        <v>5</v>
      </c>
      <c r="D146" s="2" t="s">
        <v>442</v>
      </c>
      <c r="E146" s="2" t="s">
        <v>415</v>
      </c>
      <c r="F146" s="6" t="n">
        <v>10</v>
      </c>
      <c r="G146" s="9" t="n">
        <v>22.4</v>
      </c>
      <c r="H146" s="13" t="n">
        <v>4</v>
      </c>
      <c r="I146" s="2" t="s">
        <v>439</v>
      </c>
      <c r="J146" s="3" t="n">
        <v>0</v>
      </c>
      <c r="K146" s="2" t="s">
        <v>440</v>
      </c>
      <c r="L146" s="5" t="n">
        <f aca="false">IF(COUNTIF('04_MAQUINAS'!$A$2:$A$18,E146)&gt;0,1,0)</f>
        <v>1</v>
      </c>
      <c r="M146" s="2" t="s">
        <v>82</v>
      </c>
    </row>
    <row r="147" customFormat="false" ht="15" hidden="false" customHeight="false" outlineLevel="0" collapsed="false">
      <c r="A147" s="2" t="s">
        <v>99</v>
      </c>
      <c r="B147" s="2" t="s">
        <v>93</v>
      </c>
      <c r="C147" s="4" t="n">
        <v>6</v>
      </c>
      <c r="D147" s="2" t="s">
        <v>445</v>
      </c>
      <c r="E147" s="2" t="s">
        <v>402</v>
      </c>
      <c r="F147" s="6" t="n">
        <v>12</v>
      </c>
      <c r="G147" s="9" t="n">
        <v>7.34</v>
      </c>
      <c r="H147" s="13" t="n">
        <v>5</v>
      </c>
      <c r="I147" s="2" t="s">
        <v>439</v>
      </c>
      <c r="J147" s="3" t="n">
        <v>0</v>
      </c>
      <c r="K147" s="2" t="s">
        <v>446</v>
      </c>
      <c r="L147" s="5" t="n">
        <f aca="false">IF(COUNTIF('04_MAQUINAS'!$A$2:$A$18,E147)&gt;0,1,0)</f>
        <v>1</v>
      </c>
      <c r="M147" s="2" t="s">
        <v>82</v>
      </c>
    </row>
    <row r="148" customFormat="false" ht="15" hidden="false" customHeight="false" outlineLevel="0" collapsed="false">
      <c r="A148" s="2" t="s">
        <v>99</v>
      </c>
      <c r="B148" s="2" t="s">
        <v>93</v>
      </c>
      <c r="C148" s="4" t="n">
        <v>7</v>
      </c>
      <c r="D148" s="2" t="s">
        <v>447</v>
      </c>
      <c r="E148" s="2" t="s">
        <v>421</v>
      </c>
      <c r="F148" s="6" t="n">
        <v>45</v>
      </c>
      <c r="G148" s="9" t="n">
        <v>0</v>
      </c>
      <c r="H148" s="13" t="n">
        <v>6</v>
      </c>
      <c r="I148" s="2" t="s">
        <v>448</v>
      </c>
      <c r="J148" s="3" t="n">
        <v>40</v>
      </c>
      <c r="K148" s="2" t="s">
        <v>446</v>
      </c>
      <c r="L148" s="5" t="n">
        <f aca="false">IF(COUNTIF('04_MAQUINAS'!$A$2:$A$18,E148)&gt;0,1,0)</f>
        <v>1</v>
      </c>
      <c r="M148" s="2" t="s">
        <v>82</v>
      </c>
    </row>
    <row r="149" customFormat="false" ht="15" hidden="false" customHeight="false" outlineLevel="0" collapsed="false">
      <c r="A149" s="2" t="s">
        <v>99</v>
      </c>
      <c r="B149" s="2" t="s">
        <v>93</v>
      </c>
      <c r="C149" s="4" t="n">
        <v>8</v>
      </c>
      <c r="D149" s="2" t="s">
        <v>449</v>
      </c>
      <c r="E149" s="2" t="s">
        <v>423</v>
      </c>
      <c r="F149" s="6" t="n">
        <v>8</v>
      </c>
      <c r="G149" s="9" t="n">
        <v>2.54</v>
      </c>
      <c r="H149" s="13" t="n">
        <v>7</v>
      </c>
      <c r="I149" s="2" t="s">
        <v>439</v>
      </c>
      <c r="J149" s="3" t="n">
        <v>0</v>
      </c>
      <c r="K149" s="2" t="s">
        <v>446</v>
      </c>
      <c r="L149" s="5" t="n">
        <f aca="false">IF(COUNTIF('04_MAQUINAS'!$A$2:$A$18,E149)&gt;0,1,0)</f>
        <v>1</v>
      </c>
      <c r="M149" s="2" t="s">
        <v>82</v>
      </c>
    </row>
    <row r="150" customFormat="false" ht="15" hidden="false" customHeight="false" outlineLevel="0" collapsed="false">
      <c r="A150" s="2" t="s">
        <v>99</v>
      </c>
      <c r="B150" s="2" t="s">
        <v>93</v>
      </c>
      <c r="C150" s="4" t="n">
        <v>9</v>
      </c>
      <c r="D150" s="2" t="s">
        <v>450</v>
      </c>
      <c r="E150" s="2" t="s">
        <v>406</v>
      </c>
      <c r="F150" s="6" t="n">
        <v>6</v>
      </c>
      <c r="G150" s="9" t="n">
        <v>75</v>
      </c>
      <c r="H150" s="13" t="n">
        <v>8</v>
      </c>
      <c r="I150" s="2" t="s">
        <v>439</v>
      </c>
      <c r="J150" s="3" t="n">
        <v>0</v>
      </c>
      <c r="K150" s="2" t="s">
        <v>440</v>
      </c>
      <c r="L150" s="5" t="n">
        <f aca="false">IF(COUNTIF('04_MAQUINAS'!$A$2:$A$18,E150)&gt;0,1,0)</f>
        <v>1</v>
      </c>
      <c r="M150" s="2" t="s">
        <v>82</v>
      </c>
    </row>
    <row r="151" customFormat="false" ht="15" hidden="false" customHeight="false" outlineLevel="0" collapsed="false">
      <c r="A151" s="2" t="s">
        <v>99</v>
      </c>
      <c r="B151" s="2" t="s">
        <v>93</v>
      </c>
      <c r="C151" s="4" t="n">
        <v>10</v>
      </c>
      <c r="D151" s="2" t="s">
        <v>453</v>
      </c>
      <c r="E151" s="2" t="s">
        <v>406</v>
      </c>
      <c r="F151" s="6" t="n">
        <v>0</v>
      </c>
      <c r="G151" s="9" t="n">
        <v>4</v>
      </c>
      <c r="H151" s="13" t="n">
        <v>9</v>
      </c>
      <c r="I151" s="2" t="s">
        <v>439</v>
      </c>
      <c r="J151" s="3" t="n">
        <v>0</v>
      </c>
      <c r="K151" s="2" t="s">
        <v>446</v>
      </c>
      <c r="L151" s="5" t="n">
        <f aca="false">IF(COUNTIF('04_MAQUINAS'!$A$2:$A$18,E151)&gt;0,1,0)</f>
        <v>1</v>
      </c>
      <c r="M151" s="2" t="s">
        <v>82</v>
      </c>
    </row>
    <row r="152" customFormat="false" ht="15" hidden="false" customHeight="false" outlineLevel="0" collapsed="false">
      <c r="A152" s="2" t="s">
        <v>101</v>
      </c>
      <c r="B152" s="2" t="s">
        <v>93</v>
      </c>
      <c r="C152" s="4" t="n">
        <v>1</v>
      </c>
      <c r="D152" s="2" t="s">
        <v>437</v>
      </c>
      <c r="E152" s="2" t="s">
        <v>375</v>
      </c>
      <c r="F152" s="6" t="n">
        <v>8</v>
      </c>
      <c r="G152" s="9" t="n">
        <v>17.849175</v>
      </c>
      <c r="H152" s="13" t="s">
        <v>438</v>
      </c>
      <c r="I152" s="2" t="s">
        <v>439</v>
      </c>
      <c r="J152" s="3" t="n">
        <v>0</v>
      </c>
      <c r="K152" s="2" t="s">
        <v>440</v>
      </c>
      <c r="L152" s="5" t="n">
        <f aca="false">IF(COUNTIF('04_MAQUINAS'!$A$2:$A$18,E152)&gt;0,1,0)</f>
        <v>1</v>
      </c>
      <c r="M152" s="2" t="s">
        <v>82</v>
      </c>
    </row>
    <row r="153" customFormat="false" ht="15" hidden="false" customHeight="false" outlineLevel="0" collapsed="false">
      <c r="A153" s="2" t="s">
        <v>101</v>
      </c>
      <c r="B153" s="2" t="s">
        <v>93</v>
      </c>
      <c r="C153" s="4" t="n">
        <v>2</v>
      </c>
      <c r="D153" s="2" t="s">
        <v>441</v>
      </c>
      <c r="E153" s="2" t="s">
        <v>380</v>
      </c>
      <c r="F153" s="6" t="n">
        <v>8</v>
      </c>
      <c r="G153" s="9" t="n">
        <v>10.28</v>
      </c>
      <c r="H153" s="13" t="n">
        <v>1</v>
      </c>
      <c r="I153" s="2" t="s">
        <v>439</v>
      </c>
      <c r="J153" s="3" t="n">
        <v>0</v>
      </c>
      <c r="K153" s="2" t="s">
        <v>440</v>
      </c>
      <c r="L153" s="5" t="n">
        <f aca="false">IF(COUNTIF('04_MAQUINAS'!$A$2:$A$18,E153)&gt;0,1,0)</f>
        <v>1</v>
      </c>
      <c r="M153" s="2" t="s">
        <v>82</v>
      </c>
    </row>
    <row r="154" customFormat="false" ht="15" hidden="false" customHeight="false" outlineLevel="0" collapsed="false">
      <c r="A154" s="2" t="s">
        <v>101</v>
      </c>
      <c r="B154" s="2" t="s">
        <v>93</v>
      </c>
      <c r="C154" s="4" t="n">
        <v>3</v>
      </c>
      <c r="D154" s="2" t="s">
        <v>386</v>
      </c>
      <c r="E154" s="2" t="s">
        <v>413</v>
      </c>
      <c r="F154" s="6" t="n">
        <v>10</v>
      </c>
      <c r="G154" s="9" t="n">
        <v>24.2</v>
      </c>
      <c r="H154" s="13" t="n">
        <v>2</v>
      </c>
      <c r="I154" s="2" t="s">
        <v>439</v>
      </c>
      <c r="J154" s="3" t="n">
        <v>0</v>
      </c>
      <c r="K154" s="2" t="s">
        <v>440</v>
      </c>
      <c r="L154" s="5" t="n">
        <f aca="false">IF(COUNTIF('04_MAQUINAS'!$A$2:$A$18,E154)&gt;0,1,0)</f>
        <v>1</v>
      </c>
      <c r="M154" s="2" t="s">
        <v>82</v>
      </c>
    </row>
    <row r="155" customFormat="false" ht="15" hidden="false" customHeight="false" outlineLevel="0" collapsed="false">
      <c r="A155" s="2" t="s">
        <v>101</v>
      </c>
      <c r="B155" s="2" t="s">
        <v>93</v>
      </c>
      <c r="C155" s="4" t="n">
        <v>4</v>
      </c>
      <c r="D155" s="2" t="s">
        <v>390</v>
      </c>
      <c r="E155" s="2" t="s">
        <v>387</v>
      </c>
      <c r="F155" s="6" t="n">
        <v>12</v>
      </c>
      <c r="G155" s="9" t="n">
        <v>30</v>
      </c>
      <c r="H155" s="13" t="n">
        <v>3</v>
      </c>
      <c r="I155" s="2" t="s">
        <v>439</v>
      </c>
      <c r="J155" s="3" t="n">
        <v>0</v>
      </c>
      <c r="K155" s="2" t="s">
        <v>440</v>
      </c>
      <c r="L155" s="5" t="n">
        <f aca="false">IF(COUNTIF('04_MAQUINAS'!$A$2:$A$18,E155)&gt;0,1,0)</f>
        <v>1</v>
      </c>
      <c r="M155" s="2" t="s">
        <v>82</v>
      </c>
    </row>
    <row r="156" customFormat="false" ht="15" hidden="false" customHeight="false" outlineLevel="0" collapsed="false">
      <c r="A156" s="2" t="s">
        <v>101</v>
      </c>
      <c r="B156" s="2" t="s">
        <v>93</v>
      </c>
      <c r="C156" s="4" t="n">
        <v>5</v>
      </c>
      <c r="D156" s="2" t="s">
        <v>442</v>
      </c>
      <c r="E156" s="2" t="s">
        <v>415</v>
      </c>
      <c r="F156" s="6" t="n">
        <v>10</v>
      </c>
      <c r="G156" s="9" t="n">
        <v>22.4</v>
      </c>
      <c r="H156" s="13" t="n">
        <v>4</v>
      </c>
      <c r="I156" s="2" t="s">
        <v>439</v>
      </c>
      <c r="J156" s="3" t="n">
        <v>0</v>
      </c>
      <c r="K156" s="2" t="s">
        <v>440</v>
      </c>
      <c r="L156" s="5" t="n">
        <f aca="false">IF(COUNTIF('04_MAQUINAS'!$A$2:$A$18,E156)&gt;0,1,0)</f>
        <v>1</v>
      </c>
      <c r="M156" s="2" t="s">
        <v>82</v>
      </c>
    </row>
    <row r="157" customFormat="false" ht="15" hidden="false" customHeight="false" outlineLevel="0" collapsed="false">
      <c r="A157" s="2" t="s">
        <v>101</v>
      </c>
      <c r="B157" s="2" t="s">
        <v>93</v>
      </c>
      <c r="C157" s="4" t="n">
        <v>6</v>
      </c>
      <c r="D157" s="2" t="s">
        <v>445</v>
      </c>
      <c r="E157" s="2" t="s">
        <v>402</v>
      </c>
      <c r="F157" s="6" t="n">
        <v>12</v>
      </c>
      <c r="G157" s="9" t="n">
        <v>6.7</v>
      </c>
      <c r="H157" s="13" t="n">
        <v>5</v>
      </c>
      <c r="I157" s="2" t="s">
        <v>439</v>
      </c>
      <c r="J157" s="3" t="n">
        <v>0</v>
      </c>
      <c r="K157" s="2" t="s">
        <v>446</v>
      </c>
      <c r="L157" s="5" t="n">
        <f aca="false">IF(COUNTIF('04_MAQUINAS'!$A$2:$A$18,E157)&gt;0,1,0)</f>
        <v>1</v>
      </c>
      <c r="M157" s="2" t="s">
        <v>82</v>
      </c>
    </row>
    <row r="158" customFormat="false" ht="15" hidden="false" customHeight="false" outlineLevel="0" collapsed="false">
      <c r="A158" s="2" t="s">
        <v>101</v>
      </c>
      <c r="B158" s="2" t="s">
        <v>93</v>
      </c>
      <c r="C158" s="4" t="n">
        <v>7</v>
      </c>
      <c r="D158" s="2" t="s">
        <v>447</v>
      </c>
      <c r="E158" s="2" t="s">
        <v>421</v>
      </c>
      <c r="F158" s="6" t="n">
        <v>45</v>
      </c>
      <c r="G158" s="9" t="n">
        <v>0</v>
      </c>
      <c r="H158" s="13" t="n">
        <v>6</v>
      </c>
      <c r="I158" s="2" t="s">
        <v>448</v>
      </c>
      <c r="J158" s="3" t="n">
        <v>40</v>
      </c>
      <c r="K158" s="2" t="s">
        <v>446</v>
      </c>
      <c r="L158" s="5" t="n">
        <f aca="false">IF(COUNTIF('04_MAQUINAS'!$A$2:$A$18,E158)&gt;0,1,0)</f>
        <v>1</v>
      </c>
      <c r="M158" s="2" t="s">
        <v>82</v>
      </c>
    </row>
    <row r="159" customFormat="false" ht="15" hidden="false" customHeight="false" outlineLevel="0" collapsed="false">
      <c r="A159" s="2" t="s">
        <v>101</v>
      </c>
      <c r="B159" s="2" t="s">
        <v>93</v>
      </c>
      <c r="C159" s="4" t="n">
        <v>8</v>
      </c>
      <c r="D159" s="2" t="s">
        <v>449</v>
      </c>
      <c r="E159" s="2" t="s">
        <v>423</v>
      </c>
      <c r="F159" s="6" t="n">
        <v>8</v>
      </c>
      <c r="G159" s="9" t="n">
        <v>2.39</v>
      </c>
      <c r="H159" s="13" t="n">
        <v>7</v>
      </c>
      <c r="I159" s="2" t="s">
        <v>439</v>
      </c>
      <c r="J159" s="3" t="n">
        <v>0</v>
      </c>
      <c r="K159" s="2" t="s">
        <v>446</v>
      </c>
      <c r="L159" s="5" t="n">
        <f aca="false">IF(COUNTIF('04_MAQUINAS'!$A$2:$A$18,E159)&gt;0,1,0)</f>
        <v>1</v>
      </c>
      <c r="M159" s="2" t="s">
        <v>82</v>
      </c>
    </row>
    <row r="160" customFormat="false" ht="15" hidden="false" customHeight="false" outlineLevel="0" collapsed="false">
      <c r="A160" s="2" t="s">
        <v>101</v>
      </c>
      <c r="B160" s="2" t="s">
        <v>93</v>
      </c>
      <c r="C160" s="4" t="n">
        <v>9</v>
      </c>
      <c r="D160" s="2" t="s">
        <v>450</v>
      </c>
      <c r="E160" s="2" t="s">
        <v>406</v>
      </c>
      <c r="F160" s="6" t="n">
        <v>6</v>
      </c>
      <c r="G160" s="9" t="n">
        <v>75</v>
      </c>
      <c r="H160" s="13" t="n">
        <v>8</v>
      </c>
      <c r="I160" s="2" t="s">
        <v>439</v>
      </c>
      <c r="J160" s="3" t="n">
        <v>0</v>
      </c>
      <c r="K160" s="2" t="s">
        <v>440</v>
      </c>
      <c r="L160" s="5" t="n">
        <f aca="false">IF(COUNTIF('04_MAQUINAS'!$A$2:$A$18,E160)&gt;0,1,0)</f>
        <v>1</v>
      </c>
      <c r="M160" s="2" t="s">
        <v>82</v>
      </c>
    </row>
    <row r="161" customFormat="false" ht="15" hidden="false" customHeight="false" outlineLevel="0" collapsed="false">
      <c r="A161" s="2" t="s">
        <v>101</v>
      </c>
      <c r="B161" s="2" t="s">
        <v>93</v>
      </c>
      <c r="C161" s="4" t="n">
        <v>10</v>
      </c>
      <c r="D161" s="2" t="s">
        <v>453</v>
      </c>
      <c r="E161" s="2" t="s">
        <v>406</v>
      </c>
      <c r="F161" s="6" t="n">
        <v>0</v>
      </c>
      <c r="G161" s="9" t="n">
        <v>4</v>
      </c>
      <c r="H161" s="13" t="n">
        <v>9</v>
      </c>
      <c r="I161" s="2" t="s">
        <v>439</v>
      </c>
      <c r="J161" s="3" t="n">
        <v>0</v>
      </c>
      <c r="K161" s="2" t="s">
        <v>446</v>
      </c>
      <c r="L161" s="5" t="n">
        <f aca="false">IF(COUNTIF('04_MAQUINAS'!$A$2:$A$18,E161)&gt;0,1,0)</f>
        <v>1</v>
      </c>
      <c r="M161" s="2" t="s">
        <v>82</v>
      </c>
    </row>
    <row r="162" customFormat="false" ht="15" hidden="false" customHeight="false" outlineLevel="0" collapsed="false">
      <c r="A162" s="2" t="s">
        <v>103</v>
      </c>
      <c r="B162" s="2" t="s">
        <v>93</v>
      </c>
      <c r="C162" s="4" t="n">
        <v>1</v>
      </c>
      <c r="D162" s="2" t="s">
        <v>437</v>
      </c>
      <c r="E162" s="2" t="s">
        <v>375</v>
      </c>
      <c r="F162" s="6" t="n">
        <v>8</v>
      </c>
      <c r="G162" s="9" t="n">
        <v>17.868075</v>
      </c>
      <c r="H162" s="13" t="s">
        <v>438</v>
      </c>
      <c r="I162" s="2" t="s">
        <v>439</v>
      </c>
      <c r="J162" s="3" t="n">
        <v>0</v>
      </c>
      <c r="K162" s="2" t="s">
        <v>440</v>
      </c>
      <c r="L162" s="5" t="n">
        <f aca="false">IF(COUNTIF('04_MAQUINAS'!$A$2:$A$18,E162)&gt;0,1,0)</f>
        <v>1</v>
      </c>
      <c r="M162" s="2" t="s">
        <v>82</v>
      </c>
    </row>
    <row r="163" customFormat="false" ht="15" hidden="false" customHeight="false" outlineLevel="0" collapsed="false">
      <c r="A163" s="2" t="s">
        <v>103</v>
      </c>
      <c r="B163" s="2" t="s">
        <v>93</v>
      </c>
      <c r="C163" s="4" t="n">
        <v>2</v>
      </c>
      <c r="D163" s="2" t="s">
        <v>441</v>
      </c>
      <c r="E163" s="2" t="s">
        <v>380</v>
      </c>
      <c r="F163" s="6" t="n">
        <v>8</v>
      </c>
      <c r="G163" s="9" t="n">
        <v>10.64</v>
      </c>
      <c r="H163" s="13" t="n">
        <v>1</v>
      </c>
      <c r="I163" s="2" t="s">
        <v>439</v>
      </c>
      <c r="J163" s="3" t="n">
        <v>0</v>
      </c>
      <c r="K163" s="2" t="s">
        <v>440</v>
      </c>
      <c r="L163" s="5" t="n">
        <f aca="false">IF(COUNTIF('04_MAQUINAS'!$A$2:$A$18,E163)&gt;0,1,0)</f>
        <v>1</v>
      </c>
      <c r="M163" s="2" t="s">
        <v>82</v>
      </c>
    </row>
    <row r="164" customFormat="false" ht="15" hidden="false" customHeight="false" outlineLevel="0" collapsed="false">
      <c r="A164" s="2" t="s">
        <v>103</v>
      </c>
      <c r="B164" s="2" t="s">
        <v>93</v>
      </c>
      <c r="C164" s="4" t="n">
        <v>3</v>
      </c>
      <c r="D164" s="2" t="s">
        <v>386</v>
      </c>
      <c r="E164" s="2" t="s">
        <v>413</v>
      </c>
      <c r="F164" s="6" t="n">
        <v>10</v>
      </c>
      <c r="G164" s="9" t="n">
        <v>24.2</v>
      </c>
      <c r="H164" s="13" t="n">
        <v>2</v>
      </c>
      <c r="I164" s="2" t="s">
        <v>439</v>
      </c>
      <c r="J164" s="3" t="n">
        <v>0</v>
      </c>
      <c r="K164" s="2" t="s">
        <v>440</v>
      </c>
      <c r="L164" s="5" t="n">
        <f aca="false">IF(COUNTIF('04_MAQUINAS'!$A$2:$A$18,E164)&gt;0,1,0)</f>
        <v>1</v>
      </c>
      <c r="M164" s="2" t="s">
        <v>82</v>
      </c>
    </row>
    <row r="165" customFormat="false" ht="15" hidden="false" customHeight="false" outlineLevel="0" collapsed="false">
      <c r="A165" s="2" t="s">
        <v>103</v>
      </c>
      <c r="B165" s="2" t="s">
        <v>93</v>
      </c>
      <c r="C165" s="4" t="n">
        <v>4</v>
      </c>
      <c r="D165" s="2" t="s">
        <v>390</v>
      </c>
      <c r="E165" s="2" t="s">
        <v>387</v>
      </c>
      <c r="F165" s="6" t="n">
        <v>12</v>
      </c>
      <c r="G165" s="9" t="n">
        <v>30</v>
      </c>
      <c r="H165" s="13" t="n">
        <v>3</v>
      </c>
      <c r="I165" s="2" t="s">
        <v>439</v>
      </c>
      <c r="J165" s="3" t="n">
        <v>0</v>
      </c>
      <c r="K165" s="2" t="s">
        <v>440</v>
      </c>
      <c r="L165" s="5" t="n">
        <f aca="false">IF(COUNTIF('04_MAQUINAS'!$A$2:$A$18,E165)&gt;0,1,0)</f>
        <v>1</v>
      </c>
      <c r="M165" s="2" t="s">
        <v>82</v>
      </c>
    </row>
    <row r="166" customFormat="false" ht="15" hidden="false" customHeight="false" outlineLevel="0" collapsed="false">
      <c r="A166" s="2" t="s">
        <v>103</v>
      </c>
      <c r="B166" s="2" t="s">
        <v>93</v>
      </c>
      <c r="C166" s="4" t="n">
        <v>5</v>
      </c>
      <c r="D166" s="2" t="s">
        <v>442</v>
      </c>
      <c r="E166" s="2" t="s">
        <v>415</v>
      </c>
      <c r="F166" s="6" t="n">
        <v>10</v>
      </c>
      <c r="G166" s="9" t="n">
        <v>22.4</v>
      </c>
      <c r="H166" s="13" t="n">
        <v>4</v>
      </c>
      <c r="I166" s="2" t="s">
        <v>439</v>
      </c>
      <c r="J166" s="3" t="n">
        <v>0</v>
      </c>
      <c r="K166" s="2" t="s">
        <v>440</v>
      </c>
      <c r="L166" s="5" t="n">
        <f aca="false">IF(COUNTIF('04_MAQUINAS'!$A$2:$A$18,E166)&gt;0,1,0)</f>
        <v>1</v>
      </c>
      <c r="M166" s="2" t="s">
        <v>82</v>
      </c>
    </row>
    <row r="167" customFormat="false" ht="15" hidden="false" customHeight="false" outlineLevel="0" collapsed="false">
      <c r="A167" s="2" t="s">
        <v>103</v>
      </c>
      <c r="B167" s="2" t="s">
        <v>93</v>
      </c>
      <c r="C167" s="4" t="n">
        <v>6</v>
      </c>
      <c r="D167" s="2" t="s">
        <v>445</v>
      </c>
      <c r="E167" s="2" t="s">
        <v>402</v>
      </c>
      <c r="F167" s="6" t="n">
        <v>12</v>
      </c>
      <c r="G167" s="9" t="n">
        <v>7.76</v>
      </c>
      <c r="H167" s="13" t="n">
        <v>5</v>
      </c>
      <c r="I167" s="2" t="s">
        <v>439</v>
      </c>
      <c r="J167" s="3" t="n">
        <v>0</v>
      </c>
      <c r="K167" s="2" t="s">
        <v>446</v>
      </c>
      <c r="L167" s="5" t="n">
        <f aca="false">IF(COUNTIF('04_MAQUINAS'!$A$2:$A$18,E167)&gt;0,1,0)</f>
        <v>1</v>
      </c>
      <c r="M167" s="2" t="s">
        <v>82</v>
      </c>
    </row>
    <row r="168" customFormat="false" ht="15" hidden="false" customHeight="false" outlineLevel="0" collapsed="false">
      <c r="A168" s="2" t="s">
        <v>103</v>
      </c>
      <c r="B168" s="2" t="s">
        <v>93</v>
      </c>
      <c r="C168" s="4" t="n">
        <v>7</v>
      </c>
      <c r="D168" s="2" t="s">
        <v>447</v>
      </c>
      <c r="E168" s="2" t="s">
        <v>421</v>
      </c>
      <c r="F168" s="6" t="n">
        <v>45</v>
      </c>
      <c r="G168" s="9" t="n">
        <v>0</v>
      </c>
      <c r="H168" s="13" t="n">
        <v>6</v>
      </c>
      <c r="I168" s="2" t="s">
        <v>448</v>
      </c>
      <c r="J168" s="3" t="n">
        <v>40</v>
      </c>
      <c r="K168" s="2" t="s">
        <v>446</v>
      </c>
      <c r="L168" s="5" t="n">
        <f aca="false">IF(COUNTIF('04_MAQUINAS'!$A$2:$A$18,E168)&gt;0,1,0)</f>
        <v>1</v>
      </c>
      <c r="M168" s="2" t="s">
        <v>82</v>
      </c>
    </row>
    <row r="169" customFormat="false" ht="15" hidden="false" customHeight="false" outlineLevel="0" collapsed="false">
      <c r="A169" s="2" t="s">
        <v>103</v>
      </c>
      <c r="B169" s="2" t="s">
        <v>93</v>
      </c>
      <c r="C169" s="4" t="n">
        <v>8</v>
      </c>
      <c r="D169" s="2" t="s">
        <v>449</v>
      </c>
      <c r="E169" s="2" t="s">
        <v>423</v>
      </c>
      <c r="F169" s="6" t="n">
        <v>8</v>
      </c>
      <c r="G169" s="9" t="n">
        <v>2.63</v>
      </c>
      <c r="H169" s="13" t="n">
        <v>7</v>
      </c>
      <c r="I169" s="2" t="s">
        <v>439</v>
      </c>
      <c r="J169" s="3" t="n">
        <v>0</v>
      </c>
      <c r="K169" s="2" t="s">
        <v>446</v>
      </c>
      <c r="L169" s="5" t="n">
        <f aca="false">IF(COUNTIF('04_MAQUINAS'!$A$2:$A$18,E169)&gt;0,1,0)</f>
        <v>1</v>
      </c>
      <c r="M169" s="2" t="s">
        <v>82</v>
      </c>
    </row>
    <row r="170" customFormat="false" ht="15" hidden="false" customHeight="false" outlineLevel="0" collapsed="false">
      <c r="A170" s="2" t="s">
        <v>103</v>
      </c>
      <c r="B170" s="2" t="s">
        <v>93</v>
      </c>
      <c r="C170" s="4" t="n">
        <v>9</v>
      </c>
      <c r="D170" s="2" t="s">
        <v>450</v>
      </c>
      <c r="E170" s="2" t="s">
        <v>406</v>
      </c>
      <c r="F170" s="6" t="n">
        <v>6</v>
      </c>
      <c r="G170" s="9" t="n">
        <v>75</v>
      </c>
      <c r="H170" s="13" t="n">
        <v>8</v>
      </c>
      <c r="I170" s="2" t="s">
        <v>439</v>
      </c>
      <c r="J170" s="3" t="n">
        <v>0</v>
      </c>
      <c r="K170" s="2" t="s">
        <v>440</v>
      </c>
      <c r="L170" s="5" t="n">
        <f aca="false">IF(COUNTIF('04_MAQUINAS'!$A$2:$A$18,E170)&gt;0,1,0)</f>
        <v>1</v>
      </c>
      <c r="M170" s="2" t="s">
        <v>82</v>
      </c>
    </row>
    <row r="171" customFormat="false" ht="15" hidden="false" customHeight="false" outlineLevel="0" collapsed="false">
      <c r="A171" s="2" t="s">
        <v>103</v>
      </c>
      <c r="B171" s="2" t="s">
        <v>93</v>
      </c>
      <c r="C171" s="4" t="n">
        <v>10</v>
      </c>
      <c r="D171" s="2" t="s">
        <v>453</v>
      </c>
      <c r="E171" s="2" t="s">
        <v>406</v>
      </c>
      <c r="F171" s="6" t="n">
        <v>0</v>
      </c>
      <c r="G171" s="9" t="n">
        <v>4</v>
      </c>
      <c r="H171" s="13" t="n">
        <v>9</v>
      </c>
      <c r="I171" s="2" t="s">
        <v>439</v>
      </c>
      <c r="J171" s="3" t="n">
        <v>0</v>
      </c>
      <c r="K171" s="2" t="s">
        <v>446</v>
      </c>
      <c r="L171" s="5" t="n">
        <f aca="false">IF(COUNTIF('04_MAQUINAS'!$A$2:$A$18,E171)&gt;0,1,0)</f>
        <v>1</v>
      </c>
      <c r="M171" s="2" t="s">
        <v>82</v>
      </c>
    </row>
    <row r="172" customFormat="false" ht="15" hidden="false" customHeight="false" outlineLevel="0" collapsed="false">
      <c r="A172" s="2" t="s">
        <v>110</v>
      </c>
      <c r="B172" s="2" t="s">
        <v>105</v>
      </c>
      <c r="C172" s="4" t="n">
        <v>1</v>
      </c>
      <c r="D172" s="2" t="s">
        <v>437</v>
      </c>
      <c r="E172" s="2" t="s">
        <v>375</v>
      </c>
      <c r="F172" s="6" t="n">
        <v>8</v>
      </c>
      <c r="G172" s="9" t="n">
        <v>18.8176866</v>
      </c>
      <c r="H172" s="13" t="s">
        <v>438</v>
      </c>
      <c r="I172" s="2" t="s">
        <v>439</v>
      </c>
      <c r="J172" s="3" t="n">
        <v>0</v>
      </c>
      <c r="K172" s="2" t="s">
        <v>440</v>
      </c>
      <c r="L172" s="5" t="n">
        <f aca="false">IF(COUNTIF('04_MAQUINAS'!$A$2:$A$18,E172)&gt;0,1,0)</f>
        <v>1</v>
      </c>
      <c r="M172" s="2" t="s">
        <v>82</v>
      </c>
    </row>
    <row r="173" customFormat="false" ht="15" hidden="false" customHeight="false" outlineLevel="0" collapsed="false">
      <c r="A173" s="2" t="s">
        <v>110</v>
      </c>
      <c r="B173" s="2" t="s">
        <v>105</v>
      </c>
      <c r="C173" s="4" t="n">
        <v>2</v>
      </c>
      <c r="D173" s="2" t="s">
        <v>386</v>
      </c>
      <c r="E173" s="2" t="s">
        <v>413</v>
      </c>
      <c r="F173" s="6" t="n">
        <v>10</v>
      </c>
      <c r="G173" s="9" t="n">
        <v>7.9</v>
      </c>
      <c r="H173" s="13" t="n">
        <v>1</v>
      </c>
      <c r="I173" s="2" t="s">
        <v>439</v>
      </c>
      <c r="J173" s="3" t="n">
        <v>0</v>
      </c>
      <c r="K173" s="2" t="s">
        <v>440</v>
      </c>
      <c r="L173" s="5" t="n">
        <f aca="false">IF(COUNTIF('04_MAQUINAS'!$A$2:$A$18,E173)&gt;0,1,0)</f>
        <v>1</v>
      </c>
      <c r="M173" s="2" t="s">
        <v>82</v>
      </c>
    </row>
    <row r="174" customFormat="false" ht="15" hidden="false" customHeight="false" outlineLevel="0" collapsed="false">
      <c r="A174" s="2" t="s">
        <v>110</v>
      </c>
      <c r="B174" s="2" t="s">
        <v>105</v>
      </c>
      <c r="C174" s="4" t="n">
        <v>3</v>
      </c>
      <c r="D174" s="2" t="s">
        <v>390</v>
      </c>
      <c r="E174" s="2" t="s">
        <v>387</v>
      </c>
      <c r="F174" s="6" t="n">
        <v>12</v>
      </c>
      <c r="G174" s="9" t="n">
        <v>34</v>
      </c>
      <c r="H174" s="13" t="n">
        <v>2</v>
      </c>
      <c r="I174" s="2" t="s">
        <v>439</v>
      </c>
      <c r="J174" s="3" t="n">
        <v>0</v>
      </c>
      <c r="K174" s="2" t="s">
        <v>440</v>
      </c>
      <c r="L174" s="5" t="n">
        <f aca="false">IF(COUNTIF('04_MAQUINAS'!$A$2:$A$18,E174)&gt;0,1,0)</f>
        <v>1</v>
      </c>
      <c r="M174" s="2" t="s">
        <v>82</v>
      </c>
    </row>
    <row r="175" customFormat="false" ht="15" hidden="false" customHeight="false" outlineLevel="0" collapsed="false">
      <c r="A175" s="2" t="s">
        <v>110</v>
      </c>
      <c r="B175" s="2" t="s">
        <v>105</v>
      </c>
      <c r="C175" s="4" t="n">
        <v>4</v>
      </c>
      <c r="D175" s="2" t="s">
        <v>445</v>
      </c>
      <c r="E175" s="2" t="s">
        <v>402</v>
      </c>
      <c r="F175" s="6" t="n">
        <v>12</v>
      </c>
      <c r="G175" s="9" t="n">
        <v>6.2</v>
      </c>
      <c r="H175" s="13" t="n">
        <v>3</v>
      </c>
      <c r="I175" s="2" t="s">
        <v>439</v>
      </c>
      <c r="J175" s="3" t="n">
        <v>0</v>
      </c>
      <c r="K175" s="2" t="s">
        <v>446</v>
      </c>
      <c r="L175" s="5" t="n">
        <f aca="false">IF(COUNTIF('04_MAQUINAS'!$A$2:$A$18,E175)&gt;0,1,0)</f>
        <v>1</v>
      </c>
      <c r="M175" s="2" t="s">
        <v>82</v>
      </c>
    </row>
    <row r="176" customFormat="false" ht="15" hidden="false" customHeight="false" outlineLevel="0" collapsed="false">
      <c r="A176" s="2" t="s">
        <v>110</v>
      </c>
      <c r="B176" s="2" t="s">
        <v>105</v>
      </c>
      <c r="C176" s="4" t="n">
        <v>5</v>
      </c>
      <c r="D176" s="2" t="s">
        <v>447</v>
      </c>
      <c r="E176" s="2" t="s">
        <v>421</v>
      </c>
      <c r="F176" s="6" t="n">
        <v>45</v>
      </c>
      <c r="G176" s="9" t="n">
        <v>0</v>
      </c>
      <c r="H176" s="13" t="n">
        <v>4</v>
      </c>
      <c r="I176" s="2" t="s">
        <v>448</v>
      </c>
      <c r="J176" s="3" t="n">
        <v>40</v>
      </c>
      <c r="K176" s="2" t="s">
        <v>446</v>
      </c>
      <c r="L176" s="5" t="n">
        <f aca="false">IF(COUNTIF('04_MAQUINAS'!$A$2:$A$18,E176)&gt;0,1,0)</f>
        <v>1</v>
      </c>
      <c r="M176" s="2" t="s">
        <v>82</v>
      </c>
    </row>
    <row r="177" customFormat="false" ht="15" hidden="false" customHeight="false" outlineLevel="0" collapsed="false">
      <c r="A177" s="2" t="s">
        <v>110</v>
      </c>
      <c r="B177" s="2" t="s">
        <v>105</v>
      </c>
      <c r="C177" s="4" t="n">
        <v>6</v>
      </c>
      <c r="D177" s="2" t="s">
        <v>449</v>
      </c>
      <c r="E177" s="2" t="s">
        <v>423</v>
      </c>
      <c r="F177" s="6" t="n">
        <v>8</v>
      </c>
      <c r="G177" s="9" t="n">
        <v>2.27</v>
      </c>
      <c r="H177" s="13" t="n">
        <v>5</v>
      </c>
      <c r="I177" s="2" t="s">
        <v>439</v>
      </c>
      <c r="J177" s="3" t="n">
        <v>0</v>
      </c>
      <c r="K177" s="2" t="s">
        <v>446</v>
      </c>
      <c r="L177" s="5" t="n">
        <f aca="false">IF(COUNTIF('04_MAQUINAS'!$A$2:$A$18,E177)&gt;0,1,0)</f>
        <v>1</v>
      </c>
      <c r="M177" s="2" t="s">
        <v>82</v>
      </c>
    </row>
    <row r="178" customFormat="false" ht="15" hidden="false" customHeight="false" outlineLevel="0" collapsed="false">
      <c r="A178" s="2" t="s">
        <v>110</v>
      </c>
      <c r="B178" s="2" t="s">
        <v>105</v>
      </c>
      <c r="C178" s="4" t="n">
        <v>7</v>
      </c>
      <c r="D178" s="2" t="s">
        <v>450</v>
      </c>
      <c r="E178" s="2" t="s">
        <v>406</v>
      </c>
      <c r="F178" s="6" t="n">
        <v>6</v>
      </c>
      <c r="G178" s="9" t="n">
        <v>6.75</v>
      </c>
      <c r="H178" s="13" t="n">
        <v>6</v>
      </c>
      <c r="I178" s="2" t="s">
        <v>439</v>
      </c>
      <c r="J178" s="3" t="n">
        <v>0</v>
      </c>
      <c r="K178" s="2" t="s">
        <v>440</v>
      </c>
      <c r="L178" s="5" t="n">
        <f aca="false">IF(COUNTIF('04_MAQUINAS'!$A$2:$A$18,E178)&gt;0,1,0)</f>
        <v>1</v>
      </c>
      <c r="M178" s="2" t="s">
        <v>82</v>
      </c>
    </row>
    <row r="179" customFormat="false" ht="15" hidden="false" customHeight="false" outlineLevel="0" collapsed="false">
      <c r="A179" s="2" t="s">
        <v>110</v>
      </c>
      <c r="B179" s="2" t="s">
        <v>105</v>
      </c>
      <c r="C179" s="4" t="n">
        <v>8</v>
      </c>
      <c r="D179" s="2" t="s">
        <v>453</v>
      </c>
      <c r="E179" s="2" t="s">
        <v>406</v>
      </c>
      <c r="F179" s="6" t="n">
        <v>0</v>
      </c>
      <c r="G179" s="9" t="n">
        <v>4</v>
      </c>
      <c r="H179" s="13" t="n">
        <v>7</v>
      </c>
      <c r="I179" s="2" t="s">
        <v>439</v>
      </c>
      <c r="J179" s="3" t="n">
        <v>0</v>
      </c>
      <c r="K179" s="2" t="s">
        <v>446</v>
      </c>
      <c r="L179" s="5" t="n">
        <f aca="false">IF(COUNTIF('04_MAQUINAS'!$A$2:$A$18,E179)&gt;0,1,0)</f>
        <v>1</v>
      </c>
      <c r="M179" s="2" t="s">
        <v>82</v>
      </c>
    </row>
    <row r="180" customFormat="false" ht="15" hidden="false" customHeight="false" outlineLevel="0" collapsed="false">
      <c r="A180" s="2" t="s">
        <v>112</v>
      </c>
      <c r="B180" s="2" t="s">
        <v>105</v>
      </c>
      <c r="C180" s="4" t="n">
        <v>1</v>
      </c>
      <c r="D180" s="2" t="s">
        <v>437</v>
      </c>
      <c r="E180" s="2" t="s">
        <v>375</v>
      </c>
      <c r="F180" s="6" t="n">
        <v>8</v>
      </c>
      <c r="G180" s="9" t="n">
        <v>23.107144</v>
      </c>
      <c r="H180" s="13" t="s">
        <v>438</v>
      </c>
      <c r="I180" s="2" t="s">
        <v>439</v>
      </c>
      <c r="J180" s="3" t="n">
        <v>0</v>
      </c>
      <c r="K180" s="2" t="s">
        <v>440</v>
      </c>
      <c r="L180" s="5" t="n">
        <f aca="false">IF(COUNTIF('04_MAQUINAS'!$A$2:$A$18,E180)&gt;0,1,0)</f>
        <v>1</v>
      </c>
      <c r="M180" s="2" t="s">
        <v>82</v>
      </c>
    </row>
    <row r="181" customFormat="false" ht="15" hidden="false" customHeight="false" outlineLevel="0" collapsed="false">
      <c r="A181" s="2" t="s">
        <v>112</v>
      </c>
      <c r="B181" s="2" t="s">
        <v>105</v>
      </c>
      <c r="C181" s="4" t="n">
        <v>2</v>
      </c>
      <c r="D181" s="2" t="s">
        <v>386</v>
      </c>
      <c r="E181" s="2" t="s">
        <v>413</v>
      </c>
      <c r="F181" s="6" t="n">
        <v>10</v>
      </c>
      <c r="G181" s="9" t="n">
        <v>11.6</v>
      </c>
      <c r="H181" s="13" t="n">
        <v>1</v>
      </c>
      <c r="I181" s="2" t="s">
        <v>439</v>
      </c>
      <c r="J181" s="3" t="n">
        <v>0</v>
      </c>
      <c r="K181" s="2" t="s">
        <v>440</v>
      </c>
      <c r="L181" s="5" t="n">
        <f aca="false">IF(COUNTIF('04_MAQUINAS'!$A$2:$A$18,E181)&gt;0,1,0)</f>
        <v>1</v>
      </c>
      <c r="M181" s="2" t="s">
        <v>82</v>
      </c>
    </row>
    <row r="182" customFormat="false" ht="15" hidden="false" customHeight="false" outlineLevel="0" collapsed="false">
      <c r="A182" s="2" t="s">
        <v>112</v>
      </c>
      <c r="B182" s="2" t="s">
        <v>105</v>
      </c>
      <c r="C182" s="4" t="n">
        <v>3</v>
      </c>
      <c r="D182" s="2" t="s">
        <v>390</v>
      </c>
      <c r="E182" s="2" t="s">
        <v>387</v>
      </c>
      <c r="F182" s="6" t="n">
        <v>12</v>
      </c>
      <c r="G182" s="9" t="n">
        <v>43</v>
      </c>
      <c r="H182" s="13" t="n">
        <v>2</v>
      </c>
      <c r="I182" s="2" t="s">
        <v>439</v>
      </c>
      <c r="J182" s="3" t="n">
        <v>0</v>
      </c>
      <c r="K182" s="2" t="s">
        <v>440</v>
      </c>
      <c r="L182" s="5" t="n">
        <f aca="false">IF(COUNTIF('04_MAQUINAS'!$A$2:$A$18,E182)&gt;0,1,0)</f>
        <v>1</v>
      </c>
      <c r="M182" s="2" t="s">
        <v>82</v>
      </c>
    </row>
    <row r="183" customFormat="false" ht="15" hidden="false" customHeight="false" outlineLevel="0" collapsed="false">
      <c r="A183" s="2" t="s">
        <v>112</v>
      </c>
      <c r="B183" s="2" t="s">
        <v>105</v>
      </c>
      <c r="C183" s="4" t="n">
        <v>4</v>
      </c>
      <c r="D183" s="2" t="s">
        <v>445</v>
      </c>
      <c r="E183" s="2" t="s">
        <v>402</v>
      </c>
      <c r="F183" s="6" t="n">
        <v>12</v>
      </c>
      <c r="G183" s="9" t="n">
        <v>6.2</v>
      </c>
      <c r="H183" s="13" t="n">
        <v>3</v>
      </c>
      <c r="I183" s="2" t="s">
        <v>439</v>
      </c>
      <c r="J183" s="3" t="n">
        <v>0</v>
      </c>
      <c r="K183" s="2" t="s">
        <v>446</v>
      </c>
      <c r="L183" s="5" t="n">
        <f aca="false">IF(COUNTIF('04_MAQUINAS'!$A$2:$A$18,E183)&gt;0,1,0)</f>
        <v>1</v>
      </c>
      <c r="M183" s="2" t="s">
        <v>82</v>
      </c>
    </row>
    <row r="184" customFormat="false" ht="15" hidden="false" customHeight="false" outlineLevel="0" collapsed="false">
      <c r="A184" s="2" t="s">
        <v>112</v>
      </c>
      <c r="B184" s="2" t="s">
        <v>105</v>
      </c>
      <c r="C184" s="4" t="n">
        <v>5</v>
      </c>
      <c r="D184" s="2" t="s">
        <v>447</v>
      </c>
      <c r="E184" s="2" t="s">
        <v>421</v>
      </c>
      <c r="F184" s="6" t="n">
        <v>45</v>
      </c>
      <c r="G184" s="9" t="n">
        <v>0</v>
      </c>
      <c r="H184" s="13" t="n">
        <v>4</v>
      </c>
      <c r="I184" s="2" t="s">
        <v>448</v>
      </c>
      <c r="J184" s="3" t="n">
        <v>40</v>
      </c>
      <c r="K184" s="2" t="s">
        <v>446</v>
      </c>
      <c r="L184" s="5" t="n">
        <f aca="false">IF(COUNTIF('04_MAQUINAS'!$A$2:$A$18,E184)&gt;0,1,0)</f>
        <v>1</v>
      </c>
      <c r="M184" s="2" t="s">
        <v>82</v>
      </c>
    </row>
    <row r="185" customFormat="false" ht="15" hidden="false" customHeight="false" outlineLevel="0" collapsed="false">
      <c r="A185" s="2" t="s">
        <v>112</v>
      </c>
      <c r="B185" s="2" t="s">
        <v>105</v>
      </c>
      <c r="C185" s="4" t="n">
        <v>6</v>
      </c>
      <c r="D185" s="2" t="s">
        <v>449</v>
      </c>
      <c r="E185" s="2" t="s">
        <v>423</v>
      </c>
      <c r="F185" s="6" t="n">
        <v>8</v>
      </c>
      <c r="G185" s="9" t="n">
        <v>2.27</v>
      </c>
      <c r="H185" s="13" t="n">
        <v>5</v>
      </c>
      <c r="I185" s="2" t="s">
        <v>439</v>
      </c>
      <c r="J185" s="3" t="n">
        <v>0</v>
      </c>
      <c r="K185" s="2" t="s">
        <v>446</v>
      </c>
      <c r="L185" s="5" t="n">
        <f aca="false">IF(COUNTIF('04_MAQUINAS'!$A$2:$A$18,E185)&gt;0,1,0)</f>
        <v>1</v>
      </c>
      <c r="M185" s="2" t="s">
        <v>82</v>
      </c>
    </row>
    <row r="186" customFormat="false" ht="15" hidden="false" customHeight="false" outlineLevel="0" collapsed="false">
      <c r="A186" s="2" t="s">
        <v>112</v>
      </c>
      <c r="B186" s="2" t="s">
        <v>105</v>
      </c>
      <c r="C186" s="4" t="n">
        <v>7</v>
      </c>
      <c r="D186" s="2" t="s">
        <v>450</v>
      </c>
      <c r="E186" s="2" t="s">
        <v>406</v>
      </c>
      <c r="F186" s="6" t="n">
        <v>6</v>
      </c>
      <c r="G186" s="9" t="n">
        <v>27</v>
      </c>
      <c r="H186" s="13" t="n">
        <v>6</v>
      </c>
      <c r="I186" s="2" t="s">
        <v>439</v>
      </c>
      <c r="J186" s="3" t="n">
        <v>0</v>
      </c>
      <c r="K186" s="2" t="s">
        <v>440</v>
      </c>
      <c r="L186" s="5" t="n">
        <f aca="false">IF(COUNTIF('04_MAQUINAS'!$A$2:$A$18,E186)&gt;0,1,0)</f>
        <v>1</v>
      </c>
      <c r="M186" s="2" t="s">
        <v>82</v>
      </c>
    </row>
    <row r="187" customFormat="false" ht="15" hidden="false" customHeight="false" outlineLevel="0" collapsed="false">
      <c r="A187" s="2" t="s">
        <v>112</v>
      </c>
      <c r="B187" s="2" t="s">
        <v>105</v>
      </c>
      <c r="C187" s="4" t="n">
        <v>8</v>
      </c>
      <c r="D187" s="2" t="s">
        <v>453</v>
      </c>
      <c r="E187" s="2" t="s">
        <v>406</v>
      </c>
      <c r="F187" s="6" t="n">
        <v>0</v>
      </c>
      <c r="G187" s="9" t="n">
        <v>4</v>
      </c>
      <c r="H187" s="13" t="n">
        <v>7</v>
      </c>
      <c r="I187" s="2" t="s">
        <v>439</v>
      </c>
      <c r="J187" s="3" t="n">
        <v>0</v>
      </c>
      <c r="K187" s="2" t="s">
        <v>446</v>
      </c>
      <c r="L187" s="5" t="n">
        <f aca="false">IF(COUNTIF('04_MAQUINAS'!$A$2:$A$18,E187)&gt;0,1,0)</f>
        <v>1</v>
      </c>
      <c r="M187" s="2" t="s">
        <v>82</v>
      </c>
    </row>
    <row r="188" customFormat="false" ht="15" hidden="false" customHeight="false" outlineLevel="0" collapsed="false">
      <c r="A188" s="2" t="s">
        <v>114</v>
      </c>
      <c r="B188" s="2" t="s">
        <v>105</v>
      </c>
      <c r="C188" s="4" t="n">
        <v>1</v>
      </c>
      <c r="D188" s="2" t="s">
        <v>437</v>
      </c>
      <c r="E188" s="2" t="s">
        <v>375</v>
      </c>
      <c r="F188" s="6" t="n">
        <v>8</v>
      </c>
      <c r="G188" s="9" t="n">
        <v>27.423083</v>
      </c>
      <c r="H188" s="13" t="s">
        <v>438</v>
      </c>
      <c r="I188" s="2" t="s">
        <v>439</v>
      </c>
      <c r="J188" s="3" t="n">
        <v>0</v>
      </c>
      <c r="K188" s="2" t="s">
        <v>440</v>
      </c>
      <c r="L188" s="5" t="n">
        <f aca="false">IF(COUNTIF('04_MAQUINAS'!$A$2:$A$18,E188)&gt;0,1,0)</f>
        <v>1</v>
      </c>
      <c r="M188" s="2" t="s">
        <v>82</v>
      </c>
    </row>
    <row r="189" customFormat="false" ht="15" hidden="false" customHeight="false" outlineLevel="0" collapsed="false">
      <c r="A189" s="2" t="s">
        <v>114</v>
      </c>
      <c r="B189" s="2" t="s">
        <v>105</v>
      </c>
      <c r="C189" s="4" t="n">
        <v>2</v>
      </c>
      <c r="D189" s="2" t="s">
        <v>386</v>
      </c>
      <c r="E189" s="2" t="s">
        <v>413</v>
      </c>
      <c r="F189" s="6" t="n">
        <v>10</v>
      </c>
      <c r="G189" s="9" t="n">
        <v>15.3</v>
      </c>
      <c r="H189" s="13" t="n">
        <v>1</v>
      </c>
      <c r="I189" s="2" t="s">
        <v>439</v>
      </c>
      <c r="J189" s="3" t="n">
        <v>0</v>
      </c>
      <c r="K189" s="2" t="s">
        <v>440</v>
      </c>
      <c r="L189" s="5" t="n">
        <f aca="false">IF(COUNTIF('04_MAQUINAS'!$A$2:$A$18,E189)&gt;0,1,0)</f>
        <v>1</v>
      </c>
      <c r="M189" s="2" t="s">
        <v>82</v>
      </c>
    </row>
    <row r="190" customFormat="false" ht="15" hidden="false" customHeight="false" outlineLevel="0" collapsed="false">
      <c r="A190" s="2" t="s">
        <v>114</v>
      </c>
      <c r="B190" s="2" t="s">
        <v>105</v>
      </c>
      <c r="C190" s="4" t="n">
        <v>3</v>
      </c>
      <c r="D190" s="2" t="s">
        <v>390</v>
      </c>
      <c r="E190" s="2" t="s">
        <v>387</v>
      </c>
      <c r="F190" s="6" t="n">
        <v>12</v>
      </c>
      <c r="G190" s="9" t="n">
        <v>52</v>
      </c>
      <c r="H190" s="13" t="n">
        <v>2</v>
      </c>
      <c r="I190" s="2" t="s">
        <v>439</v>
      </c>
      <c r="J190" s="3" t="n">
        <v>0</v>
      </c>
      <c r="K190" s="2" t="s">
        <v>440</v>
      </c>
      <c r="L190" s="5" t="n">
        <f aca="false">IF(COUNTIF('04_MAQUINAS'!$A$2:$A$18,E190)&gt;0,1,0)</f>
        <v>1</v>
      </c>
      <c r="M190" s="2" t="s">
        <v>82</v>
      </c>
    </row>
    <row r="191" customFormat="false" ht="15" hidden="false" customHeight="false" outlineLevel="0" collapsed="false">
      <c r="A191" s="2" t="s">
        <v>114</v>
      </c>
      <c r="B191" s="2" t="s">
        <v>105</v>
      </c>
      <c r="C191" s="4" t="n">
        <v>4</v>
      </c>
      <c r="D191" s="2" t="s">
        <v>445</v>
      </c>
      <c r="E191" s="2" t="s">
        <v>402</v>
      </c>
      <c r="F191" s="6" t="n">
        <v>12</v>
      </c>
      <c r="G191" s="9" t="n">
        <v>6.2</v>
      </c>
      <c r="H191" s="13" t="n">
        <v>3</v>
      </c>
      <c r="I191" s="2" t="s">
        <v>439</v>
      </c>
      <c r="J191" s="3" t="n">
        <v>0</v>
      </c>
      <c r="K191" s="2" t="s">
        <v>446</v>
      </c>
      <c r="L191" s="5" t="n">
        <f aca="false">IF(COUNTIF('04_MAQUINAS'!$A$2:$A$18,E191)&gt;0,1,0)</f>
        <v>1</v>
      </c>
      <c r="M191" s="2" t="s">
        <v>82</v>
      </c>
    </row>
    <row r="192" customFormat="false" ht="15" hidden="false" customHeight="false" outlineLevel="0" collapsed="false">
      <c r="A192" s="2" t="s">
        <v>114</v>
      </c>
      <c r="B192" s="2" t="s">
        <v>105</v>
      </c>
      <c r="C192" s="4" t="n">
        <v>5</v>
      </c>
      <c r="D192" s="2" t="s">
        <v>447</v>
      </c>
      <c r="E192" s="2" t="s">
        <v>421</v>
      </c>
      <c r="F192" s="6" t="n">
        <v>45</v>
      </c>
      <c r="G192" s="9" t="n">
        <v>0</v>
      </c>
      <c r="H192" s="13" t="n">
        <v>4</v>
      </c>
      <c r="I192" s="2" t="s">
        <v>448</v>
      </c>
      <c r="J192" s="3" t="n">
        <v>40</v>
      </c>
      <c r="K192" s="2" t="s">
        <v>446</v>
      </c>
      <c r="L192" s="5" t="n">
        <f aca="false">IF(COUNTIF('04_MAQUINAS'!$A$2:$A$18,E192)&gt;0,1,0)</f>
        <v>1</v>
      </c>
      <c r="M192" s="2" t="s">
        <v>82</v>
      </c>
    </row>
    <row r="193" customFormat="false" ht="15" hidden="false" customHeight="false" outlineLevel="0" collapsed="false">
      <c r="A193" s="2" t="s">
        <v>114</v>
      </c>
      <c r="B193" s="2" t="s">
        <v>105</v>
      </c>
      <c r="C193" s="4" t="n">
        <v>6</v>
      </c>
      <c r="D193" s="2" t="s">
        <v>449</v>
      </c>
      <c r="E193" s="2" t="s">
        <v>423</v>
      </c>
      <c r="F193" s="6" t="n">
        <v>8</v>
      </c>
      <c r="G193" s="9" t="n">
        <v>2.27</v>
      </c>
      <c r="H193" s="13" t="n">
        <v>5</v>
      </c>
      <c r="I193" s="2" t="s">
        <v>439</v>
      </c>
      <c r="J193" s="3" t="n">
        <v>0</v>
      </c>
      <c r="K193" s="2" t="s">
        <v>446</v>
      </c>
      <c r="L193" s="5" t="n">
        <f aca="false">IF(COUNTIF('04_MAQUINAS'!$A$2:$A$18,E193)&gt;0,1,0)</f>
        <v>1</v>
      </c>
      <c r="M193" s="2" t="s">
        <v>82</v>
      </c>
    </row>
    <row r="194" customFormat="false" ht="15" hidden="false" customHeight="false" outlineLevel="0" collapsed="false">
      <c r="A194" s="2" t="s">
        <v>114</v>
      </c>
      <c r="B194" s="2" t="s">
        <v>105</v>
      </c>
      <c r="C194" s="4" t="n">
        <v>7</v>
      </c>
      <c r="D194" s="2" t="s">
        <v>450</v>
      </c>
      <c r="E194" s="2" t="s">
        <v>406</v>
      </c>
      <c r="F194" s="6" t="n">
        <v>6</v>
      </c>
      <c r="G194" s="9" t="n">
        <v>60.75</v>
      </c>
      <c r="H194" s="13" t="n">
        <v>6</v>
      </c>
      <c r="I194" s="2" t="s">
        <v>439</v>
      </c>
      <c r="J194" s="3" t="n">
        <v>0</v>
      </c>
      <c r="K194" s="2" t="s">
        <v>440</v>
      </c>
      <c r="L194" s="5" t="n">
        <f aca="false">IF(COUNTIF('04_MAQUINAS'!$A$2:$A$18,E194)&gt;0,1,0)</f>
        <v>1</v>
      </c>
      <c r="M194" s="2" t="s">
        <v>82</v>
      </c>
    </row>
    <row r="195" customFormat="false" ht="15" hidden="false" customHeight="false" outlineLevel="0" collapsed="false">
      <c r="A195" s="2" t="s">
        <v>114</v>
      </c>
      <c r="B195" s="2" t="s">
        <v>105</v>
      </c>
      <c r="C195" s="4" t="n">
        <v>8</v>
      </c>
      <c r="D195" s="2" t="s">
        <v>453</v>
      </c>
      <c r="E195" s="2" t="s">
        <v>406</v>
      </c>
      <c r="F195" s="6" t="n">
        <v>0</v>
      </c>
      <c r="G195" s="9" t="n">
        <v>4</v>
      </c>
      <c r="H195" s="13" t="n">
        <v>7</v>
      </c>
      <c r="I195" s="2" t="s">
        <v>439</v>
      </c>
      <c r="J195" s="3" t="n">
        <v>0</v>
      </c>
      <c r="K195" s="2" t="s">
        <v>446</v>
      </c>
      <c r="L195" s="5" t="n">
        <f aca="false">IF(COUNTIF('04_MAQUINAS'!$A$2:$A$18,E195)&gt;0,1,0)</f>
        <v>1</v>
      </c>
      <c r="M195" s="2" t="s">
        <v>82</v>
      </c>
    </row>
    <row r="196" customFormat="false" ht="15" hidden="false" customHeight="false" outlineLevel="0" collapsed="false">
      <c r="A196" s="2" t="s">
        <v>116</v>
      </c>
      <c r="B196" s="2" t="s">
        <v>105</v>
      </c>
      <c r="C196" s="4" t="n">
        <v>1</v>
      </c>
      <c r="D196" s="2" t="s">
        <v>437</v>
      </c>
      <c r="E196" s="2" t="s">
        <v>375</v>
      </c>
      <c r="F196" s="6" t="n">
        <v>8</v>
      </c>
      <c r="G196" s="9" t="n">
        <v>39.2399508</v>
      </c>
      <c r="H196" s="13" t="s">
        <v>438</v>
      </c>
      <c r="I196" s="2" t="s">
        <v>439</v>
      </c>
      <c r="J196" s="3" t="n">
        <v>0</v>
      </c>
      <c r="K196" s="2" t="s">
        <v>440</v>
      </c>
      <c r="L196" s="5" t="n">
        <f aca="false">IF(COUNTIF('04_MAQUINAS'!$A$2:$A$18,E196)&gt;0,1,0)</f>
        <v>1</v>
      </c>
      <c r="M196" s="2" t="s">
        <v>82</v>
      </c>
    </row>
    <row r="197" customFormat="false" ht="15" hidden="false" customHeight="false" outlineLevel="0" collapsed="false">
      <c r="A197" s="2" t="s">
        <v>116</v>
      </c>
      <c r="B197" s="2" t="s">
        <v>105</v>
      </c>
      <c r="C197" s="4" t="n">
        <v>2</v>
      </c>
      <c r="D197" s="2" t="s">
        <v>386</v>
      </c>
      <c r="E197" s="2" t="s">
        <v>413</v>
      </c>
      <c r="F197" s="6" t="n">
        <v>10</v>
      </c>
      <c r="G197" s="9" t="n">
        <v>19</v>
      </c>
      <c r="H197" s="13" t="n">
        <v>1</v>
      </c>
      <c r="I197" s="2" t="s">
        <v>439</v>
      </c>
      <c r="J197" s="3" t="n">
        <v>0</v>
      </c>
      <c r="K197" s="2" t="s">
        <v>440</v>
      </c>
      <c r="L197" s="5" t="n">
        <f aca="false">IF(COUNTIF('04_MAQUINAS'!$A$2:$A$18,E197)&gt;0,1,0)</f>
        <v>1</v>
      </c>
      <c r="M197" s="2" t="s">
        <v>82</v>
      </c>
    </row>
    <row r="198" customFormat="false" ht="15" hidden="false" customHeight="false" outlineLevel="0" collapsed="false">
      <c r="A198" s="2" t="s">
        <v>116</v>
      </c>
      <c r="B198" s="2" t="s">
        <v>105</v>
      </c>
      <c r="C198" s="4" t="n">
        <v>3</v>
      </c>
      <c r="D198" s="2" t="s">
        <v>390</v>
      </c>
      <c r="E198" s="2" t="s">
        <v>387</v>
      </c>
      <c r="F198" s="6" t="n">
        <v>12</v>
      </c>
      <c r="G198" s="9" t="n">
        <v>76</v>
      </c>
      <c r="H198" s="13" t="n">
        <v>2</v>
      </c>
      <c r="I198" s="2" t="s">
        <v>439</v>
      </c>
      <c r="J198" s="3" t="n">
        <v>0</v>
      </c>
      <c r="K198" s="2" t="s">
        <v>440</v>
      </c>
      <c r="L198" s="5" t="n">
        <f aca="false">IF(COUNTIF('04_MAQUINAS'!$A$2:$A$18,E198)&gt;0,1,0)</f>
        <v>1</v>
      </c>
      <c r="M198" s="2" t="s">
        <v>82</v>
      </c>
    </row>
    <row r="199" customFormat="false" ht="15" hidden="false" customHeight="false" outlineLevel="0" collapsed="false">
      <c r="A199" s="2" t="s">
        <v>116</v>
      </c>
      <c r="B199" s="2" t="s">
        <v>105</v>
      </c>
      <c r="C199" s="4" t="n">
        <v>4</v>
      </c>
      <c r="D199" s="2" t="s">
        <v>445</v>
      </c>
      <c r="E199" s="2" t="s">
        <v>402</v>
      </c>
      <c r="F199" s="6" t="n">
        <v>12</v>
      </c>
      <c r="G199" s="9" t="n">
        <v>6.2</v>
      </c>
      <c r="H199" s="13" t="n">
        <v>3</v>
      </c>
      <c r="I199" s="2" t="s">
        <v>439</v>
      </c>
      <c r="J199" s="3" t="n">
        <v>0</v>
      </c>
      <c r="K199" s="2" t="s">
        <v>446</v>
      </c>
      <c r="L199" s="5" t="n">
        <f aca="false">IF(COUNTIF('04_MAQUINAS'!$A$2:$A$18,E199)&gt;0,1,0)</f>
        <v>1</v>
      </c>
      <c r="M199" s="2" t="s">
        <v>82</v>
      </c>
    </row>
    <row r="200" customFormat="false" ht="15" hidden="false" customHeight="false" outlineLevel="0" collapsed="false">
      <c r="A200" s="2" t="s">
        <v>116</v>
      </c>
      <c r="B200" s="2" t="s">
        <v>105</v>
      </c>
      <c r="C200" s="4" t="n">
        <v>5</v>
      </c>
      <c r="D200" s="2" t="s">
        <v>447</v>
      </c>
      <c r="E200" s="2" t="s">
        <v>421</v>
      </c>
      <c r="F200" s="6" t="n">
        <v>45</v>
      </c>
      <c r="G200" s="9" t="n">
        <v>0</v>
      </c>
      <c r="H200" s="13" t="n">
        <v>4</v>
      </c>
      <c r="I200" s="2" t="s">
        <v>448</v>
      </c>
      <c r="J200" s="3" t="n">
        <v>40</v>
      </c>
      <c r="K200" s="2" t="s">
        <v>446</v>
      </c>
      <c r="L200" s="5" t="n">
        <f aca="false">IF(COUNTIF('04_MAQUINAS'!$A$2:$A$18,E200)&gt;0,1,0)</f>
        <v>1</v>
      </c>
      <c r="M200" s="2" t="s">
        <v>82</v>
      </c>
    </row>
    <row r="201" customFormat="false" ht="15" hidden="false" customHeight="false" outlineLevel="0" collapsed="false">
      <c r="A201" s="2" t="s">
        <v>116</v>
      </c>
      <c r="B201" s="2" t="s">
        <v>105</v>
      </c>
      <c r="C201" s="4" t="n">
        <v>6</v>
      </c>
      <c r="D201" s="2" t="s">
        <v>449</v>
      </c>
      <c r="E201" s="2" t="s">
        <v>423</v>
      </c>
      <c r="F201" s="6" t="n">
        <v>8</v>
      </c>
      <c r="G201" s="9" t="n">
        <v>2.27</v>
      </c>
      <c r="H201" s="13" t="n">
        <v>5</v>
      </c>
      <c r="I201" s="2" t="s">
        <v>439</v>
      </c>
      <c r="J201" s="3" t="n">
        <v>0</v>
      </c>
      <c r="K201" s="2" t="s">
        <v>446</v>
      </c>
      <c r="L201" s="5" t="n">
        <f aca="false">IF(COUNTIF('04_MAQUINAS'!$A$2:$A$18,E201)&gt;0,1,0)</f>
        <v>1</v>
      </c>
      <c r="M201" s="2" t="s">
        <v>82</v>
      </c>
    </row>
    <row r="202" customFormat="false" ht="15" hidden="false" customHeight="false" outlineLevel="0" collapsed="false">
      <c r="A202" s="2" t="s">
        <v>116</v>
      </c>
      <c r="B202" s="2" t="s">
        <v>105</v>
      </c>
      <c r="C202" s="4" t="n">
        <v>7</v>
      </c>
      <c r="D202" s="2" t="s">
        <v>450</v>
      </c>
      <c r="E202" s="2" t="s">
        <v>406</v>
      </c>
      <c r="F202" s="6" t="n">
        <v>6</v>
      </c>
      <c r="G202" s="9" t="n">
        <v>108</v>
      </c>
      <c r="H202" s="13" t="n">
        <v>6</v>
      </c>
      <c r="I202" s="2" t="s">
        <v>439</v>
      </c>
      <c r="J202" s="3" t="n">
        <v>0</v>
      </c>
      <c r="K202" s="2" t="s">
        <v>440</v>
      </c>
      <c r="L202" s="5" t="n">
        <f aca="false">IF(COUNTIF('04_MAQUINAS'!$A$2:$A$18,E202)&gt;0,1,0)</f>
        <v>1</v>
      </c>
      <c r="M202" s="2" t="s">
        <v>82</v>
      </c>
    </row>
    <row r="203" customFormat="false" ht="15" hidden="false" customHeight="false" outlineLevel="0" collapsed="false">
      <c r="A203" s="2" t="s">
        <v>116</v>
      </c>
      <c r="B203" s="2" t="s">
        <v>105</v>
      </c>
      <c r="C203" s="4" t="n">
        <v>8</v>
      </c>
      <c r="D203" s="2" t="s">
        <v>453</v>
      </c>
      <c r="E203" s="2" t="s">
        <v>406</v>
      </c>
      <c r="F203" s="6" t="n">
        <v>0</v>
      </c>
      <c r="G203" s="9" t="n">
        <v>4</v>
      </c>
      <c r="H203" s="13" t="n">
        <v>7</v>
      </c>
      <c r="I203" s="2" t="s">
        <v>439</v>
      </c>
      <c r="J203" s="3" t="n">
        <v>0</v>
      </c>
      <c r="K203" s="2" t="s">
        <v>446</v>
      </c>
      <c r="L203" s="5" t="n">
        <f aca="false">IF(COUNTIF('04_MAQUINAS'!$A$2:$A$18,E203)&gt;0,1,0)</f>
        <v>1</v>
      </c>
      <c r="M203" s="2" t="s">
        <v>82</v>
      </c>
    </row>
    <row r="204" customFormat="false" ht="15" hidden="false" customHeight="false" outlineLevel="0" collapsed="false">
      <c r="A204" s="2" t="s">
        <v>122</v>
      </c>
      <c r="B204" s="2" t="s">
        <v>118</v>
      </c>
      <c r="C204" s="4" t="n">
        <v>1</v>
      </c>
      <c r="D204" s="2" t="s">
        <v>441</v>
      </c>
      <c r="E204" s="2" t="s">
        <v>380</v>
      </c>
      <c r="F204" s="6" t="n">
        <v>8</v>
      </c>
      <c r="G204" s="9" t="n">
        <v>9.386</v>
      </c>
      <c r="H204" s="13" t="s">
        <v>438</v>
      </c>
      <c r="I204" s="2" t="s">
        <v>439</v>
      </c>
      <c r="J204" s="3" t="n">
        <v>0</v>
      </c>
      <c r="K204" s="2" t="s">
        <v>440</v>
      </c>
      <c r="L204" s="5" t="n">
        <f aca="false">IF(COUNTIF('04_MAQUINAS'!$A$2:$A$18,E204)&gt;0,1,0)</f>
        <v>1</v>
      </c>
      <c r="M204" s="2" t="s">
        <v>82</v>
      </c>
    </row>
    <row r="205" customFormat="false" ht="15" hidden="false" customHeight="false" outlineLevel="0" collapsed="false">
      <c r="A205" s="2" t="s">
        <v>122</v>
      </c>
      <c r="B205" s="2" t="s">
        <v>118</v>
      </c>
      <c r="C205" s="4" t="n">
        <v>2</v>
      </c>
      <c r="D205" s="2" t="s">
        <v>386</v>
      </c>
      <c r="E205" s="2" t="s">
        <v>413</v>
      </c>
      <c r="F205" s="6" t="n">
        <v>10</v>
      </c>
      <c r="G205" s="9" t="n">
        <v>8.4</v>
      </c>
      <c r="H205" s="13" t="n">
        <v>1</v>
      </c>
      <c r="I205" s="2" t="s">
        <v>439</v>
      </c>
      <c r="J205" s="3" t="n">
        <v>0</v>
      </c>
      <c r="K205" s="2" t="s">
        <v>440</v>
      </c>
      <c r="L205" s="5" t="n">
        <f aca="false">IF(COUNTIF('04_MAQUINAS'!$A$2:$A$18,E205)&gt;0,1,0)</f>
        <v>1</v>
      </c>
      <c r="M205" s="2" t="s">
        <v>82</v>
      </c>
    </row>
    <row r="206" customFormat="false" ht="15" hidden="false" customHeight="false" outlineLevel="0" collapsed="false">
      <c r="A206" s="2" t="s">
        <v>122</v>
      </c>
      <c r="B206" s="2" t="s">
        <v>118</v>
      </c>
      <c r="C206" s="4" t="n">
        <v>3</v>
      </c>
      <c r="D206" s="2" t="s">
        <v>442</v>
      </c>
      <c r="E206" s="2" t="s">
        <v>415</v>
      </c>
      <c r="F206" s="6" t="n">
        <v>10</v>
      </c>
      <c r="G206" s="9" t="n">
        <v>22.4</v>
      </c>
      <c r="H206" s="13" t="n">
        <v>2</v>
      </c>
      <c r="I206" s="2" t="s">
        <v>439</v>
      </c>
      <c r="J206" s="3" t="n">
        <v>0</v>
      </c>
      <c r="K206" s="2" t="s">
        <v>440</v>
      </c>
      <c r="L206" s="5" t="n">
        <f aca="false">IF(COUNTIF('04_MAQUINAS'!$A$2:$A$18,E206)&gt;0,1,0)</f>
        <v>1</v>
      </c>
      <c r="M206" s="2" t="s">
        <v>82</v>
      </c>
    </row>
    <row r="207" customFormat="false" ht="15" hidden="false" customHeight="false" outlineLevel="0" collapsed="false">
      <c r="A207" s="2" t="s">
        <v>122</v>
      </c>
      <c r="B207" s="2" t="s">
        <v>118</v>
      </c>
      <c r="C207" s="4" t="n">
        <v>4</v>
      </c>
      <c r="D207" s="2" t="s">
        <v>445</v>
      </c>
      <c r="E207" s="2" t="s">
        <v>402</v>
      </c>
      <c r="F207" s="6" t="n">
        <v>12</v>
      </c>
      <c r="G207" s="9" t="n">
        <v>5.72</v>
      </c>
      <c r="H207" s="13" t="n">
        <v>3</v>
      </c>
      <c r="I207" s="2" t="s">
        <v>439</v>
      </c>
      <c r="J207" s="3" t="n">
        <v>0</v>
      </c>
      <c r="K207" s="2" t="s">
        <v>446</v>
      </c>
      <c r="L207" s="5" t="n">
        <f aca="false">IF(COUNTIF('04_MAQUINAS'!$A$2:$A$18,E207)&gt;0,1,0)</f>
        <v>1</v>
      </c>
      <c r="M207" s="2" t="s">
        <v>82</v>
      </c>
    </row>
    <row r="208" customFormat="false" ht="15" hidden="false" customHeight="false" outlineLevel="0" collapsed="false">
      <c r="A208" s="2" t="s">
        <v>122</v>
      </c>
      <c r="B208" s="2" t="s">
        <v>118</v>
      </c>
      <c r="C208" s="4" t="n">
        <v>5</v>
      </c>
      <c r="D208" s="2" t="s">
        <v>447</v>
      </c>
      <c r="E208" s="2" t="s">
        <v>421</v>
      </c>
      <c r="F208" s="6" t="n">
        <v>45</v>
      </c>
      <c r="G208" s="9" t="n">
        <v>0</v>
      </c>
      <c r="H208" s="13" t="n">
        <v>4</v>
      </c>
      <c r="I208" s="2" t="s">
        <v>448</v>
      </c>
      <c r="J208" s="3" t="n">
        <v>40</v>
      </c>
      <c r="K208" s="2" t="s">
        <v>446</v>
      </c>
      <c r="L208" s="5" t="n">
        <f aca="false">IF(COUNTIF('04_MAQUINAS'!$A$2:$A$18,E208)&gt;0,1,0)</f>
        <v>1</v>
      </c>
      <c r="M208" s="2" t="s">
        <v>82</v>
      </c>
    </row>
    <row r="209" customFormat="false" ht="15" hidden="false" customHeight="false" outlineLevel="0" collapsed="false">
      <c r="A209" s="2" t="s">
        <v>122</v>
      </c>
      <c r="B209" s="2" t="s">
        <v>118</v>
      </c>
      <c r="C209" s="4" t="n">
        <v>6</v>
      </c>
      <c r="D209" s="2" t="s">
        <v>449</v>
      </c>
      <c r="E209" s="2" t="s">
        <v>423</v>
      </c>
      <c r="F209" s="6" t="n">
        <v>8</v>
      </c>
      <c r="G209" s="9" t="n">
        <v>2.17</v>
      </c>
      <c r="H209" s="13" t="n">
        <v>5</v>
      </c>
      <c r="I209" s="2" t="s">
        <v>439</v>
      </c>
      <c r="J209" s="3" t="n">
        <v>0</v>
      </c>
      <c r="K209" s="2" t="s">
        <v>446</v>
      </c>
      <c r="L209" s="5" t="n">
        <f aca="false">IF(COUNTIF('04_MAQUINAS'!$A$2:$A$18,E209)&gt;0,1,0)</f>
        <v>1</v>
      </c>
      <c r="M209" s="2" t="s">
        <v>82</v>
      </c>
    </row>
    <row r="210" customFormat="false" ht="15" hidden="false" customHeight="false" outlineLevel="0" collapsed="false">
      <c r="A210" s="2" t="s">
        <v>122</v>
      </c>
      <c r="B210" s="2" t="s">
        <v>118</v>
      </c>
      <c r="C210" s="4" t="n">
        <v>7</v>
      </c>
      <c r="D210" s="2" t="s">
        <v>450</v>
      </c>
      <c r="E210" s="2" t="s">
        <v>406</v>
      </c>
      <c r="F210" s="6" t="n">
        <v>6</v>
      </c>
      <c r="G210" s="9" t="n">
        <v>48.75</v>
      </c>
      <c r="H210" s="13" t="n">
        <v>6</v>
      </c>
      <c r="I210" s="2" t="s">
        <v>439</v>
      </c>
      <c r="J210" s="3" t="n">
        <v>0</v>
      </c>
      <c r="K210" s="2" t="s">
        <v>440</v>
      </c>
      <c r="L210" s="5" t="n">
        <f aca="false">IF(COUNTIF('04_MAQUINAS'!$A$2:$A$18,E210)&gt;0,1,0)</f>
        <v>1</v>
      </c>
      <c r="M210" s="2" t="s">
        <v>82</v>
      </c>
    </row>
    <row r="211" customFormat="false" ht="15" hidden="false" customHeight="false" outlineLevel="0" collapsed="false">
      <c r="A211" s="2" t="s">
        <v>122</v>
      </c>
      <c r="B211" s="2" t="s">
        <v>118</v>
      </c>
      <c r="C211" s="4" t="n">
        <v>8</v>
      </c>
      <c r="D211" s="2" t="s">
        <v>453</v>
      </c>
      <c r="E211" s="2" t="s">
        <v>406</v>
      </c>
      <c r="F211" s="6" t="n">
        <v>0</v>
      </c>
      <c r="G211" s="9" t="n">
        <v>4</v>
      </c>
      <c r="H211" s="13" t="n">
        <v>7</v>
      </c>
      <c r="I211" s="2" t="s">
        <v>439</v>
      </c>
      <c r="J211" s="3" t="n">
        <v>0</v>
      </c>
      <c r="K211" s="2" t="s">
        <v>446</v>
      </c>
      <c r="L211" s="5" t="n">
        <f aca="false">IF(COUNTIF('04_MAQUINAS'!$A$2:$A$18,E211)&gt;0,1,0)</f>
        <v>1</v>
      </c>
      <c r="M211" s="2" t="s">
        <v>82</v>
      </c>
    </row>
    <row r="212" customFormat="false" ht="15" hidden="false" customHeight="false" outlineLevel="0" collapsed="false">
      <c r="A212" s="2" t="s">
        <v>124</v>
      </c>
      <c r="B212" s="2" t="s">
        <v>118</v>
      </c>
      <c r="C212" s="4" t="n">
        <v>1</v>
      </c>
      <c r="D212" s="2" t="s">
        <v>450</v>
      </c>
      <c r="E212" s="2" t="s">
        <v>406</v>
      </c>
      <c r="F212" s="6" t="n">
        <v>6</v>
      </c>
      <c r="G212" s="9" t="n">
        <v>48.75</v>
      </c>
      <c r="H212" s="13" t="s">
        <v>438</v>
      </c>
      <c r="I212" s="2" t="s">
        <v>439</v>
      </c>
      <c r="J212" s="3" t="n">
        <v>0</v>
      </c>
      <c r="K212" s="2" t="s">
        <v>440</v>
      </c>
      <c r="L212" s="5" t="n">
        <f aca="false">IF(COUNTIF('04_MAQUINAS'!$A$2:$A$18,E212)&gt;0,1,0)</f>
        <v>1</v>
      </c>
      <c r="M212" s="2" t="s">
        <v>82</v>
      </c>
    </row>
    <row r="213" customFormat="false" ht="15" hidden="false" customHeight="false" outlineLevel="0" collapsed="false">
      <c r="A213" s="2" t="s">
        <v>124</v>
      </c>
      <c r="B213" s="2" t="s">
        <v>118</v>
      </c>
      <c r="C213" s="4" t="n">
        <v>2</v>
      </c>
      <c r="D213" s="2" t="s">
        <v>453</v>
      </c>
      <c r="E213" s="2" t="s">
        <v>406</v>
      </c>
      <c r="F213" s="6" t="n">
        <v>0</v>
      </c>
      <c r="G213" s="9" t="n">
        <v>4</v>
      </c>
      <c r="H213" s="13" t="n">
        <v>1</v>
      </c>
      <c r="I213" s="2" t="s">
        <v>439</v>
      </c>
      <c r="J213" s="3" t="n">
        <v>0</v>
      </c>
      <c r="K213" s="2" t="s">
        <v>446</v>
      </c>
      <c r="L213" s="5" t="n">
        <f aca="false">IF(COUNTIF('04_MAQUINAS'!$A$2:$A$18,E213)&gt;0,1,0)</f>
        <v>1</v>
      </c>
      <c r="M213" s="2" t="s">
        <v>82</v>
      </c>
    </row>
    <row r="214" customFormat="false" ht="15" hidden="false" customHeight="false" outlineLevel="0" collapsed="false">
      <c r="A214" s="2" t="s">
        <v>125</v>
      </c>
      <c r="B214" s="2" t="s">
        <v>118</v>
      </c>
      <c r="C214" s="4" t="n">
        <v>1</v>
      </c>
      <c r="D214" s="2" t="s">
        <v>437</v>
      </c>
      <c r="E214" s="2" t="s">
        <v>375</v>
      </c>
      <c r="F214" s="6" t="n">
        <v>8</v>
      </c>
      <c r="G214" s="9" t="n">
        <v>16.9690614</v>
      </c>
      <c r="H214" s="13" t="s">
        <v>438</v>
      </c>
      <c r="I214" s="2" t="s">
        <v>439</v>
      </c>
      <c r="J214" s="3" t="n">
        <v>0</v>
      </c>
      <c r="K214" s="2" t="s">
        <v>440</v>
      </c>
      <c r="L214" s="5" t="n">
        <f aca="false">IF(COUNTIF('04_MAQUINAS'!$A$2:$A$18,E214)&gt;0,1,0)</f>
        <v>1</v>
      </c>
      <c r="M214" s="2" t="s">
        <v>82</v>
      </c>
    </row>
    <row r="215" customFormat="false" ht="15" hidden="false" customHeight="false" outlineLevel="0" collapsed="false">
      <c r="A215" s="2" t="s">
        <v>125</v>
      </c>
      <c r="B215" s="2" t="s">
        <v>118</v>
      </c>
      <c r="C215" s="4" t="n">
        <v>2</v>
      </c>
      <c r="D215" s="2" t="s">
        <v>386</v>
      </c>
      <c r="E215" s="2" t="s">
        <v>413</v>
      </c>
      <c r="F215" s="6" t="n">
        <v>10</v>
      </c>
      <c r="G215" s="9" t="n">
        <v>10.5</v>
      </c>
      <c r="H215" s="13" t="n">
        <v>1</v>
      </c>
      <c r="I215" s="2" t="s">
        <v>439</v>
      </c>
      <c r="J215" s="3" t="n">
        <v>0</v>
      </c>
      <c r="K215" s="2" t="s">
        <v>440</v>
      </c>
      <c r="L215" s="5" t="n">
        <f aca="false">IF(COUNTIF('04_MAQUINAS'!$A$2:$A$18,E215)&gt;0,1,0)</f>
        <v>1</v>
      </c>
      <c r="M215" s="2" t="s">
        <v>82</v>
      </c>
    </row>
    <row r="216" customFormat="false" ht="15" hidden="false" customHeight="false" outlineLevel="0" collapsed="false">
      <c r="A216" s="2" t="s">
        <v>125</v>
      </c>
      <c r="B216" s="2" t="s">
        <v>118</v>
      </c>
      <c r="C216" s="4" t="n">
        <v>3</v>
      </c>
      <c r="D216" s="2" t="s">
        <v>390</v>
      </c>
      <c r="E216" s="2" t="s">
        <v>387</v>
      </c>
      <c r="F216" s="6" t="n">
        <v>12</v>
      </c>
      <c r="G216" s="9" t="n">
        <v>36</v>
      </c>
      <c r="H216" s="13" t="n">
        <v>2</v>
      </c>
      <c r="I216" s="2" t="s">
        <v>439</v>
      </c>
      <c r="J216" s="3" t="n">
        <v>0</v>
      </c>
      <c r="K216" s="2" t="s">
        <v>440</v>
      </c>
      <c r="L216" s="5" t="n">
        <f aca="false">IF(COUNTIF('04_MAQUINAS'!$A$2:$A$18,E216)&gt;0,1,0)</f>
        <v>1</v>
      </c>
      <c r="M216" s="2" t="s">
        <v>82</v>
      </c>
    </row>
    <row r="217" customFormat="false" ht="15" hidden="false" customHeight="false" outlineLevel="0" collapsed="false">
      <c r="A217" s="2" t="s">
        <v>125</v>
      </c>
      <c r="B217" s="2" t="s">
        <v>118</v>
      </c>
      <c r="C217" s="4" t="n">
        <v>4</v>
      </c>
      <c r="D217" s="2" t="s">
        <v>445</v>
      </c>
      <c r="E217" s="2" t="s">
        <v>402</v>
      </c>
      <c r="F217" s="6" t="n">
        <v>12</v>
      </c>
      <c r="G217" s="9" t="n">
        <v>6.58</v>
      </c>
      <c r="H217" s="13" t="n">
        <v>3</v>
      </c>
      <c r="I217" s="2" t="s">
        <v>439</v>
      </c>
      <c r="J217" s="3" t="n">
        <v>0</v>
      </c>
      <c r="K217" s="2" t="s">
        <v>446</v>
      </c>
      <c r="L217" s="5" t="n">
        <f aca="false">IF(COUNTIF('04_MAQUINAS'!$A$2:$A$18,E217)&gt;0,1,0)</f>
        <v>1</v>
      </c>
      <c r="M217" s="2" t="s">
        <v>82</v>
      </c>
    </row>
    <row r="218" customFormat="false" ht="15" hidden="false" customHeight="false" outlineLevel="0" collapsed="false">
      <c r="A218" s="2" t="s">
        <v>125</v>
      </c>
      <c r="B218" s="2" t="s">
        <v>118</v>
      </c>
      <c r="C218" s="4" t="n">
        <v>5</v>
      </c>
      <c r="D218" s="2" t="s">
        <v>447</v>
      </c>
      <c r="E218" s="2" t="s">
        <v>421</v>
      </c>
      <c r="F218" s="6" t="n">
        <v>45</v>
      </c>
      <c r="G218" s="9" t="n">
        <v>0</v>
      </c>
      <c r="H218" s="13" t="n">
        <v>4</v>
      </c>
      <c r="I218" s="2" t="s">
        <v>448</v>
      </c>
      <c r="J218" s="3" t="n">
        <v>40</v>
      </c>
      <c r="K218" s="2" t="s">
        <v>446</v>
      </c>
      <c r="L218" s="5" t="n">
        <f aca="false">IF(COUNTIF('04_MAQUINAS'!$A$2:$A$18,E218)&gt;0,1,0)</f>
        <v>1</v>
      </c>
      <c r="M218" s="2" t="s">
        <v>82</v>
      </c>
    </row>
    <row r="219" customFormat="false" ht="15" hidden="false" customHeight="false" outlineLevel="0" collapsed="false">
      <c r="A219" s="2" t="s">
        <v>125</v>
      </c>
      <c r="B219" s="2" t="s">
        <v>118</v>
      </c>
      <c r="C219" s="4" t="n">
        <v>6</v>
      </c>
      <c r="D219" s="2" t="s">
        <v>449</v>
      </c>
      <c r="E219" s="2" t="s">
        <v>423</v>
      </c>
      <c r="F219" s="6" t="n">
        <v>8</v>
      </c>
      <c r="G219" s="9" t="n">
        <v>2.36</v>
      </c>
      <c r="H219" s="13" t="n">
        <v>5</v>
      </c>
      <c r="I219" s="2" t="s">
        <v>439</v>
      </c>
      <c r="J219" s="3" t="n">
        <v>0</v>
      </c>
      <c r="K219" s="2" t="s">
        <v>446</v>
      </c>
      <c r="L219" s="5" t="n">
        <f aca="false">IF(COUNTIF('04_MAQUINAS'!$A$2:$A$18,E219)&gt;0,1,0)</f>
        <v>1</v>
      </c>
      <c r="M219" s="2" t="s">
        <v>82</v>
      </c>
    </row>
    <row r="220" customFormat="false" ht="15" hidden="false" customHeight="false" outlineLevel="0" collapsed="false">
      <c r="A220" s="2" t="s">
        <v>125</v>
      </c>
      <c r="B220" s="2" t="s">
        <v>118</v>
      </c>
      <c r="C220" s="4" t="n">
        <v>7</v>
      </c>
      <c r="D220" s="2" t="s">
        <v>450</v>
      </c>
      <c r="E220" s="2" t="s">
        <v>406</v>
      </c>
      <c r="F220" s="6" t="n">
        <v>6</v>
      </c>
      <c r="G220" s="9" t="n">
        <v>108</v>
      </c>
      <c r="H220" s="13" t="n">
        <v>6</v>
      </c>
      <c r="I220" s="2" t="s">
        <v>439</v>
      </c>
      <c r="J220" s="3" t="n">
        <v>0</v>
      </c>
      <c r="K220" s="2" t="s">
        <v>440</v>
      </c>
      <c r="L220" s="5" t="n">
        <f aca="false">IF(COUNTIF('04_MAQUINAS'!$A$2:$A$18,E220)&gt;0,1,0)</f>
        <v>1</v>
      </c>
      <c r="M220" s="2" t="s">
        <v>82</v>
      </c>
    </row>
    <row r="221" customFormat="false" ht="15" hidden="false" customHeight="false" outlineLevel="0" collapsed="false">
      <c r="A221" s="2" t="s">
        <v>125</v>
      </c>
      <c r="B221" s="2" t="s">
        <v>118</v>
      </c>
      <c r="C221" s="4" t="n">
        <v>8</v>
      </c>
      <c r="D221" s="2" t="s">
        <v>453</v>
      </c>
      <c r="E221" s="2" t="s">
        <v>406</v>
      </c>
      <c r="F221" s="6" t="n">
        <v>0</v>
      </c>
      <c r="G221" s="9" t="n">
        <v>4</v>
      </c>
      <c r="H221" s="13" t="n">
        <v>7</v>
      </c>
      <c r="I221" s="2" t="s">
        <v>439</v>
      </c>
      <c r="J221" s="3" t="n">
        <v>0</v>
      </c>
      <c r="K221" s="2" t="s">
        <v>446</v>
      </c>
      <c r="L221" s="5" t="n">
        <f aca="false">IF(COUNTIF('04_MAQUINAS'!$A$2:$A$18,E221)&gt;0,1,0)</f>
        <v>1</v>
      </c>
      <c r="M221" s="2" t="s">
        <v>82</v>
      </c>
    </row>
    <row r="222" customFormat="false" ht="15" hidden="false" customHeight="false" outlineLevel="0" collapsed="false">
      <c r="A222" s="2" t="s">
        <v>127</v>
      </c>
      <c r="B222" s="2" t="s">
        <v>118</v>
      </c>
      <c r="C222" s="4" t="n">
        <v>1</v>
      </c>
      <c r="D222" s="2" t="s">
        <v>437</v>
      </c>
      <c r="E222" s="2" t="s">
        <v>375</v>
      </c>
      <c r="F222" s="6" t="n">
        <v>8</v>
      </c>
      <c r="G222" s="9" t="n">
        <v>17.54224494</v>
      </c>
      <c r="H222" s="13" t="s">
        <v>438</v>
      </c>
      <c r="I222" s="2" t="s">
        <v>439</v>
      </c>
      <c r="J222" s="3" t="n">
        <v>0</v>
      </c>
      <c r="K222" s="2" t="s">
        <v>440</v>
      </c>
      <c r="L222" s="5" t="n">
        <f aca="false">IF(COUNTIF('04_MAQUINAS'!$A$2:$A$18,E222)&gt;0,1,0)</f>
        <v>1</v>
      </c>
      <c r="M222" s="2" t="s">
        <v>82</v>
      </c>
    </row>
    <row r="223" customFormat="false" ht="15" hidden="false" customHeight="false" outlineLevel="0" collapsed="false">
      <c r="A223" s="2" t="s">
        <v>127</v>
      </c>
      <c r="B223" s="2" t="s">
        <v>118</v>
      </c>
      <c r="C223" s="4" t="n">
        <v>2</v>
      </c>
      <c r="D223" s="2" t="s">
        <v>386</v>
      </c>
      <c r="E223" s="2" t="s">
        <v>413</v>
      </c>
      <c r="F223" s="6" t="n">
        <v>10</v>
      </c>
      <c r="G223" s="9" t="n">
        <v>10.5</v>
      </c>
      <c r="H223" s="13" t="n">
        <v>1</v>
      </c>
      <c r="I223" s="2" t="s">
        <v>439</v>
      </c>
      <c r="J223" s="3" t="n">
        <v>0</v>
      </c>
      <c r="K223" s="2" t="s">
        <v>440</v>
      </c>
      <c r="L223" s="5" t="n">
        <f aca="false">IF(COUNTIF('04_MAQUINAS'!$A$2:$A$18,E223)&gt;0,1,0)</f>
        <v>1</v>
      </c>
      <c r="M223" s="2" t="s">
        <v>82</v>
      </c>
    </row>
    <row r="224" customFormat="false" ht="15" hidden="false" customHeight="false" outlineLevel="0" collapsed="false">
      <c r="A224" s="2" t="s">
        <v>127</v>
      </c>
      <c r="B224" s="2" t="s">
        <v>118</v>
      </c>
      <c r="C224" s="4" t="n">
        <v>3</v>
      </c>
      <c r="D224" s="2" t="s">
        <v>390</v>
      </c>
      <c r="E224" s="2" t="s">
        <v>387</v>
      </c>
      <c r="F224" s="6" t="n">
        <v>12</v>
      </c>
      <c r="G224" s="9" t="n">
        <v>36</v>
      </c>
      <c r="H224" s="13" t="n">
        <v>2</v>
      </c>
      <c r="I224" s="2" t="s">
        <v>439</v>
      </c>
      <c r="J224" s="3" t="n">
        <v>0</v>
      </c>
      <c r="K224" s="2" t="s">
        <v>440</v>
      </c>
      <c r="L224" s="5" t="n">
        <f aca="false">IF(COUNTIF('04_MAQUINAS'!$A$2:$A$18,E224)&gt;0,1,0)</f>
        <v>1</v>
      </c>
      <c r="M224" s="2" t="s">
        <v>82</v>
      </c>
    </row>
    <row r="225" customFormat="false" ht="15" hidden="false" customHeight="false" outlineLevel="0" collapsed="false">
      <c r="A225" s="2" t="s">
        <v>127</v>
      </c>
      <c r="B225" s="2" t="s">
        <v>118</v>
      </c>
      <c r="C225" s="4" t="n">
        <v>4</v>
      </c>
      <c r="D225" s="2" t="s">
        <v>445</v>
      </c>
      <c r="E225" s="2" t="s">
        <v>402</v>
      </c>
      <c r="F225" s="6" t="n">
        <v>12</v>
      </c>
      <c r="G225" s="9" t="n">
        <v>6.58</v>
      </c>
      <c r="H225" s="13" t="n">
        <v>3</v>
      </c>
      <c r="I225" s="2" t="s">
        <v>439</v>
      </c>
      <c r="J225" s="3" t="n">
        <v>0</v>
      </c>
      <c r="K225" s="2" t="s">
        <v>446</v>
      </c>
      <c r="L225" s="5" t="n">
        <f aca="false">IF(COUNTIF('04_MAQUINAS'!$A$2:$A$18,E225)&gt;0,1,0)</f>
        <v>1</v>
      </c>
      <c r="M225" s="2" t="s">
        <v>82</v>
      </c>
    </row>
    <row r="226" customFormat="false" ht="15" hidden="false" customHeight="false" outlineLevel="0" collapsed="false">
      <c r="A226" s="2" t="s">
        <v>127</v>
      </c>
      <c r="B226" s="2" t="s">
        <v>118</v>
      </c>
      <c r="C226" s="4" t="n">
        <v>5</v>
      </c>
      <c r="D226" s="2" t="s">
        <v>447</v>
      </c>
      <c r="E226" s="2" t="s">
        <v>421</v>
      </c>
      <c r="F226" s="6" t="n">
        <v>45</v>
      </c>
      <c r="G226" s="9" t="n">
        <v>0</v>
      </c>
      <c r="H226" s="13" t="n">
        <v>4</v>
      </c>
      <c r="I226" s="2" t="s">
        <v>448</v>
      </c>
      <c r="J226" s="3" t="n">
        <v>40</v>
      </c>
      <c r="K226" s="2" t="s">
        <v>446</v>
      </c>
      <c r="L226" s="5" t="n">
        <f aca="false">IF(COUNTIF('04_MAQUINAS'!$A$2:$A$18,E226)&gt;0,1,0)</f>
        <v>1</v>
      </c>
      <c r="M226" s="2" t="s">
        <v>82</v>
      </c>
    </row>
    <row r="227" customFormat="false" ht="15" hidden="false" customHeight="false" outlineLevel="0" collapsed="false">
      <c r="A227" s="2" t="s">
        <v>127</v>
      </c>
      <c r="B227" s="2" t="s">
        <v>118</v>
      </c>
      <c r="C227" s="4" t="n">
        <v>6</v>
      </c>
      <c r="D227" s="2" t="s">
        <v>449</v>
      </c>
      <c r="E227" s="2" t="s">
        <v>423</v>
      </c>
      <c r="F227" s="6" t="n">
        <v>8</v>
      </c>
      <c r="G227" s="9" t="n">
        <v>2.36</v>
      </c>
      <c r="H227" s="13" t="n">
        <v>5</v>
      </c>
      <c r="I227" s="2" t="s">
        <v>439</v>
      </c>
      <c r="J227" s="3" t="n">
        <v>0</v>
      </c>
      <c r="K227" s="2" t="s">
        <v>446</v>
      </c>
      <c r="L227" s="5" t="n">
        <f aca="false">IF(COUNTIF('04_MAQUINAS'!$A$2:$A$18,E227)&gt;0,1,0)</f>
        <v>1</v>
      </c>
      <c r="M227" s="2" t="s">
        <v>82</v>
      </c>
    </row>
    <row r="228" customFormat="false" ht="15" hidden="false" customHeight="false" outlineLevel="0" collapsed="false">
      <c r="A228" s="2" t="s">
        <v>127</v>
      </c>
      <c r="B228" s="2" t="s">
        <v>118</v>
      </c>
      <c r="C228" s="4" t="n">
        <v>7</v>
      </c>
      <c r="D228" s="2" t="s">
        <v>450</v>
      </c>
      <c r="E228" s="2" t="s">
        <v>406</v>
      </c>
      <c r="F228" s="6" t="n">
        <v>6</v>
      </c>
      <c r="G228" s="9" t="n">
        <v>108</v>
      </c>
      <c r="H228" s="13" t="n">
        <v>6</v>
      </c>
      <c r="I228" s="2" t="s">
        <v>439</v>
      </c>
      <c r="J228" s="3" t="n">
        <v>0</v>
      </c>
      <c r="K228" s="2" t="s">
        <v>440</v>
      </c>
      <c r="L228" s="5" t="n">
        <f aca="false">IF(COUNTIF('04_MAQUINAS'!$A$2:$A$18,E228)&gt;0,1,0)</f>
        <v>1</v>
      </c>
      <c r="M228" s="2" t="s">
        <v>82</v>
      </c>
    </row>
    <row r="229" customFormat="false" ht="15" hidden="false" customHeight="false" outlineLevel="0" collapsed="false">
      <c r="A229" s="2" t="s">
        <v>127</v>
      </c>
      <c r="B229" s="2" t="s">
        <v>118</v>
      </c>
      <c r="C229" s="4" t="n">
        <v>8</v>
      </c>
      <c r="D229" s="2" t="s">
        <v>453</v>
      </c>
      <c r="E229" s="2" t="s">
        <v>406</v>
      </c>
      <c r="F229" s="6" t="n">
        <v>0</v>
      </c>
      <c r="G229" s="9" t="n">
        <v>4</v>
      </c>
      <c r="H229" s="13" t="n">
        <v>7</v>
      </c>
      <c r="I229" s="2" t="s">
        <v>439</v>
      </c>
      <c r="J229" s="3" t="n">
        <v>0</v>
      </c>
      <c r="K229" s="2" t="s">
        <v>446</v>
      </c>
      <c r="L229" s="5" t="n">
        <f aca="false">IF(COUNTIF('04_MAQUINAS'!$A$2:$A$18,E229)&gt;0,1,0)</f>
        <v>1</v>
      </c>
      <c r="M229" s="2" t="s">
        <v>82</v>
      </c>
    </row>
    <row r="230" customFormat="false" ht="15" hidden="false" customHeight="false" outlineLevel="0" collapsed="false">
      <c r="A230" s="2" t="s">
        <v>128</v>
      </c>
      <c r="B230" s="2" t="s">
        <v>118</v>
      </c>
      <c r="C230" s="4" t="n">
        <v>1</v>
      </c>
      <c r="D230" s="2" t="s">
        <v>437</v>
      </c>
      <c r="E230" s="2" t="s">
        <v>375</v>
      </c>
      <c r="F230" s="6" t="n">
        <v>8</v>
      </c>
      <c r="G230" s="9" t="n">
        <v>18.302426025</v>
      </c>
      <c r="H230" s="13" t="s">
        <v>438</v>
      </c>
      <c r="I230" s="2" t="s">
        <v>439</v>
      </c>
      <c r="J230" s="3" t="n">
        <v>0</v>
      </c>
      <c r="K230" s="2" t="s">
        <v>440</v>
      </c>
      <c r="L230" s="5" t="n">
        <f aca="false">IF(COUNTIF('04_MAQUINAS'!$A$2:$A$18,E230)&gt;0,1,0)</f>
        <v>1</v>
      </c>
      <c r="M230" s="2" t="s">
        <v>82</v>
      </c>
    </row>
    <row r="231" customFormat="false" ht="15" hidden="false" customHeight="false" outlineLevel="0" collapsed="false">
      <c r="A231" s="2" t="s">
        <v>128</v>
      </c>
      <c r="B231" s="2" t="s">
        <v>118</v>
      </c>
      <c r="C231" s="4" t="n">
        <v>2</v>
      </c>
      <c r="D231" s="2" t="s">
        <v>386</v>
      </c>
      <c r="E231" s="2" t="s">
        <v>413</v>
      </c>
      <c r="F231" s="6" t="n">
        <v>10</v>
      </c>
      <c r="G231" s="9" t="n">
        <v>10.5</v>
      </c>
      <c r="H231" s="13" t="n">
        <v>1</v>
      </c>
      <c r="I231" s="2" t="s">
        <v>439</v>
      </c>
      <c r="J231" s="3" t="n">
        <v>0</v>
      </c>
      <c r="K231" s="2" t="s">
        <v>440</v>
      </c>
      <c r="L231" s="5" t="n">
        <f aca="false">IF(COUNTIF('04_MAQUINAS'!$A$2:$A$18,E231)&gt;0,1,0)</f>
        <v>1</v>
      </c>
      <c r="M231" s="2" t="s">
        <v>82</v>
      </c>
    </row>
    <row r="232" customFormat="false" ht="15" hidden="false" customHeight="false" outlineLevel="0" collapsed="false">
      <c r="A232" s="2" t="s">
        <v>128</v>
      </c>
      <c r="B232" s="2" t="s">
        <v>118</v>
      </c>
      <c r="C232" s="4" t="n">
        <v>3</v>
      </c>
      <c r="D232" s="2" t="s">
        <v>390</v>
      </c>
      <c r="E232" s="2" t="s">
        <v>387</v>
      </c>
      <c r="F232" s="6" t="n">
        <v>12</v>
      </c>
      <c r="G232" s="9" t="n">
        <v>36</v>
      </c>
      <c r="H232" s="13" t="n">
        <v>2</v>
      </c>
      <c r="I232" s="2" t="s">
        <v>439</v>
      </c>
      <c r="J232" s="3" t="n">
        <v>0</v>
      </c>
      <c r="K232" s="2" t="s">
        <v>440</v>
      </c>
      <c r="L232" s="5" t="n">
        <f aca="false">IF(COUNTIF('04_MAQUINAS'!$A$2:$A$18,E232)&gt;0,1,0)</f>
        <v>1</v>
      </c>
      <c r="M232" s="2" t="s">
        <v>82</v>
      </c>
    </row>
    <row r="233" customFormat="false" ht="15" hidden="false" customHeight="false" outlineLevel="0" collapsed="false">
      <c r="A233" s="2" t="s">
        <v>128</v>
      </c>
      <c r="B233" s="2" t="s">
        <v>118</v>
      </c>
      <c r="C233" s="4" t="n">
        <v>4</v>
      </c>
      <c r="D233" s="2" t="s">
        <v>445</v>
      </c>
      <c r="E233" s="2" t="s">
        <v>402</v>
      </c>
      <c r="F233" s="6" t="n">
        <v>12</v>
      </c>
      <c r="G233" s="9" t="n">
        <v>6.58</v>
      </c>
      <c r="H233" s="13" t="n">
        <v>3</v>
      </c>
      <c r="I233" s="2" t="s">
        <v>439</v>
      </c>
      <c r="J233" s="3" t="n">
        <v>0</v>
      </c>
      <c r="K233" s="2" t="s">
        <v>446</v>
      </c>
      <c r="L233" s="5" t="n">
        <f aca="false">IF(COUNTIF('04_MAQUINAS'!$A$2:$A$18,E233)&gt;0,1,0)</f>
        <v>1</v>
      </c>
      <c r="M233" s="2" t="s">
        <v>82</v>
      </c>
    </row>
    <row r="234" customFormat="false" ht="15" hidden="false" customHeight="false" outlineLevel="0" collapsed="false">
      <c r="A234" s="2" t="s">
        <v>128</v>
      </c>
      <c r="B234" s="2" t="s">
        <v>118</v>
      </c>
      <c r="C234" s="4" t="n">
        <v>5</v>
      </c>
      <c r="D234" s="2" t="s">
        <v>447</v>
      </c>
      <c r="E234" s="2" t="s">
        <v>421</v>
      </c>
      <c r="F234" s="6" t="n">
        <v>45</v>
      </c>
      <c r="G234" s="9" t="n">
        <v>0</v>
      </c>
      <c r="H234" s="13" t="n">
        <v>4</v>
      </c>
      <c r="I234" s="2" t="s">
        <v>448</v>
      </c>
      <c r="J234" s="3" t="n">
        <v>40</v>
      </c>
      <c r="K234" s="2" t="s">
        <v>446</v>
      </c>
      <c r="L234" s="5" t="n">
        <f aca="false">IF(COUNTIF('04_MAQUINAS'!$A$2:$A$18,E234)&gt;0,1,0)</f>
        <v>1</v>
      </c>
      <c r="M234" s="2" t="s">
        <v>82</v>
      </c>
    </row>
    <row r="235" customFormat="false" ht="15" hidden="false" customHeight="false" outlineLevel="0" collapsed="false">
      <c r="A235" s="2" t="s">
        <v>128</v>
      </c>
      <c r="B235" s="2" t="s">
        <v>118</v>
      </c>
      <c r="C235" s="4" t="n">
        <v>6</v>
      </c>
      <c r="D235" s="2" t="s">
        <v>449</v>
      </c>
      <c r="E235" s="2" t="s">
        <v>423</v>
      </c>
      <c r="F235" s="6" t="n">
        <v>8</v>
      </c>
      <c r="G235" s="9" t="n">
        <v>2.36</v>
      </c>
      <c r="H235" s="13" t="n">
        <v>5</v>
      </c>
      <c r="I235" s="2" t="s">
        <v>439</v>
      </c>
      <c r="J235" s="3" t="n">
        <v>0</v>
      </c>
      <c r="K235" s="2" t="s">
        <v>446</v>
      </c>
      <c r="L235" s="5" t="n">
        <f aca="false">IF(COUNTIF('04_MAQUINAS'!$A$2:$A$18,E235)&gt;0,1,0)</f>
        <v>1</v>
      </c>
      <c r="M235" s="2" t="s">
        <v>82</v>
      </c>
    </row>
    <row r="236" customFormat="false" ht="15" hidden="false" customHeight="false" outlineLevel="0" collapsed="false">
      <c r="A236" s="2" t="s">
        <v>128</v>
      </c>
      <c r="B236" s="2" t="s">
        <v>118</v>
      </c>
      <c r="C236" s="4" t="n">
        <v>7</v>
      </c>
      <c r="D236" s="2" t="s">
        <v>450</v>
      </c>
      <c r="E236" s="2" t="s">
        <v>406</v>
      </c>
      <c r="F236" s="6" t="n">
        <v>6</v>
      </c>
      <c r="G236" s="9" t="n">
        <v>108</v>
      </c>
      <c r="H236" s="13" t="n">
        <v>6</v>
      </c>
      <c r="I236" s="2" t="s">
        <v>439</v>
      </c>
      <c r="J236" s="3" t="n">
        <v>0</v>
      </c>
      <c r="K236" s="2" t="s">
        <v>440</v>
      </c>
      <c r="L236" s="5" t="n">
        <f aca="false">IF(COUNTIF('04_MAQUINAS'!$A$2:$A$18,E236)&gt;0,1,0)</f>
        <v>1</v>
      </c>
      <c r="M236" s="2" t="s">
        <v>82</v>
      </c>
    </row>
    <row r="237" customFormat="false" ht="15" hidden="false" customHeight="false" outlineLevel="0" collapsed="false">
      <c r="A237" s="2" t="s">
        <v>128</v>
      </c>
      <c r="B237" s="2" t="s">
        <v>118</v>
      </c>
      <c r="C237" s="4" t="n">
        <v>8</v>
      </c>
      <c r="D237" s="2" t="s">
        <v>453</v>
      </c>
      <c r="E237" s="2" t="s">
        <v>406</v>
      </c>
      <c r="F237" s="6" t="n">
        <v>0</v>
      </c>
      <c r="G237" s="9" t="n">
        <v>4</v>
      </c>
      <c r="H237" s="13" t="n">
        <v>7</v>
      </c>
      <c r="I237" s="2" t="s">
        <v>439</v>
      </c>
      <c r="J237" s="3" t="n">
        <v>0</v>
      </c>
      <c r="K237" s="2" t="s">
        <v>446</v>
      </c>
      <c r="L237" s="5" t="n">
        <f aca="false">IF(COUNTIF('04_MAQUINAS'!$A$2:$A$18,E237)&gt;0,1,0)</f>
        <v>1</v>
      </c>
      <c r="M237" s="2" t="s">
        <v>82</v>
      </c>
    </row>
    <row r="238" customFormat="false" ht="15" hidden="false" customHeight="false" outlineLevel="0" collapsed="false">
      <c r="A238" s="2" t="s">
        <v>129</v>
      </c>
      <c r="B238" s="2" t="s">
        <v>118</v>
      </c>
      <c r="C238" s="4" t="n">
        <v>1</v>
      </c>
      <c r="D238" s="2" t="s">
        <v>437</v>
      </c>
      <c r="E238" s="2" t="s">
        <v>375</v>
      </c>
      <c r="F238" s="6" t="n">
        <v>8</v>
      </c>
      <c r="G238" s="9" t="n">
        <v>20.40084375</v>
      </c>
      <c r="H238" s="13" t="s">
        <v>438</v>
      </c>
      <c r="I238" s="2" t="s">
        <v>439</v>
      </c>
      <c r="J238" s="3" t="n">
        <v>0</v>
      </c>
      <c r="K238" s="2" t="s">
        <v>440</v>
      </c>
      <c r="L238" s="5" t="n">
        <f aca="false">IF(COUNTIF('04_MAQUINAS'!$A$2:$A$18,E238)&gt;0,1,0)</f>
        <v>1</v>
      </c>
      <c r="M238" s="2" t="s">
        <v>82</v>
      </c>
    </row>
    <row r="239" customFormat="false" ht="15" hidden="false" customHeight="false" outlineLevel="0" collapsed="false">
      <c r="A239" s="2" t="s">
        <v>129</v>
      </c>
      <c r="B239" s="2" t="s">
        <v>118</v>
      </c>
      <c r="C239" s="4" t="n">
        <v>2</v>
      </c>
      <c r="D239" s="2" t="s">
        <v>386</v>
      </c>
      <c r="E239" s="2" t="s">
        <v>413</v>
      </c>
      <c r="F239" s="6" t="n">
        <v>10</v>
      </c>
      <c r="G239" s="9" t="n">
        <v>10.5</v>
      </c>
      <c r="H239" s="13" t="n">
        <v>1</v>
      </c>
      <c r="I239" s="2" t="s">
        <v>439</v>
      </c>
      <c r="J239" s="3" t="n">
        <v>0</v>
      </c>
      <c r="K239" s="2" t="s">
        <v>440</v>
      </c>
      <c r="L239" s="5" t="n">
        <f aca="false">IF(COUNTIF('04_MAQUINAS'!$A$2:$A$18,E239)&gt;0,1,0)</f>
        <v>1</v>
      </c>
      <c r="M239" s="2" t="s">
        <v>82</v>
      </c>
    </row>
    <row r="240" customFormat="false" ht="15" hidden="false" customHeight="false" outlineLevel="0" collapsed="false">
      <c r="A240" s="2" t="s">
        <v>129</v>
      </c>
      <c r="B240" s="2" t="s">
        <v>118</v>
      </c>
      <c r="C240" s="4" t="n">
        <v>3</v>
      </c>
      <c r="D240" s="2" t="s">
        <v>390</v>
      </c>
      <c r="E240" s="2" t="s">
        <v>387</v>
      </c>
      <c r="F240" s="6" t="n">
        <v>12</v>
      </c>
      <c r="G240" s="9" t="n">
        <v>36</v>
      </c>
      <c r="H240" s="13" t="n">
        <v>2</v>
      </c>
      <c r="I240" s="2" t="s">
        <v>439</v>
      </c>
      <c r="J240" s="3" t="n">
        <v>0</v>
      </c>
      <c r="K240" s="2" t="s">
        <v>440</v>
      </c>
      <c r="L240" s="5" t="n">
        <f aca="false">IF(COUNTIF('04_MAQUINAS'!$A$2:$A$18,E240)&gt;0,1,0)</f>
        <v>1</v>
      </c>
      <c r="M240" s="2" t="s">
        <v>82</v>
      </c>
    </row>
    <row r="241" customFormat="false" ht="15" hidden="false" customHeight="false" outlineLevel="0" collapsed="false">
      <c r="A241" s="2" t="s">
        <v>129</v>
      </c>
      <c r="B241" s="2" t="s">
        <v>118</v>
      </c>
      <c r="C241" s="4" t="n">
        <v>4</v>
      </c>
      <c r="D241" s="2" t="s">
        <v>445</v>
      </c>
      <c r="E241" s="2" t="s">
        <v>402</v>
      </c>
      <c r="F241" s="6" t="n">
        <v>12</v>
      </c>
      <c r="G241" s="9" t="n">
        <v>6.58</v>
      </c>
      <c r="H241" s="13" t="n">
        <v>3</v>
      </c>
      <c r="I241" s="2" t="s">
        <v>439</v>
      </c>
      <c r="J241" s="3" t="n">
        <v>0</v>
      </c>
      <c r="K241" s="2" t="s">
        <v>446</v>
      </c>
      <c r="L241" s="5" t="n">
        <f aca="false">IF(COUNTIF('04_MAQUINAS'!$A$2:$A$18,E241)&gt;0,1,0)</f>
        <v>1</v>
      </c>
      <c r="M241" s="2" t="s">
        <v>82</v>
      </c>
    </row>
    <row r="242" customFormat="false" ht="15" hidden="false" customHeight="false" outlineLevel="0" collapsed="false">
      <c r="A242" s="2" t="s">
        <v>129</v>
      </c>
      <c r="B242" s="2" t="s">
        <v>118</v>
      </c>
      <c r="C242" s="4" t="n">
        <v>5</v>
      </c>
      <c r="D242" s="2" t="s">
        <v>447</v>
      </c>
      <c r="E242" s="2" t="s">
        <v>421</v>
      </c>
      <c r="F242" s="6" t="n">
        <v>45</v>
      </c>
      <c r="G242" s="9" t="n">
        <v>0</v>
      </c>
      <c r="H242" s="13" t="n">
        <v>4</v>
      </c>
      <c r="I242" s="2" t="s">
        <v>448</v>
      </c>
      <c r="J242" s="3" t="n">
        <v>40</v>
      </c>
      <c r="K242" s="2" t="s">
        <v>446</v>
      </c>
      <c r="L242" s="5" t="n">
        <f aca="false">IF(COUNTIF('04_MAQUINAS'!$A$2:$A$18,E242)&gt;0,1,0)</f>
        <v>1</v>
      </c>
      <c r="M242" s="2" t="s">
        <v>82</v>
      </c>
    </row>
    <row r="243" customFormat="false" ht="15" hidden="false" customHeight="false" outlineLevel="0" collapsed="false">
      <c r="A243" s="2" t="s">
        <v>129</v>
      </c>
      <c r="B243" s="2" t="s">
        <v>118</v>
      </c>
      <c r="C243" s="4" t="n">
        <v>6</v>
      </c>
      <c r="D243" s="2" t="s">
        <v>449</v>
      </c>
      <c r="E243" s="2" t="s">
        <v>423</v>
      </c>
      <c r="F243" s="6" t="n">
        <v>8</v>
      </c>
      <c r="G243" s="9" t="n">
        <v>2.36</v>
      </c>
      <c r="H243" s="13" t="n">
        <v>5</v>
      </c>
      <c r="I243" s="2" t="s">
        <v>439</v>
      </c>
      <c r="J243" s="3" t="n">
        <v>0</v>
      </c>
      <c r="K243" s="2" t="s">
        <v>446</v>
      </c>
      <c r="L243" s="5" t="n">
        <f aca="false">IF(COUNTIF('04_MAQUINAS'!$A$2:$A$18,E243)&gt;0,1,0)</f>
        <v>1</v>
      </c>
      <c r="M243" s="2" t="s">
        <v>82</v>
      </c>
    </row>
    <row r="244" customFormat="false" ht="15" hidden="false" customHeight="false" outlineLevel="0" collapsed="false">
      <c r="A244" s="2" t="s">
        <v>129</v>
      </c>
      <c r="B244" s="2" t="s">
        <v>118</v>
      </c>
      <c r="C244" s="4" t="n">
        <v>7</v>
      </c>
      <c r="D244" s="2" t="s">
        <v>450</v>
      </c>
      <c r="E244" s="2" t="s">
        <v>406</v>
      </c>
      <c r="F244" s="6" t="n">
        <v>6</v>
      </c>
      <c r="G244" s="9" t="n">
        <v>108</v>
      </c>
      <c r="H244" s="13" t="n">
        <v>6</v>
      </c>
      <c r="I244" s="2" t="s">
        <v>439</v>
      </c>
      <c r="J244" s="3" t="n">
        <v>0</v>
      </c>
      <c r="K244" s="2" t="s">
        <v>440</v>
      </c>
      <c r="L244" s="5" t="n">
        <f aca="false">IF(COUNTIF('04_MAQUINAS'!$A$2:$A$18,E244)&gt;0,1,0)</f>
        <v>1</v>
      </c>
      <c r="M244" s="2" t="s">
        <v>82</v>
      </c>
    </row>
    <row r="245" customFormat="false" ht="15" hidden="false" customHeight="false" outlineLevel="0" collapsed="false">
      <c r="A245" s="2" t="s">
        <v>129</v>
      </c>
      <c r="B245" s="2" t="s">
        <v>118</v>
      </c>
      <c r="C245" s="4" t="n">
        <v>8</v>
      </c>
      <c r="D245" s="2" t="s">
        <v>453</v>
      </c>
      <c r="E245" s="2" t="s">
        <v>406</v>
      </c>
      <c r="F245" s="6" t="n">
        <v>0</v>
      </c>
      <c r="G245" s="9" t="n">
        <v>4</v>
      </c>
      <c r="H245" s="13" t="n">
        <v>7</v>
      </c>
      <c r="I245" s="2" t="s">
        <v>439</v>
      </c>
      <c r="J245" s="3" t="n">
        <v>0</v>
      </c>
      <c r="K245" s="2" t="s">
        <v>446</v>
      </c>
      <c r="L245" s="5" t="n">
        <f aca="false">IF(COUNTIF('04_MAQUINAS'!$A$2:$A$18,E245)&gt;0,1,0)</f>
        <v>1</v>
      </c>
      <c r="M245" s="2" t="s">
        <v>82</v>
      </c>
    </row>
    <row r="246" customFormat="false" ht="15" hidden="false" customHeight="false" outlineLevel="0" collapsed="false">
      <c r="A246" s="2" t="s">
        <v>131</v>
      </c>
      <c r="B246" s="2" t="s">
        <v>118</v>
      </c>
      <c r="C246" s="4" t="n">
        <v>1</v>
      </c>
      <c r="D246" s="2" t="s">
        <v>441</v>
      </c>
      <c r="E246" s="2" t="s">
        <v>380</v>
      </c>
      <c r="F246" s="6" t="n">
        <v>8</v>
      </c>
      <c r="G246" s="9" t="n">
        <v>20.2768</v>
      </c>
      <c r="H246" s="13" t="s">
        <v>438</v>
      </c>
      <c r="I246" s="2" t="s">
        <v>439</v>
      </c>
      <c r="J246" s="3" t="n">
        <v>0</v>
      </c>
      <c r="K246" s="2" t="s">
        <v>440</v>
      </c>
      <c r="L246" s="5" t="n">
        <f aca="false">IF(COUNTIF('04_MAQUINAS'!$A$2:$A$18,E246)&gt;0,1,0)</f>
        <v>1</v>
      </c>
      <c r="M246" s="2" t="s">
        <v>82</v>
      </c>
    </row>
    <row r="247" customFormat="false" ht="15" hidden="false" customHeight="false" outlineLevel="0" collapsed="false">
      <c r="A247" s="2" t="s">
        <v>131</v>
      </c>
      <c r="B247" s="2" t="s">
        <v>118</v>
      </c>
      <c r="C247" s="4" t="n">
        <v>2</v>
      </c>
      <c r="D247" s="2" t="s">
        <v>386</v>
      </c>
      <c r="E247" s="2" t="s">
        <v>413</v>
      </c>
      <c r="F247" s="6" t="n">
        <v>10</v>
      </c>
      <c r="G247" s="9" t="n">
        <v>13.6</v>
      </c>
      <c r="H247" s="13" t="n">
        <v>1</v>
      </c>
      <c r="I247" s="2" t="s">
        <v>439</v>
      </c>
      <c r="J247" s="3" t="n">
        <v>0</v>
      </c>
      <c r="K247" s="2" t="s">
        <v>440</v>
      </c>
      <c r="L247" s="5" t="n">
        <f aca="false">IF(COUNTIF('04_MAQUINAS'!$A$2:$A$18,E247)&gt;0,1,0)</f>
        <v>1</v>
      </c>
      <c r="M247" s="2" t="s">
        <v>82</v>
      </c>
    </row>
    <row r="248" customFormat="false" ht="15" hidden="false" customHeight="false" outlineLevel="0" collapsed="false">
      <c r="A248" s="2" t="s">
        <v>131</v>
      </c>
      <c r="B248" s="2" t="s">
        <v>118</v>
      </c>
      <c r="C248" s="4" t="n">
        <v>3</v>
      </c>
      <c r="D248" s="2" t="s">
        <v>442</v>
      </c>
      <c r="E248" s="2" t="s">
        <v>415</v>
      </c>
      <c r="F248" s="6" t="n">
        <v>10</v>
      </c>
      <c r="G248" s="9" t="n">
        <v>33.6</v>
      </c>
      <c r="H248" s="13" t="n">
        <v>2</v>
      </c>
      <c r="I248" s="2" t="s">
        <v>439</v>
      </c>
      <c r="J248" s="3" t="n">
        <v>0</v>
      </c>
      <c r="K248" s="2" t="s">
        <v>440</v>
      </c>
      <c r="L248" s="5" t="n">
        <f aca="false">IF(COUNTIF('04_MAQUINAS'!$A$2:$A$18,E248)&gt;0,1,0)</f>
        <v>1</v>
      </c>
      <c r="M248" s="2" t="s">
        <v>82</v>
      </c>
    </row>
    <row r="249" customFormat="false" ht="15" hidden="false" customHeight="false" outlineLevel="0" collapsed="false">
      <c r="A249" s="2" t="s">
        <v>131</v>
      </c>
      <c r="B249" s="2" t="s">
        <v>118</v>
      </c>
      <c r="C249" s="4" t="n">
        <v>4</v>
      </c>
      <c r="D249" s="2" t="s">
        <v>445</v>
      </c>
      <c r="E249" s="2" t="s">
        <v>402</v>
      </c>
      <c r="F249" s="6" t="n">
        <v>12</v>
      </c>
      <c r="G249" s="9" t="n">
        <v>6.58</v>
      </c>
      <c r="H249" s="13" t="n">
        <v>3</v>
      </c>
      <c r="I249" s="2" t="s">
        <v>439</v>
      </c>
      <c r="J249" s="3" t="n">
        <v>0</v>
      </c>
      <c r="K249" s="2" t="s">
        <v>446</v>
      </c>
      <c r="L249" s="5" t="n">
        <f aca="false">IF(COUNTIF('04_MAQUINAS'!$A$2:$A$18,E249)&gt;0,1,0)</f>
        <v>1</v>
      </c>
      <c r="M249" s="2" t="s">
        <v>82</v>
      </c>
    </row>
    <row r="250" customFormat="false" ht="15" hidden="false" customHeight="false" outlineLevel="0" collapsed="false">
      <c r="A250" s="2" t="s">
        <v>131</v>
      </c>
      <c r="B250" s="2" t="s">
        <v>118</v>
      </c>
      <c r="C250" s="4" t="n">
        <v>5</v>
      </c>
      <c r="D250" s="2" t="s">
        <v>447</v>
      </c>
      <c r="E250" s="2" t="s">
        <v>421</v>
      </c>
      <c r="F250" s="6" t="n">
        <v>45</v>
      </c>
      <c r="G250" s="9" t="n">
        <v>0</v>
      </c>
      <c r="H250" s="13" t="n">
        <v>4</v>
      </c>
      <c r="I250" s="2" t="s">
        <v>448</v>
      </c>
      <c r="J250" s="3" t="n">
        <v>40</v>
      </c>
      <c r="K250" s="2" t="s">
        <v>446</v>
      </c>
      <c r="L250" s="5" t="n">
        <f aca="false">IF(COUNTIF('04_MAQUINAS'!$A$2:$A$18,E250)&gt;0,1,0)</f>
        <v>1</v>
      </c>
      <c r="M250" s="2" t="s">
        <v>82</v>
      </c>
    </row>
    <row r="251" customFormat="false" ht="15" hidden="false" customHeight="false" outlineLevel="0" collapsed="false">
      <c r="A251" s="2" t="s">
        <v>131</v>
      </c>
      <c r="B251" s="2" t="s">
        <v>118</v>
      </c>
      <c r="C251" s="4" t="n">
        <v>6</v>
      </c>
      <c r="D251" s="2" t="s">
        <v>449</v>
      </c>
      <c r="E251" s="2" t="s">
        <v>423</v>
      </c>
      <c r="F251" s="6" t="n">
        <v>8</v>
      </c>
      <c r="G251" s="9" t="n">
        <v>2.36</v>
      </c>
      <c r="H251" s="13" t="n">
        <v>5</v>
      </c>
      <c r="I251" s="2" t="s">
        <v>439</v>
      </c>
      <c r="J251" s="3" t="n">
        <v>0</v>
      </c>
      <c r="K251" s="2" t="s">
        <v>446</v>
      </c>
      <c r="L251" s="5" t="n">
        <f aca="false">IF(COUNTIF('04_MAQUINAS'!$A$2:$A$18,E251)&gt;0,1,0)</f>
        <v>1</v>
      </c>
      <c r="M251" s="2" t="s">
        <v>82</v>
      </c>
    </row>
    <row r="252" customFormat="false" ht="15" hidden="false" customHeight="false" outlineLevel="0" collapsed="false">
      <c r="A252" s="2" t="s">
        <v>131</v>
      </c>
      <c r="B252" s="2" t="s">
        <v>118</v>
      </c>
      <c r="C252" s="4" t="n">
        <v>7</v>
      </c>
      <c r="D252" s="2" t="s">
        <v>450</v>
      </c>
      <c r="E252" s="2" t="s">
        <v>406</v>
      </c>
      <c r="F252" s="6" t="n">
        <v>6</v>
      </c>
      <c r="G252" s="9" t="n">
        <v>108.75</v>
      </c>
      <c r="H252" s="13" t="n">
        <v>6</v>
      </c>
      <c r="I252" s="2" t="s">
        <v>439</v>
      </c>
      <c r="J252" s="3" t="n">
        <v>0</v>
      </c>
      <c r="K252" s="2" t="s">
        <v>440</v>
      </c>
      <c r="L252" s="5" t="n">
        <f aca="false">IF(COUNTIF('04_MAQUINAS'!$A$2:$A$18,E252)&gt;0,1,0)</f>
        <v>1</v>
      </c>
      <c r="M252" s="2" t="s">
        <v>82</v>
      </c>
    </row>
    <row r="253" customFormat="false" ht="15" hidden="false" customHeight="false" outlineLevel="0" collapsed="false">
      <c r="A253" s="2" t="s">
        <v>131</v>
      </c>
      <c r="B253" s="2" t="s">
        <v>118</v>
      </c>
      <c r="C253" s="4" t="n">
        <v>8</v>
      </c>
      <c r="D253" s="2" t="s">
        <v>453</v>
      </c>
      <c r="E253" s="2" t="s">
        <v>406</v>
      </c>
      <c r="F253" s="6" t="n">
        <v>0</v>
      </c>
      <c r="G253" s="9" t="n">
        <v>4</v>
      </c>
      <c r="H253" s="13" t="n">
        <v>7</v>
      </c>
      <c r="I253" s="2" t="s">
        <v>439</v>
      </c>
      <c r="J253" s="3" t="n">
        <v>0</v>
      </c>
      <c r="K253" s="2" t="s">
        <v>446</v>
      </c>
      <c r="L253" s="5" t="n">
        <f aca="false">IF(COUNTIF('04_MAQUINAS'!$A$2:$A$18,E253)&gt;0,1,0)</f>
        <v>1</v>
      </c>
      <c r="M253" s="2" t="s">
        <v>82</v>
      </c>
    </row>
    <row r="254" customFormat="false" ht="15" hidden="false" customHeight="false" outlineLevel="0" collapsed="false">
      <c r="A254" s="2" t="s">
        <v>133</v>
      </c>
      <c r="B254" s="2" t="s">
        <v>118</v>
      </c>
      <c r="C254" s="4" t="n">
        <v>1</v>
      </c>
      <c r="D254" s="2" t="s">
        <v>437</v>
      </c>
      <c r="E254" s="2" t="s">
        <v>375</v>
      </c>
      <c r="F254" s="6" t="n">
        <v>8</v>
      </c>
      <c r="G254" s="9" t="n">
        <v>21.2562375</v>
      </c>
      <c r="H254" s="13" t="s">
        <v>438</v>
      </c>
      <c r="I254" s="2" t="s">
        <v>439</v>
      </c>
      <c r="J254" s="3" t="n">
        <v>0</v>
      </c>
      <c r="K254" s="2" t="s">
        <v>440</v>
      </c>
      <c r="L254" s="5" t="n">
        <f aca="false">IF(COUNTIF('04_MAQUINAS'!$A$2:$A$18,E254)&gt;0,1,0)</f>
        <v>1</v>
      </c>
      <c r="M254" s="2" t="s">
        <v>82</v>
      </c>
    </row>
    <row r="255" customFormat="false" ht="15" hidden="false" customHeight="false" outlineLevel="0" collapsed="false">
      <c r="A255" s="2" t="s">
        <v>133</v>
      </c>
      <c r="B255" s="2" t="s">
        <v>118</v>
      </c>
      <c r="C255" s="4" t="n">
        <v>2</v>
      </c>
      <c r="D255" s="2" t="s">
        <v>386</v>
      </c>
      <c r="E255" s="2" t="s">
        <v>413</v>
      </c>
      <c r="F255" s="6" t="n">
        <v>10</v>
      </c>
      <c r="G255" s="9" t="n">
        <v>10.5</v>
      </c>
      <c r="H255" s="13" t="n">
        <v>1</v>
      </c>
      <c r="I255" s="2" t="s">
        <v>439</v>
      </c>
      <c r="J255" s="3" t="n">
        <v>0</v>
      </c>
      <c r="K255" s="2" t="s">
        <v>440</v>
      </c>
      <c r="L255" s="5" t="n">
        <f aca="false">IF(COUNTIF('04_MAQUINAS'!$A$2:$A$18,E255)&gt;0,1,0)</f>
        <v>1</v>
      </c>
      <c r="M255" s="2" t="s">
        <v>82</v>
      </c>
    </row>
    <row r="256" customFormat="false" ht="15" hidden="false" customHeight="false" outlineLevel="0" collapsed="false">
      <c r="A256" s="2" t="s">
        <v>133</v>
      </c>
      <c r="B256" s="2" t="s">
        <v>118</v>
      </c>
      <c r="C256" s="4" t="n">
        <v>3</v>
      </c>
      <c r="D256" s="2" t="s">
        <v>390</v>
      </c>
      <c r="E256" s="2" t="s">
        <v>387</v>
      </c>
      <c r="F256" s="6" t="n">
        <v>12</v>
      </c>
      <c r="G256" s="9" t="n">
        <v>36</v>
      </c>
      <c r="H256" s="13" t="n">
        <v>2</v>
      </c>
      <c r="I256" s="2" t="s">
        <v>439</v>
      </c>
      <c r="J256" s="3" t="n">
        <v>0</v>
      </c>
      <c r="K256" s="2" t="s">
        <v>440</v>
      </c>
      <c r="L256" s="5" t="n">
        <f aca="false">IF(COUNTIF('04_MAQUINAS'!$A$2:$A$18,E256)&gt;0,1,0)</f>
        <v>1</v>
      </c>
      <c r="M256" s="2" t="s">
        <v>82</v>
      </c>
    </row>
    <row r="257" customFormat="false" ht="15" hidden="false" customHeight="false" outlineLevel="0" collapsed="false">
      <c r="A257" s="2" t="s">
        <v>133</v>
      </c>
      <c r="B257" s="2" t="s">
        <v>118</v>
      </c>
      <c r="C257" s="4" t="n">
        <v>4</v>
      </c>
      <c r="D257" s="2" t="s">
        <v>445</v>
      </c>
      <c r="E257" s="2" t="s">
        <v>402</v>
      </c>
      <c r="F257" s="6" t="n">
        <v>12</v>
      </c>
      <c r="G257" s="9" t="n">
        <v>6.58</v>
      </c>
      <c r="H257" s="13" t="n">
        <v>3</v>
      </c>
      <c r="I257" s="2" t="s">
        <v>439</v>
      </c>
      <c r="J257" s="3" t="n">
        <v>0</v>
      </c>
      <c r="K257" s="2" t="s">
        <v>446</v>
      </c>
      <c r="L257" s="5" t="n">
        <f aca="false">IF(COUNTIF('04_MAQUINAS'!$A$2:$A$18,E257)&gt;0,1,0)</f>
        <v>1</v>
      </c>
      <c r="M257" s="2" t="s">
        <v>82</v>
      </c>
    </row>
    <row r="258" customFormat="false" ht="15" hidden="false" customHeight="false" outlineLevel="0" collapsed="false">
      <c r="A258" s="2" t="s">
        <v>133</v>
      </c>
      <c r="B258" s="2" t="s">
        <v>118</v>
      </c>
      <c r="C258" s="4" t="n">
        <v>5</v>
      </c>
      <c r="D258" s="2" t="s">
        <v>447</v>
      </c>
      <c r="E258" s="2" t="s">
        <v>421</v>
      </c>
      <c r="F258" s="6" t="n">
        <v>45</v>
      </c>
      <c r="G258" s="9" t="n">
        <v>0</v>
      </c>
      <c r="H258" s="13" t="n">
        <v>4</v>
      </c>
      <c r="I258" s="2" t="s">
        <v>448</v>
      </c>
      <c r="J258" s="3" t="n">
        <v>40</v>
      </c>
      <c r="K258" s="2" t="s">
        <v>446</v>
      </c>
      <c r="L258" s="5" t="n">
        <f aca="false">IF(COUNTIF('04_MAQUINAS'!$A$2:$A$18,E258)&gt;0,1,0)</f>
        <v>1</v>
      </c>
      <c r="M258" s="2" t="s">
        <v>82</v>
      </c>
    </row>
    <row r="259" customFormat="false" ht="15" hidden="false" customHeight="false" outlineLevel="0" collapsed="false">
      <c r="A259" s="2" t="s">
        <v>133</v>
      </c>
      <c r="B259" s="2" t="s">
        <v>118</v>
      </c>
      <c r="C259" s="4" t="n">
        <v>6</v>
      </c>
      <c r="D259" s="2" t="s">
        <v>449</v>
      </c>
      <c r="E259" s="2" t="s">
        <v>423</v>
      </c>
      <c r="F259" s="6" t="n">
        <v>8</v>
      </c>
      <c r="G259" s="9" t="n">
        <v>2.36</v>
      </c>
      <c r="H259" s="13" t="n">
        <v>5</v>
      </c>
      <c r="I259" s="2" t="s">
        <v>439</v>
      </c>
      <c r="J259" s="3" t="n">
        <v>0</v>
      </c>
      <c r="K259" s="2" t="s">
        <v>446</v>
      </c>
      <c r="L259" s="5" t="n">
        <f aca="false">IF(COUNTIF('04_MAQUINAS'!$A$2:$A$18,E259)&gt;0,1,0)</f>
        <v>1</v>
      </c>
      <c r="M259" s="2" t="s">
        <v>82</v>
      </c>
    </row>
    <row r="260" customFormat="false" ht="15" hidden="false" customHeight="false" outlineLevel="0" collapsed="false">
      <c r="A260" s="2" t="s">
        <v>133</v>
      </c>
      <c r="B260" s="2" t="s">
        <v>118</v>
      </c>
      <c r="C260" s="4" t="n">
        <v>7</v>
      </c>
      <c r="D260" s="2" t="s">
        <v>450</v>
      </c>
      <c r="E260" s="2" t="s">
        <v>406</v>
      </c>
      <c r="F260" s="6" t="n">
        <v>6</v>
      </c>
      <c r="G260" s="9" t="n">
        <v>108</v>
      </c>
      <c r="H260" s="13" t="n">
        <v>6</v>
      </c>
      <c r="I260" s="2" t="s">
        <v>439</v>
      </c>
      <c r="J260" s="3" t="n">
        <v>0</v>
      </c>
      <c r="K260" s="2" t="s">
        <v>440</v>
      </c>
      <c r="L260" s="5" t="n">
        <f aca="false">IF(COUNTIF('04_MAQUINAS'!$A$2:$A$18,E260)&gt;0,1,0)</f>
        <v>1</v>
      </c>
      <c r="M260" s="2" t="s">
        <v>82</v>
      </c>
    </row>
    <row r="261" customFormat="false" ht="15" hidden="false" customHeight="false" outlineLevel="0" collapsed="false">
      <c r="A261" s="2" t="s">
        <v>133</v>
      </c>
      <c r="B261" s="2" t="s">
        <v>118</v>
      </c>
      <c r="C261" s="4" t="n">
        <v>8</v>
      </c>
      <c r="D261" s="2" t="s">
        <v>453</v>
      </c>
      <c r="E261" s="2" t="s">
        <v>406</v>
      </c>
      <c r="F261" s="6" t="n">
        <v>0</v>
      </c>
      <c r="G261" s="9" t="n">
        <v>4</v>
      </c>
      <c r="H261" s="13" t="n">
        <v>7</v>
      </c>
      <c r="I261" s="2" t="s">
        <v>439</v>
      </c>
      <c r="J261" s="3" t="n">
        <v>0</v>
      </c>
      <c r="K261" s="2" t="s">
        <v>446</v>
      </c>
      <c r="L261" s="5" t="n">
        <f aca="false">IF(COUNTIF('04_MAQUINAS'!$A$2:$A$18,E261)&gt;0,1,0)</f>
        <v>1</v>
      </c>
      <c r="M261" s="2" t="s">
        <v>82</v>
      </c>
    </row>
    <row r="262" customFormat="false" ht="15" hidden="false" customHeight="false" outlineLevel="0" collapsed="false">
      <c r="A262" s="2" t="s">
        <v>134</v>
      </c>
      <c r="B262" s="2" t="s">
        <v>118</v>
      </c>
      <c r="C262" s="4" t="n">
        <v>1</v>
      </c>
      <c r="D262" s="2" t="s">
        <v>437</v>
      </c>
      <c r="E262" s="2" t="s">
        <v>375</v>
      </c>
      <c r="F262" s="6" t="n">
        <v>8</v>
      </c>
      <c r="G262" s="9" t="n">
        <v>21.2562375</v>
      </c>
      <c r="H262" s="13" t="s">
        <v>438</v>
      </c>
      <c r="I262" s="2" t="s">
        <v>439</v>
      </c>
      <c r="J262" s="3" t="n">
        <v>0</v>
      </c>
      <c r="K262" s="2" t="s">
        <v>440</v>
      </c>
      <c r="L262" s="5" t="n">
        <f aca="false">IF(COUNTIF('04_MAQUINAS'!$A$2:$A$18,E262)&gt;0,1,0)</f>
        <v>1</v>
      </c>
      <c r="M262" s="2" t="s">
        <v>82</v>
      </c>
    </row>
    <row r="263" customFormat="false" ht="15" hidden="false" customHeight="false" outlineLevel="0" collapsed="false">
      <c r="A263" s="2" t="s">
        <v>134</v>
      </c>
      <c r="B263" s="2" t="s">
        <v>118</v>
      </c>
      <c r="C263" s="4" t="n">
        <v>2</v>
      </c>
      <c r="D263" s="2" t="s">
        <v>386</v>
      </c>
      <c r="E263" s="2" t="s">
        <v>413</v>
      </c>
      <c r="F263" s="6" t="n">
        <v>10</v>
      </c>
      <c r="G263" s="9" t="n">
        <v>10.5</v>
      </c>
      <c r="H263" s="13" t="n">
        <v>1</v>
      </c>
      <c r="I263" s="2" t="s">
        <v>439</v>
      </c>
      <c r="J263" s="3" t="n">
        <v>0</v>
      </c>
      <c r="K263" s="2" t="s">
        <v>440</v>
      </c>
      <c r="L263" s="5" t="n">
        <f aca="false">IF(COUNTIF('04_MAQUINAS'!$A$2:$A$18,E263)&gt;0,1,0)</f>
        <v>1</v>
      </c>
      <c r="M263" s="2" t="s">
        <v>82</v>
      </c>
    </row>
    <row r="264" customFormat="false" ht="15" hidden="false" customHeight="false" outlineLevel="0" collapsed="false">
      <c r="A264" s="2" t="s">
        <v>134</v>
      </c>
      <c r="B264" s="2" t="s">
        <v>118</v>
      </c>
      <c r="C264" s="4" t="n">
        <v>3</v>
      </c>
      <c r="D264" s="2" t="s">
        <v>390</v>
      </c>
      <c r="E264" s="2" t="s">
        <v>387</v>
      </c>
      <c r="F264" s="6" t="n">
        <v>12</v>
      </c>
      <c r="G264" s="9" t="n">
        <v>36</v>
      </c>
      <c r="H264" s="13" t="n">
        <v>2</v>
      </c>
      <c r="I264" s="2" t="s">
        <v>439</v>
      </c>
      <c r="J264" s="3" t="n">
        <v>0</v>
      </c>
      <c r="K264" s="2" t="s">
        <v>440</v>
      </c>
      <c r="L264" s="5" t="n">
        <f aca="false">IF(COUNTIF('04_MAQUINAS'!$A$2:$A$18,E264)&gt;0,1,0)</f>
        <v>1</v>
      </c>
      <c r="M264" s="2" t="s">
        <v>82</v>
      </c>
    </row>
    <row r="265" customFormat="false" ht="15" hidden="false" customHeight="false" outlineLevel="0" collapsed="false">
      <c r="A265" s="2" t="s">
        <v>134</v>
      </c>
      <c r="B265" s="2" t="s">
        <v>118</v>
      </c>
      <c r="C265" s="4" t="n">
        <v>4</v>
      </c>
      <c r="D265" s="2" t="s">
        <v>445</v>
      </c>
      <c r="E265" s="2" t="s">
        <v>402</v>
      </c>
      <c r="F265" s="6" t="n">
        <v>12</v>
      </c>
      <c r="G265" s="9" t="n">
        <v>6.58</v>
      </c>
      <c r="H265" s="13" t="n">
        <v>3</v>
      </c>
      <c r="I265" s="2" t="s">
        <v>439</v>
      </c>
      <c r="J265" s="3" t="n">
        <v>0</v>
      </c>
      <c r="K265" s="2" t="s">
        <v>446</v>
      </c>
      <c r="L265" s="5" t="n">
        <f aca="false">IF(COUNTIF('04_MAQUINAS'!$A$2:$A$18,E265)&gt;0,1,0)</f>
        <v>1</v>
      </c>
      <c r="M265" s="2" t="s">
        <v>82</v>
      </c>
    </row>
    <row r="266" customFormat="false" ht="15" hidden="false" customHeight="false" outlineLevel="0" collapsed="false">
      <c r="A266" s="2" t="s">
        <v>134</v>
      </c>
      <c r="B266" s="2" t="s">
        <v>118</v>
      </c>
      <c r="C266" s="4" t="n">
        <v>5</v>
      </c>
      <c r="D266" s="2" t="s">
        <v>447</v>
      </c>
      <c r="E266" s="2" t="s">
        <v>421</v>
      </c>
      <c r="F266" s="6" t="n">
        <v>45</v>
      </c>
      <c r="G266" s="9" t="n">
        <v>0</v>
      </c>
      <c r="H266" s="13" t="n">
        <v>4</v>
      </c>
      <c r="I266" s="2" t="s">
        <v>448</v>
      </c>
      <c r="J266" s="3" t="n">
        <v>40</v>
      </c>
      <c r="K266" s="2" t="s">
        <v>446</v>
      </c>
      <c r="L266" s="5" t="n">
        <f aca="false">IF(COUNTIF('04_MAQUINAS'!$A$2:$A$18,E266)&gt;0,1,0)</f>
        <v>1</v>
      </c>
      <c r="M266" s="2" t="s">
        <v>82</v>
      </c>
    </row>
    <row r="267" customFormat="false" ht="15" hidden="false" customHeight="false" outlineLevel="0" collapsed="false">
      <c r="A267" s="2" t="s">
        <v>134</v>
      </c>
      <c r="B267" s="2" t="s">
        <v>118</v>
      </c>
      <c r="C267" s="4" t="n">
        <v>6</v>
      </c>
      <c r="D267" s="2" t="s">
        <v>449</v>
      </c>
      <c r="E267" s="2" t="s">
        <v>423</v>
      </c>
      <c r="F267" s="6" t="n">
        <v>8</v>
      </c>
      <c r="G267" s="9" t="n">
        <v>2.36</v>
      </c>
      <c r="H267" s="13" t="n">
        <v>5</v>
      </c>
      <c r="I267" s="2" t="s">
        <v>439</v>
      </c>
      <c r="J267" s="3" t="n">
        <v>0</v>
      </c>
      <c r="K267" s="2" t="s">
        <v>446</v>
      </c>
      <c r="L267" s="5" t="n">
        <f aca="false">IF(COUNTIF('04_MAQUINAS'!$A$2:$A$18,E267)&gt;0,1,0)</f>
        <v>1</v>
      </c>
      <c r="M267" s="2" t="s">
        <v>82</v>
      </c>
    </row>
    <row r="268" customFormat="false" ht="15" hidden="false" customHeight="false" outlineLevel="0" collapsed="false">
      <c r="A268" s="2" t="s">
        <v>134</v>
      </c>
      <c r="B268" s="2" t="s">
        <v>118</v>
      </c>
      <c r="C268" s="4" t="n">
        <v>7</v>
      </c>
      <c r="D268" s="2" t="s">
        <v>450</v>
      </c>
      <c r="E268" s="2" t="s">
        <v>406</v>
      </c>
      <c r="F268" s="6" t="n">
        <v>6</v>
      </c>
      <c r="G268" s="9" t="n">
        <v>108</v>
      </c>
      <c r="H268" s="13" t="n">
        <v>6</v>
      </c>
      <c r="I268" s="2" t="s">
        <v>439</v>
      </c>
      <c r="J268" s="3" t="n">
        <v>0</v>
      </c>
      <c r="K268" s="2" t="s">
        <v>440</v>
      </c>
      <c r="L268" s="5" t="n">
        <f aca="false">IF(COUNTIF('04_MAQUINAS'!$A$2:$A$18,E268)&gt;0,1,0)</f>
        <v>1</v>
      </c>
      <c r="M268" s="2" t="s">
        <v>82</v>
      </c>
    </row>
    <row r="269" customFormat="false" ht="15" hidden="false" customHeight="false" outlineLevel="0" collapsed="false">
      <c r="A269" s="2" t="s">
        <v>134</v>
      </c>
      <c r="B269" s="2" t="s">
        <v>118</v>
      </c>
      <c r="C269" s="4" t="n">
        <v>8</v>
      </c>
      <c r="D269" s="2" t="s">
        <v>453</v>
      </c>
      <c r="E269" s="2" t="s">
        <v>406</v>
      </c>
      <c r="F269" s="6" t="n">
        <v>0</v>
      </c>
      <c r="G269" s="9" t="n">
        <v>4</v>
      </c>
      <c r="H269" s="13" t="n">
        <v>7</v>
      </c>
      <c r="I269" s="2" t="s">
        <v>439</v>
      </c>
      <c r="J269" s="3" t="n">
        <v>0</v>
      </c>
      <c r="K269" s="2" t="s">
        <v>446</v>
      </c>
      <c r="L269" s="5" t="n">
        <f aca="false">IF(COUNTIF('04_MAQUINAS'!$A$2:$A$18,E269)&gt;0,1,0)</f>
        <v>1</v>
      </c>
      <c r="M269" s="2" t="s">
        <v>82</v>
      </c>
    </row>
    <row r="270" customFormat="false" ht="15" hidden="false" customHeight="false" outlineLevel="0" collapsed="false">
      <c r="A270" s="2" t="s">
        <v>135</v>
      </c>
      <c r="B270" s="2" t="s">
        <v>118</v>
      </c>
      <c r="C270" s="4" t="n">
        <v>1</v>
      </c>
      <c r="D270" s="2" t="s">
        <v>437</v>
      </c>
      <c r="E270" s="2" t="s">
        <v>375</v>
      </c>
      <c r="F270" s="6" t="n">
        <v>8</v>
      </c>
      <c r="G270" s="9" t="n">
        <v>21.2562375</v>
      </c>
      <c r="H270" s="13" t="s">
        <v>438</v>
      </c>
      <c r="I270" s="2" t="s">
        <v>439</v>
      </c>
      <c r="J270" s="3" t="n">
        <v>0</v>
      </c>
      <c r="K270" s="2" t="s">
        <v>440</v>
      </c>
      <c r="L270" s="5" t="n">
        <f aca="false">IF(COUNTIF('04_MAQUINAS'!$A$2:$A$18,E270)&gt;0,1,0)</f>
        <v>1</v>
      </c>
      <c r="M270" s="2" t="s">
        <v>82</v>
      </c>
    </row>
    <row r="271" customFormat="false" ht="15" hidden="false" customHeight="false" outlineLevel="0" collapsed="false">
      <c r="A271" s="2" t="s">
        <v>135</v>
      </c>
      <c r="B271" s="2" t="s">
        <v>118</v>
      </c>
      <c r="C271" s="4" t="n">
        <v>2</v>
      </c>
      <c r="D271" s="2" t="s">
        <v>386</v>
      </c>
      <c r="E271" s="2" t="s">
        <v>413</v>
      </c>
      <c r="F271" s="6" t="n">
        <v>10</v>
      </c>
      <c r="G271" s="9" t="n">
        <v>10.5</v>
      </c>
      <c r="H271" s="13" t="n">
        <v>1</v>
      </c>
      <c r="I271" s="2" t="s">
        <v>439</v>
      </c>
      <c r="J271" s="3" t="n">
        <v>0</v>
      </c>
      <c r="K271" s="2" t="s">
        <v>440</v>
      </c>
      <c r="L271" s="5" t="n">
        <f aca="false">IF(COUNTIF('04_MAQUINAS'!$A$2:$A$18,E271)&gt;0,1,0)</f>
        <v>1</v>
      </c>
      <c r="M271" s="2" t="s">
        <v>82</v>
      </c>
    </row>
    <row r="272" customFormat="false" ht="15" hidden="false" customHeight="false" outlineLevel="0" collapsed="false">
      <c r="A272" s="2" t="s">
        <v>135</v>
      </c>
      <c r="B272" s="2" t="s">
        <v>118</v>
      </c>
      <c r="C272" s="4" t="n">
        <v>3</v>
      </c>
      <c r="D272" s="2" t="s">
        <v>390</v>
      </c>
      <c r="E272" s="2" t="s">
        <v>387</v>
      </c>
      <c r="F272" s="6" t="n">
        <v>12</v>
      </c>
      <c r="G272" s="9" t="n">
        <v>36</v>
      </c>
      <c r="H272" s="13" t="n">
        <v>2</v>
      </c>
      <c r="I272" s="2" t="s">
        <v>439</v>
      </c>
      <c r="J272" s="3" t="n">
        <v>0</v>
      </c>
      <c r="K272" s="2" t="s">
        <v>440</v>
      </c>
      <c r="L272" s="5" t="n">
        <f aca="false">IF(COUNTIF('04_MAQUINAS'!$A$2:$A$18,E272)&gt;0,1,0)</f>
        <v>1</v>
      </c>
      <c r="M272" s="2" t="s">
        <v>82</v>
      </c>
    </row>
    <row r="273" customFormat="false" ht="15" hidden="false" customHeight="false" outlineLevel="0" collapsed="false">
      <c r="A273" s="2" t="s">
        <v>135</v>
      </c>
      <c r="B273" s="2" t="s">
        <v>118</v>
      </c>
      <c r="C273" s="4" t="n">
        <v>4</v>
      </c>
      <c r="D273" s="2" t="s">
        <v>445</v>
      </c>
      <c r="E273" s="2" t="s">
        <v>402</v>
      </c>
      <c r="F273" s="6" t="n">
        <v>12</v>
      </c>
      <c r="G273" s="9" t="n">
        <v>6.58</v>
      </c>
      <c r="H273" s="13" t="n">
        <v>3</v>
      </c>
      <c r="I273" s="2" t="s">
        <v>439</v>
      </c>
      <c r="J273" s="3" t="n">
        <v>0</v>
      </c>
      <c r="K273" s="2" t="s">
        <v>446</v>
      </c>
      <c r="L273" s="5" t="n">
        <f aca="false">IF(COUNTIF('04_MAQUINAS'!$A$2:$A$18,E273)&gt;0,1,0)</f>
        <v>1</v>
      </c>
      <c r="M273" s="2" t="s">
        <v>82</v>
      </c>
    </row>
    <row r="274" customFormat="false" ht="15" hidden="false" customHeight="false" outlineLevel="0" collapsed="false">
      <c r="A274" s="2" t="s">
        <v>135</v>
      </c>
      <c r="B274" s="2" t="s">
        <v>118</v>
      </c>
      <c r="C274" s="4" t="n">
        <v>5</v>
      </c>
      <c r="D274" s="2" t="s">
        <v>447</v>
      </c>
      <c r="E274" s="2" t="s">
        <v>421</v>
      </c>
      <c r="F274" s="6" t="n">
        <v>45</v>
      </c>
      <c r="G274" s="9" t="n">
        <v>0</v>
      </c>
      <c r="H274" s="13" t="n">
        <v>4</v>
      </c>
      <c r="I274" s="2" t="s">
        <v>448</v>
      </c>
      <c r="J274" s="3" t="n">
        <v>40</v>
      </c>
      <c r="K274" s="2" t="s">
        <v>446</v>
      </c>
      <c r="L274" s="5" t="n">
        <f aca="false">IF(COUNTIF('04_MAQUINAS'!$A$2:$A$18,E274)&gt;0,1,0)</f>
        <v>1</v>
      </c>
      <c r="M274" s="2" t="s">
        <v>82</v>
      </c>
    </row>
    <row r="275" customFormat="false" ht="15" hidden="false" customHeight="false" outlineLevel="0" collapsed="false">
      <c r="A275" s="2" t="s">
        <v>135</v>
      </c>
      <c r="B275" s="2" t="s">
        <v>118</v>
      </c>
      <c r="C275" s="4" t="n">
        <v>6</v>
      </c>
      <c r="D275" s="2" t="s">
        <v>449</v>
      </c>
      <c r="E275" s="2" t="s">
        <v>423</v>
      </c>
      <c r="F275" s="6" t="n">
        <v>8</v>
      </c>
      <c r="G275" s="9" t="n">
        <v>2.36</v>
      </c>
      <c r="H275" s="13" t="n">
        <v>5</v>
      </c>
      <c r="I275" s="2" t="s">
        <v>439</v>
      </c>
      <c r="J275" s="3" t="n">
        <v>0</v>
      </c>
      <c r="K275" s="2" t="s">
        <v>446</v>
      </c>
      <c r="L275" s="5" t="n">
        <f aca="false">IF(COUNTIF('04_MAQUINAS'!$A$2:$A$18,E275)&gt;0,1,0)</f>
        <v>1</v>
      </c>
      <c r="M275" s="2" t="s">
        <v>82</v>
      </c>
    </row>
    <row r="276" customFormat="false" ht="15" hidden="false" customHeight="false" outlineLevel="0" collapsed="false">
      <c r="A276" s="2" t="s">
        <v>135</v>
      </c>
      <c r="B276" s="2" t="s">
        <v>118</v>
      </c>
      <c r="C276" s="4" t="n">
        <v>7</v>
      </c>
      <c r="D276" s="2" t="s">
        <v>450</v>
      </c>
      <c r="E276" s="2" t="s">
        <v>406</v>
      </c>
      <c r="F276" s="6" t="n">
        <v>6</v>
      </c>
      <c r="G276" s="9" t="n">
        <v>108</v>
      </c>
      <c r="H276" s="13" t="n">
        <v>6</v>
      </c>
      <c r="I276" s="2" t="s">
        <v>439</v>
      </c>
      <c r="J276" s="3" t="n">
        <v>0</v>
      </c>
      <c r="K276" s="2" t="s">
        <v>440</v>
      </c>
      <c r="L276" s="5" t="n">
        <f aca="false">IF(COUNTIF('04_MAQUINAS'!$A$2:$A$18,E276)&gt;0,1,0)</f>
        <v>1</v>
      </c>
      <c r="M276" s="2" t="s">
        <v>82</v>
      </c>
    </row>
    <row r="277" customFormat="false" ht="15" hidden="false" customHeight="false" outlineLevel="0" collapsed="false">
      <c r="A277" s="2" t="s">
        <v>135</v>
      </c>
      <c r="B277" s="2" t="s">
        <v>118</v>
      </c>
      <c r="C277" s="4" t="n">
        <v>8</v>
      </c>
      <c r="D277" s="2" t="s">
        <v>453</v>
      </c>
      <c r="E277" s="2" t="s">
        <v>406</v>
      </c>
      <c r="F277" s="6" t="n">
        <v>0</v>
      </c>
      <c r="G277" s="9" t="n">
        <v>4</v>
      </c>
      <c r="H277" s="13" t="n">
        <v>7</v>
      </c>
      <c r="I277" s="2" t="s">
        <v>439</v>
      </c>
      <c r="J277" s="3" t="n">
        <v>0</v>
      </c>
      <c r="K277" s="2" t="s">
        <v>446</v>
      </c>
      <c r="L277" s="5" t="n">
        <f aca="false">IF(COUNTIF('04_MAQUINAS'!$A$2:$A$18,E277)&gt;0,1,0)</f>
        <v>1</v>
      </c>
      <c r="M277" s="2" t="s">
        <v>82</v>
      </c>
    </row>
    <row r="278" customFormat="false" ht="15" hidden="false" customHeight="false" outlineLevel="0" collapsed="false">
      <c r="A278" s="2" t="s">
        <v>136</v>
      </c>
      <c r="B278" s="2" t="s">
        <v>118</v>
      </c>
      <c r="C278" s="4" t="n">
        <v>1</v>
      </c>
      <c r="D278" s="2" t="s">
        <v>437</v>
      </c>
      <c r="E278" s="2" t="s">
        <v>375</v>
      </c>
      <c r="F278" s="6" t="n">
        <v>8</v>
      </c>
      <c r="G278" s="9" t="n">
        <v>21.2562375</v>
      </c>
      <c r="H278" s="13" t="s">
        <v>438</v>
      </c>
      <c r="I278" s="2" t="s">
        <v>439</v>
      </c>
      <c r="J278" s="3" t="n">
        <v>0</v>
      </c>
      <c r="K278" s="2" t="s">
        <v>440</v>
      </c>
      <c r="L278" s="5" t="n">
        <f aca="false">IF(COUNTIF('04_MAQUINAS'!$A$2:$A$18,E278)&gt;0,1,0)</f>
        <v>1</v>
      </c>
      <c r="M278" s="2" t="s">
        <v>82</v>
      </c>
    </row>
    <row r="279" customFormat="false" ht="15" hidden="false" customHeight="false" outlineLevel="0" collapsed="false">
      <c r="A279" s="2" t="s">
        <v>136</v>
      </c>
      <c r="B279" s="2" t="s">
        <v>118</v>
      </c>
      <c r="C279" s="4" t="n">
        <v>2</v>
      </c>
      <c r="D279" s="2" t="s">
        <v>386</v>
      </c>
      <c r="E279" s="2" t="s">
        <v>413</v>
      </c>
      <c r="F279" s="6" t="n">
        <v>10</v>
      </c>
      <c r="G279" s="9" t="n">
        <v>10.5</v>
      </c>
      <c r="H279" s="13" t="n">
        <v>1</v>
      </c>
      <c r="I279" s="2" t="s">
        <v>439</v>
      </c>
      <c r="J279" s="3" t="n">
        <v>0</v>
      </c>
      <c r="K279" s="2" t="s">
        <v>440</v>
      </c>
      <c r="L279" s="5" t="n">
        <f aca="false">IF(COUNTIF('04_MAQUINAS'!$A$2:$A$18,E279)&gt;0,1,0)</f>
        <v>1</v>
      </c>
      <c r="M279" s="2" t="s">
        <v>82</v>
      </c>
    </row>
    <row r="280" customFormat="false" ht="15" hidden="false" customHeight="false" outlineLevel="0" collapsed="false">
      <c r="A280" s="2" t="s">
        <v>136</v>
      </c>
      <c r="B280" s="2" t="s">
        <v>118</v>
      </c>
      <c r="C280" s="4" t="n">
        <v>3</v>
      </c>
      <c r="D280" s="2" t="s">
        <v>390</v>
      </c>
      <c r="E280" s="2" t="s">
        <v>387</v>
      </c>
      <c r="F280" s="6" t="n">
        <v>12</v>
      </c>
      <c r="G280" s="9" t="n">
        <v>36</v>
      </c>
      <c r="H280" s="13" t="n">
        <v>2</v>
      </c>
      <c r="I280" s="2" t="s">
        <v>439</v>
      </c>
      <c r="J280" s="3" t="n">
        <v>0</v>
      </c>
      <c r="K280" s="2" t="s">
        <v>440</v>
      </c>
      <c r="L280" s="5" t="n">
        <f aca="false">IF(COUNTIF('04_MAQUINAS'!$A$2:$A$18,E280)&gt;0,1,0)</f>
        <v>1</v>
      </c>
      <c r="M280" s="2" t="s">
        <v>82</v>
      </c>
    </row>
    <row r="281" customFormat="false" ht="15" hidden="false" customHeight="false" outlineLevel="0" collapsed="false">
      <c r="A281" s="2" t="s">
        <v>136</v>
      </c>
      <c r="B281" s="2" t="s">
        <v>118</v>
      </c>
      <c r="C281" s="4" t="n">
        <v>4</v>
      </c>
      <c r="D281" s="2" t="s">
        <v>445</v>
      </c>
      <c r="E281" s="2" t="s">
        <v>402</v>
      </c>
      <c r="F281" s="6" t="n">
        <v>12</v>
      </c>
      <c r="G281" s="9" t="n">
        <v>6.58</v>
      </c>
      <c r="H281" s="13" t="n">
        <v>3</v>
      </c>
      <c r="I281" s="2" t="s">
        <v>439</v>
      </c>
      <c r="J281" s="3" t="n">
        <v>0</v>
      </c>
      <c r="K281" s="2" t="s">
        <v>446</v>
      </c>
      <c r="L281" s="5" t="n">
        <f aca="false">IF(COUNTIF('04_MAQUINAS'!$A$2:$A$18,E281)&gt;0,1,0)</f>
        <v>1</v>
      </c>
      <c r="M281" s="2" t="s">
        <v>82</v>
      </c>
    </row>
    <row r="282" customFormat="false" ht="15" hidden="false" customHeight="false" outlineLevel="0" collapsed="false">
      <c r="A282" s="2" t="s">
        <v>136</v>
      </c>
      <c r="B282" s="2" t="s">
        <v>118</v>
      </c>
      <c r="C282" s="4" t="n">
        <v>5</v>
      </c>
      <c r="D282" s="2" t="s">
        <v>447</v>
      </c>
      <c r="E282" s="2" t="s">
        <v>421</v>
      </c>
      <c r="F282" s="6" t="n">
        <v>45</v>
      </c>
      <c r="G282" s="9" t="n">
        <v>0</v>
      </c>
      <c r="H282" s="13" t="n">
        <v>4</v>
      </c>
      <c r="I282" s="2" t="s">
        <v>448</v>
      </c>
      <c r="J282" s="3" t="n">
        <v>40</v>
      </c>
      <c r="K282" s="2" t="s">
        <v>446</v>
      </c>
      <c r="L282" s="5" t="n">
        <f aca="false">IF(COUNTIF('04_MAQUINAS'!$A$2:$A$18,E282)&gt;0,1,0)</f>
        <v>1</v>
      </c>
      <c r="M282" s="2" t="s">
        <v>82</v>
      </c>
    </row>
    <row r="283" customFormat="false" ht="15" hidden="false" customHeight="false" outlineLevel="0" collapsed="false">
      <c r="A283" s="2" t="s">
        <v>136</v>
      </c>
      <c r="B283" s="2" t="s">
        <v>118</v>
      </c>
      <c r="C283" s="4" t="n">
        <v>6</v>
      </c>
      <c r="D283" s="2" t="s">
        <v>449</v>
      </c>
      <c r="E283" s="2" t="s">
        <v>423</v>
      </c>
      <c r="F283" s="6" t="n">
        <v>8</v>
      </c>
      <c r="G283" s="9" t="n">
        <v>2.36</v>
      </c>
      <c r="H283" s="13" t="n">
        <v>5</v>
      </c>
      <c r="I283" s="2" t="s">
        <v>439</v>
      </c>
      <c r="J283" s="3" t="n">
        <v>0</v>
      </c>
      <c r="K283" s="2" t="s">
        <v>446</v>
      </c>
      <c r="L283" s="5" t="n">
        <f aca="false">IF(COUNTIF('04_MAQUINAS'!$A$2:$A$18,E283)&gt;0,1,0)</f>
        <v>1</v>
      </c>
      <c r="M283" s="2" t="s">
        <v>82</v>
      </c>
    </row>
    <row r="284" customFormat="false" ht="15" hidden="false" customHeight="false" outlineLevel="0" collapsed="false">
      <c r="A284" s="2" t="s">
        <v>136</v>
      </c>
      <c r="B284" s="2" t="s">
        <v>118</v>
      </c>
      <c r="C284" s="4" t="n">
        <v>7</v>
      </c>
      <c r="D284" s="2" t="s">
        <v>450</v>
      </c>
      <c r="E284" s="2" t="s">
        <v>406</v>
      </c>
      <c r="F284" s="6" t="n">
        <v>6</v>
      </c>
      <c r="G284" s="9" t="n">
        <v>108</v>
      </c>
      <c r="H284" s="13" t="n">
        <v>6</v>
      </c>
      <c r="I284" s="2" t="s">
        <v>439</v>
      </c>
      <c r="J284" s="3" t="n">
        <v>0</v>
      </c>
      <c r="K284" s="2" t="s">
        <v>440</v>
      </c>
      <c r="L284" s="5" t="n">
        <f aca="false">IF(COUNTIF('04_MAQUINAS'!$A$2:$A$18,E284)&gt;0,1,0)</f>
        <v>1</v>
      </c>
      <c r="M284" s="2" t="s">
        <v>82</v>
      </c>
    </row>
    <row r="285" customFormat="false" ht="15" hidden="false" customHeight="false" outlineLevel="0" collapsed="false">
      <c r="A285" s="2" t="s">
        <v>136</v>
      </c>
      <c r="B285" s="2" t="s">
        <v>118</v>
      </c>
      <c r="C285" s="4" t="n">
        <v>8</v>
      </c>
      <c r="D285" s="2" t="s">
        <v>453</v>
      </c>
      <c r="E285" s="2" t="s">
        <v>406</v>
      </c>
      <c r="F285" s="6" t="n">
        <v>0</v>
      </c>
      <c r="G285" s="9" t="n">
        <v>4</v>
      </c>
      <c r="H285" s="13" t="n">
        <v>7</v>
      </c>
      <c r="I285" s="2" t="s">
        <v>439</v>
      </c>
      <c r="J285" s="3" t="n">
        <v>0</v>
      </c>
      <c r="K285" s="2" t="s">
        <v>446</v>
      </c>
      <c r="L285" s="5" t="n">
        <f aca="false">IF(COUNTIF('04_MAQUINAS'!$A$2:$A$18,E285)&gt;0,1,0)</f>
        <v>1</v>
      </c>
      <c r="M285" s="2" t="s">
        <v>82</v>
      </c>
    </row>
    <row r="286" customFormat="false" ht="15" hidden="false" customHeight="false" outlineLevel="0" collapsed="false">
      <c r="A286" s="2" t="s">
        <v>137</v>
      </c>
      <c r="B286" s="2" t="s">
        <v>118</v>
      </c>
      <c r="C286" s="4" t="n">
        <v>1</v>
      </c>
      <c r="D286" s="2" t="s">
        <v>437</v>
      </c>
      <c r="E286" s="2" t="s">
        <v>375</v>
      </c>
      <c r="F286" s="6" t="n">
        <v>8</v>
      </c>
      <c r="G286" s="9" t="n">
        <v>17.647062315</v>
      </c>
      <c r="H286" s="13" t="s">
        <v>438</v>
      </c>
      <c r="I286" s="2" t="s">
        <v>439</v>
      </c>
      <c r="J286" s="3" t="n">
        <v>0</v>
      </c>
      <c r="K286" s="2" t="s">
        <v>440</v>
      </c>
      <c r="L286" s="5" t="n">
        <f aca="false">IF(COUNTIF('04_MAQUINAS'!$A$2:$A$18,E286)&gt;0,1,0)</f>
        <v>1</v>
      </c>
      <c r="M286" s="2" t="s">
        <v>82</v>
      </c>
    </row>
    <row r="287" customFormat="false" ht="15" hidden="false" customHeight="false" outlineLevel="0" collapsed="false">
      <c r="A287" s="2" t="s">
        <v>137</v>
      </c>
      <c r="B287" s="2" t="s">
        <v>118</v>
      </c>
      <c r="C287" s="4" t="n">
        <v>2</v>
      </c>
      <c r="D287" s="2" t="s">
        <v>386</v>
      </c>
      <c r="E287" s="2" t="s">
        <v>413</v>
      </c>
      <c r="F287" s="6" t="n">
        <v>10</v>
      </c>
      <c r="G287" s="9" t="n">
        <v>10.5</v>
      </c>
      <c r="H287" s="13" t="n">
        <v>1</v>
      </c>
      <c r="I287" s="2" t="s">
        <v>439</v>
      </c>
      <c r="J287" s="3" t="n">
        <v>0</v>
      </c>
      <c r="K287" s="2" t="s">
        <v>440</v>
      </c>
      <c r="L287" s="5" t="n">
        <f aca="false">IF(COUNTIF('04_MAQUINAS'!$A$2:$A$18,E287)&gt;0,1,0)</f>
        <v>1</v>
      </c>
      <c r="M287" s="2" t="s">
        <v>82</v>
      </c>
    </row>
    <row r="288" customFormat="false" ht="15" hidden="false" customHeight="false" outlineLevel="0" collapsed="false">
      <c r="A288" s="2" t="s">
        <v>137</v>
      </c>
      <c r="B288" s="2" t="s">
        <v>118</v>
      </c>
      <c r="C288" s="4" t="n">
        <v>3</v>
      </c>
      <c r="D288" s="2" t="s">
        <v>390</v>
      </c>
      <c r="E288" s="2" t="s">
        <v>387</v>
      </c>
      <c r="F288" s="6" t="n">
        <v>12</v>
      </c>
      <c r="G288" s="9" t="n">
        <v>36</v>
      </c>
      <c r="H288" s="13" t="n">
        <v>2</v>
      </c>
      <c r="I288" s="2" t="s">
        <v>439</v>
      </c>
      <c r="J288" s="3" t="n">
        <v>0</v>
      </c>
      <c r="K288" s="2" t="s">
        <v>440</v>
      </c>
      <c r="L288" s="5" t="n">
        <f aca="false">IF(COUNTIF('04_MAQUINAS'!$A$2:$A$18,E288)&gt;0,1,0)</f>
        <v>1</v>
      </c>
      <c r="M288" s="2" t="s">
        <v>82</v>
      </c>
    </row>
    <row r="289" customFormat="false" ht="15" hidden="false" customHeight="false" outlineLevel="0" collapsed="false">
      <c r="A289" s="2" t="s">
        <v>137</v>
      </c>
      <c r="B289" s="2" t="s">
        <v>118</v>
      </c>
      <c r="C289" s="4" t="n">
        <v>4</v>
      </c>
      <c r="D289" s="2" t="s">
        <v>445</v>
      </c>
      <c r="E289" s="2" t="s">
        <v>402</v>
      </c>
      <c r="F289" s="6" t="n">
        <v>12</v>
      </c>
      <c r="G289" s="9" t="n">
        <v>6.58</v>
      </c>
      <c r="H289" s="13" t="n">
        <v>3</v>
      </c>
      <c r="I289" s="2" t="s">
        <v>439</v>
      </c>
      <c r="J289" s="3" t="n">
        <v>0</v>
      </c>
      <c r="K289" s="2" t="s">
        <v>446</v>
      </c>
      <c r="L289" s="5" t="n">
        <f aca="false">IF(COUNTIF('04_MAQUINAS'!$A$2:$A$18,E289)&gt;0,1,0)</f>
        <v>1</v>
      </c>
      <c r="M289" s="2" t="s">
        <v>82</v>
      </c>
    </row>
    <row r="290" customFormat="false" ht="15" hidden="false" customHeight="false" outlineLevel="0" collapsed="false">
      <c r="A290" s="2" t="s">
        <v>137</v>
      </c>
      <c r="B290" s="2" t="s">
        <v>118</v>
      </c>
      <c r="C290" s="4" t="n">
        <v>5</v>
      </c>
      <c r="D290" s="2" t="s">
        <v>447</v>
      </c>
      <c r="E290" s="2" t="s">
        <v>421</v>
      </c>
      <c r="F290" s="6" t="n">
        <v>45</v>
      </c>
      <c r="G290" s="9" t="n">
        <v>0</v>
      </c>
      <c r="H290" s="13" t="n">
        <v>4</v>
      </c>
      <c r="I290" s="2" t="s">
        <v>448</v>
      </c>
      <c r="J290" s="3" t="n">
        <v>40</v>
      </c>
      <c r="K290" s="2" t="s">
        <v>446</v>
      </c>
      <c r="L290" s="5" t="n">
        <f aca="false">IF(COUNTIF('04_MAQUINAS'!$A$2:$A$18,E290)&gt;0,1,0)</f>
        <v>1</v>
      </c>
      <c r="M290" s="2" t="s">
        <v>82</v>
      </c>
    </row>
    <row r="291" customFormat="false" ht="15" hidden="false" customHeight="false" outlineLevel="0" collapsed="false">
      <c r="A291" s="2" t="s">
        <v>137</v>
      </c>
      <c r="B291" s="2" t="s">
        <v>118</v>
      </c>
      <c r="C291" s="4" t="n">
        <v>6</v>
      </c>
      <c r="D291" s="2" t="s">
        <v>449</v>
      </c>
      <c r="E291" s="2" t="s">
        <v>423</v>
      </c>
      <c r="F291" s="6" t="n">
        <v>8</v>
      </c>
      <c r="G291" s="9" t="n">
        <v>2.36</v>
      </c>
      <c r="H291" s="13" t="n">
        <v>5</v>
      </c>
      <c r="I291" s="2" t="s">
        <v>439</v>
      </c>
      <c r="J291" s="3" t="n">
        <v>0</v>
      </c>
      <c r="K291" s="2" t="s">
        <v>446</v>
      </c>
      <c r="L291" s="5" t="n">
        <f aca="false">IF(COUNTIF('04_MAQUINAS'!$A$2:$A$18,E291)&gt;0,1,0)</f>
        <v>1</v>
      </c>
      <c r="M291" s="2" t="s">
        <v>82</v>
      </c>
    </row>
    <row r="292" customFormat="false" ht="15" hidden="false" customHeight="false" outlineLevel="0" collapsed="false">
      <c r="A292" s="2" t="s">
        <v>137</v>
      </c>
      <c r="B292" s="2" t="s">
        <v>118</v>
      </c>
      <c r="C292" s="4" t="n">
        <v>7</v>
      </c>
      <c r="D292" s="2" t="s">
        <v>450</v>
      </c>
      <c r="E292" s="2" t="s">
        <v>406</v>
      </c>
      <c r="F292" s="6" t="n">
        <v>6</v>
      </c>
      <c r="G292" s="9" t="n">
        <v>120</v>
      </c>
      <c r="H292" s="13" t="n">
        <v>6</v>
      </c>
      <c r="I292" s="2" t="s">
        <v>439</v>
      </c>
      <c r="J292" s="3" t="n">
        <v>0</v>
      </c>
      <c r="K292" s="2" t="s">
        <v>440</v>
      </c>
      <c r="L292" s="5" t="n">
        <f aca="false">IF(COUNTIF('04_MAQUINAS'!$A$2:$A$18,E292)&gt;0,1,0)</f>
        <v>1</v>
      </c>
      <c r="M292" s="2" t="s">
        <v>82</v>
      </c>
    </row>
    <row r="293" customFormat="false" ht="15" hidden="false" customHeight="false" outlineLevel="0" collapsed="false">
      <c r="A293" s="2" t="s">
        <v>137</v>
      </c>
      <c r="B293" s="2" t="s">
        <v>118</v>
      </c>
      <c r="C293" s="4" t="n">
        <v>8</v>
      </c>
      <c r="D293" s="2" t="s">
        <v>453</v>
      </c>
      <c r="E293" s="2" t="s">
        <v>406</v>
      </c>
      <c r="F293" s="6" t="n">
        <v>0</v>
      </c>
      <c r="G293" s="9" t="n">
        <v>4</v>
      </c>
      <c r="H293" s="13" t="n">
        <v>7</v>
      </c>
      <c r="I293" s="2" t="s">
        <v>439</v>
      </c>
      <c r="J293" s="3" t="n">
        <v>0</v>
      </c>
      <c r="K293" s="2" t="s">
        <v>446</v>
      </c>
      <c r="L293" s="5" t="n">
        <f aca="false">IF(COUNTIF('04_MAQUINAS'!$A$2:$A$18,E293)&gt;0,1,0)</f>
        <v>1</v>
      </c>
      <c r="M293" s="2" t="s">
        <v>82</v>
      </c>
    </row>
    <row r="294" customFormat="false" ht="15" hidden="false" customHeight="false" outlineLevel="0" collapsed="false">
      <c r="A294" s="2" t="s">
        <v>139</v>
      </c>
      <c r="B294" s="2" t="s">
        <v>118</v>
      </c>
      <c r="C294" s="4" t="n">
        <v>1</v>
      </c>
      <c r="D294" s="2" t="s">
        <v>437</v>
      </c>
      <c r="E294" s="2" t="s">
        <v>375</v>
      </c>
      <c r="F294" s="6" t="n">
        <v>8</v>
      </c>
      <c r="G294" s="9" t="n">
        <v>17.647062315</v>
      </c>
      <c r="H294" s="13" t="s">
        <v>438</v>
      </c>
      <c r="I294" s="2" t="s">
        <v>439</v>
      </c>
      <c r="J294" s="3" t="n">
        <v>0</v>
      </c>
      <c r="K294" s="2" t="s">
        <v>440</v>
      </c>
      <c r="L294" s="5" t="n">
        <f aca="false">IF(COUNTIF('04_MAQUINAS'!$A$2:$A$18,E294)&gt;0,1,0)</f>
        <v>1</v>
      </c>
      <c r="M294" s="2" t="s">
        <v>82</v>
      </c>
    </row>
    <row r="295" customFormat="false" ht="15" hidden="false" customHeight="false" outlineLevel="0" collapsed="false">
      <c r="A295" s="2" t="s">
        <v>139</v>
      </c>
      <c r="B295" s="2" t="s">
        <v>118</v>
      </c>
      <c r="C295" s="4" t="n">
        <v>2</v>
      </c>
      <c r="D295" s="2" t="s">
        <v>386</v>
      </c>
      <c r="E295" s="2" t="s">
        <v>413</v>
      </c>
      <c r="F295" s="6" t="n">
        <v>10</v>
      </c>
      <c r="G295" s="9" t="n">
        <v>10.5</v>
      </c>
      <c r="H295" s="13" t="n">
        <v>1</v>
      </c>
      <c r="I295" s="2" t="s">
        <v>439</v>
      </c>
      <c r="J295" s="3" t="n">
        <v>0</v>
      </c>
      <c r="K295" s="2" t="s">
        <v>440</v>
      </c>
      <c r="L295" s="5" t="n">
        <f aca="false">IF(COUNTIF('04_MAQUINAS'!$A$2:$A$18,E295)&gt;0,1,0)</f>
        <v>1</v>
      </c>
      <c r="M295" s="2" t="s">
        <v>82</v>
      </c>
    </row>
    <row r="296" customFormat="false" ht="15" hidden="false" customHeight="false" outlineLevel="0" collapsed="false">
      <c r="A296" s="2" t="s">
        <v>139</v>
      </c>
      <c r="B296" s="2" t="s">
        <v>118</v>
      </c>
      <c r="C296" s="4" t="n">
        <v>3</v>
      </c>
      <c r="D296" s="2" t="s">
        <v>390</v>
      </c>
      <c r="E296" s="2" t="s">
        <v>387</v>
      </c>
      <c r="F296" s="6" t="n">
        <v>12</v>
      </c>
      <c r="G296" s="9" t="n">
        <v>36</v>
      </c>
      <c r="H296" s="13" t="n">
        <v>2</v>
      </c>
      <c r="I296" s="2" t="s">
        <v>439</v>
      </c>
      <c r="J296" s="3" t="n">
        <v>0</v>
      </c>
      <c r="K296" s="2" t="s">
        <v>440</v>
      </c>
      <c r="L296" s="5" t="n">
        <f aca="false">IF(COUNTIF('04_MAQUINAS'!$A$2:$A$18,E296)&gt;0,1,0)</f>
        <v>1</v>
      </c>
      <c r="M296" s="2" t="s">
        <v>82</v>
      </c>
    </row>
    <row r="297" customFormat="false" ht="15" hidden="false" customHeight="false" outlineLevel="0" collapsed="false">
      <c r="A297" s="2" t="s">
        <v>139</v>
      </c>
      <c r="B297" s="2" t="s">
        <v>118</v>
      </c>
      <c r="C297" s="4" t="n">
        <v>4</v>
      </c>
      <c r="D297" s="2" t="s">
        <v>445</v>
      </c>
      <c r="E297" s="2" t="s">
        <v>402</v>
      </c>
      <c r="F297" s="6" t="n">
        <v>12</v>
      </c>
      <c r="G297" s="9" t="n">
        <v>6.58</v>
      </c>
      <c r="H297" s="13" t="n">
        <v>3</v>
      </c>
      <c r="I297" s="2" t="s">
        <v>439</v>
      </c>
      <c r="J297" s="3" t="n">
        <v>0</v>
      </c>
      <c r="K297" s="2" t="s">
        <v>446</v>
      </c>
      <c r="L297" s="5" t="n">
        <f aca="false">IF(COUNTIF('04_MAQUINAS'!$A$2:$A$18,E297)&gt;0,1,0)</f>
        <v>1</v>
      </c>
      <c r="M297" s="2" t="s">
        <v>82</v>
      </c>
    </row>
    <row r="298" customFormat="false" ht="15" hidden="false" customHeight="false" outlineLevel="0" collapsed="false">
      <c r="A298" s="2" t="s">
        <v>139</v>
      </c>
      <c r="B298" s="2" t="s">
        <v>118</v>
      </c>
      <c r="C298" s="4" t="n">
        <v>5</v>
      </c>
      <c r="D298" s="2" t="s">
        <v>447</v>
      </c>
      <c r="E298" s="2" t="s">
        <v>421</v>
      </c>
      <c r="F298" s="6" t="n">
        <v>45</v>
      </c>
      <c r="G298" s="9" t="n">
        <v>0</v>
      </c>
      <c r="H298" s="13" t="n">
        <v>4</v>
      </c>
      <c r="I298" s="2" t="s">
        <v>448</v>
      </c>
      <c r="J298" s="3" t="n">
        <v>40</v>
      </c>
      <c r="K298" s="2" t="s">
        <v>446</v>
      </c>
      <c r="L298" s="5" t="n">
        <f aca="false">IF(COUNTIF('04_MAQUINAS'!$A$2:$A$18,E298)&gt;0,1,0)</f>
        <v>1</v>
      </c>
      <c r="M298" s="2" t="s">
        <v>82</v>
      </c>
    </row>
    <row r="299" customFormat="false" ht="15" hidden="false" customHeight="false" outlineLevel="0" collapsed="false">
      <c r="A299" s="2" t="s">
        <v>139</v>
      </c>
      <c r="B299" s="2" t="s">
        <v>118</v>
      </c>
      <c r="C299" s="4" t="n">
        <v>6</v>
      </c>
      <c r="D299" s="2" t="s">
        <v>449</v>
      </c>
      <c r="E299" s="2" t="s">
        <v>423</v>
      </c>
      <c r="F299" s="6" t="n">
        <v>8</v>
      </c>
      <c r="G299" s="9" t="n">
        <v>2.36</v>
      </c>
      <c r="H299" s="13" t="n">
        <v>5</v>
      </c>
      <c r="I299" s="2" t="s">
        <v>439</v>
      </c>
      <c r="J299" s="3" t="n">
        <v>0</v>
      </c>
      <c r="K299" s="2" t="s">
        <v>446</v>
      </c>
      <c r="L299" s="5" t="n">
        <f aca="false">IF(COUNTIF('04_MAQUINAS'!$A$2:$A$18,E299)&gt;0,1,0)</f>
        <v>1</v>
      </c>
      <c r="M299" s="2" t="s">
        <v>82</v>
      </c>
    </row>
    <row r="300" customFormat="false" ht="15" hidden="false" customHeight="false" outlineLevel="0" collapsed="false">
      <c r="A300" s="2" t="s">
        <v>139</v>
      </c>
      <c r="B300" s="2" t="s">
        <v>118</v>
      </c>
      <c r="C300" s="4" t="n">
        <v>7</v>
      </c>
      <c r="D300" s="2" t="s">
        <v>450</v>
      </c>
      <c r="E300" s="2" t="s">
        <v>406</v>
      </c>
      <c r="F300" s="6" t="n">
        <v>6</v>
      </c>
      <c r="G300" s="9" t="n">
        <v>120</v>
      </c>
      <c r="H300" s="13" t="n">
        <v>6</v>
      </c>
      <c r="I300" s="2" t="s">
        <v>439</v>
      </c>
      <c r="J300" s="3" t="n">
        <v>0</v>
      </c>
      <c r="K300" s="2" t="s">
        <v>440</v>
      </c>
      <c r="L300" s="5" t="n">
        <f aca="false">IF(COUNTIF('04_MAQUINAS'!$A$2:$A$18,E300)&gt;0,1,0)</f>
        <v>1</v>
      </c>
      <c r="M300" s="2" t="s">
        <v>82</v>
      </c>
    </row>
    <row r="301" customFormat="false" ht="15" hidden="false" customHeight="false" outlineLevel="0" collapsed="false">
      <c r="A301" s="2" t="s">
        <v>139</v>
      </c>
      <c r="B301" s="2" t="s">
        <v>118</v>
      </c>
      <c r="C301" s="4" t="n">
        <v>8</v>
      </c>
      <c r="D301" s="2" t="s">
        <v>453</v>
      </c>
      <c r="E301" s="2" t="s">
        <v>406</v>
      </c>
      <c r="F301" s="6" t="n">
        <v>0</v>
      </c>
      <c r="G301" s="9" t="n">
        <v>4</v>
      </c>
      <c r="H301" s="13" t="n">
        <v>7</v>
      </c>
      <c r="I301" s="2" t="s">
        <v>439</v>
      </c>
      <c r="J301" s="3" t="n">
        <v>0</v>
      </c>
      <c r="K301" s="2" t="s">
        <v>446</v>
      </c>
      <c r="L301" s="5" t="n">
        <f aca="false">IF(COUNTIF('04_MAQUINAS'!$A$2:$A$18,E301)&gt;0,1,0)</f>
        <v>1</v>
      </c>
      <c r="M301" s="2" t="s">
        <v>82</v>
      </c>
    </row>
    <row r="302" customFormat="false" ht="15" hidden="false" customHeight="false" outlineLevel="0" collapsed="false">
      <c r="A302" s="2" t="s">
        <v>140</v>
      </c>
      <c r="B302" s="2" t="s">
        <v>118</v>
      </c>
      <c r="C302" s="4" t="n">
        <v>1</v>
      </c>
      <c r="D302" s="2" t="s">
        <v>437</v>
      </c>
      <c r="E302" s="2" t="s">
        <v>375</v>
      </c>
      <c r="F302" s="6" t="n">
        <v>8</v>
      </c>
      <c r="G302" s="9" t="n">
        <v>21.33005494</v>
      </c>
      <c r="H302" s="13" t="s">
        <v>438</v>
      </c>
      <c r="I302" s="2" t="s">
        <v>439</v>
      </c>
      <c r="J302" s="3" t="n">
        <v>0</v>
      </c>
      <c r="K302" s="2" t="s">
        <v>440</v>
      </c>
      <c r="L302" s="5" t="n">
        <f aca="false">IF(COUNTIF('04_MAQUINAS'!$A$2:$A$18,E302)&gt;0,1,0)</f>
        <v>1</v>
      </c>
      <c r="M302" s="2" t="s">
        <v>82</v>
      </c>
    </row>
    <row r="303" customFormat="false" ht="15" hidden="false" customHeight="false" outlineLevel="0" collapsed="false">
      <c r="A303" s="2" t="s">
        <v>140</v>
      </c>
      <c r="B303" s="2" t="s">
        <v>118</v>
      </c>
      <c r="C303" s="4" t="n">
        <v>2</v>
      </c>
      <c r="D303" s="2" t="s">
        <v>386</v>
      </c>
      <c r="E303" s="2" t="s">
        <v>413</v>
      </c>
      <c r="F303" s="6" t="n">
        <v>10</v>
      </c>
      <c r="G303" s="9" t="n">
        <v>10.5</v>
      </c>
      <c r="H303" s="13" t="n">
        <v>1</v>
      </c>
      <c r="I303" s="2" t="s">
        <v>439</v>
      </c>
      <c r="J303" s="3" t="n">
        <v>0</v>
      </c>
      <c r="K303" s="2" t="s">
        <v>440</v>
      </c>
      <c r="L303" s="5" t="n">
        <f aca="false">IF(COUNTIF('04_MAQUINAS'!$A$2:$A$18,E303)&gt;0,1,0)</f>
        <v>1</v>
      </c>
      <c r="M303" s="2" t="s">
        <v>82</v>
      </c>
    </row>
    <row r="304" customFormat="false" ht="15" hidden="false" customHeight="false" outlineLevel="0" collapsed="false">
      <c r="A304" s="2" t="s">
        <v>140</v>
      </c>
      <c r="B304" s="2" t="s">
        <v>118</v>
      </c>
      <c r="C304" s="4" t="n">
        <v>3</v>
      </c>
      <c r="D304" s="2" t="s">
        <v>390</v>
      </c>
      <c r="E304" s="2" t="s">
        <v>387</v>
      </c>
      <c r="F304" s="6" t="n">
        <v>12</v>
      </c>
      <c r="G304" s="9" t="n">
        <v>41</v>
      </c>
      <c r="H304" s="13" t="n">
        <v>2</v>
      </c>
      <c r="I304" s="2" t="s">
        <v>439</v>
      </c>
      <c r="J304" s="3" t="n">
        <v>0</v>
      </c>
      <c r="K304" s="2" t="s">
        <v>440</v>
      </c>
      <c r="L304" s="5" t="n">
        <f aca="false">IF(COUNTIF('04_MAQUINAS'!$A$2:$A$18,E304)&gt;0,1,0)</f>
        <v>1</v>
      </c>
      <c r="M304" s="2" t="s">
        <v>82</v>
      </c>
    </row>
    <row r="305" customFormat="false" ht="15" hidden="false" customHeight="false" outlineLevel="0" collapsed="false">
      <c r="A305" s="2" t="s">
        <v>140</v>
      </c>
      <c r="B305" s="2" t="s">
        <v>118</v>
      </c>
      <c r="C305" s="4" t="n">
        <v>4</v>
      </c>
      <c r="D305" s="2" t="s">
        <v>445</v>
      </c>
      <c r="E305" s="2" t="s">
        <v>402</v>
      </c>
      <c r="F305" s="6" t="n">
        <v>12</v>
      </c>
      <c r="G305" s="9" t="n">
        <v>6.58</v>
      </c>
      <c r="H305" s="13" t="n">
        <v>3</v>
      </c>
      <c r="I305" s="2" t="s">
        <v>439</v>
      </c>
      <c r="J305" s="3" t="n">
        <v>0</v>
      </c>
      <c r="K305" s="2" t="s">
        <v>446</v>
      </c>
      <c r="L305" s="5" t="n">
        <f aca="false">IF(COUNTIF('04_MAQUINAS'!$A$2:$A$18,E305)&gt;0,1,0)</f>
        <v>1</v>
      </c>
      <c r="M305" s="2" t="s">
        <v>82</v>
      </c>
    </row>
    <row r="306" customFormat="false" ht="15" hidden="false" customHeight="false" outlineLevel="0" collapsed="false">
      <c r="A306" s="2" t="s">
        <v>140</v>
      </c>
      <c r="B306" s="2" t="s">
        <v>118</v>
      </c>
      <c r="C306" s="4" t="n">
        <v>5</v>
      </c>
      <c r="D306" s="2" t="s">
        <v>447</v>
      </c>
      <c r="E306" s="2" t="s">
        <v>421</v>
      </c>
      <c r="F306" s="6" t="n">
        <v>45</v>
      </c>
      <c r="G306" s="9" t="n">
        <v>0</v>
      </c>
      <c r="H306" s="13" t="n">
        <v>4</v>
      </c>
      <c r="I306" s="2" t="s">
        <v>448</v>
      </c>
      <c r="J306" s="3" t="n">
        <v>40</v>
      </c>
      <c r="K306" s="2" t="s">
        <v>446</v>
      </c>
      <c r="L306" s="5" t="n">
        <f aca="false">IF(COUNTIF('04_MAQUINAS'!$A$2:$A$18,E306)&gt;0,1,0)</f>
        <v>1</v>
      </c>
      <c r="M306" s="2" t="s">
        <v>82</v>
      </c>
    </row>
    <row r="307" customFormat="false" ht="15" hidden="false" customHeight="false" outlineLevel="0" collapsed="false">
      <c r="A307" s="2" t="s">
        <v>140</v>
      </c>
      <c r="B307" s="2" t="s">
        <v>118</v>
      </c>
      <c r="C307" s="4" t="n">
        <v>6</v>
      </c>
      <c r="D307" s="2" t="s">
        <v>449</v>
      </c>
      <c r="E307" s="2" t="s">
        <v>423</v>
      </c>
      <c r="F307" s="6" t="n">
        <v>8</v>
      </c>
      <c r="G307" s="9" t="n">
        <v>2.36</v>
      </c>
      <c r="H307" s="13" t="n">
        <v>5</v>
      </c>
      <c r="I307" s="2" t="s">
        <v>439</v>
      </c>
      <c r="J307" s="3" t="n">
        <v>0</v>
      </c>
      <c r="K307" s="2" t="s">
        <v>446</v>
      </c>
      <c r="L307" s="5" t="n">
        <f aca="false">IF(COUNTIF('04_MAQUINAS'!$A$2:$A$18,E307)&gt;0,1,0)</f>
        <v>1</v>
      </c>
      <c r="M307" s="2" t="s">
        <v>82</v>
      </c>
    </row>
    <row r="308" customFormat="false" ht="15" hidden="false" customHeight="false" outlineLevel="0" collapsed="false">
      <c r="A308" s="2" t="s">
        <v>140</v>
      </c>
      <c r="B308" s="2" t="s">
        <v>118</v>
      </c>
      <c r="C308" s="4" t="n">
        <v>7</v>
      </c>
      <c r="D308" s="2" t="s">
        <v>450</v>
      </c>
      <c r="E308" s="2" t="s">
        <v>406</v>
      </c>
      <c r="F308" s="6" t="n">
        <v>6</v>
      </c>
      <c r="G308" s="9" t="n">
        <v>120</v>
      </c>
      <c r="H308" s="13" t="n">
        <v>6</v>
      </c>
      <c r="I308" s="2" t="s">
        <v>439</v>
      </c>
      <c r="J308" s="3" t="n">
        <v>0</v>
      </c>
      <c r="K308" s="2" t="s">
        <v>440</v>
      </c>
      <c r="L308" s="5" t="n">
        <f aca="false">IF(COUNTIF('04_MAQUINAS'!$A$2:$A$18,E308)&gt;0,1,0)</f>
        <v>1</v>
      </c>
      <c r="M308" s="2" t="s">
        <v>82</v>
      </c>
    </row>
    <row r="309" customFormat="false" ht="15" hidden="false" customHeight="false" outlineLevel="0" collapsed="false">
      <c r="A309" s="2" t="s">
        <v>140</v>
      </c>
      <c r="B309" s="2" t="s">
        <v>118</v>
      </c>
      <c r="C309" s="4" t="n">
        <v>8</v>
      </c>
      <c r="D309" s="2" t="s">
        <v>453</v>
      </c>
      <c r="E309" s="2" t="s">
        <v>406</v>
      </c>
      <c r="F309" s="6" t="n">
        <v>0</v>
      </c>
      <c r="G309" s="9" t="n">
        <v>4</v>
      </c>
      <c r="H309" s="13" t="n">
        <v>7</v>
      </c>
      <c r="I309" s="2" t="s">
        <v>439</v>
      </c>
      <c r="J309" s="3" t="n">
        <v>0</v>
      </c>
      <c r="K309" s="2" t="s">
        <v>446</v>
      </c>
      <c r="L309" s="5" t="n">
        <f aca="false">IF(COUNTIF('04_MAQUINAS'!$A$2:$A$18,E309)&gt;0,1,0)</f>
        <v>1</v>
      </c>
      <c r="M309" s="2" t="s">
        <v>82</v>
      </c>
    </row>
    <row r="310" customFormat="false" ht="15" hidden="false" customHeight="false" outlineLevel="0" collapsed="false">
      <c r="A310" s="2" t="s">
        <v>141</v>
      </c>
      <c r="B310" s="2" t="s">
        <v>118</v>
      </c>
      <c r="C310" s="4" t="n">
        <v>1</v>
      </c>
      <c r="D310" s="2" t="s">
        <v>437</v>
      </c>
      <c r="E310" s="2" t="s">
        <v>375</v>
      </c>
      <c r="F310" s="6" t="n">
        <v>8</v>
      </c>
      <c r="G310" s="9" t="n">
        <v>20.478435</v>
      </c>
      <c r="H310" s="13" t="s">
        <v>438</v>
      </c>
      <c r="I310" s="2" t="s">
        <v>439</v>
      </c>
      <c r="J310" s="3" t="n">
        <v>0</v>
      </c>
      <c r="K310" s="2" t="s">
        <v>440</v>
      </c>
      <c r="L310" s="5" t="n">
        <f aca="false">IF(COUNTIF('04_MAQUINAS'!$A$2:$A$18,E310)&gt;0,1,0)</f>
        <v>1</v>
      </c>
      <c r="M310" s="2" t="s">
        <v>82</v>
      </c>
    </row>
    <row r="311" customFormat="false" ht="15" hidden="false" customHeight="false" outlineLevel="0" collapsed="false">
      <c r="A311" s="2" t="s">
        <v>141</v>
      </c>
      <c r="B311" s="2" t="s">
        <v>118</v>
      </c>
      <c r="C311" s="4" t="n">
        <v>2</v>
      </c>
      <c r="D311" s="2" t="s">
        <v>386</v>
      </c>
      <c r="E311" s="2" t="s">
        <v>413</v>
      </c>
      <c r="F311" s="6" t="n">
        <v>10</v>
      </c>
      <c r="G311" s="9" t="n">
        <v>10.5</v>
      </c>
      <c r="H311" s="13" t="n">
        <v>1</v>
      </c>
      <c r="I311" s="2" t="s">
        <v>439</v>
      </c>
      <c r="J311" s="3" t="n">
        <v>0</v>
      </c>
      <c r="K311" s="2" t="s">
        <v>440</v>
      </c>
      <c r="L311" s="5" t="n">
        <f aca="false">IF(COUNTIF('04_MAQUINAS'!$A$2:$A$18,E311)&gt;0,1,0)</f>
        <v>1</v>
      </c>
      <c r="M311" s="2" t="s">
        <v>82</v>
      </c>
    </row>
    <row r="312" customFormat="false" ht="15" hidden="false" customHeight="false" outlineLevel="0" collapsed="false">
      <c r="A312" s="2" t="s">
        <v>141</v>
      </c>
      <c r="B312" s="2" t="s">
        <v>118</v>
      </c>
      <c r="C312" s="4" t="n">
        <v>3</v>
      </c>
      <c r="D312" s="2" t="s">
        <v>390</v>
      </c>
      <c r="E312" s="2" t="s">
        <v>387</v>
      </c>
      <c r="F312" s="6" t="n">
        <v>12</v>
      </c>
      <c r="G312" s="9" t="n">
        <v>36</v>
      </c>
      <c r="H312" s="13" t="n">
        <v>2</v>
      </c>
      <c r="I312" s="2" t="s">
        <v>439</v>
      </c>
      <c r="J312" s="3" t="n">
        <v>0</v>
      </c>
      <c r="K312" s="2" t="s">
        <v>440</v>
      </c>
      <c r="L312" s="5" t="n">
        <f aca="false">IF(COUNTIF('04_MAQUINAS'!$A$2:$A$18,E312)&gt;0,1,0)</f>
        <v>1</v>
      </c>
      <c r="M312" s="2" t="s">
        <v>82</v>
      </c>
    </row>
    <row r="313" customFormat="false" ht="15" hidden="false" customHeight="false" outlineLevel="0" collapsed="false">
      <c r="A313" s="2" t="s">
        <v>141</v>
      </c>
      <c r="B313" s="2" t="s">
        <v>118</v>
      </c>
      <c r="C313" s="4" t="n">
        <v>4</v>
      </c>
      <c r="D313" s="2" t="s">
        <v>445</v>
      </c>
      <c r="E313" s="2" t="s">
        <v>402</v>
      </c>
      <c r="F313" s="6" t="n">
        <v>12</v>
      </c>
      <c r="G313" s="9" t="n">
        <v>6.58</v>
      </c>
      <c r="H313" s="13" t="n">
        <v>3</v>
      </c>
      <c r="I313" s="2" t="s">
        <v>439</v>
      </c>
      <c r="J313" s="3" t="n">
        <v>0</v>
      </c>
      <c r="K313" s="2" t="s">
        <v>446</v>
      </c>
      <c r="L313" s="5" t="n">
        <f aca="false">IF(COUNTIF('04_MAQUINAS'!$A$2:$A$18,E313)&gt;0,1,0)</f>
        <v>1</v>
      </c>
      <c r="M313" s="2" t="s">
        <v>82</v>
      </c>
    </row>
    <row r="314" customFormat="false" ht="15" hidden="false" customHeight="false" outlineLevel="0" collapsed="false">
      <c r="A314" s="2" t="s">
        <v>141</v>
      </c>
      <c r="B314" s="2" t="s">
        <v>118</v>
      </c>
      <c r="C314" s="4" t="n">
        <v>5</v>
      </c>
      <c r="D314" s="2" t="s">
        <v>447</v>
      </c>
      <c r="E314" s="2" t="s">
        <v>421</v>
      </c>
      <c r="F314" s="6" t="n">
        <v>45</v>
      </c>
      <c r="G314" s="9" t="n">
        <v>0</v>
      </c>
      <c r="H314" s="13" t="n">
        <v>4</v>
      </c>
      <c r="I314" s="2" t="s">
        <v>448</v>
      </c>
      <c r="J314" s="3" t="n">
        <v>40</v>
      </c>
      <c r="K314" s="2" t="s">
        <v>446</v>
      </c>
      <c r="L314" s="5" t="n">
        <f aca="false">IF(COUNTIF('04_MAQUINAS'!$A$2:$A$18,E314)&gt;0,1,0)</f>
        <v>1</v>
      </c>
      <c r="M314" s="2" t="s">
        <v>82</v>
      </c>
    </row>
    <row r="315" customFormat="false" ht="15" hidden="false" customHeight="false" outlineLevel="0" collapsed="false">
      <c r="A315" s="2" t="s">
        <v>141</v>
      </c>
      <c r="B315" s="2" t="s">
        <v>118</v>
      </c>
      <c r="C315" s="4" t="n">
        <v>6</v>
      </c>
      <c r="D315" s="2" t="s">
        <v>449</v>
      </c>
      <c r="E315" s="2" t="s">
        <v>423</v>
      </c>
      <c r="F315" s="6" t="n">
        <v>8</v>
      </c>
      <c r="G315" s="9" t="n">
        <v>2.36</v>
      </c>
      <c r="H315" s="13" t="n">
        <v>5</v>
      </c>
      <c r="I315" s="2" t="s">
        <v>439</v>
      </c>
      <c r="J315" s="3" t="n">
        <v>0</v>
      </c>
      <c r="K315" s="2" t="s">
        <v>446</v>
      </c>
      <c r="L315" s="5" t="n">
        <f aca="false">IF(COUNTIF('04_MAQUINAS'!$A$2:$A$18,E315)&gt;0,1,0)</f>
        <v>1</v>
      </c>
      <c r="M315" s="2" t="s">
        <v>82</v>
      </c>
    </row>
    <row r="316" customFormat="false" ht="15" hidden="false" customHeight="false" outlineLevel="0" collapsed="false">
      <c r="A316" s="2" t="s">
        <v>141</v>
      </c>
      <c r="B316" s="2" t="s">
        <v>118</v>
      </c>
      <c r="C316" s="4" t="n">
        <v>7</v>
      </c>
      <c r="D316" s="2" t="s">
        <v>450</v>
      </c>
      <c r="E316" s="2" t="s">
        <v>406</v>
      </c>
      <c r="F316" s="6" t="n">
        <v>6</v>
      </c>
      <c r="G316" s="9" t="n">
        <v>108</v>
      </c>
      <c r="H316" s="13" t="n">
        <v>6</v>
      </c>
      <c r="I316" s="2" t="s">
        <v>439</v>
      </c>
      <c r="J316" s="3" t="n">
        <v>0</v>
      </c>
      <c r="K316" s="2" t="s">
        <v>440</v>
      </c>
      <c r="L316" s="5" t="n">
        <f aca="false">IF(COUNTIF('04_MAQUINAS'!$A$2:$A$18,E316)&gt;0,1,0)</f>
        <v>1</v>
      </c>
      <c r="M316" s="2" t="s">
        <v>82</v>
      </c>
    </row>
    <row r="317" customFormat="false" ht="15" hidden="false" customHeight="false" outlineLevel="0" collapsed="false">
      <c r="A317" s="2" t="s">
        <v>141</v>
      </c>
      <c r="B317" s="2" t="s">
        <v>118</v>
      </c>
      <c r="C317" s="4" t="n">
        <v>8</v>
      </c>
      <c r="D317" s="2" t="s">
        <v>453</v>
      </c>
      <c r="E317" s="2" t="s">
        <v>406</v>
      </c>
      <c r="F317" s="6" t="n">
        <v>0</v>
      </c>
      <c r="G317" s="9" t="n">
        <v>4</v>
      </c>
      <c r="H317" s="13" t="n">
        <v>7</v>
      </c>
      <c r="I317" s="2" t="s">
        <v>439</v>
      </c>
      <c r="J317" s="3" t="n">
        <v>0</v>
      </c>
      <c r="K317" s="2" t="s">
        <v>446</v>
      </c>
      <c r="L317" s="5" t="n">
        <f aca="false">IF(COUNTIF('04_MAQUINAS'!$A$2:$A$18,E317)&gt;0,1,0)</f>
        <v>1</v>
      </c>
      <c r="M317" s="2" t="s">
        <v>82</v>
      </c>
    </row>
    <row r="318" customFormat="false" ht="15" hidden="false" customHeight="false" outlineLevel="0" collapsed="false">
      <c r="A318" s="2" t="s">
        <v>143</v>
      </c>
      <c r="B318" s="2" t="s">
        <v>118</v>
      </c>
      <c r="C318" s="4" t="n">
        <v>1</v>
      </c>
      <c r="D318" s="2" t="s">
        <v>450</v>
      </c>
      <c r="E318" s="2" t="s">
        <v>406</v>
      </c>
      <c r="F318" s="6" t="n">
        <v>6</v>
      </c>
      <c r="G318" s="9" t="n">
        <v>48.75</v>
      </c>
      <c r="H318" s="13" t="s">
        <v>438</v>
      </c>
      <c r="I318" s="2" t="s">
        <v>439</v>
      </c>
      <c r="J318" s="3" t="n">
        <v>0</v>
      </c>
      <c r="K318" s="2" t="s">
        <v>440</v>
      </c>
      <c r="L318" s="5" t="n">
        <f aca="false">IF(COUNTIF('04_MAQUINAS'!$A$2:$A$18,E318)&gt;0,1,0)</f>
        <v>1</v>
      </c>
      <c r="M318" s="2" t="s">
        <v>82</v>
      </c>
    </row>
    <row r="319" customFormat="false" ht="15" hidden="false" customHeight="false" outlineLevel="0" collapsed="false">
      <c r="A319" s="2" t="s">
        <v>143</v>
      </c>
      <c r="B319" s="2" t="s">
        <v>118</v>
      </c>
      <c r="C319" s="4" t="n">
        <v>2</v>
      </c>
      <c r="D319" s="2" t="s">
        <v>453</v>
      </c>
      <c r="E319" s="2" t="s">
        <v>406</v>
      </c>
      <c r="F319" s="6" t="n">
        <v>0</v>
      </c>
      <c r="G319" s="9" t="n">
        <v>4</v>
      </c>
      <c r="H319" s="13" t="n">
        <v>1</v>
      </c>
      <c r="I319" s="2" t="s">
        <v>439</v>
      </c>
      <c r="J319" s="3" t="n">
        <v>0</v>
      </c>
      <c r="K319" s="2" t="s">
        <v>446</v>
      </c>
      <c r="L319" s="5" t="n">
        <f aca="false">IF(COUNTIF('04_MAQUINAS'!$A$2:$A$18,E319)&gt;0,1,0)</f>
        <v>1</v>
      </c>
      <c r="M319" s="2" t="s">
        <v>82</v>
      </c>
    </row>
    <row r="320" customFormat="false" ht="15" hidden="false" customHeight="false" outlineLevel="0" collapsed="false">
      <c r="A320" s="2" t="s">
        <v>144</v>
      </c>
      <c r="B320" s="2" t="s">
        <v>118</v>
      </c>
      <c r="C320" s="4" t="n">
        <v>1</v>
      </c>
      <c r="D320" s="2" t="s">
        <v>450</v>
      </c>
      <c r="E320" s="2" t="s">
        <v>406</v>
      </c>
      <c r="F320" s="6" t="n">
        <v>6</v>
      </c>
      <c r="G320" s="9" t="n">
        <v>48.75</v>
      </c>
      <c r="H320" s="13" t="s">
        <v>438</v>
      </c>
      <c r="I320" s="2" t="s">
        <v>439</v>
      </c>
      <c r="J320" s="3" t="n">
        <v>0</v>
      </c>
      <c r="K320" s="2" t="s">
        <v>440</v>
      </c>
      <c r="L320" s="5" t="n">
        <f aca="false">IF(COUNTIF('04_MAQUINAS'!$A$2:$A$18,E320)&gt;0,1,0)</f>
        <v>1</v>
      </c>
      <c r="M320" s="2" t="s">
        <v>82</v>
      </c>
    </row>
    <row r="321" customFormat="false" ht="15" hidden="false" customHeight="false" outlineLevel="0" collapsed="false">
      <c r="A321" s="2" t="s">
        <v>144</v>
      </c>
      <c r="B321" s="2" t="s">
        <v>118</v>
      </c>
      <c r="C321" s="4" t="n">
        <v>2</v>
      </c>
      <c r="D321" s="2" t="s">
        <v>453</v>
      </c>
      <c r="E321" s="2" t="s">
        <v>406</v>
      </c>
      <c r="F321" s="6" t="n">
        <v>0</v>
      </c>
      <c r="G321" s="9" t="n">
        <v>4</v>
      </c>
      <c r="H321" s="13" t="n">
        <v>1</v>
      </c>
      <c r="I321" s="2" t="s">
        <v>439</v>
      </c>
      <c r="J321" s="3" t="n">
        <v>0</v>
      </c>
      <c r="K321" s="2" t="s">
        <v>446</v>
      </c>
      <c r="L321" s="5" t="n">
        <f aca="false">IF(COUNTIF('04_MAQUINAS'!$A$2:$A$18,E321)&gt;0,1,0)</f>
        <v>1</v>
      </c>
      <c r="M321" s="2" t="s">
        <v>82</v>
      </c>
    </row>
    <row r="322" customFormat="false" ht="15" hidden="false" customHeight="false" outlineLevel="0" collapsed="false">
      <c r="A322" s="2" t="s">
        <v>145</v>
      </c>
      <c r="B322" s="2" t="s">
        <v>118</v>
      </c>
      <c r="C322" s="4" t="n">
        <v>1</v>
      </c>
      <c r="D322" s="2" t="s">
        <v>441</v>
      </c>
      <c r="E322" s="2" t="s">
        <v>380</v>
      </c>
      <c r="F322" s="6" t="n">
        <v>8</v>
      </c>
      <c r="G322" s="9" t="n">
        <v>20.29984</v>
      </c>
      <c r="H322" s="13" t="s">
        <v>438</v>
      </c>
      <c r="I322" s="2" t="s">
        <v>439</v>
      </c>
      <c r="J322" s="3" t="n">
        <v>0</v>
      </c>
      <c r="K322" s="2" t="s">
        <v>440</v>
      </c>
      <c r="L322" s="5" t="n">
        <f aca="false">IF(COUNTIF('04_MAQUINAS'!$A$2:$A$18,E322)&gt;0,1,0)</f>
        <v>1</v>
      </c>
      <c r="M322" s="2" t="s">
        <v>82</v>
      </c>
    </row>
    <row r="323" customFormat="false" ht="15" hidden="false" customHeight="false" outlineLevel="0" collapsed="false">
      <c r="A323" s="2" t="s">
        <v>145</v>
      </c>
      <c r="B323" s="2" t="s">
        <v>118</v>
      </c>
      <c r="C323" s="4" t="n">
        <v>2</v>
      </c>
      <c r="D323" s="2" t="s">
        <v>386</v>
      </c>
      <c r="E323" s="2" t="s">
        <v>413</v>
      </c>
      <c r="F323" s="6" t="n">
        <v>10</v>
      </c>
      <c r="G323" s="9" t="n">
        <v>13.6</v>
      </c>
      <c r="H323" s="13" t="n">
        <v>1</v>
      </c>
      <c r="I323" s="2" t="s">
        <v>439</v>
      </c>
      <c r="J323" s="3" t="n">
        <v>0</v>
      </c>
      <c r="K323" s="2" t="s">
        <v>440</v>
      </c>
      <c r="L323" s="5" t="n">
        <f aca="false">IF(COUNTIF('04_MAQUINAS'!$A$2:$A$18,E323)&gt;0,1,0)</f>
        <v>1</v>
      </c>
      <c r="M323" s="2" t="s">
        <v>82</v>
      </c>
    </row>
    <row r="324" customFormat="false" ht="15" hidden="false" customHeight="false" outlineLevel="0" collapsed="false">
      <c r="A324" s="2" t="s">
        <v>145</v>
      </c>
      <c r="B324" s="2" t="s">
        <v>118</v>
      </c>
      <c r="C324" s="4" t="n">
        <v>3</v>
      </c>
      <c r="D324" s="2" t="s">
        <v>442</v>
      </c>
      <c r="E324" s="2" t="s">
        <v>415</v>
      </c>
      <c r="F324" s="6" t="n">
        <v>10</v>
      </c>
      <c r="G324" s="9" t="n">
        <v>33.6</v>
      </c>
      <c r="H324" s="13" t="n">
        <v>2</v>
      </c>
      <c r="I324" s="2" t="s">
        <v>439</v>
      </c>
      <c r="J324" s="3" t="n">
        <v>0</v>
      </c>
      <c r="K324" s="2" t="s">
        <v>440</v>
      </c>
      <c r="L324" s="5" t="n">
        <f aca="false">IF(COUNTIF('04_MAQUINAS'!$A$2:$A$18,E324)&gt;0,1,0)</f>
        <v>1</v>
      </c>
      <c r="M324" s="2" t="s">
        <v>82</v>
      </c>
    </row>
    <row r="325" customFormat="false" ht="15" hidden="false" customHeight="false" outlineLevel="0" collapsed="false">
      <c r="A325" s="2" t="s">
        <v>145</v>
      </c>
      <c r="B325" s="2" t="s">
        <v>118</v>
      </c>
      <c r="C325" s="4" t="n">
        <v>4</v>
      </c>
      <c r="D325" s="2" t="s">
        <v>445</v>
      </c>
      <c r="E325" s="2" t="s">
        <v>402</v>
      </c>
      <c r="F325" s="6" t="n">
        <v>12</v>
      </c>
      <c r="G325" s="9" t="n">
        <v>6.45</v>
      </c>
      <c r="H325" s="13" t="n">
        <v>3</v>
      </c>
      <c r="I325" s="2" t="s">
        <v>439</v>
      </c>
      <c r="J325" s="3" t="n">
        <v>0</v>
      </c>
      <c r="K325" s="2" t="s">
        <v>446</v>
      </c>
      <c r="L325" s="5" t="n">
        <f aca="false">IF(COUNTIF('04_MAQUINAS'!$A$2:$A$18,E325)&gt;0,1,0)</f>
        <v>1</v>
      </c>
      <c r="M325" s="2" t="s">
        <v>82</v>
      </c>
    </row>
    <row r="326" customFormat="false" ht="15" hidden="false" customHeight="false" outlineLevel="0" collapsed="false">
      <c r="A326" s="2" t="s">
        <v>145</v>
      </c>
      <c r="B326" s="2" t="s">
        <v>118</v>
      </c>
      <c r="C326" s="4" t="n">
        <v>5</v>
      </c>
      <c r="D326" s="2" t="s">
        <v>447</v>
      </c>
      <c r="E326" s="2" t="s">
        <v>421</v>
      </c>
      <c r="F326" s="6" t="n">
        <v>45</v>
      </c>
      <c r="G326" s="9" t="n">
        <v>0</v>
      </c>
      <c r="H326" s="13" t="n">
        <v>4</v>
      </c>
      <c r="I326" s="2" t="s">
        <v>448</v>
      </c>
      <c r="J326" s="3" t="n">
        <v>40</v>
      </c>
      <c r="K326" s="2" t="s">
        <v>446</v>
      </c>
      <c r="L326" s="5" t="n">
        <f aca="false">IF(COUNTIF('04_MAQUINAS'!$A$2:$A$18,E326)&gt;0,1,0)</f>
        <v>1</v>
      </c>
      <c r="M326" s="2" t="s">
        <v>82</v>
      </c>
    </row>
    <row r="327" customFormat="false" ht="15" hidden="false" customHeight="false" outlineLevel="0" collapsed="false">
      <c r="A327" s="2" t="s">
        <v>145</v>
      </c>
      <c r="B327" s="2" t="s">
        <v>118</v>
      </c>
      <c r="C327" s="4" t="n">
        <v>6</v>
      </c>
      <c r="D327" s="2" t="s">
        <v>449</v>
      </c>
      <c r="E327" s="2" t="s">
        <v>423</v>
      </c>
      <c r="F327" s="6" t="n">
        <v>8</v>
      </c>
      <c r="G327" s="9" t="n">
        <v>2.33</v>
      </c>
      <c r="H327" s="13" t="n">
        <v>5</v>
      </c>
      <c r="I327" s="2" t="s">
        <v>439</v>
      </c>
      <c r="J327" s="3" t="n">
        <v>0</v>
      </c>
      <c r="K327" s="2" t="s">
        <v>446</v>
      </c>
      <c r="L327" s="5" t="n">
        <f aca="false">IF(COUNTIF('04_MAQUINAS'!$A$2:$A$18,E327)&gt;0,1,0)</f>
        <v>1</v>
      </c>
      <c r="M327" s="2" t="s">
        <v>82</v>
      </c>
    </row>
    <row r="328" customFormat="false" ht="15" hidden="false" customHeight="false" outlineLevel="0" collapsed="false">
      <c r="A328" s="2" t="s">
        <v>145</v>
      </c>
      <c r="B328" s="2" t="s">
        <v>118</v>
      </c>
      <c r="C328" s="4" t="n">
        <v>7</v>
      </c>
      <c r="D328" s="2" t="s">
        <v>450</v>
      </c>
      <c r="E328" s="2" t="s">
        <v>406</v>
      </c>
      <c r="F328" s="6" t="n">
        <v>6</v>
      </c>
      <c r="G328" s="9" t="n">
        <v>108.75</v>
      </c>
      <c r="H328" s="13" t="n">
        <v>6</v>
      </c>
      <c r="I328" s="2" t="s">
        <v>439</v>
      </c>
      <c r="J328" s="3" t="n">
        <v>0</v>
      </c>
      <c r="K328" s="2" t="s">
        <v>440</v>
      </c>
      <c r="L328" s="5" t="n">
        <f aca="false">IF(COUNTIF('04_MAQUINAS'!$A$2:$A$18,E328)&gt;0,1,0)</f>
        <v>1</v>
      </c>
      <c r="M328" s="2" t="s">
        <v>82</v>
      </c>
    </row>
    <row r="329" customFormat="false" ht="15" hidden="false" customHeight="false" outlineLevel="0" collapsed="false">
      <c r="A329" s="2" t="s">
        <v>145</v>
      </c>
      <c r="B329" s="2" t="s">
        <v>118</v>
      </c>
      <c r="C329" s="4" t="n">
        <v>8</v>
      </c>
      <c r="D329" s="2" t="s">
        <v>453</v>
      </c>
      <c r="E329" s="2" t="s">
        <v>406</v>
      </c>
      <c r="F329" s="6" t="n">
        <v>0</v>
      </c>
      <c r="G329" s="9" t="n">
        <v>4</v>
      </c>
      <c r="H329" s="13" t="n">
        <v>7</v>
      </c>
      <c r="I329" s="2" t="s">
        <v>439</v>
      </c>
      <c r="J329" s="3" t="n">
        <v>0</v>
      </c>
      <c r="K329" s="2" t="s">
        <v>446</v>
      </c>
      <c r="L329" s="5" t="n">
        <f aca="false">IF(COUNTIF('04_MAQUINAS'!$A$2:$A$18,E329)&gt;0,1,0)</f>
        <v>1</v>
      </c>
      <c r="M329" s="2" t="s">
        <v>82</v>
      </c>
    </row>
    <row r="330" customFormat="false" ht="15" hidden="false" customHeight="false" outlineLevel="0" collapsed="false">
      <c r="A330" s="2" t="s">
        <v>147</v>
      </c>
      <c r="B330" s="2" t="s">
        <v>118</v>
      </c>
      <c r="C330" s="4" t="n">
        <v>1</v>
      </c>
      <c r="D330" s="2" t="s">
        <v>441</v>
      </c>
      <c r="E330" s="2" t="s">
        <v>380</v>
      </c>
      <c r="F330" s="6" t="n">
        <v>8</v>
      </c>
      <c r="G330" s="9" t="n">
        <v>21.5584</v>
      </c>
      <c r="H330" s="13" t="s">
        <v>438</v>
      </c>
      <c r="I330" s="2" t="s">
        <v>439</v>
      </c>
      <c r="J330" s="3" t="n">
        <v>0</v>
      </c>
      <c r="K330" s="2" t="s">
        <v>440</v>
      </c>
      <c r="L330" s="5" t="n">
        <f aca="false">IF(COUNTIF('04_MAQUINAS'!$A$2:$A$18,E330)&gt;0,1,0)</f>
        <v>1</v>
      </c>
      <c r="M330" s="2" t="s">
        <v>82</v>
      </c>
    </row>
    <row r="331" customFormat="false" ht="15" hidden="false" customHeight="false" outlineLevel="0" collapsed="false">
      <c r="A331" s="2" t="s">
        <v>147</v>
      </c>
      <c r="B331" s="2" t="s">
        <v>118</v>
      </c>
      <c r="C331" s="4" t="n">
        <v>2</v>
      </c>
      <c r="D331" s="2" t="s">
        <v>386</v>
      </c>
      <c r="E331" s="2" t="s">
        <v>413</v>
      </c>
      <c r="F331" s="6" t="n">
        <v>10</v>
      </c>
      <c r="G331" s="9" t="n">
        <v>13.6</v>
      </c>
      <c r="H331" s="13" t="n">
        <v>1</v>
      </c>
      <c r="I331" s="2" t="s">
        <v>439</v>
      </c>
      <c r="J331" s="3" t="n">
        <v>0</v>
      </c>
      <c r="K331" s="2" t="s">
        <v>440</v>
      </c>
      <c r="L331" s="5" t="n">
        <f aca="false">IF(COUNTIF('04_MAQUINAS'!$A$2:$A$18,E331)&gt;0,1,0)</f>
        <v>1</v>
      </c>
      <c r="M331" s="2" t="s">
        <v>82</v>
      </c>
    </row>
    <row r="332" customFormat="false" ht="15" hidden="false" customHeight="false" outlineLevel="0" collapsed="false">
      <c r="A332" s="2" t="s">
        <v>147</v>
      </c>
      <c r="B332" s="2" t="s">
        <v>118</v>
      </c>
      <c r="C332" s="4" t="n">
        <v>3</v>
      </c>
      <c r="D332" s="2" t="s">
        <v>442</v>
      </c>
      <c r="E332" s="2" t="s">
        <v>415</v>
      </c>
      <c r="F332" s="6" t="n">
        <v>10</v>
      </c>
      <c r="G332" s="9" t="n">
        <v>33.6</v>
      </c>
      <c r="H332" s="13" t="n">
        <v>2</v>
      </c>
      <c r="I332" s="2" t="s">
        <v>439</v>
      </c>
      <c r="J332" s="3" t="n">
        <v>0</v>
      </c>
      <c r="K332" s="2" t="s">
        <v>440</v>
      </c>
      <c r="L332" s="5" t="n">
        <f aca="false">IF(COUNTIF('04_MAQUINAS'!$A$2:$A$18,E332)&gt;0,1,0)</f>
        <v>1</v>
      </c>
      <c r="M332" s="2" t="s">
        <v>82</v>
      </c>
    </row>
    <row r="333" customFormat="false" ht="15" hidden="false" customHeight="false" outlineLevel="0" collapsed="false">
      <c r="A333" s="2" t="s">
        <v>147</v>
      </c>
      <c r="B333" s="2" t="s">
        <v>118</v>
      </c>
      <c r="C333" s="4" t="n">
        <v>4</v>
      </c>
      <c r="D333" s="2" t="s">
        <v>445</v>
      </c>
      <c r="E333" s="2" t="s">
        <v>402</v>
      </c>
      <c r="F333" s="6" t="n">
        <v>12</v>
      </c>
      <c r="G333" s="9" t="n">
        <v>6.45</v>
      </c>
      <c r="H333" s="13" t="n">
        <v>3</v>
      </c>
      <c r="I333" s="2" t="s">
        <v>439</v>
      </c>
      <c r="J333" s="3" t="n">
        <v>0</v>
      </c>
      <c r="K333" s="2" t="s">
        <v>446</v>
      </c>
      <c r="L333" s="5" t="n">
        <f aca="false">IF(COUNTIF('04_MAQUINAS'!$A$2:$A$18,E333)&gt;0,1,0)</f>
        <v>1</v>
      </c>
      <c r="M333" s="2" t="s">
        <v>82</v>
      </c>
    </row>
    <row r="334" customFormat="false" ht="15" hidden="false" customHeight="false" outlineLevel="0" collapsed="false">
      <c r="A334" s="2" t="s">
        <v>147</v>
      </c>
      <c r="B334" s="2" t="s">
        <v>118</v>
      </c>
      <c r="C334" s="4" t="n">
        <v>5</v>
      </c>
      <c r="D334" s="2" t="s">
        <v>447</v>
      </c>
      <c r="E334" s="2" t="s">
        <v>421</v>
      </c>
      <c r="F334" s="6" t="n">
        <v>45</v>
      </c>
      <c r="G334" s="9" t="n">
        <v>0</v>
      </c>
      <c r="H334" s="13" t="n">
        <v>4</v>
      </c>
      <c r="I334" s="2" t="s">
        <v>448</v>
      </c>
      <c r="J334" s="3" t="n">
        <v>40</v>
      </c>
      <c r="K334" s="2" t="s">
        <v>446</v>
      </c>
      <c r="L334" s="5" t="n">
        <f aca="false">IF(COUNTIF('04_MAQUINAS'!$A$2:$A$18,E334)&gt;0,1,0)</f>
        <v>1</v>
      </c>
      <c r="M334" s="2" t="s">
        <v>82</v>
      </c>
    </row>
    <row r="335" customFormat="false" ht="15" hidden="false" customHeight="false" outlineLevel="0" collapsed="false">
      <c r="A335" s="2" t="s">
        <v>147</v>
      </c>
      <c r="B335" s="2" t="s">
        <v>118</v>
      </c>
      <c r="C335" s="4" t="n">
        <v>6</v>
      </c>
      <c r="D335" s="2" t="s">
        <v>449</v>
      </c>
      <c r="E335" s="2" t="s">
        <v>423</v>
      </c>
      <c r="F335" s="6" t="n">
        <v>8</v>
      </c>
      <c r="G335" s="9" t="n">
        <v>2.33</v>
      </c>
      <c r="H335" s="13" t="n">
        <v>5</v>
      </c>
      <c r="I335" s="2" t="s">
        <v>439</v>
      </c>
      <c r="J335" s="3" t="n">
        <v>0</v>
      </c>
      <c r="K335" s="2" t="s">
        <v>446</v>
      </c>
      <c r="L335" s="5" t="n">
        <f aca="false">IF(COUNTIF('04_MAQUINAS'!$A$2:$A$18,E335)&gt;0,1,0)</f>
        <v>1</v>
      </c>
      <c r="M335" s="2" t="s">
        <v>82</v>
      </c>
    </row>
    <row r="336" customFormat="false" ht="15" hidden="false" customHeight="false" outlineLevel="0" collapsed="false">
      <c r="A336" s="2" t="s">
        <v>147</v>
      </c>
      <c r="B336" s="2" t="s">
        <v>118</v>
      </c>
      <c r="C336" s="4" t="n">
        <v>7</v>
      </c>
      <c r="D336" s="2" t="s">
        <v>450</v>
      </c>
      <c r="E336" s="2" t="s">
        <v>406</v>
      </c>
      <c r="F336" s="6" t="n">
        <v>6</v>
      </c>
      <c r="G336" s="9" t="n">
        <v>108.75</v>
      </c>
      <c r="H336" s="13" t="n">
        <v>6</v>
      </c>
      <c r="I336" s="2" t="s">
        <v>439</v>
      </c>
      <c r="J336" s="3" t="n">
        <v>0</v>
      </c>
      <c r="K336" s="2" t="s">
        <v>440</v>
      </c>
      <c r="L336" s="5" t="n">
        <f aca="false">IF(COUNTIF('04_MAQUINAS'!$A$2:$A$18,E336)&gt;0,1,0)</f>
        <v>1</v>
      </c>
      <c r="M336" s="2" t="s">
        <v>82</v>
      </c>
    </row>
    <row r="337" customFormat="false" ht="15" hidden="false" customHeight="false" outlineLevel="0" collapsed="false">
      <c r="A337" s="2" t="s">
        <v>147</v>
      </c>
      <c r="B337" s="2" t="s">
        <v>118</v>
      </c>
      <c r="C337" s="4" t="n">
        <v>8</v>
      </c>
      <c r="D337" s="2" t="s">
        <v>453</v>
      </c>
      <c r="E337" s="2" t="s">
        <v>406</v>
      </c>
      <c r="F337" s="6" t="n">
        <v>0</v>
      </c>
      <c r="G337" s="9" t="n">
        <v>4</v>
      </c>
      <c r="H337" s="13" t="n">
        <v>7</v>
      </c>
      <c r="I337" s="2" t="s">
        <v>439</v>
      </c>
      <c r="J337" s="3" t="n">
        <v>0</v>
      </c>
      <c r="K337" s="2" t="s">
        <v>446</v>
      </c>
      <c r="L337" s="5" t="n">
        <f aca="false">IF(COUNTIF('04_MAQUINAS'!$A$2:$A$18,E337)&gt;0,1,0)</f>
        <v>1</v>
      </c>
      <c r="M337" s="2" t="s">
        <v>82</v>
      </c>
    </row>
    <row r="338" customFormat="false" ht="15" hidden="false" customHeight="false" outlineLevel="0" collapsed="false">
      <c r="A338" s="2" t="s">
        <v>148</v>
      </c>
      <c r="B338" s="2" t="s">
        <v>118</v>
      </c>
      <c r="C338" s="4" t="n">
        <v>1</v>
      </c>
      <c r="D338" s="2" t="s">
        <v>450</v>
      </c>
      <c r="E338" s="2" t="s">
        <v>406</v>
      </c>
      <c r="F338" s="6" t="n">
        <v>6</v>
      </c>
      <c r="G338" s="9" t="n">
        <v>48.75</v>
      </c>
      <c r="H338" s="13" t="s">
        <v>438</v>
      </c>
      <c r="I338" s="2" t="s">
        <v>439</v>
      </c>
      <c r="J338" s="3" t="n">
        <v>0</v>
      </c>
      <c r="K338" s="2" t="s">
        <v>440</v>
      </c>
      <c r="L338" s="5" t="n">
        <f aca="false">IF(COUNTIF('04_MAQUINAS'!$A$2:$A$18,E338)&gt;0,1,0)</f>
        <v>1</v>
      </c>
      <c r="M338" s="2" t="s">
        <v>82</v>
      </c>
    </row>
    <row r="339" customFormat="false" ht="15" hidden="false" customHeight="false" outlineLevel="0" collapsed="false">
      <c r="A339" s="2" t="s">
        <v>148</v>
      </c>
      <c r="B339" s="2" t="s">
        <v>118</v>
      </c>
      <c r="C339" s="4" t="n">
        <v>2</v>
      </c>
      <c r="D339" s="2" t="s">
        <v>453</v>
      </c>
      <c r="E339" s="2" t="s">
        <v>406</v>
      </c>
      <c r="F339" s="6" t="n">
        <v>0</v>
      </c>
      <c r="G339" s="9" t="n">
        <v>4</v>
      </c>
      <c r="H339" s="13" t="n">
        <v>1</v>
      </c>
      <c r="I339" s="2" t="s">
        <v>439</v>
      </c>
      <c r="J339" s="3" t="n">
        <v>0</v>
      </c>
      <c r="K339" s="2" t="s">
        <v>446</v>
      </c>
      <c r="L339" s="5" t="n">
        <f aca="false">IF(COUNTIF('04_MAQUINAS'!$A$2:$A$18,E339)&gt;0,1,0)</f>
        <v>1</v>
      </c>
      <c r="M339" s="2" t="s">
        <v>82</v>
      </c>
    </row>
    <row r="340" customFormat="false" ht="15" hidden="false" customHeight="false" outlineLevel="0" collapsed="false">
      <c r="A340" s="2" t="s">
        <v>149</v>
      </c>
      <c r="B340" s="2" t="s">
        <v>118</v>
      </c>
      <c r="C340" s="4" t="n">
        <v>1</v>
      </c>
      <c r="D340" s="2" t="s">
        <v>441</v>
      </c>
      <c r="E340" s="2" t="s">
        <v>380</v>
      </c>
      <c r="F340" s="6" t="n">
        <v>8</v>
      </c>
      <c r="G340" s="9" t="n">
        <v>22.3</v>
      </c>
      <c r="H340" s="13" t="s">
        <v>438</v>
      </c>
      <c r="I340" s="2" t="s">
        <v>439</v>
      </c>
      <c r="J340" s="3" t="n">
        <v>0</v>
      </c>
      <c r="K340" s="2" t="s">
        <v>440</v>
      </c>
      <c r="L340" s="5" t="n">
        <f aca="false">IF(COUNTIF('04_MAQUINAS'!$A$2:$A$18,E340)&gt;0,1,0)</f>
        <v>1</v>
      </c>
      <c r="M340" s="2" t="s">
        <v>82</v>
      </c>
    </row>
    <row r="341" customFormat="false" ht="15" hidden="false" customHeight="false" outlineLevel="0" collapsed="false">
      <c r="A341" s="2" t="s">
        <v>149</v>
      </c>
      <c r="B341" s="2" t="s">
        <v>118</v>
      </c>
      <c r="C341" s="4" t="n">
        <v>2</v>
      </c>
      <c r="D341" s="2" t="s">
        <v>386</v>
      </c>
      <c r="E341" s="2" t="s">
        <v>413</v>
      </c>
      <c r="F341" s="6" t="n">
        <v>10</v>
      </c>
      <c r="G341" s="9" t="n">
        <v>13.6</v>
      </c>
      <c r="H341" s="13" t="n">
        <v>1</v>
      </c>
      <c r="I341" s="2" t="s">
        <v>439</v>
      </c>
      <c r="J341" s="3" t="n">
        <v>0</v>
      </c>
      <c r="K341" s="2" t="s">
        <v>440</v>
      </c>
      <c r="L341" s="5" t="n">
        <f aca="false">IF(COUNTIF('04_MAQUINAS'!$A$2:$A$18,E341)&gt;0,1,0)</f>
        <v>1</v>
      </c>
      <c r="M341" s="2" t="s">
        <v>82</v>
      </c>
    </row>
    <row r="342" customFormat="false" ht="15" hidden="false" customHeight="false" outlineLevel="0" collapsed="false">
      <c r="A342" s="2" t="s">
        <v>149</v>
      </c>
      <c r="B342" s="2" t="s">
        <v>118</v>
      </c>
      <c r="C342" s="4" t="n">
        <v>3</v>
      </c>
      <c r="D342" s="2" t="s">
        <v>442</v>
      </c>
      <c r="E342" s="2" t="s">
        <v>415</v>
      </c>
      <c r="F342" s="6" t="n">
        <v>10</v>
      </c>
      <c r="G342" s="9" t="n">
        <v>33.6</v>
      </c>
      <c r="H342" s="13" t="n">
        <v>2</v>
      </c>
      <c r="I342" s="2" t="s">
        <v>439</v>
      </c>
      <c r="J342" s="3" t="n">
        <v>0</v>
      </c>
      <c r="K342" s="2" t="s">
        <v>440</v>
      </c>
      <c r="L342" s="5" t="n">
        <f aca="false">IF(COUNTIF('04_MAQUINAS'!$A$2:$A$18,E342)&gt;0,1,0)</f>
        <v>1</v>
      </c>
      <c r="M342" s="2" t="s">
        <v>82</v>
      </c>
    </row>
    <row r="343" customFormat="false" ht="15" hidden="false" customHeight="false" outlineLevel="0" collapsed="false">
      <c r="A343" s="2" t="s">
        <v>149</v>
      </c>
      <c r="B343" s="2" t="s">
        <v>118</v>
      </c>
      <c r="C343" s="4" t="n">
        <v>4</v>
      </c>
      <c r="D343" s="2" t="s">
        <v>445</v>
      </c>
      <c r="E343" s="2" t="s">
        <v>402</v>
      </c>
      <c r="F343" s="6" t="n">
        <v>12</v>
      </c>
      <c r="G343" s="9" t="n">
        <v>9.33</v>
      </c>
      <c r="H343" s="13" t="n">
        <v>3</v>
      </c>
      <c r="I343" s="2" t="s">
        <v>439</v>
      </c>
      <c r="J343" s="3" t="n">
        <v>0</v>
      </c>
      <c r="K343" s="2" t="s">
        <v>446</v>
      </c>
      <c r="L343" s="5" t="n">
        <f aca="false">IF(COUNTIF('04_MAQUINAS'!$A$2:$A$18,E343)&gt;0,1,0)</f>
        <v>1</v>
      </c>
      <c r="M343" s="2" t="s">
        <v>82</v>
      </c>
    </row>
    <row r="344" customFormat="false" ht="15" hidden="false" customHeight="false" outlineLevel="0" collapsed="false">
      <c r="A344" s="2" t="s">
        <v>149</v>
      </c>
      <c r="B344" s="2" t="s">
        <v>118</v>
      </c>
      <c r="C344" s="4" t="n">
        <v>5</v>
      </c>
      <c r="D344" s="2" t="s">
        <v>447</v>
      </c>
      <c r="E344" s="2" t="s">
        <v>421</v>
      </c>
      <c r="F344" s="6" t="n">
        <v>45</v>
      </c>
      <c r="G344" s="9" t="n">
        <v>0</v>
      </c>
      <c r="H344" s="13" t="n">
        <v>4</v>
      </c>
      <c r="I344" s="2" t="s">
        <v>448</v>
      </c>
      <c r="J344" s="3" t="n">
        <v>40</v>
      </c>
      <c r="K344" s="2" t="s">
        <v>446</v>
      </c>
      <c r="L344" s="5" t="n">
        <f aca="false">IF(COUNTIF('04_MAQUINAS'!$A$2:$A$18,E344)&gt;0,1,0)</f>
        <v>1</v>
      </c>
      <c r="M344" s="2" t="s">
        <v>82</v>
      </c>
    </row>
    <row r="345" customFormat="false" ht="15" hidden="false" customHeight="false" outlineLevel="0" collapsed="false">
      <c r="A345" s="2" t="s">
        <v>149</v>
      </c>
      <c r="B345" s="2" t="s">
        <v>118</v>
      </c>
      <c r="C345" s="4" t="n">
        <v>6</v>
      </c>
      <c r="D345" s="2" t="s">
        <v>449</v>
      </c>
      <c r="E345" s="2" t="s">
        <v>423</v>
      </c>
      <c r="F345" s="6" t="n">
        <v>8</v>
      </c>
      <c r="G345" s="9" t="n">
        <v>2.99</v>
      </c>
      <c r="H345" s="13" t="n">
        <v>5</v>
      </c>
      <c r="I345" s="2" t="s">
        <v>439</v>
      </c>
      <c r="J345" s="3" t="n">
        <v>0</v>
      </c>
      <c r="K345" s="2" t="s">
        <v>446</v>
      </c>
      <c r="L345" s="5" t="n">
        <f aca="false">IF(COUNTIF('04_MAQUINAS'!$A$2:$A$18,E345)&gt;0,1,0)</f>
        <v>1</v>
      </c>
      <c r="M345" s="2" t="s">
        <v>82</v>
      </c>
    </row>
    <row r="346" customFormat="false" ht="15" hidden="false" customHeight="false" outlineLevel="0" collapsed="false">
      <c r="A346" s="2" t="s">
        <v>149</v>
      </c>
      <c r="B346" s="2" t="s">
        <v>118</v>
      </c>
      <c r="C346" s="4" t="n">
        <v>7</v>
      </c>
      <c r="D346" s="2" t="s">
        <v>450</v>
      </c>
      <c r="E346" s="2" t="s">
        <v>406</v>
      </c>
      <c r="F346" s="6" t="n">
        <v>6</v>
      </c>
      <c r="G346" s="9" t="n">
        <v>111</v>
      </c>
      <c r="H346" s="13" t="n">
        <v>6</v>
      </c>
      <c r="I346" s="2" t="s">
        <v>439</v>
      </c>
      <c r="J346" s="3" t="n">
        <v>0</v>
      </c>
      <c r="K346" s="2" t="s">
        <v>440</v>
      </c>
      <c r="L346" s="5" t="n">
        <f aca="false">IF(COUNTIF('04_MAQUINAS'!$A$2:$A$18,E346)&gt;0,1,0)</f>
        <v>1</v>
      </c>
      <c r="M346" s="2" t="s">
        <v>82</v>
      </c>
    </row>
    <row r="347" customFormat="false" ht="15" hidden="false" customHeight="false" outlineLevel="0" collapsed="false">
      <c r="A347" s="2" t="s">
        <v>149</v>
      </c>
      <c r="B347" s="2" t="s">
        <v>118</v>
      </c>
      <c r="C347" s="4" t="n">
        <v>8</v>
      </c>
      <c r="D347" s="2" t="s">
        <v>453</v>
      </c>
      <c r="E347" s="2" t="s">
        <v>406</v>
      </c>
      <c r="F347" s="6" t="n">
        <v>0</v>
      </c>
      <c r="G347" s="9" t="n">
        <v>4</v>
      </c>
      <c r="H347" s="13" t="n">
        <v>7</v>
      </c>
      <c r="I347" s="2" t="s">
        <v>439</v>
      </c>
      <c r="J347" s="3" t="n">
        <v>0</v>
      </c>
      <c r="K347" s="2" t="s">
        <v>446</v>
      </c>
      <c r="L347" s="5" t="n">
        <f aca="false">IF(COUNTIF('04_MAQUINAS'!$A$2:$A$18,E347)&gt;0,1,0)</f>
        <v>1</v>
      </c>
      <c r="M347" s="2" t="s">
        <v>82</v>
      </c>
    </row>
    <row r="348" customFormat="false" ht="15" hidden="false" customHeight="false" outlineLevel="0" collapsed="false">
      <c r="A348" s="2" t="s">
        <v>151</v>
      </c>
      <c r="B348" s="2" t="s">
        <v>118</v>
      </c>
      <c r="C348" s="4" t="n">
        <v>1</v>
      </c>
      <c r="D348" s="2" t="s">
        <v>441</v>
      </c>
      <c r="E348" s="2" t="s">
        <v>380</v>
      </c>
      <c r="F348" s="6" t="n">
        <v>8</v>
      </c>
      <c r="G348" s="9" t="n">
        <v>19.23568</v>
      </c>
      <c r="H348" s="13" t="s">
        <v>438</v>
      </c>
      <c r="I348" s="2" t="s">
        <v>439</v>
      </c>
      <c r="J348" s="3" t="n">
        <v>0</v>
      </c>
      <c r="K348" s="2" t="s">
        <v>440</v>
      </c>
      <c r="L348" s="5" t="n">
        <f aca="false">IF(COUNTIF('04_MAQUINAS'!$A$2:$A$18,E348)&gt;0,1,0)</f>
        <v>1</v>
      </c>
      <c r="M348" s="2" t="s">
        <v>82</v>
      </c>
    </row>
    <row r="349" customFormat="false" ht="15" hidden="false" customHeight="false" outlineLevel="0" collapsed="false">
      <c r="A349" s="2" t="s">
        <v>151</v>
      </c>
      <c r="B349" s="2" t="s">
        <v>118</v>
      </c>
      <c r="C349" s="4" t="n">
        <v>2</v>
      </c>
      <c r="D349" s="2" t="s">
        <v>386</v>
      </c>
      <c r="E349" s="2" t="s">
        <v>413</v>
      </c>
      <c r="F349" s="6" t="n">
        <v>10</v>
      </c>
      <c r="G349" s="9" t="n">
        <v>13.6</v>
      </c>
      <c r="H349" s="13" t="n">
        <v>1</v>
      </c>
      <c r="I349" s="2" t="s">
        <v>439</v>
      </c>
      <c r="J349" s="3" t="n">
        <v>0</v>
      </c>
      <c r="K349" s="2" t="s">
        <v>440</v>
      </c>
      <c r="L349" s="5" t="n">
        <f aca="false">IF(COUNTIF('04_MAQUINAS'!$A$2:$A$18,E349)&gt;0,1,0)</f>
        <v>1</v>
      </c>
      <c r="M349" s="2" t="s">
        <v>82</v>
      </c>
    </row>
    <row r="350" customFormat="false" ht="15" hidden="false" customHeight="false" outlineLevel="0" collapsed="false">
      <c r="A350" s="2" t="s">
        <v>151</v>
      </c>
      <c r="B350" s="2" t="s">
        <v>118</v>
      </c>
      <c r="C350" s="4" t="n">
        <v>3</v>
      </c>
      <c r="D350" s="2" t="s">
        <v>442</v>
      </c>
      <c r="E350" s="2" t="s">
        <v>415</v>
      </c>
      <c r="F350" s="6" t="n">
        <v>10</v>
      </c>
      <c r="G350" s="9" t="n">
        <v>33.6</v>
      </c>
      <c r="H350" s="13" t="n">
        <v>2</v>
      </c>
      <c r="I350" s="2" t="s">
        <v>439</v>
      </c>
      <c r="J350" s="3" t="n">
        <v>0</v>
      </c>
      <c r="K350" s="2" t="s">
        <v>440</v>
      </c>
      <c r="L350" s="5" t="n">
        <f aca="false">IF(COUNTIF('04_MAQUINAS'!$A$2:$A$18,E350)&gt;0,1,0)</f>
        <v>1</v>
      </c>
      <c r="M350" s="2" t="s">
        <v>82</v>
      </c>
    </row>
    <row r="351" customFormat="false" ht="15" hidden="false" customHeight="false" outlineLevel="0" collapsed="false">
      <c r="A351" s="2" t="s">
        <v>151</v>
      </c>
      <c r="B351" s="2" t="s">
        <v>118</v>
      </c>
      <c r="C351" s="4" t="n">
        <v>4</v>
      </c>
      <c r="D351" s="2" t="s">
        <v>445</v>
      </c>
      <c r="E351" s="2" t="s">
        <v>402</v>
      </c>
      <c r="F351" s="6" t="n">
        <v>12</v>
      </c>
      <c r="G351" s="9" t="n">
        <v>6.45</v>
      </c>
      <c r="H351" s="13" t="n">
        <v>3</v>
      </c>
      <c r="I351" s="2" t="s">
        <v>439</v>
      </c>
      <c r="J351" s="3" t="n">
        <v>0</v>
      </c>
      <c r="K351" s="2" t="s">
        <v>446</v>
      </c>
      <c r="L351" s="5" t="n">
        <f aca="false">IF(COUNTIF('04_MAQUINAS'!$A$2:$A$18,E351)&gt;0,1,0)</f>
        <v>1</v>
      </c>
      <c r="M351" s="2" t="s">
        <v>82</v>
      </c>
    </row>
    <row r="352" customFormat="false" ht="15" hidden="false" customHeight="false" outlineLevel="0" collapsed="false">
      <c r="A352" s="2" t="s">
        <v>151</v>
      </c>
      <c r="B352" s="2" t="s">
        <v>118</v>
      </c>
      <c r="C352" s="4" t="n">
        <v>5</v>
      </c>
      <c r="D352" s="2" t="s">
        <v>447</v>
      </c>
      <c r="E352" s="2" t="s">
        <v>421</v>
      </c>
      <c r="F352" s="6" t="n">
        <v>45</v>
      </c>
      <c r="G352" s="9" t="n">
        <v>0</v>
      </c>
      <c r="H352" s="13" t="n">
        <v>4</v>
      </c>
      <c r="I352" s="2" t="s">
        <v>448</v>
      </c>
      <c r="J352" s="3" t="n">
        <v>40</v>
      </c>
      <c r="K352" s="2" t="s">
        <v>446</v>
      </c>
      <c r="L352" s="5" t="n">
        <f aca="false">IF(COUNTIF('04_MAQUINAS'!$A$2:$A$18,E352)&gt;0,1,0)</f>
        <v>1</v>
      </c>
      <c r="M352" s="2" t="s">
        <v>82</v>
      </c>
    </row>
    <row r="353" customFormat="false" ht="15" hidden="false" customHeight="false" outlineLevel="0" collapsed="false">
      <c r="A353" s="2" t="s">
        <v>151</v>
      </c>
      <c r="B353" s="2" t="s">
        <v>118</v>
      </c>
      <c r="C353" s="4" t="n">
        <v>6</v>
      </c>
      <c r="D353" s="2" t="s">
        <v>449</v>
      </c>
      <c r="E353" s="2" t="s">
        <v>423</v>
      </c>
      <c r="F353" s="6" t="n">
        <v>8</v>
      </c>
      <c r="G353" s="9" t="n">
        <v>2.33</v>
      </c>
      <c r="H353" s="13" t="n">
        <v>5</v>
      </c>
      <c r="I353" s="2" t="s">
        <v>439</v>
      </c>
      <c r="J353" s="3" t="n">
        <v>0</v>
      </c>
      <c r="K353" s="2" t="s">
        <v>446</v>
      </c>
      <c r="L353" s="5" t="n">
        <f aca="false">IF(COUNTIF('04_MAQUINAS'!$A$2:$A$18,E353)&gt;0,1,0)</f>
        <v>1</v>
      </c>
      <c r="M353" s="2" t="s">
        <v>82</v>
      </c>
    </row>
    <row r="354" customFormat="false" ht="15" hidden="false" customHeight="false" outlineLevel="0" collapsed="false">
      <c r="A354" s="2" t="s">
        <v>151</v>
      </c>
      <c r="B354" s="2" t="s">
        <v>118</v>
      </c>
      <c r="C354" s="4" t="n">
        <v>7</v>
      </c>
      <c r="D354" s="2" t="s">
        <v>450</v>
      </c>
      <c r="E354" s="2" t="s">
        <v>406</v>
      </c>
      <c r="F354" s="6" t="n">
        <v>6</v>
      </c>
      <c r="G354" s="9" t="n">
        <v>108.75</v>
      </c>
      <c r="H354" s="13" t="n">
        <v>6</v>
      </c>
      <c r="I354" s="2" t="s">
        <v>439</v>
      </c>
      <c r="J354" s="3" t="n">
        <v>0</v>
      </c>
      <c r="K354" s="2" t="s">
        <v>440</v>
      </c>
      <c r="L354" s="5" t="n">
        <f aca="false">IF(COUNTIF('04_MAQUINAS'!$A$2:$A$18,E354)&gt;0,1,0)</f>
        <v>1</v>
      </c>
      <c r="M354" s="2" t="s">
        <v>82</v>
      </c>
    </row>
    <row r="355" customFormat="false" ht="15" hidden="false" customHeight="false" outlineLevel="0" collapsed="false">
      <c r="A355" s="2" t="s">
        <v>151</v>
      </c>
      <c r="B355" s="2" t="s">
        <v>118</v>
      </c>
      <c r="C355" s="4" t="n">
        <v>8</v>
      </c>
      <c r="D355" s="2" t="s">
        <v>453</v>
      </c>
      <c r="E355" s="2" t="s">
        <v>406</v>
      </c>
      <c r="F355" s="6" t="n">
        <v>0</v>
      </c>
      <c r="G355" s="9" t="n">
        <v>4</v>
      </c>
      <c r="H355" s="13" t="n">
        <v>7</v>
      </c>
      <c r="I355" s="2" t="s">
        <v>439</v>
      </c>
      <c r="J355" s="3" t="n">
        <v>0</v>
      </c>
      <c r="K355" s="2" t="s">
        <v>446</v>
      </c>
      <c r="L355" s="5" t="n">
        <f aca="false">IF(COUNTIF('04_MAQUINAS'!$A$2:$A$18,E355)&gt;0,1,0)</f>
        <v>1</v>
      </c>
      <c r="M355" s="2" t="s">
        <v>82</v>
      </c>
    </row>
    <row r="356" customFormat="false" ht="15" hidden="false" customHeight="false" outlineLevel="0" collapsed="false">
      <c r="A356" s="2" t="s">
        <v>153</v>
      </c>
      <c r="B356" s="2" t="s">
        <v>118</v>
      </c>
      <c r="C356" s="4" t="n">
        <v>1</v>
      </c>
      <c r="D356" s="2" t="s">
        <v>441</v>
      </c>
      <c r="E356" s="2" t="s">
        <v>380</v>
      </c>
      <c r="F356" s="6" t="n">
        <v>8</v>
      </c>
      <c r="G356" s="9" t="n">
        <v>18.91024</v>
      </c>
      <c r="H356" s="13" t="s">
        <v>438</v>
      </c>
      <c r="I356" s="2" t="s">
        <v>439</v>
      </c>
      <c r="J356" s="3" t="n">
        <v>0</v>
      </c>
      <c r="K356" s="2" t="s">
        <v>440</v>
      </c>
      <c r="L356" s="5" t="n">
        <f aca="false">IF(COUNTIF('04_MAQUINAS'!$A$2:$A$18,E356)&gt;0,1,0)</f>
        <v>1</v>
      </c>
      <c r="M356" s="2" t="s">
        <v>82</v>
      </c>
    </row>
    <row r="357" customFormat="false" ht="15" hidden="false" customHeight="false" outlineLevel="0" collapsed="false">
      <c r="A357" s="2" t="s">
        <v>153</v>
      </c>
      <c r="B357" s="2" t="s">
        <v>118</v>
      </c>
      <c r="C357" s="4" t="n">
        <v>2</v>
      </c>
      <c r="D357" s="2" t="s">
        <v>386</v>
      </c>
      <c r="E357" s="2" t="s">
        <v>413</v>
      </c>
      <c r="F357" s="6" t="n">
        <v>10</v>
      </c>
      <c r="G357" s="9" t="n">
        <v>13.6</v>
      </c>
      <c r="H357" s="13" t="n">
        <v>1</v>
      </c>
      <c r="I357" s="2" t="s">
        <v>439</v>
      </c>
      <c r="J357" s="3" t="n">
        <v>0</v>
      </c>
      <c r="K357" s="2" t="s">
        <v>440</v>
      </c>
      <c r="L357" s="5" t="n">
        <f aca="false">IF(COUNTIF('04_MAQUINAS'!$A$2:$A$18,E357)&gt;0,1,0)</f>
        <v>1</v>
      </c>
      <c r="M357" s="2" t="s">
        <v>82</v>
      </c>
    </row>
    <row r="358" customFormat="false" ht="15" hidden="false" customHeight="false" outlineLevel="0" collapsed="false">
      <c r="A358" s="2" t="s">
        <v>153</v>
      </c>
      <c r="B358" s="2" t="s">
        <v>118</v>
      </c>
      <c r="C358" s="4" t="n">
        <v>3</v>
      </c>
      <c r="D358" s="2" t="s">
        <v>442</v>
      </c>
      <c r="E358" s="2" t="s">
        <v>415</v>
      </c>
      <c r="F358" s="6" t="n">
        <v>10</v>
      </c>
      <c r="G358" s="9" t="n">
        <v>33.6</v>
      </c>
      <c r="H358" s="13" t="n">
        <v>2</v>
      </c>
      <c r="I358" s="2" t="s">
        <v>439</v>
      </c>
      <c r="J358" s="3" t="n">
        <v>0</v>
      </c>
      <c r="K358" s="2" t="s">
        <v>440</v>
      </c>
      <c r="L358" s="5" t="n">
        <f aca="false">IF(COUNTIF('04_MAQUINAS'!$A$2:$A$18,E358)&gt;0,1,0)</f>
        <v>1</v>
      </c>
      <c r="M358" s="2" t="s">
        <v>82</v>
      </c>
    </row>
    <row r="359" customFormat="false" ht="15" hidden="false" customHeight="false" outlineLevel="0" collapsed="false">
      <c r="A359" s="2" t="s">
        <v>153</v>
      </c>
      <c r="B359" s="2" t="s">
        <v>118</v>
      </c>
      <c r="C359" s="4" t="n">
        <v>4</v>
      </c>
      <c r="D359" s="2" t="s">
        <v>445</v>
      </c>
      <c r="E359" s="2" t="s">
        <v>402</v>
      </c>
      <c r="F359" s="6" t="n">
        <v>12</v>
      </c>
      <c r="G359" s="9" t="n">
        <v>6.45</v>
      </c>
      <c r="H359" s="13" t="n">
        <v>3</v>
      </c>
      <c r="I359" s="2" t="s">
        <v>439</v>
      </c>
      <c r="J359" s="3" t="n">
        <v>0</v>
      </c>
      <c r="K359" s="2" t="s">
        <v>446</v>
      </c>
      <c r="L359" s="5" t="n">
        <f aca="false">IF(COUNTIF('04_MAQUINAS'!$A$2:$A$18,E359)&gt;0,1,0)</f>
        <v>1</v>
      </c>
      <c r="M359" s="2" t="s">
        <v>82</v>
      </c>
    </row>
    <row r="360" customFormat="false" ht="15" hidden="false" customHeight="false" outlineLevel="0" collapsed="false">
      <c r="A360" s="2" t="s">
        <v>153</v>
      </c>
      <c r="B360" s="2" t="s">
        <v>118</v>
      </c>
      <c r="C360" s="4" t="n">
        <v>5</v>
      </c>
      <c r="D360" s="2" t="s">
        <v>447</v>
      </c>
      <c r="E360" s="2" t="s">
        <v>421</v>
      </c>
      <c r="F360" s="6" t="n">
        <v>45</v>
      </c>
      <c r="G360" s="9" t="n">
        <v>0</v>
      </c>
      <c r="H360" s="13" t="n">
        <v>4</v>
      </c>
      <c r="I360" s="2" t="s">
        <v>448</v>
      </c>
      <c r="J360" s="3" t="n">
        <v>40</v>
      </c>
      <c r="K360" s="2" t="s">
        <v>446</v>
      </c>
      <c r="L360" s="5" t="n">
        <f aca="false">IF(COUNTIF('04_MAQUINAS'!$A$2:$A$18,E360)&gt;0,1,0)</f>
        <v>1</v>
      </c>
      <c r="M360" s="2" t="s">
        <v>82</v>
      </c>
    </row>
    <row r="361" customFormat="false" ht="15" hidden="false" customHeight="false" outlineLevel="0" collapsed="false">
      <c r="A361" s="2" t="s">
        <v>153</v>
      </c>
      <c r="B361" s="2" t="s">
        <v>118</v>
      </c>
      <c r="C361" s="4" t="n">
        <v>6</v>
      </c>
      <c r="D361" s="2" t="s">
        <v>449</v>
      </c>
      <c r="E361" s="2" t="s">
        <v>423</v>
      </c>
      <c r="F361" s="6" t="n">
        <v>8</v>
      </c>
      <c r="G361" s="9" t="n">
        <v>2.33</v>
      </c>
      <c r="H361" s="13" t="n">
        <v>5</v>
      </c>
      <c r="I361" s="2" t="s">
        <v>439</v>
      </c>
      <c r="J361" s="3" t="n">
        <v>0</v>
      </c>
      <c r="K361" s="2" t="s">
        <v>446</v>
      </c>
      <c r="L361" s="5" t="n">
        <f aca="false">IF(COUNTIF('04_MAQUINAS'!$A$2:$A$18,E361)&gt;0,1,0)</f>
        <v>1</v>
      </c>
      <c r="M361" s="2" t="s">
        <v>82</v>
      </c>
    </row>
    <row r="362" customFormat="false" ht="15" hidden="false" customHeight="false" outlineLevel="0" collapsed="false">
      <c r="A362" s="2" t="s">
        <v>153</v>
      </c>
      <c r="B362" s="2" t="s">
        <v>118</v>
      </c>
      <c r="C362" s="4" t="n">
        <v>7</v>
      </c>
      <c r="D362" s="2" t="s">
        <v>450</v>
      </c>
      <c r="E362" s="2" t="s">
        <v>406</v>
      </c>
      <c r="F362" s="6" t="n">
        <v>6</v>
      </c>
      <c r="G362" s="9" t="n">
        <v>108.75</v>
      </c>
      <c r="H362" s="13" t="n">
        <v>6</v>
      </c>
      <c r="I362" s="2" t="s">
        <v>439</v>
      </c>
      <c r="J362" s="3" t="n">
        <v>0</v>
      </c>
      <c r="K362" s="2" t="s">
        <v>440</v>
      </c>
      <c r="L362" s="5" t="n">
        <f aca="false">IF(COUNTIF('04_MAQUINAS'!$A$2:$A$18,E362)&gt;0,1,0)</f>
        <v>1</v>
      </c>
      <c r="M362" s="2" t="s">
        <v>82</v>
      </c>
    </row>
    <row r="363" customFormat="false" ht="15" hidden="false" customHeight="false" outlineLevel="0" collapsed="false">
      <c r="A363" s="2" t="s">
        <v>153</v>
      </c>
      <c r="B363" s="2" t="s">
        <v>118</v>
      </c>
      <c r="C363" s="4" t="n">
        <v>8</v>
      </c>
      <c r="D363" s="2" t="s">
        <v>453</v>
      </c>
      <c r="E363" s="2" t="s">
        <v>406</v>
      </c>
      <c r="F363" s="6" t="n">
        <v>0</v>
      </c>
      <c r="G363" s="9" t="n">
        <v>4</v>
      </c>
      <c r="H363" s="13" t="n">
        <v>7</v>
      </c>
      <c r="I363" s="2" t="s">
        <v>439</v>
      </c>
      <c r="J363" s="3" t="n">
        <v>0</v>
      </c>
      <c r="K363" s="2" t="s">
        <v>446</v>
      </c>
      <c r="L363" s="5" t="n">
        <f aca="false">IF(COUNTIF('04_MAQUINAS'!$A$2:$A$18,E363)&gt;0,1,0)</f>
        <v>1</v>
      </c>
      <c r="M363" s="2" t="s">
        <v>82</v>
      </c>
    </row>
    <row r="364" customFormat="false" ht="15" hidden="false" customHeight="false" outlineLevel="0" collapsed="false">
      <c r="A364" s="2" t="s">
        <v>154</v>
      </c>
      <c r="B364" s="2" t="s">
        <v>118</v>
      </c>
      <c r="C364" s="4" t="n">
        <v>1</v>
      </c>
      <c r="D364" s="2" t="s">
        <v>441</v>
      </c>
      <c r="E364" s="2" t="s">
        <v>380</v>
      </c>
      <c r="F364" s="6" t="n">
        <v>8</v>
      </c>
      <c r="G364" s="9" t="n">
        <v>19.32208</v>
      </c>
      <c r="H364" s="13" t="s">
        <v>438</v>
      </c>
      <c r="I364" s="2" t="s">
        <v>439</v>
      </c>
      <c r="J364" s="3" t="n">
        <v>0</v>
      </c>
      <c r="K364" s="2" t="s">
        <v>440</v>
      </c>
      <c r="L364" s="5" t="n">
        <f aca="false">IF(COUNTIF('04_MAQUINAS'!$A$2:$A$18,E364)&gt;0,1,0)</f>
        <v>1</v>
      </c>
      <c r="M364" s="2" t="s">
        <v>82</v>
      </c>
    </row>
    <row r="365" customFormat="false" ht="15" hidden="false" customHeight="false" outlineLevel="0" collapsed="false">
      <c r="A365" s="2" t="s">
        <v>154</v>
      </c>
      <c r="B365" s="2" t="s">
        <v>118</v>
      </c>
      <c r="C365" s="4" t="n">
        <v>2</v>
      </c>
      <c r="D365" s="2" t="s">
        <v>386</v>
      </c>
      <c r="E365" s="2" t="s">
        <v>413</v>
      </c>
      <c r="F365" s="6" t="n">
        <v>10</v>
      </c>
      <c r="G365" s="9" t="n">
        <v>13.6</v>
      </c>
      <c r="H365" s="13" t="n">
        <v>1</v>
      </c>
      <c r="I365" s="2" t="s">
        <v>439</v>
      </c>
      <c r="J365" s="3" t="n">
        <v>0</v>
      </c>
      <c r="K365" s="2" t="s">
        <v>440</v>
      </c>
      <c r="L365" s="5" t="n">
        <f aca="false">IF(COUNTIF('04_MAQUINAS'!$A$2:$A$18,E365)&gt;0,1,0)</f>
        <v>1</v>
      </c>
      <c r="M365" s="2" t="s">
        <v>82</v>
      </c>
    </row>
    <row r="366" customFormat="false" ht="15" hidden="false" customHeight="false" outlineLevel="0" collapsed="false">
      <c r="A366" s="2" t="s">
        <v>154</v>
      </c>
      <c r="B366" s="2" t="s">
        <v>118</v>
      </c>
      <c r="C366" s="4" t="n">
        <v>3</v>
      </c>
      <c r="D366" s="2" t="s">
        <v>442</v>
      </c>
      <c r="E366" s="2" t="s">
        <v>415</v>
      </c>
      <c r="F366" s="6" t="n">
        <v>10</v>
      </c>
      <c r="G366" s="9" t="n">
        <v>33.6</v>
      </c>
      <c r="H366" s="13" t="n">
        <v>2</v>
      </c>
      <c r="I366" s="2" t="s">
        <v>439</v>
      </c>
      <c r="J366" s="3" t="n">
        <v>0</v>
      </c>
      <c r="K366" s="2" t="s">
        <v>440</v>
      </c>
      <c r="L366" s="5" t="n">
        <f aca="false">IF(COUNTIF('04_MAQUINAS'!$A$2:$A$18,E366)&gt;0,1,0)</f>
        <v>1</v>
      </c>
      <c r="M366" s="2" t="s">
        <v>82</v>
      </c>
    </row>
    <row r="367" customFormat="false" ht="15" hidden="false" customHeight="false" outlineLevel="0" collapsed="false">
      <c r="A367" s="2" t="s">
        <v>154</v>
      </c>
      <c r="B367" s="2" t="s">
        <v>118</v>
      </c>
      <c r="C367" s="4" t="n">
        <v>4</v>
      </c>
      <c r="D367" s="2" t="s">
        <v>445</v>
      </c>
      <c r="E367" s="2" t="s">
        <v>402</v>
      </c>
      <c r="F367" s="6" t="n">
        <v>12</v>
      </c>
      <c r="G367" s="9" t="n">
        <v>6.58</v>
      </c>
      <c r="H367" s="13" t="n">
        <v>3</v>
      </c>
      <c r="I367" s="2" t="s">
        <v>439</v>
      </c>
      <c r="J367" s="3" t="n">
        <v>0</v>
      </c>
      <c r="K367" s="2" t="s">
        <v>446</v>
      </c>
      <c r="L367" s="5" t="n">
        <f aca="false">IF(COUNTIF('04_MAQUINAS'!$A$2:$A$18,E367)&gt;0,1,0)</f>
        <v>1</v>
      </c>
      <c r="M367" s="2" t="s">
        <v>82</v>
      </c>
    </row>
    <row r="368" customFormat="false" ht="15" hidden="false" customHeight="false" outlineLevel="0" collapsed="false">
      <c r="A368" s="2" t="s">
        <v>154</v>
      </c>
      <c r="B368" s="2" t="s">
        <v>118</v>
      </c>
      <c r="C368" s="4" t="n">
        <v>5</v>
      </c>
      <c r="D368" s="2" t="s">
        <v>447</v>
      </c>
      <c r="E368" s="2" t="s">
        <v>421</v>
      </c>
      <c r="F368" s="6" t="n">
        <v>45</v>
      </c>
      <c r="G368" s="9" t="n">
        <v>0</v>
      </c>
      <c r="H368" s="13" t="n">
        <v>4</v>
      </c>
      <c r="I368" s="2" t="s">
        <v>448</v>
      </c>
      <c r="J368" s="3" t="n">
        <v>40</v>
      </c>
      <c r="K368" s="2" t="s">
        <v>446</v>
      </c>
      <c r="L368" s="5" t="n">
        <f aca="false">IF(COUNTIF('04_MAQUINAS'!$A$2:$A$18,E368)&gt;0,1,0)</f>
        <v>1</v>
      </c>
      <c r="M368" s="2" t="s">
        <v>82</v>
      </c>
    </row>
    <row r="369" customFormat="false" ht="15" hidden="false" customHeight="false" outlineLevel="0" collapsed="false">
      <c r="A369" s="2" t="s">
        <v>154</v>
      </c>
      <c r="B369" s="2" t="s">
        <v>118</v>
      </c>
      <c r="C369" s="4" t="n">
        <v>6</v>
      </c>
      <c r="D369" s="2" t="s">
        <v>449</v>
      </c>
      <c r="E369" s="2" t="s">
        <v>423</v>
      </c>
      <c r="F369" s="6" t="n">
        <v>8</v>
      </c>
      <c r="G369" s="9" t="n">
        <v>2.36</v>
      </c>
      <c r="H369" s="13" t="n">
        <v>5</v>
      </c>
      <c r="I369" s="2" t="s">
        <v>439</v>
      </c>
      <c r="J369" s="3" t="n">
        <v>0</v>
      </c>
      <c r="K369" s="2" t="s">
        <v>446</v>
      </c>
      <c r="L369" s="5" t="n">
        <f aca="false">IF(COUNTIF('04_MAQUINAS'!$A$2:$A$18,E369)&gt;0,1,0)</f>
        <v>1</v>
      </c>
      <c r="M369" s="2" t="s">
        <v>82</v>
      </c>
    </row>
    <row r="370" customFormat="false" ht="15" hidden="false" customHeight="false" outlineLevel="0" collapsed="false">
      <c r="A370" s="2" t="s">
        <v>154</v>
      </c>
      <c r="B370" s="2" t="s">
        <v>118</v>
      </c>
      <c r="C370" s="4" t="n">
        <v>7</v>
      </c>
      <c r="D370" s="2" t="s">
        <v>450</v>
      </c>
      <c r="E370" s="2" t="s">
        <v>406</v>
      </c>
      <c r="F370" s="6" t="n">
        <v>6</v>
      </c>
      <c r="G370" s="9" t="n">
        <v>108.75</v>
      </c>
      <c r="H370" s="13" t="n">
        <v>6</v>
      </c>
      <c r="I370" s="2" t="s">
        <v>439</v>
      </c>
      <c r="J370" s="3" t="n">
        <v>0</v>
      </c>
      <c r="K370" s="2" t="s">
        <v>440</v>
      </c>
      <c r="L370" s="5" t="n">
        <f aca="false">IF(COUNTIF('04_MAQUINAS'!$A$2:$A$18,E370)&gt;0,1,0)</f>
        <v>1</v>
      </c>
      <c r="M370" s="2" t="s">
        <v>82</v>
      </c>
    </row>
    <row r="371" customFormat="false" ht="15" hidden="false" customHeight="false" outlineLevel="0" collapsed="false">
      <c r="A371" s="2" t="s">
        <v>154</v>
      </c>
      <c r="B371" s="2" t="s">
        <v>118</v>
      </c>
      <c r="C371" s="4" t="n">
        <v>8</v>
      </c>
      <c r="D371" s="2" t="s">
        <v>453</v>
      </c>
      <c r="E371" s="2" t="s">
        <v>406</v>
      </c>
      <c r="F371" s="6" t="n">
        <v>0</v>
      </c>
      <c r="G371" s="9" t="n">
        <v>4</v>
      </c>
      <c r="H371" s="13" t="n">
        <v>7</v>
      </c>
      <c r="I371" s="2" t="s">
        <v>439</v>
      </c>
      <c r="J371" s="3" t="n">
        <v>0</v>
      </c>
      <c r="K371" s="2" t="s">
        <v>446</v>
      </c>
      <c r="L371" s="5" t="n">
        <f aca="false">IF(COUNTIF('04_MAQUINAS'!$A$2:$A$18,E371)&gt;0,1,0)</f>
        <v>1</v>
      </c>
      <c r="M371" s="2" t="s">
        <v>82</v>
      </c>
    </row>
    <row r="372" customFormat="false" ht="15" hidden="false" customHeight="false" outlineLevel="0" collapsed="false">
      <c r="A372" s="2" t="s">
        <v>155</v>
      </c>
      <c r="B372" s="2" t="s">
        <v>118</v>
      </c>
      <c r="C372" s="4" t="n">
        <v>1</v>
      </c>
      <c r="D372" s="2" t="s">
        <v>450</v>
      </c>
      <c r="E372" s="2" t="s">
        <v>406</v>
      </c>
      <c r="F372" s="6" t="n">
        <v>6</v>
      </c>
      <c r="G372" s="9" t="n">
        <v>48.75</v>
      </c>
      <c r="H372" s="13" t="s">
        <v>438</v>
      </c>
      <c r="I372" s="2" t="s">
        <v>439</v>
      </c>
      <c r="J372" s="3" t="n">
        <v>0</v>
      </c>
      <c r="K372" s="2" t="s">
        <v>440</v>
      </c>
      <c r="L372" s="5" t="n">
        <f aca="false">IF(COUNTIF('04_MAQUINAS'!$A$2:$A$18,E372)&gt;0,1,0)</f>
        <v>1</v>
      </c>
      <c r="M372" s="2" t="s">
        <v>82</v>
      </c>
    </row>
    <row r="373" customFormat="false" ht="15" hidden="false" customHeight="false" outlineLevel="0" collapsed="false">
      <c r="A373" s="2" t="s">
        <v>155</v>
      </c>
      <c r="B373" s="2" t="s">
        <v>118</v>
      </c>
      <c r="C373" s="4" t="n">
        <v>2</v>
      </c>
      <c r="D373" s="2" t="s">
        <v>453</v>
      </c>
      <c r="E373" s="2" t="s">
        <v>406</v>
      </c>
      <c r="F373" s="6" t="n">
        <v>0</v>
      </c>
      <c r="G373" s="9" t="n">
        <v>4</v>
      </c>
      <c r="H373" s="13" t="n">
        <v>1</v>
      </c>
      <c r="I373" s="2" t="s">
        <v>439</v>
      </c>
      <c r="J373" s="3" t="n">
        <v>0</v>
      </c>
      <c r="K373" s="2" t="s">
        <v>446</v>
      </c>
      <c r="L373" s="5" t="n">
        <f aca="false">IF(COUNTIF('04_MAQUINAS'!$A$2:$A$18,E373)&gt;0,1,0)</f>
        <v>1</v>
      </c>
      <c r="M373" s="2" t="s">
        <v>82</v>
      </c>
    </row>
    <row r="374" customFormat="false" ht="15" hidden="false" customHeight="false" outlineLevel="0" collapsed="false">
      <c r="A374" s="2" t="s">
        <v>156</v>
      </c>
      <c r="B374" s="2" t="s">
        <v>118</v>
      </c>
      <c r="C374" s="4" t="n">
        <v>1</v>
      </c>
      <c r="D374" s="2" t="s">
        <v>450</v>
      </c>
      <c r="E374" s="2" t="s">
        <v>406</v>
      </c>
      <c r="F374" s="6" t="n">
        <v>6</v>
      </c>
      <c r="G374" s="9" t="n">
        <v>48.75</v>
      </c>
      <c r="H374" s="13" t="s">
        <v>438</v>
      </c>
      <c r="I374" s="2" t="s">
        <v>439</v>
      </c>
      <c r="J374" s="3" t="n">
        <v>0</v>
      </c>
      <c r="K374" s="2" t="s">
        <v>440</v>
      </c>
      <c r="L374" s="5" t="n">
        <f aca="false">IF(COUNTIF('04_MAQUINAS'!$A$2:$A$18,E374)&gt;0,1,0)</f>
        <v>1</v>
      </c>
      <c r="M374" s="2" t="s">
        <v>82</v>
      </c>
    </row>
    <row r="375" customFormat="false" ht="15" hidden="false" customHeight="false" outlineLevel="0" collapsed="false">
      <c r="A375" s="2" t="s">
        <v>156</v>
      </c>
      <c r="B375" s="2" t="s">
        <v>118</v>
      </c>
      <c r="C375" s="4" t="n">
        <v>2</v>
      </c>
      <c r="D375" s="2" t="s">
        <v>453</v>
      </c>
      <c r="E375" s="2" t="s">
        <v>406</v>
      </c>
      <c r="F375" s="6" t="n">
        <v>0</v>
      </c>
      <c r="G375" s="9" t="n">
        <v>4</v>
      </c>
      <c r="H375" s="13" t="n">
        <v>1</v>
      </c>
      <c r="I375" s="2" t="s">
        <v>439</v>
      </c>
      <c r="J375" s="3" t="n">
        <v>0</v>
      </c>
      <c r="K375" s="2" t="s">
        <v>446</v>
      </c>
      <c r="L375" s="5" t="n">
        <f aca="false">IF(COUNTIF('04_MAQUINAS'!$A$2:$A$18,E375)&gt;0,1,0)</f>
        <v>1</v>
      </c>
      <c r="M375" s="2" t="s">
        <v>82</v>
      </c>
    </row>
    <row r="376" customFormat="false" ht="15" hidden="false" customHeight="false" outlineLevel="0" collapsed="false">
      <c r="A376" s="2" t="s">
        <v>157</v>
      </c>
      <c r="B376" s="2" t="s">
        <v>118</v>
      </c>
      <c r="C376" s="4" t="n">
        <v>1</v>
      </c>
      <c r="D376" s="2" t="s">
        <v>441</v>
      </c>
      <c r="E376" s="2" t="s">
        <v>380</v>
      </c>
      <c r="F376" s="6" t="n">
        <v>8</v>
      </c>
      <c r="G376" s="9" t="n">
        <v>18.73744</v>
      </c>
      <c r="H376" s="13" t="s">
        <v>438</v>
      </c>
      <c r="I376" s="2" t="s">
        <v>439</v>
      </c>
      <c r="J376" s="3" t="n">
        <v>0</v>
      </c>
      <c r="K376" s="2" t="s">
        <v>440</v>
      </c>
      <c r="L376" s="5" t="n">
        <f aca="false">IF(COUNTIF('04_MAQUINAS'!$A$2:$A$18,E376)&gt;0,1,0)</f>
        <v>1</v>
      </c>
      <c r="M376" s="2" t="s">
        <v>82</v>
      </c>
    </row>
    <row r="377" customFormat="false" ht="15" hidden="false" customHeight="false" outlineLevel="0" collapsed="false">
      <c r="A377" s="2" t="s">
        <v>157</v>
      </c>
      <c r="B377" s="2" t="s">
        <v>118</v>
      </c>
      <c r="C377" s="4" t="n">
        <v>2</v>
      </c>
      <c r="D377" s="2" t="s">
        <v>386</v>
      </c>
      <c r="E377" s="2" t="s">
        <v>413</v>
      </c>
      <c r="F377" s="6" t="n">
        <v>10</v>
      </c>
      <c r="G377" s="9" t="n">
        <v>13.6</v>
      </c>
      <c r="H377" s="13" t="n">
        <v>1</v>
      </c>
      <c r="I377" s="2" t="s">
        <v>439</v>
      </c>
      <c r="J377" s="3" t="n">
        <v>0</v>
      </c>
      <c r="K377" s="2" t="s">
        <v>440</v>
      </c>
      <c r="L377" s="5" t="n">
        <f aca="false">IF(COUNTIF('04_MAQUINAS'!$A$2:$A$18,E377)&gt;0,1,0)</f>
        <v>1</v>
      </c>
      <c r="M377" s="2" t="s">
        <v>82</v>
      </c>
    </row>
    <row r="378" customFormat="false" ht="15" hidden="false" customHeight="false" outlineLevel="0" collapsed="false">
      <c r="A378" s="2" t="s">
        <v>157</v>
      </c>
      <c r="B378" s="2" t="s">
        <v>118</v>
      </c>
      <c r="C378" s="4" t="n">
        <v>3</v>
      </c>
      <c r="D378" s="2" t="s">
        <v>442</v>
      </c>
      <c r="E378" s="2" t="s">
        <v>415</v>
      </c>
      <c r="F378" s="6" t="n">
        <v>10</v>
      </c>
      <c r="G378" s="9" t="n">
        <v>33.6</v>
      </c>
      <c r="H378" s="13" t="n">
        <v>2</v>
      </c>
      <c r="I378" s="2" t="s">
        <v>439</v>
      </c>
      <c r="J378" s="3" t="n">
        <v>0</v>
      </c>
      <c r="K378" s="2" t="s">
        <v>440</v>
      </c>
      <c r="L378" s="5" t="n">
        <f aca="false">IF(COUNTIF('04_MAQUINAS'!$A$2:$A$18,E378)&gt;0,1,0)</f>
        <v>1</v>
      </c>
      <c r="M378" s="2" t="s">
        <v>82</v>
      </c>
    </row>
    <row r="379" customFormat="false" ht="15" hidden="false" customHeight="false" outlineLevel="0" collapsed="false">
      <c r="A379" s="2" t="s">
        <v>157</v>
      </c>
      <c r="B379" s="2" t="s">
        <v>118</v>
      </c>
      <c r="C379" s="4" t="n">
        <v>4</v>
      </c>
      <c r="D379" s="2" t="s">
        <v>445</v>
      </c>
      <c r="E379" s="2" t="s">
        <v>402</v>
      </c>
      <c r="F379" s="6" t="n">
        <v>12</v>
      </c>
      <c r="G379" s="9" t="n">
        <v>6.58</v>
      </c>
      <c r="H379" s="13" t="n">
        <v>3</v>
      </c>
      <c r="I379" s="2" t="s">
        <v>439</v>
      </c>
      <c r="J379" s="3" t="n">
        <v>0</v>
      </c>
      <c r="K379" s="2" t="s">
        <v>446</v>
      </c>
      <c r="L379" s="5" t="n">
        <f aca="false">IF(COUNTIF('04_MAQUINAS'!$A$2:$A$18,E379)&gt;0,1,0)</f>
        <v>1</v>
      </c>
      <c r="M379" s="2" t="s">
        <v>82</v>
      </c>
    </row>
    <row r="380" customFormat="false" ht="15" hidden="false" customHeight="false" outlineLevel="0" collapsed="false">
      <c r="A380" s="2" t="s">
        <v>157</v>
      </c>
      <c r="B380" s="2" t="s">
        <v>118</v>
      </c>
      <c r="C380" s="4" t="n">
        <v>5</v>
      </c>
      <c r="D380" s="2" t="s">
        <v>447</v>
      </c>
      <c r="E380" s="2" t="s">
        <v>421</v>
      </c>
      <c r="F380" s="6" t="n">
        <v>45</v>
      </c>
      <c r="G380" s="9" t="n">
        <v>0</v>
      </c>
      <c r="H380" s="13" t="n">
        <v>4</v>
      </c>
      <c r="I380" s="2" t="s">
        <v>448</v>
      </c>
      <c r="J380" s="3" t="n">
        <v>40</v>
      </c>
      <c r="K380" s="2" t="s">
        <v>446</v>
      </c>
      <c r="L380" s="5" t="n">
        <f aca="false">IF(COUNTIF('04_MAQUINAS'!$A$2:$A$18,E380)&gt;0,1,0)</f>
        <v>1</v>
      </c>
      <c r="M380" s="2" t="s">
        <v>82</v>
      </c>
    </row>
    <row r="381" customFormat="false" ht="15" hidden="false" customHeight="false" outlineLevel="0" collapsed="false">
      <c r="A381" s="2" t="s">
        <v>157</v>
      </c>
      <c r="B381" s="2" t="s">
        <v>118</v>
      </c>
      <c r="C381" s="4" t="n">
        <v>6</v>
      </c>
      <c r="D381" s="2" t="s">
        <v>449</v>
      </c>
      <c r="E381" s="2" t="s">
        <v>423</v>
      </c>
      <c r="F381" s="6" t="n">
        <v>8</v>
      </c>
      <c r="G381" s="9" t="n">
        <v>2.36</v>
      </c>
      <c r="H381" s="13" t="n">
        <v>5</v>
      </c>
      <c r="I381" s="2" t="s">
        <v>439</v>
      </c>
      <c r="J381" s="3" t="n">
        <v>0</v>
      </c>
      <c r="K381" s="2" t="s">
        <v>446</v>
      </c>
      <c r="L381" s="5" t="n">
        <f aca="false">IF(COUNTIF('04_MAQUINAS'!$A$2:$A$18,E381)&gt;0,1,0)</f>
        <v>1</v>
      </c>
      <c r="M381" s="2" t="s">
        <v>82</v>
      </c>
    </row>
    <row r="382" customFormat="false" ht="15" hidden="false" customHeight="false" outlineLevel="0" collapsed="false">
      <c r="A382" s="2" t="s">
        <v>157</v>
      </c>
      <c r="B382" s="2" t="s">
        <v>118</v>
      </c>
      <c r="C382" s="4" t="n">
        <v>7</v>
      </c>
      <c r="D382" s="2" t="s">
        <v>450</v>
      </c>
      <c r="E382" s="2" t="s">
        <v>406</v>
      </c>
      <c r="F382" s="6" t="n">
        <v>6</v>
      </c>
      <c r="G382" s="9" t="n">
        <v>108.75</v>
      </c>
      <c r="H382" s="13" t="n">
        <v>6</v>
      </c>
      <c r="I382" s="2" t="s">
        <v>439</v>
      </c>
      <c r="J382" s="3" t="n">
        <v>0</v>
      </c>
      <c r="K382" s="2" t="s">
        <v>440</v>
      </c>
      <c r="L382" s="5" t="n">
        <f aca="false">IF(COUNTIF('04_MAQUINAS'!$A$2:$A$18,E382)&gt;0,1,0)</f>
        <v>1</v>
      </c>
      <c r="M382" s="2" t="s">
        <v>82</v>
      </c>
    </row>
    <row r="383" customFormat="false" ht="15" hidden="false" customHeight="false" outlineLevel="0" collapsed="false">
      <c r="A383" s="2" t="s">
        <v>157</v>
      </c>
      <c r="B383" s="2" t="s">
        <v>118</v>
      </c>
      <c r="C383" s="4" t="n">
        <v>8</v>
      </c>
      <c r="D383" s="2" t="s">
        <v>453</v>
      </c>
      <c r="E383" s="2" t="s">
        <v>406</v>
      </c>
      <c r="F383" s="6" t="n">
        <v>0</v>
      </c>
      <c r="G383" s="9" t="n">
        <v>4</v>
      </c>
      <c r="H383" s="13" t="n">
        <v>7</v>
      </c>
      <c r="I383" s="2" t="s">
        <v>439</v>
      </c>
      <c r="J383" s="3" t="n">
        <v>0</v>
      </c>
      <c r="K383" s="2" t="s">
        <v>446</v>
      </c>
      <c r="L383" s="5" t="n">
        <f aca="false">IF(COUNTIF('04_MAQUINAS'!$A$2:$A$18,E383)&gt;0,1,0)</f>
        <v>1</v>
      </c>
      <c r="M383" s="2" t="s">
        <v>82</v>
      </c>
    </row>
    <row r="384" customFormat="false" ht="15" hidden="false" customHeight="false" outlineLevel="0" collapsed="false">
      <c r="A384" s="2" t="s">
        <v>158</v>
      </c>
      <c r="B384" s="2" t="s">
        <v>118</v>
      </c>
      <c r="C384" s="4" t="n">
        <v>1</v>
      </c>
      <c r="D384" s="2" t="s">
        <v>441</v>
      </c>
      <c r="E384" s="2" t="s">
        <v>380</v>
      </c>
      <c r="F384" s="6" t="n">
        <v>8</v>
      </c>
      <c r="G384" s="9" t="n">
        <v>20.12704</v>
      </c>
      <c r="H384" s="13" t="s">
        <v>438</v>
      </c>
      <c r="I384" s="2" t="s">
        <v>439</v>
      </c>
      <c r="J384" s="3" t="n">
        <v>0</v>
      </c>
      <c r="K384" s="2" t="s">
        <v>440</v>
      </c>
      <c r="L384" s="5" t="n">
        <f aca="false">IF(COUNTIF('04_MAQUINAS'!$A$2:$A$18,E384)&gt;0,1,0)</f>
        <v>1</v>
      </c>
      <c r="M384" s="2" t="s">
        <v>82</v>
      </c>
    </row>
    <row r="385" customFormat="false" ht="15" hidden="false" customHeight="false" outlineLevel="0" collapsed="false">
      <c r="A385" s="2" t="s">
        <v>158</v>
      </c>
      <c r="B385" s="2" t="s">
        <v>118</v>
      </c>
      <c r="C385" s="4" t="n">
        <v>2</v>
      </c>
      <c r="D385" s="2" t="s">
        <v>386</v>
      </c>
      <c r="E385" s="2" t="s">
        <v>413</v>
      </c>
      <c r="F385" s="6" t="n">
        <v>10</v>
      </c>
      <c r="G385" s="9" t="n">
        <v>13.6</v>
      </c>
      <c r="H385" s="13" t="n">
        <v>1</v>
      </c>
      <c r="I385" s="2" t="s">
        <v>439</v>
      </c>
      <c r="J385" s="3" t="n">
        <v>0</v>
      </c>
      <c r="K385" s="2" t="s">
        <v>440</v>
      </c>
      <c r="L385" s="5" t="n">
        <f aca="false">IF(COUNTIF('04_MAQUINAS'!$A$2:$A$18,E385)&gt;0,1,0)</f>
        <v>1</v>
      </c>
      <c r="M385" s="2" t="s">
        <v>82</v>
      </c>
    </row>
    <row r="386" customFormat="false" ht="15" hidden="false" customHeight="false" outlineLevel="0" collapsed="false">
      <c r="A386" s="2" t="s">
        <v>158</v>
      </c>
      <c r="B386" s="2" t="s">
        <v>118</v>
      </c>
      <c r="C386" s="4" t="n">
        <v>3</v>
      </c>
      <c r="D386" s="2" t="s">
        <v>442</v>
      </c>
      <c r="E386" s="2" t="s">
        <v>415</v>
      </c>
      <c r="F386" s="6" t="n">
        <v>10</v>
      </c>
      <c r="G386" s="9" t="n">
        <v>33.6</v>
      </c>
      <c r="H386" s="13" t="n">
        <v>2</v>
      </c>
      <c r="I386" s="2" t="s">
        <v>439</v>
      </c>
      <c r="J386" s="3" t="n">
        <v>0</v>
      </c>
      <c r="K386" s="2" t="s">
        <v>440</v>
      </c>
      <c r="L386" s="5" t="n">
        <f aca="false">IF(COUNTIF('04_MAQUINAS'!$A$2:$A$18,E386)&gt;0,1,0)</f>
        <v>1</v>
      </c>
      <c r="M386" s="2" t="s">
        <v>82</v>
      </c>
    </row>
    <row r="387" customFormat="false" ht="15" hidden="false" customHeight="false" outlineLevel="0" collapsed="false">
      <c r="A387" s="2" t="s">
        <v>158</v>
      </c>
      <c r="B387" s="2" t="s">
        <v>118</v>
      </c>
      <c r="C387" s="4" t="n">
        <v>4</v>
      </c>
      <c r="D387" s="2" t="s">
        <v>445</v>
      </c>
      <c r="E387" s="2" t="s">
        <v>402</v>
      </c>
      <c r="F387" s="6" t="n">
        <v>12</v>
      </c>
      <c r="G387" s="9" t="n">
        <v>6.45</v>
      </c>
      <c r="H387" s="13" t="n">
        <v>3</v>
      </c>
      <c r="I387" s="2" t="s">
        <v>439</v>
      </c>
      <c r="J387" s="3" t="n">
        <v>0</v>
      </c>
      <c r="K387" s="2" t="s">
        <v>446</v>
      </c>
      <c r="L387" s="5" t="n">
        <f aca="false">IF(COUNTIF('04_MAQUINAS'!$A$2:$A$18,E387)&gt;0,1,0)</f>
        <v>1</v>
      </c>
      <c r="M387" s="2" t="s">
        <v>82</v>
      </c>
    </row>
    <row r="388" customFormat="false" ht="15" hidden="false" customHeight="false" outlineLevel="0" collapsed="false">
      <c r="A388" s="2" t="s">
        <v>158</v>
      </c>
      <c r="B388" s="2" t="s">
        <v>118</v>
      </c>
      <c r="C388" s="4" t="n">
        <v>5</v>
      </c>
      <c r="D388" s="2" t="s">
        <v>447</v>
      </c>
      <c r="E388" s="2" t="s">
        <v>421</v>
      </c>
      <c r="F388" s="6" t="n">
        <v>45</v>
      </c>
      <c r="G388" s="9" t="n">
        <v>0</v>
      </c>
      <c r="H388" s="13" t="n">
        <v>4</v>
      </c>
      <c r="I388" s="2" t="s">
        <v>448</v>
      </c>
      <c r="J388" s="3" t="n">
        <v>40</v>
      </c>
      <c r="K388" s="2" t="s">
        <v>446</v>
      </c>
      <c r="L388" s="5" t="n">
        <f aca="false">IF(COUNTIF('04_MAQUINAS'!$A$2:$A$18,E388)&gt;0,1,0)</f>
        <v>1</v>
      </c>
      <c r="M388" s="2" t="s">
        <v>82</v>
      </c>
    </row>
    <row r="389" customFormat="false" ht="15" hidden="false" customHeight="false" outlineLevel="0" collapsed="false">
      <c r="A389" s="2" t="s">
        <v>158</v>
      </c>
      <c r="B389" s="2" t="s">
        <v>118</v>
      </c>
      <c r="C389" s="4" t="n">
        <v>6</v>
      </c>
      <c r="D389" s="2" t="s">
        <v>449</v>
      </c>
      <c r="E389" s="2" t="s">
        <v>423</v>
      </c>
      <c r="F389" s="6" t="n">
        <v>8</v>
      </c>
      <c r="G389" s="9" t="n">
        <v>2.33</v>
      </c>
      <c r="H389" s="13" t="n">
        <v>5</v>
      </c>
      <c r="I389" s="2" t="s">
        <v>439</v>
      </c>
      <c r="J389" s="3" t="n">
        <v>0</v>
      </c>
      <c r="K389" s="2" t="s">
        <v>446</v>
      </c>
      <c r="L389" s="5" t="n">
        <f aca="false">IF(COUNTIF('04_MAQUINAS'!$A$2:$A$18,E389)&gt;0,1,0)</f>
        <v>1</v>
      </c>
      <c r="M389" s="2" t="s">
        <v>82</v>
      </c>
    </row>
    <row r="390" customFormat="false" ht="15" hidden="false" customHeight="false" outlineLevel="0" collapsed="false">
      <c r="A390" s="2" t="s">
        <v>158</v>
      </c>
      <c r="B390" s="2" t="s">
        <v>118</v>
      </c>
      <c r="C390" s="4" t="n">
        <v>7</v>
      </c>
      <c r="D390" s="2" t="s">
        <v>450</v>
      </c>
      <c r="E390" s="2" t="s">
        <v>406</v>
      </c>
      <c r="F390" s="6" t="n">
        <v>6</v>
      </c>
      <c r="G390" s="9" t="n">
        <v>108.75</v>
      </c>
      <c r="H390" s="13" t="n">
        <v>6</v>
      </c>
      <c r="I390" s="2" t="s">
        <v>439</v>
      </c>
      <c r="J390" s="3" t="n">
        <v>0</v>
      </c>
      <c r="K390" s="2" t="s">
        <v>440</v>
      </c>
      <c r="L390" s="5" t="n">
        <f aca="false">IF(COUNTIF('04_MAQUINAS'!$A$2:$A$18,E390)&gt;0,1,0)</f>
        <v>1</v>
      </c>
      <c r="M390" s="2" t="s">
        <v>82</v>
      </c>
    </row>
    <row r="391" customFormat="false" ht="15" hidden="false" customHeight="false" outlineLevel="0" collapsed="false">
      <c r="A391" s="2" t="s">
        <v>158</v>
      </c>
      <c r="B391" s="2" t="s">
        <v>118</v>
      </c>
      <c r="C391" s="4" t="n">
        <v>8</v>
      </c>
      <c r="D391" s="2" t="s">
        <v>453</v>
      </c>
      <c r="E391" s="2" t="s">
        <v>406</v>
      </c>
      <c r="F391" s="6" t="n">
        <v>0</v>
      </c>
      <c r="G391" s="9" t="n">
        <v>4</v>
      </c>
      <c r="H391" s="13" t="n">
        <v>7</v>
      </c>
      <c r="I391" s="2" t="s">
        <v>439</v>
      </c>
      <c r="J391" s="3" t="n">
        <v>0</v>
      </c>
      <c r="K391" s="2" t="s">
        <v>446</v>
      </c>
      <c r="L391" s="5" t="n">
        <f aca="false">IF(COUNTIF('04_MAQUINAS'!$A$2:$A$18,E391)&gt;0,1,0)</f>
        <v>1</v>
      </c>
      <c r="M391" s="2" t="s">
        <v>82</v>
      </c>
    </row>
    <row r="392" customFormat="false" ht="15" hidden="false" customHeight="false" outlineLevel="0" collapsed="false">
      <c r="A392" s="2" t="s">
        <v>159</v>
      </c>
      <c r="B392" s="2" t="s">
        <v>118</v>
      </c>
      <c r="C392" s="4" t="n">
        <v>1</v>
      </c>
      <c r="D392" s="2" t="s">
        <v>441</v>
      </c>
      <c r="E392" s="2" t="s">
        <v>380</v>
      </c>
      <c r="F392" s="6" t="n">
        <v>8</v>
      </c>
      <c r="G392" s="9" t="n">
        <v>18.93184</v>
      </c>
      <c r="H392" s="13" t="s">
        <v>438</v>
      </c>
      <c r="I392" s="2" t="s">
        <v>439</v>
      </c>
      <c r="J392" s="3" t="n">
        <v>0</v>
      </c>
      <c r="K392" s="2" t="s">
        <v>440</v>
      </c>
      <c r="L392" s="5" t="n">
        <f aca="false">IF(COUNTIF('04_MAQUINAS'!$A$2:$A$18,E392)&gt;0,1,0)</f>
        <v>1</v>
      </c>
      <c r="M392" s="2" t="s">
        <v>82</v>
      </c>
    </row>
    <row r="393" customFormat="false" ht="15" hidden="false" customHeight="false" outlineLevel="0" collapsed="false">
      <c r="A393" s="2" t="s">
        <v>159</v>
      </c>
      <c r="B393" s="2" t="s">
        <v>118</v>
      </c>
      <c r="C393" s="4" t="n">
        <v>2</v>
      </c>
      <c r="D393" s="2" t="s">
        <v>386</v>
      </c>
      <c r="E393" s="2" t="s">
        <v>413</v>
      </c>
      <c r="F393" s="6" t="n">
        <v>10</v>
      </c>
      <c r="G393" s="9" t="n">
        <v>13.6</v>
      </c>
      <c r="H393" s="13" t="n">
        <v>1</v>
      </c>
      <c r="I393" s="2" t="s">
        <v>439</v>
      </c>
      <c r="J393" s="3" t="n">
        <v>0</v>
      </c>
      <c r="K393" s="2" t="s">
        <v>440</v>
      </c>
      <c r="L393" s="5" t="n">
        <f aca="false">IF(COUNTIF('04_MAQUINAS'!$A$2:$A$18,E393)&gt;0,1,0)</f>
        <v>1</v>
      </c>
      <c r="M393" s="2" t="s">
        <v>82</v>
      </c>
    </row>
    <row r="394" customFormat="false" ht="15" hidden="false" customHeight="false" outlineLevel="0" collapsed="false">
      <c r="A394" s="2" t="s">
        <v>159</v>
      </c>
      <c r="B394" s="2" t="s">
        <v>118</v>
      </c>
      <c r="C394" s="4" t="n">
        <v>3</v>
      </c>
      <c r="D394" s="2" t="s">
        <v>442</v>
      </c>
      <c r="E394" s="2" t="s">
        <v>415</v>
      </c>
      <c r="F394" s="6" t="n">
        <v>10</v>
      </c>
      <c r="G394" s="9" t="n">
        <v>33.6</v>
      </c>
      <c r="H394" s="13" t="n">
        <v>2</v>
      </c>
      <c r="I394" s="2" t="s">
        <v>439</v>
      </c>
      <c r="J394" s="3" t="n">
        <v>0</v>
      </c>
      <c r="K394" s="2" t="s">
        <v>440</v>
      </c>
      <c r="L394" s="5" t="n">
        <f aca="false">IF(COUNTIF('04_MAQUINAS'!$A$2:$A$18,E394)&gt;0,1,0)</f>
        <v>1</v>
      </c>
      <c r="M394" s="2" t="s">
        <v>82</v>
      </c>
    </row>
    <row r="395" customFormat="false" ht="15" hidden="false" customHeight="false" outlineLevel="0" collapsed="false">
      <c r="A395" s="2" t="s">
        <v>159</v>
      </c>
      <c r="B395" s="2" t="s">
        <v>118</v>
      </c>
      <c r="C395" s="4" t="n">
        <v>4</v>
      </c>
      <c r="D395" s="2" t="s">
        <v>445</v>
      </c>
      <c r="E395" s="2" t="s">
        <v>402</v>
      </c>
      <c r="F395" s="6" t="n">
        <v>12</v>
      </c>
      <c r="G395" s="9" t="n">
        <v>6.45</v>
      </c>
      <c r="H395" s="13" t="n">
        <v>3</v>
      </c>
      <c r="I395" s="2" t="s">
        <v>439</v>
      </c>
      <c r="J395" s="3" t="n">
        <v>0</v>
      </c>
      <c r="K395" s="2" t="s">
        <v>446</v>
      </c>
      <c r="L395" s="5" t="n">
        <f aca="false">IF(COUNTIF('04_MAQUINAS'!$A$2:$A$18,E395)&gt;0,1,0)</f>
        <v>1</v>
      </c>
      <c r="M395" s="2" t="s">
        <v>82</v>
      </c>
    </row>
    <row r="396" customFormat="false" ht="15" hidden="false" customHeight="false" outlineLevel="0" collapsed="false">
      <c r="A396" s="2" t="s">
        <v>159</v>
      </c>
      <c r="B396" s="2" t="s">
        <v>118</v>
      </c>
      <c r="C396" s="4" t="n">
        <v>5</v>
      </c>
      <c r="D396" s="2" t="s">
        <v>447</v>
      </c>
      <c r="E396" s="2" t="s">
        <v>421</v>
      </c>
      <c r="F396" s="6" t="n">
        <v>45</v>
      </c>
      <c r="G396" s="9" t="n">
        <v>0</v>
      </c>
      <c r="H396" s="13" t="n">
        <v>4</v>
      </c>
      <c r="I396" s="2" t="s">
        <v>448</v>
      </c>
      <c r="J396" s="3" t="n">
        <v>40</v>
      </c>
      <c r="K396" s="2" t="s">
        <v>446</v>
      </c>
      <c r="L396" s="5" t="n">
        <f aca="false">IF(COUNTIF('04_MAQUINAS'!$A$2:$A$18,E396)&gt;0,1,0)</f>
        <v>1</v>
      </c>
      <c r="M396" s="2" t="s">
        <v>82</v>
      </c>
    </row>
    <row r="397" customFormat="false" ht="15" hidden="false" customHeight="false" outlineLevel="0" collapsed="false">
      <c r="A397" s="2" t="s">
        <v>159</v>
      </c>
      <c r="B397" s="2" t="s">
        <v>118</v>
      </c>
      <c r="C397" s="4" t="n">
        <v>6</v>
      </c>
      <c r="D397" s="2" t="s">
        <v>449</v>
      </c>
      <c r="E397" s="2" t="s">
        <v>423</v>
      </c>
      <c r="F397" s="6" t="n">
        <v>8</v>
      </c>
      <c r="G397" s="9" t="n">
        <v>2.33</v>
      </c>
      <c r="H397" s="13" t="n">
        <v>5</v>
      </c>
      <c r="I397" s="2" t="s">
        <v>439</v>
      </c>
      <c r="J397" s="3" t="n">
        <v>0</v>
      </c>
      <c r="K397" s="2" t="s">
        <v>446</v>
      </c>
      <c r="L397" s="5" t="n">
        <f aca="false">IF(COUNTIF('04_MAQUINAS'!$A$2:$A$18,E397)&gt;0,1,0)</f>
        <v>1</v>
      </c>
      <c r="M397" s="2" t="s">
        <v>82</v>
      </c>
    </row>
    <row r="398" customFormat="false" ht="15" hidden="false" customHeight="false" outlineLevel="0" collapsed="false">
      <c r="A398" s="2" t="s">
        <v>159</v>
      </c>
      <c r="B398" s="2" t="s">
        <v>118</v>
      </c>
      <c r="C398" s="4" t="n">
        <v>7</v>
      </c>
      <c r="D398" s="2" t="s">
        <v>450</v>
      </c>
      <c r="E398" s="2" t="s">
        <v>406</v>
      </c>
      <c r="F398" s="6" t="n">
        <v>6</v>
      </c>
      <c r="G398" s="9" t="n">
        <v>108.75</v>
      </c>
      <c r="H398" s="13" t="n">
        <v>6</v>
      </c>
      <c r="I398" s="2" t="s">
        <v>439</v>
      </c>
      <c r="J398" s="3" t="n">
        <v>0</v>
      </c>
      <c r="K398" s="2" t="s">
        <v>440</v>
      </c>
      <c r="L398" s="5" t="n">
        <f aca="false">IF(COUNTIF('04_MAQUINAS'!$A$2:$A$18,E398)&gt;0,1,0)</f>
        <v>1</v>
      </c>
      <c r="M398" s="2" t="s">
        <v>82</v>
      </c>
    </row>
    <row r="399" customFormat="false" ht="15" hidden="false" customHeight="false" outlineLevel="0" collapsed="false">
      <c r="A399" s="2" t="s">
        <v>159</v>
      </c>
      <c r="B399" s="2" t="s">
        <v>118</v>
      </c>
      <c r="C399" s="4" t="n">
        <v>8</v>
      </c>
      <c r="D399" s="2" t="s">
        <v>453</v>
      </c>
      <c r="E399" s="2" t="s">
        <v>406</v>
      </c>
      <c r="F399" s="6" t="n">
        <v>0</v>
      </c>
      <c r="G399" s="9" t="n">
        <v>4</v>
      </c>
      <c r="H399" s="13" t="n">
        <v>7</v>
      </c>
      <c r="I399" s="2" t="s">
        <v>439</v>
      </c>
      <c r="J399" s="3" t="n">
        <v>0</v>
      </c>
      <c r="K399" s="2" t="s">
        <v>446</v>
      </c>
      <c r="L399" s="5" t="n">
        <f aca="false">IF(COUNTIF('04_MAQUINAS'!$A$2:$A$18,E399)&gt;0,1,0)</f>
        <v>1</v>
      </c>
      <c r="M399" s="2" t="s">
        <v>82</v>
      </c>
    </row>
    <row r="400" customFormat="false" ht="15" hidden="false" customHeight="false" outlineLevel="0" collapsed="false">
      <c r="A400" s="2" t="s">
        <v>160</v>
      </c>
      <c r="B400" s="2" t="s">
        <v>118</v>
      </c>
      <c r="C400" s="4" t="n">
        <v>1</v>
      </c>
      <c r="D400" s="2" t="s">
        <v>441</v>
      </c>
      <c r="E400" s="2" t="s">
        <v>380</v>
      </c>
      <c r="F400" s="6" t="n">
        <v>8</v>
      </c>
      <c r="G400" s="9" t="n">
        <v>9.2096</v>
      </c>
      <c r="H400" s="13" t="s">
        <v>438</v>
      </c>
      <c r="I400" s="2" t="s">
        <v>439</v>
      </c>
      <c r="J400" s="3" t="n">
        <v>0</v>
      </c>
      <c r="K400" s="2" t="s">
        <v>440</v>
      </c>
      <c r="L400" s="5" t="n">
        <f aca="false">IF(COUNTIF('04_MAQUINAS'!$A$2:$A$18,E400)&gt;0,1,0)</f>
        <v>1</v>
      </c>
      <c r="M400" s="2" t="s">
        <v>82</v>
      </c>
    </row>
    <row r="401" customFormat="false" ht="15" hidden="false" customHeight="false" outlineLevel="0" collapsed="false">
      <c r="A401" s="2" t="s">
        <v>160</v>
      </c>
      <c r="B401" s="2" t="s">
        <v>118</v>
      </c>
      <c r="C401" s="4" t="n">
        <v>2</v>
      </c>
      <c r="D401" s="2" t="s">
        <v>386</v>
      </c>
      <c r="E401" s="2" t="s">
        <v>413</v>
      </c>
      <c r="F401" s="6" t="n">
        <v>10</v>
      </c>
      <c r="G401" s="9" t="n">
        <v>8.4</v>
      </c>
      <c r="H401" s="13" t="n">
        <v>1</v>
      </c>
      <c r="I401" s="2" t="s">
        <v>439</v>
      </c>
      <c r="J401" s="3" t="n">
        <v>0</v>
      </c>
      <c r="K401" s="2" t="s">
        <v>440</v>
      </c>
      <c r="L401" s="5" t="n">
        <f aca="false">IF(COUNTIF('04_MAQUINAS'!$A$2:$A$18,E401)&gt;0,1,0)</f>
        <v>1</v>
      </c>
      <c r="M401" s="2" t="s">
        <v>82</v>
      </c>
    </row>
    <row r="402" customFormat="false" ht="15" hidden="false" customHeight="false" outlineLevel="0" collapsed="false">
      <c r="A402" s="2" t="s">
        <v>160</v>
      </c>
      <c r="B402" s="2" t="s">
        <v>118</v>
      </c>
      <c r="C402" s="4" t="n">
        <v>3</v>
      </c>
      <c r="D402" s="2" t="s">
        <v>442</v>
      </c>
      <c r="E402" s="2" t="s">
        <v>415</v>
      </c>
      <c r="F402" s="6" t="n">
        <v>10</v>
      </c>
      <c r="G402" s="9" t="n">
        <v>22.4</v>
      </c>
      <c r="H402" s="13" t="n">
        <v>2</v>
      </c>
      <c r="I402" s="2" t="s">
        <v>439</v>
      </c>
      <c r="J402" s="3" t="n">
        <v>0</v>
      </c>
      <c r="K402" s="2" t="s">
        <v>440</v>
      </c>
      <c r="L402" s="5" t="n">
        <f aca="false">IF(COUNTIF('04_MAQUINAS'!$A$2:$A$18,E402)&gt;0,1,0)</f>
        <v>1</v>
      </c>
      <c r="M402" s="2" t="s">
        <v>82</v>
      </c>
    </row>
    <row r="403" customFormat="false" ht="15" hidden="false" customHeight="false" outlineLevel="0" collapsed="false">
      <c r="A403" s="2" t="s">
        <v>160</v>
      </c>
      <c r="B403" s="2" t="s">
        <v>118</v>
      </c>
      <c r="C403" s="4" t="n">
        <v>4</v>
      </c>
      <c r="D403" s="2" t="s">
        <v>445</v>
      </c>
      <c r="E403" s="2" t="s">
        <v>402</v>
      </c>
      <c r="F403" s="6" t="n">
        <v>12</v>
      </c>
      <c r="G403" s="9" t="n">
        <v>5.72</v>
      </c>
      <c r="H403" s="13" t="n">
        <v>3</v>
      </c>
      <c r="I403" s="2" t="s">
        <v>439</v>
      </c>
      <c r="J403" s="3" t="n">
        <v>0</v>
      </c>
      <c r="K403" s="2" t="s">
        <v>446</v>
      </c>
      <c r="L403" s="5" t="n">
        <f aca="false">IF(COUNTIF('04_MAQUINAS'!$A$2:$A$18,E403)&gt;0,1,0)</f>
        <v>1</v>
      </c>
      <c r="M403" s="2" t="s">
        <v>82</v>
      </c>
    </row>
    <row r="404" customFormat="false" ht="15" hidden="false" customHeight="false" outlineLevel="0" collapsed="false">
      <c r="A404" s="2" t="s">
        <v>160</v>
      </c>
      <c r="B404" s="2" t="s">
        <v>118</v>
      </c>
      <c r="C404" s="4" t="n">
        <v>5</v>
      </c>
      <c r="D404" s="2" t="s">
        <v>447</v>
      </c>
      <c r="E404" s="2" t="s">
        <v>421</v>
      </c>
      <c r="F404" s="6" t="n">
        <v>45</v>
      </c>
      <c r="G404" s="9" t="n">
        <v>0</v>
      </c>
      <c r="H404" s="13" t="n">
        <v>4</v>
      </c>
      <c r="I404" s="2" t="s">
        <v>448</v>
      </c>
      <c r="J404" s="3" t="n">
        <v>40</v>
      </c>
      <c r="K404" s="2" t="s">
        <v>446</v>
      </c>
      <c r="L404" s="5" t="n">
        <f aca="false">IF(COUNTIF('04_MAQUINAS'!$A$2:$A$18,E404)&gt;0,1,0)</f>
        <v>1</v>
      </c>
      <c r="M404" s="2" t="s">
        <v>82</v>
      </c>
    </row>
    <row r="405" customFormat="false" ht="15" hidden="false" customHeight="false" outlineLevel="0" collapsed="false">
      <c r="A405" s="2" t="s">
        <v>160</v>
      </c>
      <c r="B405" s="2" t="s">
        <v>118</v>
      </c>
      <c r="C405" s="4" t="n">
        <v>6</v>
      </c>
      <c r="D405" s="2" t="s">
        <v>449</v>
      </c>
      <c r="E405" s="2" t="s">
        <v>423</v>
      </c>
      <c r="F405" s="6" t="n">
        <v>8</v>
      </c>
      <c r="G405" s="9" t="n">
        <v>2.17</v>
      </c>
      <c r="H405" s="13" t="n">
        <v>5</v>
      </c>
      <c r="I405" s="2" t="s">
        <v>439</v>
      </c>
      <c r="J405" s="3" t="n">
        <v>0</v>
      </c>
      <c r="K405" s="2" t="s">
        <v>446</v>
      </c>
      <c r="L405" s="5" t="n">
        <f aca="false">IF(COUNTIF('04_MAQUINAS'!$A$2:$A$18,E405)&gt;0,1,0)</f>
        <v>1</v>
      </c>
      <c r="M405" s="2" t="s">
        <v>82</v>
      </c>
    </row>
    <row r="406" customFormat="false" ht="15" hidden="false" customHeight="false" outlineLevel="0" collapsed="false">
      <c r="A406" s="2" t="s">
        <v>160</v>
      </c>
      <c r="B406" s="2" t="s">
        <v>118</v>
      </c>
      <c r="C406" s="4" t="n">
        <v>7</v>
      </c>
      <c r="D406" s="2" t="s">
        <v>450</v>
      </c>
      <c r="E406" s="2" t="s">
        <v>406</v>
      </c>
      <c r="F406" s="6" t="n">
        <v>6</v>
      </c>
      <c r="G406" s="9" t="n">
        <v>48.75</v>
      </c>
      <c r="H406" s="13" t="n">
        <v>6</v>
      </c>
      <c r="I406" s="2" t="s">
        <v>439</v>
      </c>
      <c r="J406" s="3" t="n">
        <v>0</v>
      </c>
      <c r="K406" s="2" t="s">
        <v>440</v>
      </c>
      <c r="L406" s="5" t="n">
        <f aca="false">IF(COUNTIF('04_MAQUINAS'!$A$2:$A$18,E406)&gt;0,1,0)</f>
        <v>1</v>
      </c>
      <c r="M406" s="2" t="s">
        <v>82</v>
      </c>
    </row>
    <row r="407" customFormat="false" ht="15" hidden="false" customHeight="false" outlineLevel="0" collapsed="false">
      <c r="A407" s="2" t="s">
        <v>160</v>
      </c>
      <c r="B407" s="2" t="s">
        <v>118</v>
      </c>
      <c r="C407" s="4" t="n">
        <v>8</v>
      </c>
      <c r="D407" s="2" t="s">
        <v>453</v>
      </c>
      <c r="E407" s="2" t="s">
        <v>406</v>
      </c>
      <c r="F407" s="6" t="n">
        <v>0</v>
      </c>
      <c r="G407" s="9" t="n">
        <v>4</v>
      </c>
      <c r="H407" s="13" t="n">
        <v>7</v>
      </c>
      <c r="I407" s="2" t="s">
        <v>439</v>
      </c>
      <c r="J407" s="3" t="n">
        <v>0</v>
      </c>
      <c r="K407" s="2" t="s">
        <v>446</v>
      </c>
      <c r="L407" s="5" t="n">
        <f aca="false">IF(COUNTIF('04_MAQUINAS'!$A$2:$A$18,E407)&gt;0,1,0)</f>
        <v>1</v>
      </c>
      <c r="M407" s="2" t="s">
        <v>82</v>
      </c>
    </row>
  </sheetData>
  <autoFilter ref="A1:M40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5100"/>
    <pageSetUpPr fitToPage="false"/>
  </sheetPr>
  <dimension ref="A1:R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17" min="2" style="0" width="8"/>
    <col collapsed="false" customWidth="true" hidden="false" outlineLevel="0" max="18" min="18" style="0" width="11"/>
  </cols>
  <sheetData>
    <row r="1" customFormat="false" ht="169.5" hidden="false" customHeight="true" outlineLevel="0" collapsed="false">
      <c r="A1" s="1" t="s">
        <v>454</v>
      </c>
      <c r="B1" s="14" t="s">
        <v>375</v>
      </c>
      <c r="C1" s="14" t="s">
        <v>380</v>
      </c>
      <c r="D1" s="14" t="s">
        <v>383</v>
      </c>
      <c r="E1" s="14" t="s">
        <v>387</v>
      </c>
      <c r="F1" s="14" t="s">
        <v>391</v>
      </c>
      <c r="G1" s="14" t="s">
        <v>395</v>
      </c>
      <c r="H1" s="14" t="s">
        <v>399</v>
      </c>
      <c r="I1" s="14" t="s">
        <v>402</v>
      </c>
      <c r="J1" s="14" t="s">
        <v>406</v>
      </c>
      <c r="K1" s="14" t="s">
        <v>408</v>
      </c>
      <c r="L1" s="14" t="s">
        <v>411</v>
      </c>
      <c r="M1" s="14" t="s">
        <v>413</v>
      </c>
      <c r="N1" s="14" t="s">
        <v>415</v>
      </c>
      <c r="O1" s="14" t="s">
        <v>421</v>
      </c>
      <c r="P1" s="14" t="s">
        <v>423</v>
      </c>
      <c r="Q1" s="14" t="s">
        <v>425</v>
      </c>
      <c r="R1" s="1" t="s">
        <v>64</v>
      </c>
    </row>
    <row r="2" customFormat="false" ht="15" hidden="false" customHeight="false" outlineLevel="0" collapsed="false">
      <c r="A2" s="2" t="s">
        <v>455</v>
      </c>
      <c r="B2" s="4" t="n">
        <v>1</v>
      </c>
      <c r="C2" s="4" t="n">
        <v>1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2" t="s">
        <v>456</v>
      </c>
    </row>
    <row r="3" customFormat="false" ht="15" hidden="false" customHeight="false" outlineLevel="0" collapsed="false">
      <c r="A3" s="2" t="s">
        <v>457</v>
      </c>
      <c r="B3" s="4" t="n">
        <v>1</v>
      </c>
      <c r="C3" s="4" t="n">
        <v>1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2" t="s">
        <v>456</v>
      </c>
    </row>
    <row r="4" customFormat="false" ht="15" hidden="false" customHeight="false" outlineLevel="0" collapsed="false">
      <c r="A4" s="2" t="s">
        <v>458</v>
      </c>
      <c r="B4" s="4" t="n">
        <v>0</v>
      </c>
      <c r="C4" s="4" t="n">
        <v>0</v>
      </c>
      <c r="D4" s="4" t="n">
        <v>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2" t="s">
        <v>456</v>
      </c>
    </row>
    <row r="5" customFormat="false" ht="15" hidden="false" customHeight="false" outlineLevel="0" collapsed="false">
      <c r="A5" s="2" t="s">
        <v>459</v>
      </c>
      <c r="B5" s="4" t="n">
        <v>1</v>
      </c>
      <c r="C5" s="4" t="n">
        <v>0</v>
      </c>
      <c r="D5" s="4" t="n">
        <v>0</v>
      </c>
      <c r="E5" s="4" t="n">
        <v>1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2" t="s">
        <v>456</v>
      </c>
    </row>
    <row r="6" customFormat="false" ht="15" hidden="false" customHeight="false" outlineLevel="0" collapsed="false">
      <c r="A6" s="2" t="s">
        <v>460</v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1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</v>
      </c>
      <c r="O6" s="4" t="n">
        <v>0</v>
      </c>
      <c r="P6" s="4" t="n">
        <v>0</v>
      </c>
      <c r="Q6" s="4" t="n">
        <v>0</v>
      </c>
      <c r="R6" s="2" t="s">
        <v>456</v>
      </c>
    </row>
    <row r="7" customFormat="false" ht="15" hidden="false" customHeight="false" outlineLevel="0" collapsed="false">
      <c r="A7" s="2" t="s">
        <v>461</v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1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1</v>
      </c>
      <c r="O7" s="4" t="n">
        <v>0</v>
      </c>
      <c r="P7" s="4" t="n">
        <v>0</v>
      </c>
      <c r="Q7" s="4" t="n">
        <v>0</v>
      </c>
      <c r="R7" s="2" t="s">
        <v>456</v>
      </c>
    </row>
    <row r="8" customFormat="false" ht="15" hidden="false" customHeight="false" outlineLevel="0" collapsed="false">
      <c r="A8" s="2" t="s">
        <v>462</v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1</v>
      </c>
      <c r="I8" s="4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1</v>
      </c>
      <c r="R8" s="2" t="s">
        <v>456</v>
      </c>
    </row>
    <row r="9" customFormat="false" ht="15" hidden="false" customHeight="false" outlineLevel="0" collapsed="false">
      <c r="A9" s="2" t="s">
        <v>463</v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1</v>
      </c>
      <c r="I9" s="4" t="n">
        <v>1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1</v>
      </c>
      <c r="R9" s="2" t="s">
        <v>456</v>
      </c>
    </row>
    <row r="10" customFormat="false" ht="15" hidden="false" customHeight="false" outlineLevel="0" collapsed="false">
      <c r="A10" s="2" t="s">
        <v>464</v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1</v>
      </c>
      <c r="K10" s="4" t="n">
        <v>1</v>
      </c>
      <c r="L10" s="4" t="n">
        <v>1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2" t="s">
        <v>456</v>
      </c>
    </row>
    <row r="11" customFormat="false" ht="15" hidden="false" customHeight="false" outlineLevel="0" collapsed="false">
      <c r="A11" s="2" t="s">
        <v>465</v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1</v>
      </c>
      <c r="K11" s="4" t="n">
        <v>1</v>
      </c>
      <c r="L11" s="4" t="n">
        <v>1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2" t="s">
        <v>456</v>
      </c>
    </row>
    <row r="12" customFormat="false" ht="15" hidden="false" customHeight="false" outlineLevel="0" collapsed="false">
      <c r="A12" s="2" t="s">
        <v>466</v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1</v>
      </c>
      <c r="K12" s="4" t="n">
        <v>1</v>
      </c>
      <c r="L12" s="4" t="n">
        <v>1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2" t="s">
        <v>456</v>
      </c>
    </row>
    <row r="13" customFormat="false" ht="15" hidden="false" customHeight="false" outlineLevel="0" collapsed="false">
      <c r="A13" s="2" t="s">
        <v>467</v>
      </c>
      <c r="B13" s="4" t="n">
        <v>0</v>
      </c>
      <c r="C13" s="4" t="n">
        <v>0</v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2" t="s">
        <v>456</v>
      </c>
    </row>
    <row r="14" customFormat="false" ht="15" hidden="false" customHeight="false" outlineLevel="0" collapsed="false">
      <c r="A14" s="2" t="s">
        <v>468</v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1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</v>
      </c>
      <c r="O14" s="4" t="n">
        <v>0</v>
      </c>
      <c r="P14" s="4" t="n">
        <v>0</v>
      </c>
      <c r="Q14" s="4" t="n">
        <v>0</v>
      </c>
      <c r="R14" s="2" t="s">
        <v>456</v>
      </c>
    </row>
    <row r="15" customFormat="false" ht="15" hidden="false" customHeight="false" outlineLevel="0" collapsed="false">
      <c r="A15" s="2" t="s">
        <v>469</v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1</v>
      </c>
      <c r="P15" s="4" t="n">
        <v>1</v>
      </c>
      <c r="Q15" s="4" t="n">
        <v>0</v>
      </c>
      <c r="R15" s="2" t="s">
        <v>456</v>
      </c>
    </row>
    <row r="16" customFormat="false" ht="15" hidden="false" customHeight="false" outlineLevel="0" collapsed="false">
      <c r="A16" s="2" t="s">
        <v>470</v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1</v>
      </c>
      <c r="P16" s="4" t="n">
        <v>1</v>
      </c>
      <c r="Q16" s="4" t="n">
        <v>0</v>
      </c>
      <c r="R16" s="2" t="s">
        <v>456</v>
      </c>
    </row>
    <row r="17" customFormat="false" ht="15" hidden="false" customHeight="false" outlineLevel="0" collapsed="false">
      <c r="A17" s="2" t="s">
        <v>471</v>
      </c>
      <c r="B17" s="4" t="n">
        <v>0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1</v>
      </c>
      <c r="I17" s="4" t="n">
        <v>1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1</v>
      </c>
      <c r="R17" s="2" t="s">
        <v>456</v>
      </c>
    </row>
    <row r="18" customFormat="false" ht="15" hidden="false" customHeight="false" outlineLevel="0" collapsed="false">
      <c r="A18" s="2" t="s">
        <v>472</v>
      </c>
      <c r="B18" s="4" t="n">
        <v>1</v>
      </c>
      <c r="C18" s="4" t="n">
        <v>0</v>
      </c>
      <c r="D18" s="4" t="n">
        <v>0</v>
      </c>
      <c r="E18" s="4" t="n">
        <v>1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2" t="s">
        <v>456</v>
      </c>
    </row>
    <row r="19" customFormat="false" ht="15" hidden="false" customHeight="false" outlineLevel="0" collapsed="false">
      <c r="A19" s="2" t="s">
        <v>473</v>
      </c>
      <c r="B19" s="4" t="n">
        <v>1</v>
      </c>
      <c r="C19" s="4" t="n">
        <v>0</v>
      </c>
      <c r="D19" s="4" t="n">
        <v>0</v>
      </c>
      <c r="E19" s="4" t="n">
        <v>1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2" t="s">
        <v>456</v>
      </c>
    </row>
    <row r="20" customFormat="false" ht="15" hidden="false" customHeight="false" outlineLevel="0" collapsed="false">
      <c r="A20" s="2" t="s">
        <v>474</v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1</v>
      </c>
      <c r="G20" s="4" t="n">
        <v>1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</v>
      </c>
      <c r="O20" s="4" t="n">
        <v>0</v>
      </c>
      <c r="P20" s="4" t="n">
        <v>0</v>
      </c>
      <c r="Q20" s="4" t="n">
        <v>0</v>
      </c>
      <c r="R20" s="2" t="s">
        <v>456</v>
      </c>
    </row>
    <row r="21" customFormat="false" ht="15" hidden="false" customHeight="false" outlineLevel="0" collapsed="false">
      <c r="A21" s="2" t="s">
        <v>475</v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1</v>
      </c>
      <c r="G21" s="4" t="n">
        <v>1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1</v>
      </c>
      <c r="O21" s="4" t="n">
        <v>0</v>
      </c>
      <c r="P21" s="4" t="n">
        <v>0</v>
      </c>
      <c r="Q21" s="4" t="n">
        <v>0</v>
      </c>
      <c r="R21" s="2" t="s">
        <v>456</v>
      </c>
    </row>
    <row r="22" customFormat="false" ht="15" hidden="false" customHeight="false" outlineLevel="0" collapsed="false">
      <c r="A22" s="2" t="s">
        <v>476</v>
      </c>
      <c r="B22" s="4" t="n">
        <v>1</v>
      </c>
      <c r="C22" s="4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2" t="s">
        <v>456</v>
      </c>
    </row>
    <row r="23" customFormat="false" ht="15" hidden="false" customHeight="false" outlineLevel="0" collapsed="false">
      <c r="A23" s="2" t="s">
        <v>477</v>
      </c>
      <c r="B23" s="4" t="n">
        <v>0</v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1</v>
      </c>
      <c r="I23" s="4" t="n">
        <v>1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1</v>
      </c>
      <c r="R23" s="2" t="s">
        <v>456</v>
      </c>
    </row>
    <row r="24" customFormat="false" ht="15" hidden="false" customHeight="false" outlineLevel="0" collapsed="false">
      <c r="A24" s="2" t="s">
        <v>478</v>
      </c>
      <c r="B24" s="4" t="n">
        <v>0</v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1</v>
      </c>
      <c r="K24" s="4" t="n">
        <v>1</v>
      </c>
      <c r="L24" s="4" t="n">
        <v>1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2" t="s">
        <v>456</v>
      </c>
    </row>
    <row r="25" customFormat="false" ht="15" hidden="false" customHeight="false" outlineLevel="0" collapsed="false">
      <c r="A25" s="2" t="s">
        <v>479</v>
      </c>
      <c r="B25" s="4" t="n">
        <v>0</v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1</v>
      </c>
      <c r="K25" s="4" t="n">
        <v>1</v>
      </c>
      <c r="L25" s="4" t="n">
        <v>1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2" t="s">
        <v>456</v>
      </c>
    </row>
    <row r="26" customFormat="false" ht="15" hidden="false" customHeight="false" outlineLevel="0" collapsed="false">
      <c r="A26" s="2" t="s">
        <v>480</v>
      </c>
      <c r="B26" s="4" t="n">
        <v>0</v>
      </c>
      <c r="C26" s="4" t="n">
        <v>0</v>
      </c>
      <c r="D26" s="4" t="n">
        <v>1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1</v>
      </c>
      <c r="N26" s="4" t="n">
        <v>0</v>
      </c>
      <c r="O26" s="4" t="n">
        <v>0</v>
      </c>
      <c r="P26" s="4" t="n">
        <v>0</v>
      </c>
      <c r="Q26" s="4" t="n">
        <v>0</v>
      </c>
      <c r="R26" s="2" t="s">
        <v>456</v>
      </c>
    </row>
  </sheetData>
  <autoFilter ref="A1:R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30"/>
  </cols>
  <sheetData>
    <row r="1" customFormat="false" ht="31.5" hidden="false" customHeight="true" outlineLevel="0" collapsed="false">
      <c r="A1" s="1" t="s">
        <v>454</v>
      </c>
      <c r="B1" s="1" t="s">
        <v>481</v>
      </c>
      <c r="C1" s="1" t="s">
        <v>482</v>
      </c>
      <c r="D1" s="1" t="s">
        <v>483</v>
      </c>
      <c r="E1" s="1" t="s">
        <v>64</v>
      </c>
    </row>
    <row r="2" customFormat="false" ht="15" hidden="false" customHeight="false" outlineLevel="0" collapsed="false">
      <c r="A2" s="2" t="s">
        <v>455</v>
      </c>
      <c r="B2" s="2" t="s">
        <v>379</v>
      </c>
      <c r="C2" s="4" t="n">
        <v>1</v>
      </c>
      <c r="D2" s="3" t="n">
        <v>8</v>
      </c>
      <c r="E2" s="2" t="s">
        <v>484</v>
      </c>
    </row>
    <row r="3" customFormat="false" ht="15" hidden="false" customHeight="false" outlineLevel="0" collapsed="false">
      <c r="A3" s="2" t="s">
        <v>457</v>
      </c>
      <c r="B3" s="2" t="s">
        <v>379</v>
      </c>
      <c r="C3" s="4" t="n">
        <v>1</v>
      </c>
      <c r="D3" s="3" t="n">
        <v>8</v>
      </c>
      <c r="E3" s="2" t="s">
        <v>484</v>
      </c>
    </row>
    <row r="4" customFormat="false" ht="15" hidden="false" customHeight="false" outlineLevel="0" collapsed="false">
      <c r="A4" s="2" t="s">
        <v>458</v>
      </c>
      <c r="B4" s="2" t="s">
        <v>386</v>
      </c>
      <c r="C4" s="4" t="n">
        <v>1</v>
      </c>
      <c r="D4" s="3" t="n">
        <v>8</v>
      </c>
      <c r="E4" s="2" t="s">
        <v>484</v>
      </c>
    </row>
    <row r="5" customFormat="false" ht="15" hidden="false" customHeight="false" outlineLevel="0" collapsed="false">
      <c r="A5" s="2" t="s">
        <v>459</v>
      </c>
      <c r="B5" s="2" t="s">
        <v>390</v>
      </c>
      <c r="C5" s="4" t="n">
        <v>1</v>
      </c>
      <c r="D5" s="3" t="n">
        <v>8</v>
      </c>
      <c r="E5" s="2" t="s">
        <v>484</v>
      </c>
    </row>
    <row r="6" customFormat="false" ht="15" hidden="false" customHeight="false" outlineLevel="0" collapsed="false">
      <c r="A6" s="2" t="s">
        <v>460</v>
      </c>
      <c r="B6" s="2" t="s">
        <v>442</v>
      </c>
      <c r="C6" s="4" t="n">
        <v>1</v>
      </c>
      <c r="D6" s="3" t="n">
        <v>8</v>
      </c>
      <c r="E6" s="2" t="s">
        <v>484</v>
      </c>
    </row>
    <row r="7" customFormat="false" ht="15" hidden="false" customHeight="false" outlineLevel="0" collapsed="false">
      <c r="A7" s="2" t="s">
        <v>461</v>
      </c>
      <c r="B7" s="2" t="s">
        <v>443</v>
      </c>
      <c r="C7" s="4" t="n">
        <v>1</v>
      </c>
      <c r="D7" s="3" t="n">
        <v>8</v>
      </c>
      <c r="E7" s="2" t="s">
        <v>484</v>
      </c>
    </row>
    <row r="8" customFormat="false" ht="15" hidden="false" customHeight="false" outlineLevel="0" collapsed="false">
      <c r="A8" s="2" t="s">
        <v>462</v>
      </c>
      <c r="B8" s="2" t="s">
        <v>444</v>
      </c>
      <c r="C8" s="4" t="n">
        <v>1</v>
      </c>
      <c r="D8" s="3" t="n">
        <v>8</v>
      </c>
      <c r="E8" s="2" t="s">
        <v>484</v>
      </c>
    </row>
    <row r="9" customFormat="false" ht="15" hidden="false" customHeight="false" outlineLevel="0" collapsed="false">
      <c r="A9" s="2" t="s">
        <v>463</v>
      </c>
      <c r="B9" s="2" t="s">
        <v>485</v>
      </c>
      <c r="C9" s="4" t="n">
        <v>1</v>
      </c>
      <c r="D9" s="3" t="n">
        <v>8</v>
      </c>
      <c r="E9" s="2" t="s">
        <v>484</v>
      </c>
    </row>
    <row r="10" customFormat="false" ht="15" hidden="false" customHeight="false" outlineLevel="0" collapsed="false">
      <c r="A10" s="2" t="s">
        <v>464</v>
      </c>
      <c r="B10" s="2" t="s">
        <v>486</v>
      </c>
      <c r="C10" s="4" t="n">
        <v>1</v>
      </c>
      <c r="D10" s="3" t="n">
        <v>8</v>
      </c>
      <c r="E10" s="2" t="s">
        <v>484</v>
      </c>
    </row>
    <row r="11" customFormat="false" ht="15" hidden="false" customHeight="false" outlineLevel="0" collapsed="false">
      <c r="A11" s="2" t="s">
        <v>465</v>
      </c>
      <c r="B11" s="2" t="s">
        <v>487</v>
      </c>
      <c r="C11" s="4" t="n">
        <v>1</v>
      </c>
      <c r="D11" s="3" t="n">
        <v>8</v>
      </c>
      <c r="E11" s="2" t="s">
        <v>484</v>
      </c>
    </row>
    <row r="12" customFormat="false" ht="15" hidden="false" customHeight="false" outlineLevel="0" collapsed="false">
      <c r="A12" s="2" t="s">
        <v>466</v>
      </c>
      <c r="B12" s="2" t="s">
        <v>452</v>
      </c>
      <c r="C12" s="4" t="n">
        <v>1</v>
      </c>
      <c r="D12" s="3" t="n">
        <v>8</v>
      </c>
      <c r="E12" s="2" t="s">
        <v>484</v>
      </c>
    </row>
    <row r="13" customFormat="false" ht="15" hidden="false" customHeight="false" outlineLevel="0" collapsed="false">
      <c r="A13" s="2" t="s">
        <v>467</v>
      </c>
      <c r="B13" s="2" t="s">
        <v>386</v>
      </c>
      <c r="C13" s="4" t="n">
        <v>1</v>
      </c>
      <c r="D13" s="3" t="n">
        <v>8</v>
      </c>
      <c r="E13" s="2" t="s">
        <v>484</v>
      </c>
    </row>
    <row r="14" customFormat="false" ht="15" hidden="false" customHeight="false" outlineLevel="0" collapsed="false">
      <c r="A14" s="2" t="s">
        <v>468</v>
      </c>
      <c r="B14" s="2" t="s">
        <v>442</v>
      </c>
      <c r="C14" s="4" t="n">
        <v>1</v>
      </c>
      <c r="D14" s="3" t="n">
        <v>8</v>
      </c>
      <c r="E14" s="2" t="s">
        <v>484</v>
      </c>
    </row>
    <row r="15" customFormat="false" ht="15" hidden="false" customHeight="false" outlineLevel="0" collapsed="false">
      <c r="A15" s="2" t="s">
        <v>469</v>
      </c>
      <c r="B15" s="2" t="s">
        <v>488</v>
      </c>
      <c r="C15" s="4" t="n">
        <v>1</v>
      </c>
      <c r="D15" s="3" t="n">
        <v>8</v>
      </c>
      <c r="E15" s="2" t="s">
        <v>484</v>
      </c>
    </row>
    <row r="16" customFormat="false" ht="15" hidden="false" customHeight="false" outlineLevel="0" collapsed="false">
      <c r="A16" s="2" t="s">
        <v>470</v>
      </c>
      <c r="B16" s="2" t="s">
        <v>489</v>
      </c>
      <c r="C16" s="4" t="n">
        <v>1</v>
      </c>
      <c r="D16" s="3" t="n">
        <v>8</v>
      </c>
      <c r="E16" s="2" t="s">
        <v>484</v>
      </c>
    </row>
    <row r="17" customFormat="false" ht="15" hidden="false" customHeight="false" outlineLevel="0" collapsed="false">
      <c r="A17" s="2" t="s">
        <v>471</v>
      </c>
      <c r="B17" s="2" t="s">
        <v>485</v>
      </c>
      <c r="C17" s="4" t="n">
        <v>1</v>
      </c>
      <c r="D17" s="3" t="n">
        <v>8</v>
      </c>
      <c r="E17" s="2" t="s">
        <v>484</v>
      </c>
    </row>
    <row r="18" customFormat="false" ht="15" hidden="false" customHeight="false" outlineLevel="0" collapsed="false">
      <c r="A18" s="2" t="s">
        <v>472</v>
      </c>
      <c r="B18" s="2" t="s">
        <v>390</v>
      </c>
      <c r="C18" s="4" t="n">
        <v>1</v>
      </c>
      <c r="D18" s="3" t="n">
        <v>8</v>
      </c>
      <c r="E18" s="2" t="s">
        <v>484</v>
      </c>
    </row>
    <row r="19" customFormat="false" ht="15" hidden="false" customHeight="false" outlineLevel="0" collapsed="false">
      <c r="A19" s="2" t="s">
        <v>473</v>
      </c>
      <c r="B19" s="2" t="s">
        <v>390</v>
      </c>
      <c r="C19" s="4" t="n">
        <v>1</v>
      </c>
      <c r="D19" s="3" t="n">
        <v>8</v>
      </c>
      <c r="E19" s="2" t="s">
        <v>484</v>
      </c>
    </row>
    <row r="20" customFormat="false" ht="15" hidden="false" customHeight="false" outlineLevel="0" collapsed="false">
      <c r="A20" s="2" t="s">
        <v>474</v>
      </c>
      <c r="B20" s="2" t="s">
        <v>442</v>
      </c>
      <c r="C20" s="4" t="n">
        <v>1</v>
      </c>
      <c r="D20" s="3" t="n">
        <v>8</v>
      </c>
      <c r="E20" s="2" t="s">
        <v>484</v>
      </c>
    </row>
    <row r="21" customFormat="false" ht="15" hidden="false" customHeight="false" outlineLevel="0" collapsed="false">
      <c r="A21" s="2" t="s">
        <v>475</v>
      </c>
      <c r="B21" s="2" t="s">
        <v>442</v>
      </c>
      <c r="C21" s="4" t="n">
        <v>1</v>
      </c>
      <c r="D21" s="3" t="n">
        <v>8</v>
      </c>
      <c r="E21" s="2" t="s">
        <v>484</v>
      </c>
    </row>
    <row r="22" customFormat="false" ht="15" hidden="false" customHeight="false" outlineLevel="0" collapsed="false">
      <c r="A22" s="2" t="s">
        <v>476</v>
      </c>
      <c r="B22" s="2" t="s">
        <v>379</v>
      </c>
      <c r="C22" s="4" t="n">
        <v>1</v>
      </c>
      <c r="D22" s="3" t="n">
        <v>8</v>
      </c>
      <c r="E22" s="2" t="s">
        <v>484</v>
      </c>
    </row>
    <row r="23" customFormat="false" ht="15" hidden="false" customHeight="false" outlineLevel="0" collapsed="false">
      <c r="A23" s="2" t="s">
        <v>477</v>
      </c>
      <c r="B23" s="2" t="s">
        <v>485</v>
      </c>
      <c r="C23" s="4" t="n">
        <v>1</v>
      </c>
      <c r="D23" s="3" t="n">
        <v>8</v>
      </c>
      <c r="E23" s="2" t="s">
        <v>484</v>
      </c>
    </row>
    <row r="24" customFormat="false" ht="15" hidden="false" customHeight="false" outlineLevel="0" collapsed="false">
      <c r="A24" s="2" t="s">
        <v>478</v>
      </c>
      <c r="B24" s="2" t="s">
        <v>486</v>
      </c>
      <c r="C24" s="4" t="n">
        <v>1</v>
      </c>
      <c r="D24" s="3" t="n">
        <v>8</v>
      </c>
      <c r="E24" s="2" t="s">
        <v>484</v>
      </c>
    </row>
    <row r="25" customFormat="false" ht="15" hidden="false" customHeight="false" outlineLevel="0" collapsed="false">
      <c r="A25" s="2" t="s">
        <v>479</v>
      </c>
      <c r="B25" s="2" t="s">
        <v>487</v>
      </c>
      <c r="C25" s="4" t="n">
        <v>1</v>
      </c>
      <c r="D25" s="3" t="n">
        <v>8</v>
      </c>
      <c r="E25" s="2" t="s">
        <v>484</v>
      </c>
    </row>
    <row r="26" customFormat="false" ht="15" hidden="false" customHeight="false" outlineLevel="0" collapsed="false">
      <c r="A26" s="2" t="s">
        <v>480</v>
      </c>
      <c r="B26" s="2" t="s">
        <v>386</v>
      </c>
      <c r="C26" s="4" t="n">
        <v>1</v>
      </c>
      <c r="D26" s="3" t="n">
        <v>8</v>
      </c>
      <c r="E26" s="2" t="s">
        <v>484</v>
      </c>
    </row>
  </sheetData>
  <autoFilter ref="A1:E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E3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11"/>
    <col collapsed="false" customWidth="true" hidden="false" outlineLevel="0" max="5" min="5" style="0" width="12"/>
  </cols>
  <sheetData>
    <row r="1" customFormat="false" ht="31.5" hidden="false" customHeight="true" outlineLevel="0" collapsed="false">
      <c r="A1" s="1" t="s">
        <v>490</v>
      </c>
      <c r="B1" s="1" t="s">
        <v>491</v>
      </c>
      <c r="C1" s="1" t="s">
        <v>492</v>
      </c>
      <c r="D1" s="1" t="s">
        <v>493</v>
      </c>
      <c r="E1" s="1" t="s">
        <v>64</v>
      </c>
    </row>
    <row r="2" customFormat="false" ht="15" hidden="false" customHeight="false" outlineLevel="0" collapsed="false">
      <c r="A2" s="15" t="n">
        <v>45658</v>
      </c>
      <c r="B2" s="4" t="n">
        <v>1</v>
      </c>
      <c r="C2" s="2" t="s">
        <v>494</v>
      </c>
      <c r="D2" s="5" t="n">
        <f aca="false">IF(AND(p_aplicar_feriados=1,C2&lt;&gt;""),0,B2)</f>
        <v>1</v>
      </c>
      <c r="E2" s="2" t="s">
        <v>82</v>
      </c>
    </row>
    <row r="3" customFormat="false" ht="15" hidden="false" customHeight="false" outlineLevel="0" collapsed="false">
      <c r="A3" s="15" t="n">
        <v>45659</v>
      </c>
      <c r="B3" s="4" t="n">
        <v>1</v>
      </c>
      <c r="D3" s="5" t="n">
        <f aca="false">IF(AND(p_aplicar_feriados=1,C3&lt;&gt;""),0,B3)</f>
        <v>1</v>
      </c>
      <c r="E3" s="2" t="s">
        <v>82</v>
      </c>
    </row>
    <row r="4" customFormat="false" ht="15" hidden="false" customHeight="false" outlineLevel="0" collapsed="false">
      <c r="A4" s="15" t="n">
        <v>45660</v>
      </c>
      <c r="B4" s="4" t="n">
        <v>1</v>
      </c>
      <c r="D4" s="5" t="n">
        <f aca="false">IF(AND(p_aplicar_feriados=1,C4&lt;&gt;""),0,B4)</f>
        <v>1</v>
      </c>
      <c r="E4" s="2" t="s">
        <v>82</v>
      </c>
    </row>
    <row r="5" customFormat="false" ht="15" hidden="false" customHeight="false" outlineLevel="0" collapsed="false">
      <c r="A5" s="15" t="n">
        <v>45661</v>
      </c>
      <c r="B5" s="4" t="n">
        <v>0</v>
      </c>
      <c r="D5" s="5" t="n">
        <f aca="false">IF(AND(p_aplicar_feriados=1,C5&lt;&gt;""),0,B5)</f>
        <v>0</v>
      </c>
      <c r="E5" s="2" t="s">
        <v>82</v>
      </c>
    </row>
    <row r="6" customFormat="false" ht="15" hidden="false" customHeight="false" outlineLevel="0" collapsed="false">
      <c r="A6" s="15" t="n">
        <v>45662</v>
      </c>
      <c r="B6" s="4" t="n">
        <v>0</v>
      </c>
      <c r="D6" s="5" t="n">
        <f aca="false">IF(AND(p_aplicar_feriados=1,C6&lt;&gt;""),0,B6)</f>
        <v>0</v>
      </c>
      <c r="E6" s="2" t="s">
        <v>82</v>
      </c>
    </row>
    <row r="7" customFormat="false" ht="15" hidden="false" customHeight="false" outlineLevel="0" collapsed="false">
      <c r="A7" s="15" t="n">
        <v>45663</v>
      </c>
      <c r="B7" s="4" t="n">
        <v>1</v>
      </c>
      <c r="D7" s="5" t="n">
        <f aca="false">IF(AND(p_aplicar_feriados=1,C7&lt;&gt;""),0,B7)</f>
        <v>1</v>
      </c>
      <c r="E7" s="2" t="s">
        <v>82</v>
      </c>
    </row>
    <row r="8" customFormat="false" ht="15" hidden="false" customHeight="false" outlineLevel="0" collapsed="false">
      <c r="A8" s="15" t="n">
        <v>45664</v>
      </c>
      <c r="B8" s="4" t="n">
        <v>1</v>
      </c>
      <c r="D8" s="5" t="n">
        <f aca="false">IF(AND(p_aplicar_feriados=1,C8&lt;&gt;""),0,B8)</f>
        <v>1</v>
      </c>
      <c r="E8" s="2" t="s">
        <v>82</v>
      </c>
    </row>
    <row r="9" customFormat="false" ht="15" hidden="false" customHeight="false" outlineLevel="0" collapsed="false">
      <c r="A9" s="15" t="n">
        <v>45665</v>
      </c>
      <c r="B9" s="4" t="n">
        <v>1</v>
      </c>
      <c r="D9" s="5" t="n">
        <f aca="false">IF(AND(p_aplicar_feriados=1,C9&lt;&gt;""),0,B9)</f>
        <v>1</v>
      </c>
      <c r="E9" s="2" t="s">
        <v>82</v>
      </c>
    </row>
    <row r="10" customFormat="false" ht="15" hidden="false" customHeight="false" outlineLevel="0" collapsed="false">
      <c r="A10" s="15" t="n">
        <v>45666</v>
      </c>
      <c r="B10" s="4" t="n">
        <v>1</v>
      </c>
      <c r="D10" s="5" t="n">
        <f aca="false">IF(AND(p_aplicar_feriados=1,C10&lt;&gt;""),0,B10)</f>
        <v>1</v>
      </c>
      <c r="E10" s="2" t="s">
        <v>82</v>
      </c>
    </row>
    <row r="11" customFormat="false" ht="15" hidden="false" customHeight="false" outlineLevel="0" collapsed="false">
      <c r="A11" s="15" t="n">
        <v>45667</v>
      </c>
      <c r="B11" s="4" t="n">
        <v>1</v>
      </c>
      <c r="D11" s="5" t="n">
        <f aca="false">IF(AND(p_aplicar_feriados=1,C11&lt;&gt;""),0,B11)</f>
        <v>1</v>
      </c>
      <c r="E11" s="2" t="s">
        <v>82</v>
      </c>
    </row>
    <row r="12" customFormat="false" ht="15" hidden="false" customHeight="false" outlineLevel="0" collapsed="false">
      <c r="A12" s="15" t="n">
        <v>45668</v>
      </c>
      <c r="B12" s="4" t="n">
        <v>0</v>
      </c>
      <c r="D12" s="5" t="n">
        <f aca="false">IF(AND(p_aplicar_feriados=1,C12&lt;&gt;""),0,B12)</f>
        <v>0</v>
      </c>
      <c r="E12" s="2" t="s">
        <v>82</v>
      </c>
    </row>
    <row r="13" customFormat="false" ht="15" hidden="false" customHeight="false" outlineLevel="0" collapsed="false">
      <c r="A13" s="15" t="n">
        <v>45669</v>
      </c>
      <c r="B13" s="4" t="n">
        <v>0</v>
      </c>
      <c r="D13" s="5" t="n">
        <f aca="false">IF(AND(p_aplicar_feriados=1,C13&lt;&gt;""),0,B13)</f>
        <v>0</v>
      </c>
      <c r="E13" s="2" t="s">
        <v>82</v>
      </c>
    </row>
    <row r="14" customFormat="false" ht="15" hidden="false" customHeight="false" outlineLevel="0" collapsed="false">
      <c r="A14" s="15" t="n">
        <v>45670</v>
      </c>
      <c r="B14" s="4" t="n">
        <v>1</v>
      </c>
      <c r="D14" s="5" t="n">
        <f aca="false">IF(AND(p_aplicar_feriados=1,C14&lt;&gt;""),0,B14)</f>
        <v>1</v>
      </c>
      <c r="E14" s="2" t="s">
        <v>82</v>
      </c>
    </row>
    <row r="15" customFormat="false" ht="15" hidden="false" customHeight="false" outlineLevel="0" collapsed="false">
      <c r="A15" s="15" t="n">
        <v>45671</v>
      </c>
      <c r="B15" s="4" t="n">
        <v>1</v>
      </c>
      <c r="D15" s="5" t="n">
        <f aca="false">IF(AND(p_aplicar_feriados=1,C15&lt;&gt;""),0,B15)</f>
        <v>1</v>
      </c>
      <c r="E15" s="2" t="s">
        <v>82</v>
      </c>
    </row>
    <row r="16" customFormat="false" ht="15" hidden="false" customHeight="false" outlineLevel="0" collapsed="false">
      <c r="A16" s="15" t="n">
        <v>45672</v>
      </c>
      <c r="B16" s="4" t="n">
        <v>1</v>
      </c>
      <c r="D16" s="5" t="n">
        <f aca="false">IF(AND(p_aplicar_feriados=1,C16&lt;&gt;""),0,B16)</f>
        <v>1</v>
      </c>
      <c r="E16" s="2" t="s">
        <v>82</v>
      </c>
    </row>
    <row r="17" customFormat="false" ht="15" hidden="false" customHeight="false" outlineLevel="0" collapsed="false">
      <c r="A17" s="15" t="n">
        <v>45673</v>
      </c>
      <c r="B17" s="4" t="n">
        <v>1</v>
      </c>
      <c r="D17" s="5" t="n">
        <f aca="false">IF(AND(p_aplicar_feriados=1,C17&lt;&gt;""),0,B17)</f>
        <v>1</v>
      </c>
      <c r="E17" s="2" t="s">
        <v>82</v>
      </c>
    </row>
    <row r="18" customFormat="false" ht="15" hidden="false" customHeight="false" outlineLevel="0" collapsed="false">
      <c r="A18" s="15" t="n">
        <v>45674</v>
      </c>
      <c r="B18" s="4" t="n">
        <v>1</v>
      </c>
      <c r="D18" s="5" t="n">
        <f aca="false">IF(AND(p_aplicar_feriados=1,C18&lt;&gt;""),0,B18)</f>
        <v>1</v>
      </c>
      <c r="E18" s="2" t="s">
        <v>82</v>
      </c>
    </row>
    <row r="19" customFormat="false" ht="15" hidden="false" customHeight="false" outlineLevel="0" collapsed="false">
      <c r="A19" s="15" t="n">
        <v>45675</v>
      </c>
      <c r="B19" s="4" t="n">
        <v>0</v>
      </c>
      <c r="D19" s="5" t="n">
        <f aca="false">IF(AND(p_aplicar_feriados=1,C19&lt;&gt;""),0,B19)</f>
        <v>0</v>
      </c>
      <c r="E19" s="2" t="s">
        <v>82</v>
      </c>
    </row>
    <row r="20" customFormat="false" ht="15" hidden="false" customHeight="false" outlineLevel="0" collapsed="false">
      <c r="A20" s="15" t="n">
        <v>45676</v>
      </c>
      <c r="B20" s="4" t="n">
        <v>0</v>
      </c>
      <c r="D20" s="5" t="n">
        <f aca="false">IF(AND(p_aplicar_feriados=1,C20&lt;&gt;""),0,B20)</f>
        <v>0</v>
      </c>
      <c r="E20" s="2" t="s">
        <v>82</v>
      </c>
    </row>
    <row r="21" customFormat="false" ht="15" hidden="false" customHeight="false" outlineLevel="0" collapsed="false">
      <c r="A21" s="15" t="n">
        <v>45677</v>
      </c>
      <c r="B21" s="4" t="n">
        <v>1</v>
      </c>
      <c r="D21" s="5" t="n">
        <f aca="false">IF(AND(p_aplicar_feriados=1,C21&lt;&gt;""),0,B21)</f>
        <v>1</v>
      </c>
      <c r="E21" s="2" t="s">
        <v>82</v>
      </c>
    </row>
    <row r="22" customFormat="false" ht="15" hidden="false" customHeight="false" outlineLevel="0" collapsed="false">
      <c r="A22" s="15" t="n">
        <v>45678</v>
      </c>
      <c r="B22" s="4" t="n">
        <v>1</v>
      </c>
      <c r="D22" s="5" t="n">
        <f aca="false">IF(AND(p_aplicar_feriados=1,C22&lt;&gt;""),0,B22)</f>
        <v>1</v>
      </c>
      <c r="E22" s="2" t="s">
        <v>82</v>
      </c>
    </row>
    <row r="23" customFormat="false" ht="15" hidden="false" customHeight="false" outlineLevel="0" collapsed="false">
      <c r="A23" s="15" t="n">
        <v>45679</v>
      </c>
      <c r="B23" s="4" t="n">
        <v>1</v>
      </c>
      <c r="D23" s="5" t="n">
        <f aca="false">IF(AND(p_aplicar_feriados=1,C23&lt;&gt;""),0,B23)</f>
        <v>1</v>
      </c>
      <c r="E23" s="2" t="s">
        <v>82</v>
      </c>
    </row>
    <row r="24" customFormat="false" ht="15" hidden="false" customHeight="false" outlineLevel="0" collapsed="false">
      <c r="A24" s="15" t="n">
        <v>45680</v>
      </c>
      <c r="B24" s="4" t="n">
        <v>1</v>
      </c>
      <c r="D24" s="5" t="n">
        <f aca="false">IF(AND(p_aplicar_feriados=1,C24&lt;&gt;""),0,B24)</f>
        <v>1</v>
      </c>
      <c r="E24" s="2" t="s">
        <v>82</v>
      </c>
    </row>
    <row r="25" customFormat="false" ht="15" hidden="false" customHeight="false" outlineLevel="0" collapsed="false">
      <c r="A25" s="15" t="n">
        <v>45681</v>
      </c>
      <c r="B25" s="4" t="n">
        <v>1</v>
      </c>
      <c r="D25" s="5" t="n">
        <f aca="false">IF(AND(p_aplicar_feriados=1,C25&lt;&gt;""),0,B25)</f>
        <v>1</v>
      </c>
      <c r="E25" s="2" t="s">
        <v>82</v>
      </c>
    </row>
    <row r="26" customFormat="false" ht="15" hidden="false" customHeight="false" outlineLevel="0" collapsed="false">
      <c r="A26" s="15" t="n">
        <v>45682</v>
      </c>
      <c r="B26" s="4" t="n">
        <v>0</v>
      </c>
      <c r="D26" s="5" t="n">
        <f aca="false">IF(AND(p_aplicar_feriados=1,C26&lt;&gt;""),0,B26)</f>
        <v>0</v>
      </c>
      <c r="E26" s="2" t="s">
        <v>82</v>
      </c>
    </row>
    <row r="27" customFormat="false" ht="15" hidden="false" customHeight="false" outlineLevel="0" collapsed="false">
      <c r="A27" s="15" t="n">
        <v>45683</v>
      </c>
      <c r="B27" s="4" t="n">
        <v>0</v>
      </c>
      <c r="D27" s="5" t="n">
        <f aca="false">IF(AND(p_aplicar_feriados=1,C27&lt;&gt;""),0,B27)</f>
        <v>0</v>
      </c>
      <c r="E27" s="2" t="s">
        <v>82</v>
      </c>
    </row>
    <row r="28" customFormat="false" ht="15" hidden="false" customHeight="false" outlineLevel="0" collapsed="false">
      <c r="A28" s="15" t="n">
        <v>45684</v>
      </c>
      <c r="B28" s="4" t="n">
        <v>1</v>
      </c>
      <c r="D28" s="5" t="n">
        <f aca="false">IF(AND(p_aplicar_feriados=1,C28&lt;&gt;""),0,B28)</f>
        <v>1</v>
      </c>
      <c r="E28" s="2" t="s">
        <v>82</v>
      </c>
    </row>
    <row r="29" customFormat="false" ht="15" hidden="false" customHeight="false" outlineLevel="0" collapsed="false">
      <c r="A29" s="15" t="n">
        <v>45685</v>
      </c>
      <c r="B29" s="4" t="n">
        <v>1</v>
      </c>
      <c r="D29" s="5" t="n">
        <f aca="false">IF(AND(p_aplicar_feriados=1,C29&lt;&gt;""),0,B29)</f>
        <v>1</v>
      </c>
      <c r="E29" s="2" t="s">
        <v>82</v>
      </c>
    </row>
    <row r="30" customFormat="false" ht="15" hidden="false" customHeight="false" outlineLevel="0" collapsed="false">
      <c r="A30" s="15" t="n">
        <v>45686</v>
      </c>
      <c r="B30" s="4" t="n">
        <v>1</v>
      </c>
      <c r="D30" s="5" t="n">
        <f aca="false">IF(AND(p_aplicar_feriados=1,C30&lt;&gt;""),0,B30)</f>
        <v>1</v>
      </c>
      <c r="E30" s="2" t="s">
        <v>82</v>
      </c>
    </row>
    <row r="31" customFormat="false" ht="15" hidden="false" customHeight="false" outlineLevel="0" collapsed="false">
      <c r="A31" s="15" t="n">
        <v>45687</v>
      </c>
      <c r="B31" s="4" t="n">
        <v>1</v>
      </c>
      <c r="D31" s="5" t="n">
        <f aca="false">IF(AND(p_aplicar_feriados=1,C31&lt;&gt;""),0,B31)</f>
        <v>1</v>
      </c>
      <c r="E31" s="2" t="s">
        <v>82</v>
      </c>
    </row>
    <row r="32" customFormat="false" ht="15" hidden="false" customHeight="false" outlineLevel="0" collapsed="false">
      <c r="A32" s="15" t="n">
        <v>45688</v>
      </c>
      <c r="B32" s="4" t="n">
        <v>1</v>
      </c>
      <c r="D32" s="5" t="n">
        <f aca="false">IF(AND(p_aplicar_feriados=1,C32&lt;&gt;""),0,B32)</f>
        <v>1</v>
      </c>
      <c r="E32" s="2" t="s">
        <v>82</v>
      </c>
    </row>
    <row r="33" customFormat="false" ht="15" hidden="false" customHeight="false" outlineLevel="0" collapsed="false">
      <c r="A33" s="15" t="n">
        <v>45689</v>
      </c>
      <c r="B33" s="4" t="n">
        <v>0</v>
      </c>
      <c r="D33" s="5" t="n">
        <f aca="false">IF(AND(p_aplicar_feriados=1,C33&lt;&gt;""),0,B33)</f>
        <v>0</v>
      </c>
      <c r="E33" s="2" t="s">
        <v>82</v>
      </c>
    </row>
    <row r="34" customFormat="false" ht="15" hidden="false" customHeight="false" outlineLevel="0" collapsed="false">
      <c r="A34" s="15" t="n">
        <v>45690</v>
      </c>
      <c r="B34" s="4" t="n">
        <v>0</v>
      </c>
      <c r="D34" s="5" t="n">
        <f aca="false">IF(AND(p_aplicar_feriados=1,C34&lt;&gt;""),0,B34)</f>
        <v>0</v>
      </c>
      <c r="E34" s="2" t="s">
        <v>82</v>
      </c>
    </row>
    <row r="35" customFormat="false" ht="15" hidden="false" customHeight="false" outlineLevel="0" collapsed="false">
      <c r="A35" s="15" t="n">
        <v>45691</v>
      </c>
      <c r="B35" s="4" t="n">
        <v>1</v>
      </c>
      <c r="D35" s="5" t="n">
        <f aca="false">IF(AND(p_aplicar_feriados=1,C35&lt;&gt;""),0,B35)</f>
        <v>1</v>
      </c>
      <c r="E35" s="2" t="s">
        <v>82</v>
      </c>
    </row>
    <row r="36" customFormat="false" ht="15" hidden="false" customHeight="false" outlineLevel="0" collapsed="false">
      <c r="A36" s="15" t="n">
        <v>45692</v>
      </c>
      <c r="B36" s="4" t="n">
        <v>1</v>
      </c>
      <c r="D36" s="5" t="n">
        <f aca="false">IF(AND(p_aplicar_feriados=1,C36&lt;&gt;""),0,B36)</f>
        <v>1</v>
      </c>
      <c r="E36" s="2" t="s">
        <v>82</v>
      </c>
    </row>
    <row r="37" customFormat="false" ht="15" hidden="false" customHeight="false" outlineLevel="0" collapsed="false">
      <c r="A37" s="15" t="n">
        <v>45693</v>
      </c>
      <c r="B37" s="4" t="n">
        <v>1</v>
      </c>
      <c r="D37" s="5" t="n">
        <f aca="false">IF(AND(p_aplicar_feriados=1,C37&lt;&gt;""),0,B37)</f>
        <v>1</v>
      </c>
      <c r="E37" s="2" t="s">
        <v>82</v>
      </c>
    </row>
    <row r="38" customFormat="false" ht="15" hidden="false" customHeight="false" outlineLevel="0" collapsed="false">
      <c r="A38" s="15" t="n">
        <v>45694</v>
      </c>
      <c r="B38" s="4" t="n">
        <v>1</v>
      </c>
      <c r="D38" s="5" t="n">
        <f aca="false">IF(AND(p_aplicar_feriados=1,C38&lt;&gt;""),0,B38)</f>
        <v>1</v>
      </c>
      <c r="E38" s="2" t="s">
        <v>82</v>
      </c>
    </row>
    <row r="39" customFormat="false" ht="15" hidden="false" customHeight="false" outlineLevel="0" collapsed="false">
      <c r="A39" s="15" t="n">
        <v>45695</v>
      </c>
      <c r="B39" s="4" t="n">
        <v>1</v>
      </c>
      <c r="D39" s="5" t="n">
        <f aca="false">IF(AND(p_aplicar_feriados=1,C39&lt;&gt;""),0,B39)</f>
        <v>1</v>
      </c>
      <c r="E39" s="2" t="s">
        <v>82</v>
      </c>
    </row>
    <row r="40" customFormat="false" ht="15" hidden="false" customHeight="false" outlineLevel="0" collapsed="false">
      <c r="A40" s="15" t="n">
        <v>45696</v>
      </c>
      <c r="B40" s="4" t="n">
        <v>0</v>
      </c>
      <c r="D40" s="5" t="n">
        <f aca="false">IF(AND(p_aplicar_feriados=1,C40&lt;&gt;""),0,B40)</f>
        <v>0</v>
      </c>
      <c r="E40" s="2" t="s">
        <v>82</v>
      </c>
    </row>
    <row r="41" customFormat="false" ht="15" hidden="false" customHeight="false" outlineLevel="0" collapsed="false">
      <c r="A41" s="15" t="n">
        <v>45697</v>
      </c>
      <c r="B41" s="4" t="n">
        <v>0</v>
      </c>
      <c r="D41" s="5" t="n">
        <f aca="false">IF(AND(p_aplicar_feriados=1,C41&lt;&gt;""),0,B41)</f>
        <v>0</v>
      </c>
      <c r="E41" s="2" t="s">
        <v>82</v>
      </c>
    </row>
    <row r="42" customFormat="false" ht="15" hidden="false" customHeight="false" outlineLevel="0" collapsed="false">
      <c r="A42" s="15" t="n">
        <v>45698</v>
      </c>
      <c r="B42" s="4" t="n">
        <v>1</v>
      </c>
      <c r="D42" s="5" t="n">
        <f aca="false">IF(AND(p_aplicar_feriados=1,C42&lt;&gt;""),0,B42)</f>
        <v>1</v>
      </c>
      <c r="E42" s="2" t="s">
        <v>82</v>
      </c>
    </row>
    <row r="43" customFormat="false" ht="15" hidden="false" customHeight="false" outlineLevel="0" collapsed="false">
      <c r="A43" s="15" t="n">
        <v>45699</v>
      </c>
      <c r="B43" s="4" t="n">
        <v>1</v>
      </c>
      <c r="D43" s="5" t="n">
        <f aca="false">IF(AND(p_aplicar_feriados=1,C43&lt;&gt;""),0,B43)</f>
        <v>1</v>
      </c>
      <c r="E43" s="2" t="s">
        <v>82</v>
      </c>
    </row>
    <row r="44" customFormat="false" ht="15" hidden="false" customHeight="false" outlineLevel="0" collapsed="false">
      <c r="A44" s="15" t="n">
        <v>45700</v>
      </c>
      <c r="B44" s="4" t="n">
        <v>1</v>
      </c>
      <c r="D44" s="5" t="n">
        <f aca="false">IF(AND(p_aplicar_feriados=1,C44&lt;&gt;""),0,B44)</f>
        <v>1</v>
      </c>
      <c r="E44" s="2" t="s">
        <v>82</v>
      </c>
    </row>
    <row r="45" customFormat="false" ht="15" hidden="false" customHeight="false" outlineLevel="0" collapsed="false">
      <c r="A45" s="15" t="n">
        <v>45701</v>
      </c>
      <c r="B45" s="4" t="n">
        <v>1</v>
      </c>
      <c r="D45" s="5" t="n">
        <f aca="false">IF(AND(p_aplicar_feriados=1,C45&lt;&gt;""),0,B45)</f>
        <v>1</v>
      </c>
      <c r="E45" s="2" t="s">
        <v>82</v>
      </c>
    </row>
    <row r="46" customFormat="false" ht="15" hidden="false" customHeight="false" outlineLevel="0" collapsed="false">
      <c r="A46" s="15" t="n">
        <v>45702</v>
      </c>
      <c r="B46" s="4" t="n">
        <v>1</v>
      </c>
      <c r="D46" s="5" t="n">
        <f aca="false">IF(AND(p_aplicar_feriados=1,C46&lt;&gt;""),0,B46)</f>
        <v>1</v>
      </c>
      <c r="E46" s="2" t="s">
        <v>82</v>
      </c>
    </row>
    <row r="47" customFormat="false" ht="15" hidden="false" customHeight="false" outlineLevel="0" collapsed="false">
      <c r="A47" s="15" t="n">
        <v>45703</v>
      </c>
      <c r="B47" s="4" t="n">
        <v>0</v>
      </c>
      <c r="D47" s="5" t="n">
        <f aca="false">IF(AND(p_aplicar_feriados=1,C47&lt;&gt;""),0,B47)</f>
        <v>0</v>
      </c>
      <c r="E47" s="2" t="s">
        <v>82</v>
      </c>
    </row>
    <row r="48" customFormat="false" ht="15" hidden="false" customHeight="false" outlineLevel="0" collapsed="false">
      <c r="A48" s="15" t="n">
        <v>45704</v>
      </c>
      <c r="B48" s="4" t="n">
        <v>0</v>
      </c>
      <c r="D48" s="5" t="n">
        <f aca="false">IF(AND(p_aplicar_feriados=1,C48&lt;&gt;""),0,B48)</f>
        <v>0</v>
      </c>
      <c r="E48" s="2" t="s">
        <v>82</v>
      </c>
    </row>
    <row r="49" customFormat="false" ht="15" hidden="false" customHeight="false" outlineLevel="0" collapsed="false">
      <c r="A49" s="15" t="n">
        <v>45705</v>
      </c>
      <c r="B49" s="4" t="n">
        <v>1</v>
      </c>
      <c r="D49" s="5" t="n">
        <f aca="false">IF(AND(p_aplicar_feriados=1,C49&lt;&gt;""),0,B49)</f>
        <v>1</v>
      </c>
      <c r="E49" s="2" t="s">
        <v>82</v>
      </c>
    </row>
    <row r="50" customFormat="false" ht="15" hidden="false" customHeight="false" outlineLevel="0" collapsed="false">
      <c r="A50" s="15" t="n">
        <v>45706</v>
      </c>
      <c r="B50" s="4" t="n">
        <v>1</v>
      </c>
      <c r="D50" s="5" t="n">
        <f aca="false">IF(AND(p_aplicar_feriados=1,C50&lt;&gt;""),0,B50)</f>
        <v>1</v>
      </c>
      <c r="E50" s="2" t="s">
        <v>82</v>
      </c>
    </row>
    <row r="51" customFormat="false" ht="15" hidden="false" customHeight="false" outlineLevel="0" collapsed="false">
      <c r="A51" s="15" t="n">
        <v>45707</v>
      </c>
      <c r="B51" s="4" t="n">
        <v>1</v>
      </c>
      <c r="D51" s="5" t="n">
        <f aca="false">IF(AND(p_aplicar_feriados=1,C51&lt;&gt;""),0,B51)</f>
        <v>1</v>
      </c>
      <c r="E51" s="2" t="s">
        <v>82</v>
      </c>
    </row>
    <row r="52" customFormat="false" ht="15" hidden="false" customHeight="false" outlineLevel="0" collapsed="false">
      <c r="A52" s="15" t="n">
        <v>45708</v>
      </c>
      <c r="B52" s="4" t="n">
        <v>1</v>
      </c>
      <c r="D52" s="5" t="n">
        <f aca="false">IF(AND(p_aplicar_feriados=1,C52&lt;&gt;""),0,B52)</f>
        <v>1</v>
      </c>
      <c r="E52" s="2" t="s">
        <v>82</v>
      </c>
    </row>
    <row r="53" customFormat="false" ht="15" hidden="false" customHeight="false" outlineLevel="0" collapsed="false">
      <c r="A53" s="15" t="n">
        <v>45709</v>
      </c>
      <c r="B53" s="4" t="n">
        <v>1</v>
      </c>
      <c r="D53" s="5" t="n">
        <f aca="false">IF(AND(p_aplicar_feriados=1,C53&lt;&gt;""),0,B53)</f>
        <v>1</v>
      </c>
      <c r="E53" s="2" t="s">
        <v>82</v>
      </c>
    </row>
    <row r="54" customFormat="false" ht="15" hidden="false" customHeight="false" outlineLevel="0" collapsed="false">
      <c r="A54" s="15" t="n">
        <v>45710</v>
      </c>
      <c r="B54" s="4" t="n">
        <v>0</v>
      </c>
      <c r="D54" s="5" t="n">
        <f aca="false">IF(AND(p_aplicar_feriados=1,C54&lt;&gt;""),0,B54)</f>
        <v>0</v>
      </c>
      <c r="E54" s="2" t="s">
        <v>82</v>
      </c>
    </row>
    <row r="55" customFormat="false" ht="15" hidden="false" customHeight="false" outlineLevel="0" collapsed="false">
      <c r="A55" s="15" t="n">
        <v>45711</v>
      </c>
      <c r="B55" s="4" t="n">
        <v>0</v>
      </c>
      <c r="D55" s="5" t="n">
        <f aca="false">IF(AND(p_aplicar_feriados=1,C55&lt;&gt;""),0,B55)</f>
        <v>0</v>
      </c>
      <c r="E55" s="2" t="s">
        <v>82</v>
      </c>
    </row>
    <row r="56" customFormat="false" ht="15" hidden="false" customHeight="false" outlineLevel="0" collapsed="false">
      <c r="A56" s="15" t="n">
        <v>45712</v>
      </c>
      <c r="B56" s="4" t="n">
        <v>1</v>
      </c>
      <c r="D56" s="5" t="n">
        <f aca="false">IF(AND(p_aplicar_feriados=1,C56&lt;&gt;""),0,B56)</f>
        <v>1</v>
      </c>
      <c r="E56" s="2" t="s">
        <v>82</v>
      </c>
    </row>
    <row r="57" customFormat="false" ht="15" hidden="false" customHeight="false" outlineLevel="0" collapsed="false">
      <c r="A57" s="15" t="n">
        <v>45713</v>
      </c>
      <c r="B57" s="4" t="n">
        <v>1</v>
      </c>
      <c r="D57" s="5" t="n">
        <f aca="false">IF(AND(p_aplicar_feriados=1,C57&lt;&gt;""),0,B57)</f>
        <v>1</v>
      </c>
      <c r="E57" s="2" t="s">
        <v>82</v>
      </c>
    </row>
    <row r="58" customFormat="false" ht="15" hidden="false" customHeight="false" outlineLevel="0" collapsed="false">
      <c r="A58" s="15" t="n">
        <v>45714</v>
      </c>
      <c r="B58" s="4" t="n">
        <v>1</v>
      </c>
      <c r="D58" s="5" t="n">
        <f aca="false">IF(AND(p_aplicar_feriados=1,C58&lt;&gt;""),0,B58)</f>
        <v>1</v>
      </c>
      <c r="E58" s="2" t="s">
        <v>82</v>
      </c>
    </row>
    <row r="59" customFormat="false" ht="15" hidden="false" customHeight="false" outlineLevel="0" collapsed="false">
      <c r="A59" s="15" t="n">
        <v>45715</v>
      </c>
      <c r="B59" s="4" t="n">
        <v>1</v>
      </c>
      <c r="D59" s="5" t="n">
        <f aca="false">IF(AND(p_aplicar_feriados=1,C59&lt;&gt;""),0,B59)</f>
        <v>1</v>
      </c>
      <c r="E59" s="2" t="s">
        <v>82</v>
      </c>
    </row>
    <row r="60" customFormat="false" ht="15" hidden="false" customHeight="false" outlineLevel="0" collapsed="false">
      <c r="A60" s="15" t="n">
        <v>45716</v>
      </c>
      <c r="B60" s="4" t="n">
        <v>1</v>
      </c>
      <c r="D60" s="5" t="n">
        <f aca="false">IF(AND(p_aplicar_feriados=1,C60&lt;&gt;""),0,B60)</f>
        <v>1</v>
      </c>
      <c r="E60" s="2" t="s">
        <v>82</v>
      </c>
    </row>
    <row r="61" customFormat="false" ht="15" hidden="false" customHeight="false" outlineLevel="0" collapsed="false">
      <c r="A61" s="15" t="n">
        <v>45717</v>
      </c>
      <c r="B61" s="4" t="n">
        <v>0</v>
      </c>
      <c r="D61" s="5" t="n">
        <f aca="false">IF(AND(p_aplicar_feriados=1,C61&lt;&gt;""),0,B61)</f>
        <v>0</v>
      </c>
      <c r="E61" s="2" t="s">
        <v>82</v>
      </c>
    </row>
    <row r="62" customFormat="false" ht="15" hidden="false" customHeight="false" outlineLevel="0" collapsed="false">
      <c r="A62" s="15" t="n">
        <v>45718</v>
      </c>
      <c r="B62" s="4" t="n">
        <v>0</v>
      </c>
      <c r="D62" s="5" t="n">
        <f aca="false">IF(AND(p_aplicar_feriados=1,C62&lt;&gt;""),0,B62)</f>
        <v>0</v>
      </c>
      <c r="E62" s="2" t="s">
        <v>82</v>
      </c>
    </row>
    <row r="63" customFormat="false" ht="15" hidden="false" customHeight="false" outlineLevel="0" collapsed="false">
      <c r="A63" s="15" t="n">
        <v>45719</v>
      </c>
      <c r="B63" s="4" t="n">
        <v>1</v>
      </c>
      <c r="D63" s="5" t="n">
        <f aca="false">IF(AND(p_aplicar_feriados=1,C63&lt;&gt;""),0,B63)</f>
        <v>1</v>
      </c>
      <c r="E63" s="2" t="s">
        <v>82</v>
      </c>
    </row>
    <row r="64" customFormat="false" ht="15" hidden="false" customHeight="false" outlineLevel="0" collapsed="false">
      <c r="A64" s="15" t="n">
        <v>45720</v>
      </c>
      <c r="B64" s="4" t="n">
        <v>1</v>
      </c>
      <c r="D64" s="5" t="n">
        <f aca="false">IF(AND(p_aplicar_feriados=1,C64&lt;&gt;""),0,B64)</f>
        <v>1</v>
      </c>
      <c r="E64" s="2" t="s">
        <v>82</v>
      </c>
    </row>
    <row r="65" customFormat="false" ht="15" hidden="false" customHeight="false" outlineLevel="0" collapsed="false">
      <c r="A65" s="15" t="n">
        <v>45721</v>
      </c>
      <c r="B65" s="4" t="n">
        <v>1</v>
      </c>
      <c r="D65" s="5" t="n">
        <f aca="false">IF(AND(p_aplicar_feriados=1,C65&lt;&gt;""),0,B65)</f>
        <v>1</v>
      </c>
      <c r="E65" s="2" t="s">
        <v>82</v>
      </c>
    </row>
    <row r="66" customFormat="false" ht="15" hidden="false" customHeight="false" outlineLevel="0" collapsed="false">
      <c r="A66" s="15" t="n">
        <v>45722</v>
      </c>
      <c r="B66" s="4" t="n">
        <v>1</v>
      </c>
      <c r="D66" s="5" t="n">
        <f aca="false">IF(AND(p_aplicar_feriados=1,C66&lt;&gt;""),0,B66)</f>
        <v>1</v>
      </c>
      <c r="E66" s="2" t="s">
        <v>82</v>
      </c>
    </row>
    <row r="67" customFormat="false" ht="15" hidden="false" customHeight="false" outlineLevel="0" collapsed="false">
      <c r="A67" s="15" t="n">
        <v>45723</v>
      </c>
      <c r="B67" s="4" t="n">
        <v>1</v>
      </c>
      <c r="D67" s="5" t="n">
        <f aca="false">IF(AND(p_aplicar_feriados=1,C67&lt;&gt;""),0,B67)</f>
        <v>1</v>
      </c>
      <c r="E67" s="2" t="s">
        <v>82</v>
      </c>
    </row>
    <row r="68" customFormat="false" ht="15" hidden="false" customHeight="false" outlineLevel="0" collapsed="false">
      <c r="A68" s="15" t="n">
        <v>45724</v>
      </c>
      <c r="B68" s="4" t="n">
        <v>0</v>
      </c>
      <c r="D68" s="5" t="n">
        <f aca="false">IF(AND(p_aplicar_feriados=1,C68&lt;&gt;""),0,B68)</f>
        <v>0</v>
      </c>
      <c r="E68" s="2" t="s">
        <v>82</v>
      </c>
    </row>
    <row r="69" customFormat="false" ht="15" hidden="false" customHeight="false" outlineLevel="0" collapsed="false">
      <c r="A69" s="15" t="n">
        <v>45725</v>
      </c>
      <c r="B69" s="4" t="n">
        <v>0</v>
      </c>
      <c r="D69" s="5" t="n">
        <f aca="false">IF(AND(p_aplicar_feriados=1,C69&lt;&gt;""),0,B69)</f>
        <v>0</v>
      </c>
      <c r="E69" s="2" t="s">
        <v>82</v>
      </c>
    </row>
    <row r="70" customFormat="false" ht="15" hidden="false" customHeight="false" outlineLevel="0" collapsed="false">
      <c r="A70" s="15" t="n">
        <v>45726</v>
      </c>
      <c r="B70" s="4" t="n">
        <v>1</v>
      </c>
      <c r="D70" s="5" t="n">
        <f aca="false">IF(AND(p_aplicar_feriados=1,C70&lt;&gt;""),0,B70)</f>
        <v>1</v>
      </c>
      <c r="E70" s="2" t="s">
        <v>82</v>
      </c>
    </row>
    <row r="71" customFormat="false" ht="15" hidden="false" customHeight="false" outlineLevel="0" collapsed="false">
      <c r="A71" s="15" t="n">
        <v>45727</v>
      </c>
      <c r="B71" s="4" t="n">
        <v>1</v>
      </c>
      <c r="D71" s="5" t="n">
        <f aca="false">IF(AND(p_aplicar_feriados=1,C71&lt;&gt;""),0,B71)</f>
        <v>1</v>
      </c>
      <c r="E71" s="2" t="s">
        <v>82</v>
      </c>
    </row>
    <row r="72" customFormat="false" ht="15" hidden="false" customHeight="false" outlineLevel="0" collapsed="false">
      <c r="A72" s="15" t="n">
        <v>45728</v>
      </c>
      <c r="B72" s="4" t="n">
        <v>1</v>
      </c>
      <c r="D72" s="5" t="n">
        <f aca="false">IF(AND(p_aplicar_feriados=1,C72&lt;&gt;""),0,B72)</f>
        <v>1</v>
      </c>
      <c r="E72" s="2" t="s">
        <v>82</v>
      </c>
    </row>
    <row r="73" customFormat="false" ht="15" hidden="false" customHeight="false" outlineLevel="0" collapsed="false">
      <c r="A73" s="15" t="n">
        <v>45729</v>
      </c>
      <c r="B73" s="4" t="n">
        <v>1</v>
      </c>
      <c r="D73" s="5" t="n">
        <f aca="false">IF(AND(p_aplicar_feriados=1,C73&lt;&gt;""),0,B73)</f>
        <v>1</v>
      </c>
      <c r="E73" s="2" t="s">
        <v>82</v>
      </c>
    </row>
    <row r="74" customFormat="false" ht="15" hidden="false" customHeight="false" outlineLevel="0" collapsed="false">
      <c r="A74" s="15" t="n">
        <v>45730</v>
      </c>
      <c r="B74" s="4" t="n">
        <v>1</v>
      </c>
      <c r="D74" s="5" t="n">
        <f aca="false">IF(AND(p_aplicar_feriados=1,C74&lt;&gt;""),0,B74)</f>
        <v>1</v>
      </c>
      <c r="E74" s="2" t="s">
        <v>82</v>
      </c>
    </row>
    <row r="75" customFormat="false" ht="15" hidden="false" customHeight="false" outlineLevel="0" collapsed="false">
      <c r="A75" s="15" t="n">
        <v>45731</v>
      </c>
      <c r="B75" s="4" t="n">
        <v>0</v>
      </c>
      <c r="D75" s="5" t="n">
        <f aca="false">IF(AND(p_aplicar_feriados=1,C75&lt;&gt;""),0,B75)</f>
        <v>0</v>
      </c>
      <c r="E75" s="2" t="s">
        <v>82</v>
      </c>
    </row>
    <row r="76" customFormat="false" ht="15" hidden="false" customHeight="false" outlineLevel="0" collapsed="false">
      <c r="A76" s="15" t="n">
        <v>45732</v>
      </c>
      <c r="B76" s="4" t="n">
        <v>0</v>
      </c>
      <c r="D76" s="5" t="n">
        <f aca="false">IF(AND(p_aplicar_feriados=1,C76&lt;&gt;""),0,B76)</f>
        <v>0</v>
      </c>
      <c r="E76" s="2" t="s">
        <v>82</v>
      </c>
    </row>
    <row r="77" customFormat="false" ht="15" hidden="false" customHeight="false" outlineLevel="0" collapsed="false">
      <c r="A77" s="15" t="n">
        <v>45733</v>
      </c>
      <c r="B77" s="4" t="n">
        <v>1</v>
      </c>
      <c r="D77" s="5" t="n">
        <f aca="false">IF(AND(p_aplicar_feriados=1,C77&lt;&gt;""),0,B77)</f>
        <v>1</v>
      </c>
      <c r="E77" s="2" t="s">
        <v>82</v>
      </c>
    </row>
    <row r="78" customFormat="false" ht="15" hidden="false" customHeight="false" outlineLevel="0" collapsed="false">
      <c r="A78" s="15" t="n">
        <v>45734</v>
      </c>
      <c r="B78" s="4" t="n">
        <v>1</v>
      </c>
      <c r="D78" s="5" t="n">
        <f aca="false">IF(AND(p_aplicar_feriados=1,C78&lt;&gt;""),0,B78)</f>
        <v>1</v>
      </c>
      <c r="E78" s="2" t="s">
        <v>82</v>
      </c>
    </row>
    <row r="79" customFormat="false" ht="15" hidden="false" customHeight="false" outlineLevel="0" collapsed="false">
      <c r="A79" s="15" t="n">
        <v>45735</v>
      </c>
      <c r="B79" s="4" t="n">
        <v>1</v>
      </c>
      <c r="D79" s="5" t="n">
        <f aca="false">IF(AND(p_aplicar_feriados=1,C79&lt;&gt;""),0,B79)</f>
        <v>1</v>
      </c>
      <c r="E79" s="2" t="s">
        <v>82</v>
      </c>
    </row>
    <row r="80" customFormat="false" ht="15" hidden="false" customHeight="false" outlineLevel="0" collapsed="false">
      <c r="A80" s="15" t="n">
        <v>45736</v>
      </c>
      <c r="B80" s="4" t="n">
        <v>1</v>
      </c>
      <c r="D80" s="5" t="n">
        <f aca="false">IF(AND(p_aplicar_feriados=1,C80&lt;&gt;""),0,B80)</f>
        <v>1</v>
      </c>
      <c r="E80" s="2" t="s">
        <v>82</v>
      </c>
    </row>
    <row r="81" customFormat="false" ht="15" hidden="false" customHeight="false" outlineLevel="0" collapsed="false">
      <c r="A81" s="15" t="n">
        <v>45737</v>
      </c>
      <c r="B81" s="4" t="n">
        <v>1</v>
      </c>
      <c r="D81" s="5" t="n">
        <f aca="false">IF(AND(p_aplicar_feriados=1,C81&lt;&gt;""),0,B81)</f>
        <v>1</v>
      </c>
      <c r="E81" s="2" t="s">
        <v>82</v>
      </c>
    </row>
    <row r="82" customFormat="false" ht="15" hidden="false" customHeight="false" outlineLevel="0" collapsed="false">
      <c r="A82" s="15" t="n">
        <v>45738</v>
      </c>
      <c r="B82" s="4" t="n">
        <v>0</v>
      </c>
      <c r="D82" s="5" t="n">
        <f aca="false">IF(AND(p_aplicar_feriados=1,C82&lt;&gt;""),0,B82)</f>
        <v>0</v>
      </c>
      <c r="E82" s="2" t="s">
        <v>82</v>
      </c>
    </row>
    <row r="83" customFormat="false" ht="15" hidden="false" customHeight="false" outlineLevel="0" collapsed="false">
      <c r="A83" s="15" t="n">
        <v>45739</v>
      </c>
      <c r="B83" s="4" t="n">
        <v>0</v>
      </c>
      <c r="D83" s="5" t="n">
        <f aca="false">IF(AND(p_aplicar_feriados=1,C83&lt;&gt;""),0,B83)</f>
        <v>0</v>
      </c>
      <c r="E83" s="2" t="s">
        <v>82</v>
      </c>
    </row>
    <row r="84" customFormat="false" ht="15" hidden="false" customHeight="false" outlineLevel="0" collapsed="false">
      <c r="A84" s="15" t="n">
        <v>45740</v>
      </c>
      <c r="B84" s="4" t="n">
        <v>1</v>
      </c>
      <c r="D84" s="5" t="n">
        <f aca="false">IF(AND(p_aplicar_feriados=1,C84&lt;&gt;""),0,B84)</f>
        <v>1</v>
      </c>
      <c r="E84" s="2" t="s">
        <v>82</v>
      </c>
    </row>
    <row r="85" customFormat="false" ht="15" hidden="false" customHeight="false" outlineLevel="0" collapsed="false">
      <c r="A85" s="15" t="n">
        <v>45741</v>
      </c>
      <c r="B85" s="4" t="n">
        <v>1</v>
      </c>
      <c r="D85" s="5" t="n">
        <f aca="false">IF(AND(p_aplicar_feriados=1,C85&lt;&gt;""),0,B85)</f>
        <v>1</v>
      </c>
      <c r="E85" s="2" t="s">
        <v>82</v>
      </c>
    </row>
    <row r="86" customFormat="false" ht="15" hidden="false" customHeight="false" outlineLevel="0" collapsed="false">
      <c r="A86" s="15" t="n">
        <v>45742</v>
      </c>
      <c r="B86" s="4" t="n">
        <v>1</v>
      </c>
      <c r="D86" s="5" t="n">
        <f aca="false">IF(AND(p_aplicar_feriados=1,C86&lt;&gt;""),0,B86)</f>
        <v>1</v>
      </c>
      <c r="E86" s="2" t="s">
        <v>82</v>
      </c>
    </row>
    <row r="87" customFormat="false" ht="15" hidden="false" customHeight="false" outlineLevel="0" collapsed="false">
      <c r="A87" s="15" t="n">
        <v>45743</v>
      </c>
      <c r="B87" s="4" t="n">
        <v>1</v>
      </c>
      <c r="D87" s="5" t="n">
        <f aca="false">IF(AND(p_aplicar_feriados=1,C87&lt;&gt;""),0,B87)</f>
        <v>1</v>
      </c>
      <c r="E87" s="2" t="s">
        <v>82</v>
      </c>
    </row>
    <row r="88" customFormat="false" ht="15" hidden="false" customHeight="false" outlineLevel="0" collapsed="false">
      <c r="A88" s="15" t="n">
        <v>45744</v>
      </c>
      <c r="B88" s="4" t="n">
        <v>1</v>
      </c>
      <c r="D88" s="5" t="n">
        <f aca="false">IF(AND(p_aplicar_feriados=1,C88&lt;&gt;""),0,B88)</f>
        <v>1</v>
      </c>
      <c r="E88" s="2" t="s">
        <v>82</v>
      </c>
    </row>
    <row r="89" customFormat="false" ht="15" hidden="false" customHeight="false" outlineLevel="0" collapsed="false">
      <c r="A89" s="15" t="n">
        <v>45745</v>
      </c>
      <c r="B89" s="4" t="n">
        <v>0</v>
      </c>
      <c r="D89" s="5" t="n">
        <f aca="false">IF(AND(p_aplicar_feriados=1,C89&lt;&gt;""),0,B89)</f>
        <v>0</v>
      </c>
      <c r="E89" s="2" t="s">
        <v>82</v>
      </c>
    </row>
    <row r="90" customFormat="false" ht="15" hidden="false" customHeight="false" outlineLevel="0" collapsed="false">
      <c r="A90" s="15" t="n">
        <v>45746</v>
      </c>
      <c r="B90" s="4" t="n">
        <v>0</v>
      </c>
      <c r="D90" s="5" t="n">
        <f aca="false">IF(AND(p_aplicar_feriados=1,C90&lt;&gt;""),0,B90)</f>
        <v>0</v>
      </c>
      <c r="E90" s="2" t="s">
        <v>82</v>
      </c>
    </row>
    <row r="91" customFormat="false" ht="15" hidden="false" customHeight="false" outlineLevel="0" collapsed="false">
      <c r="A91" s="15" t="n">
        <v>45747</v>
      </c>
      <c r="B91" s="4" t="n">
        <v>1</v>
      </c>
      <c r="D91" s="5" t="n">
        <f aca="false">IF(AND(p_aplicar_feriados=1,C91&lt;&gt;""),0,B91)</f>
        <v>1</v>
      </c>
      <c r="E91" s="2" t="s">
        <v>82</v>
      </c>
    </row>
    <row r="92" customFormat="false" ht="15" hidden="false" customHeight="false" outlineLevel="0" collapsed="false">
      <c r="A92" s="15" t="n">
        <v>45748</v>
      </c>
      <c r="B92" s="4" t="n">
        <v>1</v>
      </c>
      <c r="D92" s="5" t="n">
        <f aca="false">IF(AND(p_aplicar_feriados=1,C92&lt;&gt;""),0,B92)</f>
        <v>1</v>
      </c>
      <c r="E92" s="2" t="s">
        <v>82</v>
      </c>
    </row>
    <row r="93" customFormat="false" ht="15" hidden="false" customHeight="false" outlineLevel="0" collapsed="false">
      <c r="A93" s="15" t="n">
        <v>45749</v>
      </c>
      <c r="B93" s="4" t="n">
        <v>1</v>
      </c>
      <c r="D93" s="5" t="n">
        <f aca="false">IF(AND(p_aplicar_feriados=1,C93&lt;&gt;""),0,B93)</f>
        <v>1</v>
      </c>
      <c r="E93" s="2" t="s">
        <v>82</v>
      </c>
    </row>
    <row r="94" customFormat="false" ht="15" hidden="false" customHeight="false" outlineLevel="0" collapsed="false">
      <c r="A94" s="15" t="n">
        <v>45750</v>
      </c>
      <c r="B94" s="4" t="n">
        <v>1</v>
      </c>
      <c r="D94" s="5" t="n">
        <f aca="false">IF(AND(p_aplicar_feriados=1,C94&lt;&gt;""),0,B94)</f>
        <v>1</v>
      </c>
      <c r="E94" s="2" t="s">
        <v>82</v>
      </c>
    </row>
    <row r="95" customFormat="false" ht="15" hidden="false" customHeight="false" outlineLevel="0" collapsed="false">
      <c r="A95" s="15" t="n">
        <v>45751</v>
      </c>
      <c r="B95" s="4" t="n">
        <v>1</v>
      </c>
      <c r="D95" s="5" t="n">
        <f aca="false">IF(AND(p_aplicar_feriados=1,C95&lt;&gt;""),0,B95)</f>
        <v>1</v>
      </c>
      <c r="E95" s="2" t="s">
        <v>82</v>
      </c>
    </row>
    <row r="96" customFormat="false" ht="15" hidden="false" customHeight="false" outlineLevel="0" collapsed="false">
      <c r="A96" s="15" t="n">
        <v>45752</v>
      </c>
      <c r="B96" s="4" t="n">
        <v>0</v>
      </c>
      <c r="D96" s="5" t="n">
        <f aca="false">IF(AND(p_aplicar_feriados=1,C96&lt;&gt;""),0,B96)</f>
        <v>0</v>
      </c>
      <c r="E96" s="2" t="s">
        <v>82</v>
      </c>
    </row>
    <row r="97" customFormat="false" ht="15" hidden="false" customHeight="false" outlineLevel="0" collapsed="false">
      <c r="A97" s="15" t="n">
        <v>45753</v>
      </c>
      <c r="B97" s="4" t="n">
        <v>0</v>
      </c>
      <c r="D97" s="5" t="n">
        <f aca="false">IF(AND(p_aplicar_feriados=1,C97&lt;&gt;""),0,B97)</f>
        <v>0</v>
      </c>
      <c r="E97" s="2" t="s">
        <v>82</v>
      </c>
    </row>
    <row r="98" customFormat="false" ht="15" hidden="false" customHeight="false" outlineLevel="0" collapsed="false">
      <c r="A98" s="15" t="n">
        <v>45754</v>
      </c>
      <c r="B98" s="4" t="n">
        <v>1</v>
      </c>
      <c r="D98" s="5" t="n">
        <f aca="false">IF(AND(p_aplicar_feriados=1,C98&lt;&gt;""),0,B98)</f>
        <v>1</v>
      </c>
      <c r="E98" s="2" t="s">
        <v>82</v>
      </c>
    </row>
    <row r="99" customFormat="false" ht="15" hidden="false" customHeight="false" outlineLevel="0" collapsed="false">
      <c r="A99" s="15" t="n">
        <v>45755</v>
      </c>
      <c r="B99" s="4" t="n">
        <v>1</v>
      </c>
      <c r="D99" s="5" t="n">
        <f aca="false">IF(AND(p_aplicar_feriados=1,C99&lt;&gt;""),0,B99)</f>
        <v>1</v>
      </c>
      <c r="E99" s="2" t="s">
        <v>82</v>
      </c>
    </row>
    <row r="100" customFormat="false" ht="15" hidden="false" customHeight="false" outlineLevel="0" collapsed="false">
      <c r="A100" s="15" t="n">
        <v>45756</v>
      </c>
      <c r="B100" s="4" t="n">
        <v>1</v>
      </c>
      <c r="D100" s="5" t="n">
        <f aca="false">IF(AND(p_aplicar_feriados=1,C100&lt;&gt;""),0,B100)</f>
        <v>1</v>
      </c>
      <c r="E100" s="2" t="s">
        <v>82</v>
      </c>
    </row>
    <row r="101" customFormat="false" ht="15" hidden="false" customHeight="false" outlineLevel="0" collapsed="false">
      <c r="A101" s="15" t="n">
        <v>45757</v>
      </c>
      <c r="B101" s="4" t="n">
        <v>1</v>
      </c>
      <c r="D101" s="5" t="n">
        <f aca="false">IF(AND(p_aplicar_feriados=1,C101&lt;&gt;""),0,B101)</f>
        <v>1</v>
      </c>
      <c r="E101" s="2" t="s">
        <v>82</v>
      </c>
    </row>
    <row r="102" customFormat="false" ht="15" hidden="false" customHeight="false" outlineLevel="0" collapsed="false">
      <c r="A102" s="15" t="n">
        <v>45758</v>
      </c>
      <c r="B102" s="4" t="n">
        <v>1</v>
      </c>
      <c r="D102" s="5" t="n">
        <f aca="false">IF(AND(p_aplicar_feriados=1,C102&lt;&gt;""),0,B102)</f>
        <v>1</v>
      </c>
      <c r="E102" s="2" t="s">
        <v>82</v>
      </c>
    </row>
    <row r="103" customFormat="false" ht="15" hidden="false" customHeight="false" outlineLevel="0" collapsed="false">
      <c r="A103" s="15" t="n">
        <v>45759</v>
      </c>
      <c r="B103" s="4" t="n">
        <v>0</v>
      </c>
      <c r="D103" s="5" t="n">
        <f aca="false">IF(AND(p_aplicar_feriados=1,C103&lt;&gt;""),0,B103)</f>
        <v>0</v>
      </c>
      <c r="E103" s="2" t="s">
        <v>82</v>
      </c>
    </row>
    <row r="104" customFormat="false" ht="15" hidden="false" customHeight="false" outlineLevel="0" collapsed="false">
      <c r="A104" s="15" t="n">
        <v>45760</v>
      </c>
      <c r="B104" s="4" t="n">
        <v>0</v>
      </c>
      <c r="D104" s="5" t="n">
        <f aca="false">IF(AND(p_aplicar_feriados=1,C104&lt;&gt;""),0,B104)</f>
        <v>0</v>
      </c>
      <c r="E104" s="2" t="s">
        <v>82</v>
      </c>
    </row>
    <row r="105" customFormat="false" ht="15" hidden="false" customHeight="false" outlineLevel="0" collapsed="false">
      <c r="A105" s="15" t="n">
        <v>45761</v>
      </c>
      <c r="B105" s="4" t="n">
        <v>1</v>
      </c>
      <c r="D105" s="5" t="n">
        <f aca="false">IF(AND(p_aplicar_feriados=1,C105&lt;&gt;""),0,B105)</f>
        <v>1</v>
      </c>
      <c r="E105" s="2" t="s">
        <v>82</v>
      </c>
    </row>
    <row r="106" customFormat="false" ht="15" hidden="false" customHeight="false" outlineLevel="0" collapsed="false">
      <c r="A106" s="15" t="n">
        <v>45762</v>
      </c>
      <c r="B106" s="4" t="n">
        <v>1</v>
      </c>
      <c r="D106" s="5" t="n">
        <f aca="false">IF(AND(p_aplicar_feriados=1,C106&lt;&gt;""),0,B106)</f>
        <v>1</v>
      </c>
      <c r="E106" s="2" t="s">
        <v>82</v>
      </c>
    </row>
    <row r="107" customFormat="false" ht="15" hidden="false" customHeight="false" outlineLevel="0" collapsed="false">
      <c r="A107" s="15" t="n">
        <v>45763</v>
      </c>
      <c r="B107" s="4" t="n">
        <v>1</v>
      </c>
      <c r="D107" s="5" t="n">
        <f aca="false">IF(AND(p_aplicar_feriados=1,C107&lt;&gt;""),0,B107)</f>
        <v>1</v>
      </c>
      <c r="E107" s="2" t="s">
        <v>82</v>
      </c>
    </row>
    <row r="108" customFormat="false" ht="15" hidden="false" customHeight="false" outlineLevel="0" collapsed="false">
      <c r="A108" s="15" t="n">
        <v>45764</v>
      </c>
      <c r="B108" s="4" t="n">
        <v>1</v>
      </c>
      <c r="C108" s="2" t="s">
        <v>495</v>
      </c>
      <c r="D108" s="5" t="n">
        <f aca="false">IF(AND(p_aplicar_feriados=1,C108&lt;&gt;""),0,B108)</f>
        <v>1</v>
      </c>
      <c r="E108" s="2" t="s">
        <v>82</v>
      </c>
    </row>
    <row r="109" customFormat="false" ht="15" hidden="false" customHeight="false" outlineLevel="0" collapsed="false">
      <c r="A109" s="15" t="n">
        <v>45765</v>
      </c>
      <c r="B109" s="4" t="n">
        <v>1</v>
      </c>
      <c r="C109" s="2" t="s">
        <v>496</v>
      </c>
      <c r="D109" s="5" t="n">
        <f aca="false">IF(AND(p_aplicar_feriados=1,C109&lt;&gt;""),0,B109)</f>
        <v>1</v>
      </c>
      <c r="E109" s="2" t="s">
        <v>82</v>
      </c>
    </row>
    <row r="110" customFormat="false" ht="15" hidden="false" customHeight="false" outlineLevel="0" collapsed="false">
      <c r="A110" s="15" t="n">
        <v>45766</v>
      </c>
      <c r="B110" s="4" t="n">
        <v>0</v>
      </c>
      <c r="D110" s="5" t="n">
        <f aca="false">IF(AND(p_aplicar_feriados=1,C110&lt;&gt;""),0,B110)</f>
        <v>0</v>
      </c>
      <c r="E110" s="2" t="s">
        <v>82</v>
      </c>
    </row>
    <row r="111" customFormat="false" ht="15" hidden="false" customHeight="false" outlineLevel="0" collapsed="false">
      <c r="A111" s="15" t="n">
        <v>45767</v>
      </c>
      <c r="B111" s="4" t="n">
        <v>0</v>
      </c>
      <c r="D111" s="5" t="n">
        <f aca="false">IF(AND(p_aplicar_feriados=1,C111&lt;&gt;""),0,B111)</f>
        <v>0</v>
      </c>
      <c r="E111" s="2" t="s">
        <v>82</v>
      </c>
    </row>
    <row r="112" customFormat="false" ht="15" hidden="false" customHeight="false" outlineLevel="0" collapsed="false">
      <c r="A112" s="15" t="n">
        <v>45768</v>
      </c>
      <c r="B112" s="4" t="n">
        <v>1</v>
      </c>
      <c r="D112" s="5" t="n">
        <f aca="false">IF(AND(p_aplicar_feriados=1,C112&lt;&gt;""),0,B112)</f>
        <v>1</v>
      </c>
      <c r="E112" s="2" t="s">
        <v>82</v>
      </c>
    </row>
    <row r="113" customFormat="false" ht="15" hidden="false" customHeight="false" outlineLevel="0" collapsed="false">
      <c r="A113" s="15" t="n">
        <v>45769</v>
      </c>
      <c r="B113" s="4" t="n">
        <v>1</v>
      </c>
      <c r="D113" s="5" t="n">
        <f aca="false">IF(AND(p_aplicar_feriados=1,C113&lt;&gt;""),0,B113)</f>
        <v>1</v>
      </c>
      <c r="E113" s="2" t="s">
        <v>82</v>
      </c>
    </row>
    <row r="114" customFormat="false" ht="15" hidden="false" customHeight="false" outlineLevel="0" collapsed="false">
      <c r="A114" s="15" t="n">
        <v>45770</v>
      </c>
      <c r="B114" s="4" t="n">
        <v>1</v>
      </c>
      <c r="D114" s="5" t="n">
        <f aca="false">IF(AND(p_aplicar_feriados=1,C114&lt;&gt;""),0,B114)</f>
        <v>1</v>
      </c>
      <c r="E114" s="2" t="s">
        <v>82</v>
      </c>
    </row>
    <row r="115" customFormat="false" ht="15" hidden="false" customHeight="false" outlineLevel="0" collapsed="false">
      <c r="A115" s="15" t="n">
        <v>45771</v>
      </c>
      <c r="B115" s="4" t="n">
        <v>1</v>
      </c>
      <c r="D115" s="5" t="n">
        <f aca="false">IF(AND(p_aplicar_feriados=1,C115&lt;&gt;""),0,B115)</f>
        <v>1</v>
      </c>
      <c r="E115" s="2" t="s">
        <v>82</v>
      </c>
    </row>
    <row r="116" customFormat="false" ht="15" hidden="false" customHeight="false" outlineLevel="0" collapsed="false">
      <c r="A116" s="15" t="n">
        <v>45772</v>
      </c>
      <c r="B116" s="4" t="n">
        <v>1</v>
      </c>
      <c r="D116" s="5" t="n">
        <f aca="false">IF(AND(p_aplicar_feriados=1,C116&lt;&gt;""),0,B116)</f>
        <v>1</v>
      </c>
      <c r="E116" s="2" t="s">
        <v>82</v>
      </c>
    </row>
    <row r="117" customFormat="false" ht="15" hidden="false" customHeight="false" outlineLevel="0" collapsed="false">
      <c r="A117" s="15" t="n">
        <v>45773</v>
      </c>
      <c r="B117" s="4" t="n">
        <v>0</v>
      </c>
      <c r="D117" s="5" t="n">
        <f aca="false">IF(AND(p_aplicar_feriados=1,C117&lt;&gt;""),0,B117)</f>
        <v>0</v>
      </c>
      <c r="E117" s="2" t="s">
        <v>82</v>
      </c>
    </row>
    <row r="118" customFormat="false" ht="15" hidden="false" customHeight="false" outlineLevel="0" collapsed="false">
      <c r="A118" s="15" t="n">
        <v>45774</v>
      </c>
      <c r="B118" s="4" t="n">
        <v>0</v>
      </c>
      <c r="D118" s="5" t="n">
        <f aca="false">IF(AND(p_aplicar_feriados=1,C118&lt;&gt;""),0,B118)</f>
        <v>0</v>
      </c>
      <c r="E118" s="2" t="s">
        <v>82</v>
      </c>
    </row>
    <row r="119" customFormat="false" ht="15" hidden="false" customHeight="false" outlineLevel="0" collapsed="false">
      <c r="A119" s="15" t="n">
        <v>45775</v>
      </c>
      <c r="B119" s="4" t="n">
        <v>1</v>
      </c>
      <c r="D119" s="5" t="n">
        <f aca="false">IF(AND(p_aplicar_feriados=1,C119&lt;&gt;""),0,B119)</f>
        <v>1</v>
      </c>
      <c r="E119" s="2" t="s">
        <v>82</v>
      </c>
    </row>
    <row r="120" customFormat="false" ht="15" hidden="false" customHeight="false" outlineLevel="0" collapsed="false">
      <c r="A120" s="15" t="n">
        <v>45776</v>
      </c>
      <c r="B120" s="4" t="n">
        <v>1</v>
      </c>
      <c r="D120" s="5" t="n">
        <f aca="false">IF(AND(p_aplicar_feriados=1,C120&lt;&gt;""),0,B120)</f>
        <v>1</v>
      </c>
      <c r="E120" s="2" t="s">
        <v>82</v>
      </c>
    </row>
    <row r="121" customFormat="false" ht="15" hidden="false" customHeight="false" outlineLevel="0" collapsed="false">
      <c r="A121" s="15" t="n">
        <v>45777</v>
      </c>
      <c r="B121" s="4" t="n">
        <v>1</v>
      </c>
      <c r="D121" s="5" t="n">
        <f aca="false">IF(AND(p_aplicar_feriados=1,C121&lt;&gt;""),0,B121)</f>
        <v>1</v>
      </c>
      <c r="E121" s="2" t="s">
        <v>82</v>
      </c>
    </row>
    <row r="122" customFormat="false" ht="15" hidden="false" customHeight="false" outlineLevel="0" collapsed="false">
      <c r="A122" s="15" t="n">
        <v>45778</v>
      </c>
      <c r="B122" s="4" t="n">
        <v>1</v>
      </c>
      <c r="C122" s="2" t="s">
        <v>497</v>
      </c>
      <c r="D122" s="5" t="n">
        <f aca="false">IF(AND(p_aplicar_feriados=1,C122&lt;&gt;""),0,B122)</f>
        <v>1</v>
      </c>
      <c r="E122" s="2" t="s">
        <v>82</v>
      </c>
    </row>
    <row r="123" customFormat="false" ht="15" hidden="false" customHeight="false" outlineLevel="0" collapsed="false">
      <c r="A123" s="15" t="n">
        <v>45779</v>
      </c>
      <c r="B123" s="4" t="n">
        <v>1</v>
      </c>
      <c r="D123" s="5" t="n">
        <f aca="false">IF(AND(p_aplicar_feriados=1,C123&lt;&gt;""),0,B123)</f>
        <v>1</v>
      </c>
      <c r="E123" s="2" t="s">
        <v>82</v>
      </c>
    </row>
    <row r="124" customFormat="false" ht="15" hidden="false" customHeight="false" outlineLevel="0" collapsed="false">
      <c r="A124" s="15" t="n">
        <v>45780</v>
      </c>
      <c r="B124" s="4" t="n">
        <v>0</v>
      </c>
      <c r="D124" s="5" t="n">
        <f aca="false">IF(AND(p_aplicar_feriados=1,C124&lt;&gt;""),0,B124)</f>
        <v>0</v>
      </c>
      <c r="E124" s="2" t="s">
        <v>82</v>
      </c>
    </row>
    <row r="125" customFormat="false" ht="15" hidden="false" customHeight="false" outlineLevel="0" collapsed="false">
      <c r="A125" s="15" t="n">
        <v>45781</v>
      </c>
      <c r="B125" s="4" t="n">
        <v>0</v>
      </c>
      <c r="D125" s="5" t="n">
        <f aca="false">IF(AND(p_aplicar_feriados=1,C125&lt;&gt;""),0,B125)</f>
        <v>0</v>
      </c>
      <c r="E125" s="2" t="s">
        <v>82</v>
      </c>
    </row>
    <row r="126" customFormat="false" ht="15" hidden="false" customHeight="false" outlineLevel="0" collapsed="false">
      <c r="A126" s="15" t="n">
        <v>45782</v>
      </c>
      <c r="B126" s="4" t="n">
        <v>1</v>
      </c>
      <c r="D126" s="5" t="n">
        <f aca="false">IF(AND(p_aplicar_feriados=1,C126&lt;&gt;""),0,B126)</f>
        <v>1</v>
      </c>
      <c r="E126" s="2" t="s">
        <v>82</v>
      </c>
    </row>
    <row r="127" customFormat="false" ht="15" hidden="false" customHeight="false" outlineLevel="0" collapsed="false">
      <c r="A127" s="15" t="n">
        <v>45783</v>
      </c>
      <c r="B127" s="4" t="n">
        <v>1</v>
      </c>
      <c r="D127" s="5" t="n">
        <f aca="false">IF(AND(p_aplicar_feriados=1,C127&lt;&gt;""),0,B127)</f>
        <v>1</v>
      </c>
      <c r="E127" s="2" t="s">
        <v>82</v>
      </c>
    </row>
    <row r="128" customFormat="false" ht="15" hidden="false" customHeight="false" outlineLevel="0" collapsed="false">
      <c r="A128" s="15" t="n">
        <v>45784</v>
      </c>
      <c r="B128" s="4" t="n">
        <v>1</v>
      </c>
      <c r="D128" s="5" t="n">
        <f aca="false">IF(AND(p_aplicar_feriados=1,C128&lt;&gt;""),0,B128)</f>
        <v>1</v>
      </c>
      <c r="E128" s="2" t="s">
        <v>82</v>
      </c>
    </row>
    <row r="129" customFormat="false" ht="15" hidden="false" customHeight="false" outlineLevel="0" collapsed="false">
      <c r="A129" s="15" t="n">
        <v>45785</v>
      </c>
      <c r="B129" s="4" t="n">
        <v>1</v>
      </c>
      <c r="D129" s="5" t="n">
        <f aca="false">IF(AND(p_aplicar_feriados=1,C129&lt;&gt;""),0,B129)</f>
        <v>1</v>
      </c>
      <c r="E129" s="2" t="s">
        <v>82</v>
      </c>
    </row>
    <row r="130" customFormat="false" ht="15" hidden="false" customHeight="false" outlineLevel="0" collapsed="false">
      <c r="A130" s="15" t="n">
        <v>45786</v>
      </c>
      <c r="B130" s="4" t="n">
        <v>1</v>
      </c>
      <c r="D130" s="5" t="n">
        <f aca="false">IF(AND(p_aplicar_feriados=1,C130&lt;&gt;""),0,B130)</f>
        <v>1</v>
      </c>
      <c r="E130" s="2" t="s">
        <v>82</v>
      </c>
    </row>
    <row r="131" customFormat="false" ht="15" hidden="false" customHeight="false" outlineLevel="0" collapsed="false">
      <c r="A131" s="15" t="n">
        <v>45787</v>
      </c>
      <c r="B131" s="4" t="n">
        <v>0</v>
      </c>
      <c r="D131" s="5" t="n">
        <f aca="false">IF(AND(p_aplicar_feriados=1,C131&lt;&gt;""),0,B131)</f>
        <v>0</v>
      </c>
      <c r="E131" s="2" t="s">
        <v>82</v>
      </c>
    </row>
    <row r="132" customFormat="false" ht="15" hidden="false" customHeight="false" outlineLevel="0" collapsed="false">
      <c r="A132" s="15" t="n">
        <v>45788</v>
      </c>
      <c r="B132" s="4" t="n">
        <v>0</v>
      </c>
      <c r="D132" s="5" t="n">
        <f aca="false">IF(AND(p_aplicar_feriados=1,C132&lt;&gt;""),0,B132)</f>
        <v>0</v>
      </c>
      <c r="E132" s="2" t="s">
        <v>82</v>
      </c>
    </row>
    <row r="133" customFormat="false" ht="15" hidden="false" customHeight="false" outlineLevel="0" collapsed="false">
      <c r="A133" s="15" t="n">
        <v>45789</v>
      </c>
      <c r="B133" s="4" t="n">
        <v>1</v>
      </c>
      <c r="D133" s="5" t="n">
        <f aca="false">IF(AND(p_aplicar_feriados=1,C133&lt;&gt;""),0,B133)</f>
        <v>1</v>
      </c>
      <c r="E133" s="2" t="s">
        <v>82</v>
      </c>
    </row>
    <row r="134" customFormat="false" ht="15" hidden="false" customHeight="false" outlineLevel="0" collapsed="false">
      <c r="A134" s="15" t="n">
        <v>45790</v>
      </c>
      <c r="B134" s="4" t="n">
        <v>1</v>
      </c>
      <c r="D134" s="5" t="n">
        <f aca="false">IF(AND(p_aplicar_feriados=1,C134&lt;&gt;""),0,B134)</f>
        <v>1</v>
      </c>
      <c r="E134" s="2" t="s">
        <v>82</v>
      </c>
    </row>
    <row r="135" customFormat="false" ht="15" hidden="false" customHeight="false" outlineLevel="0" collapsed="false">
      <c r="A135" s="15" t="n">
        <v>45791</v>
      </c>
      <c r="B135" s="4" t="n">
        <v>1</v>
      </c>
      <c r="D135" s="5" t="n">
        <f aca="false">IF(AND(p_aplicar_feriados=1,C135&lt;&gt;""),0,B135)</f>
        <v>1</v>
      </c>
      <c r="E135" s="2" t="s">
        <v>82</v>
      </c>
    </row>
    <row r="136" customFormat="false" ht="15" hidden="false" customHeight="false" outlineLevel="0" collapsed="false">
      <c r="A136" s="15" t="n">
        <v>45792</v>
      </c>
      <c r="B136" s="4" t="n">
        <v>1</v>
      </c>
      <c r="D136" s="5" t="n">
        <f aca="false">IF(AND(p_aplicar_feriados=1,C136&lt;&gt;""),0,B136)</f>
        <v>1</v>
      </c>
      <c r="E136" s="2" t="s">
        <v>82</v>
      </c>
    </row>
    <row r="137" customFormat="false" ht="15" hidden="false" customHeight="false" outlineLevel="0" collapsed="false">
      <c r="A137" s="15" t="n">
        <v>45793</v>
      </c>
      <c r="B137" s="4" t="n">
        <v>1</v>
      </c>
      <c r="D137" s="5" t="n">
        <f aca="false">IF(AND(p_aplicar_feriados=1,C137&lt;&gt;""),0,B137)</f>
        <v>1</v>
      </c>
      <c r="E137" s="2" t="s">
        <v>82</v>
      </c>
    </row>
    <row r="138" customFormat="false" ht="15" hidden="false" customHeight="false" outlineLevel="0" collapsed="false">
      <c r="A138" s="15" t="n">
        <v>45794</v>
      </c>
      <c r="B138" s="4" t="n">
        <v>0</v>
      </c>
      <c r="D138" s="5" t="n">
        <f aca="false">IF(AND(p_aplicar_feriados=1,C138&lt;&gt;""),0,B138)</f>
        <v>0</v>
      </c>
      <c r="E138" s="2" t="s">
        <v>82</v>
      </c>
    </row>
    <row r="139" customFormat="false" ht="15" hidden="false" customHeight="false" outlineLevel="0" collapsed="false">
      <c r="A139" s="15" t="n">
        <v>45795</v>
      </c>
      <c r="B139" s="4" t="n">
        <v>0</v>
      </c>
      <c r="D139" s="5" t="n">
        <f aca="false">IF(AND(p_aplicar_feriados=1,C139&lt;&gt;""),0,B139)</f>
        <v>0</v>
      </c>
      <c r="E139" s="2" t="s">
        <v>82</v>
      </c>
    </row>
    <row r="140" customFormat="false" ht="15" hidden="false" customHeight="false" outlineLevel="0" collapsed="false">
      <c r="A140" s="15" t="n">
        <v>45796</v>
      </c>
      <c r="B140" s="4" t="n">
        <v>1</v>
      </c>
      <c r="D140" s="5" t="n">
        <f aca="false">IF(AND(p_aplicar_feriados=1,C140&lt;&gt;""),0,B140)</f>
        <v>1</v>
      </c>
      <c r="E140" s="2" t="s">
        <v>82</v>
      </c>
    </row>
    <row r="141" customFormat="false" ht="15" hidden="false" customHeight="false" outlineLevel="0" collapsed="false">
      <c r="A141" s="15" t="n">
        <v>45797</v>
      </c>
      <c r="B141" s="4" t="n">
        <v>1</v>
      </c>
      <c r="D141" s="5" t="n">
        <f aca="false">IF(AND(p_aplicar_feriados=1,C141&lt;&gt;""),0,B141)</f>
        <v>1</v>
      </c>
      <c r="E141" s="2" t="s">
        <v>82</v>
      </c>
    </row>
    <row r="142" customFormat="false" ht="15" hidden="false" customHeight="false" outlineLevel="0" collapsed="false">
      <c r="A142" s="15" t="n">
        <v>45798</v>
      </c>
      <c r="B142" s="4" t="n">
        <v>1</v>
      </c>
      <c r="D142" s="5" t="n">
        <f aca="false">IF(AND(p_aplicar_feriados=1,C142&lt;&gt;""),0,B142)</f>
        <v>1</v>
      </c>
      <c r="E142" s="2" t="s">
        <v>82</v>
      </c>
    </row>
    <row r="143" customFormat="false" ht="15" hidden="false" customHeight="false" outlineLevel="0" collapsed="false">
      <c r="A143" s="15" t="n">
        <v>45799</v>
      </c>
      <c r="B143" s="4" t="n">
        <v>1</v>
      </c>
      <c r="D143" s="5" t="n">
        <f aca="false">IF(AND(p_aplicar_feriados=1,C143&lt;&gt;""),0,B143)</f>
        <v>1</v>
      </c>
      <c r="E143" s="2" t="s">
        <v>82</v>
      </c>
    </row>
    <row r="144" customFormat="false" ht="15" hidden="false" customHeight="false" outlineLevel="0" collapsed="false">
      <c r="A144" s="15" t="n">
        <v>45800</v>
      </c>
      <c r="B144" s="4" t="n">
        <v>1</v>
      </c>
      <c r="D144" s="5" t="n">
        <f aca="false">IF(AND(p_aplicar_feriados=1,C144&lt;&gt;""),0,B144)</f>
        <v>1</v>
      </c>
      <c r="E144" s="2" t="s">
        <v>82</v>
      </c>
    </row>
    <row r="145" customFormat="false" ht="15" hidden="false" customHeight="false" outlineLevel="0" collapsed="false">
      <c r="A145" s="15" t="n">
        <v>45801</v>
      </c>
      <c r="B145" s="4" t="n">
        <v>0</v>
      </c>
      <c r="D145" s="5" t="n">
        <f aca="false">IF(AND(p_aplicar_feriados=1,C145&lt;&gt;""),0,B145)</f>
        <v>0</v>
      </c>
      <c r="E145" s="2" t="s">
        <v>82</v>
      </c>
    </row>
    <row r="146" customFormat="false" ht="15" hidden="false" customHeight="false" outlineLevel="0" collapsed="false">
      <c r="A146" s="15" t="n">
        <v>45802</v>
      </c>
      <c r="B146" s="4" t="n">
        <v>0</v>
      </c>
      <c r="D146" s="5" t="n">
        <f aca="false">IF(AND(p_aplicar_feriados=1,C146&lt;&gt;""),0,B146)</f>
        <v>0</v>
      </c>
      <c r="E146" s="2" t="s">
        <v>82</v>
      </c>
    </row>
    <row r="147" customFormat="false" ht="15" hidden="false" customHeight="false" outlineLevel="0" collapsed="false">
      <c r="A147" s="15" t="n">
        <v>45803</v>
      </c>
      <c r="B147" s="4" t="n">
        <v>1</v>
      </c>
      <c r="D147" s="5" t="n">
        <f aca="false">IF(AND(p_aplicar_feriados=1,C147&lt;&gt;""),0,B147)</f>
        <v>1</v>
      </c>
      <c r="E147" s="2" t="s">
        <v>82</v>
      </c>
    </row>
    <row r="148" customFormat="false" ht="15" hidden="false" customHeight="false" outlineLevel="0" collapsed="false">
      <c r="A148" s="15" t="n">
        <v>45804</v>
      </c>
      <c r="B148" s="4" t="n">
        <v>1</v>
      </c>
      <c r="D148" s="5" t="n">
        <f aca="false">IF(AND(p_aplicar_feriados=1,C148&lt;&gt;""),0,B148)</f>
        <v>1</v>
      </c>
      <c r="E148" s="2" t="s">
        <v>82</v>
      </c>
    </row>
    <row r="149" customFormat="false" ht="15" hidden="false" customHeight="false" outlineLevel="0" collapsed="false">
      <c r="A149" s="15" t="n">
        <v>45805</v>
      </c>
      <c r="B149" s="4" t="n">
        <v>1</v>
      </c>
      <c r="D149" s="5" t="n">
        <f aca="false">IF(AND(p_aplicar_feriados=1,C149&lt;&gt;""),0,B149)</f>
        <v>1</v>
      </c>
      <c r="E149" s="2" t="s">
        <v>82</v>
      </c>
    </row>
    <row r="150" customFormat="false" ht="15" hidden="false" customHeight="false" outlineLevel="0" collapsed="false">
      <c r="A150" s="15" t="n">
        <v>45806</v>
      </c>
      <c r="B150" s="4" t="n">
        <v>1</v>
      </c>
      <c r="D150" s="5" t="n">
        <f aca="false">IF(AND(p_aplicar_feriados=1,C150&lt;&gt;""),0,B150)</f>
        <v>1</v>
      </c>
      <c r="E150" s="2" t="s">
        <v>82</v>
      </c>
    </row>
    <row r="151" customFormat="false" ht="15" hidden="false" customHeight="false" outlineLevel="0" collapsed="false">
      <c r="A151" s="15" t="n">
        <v>45807</v>
      </c>
      <c r="B151" s="4" t="n">
        <v>1</v>
      </c>
      <c r="D151" s="5" t="n">
        <f aca="false">IF(AND(p_aplicar_feriados=1,C151&lt;&gt;""),0,B151)</f>
        <v>1</v>
      </c>
      <c r="E151" s="2" t="s">
        <v>82</v>
      </c>
    </row>
    <row r="152" customFormat="false" ht="15" hidden="false" customHeight="false" outlineLevel="0" collapsed="false">
      <c r="A152" s="15" t="n">
        <v>45808</v>
      </c>
      <c r="B152" s="4" t="n">
        <v>0</v>
      </c>
      <c r="D152" s="5" t="n">
        <f aca="false">IF(AND(p_aplicar_feriados=1,C152&lt;&gt;""),0,B152)</f>
        <v>0</v>
      </c>
      <c r="E152" s="2" t="s">
        <v>82</v>
      </c>
    </row>
    <row r="153" customFormat="false" ht="15" hidden="false" customHeight="false" outlineLevel="0" collapsed="false">
      <c r="A153" s="15" t="n">
        <v>45809</v>
      </c>
      <c r="B153" s="4" t="n">
        <v>0</v>
      </c>
      <c r="D153" s="5" t="n">
        <f aca="false">IF(AND(p_aplicar_feriados=1,C153&lt;&gt;""),0,B153)</f>
        <v>0</v>
      </c>
      <c r="E153" s="2" t="s">
        <v>82</v>
      </c>
    </row>
    <row r="154" customFormat="false" ht="15" hidden="false" customHeight="false" outlineLevel="0" collapsed="false">
      <c r="A154" s="15" t="n">
        <v>45810</v>
      </c>
      <c r="B154" s="4" t="n">
        <v>1</v>
      </c>
      <c r="D154" s="5" t="n">
        <f aca="false">IF(AND(p_aplicar_feriados=1,C154&lt;&gt;""),0,B154)</f>
        <v>1</v>
      </c>
      <c r="E154" s="2" t="s">
        <v>82</v>
      </c>
    </row>
    <row r="155" customFormat="false" ht="15" hidden="false" customHeight="false" outlineLevel="0" collapsed="false">
      <c r="A155" s="15" t="n">
        <v>45811</v>
      </c>
      <c r="B155" s="4" t="n">
        <v>1</v>
      </c>
      <c r="D155" s="5" t="n">
        <f aca="false">IF(AND(p_aplicar_feriados=1,C155&lt;&gt;""),0,B155)</f>
        <v>1</v>
      </c>
      <c r="E155" s="2" t="s">
        <v>82</v>
      </c>
    </row>
    <row r="156" customFormat="false" ht="15" hidden="false" customHeight="false" outlineLevel="0" collapsed="false">
      <c r="A156" s="15" t="n">
        <v>45812</v>
      </c>
      <c r="B156" s="4" t="n">
        <v>1</v>
      </c>
      <c r="D156" s="5" t="n">
        <f aca="false">IF(AND(p_aplicar_feriados=1,C156&lt;&gt;""),0,B156)</f>
        <v>1</v>
      </c>
      <c r="E156" s="2" t="s">
        <v>82</v>
      </c>
    </row>
    <row r="157" customFormat="false" ht="15" hidden="false" customHeight="false" outlineLevel="0" collapsed="false">
      <c r="A157" s="15" t="n">
        <v>45813</v>
      </c>
      <c r="B157" s="4" t="n">
        <v>1</v>
      </c>
      <c r="D157" s="5" t="n">
        <f aca="false">IF(AND(p_aplicar_feriados=1,C157&lt;&gt;""),0,B157)</f>
        <v>1</v>
      </c>
      <c r="E157" s="2" t="s">
        <v>82</v>
      </c>
    </row>
    <row r="158" customFormat="false" ht="15" hidden="false" customHeight="false" outlineLevel="0" collapsed="false">
      <c r="A158" s="15" t="n">
        <v>45814</v>
      </c>
      <c r="B158" s="4" t="n">
        <v>1</v>
      </c>
      <c r="D158" s="5" t="n">
        <f aca="false">IF(AND(p_aplicar_feriados=1,C158&lt;&gt;""),0,B158)</f>
        <v>1</v>
      </c>
      <c r="E158" s="2" t="s">
        <v>82</v>
      </c>
    </row>
    <row r="159" customFormat="false" ht="15" hidden="false" customHeight="false" outlineLevel="0" collapsed="false">
      <c r="A159" s="15" t="n">
        <v>45815</v>
      </c>
      <c r="B159" s="4" t="n">
        <v>0</v>
      </c>
      <c r="C159" s="2" t="s">
        <v>498</v>
      </c>
      <c r="D159" s="5" t="n">
        <f aca="false">IF(AND(p_aplicar_feriados=1,C159&lt;&gt;""),0,B159)</f>
        <v>0</v>
      </c>
      <c r="E159" s="2" t="s">
        <v>82</v>
      </c>
    </row>
    <row r="160" customFormat="false" ht="15" hidden="false" customHeight="false" outlineLevel="0" collapsed="false">
      <c r="A160" s="15" t="n">
        <v>45816</v>
      </c>
      <c r="B160" s="4" t="n">
        <v>0</v>
      </c>
      <c r="D160" s="5" t="n">
        <f aca="false">IF(AND(p_aplicar_feriados=1,C160&lt;&gt;""),0,B160)</f>
        <v>0</v>
      </c>
      <c r="E160" s="2" t="s">
        <v>82</v>
      </c>
    </row>
    <row r="161" customFormat="false" ht="15" hidden="false" customHeight="false" outlineLevel="0" collapsed="false">
      <c r="A161" s="15" t="n">
        <v>45817</v>
      </c>
      <c r="B161" s="4" t="n">
        <v>1</v>
      </c>
      <c r="D161" s="5" t="n">
        <f aca="false">IF(AND(p_aplicar_feriados=1,C161&lt;&gt;""),0,B161)</f>
        <v>1</v>
      </c>
      <c r="E161" s="2" t="s">
        <v>82</v>
      </c>
    </row>
    <row r="162" customFormat="false" ht="15" hidden="false" customHeight="false" outlineLevel="0" collapsed="false">
      <c r="A162" s="15" t="n">
        <v>45818</v>
      </c>
      <c r="B162" s="4" t="n">
        <v>1</v>
      </c>
      <c r="D162" s="5" t="n">
        <f aca="false">IF(AND(p_aplicar_feriados=1,C162&lt;&gt;""),0,B162)</f>
        <v>1</v>
      </c>
      <c r="E162" s="2" t="s">
        <v>82</v>
      </c>
    </row>
    <row r="163" customFormat="false" ht="15" hidden="false" customHeight="false" outlineLevel="0" collapsed="false">
      <c r="A163" s="15" t="n">
        <v>45819</v>
      </c>
      <c r="B163" s="4" t="n">
        <v>1</v>
      </c>
      <c r="D163" s="5" t="n">
        <f aca="false">IF(AND(p_aplicar_feriados=1,C163&lt;&gt;""),0,B163)</f>
        <v>1</v>
      </c>
      <c r="E163" s="2" t="s">
        <v>82</v>
      </c>
    </row>
    <row r="164" customFormat="false" ht="15" hidden="false" customHeight="false" outlineLevel="0" collapsed="false">
      <c r="A164" s="15" t="n">
        <v>45820</v>
      </c>
      <c r="B164" s="4" t="n">
        <v>1</v>
      </c>
      <c r="D164" s="5" t="n">
        <f aca="false">IF(AND(p_aplicar_feriados=1,C164&lt;&gt;""),0,B164)</f>
        <v>1</v>
      </c>
      <c r="E164" s="2" t="s">
        <v>82</v>
      </c>
    </row>
    <row r="165" customFormat="false" ht="15" hidden="false" customHeight="false" outlineLevel="0" collapsed="false">
      <c r="A165" s="15" t="n">
        <v>45821</v>
      </c>
      <c r="B165" s="4" t="n">
        <v>1</v>
      </c>
      <c r="D165" s="5" t="n">
        <f aca="false">IF(AND(p_aplicar_feriados=1,C165&lt;&gt;""),0,B165)</f>
        <v>1</v>
      </c>
      <c r="E165" s="2" t="s">
        <v>82</v>
      </c>
    </row>
    <row r="166" customFormat="false" ht="15" hidden="false" customHeight="false" outlineLevel="0" collapsed="false">
      <c r="A166" s="15" t="n">
        <v>45822</v>
      </c>
      <c r="B166" s="4" t="n">
        <v>0</v>
      </c>
      <c r="D166" s="5" t="n">
        <f aca="false">IF(AND(p_aplicar_feriados=1,C166&lt;&gt;""),0,B166)</f>
        <v>0</v>
      </c>
      <c r="E166" s="2" t="s">
        <v>82</v>
      </c>
    </row>
    <row r="167" customFormat="false" ht="15" hidden="false" customHeight="false" outlineLevel="0" collapsed="false">
      <c r="A167" s="15" t="n">
        <v>45823</v>
      </c>
      <c r="B167" s="4" t="n">
        <v>0</v>
      </c>
      <c r="D167" s="5" t="n">
        <f aca="false">IF(AND(p_aplicar_feriados=1,C167&lt;&gt;""),0,B167)</f>
        <v>0</v>
      </c>
      <c r="E167" s="2" t="s">
        <v>82</v>
      </c>
    </row>
    <row r="168" customFormat="false" ht="15" hidden="false" customHeight="false" outlineLevel="0" collapsed="false">
      <c r="A168" s="15" t="n">
        <v>45824</v>
      </c>
      <c r="B168" s="4" t="n">
        <v>1</v>
      </c>
      <c r="D168" s="5" t="n">
        <f aca="false">IF(AND(p_aplicar_feriados=1,C168&lt;&gt;""),0,B168)</f>
        <v>1</v>
      </c>
      <c r="E168" s="2" t="s">
        <v>82</v>
      </c>
    </row>
    <row r="169" customFormat="false" ht="15" hidden="false" customHeight="false" outlineLevel="0" collapsed="false">
      <c r="A169" s="15" t="n">
        <v>45825</v>
      </c>
      <c r="B169" s="4" t="n">
        <v>1</v>
      </c>
      <c r="D169" s="5" t="n">
        <f aca="false">IF(AND(p_aplicar_feriados=1,C169&lt;&gt;""),0,B169)</f>
        <v>1</v>
      </c>
      <c r="E169" s="2" t="s">
        <v>82</v>
      </c>
    </row>
    <row r="170" customFormat="false" ht="15" hidden="false" customHeight="false" outlineLevel="0" collapsed="false">
      <c r="A170" s="15" t="n">
        <v>45826</v>
      </c>
      <c r="B170" s="4" t="n">
        <v>1</v>
      </c>
      <c r="D170" s="5" t="n">
        <f aca="false">IF(AND(p_aplicar_feriados=1,C170&lt;&gt;""),0,B170)</f>
        <v>1</v>
      </c>
      <c r="E170" s="2" t="s">
        <v>82</v>
      </c>
    </row>
    <row r="171" customFormat="false" ht="15" hidden="false" customHeight="false" outlineLevel="0" collapsed="false">
      <c r="A171" s="15" t="n">
        <v>45827</v>
      </c>
      <c r="B171" s="4" t="n">
        <v>1</v>
      </c>
      <c r="D171" s="5" t="n">
        <f aca="false">IF(AND(p_aplicar_feriados=1,C171&lt;&gt;""),0,B171)</f>
        <v>1</v>
      </c>
      <c r="E171" s="2" t="s">
        <v>82</v>
      </c>
    </row>
    <row r="172" customFormat="false" ht="15" hidden="false" customHeight="false" outlineLevel="0" collapsed="false">
      <c r="A172" s="15" t="n">
        <v>45828</v>
      </c>
      <c r="B172" s="4" t="n">
        <v>1</v>
      </c>
      <c r="D172" s="5" t="n">
        <f aca="false">IF(AND(p_aplicar_feriados=1,C172&lt;&gt;""),0,B172)</f>
        <v>1</v>
      </c>
      <c r="E172" s="2" t="s">
        <v>82</v>
      </c>
    </row>
    <row r="173" customFormat="false" ht="15" hidden="false" customHeight="false" outlineLevel="0" collapsed="false">
      <c r="A173" s="15" t="n">
        <v>45829</v>
      </c>
      <c r="B173" s="4" t="n">
        <v>0</v>
      </c>
      <c r="D173" s="5" t="n">
        <f aca="false">IF(AND(p_aplicar_feriados=1,C173&lt;&gt;""),0,B173)</f>
        <v>0</v>
      </c>
      <c r="E173" s="2" t="s">
        <v>82</v>
      </c>
    </row>
    <row r="174" customFormat="false" ht="15" hidden="false" customHeight="false" outlineLevel="0" collapsed="false">
      <c r="A174" s="15" t="n">
        <v>45830</v>
      </c>
      <c r="B174" s="4" t="n">
        <v>0</v>
      </c>
      <c r="D174" s="5" t="n">
        <f aca="false">IF(AND(p_aplicar_feriados=1,C174&lt;&gt;""),0,B174)</f>
        <v>0</v>
      </c>
      <c r="E174" s="2" t="s">
        <v>82</v>
      </c>
    </row>
    <row r="175" customFormat="false" ht="15" hidden="false" customHeight="false" outlineLevel="0" collapsed="false">
      <c r="A175" s="15" t="n">
        <v>45831</v>
      </c>
      <c r="B175" s="4" t="n">
        <v>1</v>
      </c>
      <c r="D175" s="5" t="n">
        <f aca="false">IF(AND(p_aplicar_feriados=1,C175&lt;&gt;""),0,B175)</f>
        <v>1</v>
      </c>
      <c r="E175" s="2" t="s">
        <v>82</v>
      </c>
    </row>
    <row r="176" customFormat="false" ht="15" hidden="false" customHeight="false" outlineLevel="0" collapsed="false">
      <c r="A176" s="15" t="n">
        <v>45832</v>
      </c>
      <c r="B176" s="4" t="n">
        <v>1</v>
      </c>
      <c r="D176" s="5" t="n">
        <f aca="false">IF(AND(p_aplicar_feriados=1,C176&lt;&gt;""),0,B176)</f>
        <v>1</v>
      </c>
      <c r="E176" s="2" t="s">
        <v>82</v>
      </c>
    </row>
    <row r="177" customFormat="false" ht="15" hidden="false" customHeight="false" outlineLevel="0" collapsed="false">
      <c r="A177" s="15" t="n">
        <v>45833</v>
      </c>
      <c r="B177" s="4" t="n">
        <v>1</v>
      </c>
      <c r="D177" s="5" t="n">
        <f aca="false">IF(AND(p_aplicar_feriados=1,C177&lt;&gt;""),0,B177)</f>
        <v>1</v>
      </c>
      <c r="E177" s="2" t="s">
        <v>82</v>
      </c>
    </row>
    <row r="178" customFormat="false" ht="15" hidden="false" customHeight="false" outlineLevel="0" collapsed="false">
      <c r="A178" s="15" t="n">
        <v>45834</v>
      </c>
      <c r="B178" s="4" t="n">
        <v>1</v>
      </c>
      <c r="D178" s="5" t="n">
        <f aca="false">IF(AND(p_aplicar_feriados=1,C178&lt;&gt;""),0,B178)</f>
        <v>1</v>
      </c>
      <c r="E178" s="2" t="s">
        <v>82</v>
      </c>
    </row>
    <row r="179" customFormat="false" ht="15" hidden="false" customHeight="false" outlineLevel="0" collapsed="false">
      <c r="A179" s="15" t="n">
        <v>45835</v>
      </c>
      <c r="B179" s="4" t="n">
        <v>1</v>
      </c>
      <c r="D179" s="5" t="n">
        <f aca="false">IF(AND(p_aplicar_feriados=1,C179&lt;&gt;""),0,B179)</f>
        <v>1</v>
      </c>
      <c r="E179" s="2" t="s">
        <v>82</v>
      </c>
    </row>
    <row r="180" customFormat="false" ht="15" hidden="false" customHeight="false" outlineLevel="0" collapsed="false">
      <c r="A180" s="15" t="n">
        <v>45836</v>
      </c>
      <c r="B180" s="4" t="n">
        <v>0</v>
      </c>
      <c r="D180" s="5" t="n">
        <f aca="false">IF(AND(p_aplicar_feriados=1,C180&lt;&gt;""),0,B180)</f>
        <v>0</v>
      </c>
      <c r="E180" s="2" t="s">
        <v>82</v>
      </c>
    </row>
    <row r="181" customFormat="false" ht="15" hidden="false" customHeight="false" outlineLevel="0" collapsed="false">
      <c r="A181" s="15" t="n">
        <v>45837</v>
      </c>
      <c r="B181" s="4" t="n">
        <v>0</v>
      </c>
      <c r="C181" s="2" t="s">
        <v>499</v>
      </c>
      <c r="D181" s="5" t="n">
        <f aca="false">IF(AND(p_aplicar_feriados=1,C181&lt;&gt;""),0,B181)</f>
        <v>0</v>
      </c>
      <c r="E181" s="2" t="s">
        <v>82</v>
      </c>
    </row>
    <row r="182" customFormat="false" ht="15" hidden="false" customHeight="false" outlineLevel="0" collapsed="false">
      <c r="A182" s="15" t="n">
        <v>45838</v>
      </c>
      <c r="B182" s="4" t="n">
        <v>1</v>
      </c>
      <c r="D182" s="5" t="n">
        <f aca="false">IF(AND(p_aplicar_feriados=1,C182&lt;&gt;""),0,B182)</f>
        <v>1</v>
      </c>
      <c r="E182" s="2" t="s">
        <v>82</v>
      </c>
    </row>
    <row r="183" customFormat="false" ht="15" hidden="false" customHeight="false" outlineLevel="0" collapsed="false">
      <c r="A183" s="15" t="n">
        <v>45839</v>
      </c>
      <c r="B183" s="4" t="n">
        <v>1</v>
      </c>
      <c r="D183" s="5" t="n">
        <f aca="false">IF(AND(p_aplicar_feriados=1,C183&lt;&gt;""),0,B183)</f>
        <v>1</v>
      </c>
      <c r="E183" s="2" t="s">
        <v>82</v>
      </c>
    </row>
    <row r="184" customFormat="false" ht="15" hidden="false" customHeight="false" outlineLevel="0" collapsed="false">
      <c r="A184" s="15" t="n">
        <v>45840</v>
      </c>
      <c r="B184" s="4" t="n">
        <v>1</v>
      </c>
      <c r="D184" s="5" t="n">
        <f aca="false">IF(AND(p_aplicar_feriados=1,C184&lt;&gt;""),0,B184)</f>
        <v>1</v>
      </c>
      <c r="E184" s="2" t="s">
        <v>82</v>
      </c>
    </row>
    <row r="185" customFormat="false" ht="15" hidden="false" customHeight="false" outlineLevel="0" collapsed="false">
      <c r="A185" s="15" t="n">
        <v>45841</v>
      </c>
      <c r="B185" s="4" t="n">
        <v>1</v>
      </c>
      <c r="D185" s="5" t="n">
        <f aca="false">IF(AND(p_aplicar_feriados=1,C185&lt;&gt;""),0,B185)</f>
        <v>1</v>
      </c>
      <c r="E185" s="2" t="s">
        <v>82</v>
      </c>
    </row>
    <row r="186" customFormat="false" ht="15" hidden="false" customHeight="false" outlineLevel="0" collapsed="false">
      <c r="A186" s="15" t="n">
        <v>45842</v>
      </c>
      <c r="B186" s="4" t="n">
        <v>1</v>
      </c>
      <c r="D186" s="5" t="n">
        <f aca="false">IF(AND(p_aplicar_feriados=1,C186&lt;&gt;""),0,B186)</f>
        <v>1</v>
      </c>
      <c r="E186" s="2" t="s">
        <v>82</v>
      </c>
    </row>
    <row r="187" customFormat="false" ht="15" hidden="false" customHeight="false" outlineLevel="0" collapsed="false">
      <c r="A187" s="15" t="n">
        <v>45843</v>
      </c>
      <c r="B187" s="4" t="n">
        <v>0</v>
      </c>
      <c r="D187" s="5" t="n">
        <f aca="false">IF(AND(p_aplicar_feriados=1,C187&lt;&gt;""),0,B187)</f>
        <v>0</v>
      </c>
      <c r="E187" s="2" t="s">
        <v>82</v>
      </c>
    </row>
    <row r="188" customFormat="false" ht="15" hidden="false" customHeight="false" outlineLevel="0" collapsed="false">
      <c r="A188" s="15" t="n">
        <v>45844</v>
      </c>
      <c r="B188" s="4" t="n">
        <v>0</v>
      </c>
      <c r="D188" s="5" t="n">
        <f aca="false">IF(AND(p_aplicar_feriados=1,C188&lt;&gt;""),0,B188)</f>
        <v>0</v>
      </c>
      <c r="E188" s="2" t="s">
        <v>82</v>
      </c>
    </row>
    <row r="189" customFormat="false" ht="15" hidden="false" customHeight="false" outlineLevel="0" collapsed="false">
      <c r="A189" s="15" t="n">
        <v>45845</v>
      </c>
      <c r="B189" s="4" t="n">
        <v>1</v>
      </c>
      <c r="D189" s="5" t="n">
        <f aca="false">IF(AND(p_aplicar_feriados=1,C189&lt;&gt;""),0,B189)</f>
        <v>1</v>
      </c>
      <c r="E189" s="2" t="s">
        <v>82</v>
      </c>
    </row>
    <row r="190" customFormat="false" ht="15" hidden="false" customHeight="false" outlineLevel="0" collapsed="false">
      <c r="A190" s="15" t="n">
        <v>45846</v>
      </c>
      <c r="B190" s="4" t="n">
        <v>1</v>
      </c>
      <c r="D190" s="5" t="n">
        <f aca="false">IF(AND(p_aplicar_feriados=1,C190&lt;&gt;""),0,B190)</f>
        <v>1</v>
      </c>
      <c r="E190" s="2" t="s">
        <v>82</v>
      </c>
    </row>
    <row r="191" customFormat="false" ht="15" hidden="false" customHeight="false" outlineLevel="0" collapsed="false">
      <c r="A191" s="15" t="n">
        <v>45847</v>
      </c>
      <c r="B191" s="4" t="n">
        <v>1</v>
      </c>
      <c r="D191" s="5" t="n">
        <f aca="false">IF(AND(p_aplicar_feriados=1,C191&lt;&gt;""),0,B191)</f>
        <v>1</v>
      </c>
      <c r="E191" s="2" t="s">
        <v>82</v>
      </c>
    </row>
    <row r="192" customFormat="false" ht="15" hidden="false" customHeight="false" outlineLevel="0" collapsed="false">
      <c r="A192" s="15" t="n">
        <v>45848</v>
      </c>
      <c r="B192" s="4" t="n">
        <v>1</v>
      </c>
      <c r="D192" s="5" t="n">
        <f aca="false">IF(AND(p_aplicar_feriados=1,C192&lt;&gt;""),0,B192)</f>
        <v>1</v>
      </c>
      <c r="E192" s="2" t="s">
        <v>82</v>
      </c>
    </row>
    <row r="193" customFormat="false" ht="15" hidden="false" customHeight="false" outlineLevel="0" collapsed="false">
      <c r="A193" s="15" t="n">
        <v>45849</v>
      </c>
      <c r="B193" s="4" t="n">
        <v>1</v>
      </c>
      <c r="D193" s="5" t="n">
        <f aca="false">IF(AND(p_aplicar_feriados=1,C193&lt;&gt;""),0,B193)</f>
        <v>1</v>
      </c>
      <c r="E193" s="2" t="s">
        <v>82</v>
      </c>
    </row>
    <row r="194" customFormat="false" ht="15" hidden="false" customHeight="false" outlineLevel="0" collapsed="false">
      <c r="A194" s="15" t="n">
        <v>45850</v>
      </c>
      <c r="B194" s="4" t="n">
        <v>0</v>
      </c>
      <c r="D194" s="5" t="n">
        <f aca="false">IF(AND(p_aplicar_feriados=1,C194&lt;&gt;""),0,B194)</f>
        <v>0</v>
      </c>
      <c r="E194" s="2" t="s">
        <v>82</v>
      </c>
    </row>
    <row r="195" customFormat="false" ht="15" hidden="false" customHeight="false" outlineLevel="0" collapsed="false">
      <c r="A195" s="15" t="n">
        <v>45851</v>
      </c>
      <c r="B195" s="4" t="n">
        <v>0</v>
      </c>
      <c r="D195" s="5" t="n">
        <f aca="false">IF(AND(p_aplicar_feriados=1,C195&lt;&gt;""),0,B195)</f>
        <v>0</v>
      </c>
      <c r="E195" s="2" t="s">
        <v>82</v>
      </c>
    </row>
    <row r="196" customFormat="false" ht="15" hidden="false" customHeight="false" outlineLevel="0" collapsed="false">
      <c r="A196" s="15" t="n">
        <v>45852</v>
      </c>
      <c r="B196" s="4" t="n">
        <v>1</v>
      </c>
      <c r="D196" s="5" t="n">
        <f aca="false">IF(AND(p_aplicar_feriados=1,C196&lt;&gt;""),0,B196)</f>
        <v>1</v>
      </c>
      <c r="E196" s="2" t="s">
        <v>82</v>
      </c>
    </row>
    <row r="197" customFormat="false" ht="15" hidden="false" customHeight="false" outlineLevel="0" collapsed="false">
      <c r="A197" s="15" t="n">
        <v>45853</v>
      </c>
      <c r="B197" s="4" t="n">
        <v>1</v>
      </c>
      <c r="D197" s="5" t="n">
        <f aca="false">IF(AND(p_aplicar_feriados=1,C197&lt;&gt;""),0,B197)</f>
        <v>1</v>
      </c>
      <c r="E197" s="2" t="s">
        <v>82</v>
      </c>
    </row>
    <row r="198" customFormat="false" ht="15" hidden="false" customHeight="false" outlineLevel="0" collapsed="false">
      <c r="A198" s="15" t="n">
        <v>45854</v>
      </c>
      <c r="B198" s="4" t="n">
        <v>1</v>
      </c>
      <c r="D198" s="5" t="n">
        <f aca="false">IF(AND(p_aplicar_feriados=1,C198&lt;&gt;""),0,B198)</f>
        <v>1</v>
      </c>
      <c r="E198" s="2" t="s">
        <v>82</v>
      </c>
    </row>
    <row r="199" customFormat="false" ht="15" hidden="false" customHeight="false" outlineLevel="0" collapsed="false">
      <c r="A199" s="15" t="n">
        <v>45855</v>
      </c>
      <c r="B199" s="4" t="n">
        <v>1</v>
      </c>
      <c r="D199" s="5" t="n">
        <f aca="false">IF(AND(p_aplicar_feriados=1,C199&lt;&gt;""),0,B199)</f>
        <v>1</v>
      </c>
      <c r="E199" s="2" t="s">
        <v>82</v>
      </c>
    </row>
    <row r="200" customFormat="false" ht="15" hidden="false" customHeight="false" outlineLevel="0" collapsed="false">
      <c r="A200" s="15" t="n">
        <v>45856</v>
      </c>
      <c r="B200" s="4" t="n">
        <v>1</v>
      </c>
      <c r="D200" s="5" t="n">
        <f aca="false">IF(AND(p_aplicar_feriados=1,C200&lt;&gt;""),0,B200)</f>
        <v>1</v>
      </c>
      <c r="E200" s="2" t="s">
        <v>82</v>
      </c>
    </row>
    <row r="201" customFormat="false" ht="15" hidden="false" customHeight="false" outlineLevel="0" collapsed="false">
      <c r="A201" s="15" t="n">
        <v>45857</v>
      </c>
      <c r="B201" s="4" t="n">
        <v>0</v>
      </c>
      <c r="D201" s="5" t="n">
        <f aca="false">IF(AND(p_aplicar_feriados=1,C201&lt;&gt;""),0,B201)</f>
        <v>0</v>
      </c>
      <c r="E201" s="2" t="s">
        <v>82</v>
      </c>
    </row>
    <row r="202" customFormat="false" ht="15" hidden="false" customHeight="false" outlineLevel="0" collapsed="false">
      <c r="A202" s="15" t="n">
        <v>45858</v>
      </c>
      <c r="B202" s="4" t="n">
        <v>0</v>
      </c>
      <c r="D202" s="5" t="n">
        <f aca="false">IF(AND(p_aplicar_feriados=1,C202&lt;&gt;""),0,B202)</f>
        <v>0</v>
      </c>
      <c r="E202" s="2" t="s">
        <v>82</v>
      </c>
    </row>
    <row r="203" customFormat="false" ht="15" hidden="false" customHeight="false" outlineLevel="0" collapsed="false">
      <c r="A203" s="15" t="n">
        <v>45859</v>
      </c>
      <c r="B203" s="4" t="n">
        <v>1</v>
      </c>
      <c r="D203" s="5" t="n">
        <f aca="false">IF(AND(p_aplicar_feriados=1,C203&lt;&gt;""),0,B203)</f>
        <v>1</v>
      </c>
      <c r="E203" s="2" t="s">
        <v>82</v>
      </c>
    </row>
    <row r="204" customFormat="false" ht="15" hidden="false" customHeight="false" outlineLevel="0" collapsed="false">
      <c r="A204" s="15" t="n">
        <v>45860</v>
      </c>
      <c r="B204" s="4" t="n">
        <v>1</v>
      </c>
      <c r="D204" s="5" t="n">
        <f aca="false">IF(AND(p_aplicar_feriados=1,C204&lt;&gt;""),0,B204)</f>
        <v>1</v>
      </c>
      <c r="E204" s="2" t="s">
        <v>82</v>
      </c>
    </row>
    <row r="205" customFormat="false" ht="15" hidden="false" customHeight="false" outlineLevel="0" collapsed="false">
      <c r="A205" s="15" t="n">
        <v>45861</v>
      </c>
      <c r="B205" s="4" t="n">
        <v>1</v>
      </c>
      <c r="C205" s="2" t="s">
        <v>500</v>
      </c>
      <c r="D205" s="5" t="n">
        <f aca="false">IF(AND(p_aplicar_feriados=1,C205&lt;&gt;""),0,B205)</f>
        <v>1</v>
      </c>
      <c r="E205" s="2" t="s">
        <v>82</v>
      </c>
    </row>
    <row r="206" customFormat="false" ht="15" hidden="false" customHeight="false" outlineLevel="0" collapsed="false">
      <c r="A206" s="15" t="n">
        <v>45862</v>
      </c>
      <c r="B206" s="4" t="n">
        <v>1</v>
      </c>
      <c r="D206" s="5" t="n">
        <f aca="false">IF(AND(p_aplicar_feriados=1,C206&lt;&gt;""),0,B206)</f>
        <v>1</v>
      </c>
      <c r="E206" s="2" t="s">
        <v>82</v>
      </c>
    </row>
    <row r="207" customFormat="false" ht="15" hidden="false" customHeight="false" outlineLevel="0" collapsed="false">
      <c r="A207" s="15" t="n">
        <v>45863</v>
      </c>
      <c r="B207" s="4" t="n">
        <v>1</v>
      </c>
      <c r="D207" s="5" t="n">
        <f aca="false">IF(AND(p_aplicar_feriados=1,C207&lt;&gt;""),0,B207)</f>
        <v>1</v>
      </c>
      <c r="E207" s="2" t="s">
        <v>82</v>
      </c>
    </row>
    <row r="208" customFormat="false" ht="15" hidden="false" customHeight="false" outlineLevel="0" collapsed="false">
      <c r="A208" s="15" t="n">
        <v>45864</v>
      </c>
      <c r="B208" s="4" t="n">
        <v>0</v>
      </c>
      <c r="D208" s="5" t="n">
        <f aca="false">IF(AND(p_aplicar_feriados=1,C208&lt;&gt;""),0,B208)</f>
        <v>0</v>
      </c>
      <c r="E208" s="2" t="s">
        <v>82</v>
      </c>
    </row>
    <row r="209" customFormat="false" ht="15" hidden="false" customHeight="false" outlineLevel="0" collapsed="false">
      <c r="A209" s="15" t="n">
        <v>45865</v>
      </c>
      <c r="B209" s="4" t="n">
        <v>0</v>
      </c>
      <c r="D209" s="5" t="n">
        <f aca="false">IF(AND(p_aplicar_feriados=1,C209&lt;&gt;""),0,B209)</f>
        <v>0</v>
      </c>
      <c r="E209" s="2" t="s">
        <v>82</v>
      </c>
    </row>
    <row r="210" customFormat="false" ht="15" hidden="false" customHeight="false" outlineLevel="0" collapsed="false">
      <c r="A210" s="15" t="n">
        <v>45866</v>
      </c>
      <c r="B210" s="4" t="n">
        <v>1</v>
      </c>
      <c r="C210" s="2" t="s">
        <v>501</v>
      </c>
      <c r="D210" s="5" t="n">
        <f aca="false">IF(AND(p_aplicar_feriados=1,C210&lt;&gt;""),0,B210)</f>
        <v>1</v>
      </c>
      <c r="E210" s="2" t="s">
        <v>82</v>
      </c>
    </row>
    <row r="211" customFormat="false" ht="15" hidden="false" customHeight="false" outlineLevel="0" collapsed="false">
      <c r="A211" s="15" t="n">
        <v>45867</v>
      </c>
      <c r="B211" s="4" t="n">
        <v>1</v>
      </c>
      <c r="C211" s="2" t="s">
        <v>501</v>
      </c>
      <c r="D211" s="5" t="n">
        <f aca="false">IF(AND(p_aplicar_feriados=1,C211&lt;&gt;""),0,B211)</f>
        <v>1</v>
      </c>
      <c r="E211" s="2" t="s">
        <v>82</v>
      </c>
    </row>
    <row r="212" customFormat="false" ht="15" hidden="false" customHeight="false" outlineLevel="0" collapsed="false">
      <c r="A212" s="15" t="n">
        <v>45868</v>
      </c>
      <c r="B212" s="4" t="n">
        <v>1</v>
      </c>
      <c r="D212" s="5" t="n">
        <f aca="false">IF(AND(p_aplicar_feriados=1,C212&lt;&gt;""),0,B212)</f>
        <v>1</v>
      </c>
      <c r="E212" s="2" t="s">
        <v>82</v>
      </c>
    </row>
    <row r="213" customFormat="false" ht="15" hidden="false" customHeight="false" outlineLevel="0" collapsed="false">
      <c r="A213" s="15" t="n">
        <v>45869</v>
      </c>
      <c r="B213" s="4" t="n">
        <v>1</v>
      </c>
      <c r="D213" s="5" t="n">
        <f aca="false">IF(AND(p_aplicar_feriados=1,C213&lt;&gt;""),0,B213)</f>
        <v>1</v>
      </c>
      <c r="E213" s="2" t="s">
        <v>82</v>
      </c>
    </row>
    <row r="214" customFormat="false" ht="15" hidden="false" customHeight="false" outlineLevel="0" collapsed="false">
      <c r="A214" s="15" t="n">
        <v>45870</v>
      </c>
      <c r="B214" s="4" t="n">
        <v>1</v>
      </c>
      <c r="D214" s="5" t="n">
        <f aca="false">IF(AND(p_aplicar_feriados=1,C214&lt;&gt;""),0,B214)</f>
        <v>1</v>
      </c>
      <c r="E214" s="2" t="s">
        <v>82</v>
      </c>
    </row>
    <row r="215" customFormat="false" ht="15" hidden="false" customHeight="false" outlineLevel="0" collapsed="false">
      <c r="A215" s="15" t="n">
        <v>45871</v>
      </c>
      <c r="B215" s="4" t="n">
        <v>0</v>
      </c>
      <c r="D215" s="5" t="n">
        <f aca="false">IF(AND(p_aplicar_feriados=1,C215&lt;&gt;""),0,B215)</f>
        <v>0</v>
      </c>
      <c r="E215" s="2" t="s">
        <v>82</v>
      </c>
    </row>
    <row r="216" customFormat="false" ht="15" hidden="false" customHeight="false" outlineLevel="0" collapsed="false">
      <c r="A216" s="15" t="n">
        <v>45872</v>
      </c>
      <c r="B216" s="4" t="n">
        <v>0</v>
      </c>
      <c r="D216" s="5" t="n">
        <f aca="false">IF(AND(p_aplicar_feriados=1,C216&lt;&gt;""),0,B216)</f>
        <v>0</v>
      </c>
      <c r="E216" s="2" t="s">
        <v>82</v>
      </c>
    </row>
    <row r="217" customFormat="false" ht="15" hidden="false" customHeight="false" outlineLevel="0" collapsed="false">
      <c r="A217" s="15" t="n">
        <v>45873</v>
      </c>
      <c r="B217" s="4" t="n">
        <v>1</v>
      </c>
      <c r="D217" s="5" t="n">
        <f aca="false">IF(AND(p_aplicar_feriados=1,C217&lt;&gt;""),0,B217)</f>
        <v>1</v>
      </c>
      <c r="E217" s="2" t="s">
        <v>82</v>
      </c>
    </row>
    <row r="218" customFormat="false" ht="15" hidden="false" customHeight="false" outlineLevel="0" collapsed="false">
      <c r="A218" s="15" t="n">
        <v>45874</v>
      </c>
      <c r="B218" s="4" t="n">
        <v>1</v>
      </c>
      <c r="D218" s="5" t="n">
        <f aca="false">IF(AND(p_aplicar_feriados=1,C218&lt;&gt;""),0,B218)</f>
        <v>1</v>
      </c>
      <c r="E218" s="2" t="s">
        <v>82</v>
      </c>
    </row>
    <row r="219" customFormat="false" ht="15" hidden="false" customHeight="false" outlineLevel="0" collapsed="false">
      <c r="A219" s="15" t="n">
        <v>45875</v>
      </c>
      <c r="B219" s="4" t="n">
        <v>1</v>
      </c>
      <c r="C219" s="2" t="s">
        <v>502</v>
      </c>
      <c r="D219" s="5" t="n">
        <f aca="false">IF(AND(p_aplicar_feriados=1,C219&lt;&gt;""),0,B219)</f>
        <v>1</v>
      </c>
      <c r="E219" s="2" t="s">
        <v>82</v>
      </c>
    </row>
    <row r="220" customFormat="false" ht="15" hidden="false" customHeight="false" outlineLevel="0" collapsed="false">
      <c r="A220" s="15" t="n">
        <v>45876</v>
      </c>
      <c r="B220" s="4" t="n">
        <v>1</v>
      </c>
      <c r="D220" s="5" t="n">
        <f aca="false">IF(AND(p_aplicar_feriados=1,C220&lt;&gt;""),0,B220)</f>
        <v>1</v>
      </c>
      <c r="E220" s="2" t="s">
        <v>82</v>
      </c>
    </row>
    <row r="221" customFormat="false" ht="15" hidden="false" customHeight="false" outlineLevel="0" collapsed="false">
      <c r="A221" s="15" t="n">
        <v>45877</v>
      </c>
      <c r="B221" s="4" t="n">
        <v>1</v>
      </c>
      <c r="D221" s="5" t="n">
        <f aca="false">IF(AND(p_aplicar_feriados=1,C221&lt;&gt;""),0,B221)</f>
        <v>1</v>
      </c>
      <c r="E221" s="2" t="s">
        <v>82</v>
      </c>
    </row>
    <row r="222" customFormat="false" ht="15" hidden="false" customHeight="false" outlineLevel="0" collapsed="false">
      <c r="A222" s="15" t="n">
        <v>45878</v>
      </c>
      <c r="B222" s="4" t="n">
        <v>0</v>
      </c>
      <c r="D222" s="5" t="n">
        <f aca="false">IF(AND(p_aplicar_feriados=1,C222&lt;&gt;""),0,B222)</f>
        <v>0</v>
      </c>
      <c r="E222" s="2" t="s">
        <v>82</v>
      </c>
    </row>
    <row r="223" customFormat="false" ht="15" hidden="false" customHeight="false" outlineLevel="0" collapsed="false">
      <c r="A223" s="15" t="n">
        <v>45879</v>
      </c>
      <c r="B223" s="4" t="n">
        <v>0</v>
      </c>
      <c r="D223" s="5" t="n">
        <f aca="false">IF(AND(p_aplicar_feriados=1,C223&lt;&gt;""),0,B223)</f>
        <v>0</v>
      </c>
      <c r="E223" s="2" t="s">
        <v>82</v>
      </c>
    </row>
    <row r="224" customFormat="false" ht="15" hidden="false" customHeight="false" outlineLevel="0" collapsed="false">
      <c r="A224" s="15" t="n">
        <v>45880</v>
      </c>
      <c r="B224" s="4" t="n">
        <v>1</v>
      </c>
      <c r="D224" s="5" t="n">
        <f aca="false">IF(AND(p_aplicar_feriados=1,C224&lt;&gt;""),0,B224)</f>
        <v>1</v>
      </c>
      <c r="E224" s="2" t="s">
        <v>82</v>
      </c>
    </row>
    <row r="225" customFormat="false" ht="15" hidden="false" customHeight="false" outlineLevel="0" collapsed="false">
      <c r="A225" s="15" t="n">
        <v>45881</v>
      </c>
      <c r="B225" s="4" t="n">
        <v>1</v>
      </c>
      <c r="D225" s="5" t="n">
        <f aca="false">IF(AND(p_aplicar_feriados=1,C225&lt;&gt;""),0,B225)</f>
        <v>1</v>
      </c>
      <c r="E225" s="2" t="s">
        <v>82</v>
      </c>
    </row>
    <row r="226" customFormat="false" ht="15" hidden="false" customHeight="false" outlineLevel="0" collapsed="false">
      <c r="A226" s="15" t="n">
        <v>45882</v>
      </c>
      <c r="B226" s="4" t="n">
        <v>1</v>
      </c>
      <c r="D226" s="5" t="n">
        <f aca="false">IF(AND(p_aplicar_feriados=1,C226&lt;&gt;""),0,B226)</f>
        <v>1</v>
      </c>
      <c r="E226" s="2" t="s">
        <v>82</v>
      </c>
    </row>
    <row r="227" customFormat="false" ht="15" hidden="false" customHeight="false" outlineLevel="0" collapsed="false">
      <c r="A227" s="15" t="n">
        <v>45883</v>
      </c>
      <c r="B227" s="4" t="n">
        <v>1</v>
      </c>
      <c r="D227" s="5" t="n">
        <f aca="false">IF(AND(p_aplicar_feriados=1,C227&lt;&gt;""),0,B227)</f>
        <v>1</v>
      </c>
      <c r="E227" s="2" t="s">
        <v>82</v>
      </c>
    </row>
    <row r="228" customFormat="false" ht="15" hidden="false" customHeight="false" outlineLevel="0" collapsed="false">
      <c r="A228" s="15" t="n">
        <v>45884</v>
      </c>
      <c r="B228" s="4" t="n">
        <v>1</v>
      </c>
      <c r="D228" s="5" t="n">
        <f aca="false">IF(AND(p_aplicar_feriados=1,C228&lt;&gt;""),0,B228)</f>
        <v>1</v>
      </c>
      <c r="E228" s="2" t="s">
        <v>82</v>
      </c>
    </row>
    <row r="229" customFormat="false" ht="15" hidden="false" customHeight="false" outlineLevel="0" collapsed="false">
      <c r="A229" s="15" t="n">
        <v>45885</v>
      </c>
      <c r="B229" s="4" t="n">
        <v>0</v>
      </c>
      <c r="D229" s="5" t="n">
        <f aca="false">IF(AND(p_aplicar_feriados=1,C229&lt;&gt;""),0,B229)</f>
        <v>0</v>
      </c>
      <c r="E229" s="2" t="s">
        <v>82</v>
      </c>
    </row>
    <row r="230" customFormat="false" ht="15" hidden="false" customHeight="false" outlineLevel="0" collapsed="false">
      <c r="A230" s="15" t="n">
        <v>45886</v>
      </c>
      <c r="B230" s="4" t="n">
        <v>0</v>
      </c>
      <c r="D230" s="5" t="n">
        <f aca="false">IF(AND(p_aplicar_feriados=1,C230&lt;&gt;""),0,B230)</f>
        <v>0</v>
      </c>
      <c r="E230" s="2" t="s">
        <v>82</v>
      </c>
    </row>
    <row r="231" customFormat="false" ht="15" hidden="false" customHeight="false" outlineLevel="0" collapsed="false">
      <c r="A231" s="15" t="n">
        <v>45887</v>
      </c>
      <c r="B231" s="4" t="n">
        <v>1</v>
      </c>
      <c r="D231" s="5" t="n">
        <f aca="false">IF(AND(p_aplicar_feriados=1,C231&lt;&gt;""),0,B231)</f>
        <v>1</v>
      </c>
      <c r="E231" s="2" t="s">
        <v>82</v>
      </c>
    </row>
    <row r="232" customFormat="false" ht="15" hidden="false" customHeight="false" outlineLevel="0" collapsed="false">
      <c r="A232" s="15" t="n">
        <v>45888</v>
      </c>
      <c r="B232" s="4" t="n">
        <v>1</v>
      </c>
      <c r="D232" s="5" t="n">
        <f aca="false">IF(AND(p_aplicar_feriados=1,C232&lt;&gt;""),0,B232)</f>
        <v>1</v>
      </c>
      <c r="E232" s="2" t="s">
        <v>82</v>
      </c>
    </row>
    <row r="233" customFormat="false" ht="15" hidden="false" customHeight="false" outlineLevel="0" collapsed="false">
      <c r="A233" s="15" t="n">
        <v>45889</v>
      </c>
      <c r="B233" s="4" t="n">
        <v>1</v>
      </c>
      <c r="D233" s="5" t="n">
        <f aca="false">IF(AND(p_aplicar_feriados=1,C233&lt;&gt;""),0,B233)</f>
        <v>1</v>
      </c>
      <c r="E233" s="2" t="s">
        <v>82</v>
      </c>
    </row>
    <row r="234" customFormat="false" ht="15" hidden="false" customHeight="false" outlineLevel="0" collapsed="false">
      <c r="A234" s="15" t="n">
        <v>45890</v>
      </c>
      <c r="B234" s="4" t="n">
        <v>1</v>
      </c>
      <c r="D234" s="5" t="n">
        <f aca="false">IF(AND(p_aplicar_feriados=1,C234&lt;&gt;""),0,B234)</f>
        <v>1</v>
      </c>
      <c r="E234" s="2" t="s">
        <v>82</v>
      </c>
    </row>
    <row r="235" customFormat="false" ht="15" hidden="false" customHeight="false" outlineLevel="0" collapsed="false">
      <c r="A235" s="15" t="n">
        <v>45891</v>
      </c>
      <c r="B235" s="4" t="n">
        <v>1</v>
      </c>
      <c r="D235" s="5" t="n">
        <f aca="false">IF(AND(p_aplicar_feriados=1,C235&lt;&gt;""),0,B235)</f>
        <v>1</v>
      </c>
      <c r="E235" s="2" t="s">
        <v>82</v>
      </c>
    </row>
    <row r="236" customFormat="false" ht="15" hidden="false" customHeight="false" outlineLevel="0" collapsed="false">
      <c r="A236" s="15" t="n">
        <v>45892</v>
      </c>
      <c r="B236" s="4" t="n">
        <v>0</v>
      </c>
      <c r="D236" s="5" t="n">
        <f aca="false">IF(AND(p_aplicar_feriados=1,C236&lt;&gt;""),0,B236)</f>
        <v>0</v>
      </c>
      <c r="E236" s="2" t="s">
        <v>82</v>
      </c>
    </row>
    <row r="237" customFormat="false" ht="15" hidden="false" customHeight="false" outlineLevel="0" collapsed="false">
      <c r="A237" s="15" t="n">
        <v>45893</v>
      </c>
      <c r="B237" s="4" t="n">
        <v>0</v>
      </c>
      <c r="D237" s="5" t="n">
        <f aca="false">IF(AND(p_aplicar_feriados=1,C237&lt;&gt;""),0,B237)</f>
        <v>0</v>
      </c>
      <c r="E237" s="2" t="s">
        <v>82</v>
      </c>
    </row>
    <row r="238" customFormat="false" ht="15" hidden="false" customHeight="false" outlineLevel="0" collapsed="false">
      <c r="A238" s="15" t="n">
        <v>45894</v>
      </c>
      <c r="B238" s="4" t="n">
        <v>1</v>
      </c>
      <c r="D238" s="5" t="n">
        <f aca="false">IF(AND(p_aplicar_feriados=1,C238&lt;&gt;""),0,B238)</f>
        <v>1</v>
      </c>
      <c r="E238" s="2" t="s">
        <v>82</v>
      </c>
    </row>
    <row r="239" customFormat="false" ht="15" hidden="false" customHeight="false" outlineLevel="0" collapsed="false">
      <c r="A239" s="15" t="n">
        <v>45895</v>
      </c>
      <c r="B239" s="4" t="n">
        <v>1</v>
      </c>
      <c r="D239" s="5" t="n">
        <f aca="false">IF(AND(p_aplicar_feriados=1,C239&lt;&gt;""),0,B239)</f>
        <v>1</v>
      </c>
      <c r="E239" s="2" t="s">
        <v>82</v>
      </c>
    </row>
    <row r="240" customFormat="false" ht="15" hidden="false" customHeight="false" outlineLevel="0" collapsed="false">
      <c r="A240" s="15" t="n">
        <v>45896</v>
      </c>
      <c r="B240" s="4" t="n">
        <v>1</v>
      </c>
      <c r="D240" s="5" t="n">
        <f aca="false">IF(AND(p_aplicar_feriados=1,C240&lt;&gt;""),0,B240)</f>
        <v>1</v>
      </c>
      <c r="E240" s="2" t="s">
        <v>82</v>
      </c>
    </row>
    <row r="241" customFormat="false" ht="15" hidden="false" customHeight="false" outlineLevel="0" collapsed="false">
      <c r="A241" s="15" t="n">
        <v>45897</v>
      </c>
      <c r="B241" s="4" t="n">
        <v>1</v>
      </c>
      <c r="D241" s="5" t="n">
        <f aca="false">IF(AND(p_aplicar_feriados=1,C241&lt;&gt;""),0,B241)</f>
        <v>1</v>
      </c>
      <c r="E241" s="2" t="s">
        <v>82</v>
      </c>
    </row>
    <row r="242" customFormat="false" ht="15" hidden="false" customHeight="false" outlineLevel="0" collapsed="false">
      <c r="A242" s="15" t="n">
        <v>45898</v>
      </c>
      <c r="B242" s="4" t="n">
        <v>1</v>
      </c>
      <c r="D242" s="5" t="n">
        <f aca="false">IF(AND(p_aplicar_feriados=1,C242&lt;&gt;""),0,B242)</f>
        <v>1</v>
      </c>
      <c r="E242" s="2" t="s">
        <v>82</v>
      </c>
    </row>
    <row r="243" customFormat="false" ht="15" hidden="false" customHeight="false" outlineLevel="0" collapsed="false">
      <c r="A243" s="15" t="n">
        <v>45899</v>
      </c>
      <c r="B243" s="4" t="n">
        <v>0</v>
      </c>
      <c r="C243" s="2" t="s">
        <v>503</v>
      </c>
      <c r="D243" s="5" t="n">
        <f aca="false">IF(AND(p_aplicar_feriados=1,C243&lt;&gt;""),0,B243)</f>
        <v>0</v>
      </c>
      <c r="E243" s="2" t="s">
        <v>82</v>
      </c>
    </row>
    <row r="244" customFormat="false" ht="15" hidden="false" customHeight="false" outlineLevel="0" collapsed="false">
      <c r="A244" s="15" t="n">
        <v>45900</v>
      </c>
      <c r="B244" s="4" t="n">
        <v>0</v>
      </c>
      <c r="D244" s="5" t="n">
        <f aca="false">IF(AND(p_aplicar_feriados=1,C244&lt;&gt;""),0,B244)</f>
        <v>0</v>
      </c>
      <c r="E244" s="2" t="s">
        <v>82</v>
      </c>
    </row>
    <row r="245" customFormat="false" ht="15" hidden="false" customHeight="false" outlineLevel="0" collapsed="false">
      <c r="A245" s="15" t="n">
        <v>45901</v>
      </c>
      <c r="B245" s="4" t="n">
        <v>1</v>
      </c>
      <c r="D245" s="5" t="n">
        <f aca="false">IF(AND(p_aplicar_feriados=1,C245&lt;&gt;""),0,B245)</f>
        <v>1</v>
      </c>
      <c r="E245" s="2" t="s">
        <v>82</v>
      </c>
    </row>
    <row r="246" customFormat="false" ht="15" hidden="false" customHeight="false" outlineLevel="0" collapsed="false">
      <c r="A246" s="15" t="n">
        <v>45902</v>
      </c>
      <c r="B246" s="4" t="n">
        <v>1</v>
      </c>
      <c r="D246" s="5" t="n">
        <f aca="false">IF(AND(p_aplicar_feriados=1,C246&lt;&gt;""),0,B246)</f>
        <v>1</v>
      </c>
      <c r="E246" s="2" t="s">
        <v>82</v>
      </c>
    </row>
    <row r="247" customFormat="false" ht="15" hidden="false" customHeight="false" outlineLevel="0" collapsed="false">
      <c r="A247" s="15" t="n">
        <v>45903</v>
      </c>
      <c r="B247" s="4" t="n">
        <v>1</v>
      </c>
      <c r="D247" s="5" t="n">
        <f aca="false">IF(AND(p_aplicar_feriados=1,C247&lt;&gt;""),0,B247)</f>
        <v>1</v>
      </c>
      <c r="E247" s="2" t="s">
        <v>82</v>
      </c>
    </row>
    <row r="248" customFormat="false" ht="15" hidden="false" customHeight="false" outlineLevel="0" collapsed="false">
      <c r="A248" s="15" t="n">
        <v>45904</v>
      </c>
      <c r="B248" s="4" t="n">
        <v>1</v>
      </c>
      <c r="D248" s="5" t="n">
        <f aca="false">IF(AND(p_aplicar_feriados=1,C248&lt;&gt;""),0,B248)</f>
        <v>1</v>
      </c>
      <c r="E248" s="2" t="s">
        <v>82</v>
      </c>
    </row>
    <row r="249" customFormat="false" ht="15" hidden="false" customHeight="false" outlineLevel="0" collapsed="false">
      <c r="A249" s="15" t="n">
        <v>45905</v>
      </c>
      <c r="B249" s="4" t="n">
        <v>1</v>
      </c>
      <c r="D249" s="5" t="n">
        <f aca="false">IF(AND(p_aplicar_feriados=1,C249&lt;&gt;""),0,B249)</f>
        <v>1</v>
      </c>
      <c r="E249" s="2" t="s">
        <v>82</v>
      </c>
    </row>
    <row r="250" customFormat="false" ht="15" hidden="false" customHeight="false" outlineLevel="0" collapsed="false">
      <c r="A250" s="15" t="n">
        <v>45906</v>
      </c>
      <c r="B250" s="4" t="n">
        <v>0</v>
      </c>
      <c r="D250" s="5" t="n">
        <f aca="false">IF(AND(p_aplicar_feriados=1,C250&lt;&gt;""),0,B250)</f>
        <v>0</v>
      </c>
      <c r="E250" s="2" t="s">
        <v>82</v>
      </c>
    </row>
    <row r="251" customFormat="false" ht="15" hidden="false" customHeight="false" outlineLevel="0" collapsed="false">
      <c r="A251" s="15" t="n">
        <v>45907</v>
      </c>
      <c r="B251" s="4" t="n">
        <v>0</v>
      </c>
      <c r="D251" s="5" t="n">
        <f aca="false">IF(AND(p_aplicar_feriados=1,C251&lt;&gt;""),0,B251)</f>
        <v>0</v>
      </c>
      <c r="E251" s="2" t="s">
        <v>82</v>
      </c>
    </row>
    <row r="252" customFormat="false" ht="15" hidden="false" customHeight="false" outlineLevel="0" collapsed="false">
      <c r="A252" s="15" t="n">
        <v>45908</v>
      </c>
      <c r="B252" s="4" t="n">
        <v>1</v>
      </c>
      <c r="D252" s="5" t="n">
        <f aca="false">IF(AND(p_aplicar_feriados=1,C252&lt;&gt;""),0,B252)</f>
        <v>1</v>
      </c>
      <c r="E252" s="2" t="s">
        <v>82</v>
      </c>
    </row>
    <row r="253" customFormat="false" ht="15" hidden="false" customHeight="false" outlineLevel="0" collapsed="false">
      <c r="A253" s="15" t="n">
        <v>45909</v>
      </c>
      <c r="B253" s="4" t="n">
        <v>1</v>
      </c>
      <c r="D253" s="5" t="n">
        <f aca="false">IF(AND(p_aplicar_feriados=1,C253&lt;&gt;""),0,B253)</f>
        <v>1</v>
      </c>
      <c r="E253" s="2" t="s">
        <v>82</v>
      </c>
    </row>
    <row r="254" customFormat="false" ht="15" hidden="false" customHeight="false" outlineLevel="0" collapsed="false">
      <c r="A254" s="15" t="n">
        <v>45910</v>
      </c>
      <c r="B254" s="4" t="n">
        <v>1</v>
      </c>
      <c r="D254" s="5" t="n">
        <f aca="false">IF(AND(p_aplicar_feriados=1,C254&lt;&gt;""),0,B254)</f>
        <v>1</v>
      </c>
      <c r="E254" s="2" t="s">
        <v>82</v>
      </c>
    </row>
    <row r="255" customFormat="false" ht="15" hidden="false" customHeight="false" outlineLevel="0" collapsed="false">
      <c r="A255" s="15" t="n">
        <v>45911</v>
      </c>
      <c r="B255" s="4" t="n">
        <v>1</v>
      </c>
      <c r="D255" s="5" t="n">
        <f aca="false">IF(AND(p_aplicar_feriados=1,C255&lt;&gt;""),0,B255)</f>
        <v>1</v>
      </c>
      <c r="E255" s="2" t="s">
        <v>82</v>
      </c>
    </row>
    <row r="256" customFormat="false" ht="15" hidden="false" customHeight="false" outlineLevel="0" collapsed="false">
      <c r="A256" s="15" t="n">
        <v>45912</v>
      </c>
      <c r="B256" s="4" t="n">
        <v>1</v>
      </c>
      <c r="D256" s="5" t="n">
        <f aca="false">IF(AND(p_aplicar_feriados=1,C256&lt;&gt;""),0,B256)</f>
        <v>1</v>
      </c>
      <c r="E256" s="2" t="s">
        <v>82</v>
      </c>
    </row>
    <row r="257" customFormat="false" ht="15" hidden="false" customHeight="false" outlineLevel="0" collapsed="false">
      <c r="A257" s="15" t="n">
        <v>45913</v>
      </c>
      <c r="B257" s="4" t="n">
        <v>0</v>
      </c>
      <c r="D257" s="5" t="n">
        <f aca="false">IF(AND(p_aplicar_feriados=1,C257&lt;&gt;""),0,B257)</f>
        <v>0</v>
      </c>
      <c r="E257" s="2" t="s">
        <v>82</v>
      </c>
    </row>
    <row r="258" customFormat="false" ht="15" hidden="false" customHeight="false" outlineLevel="0" collapsed="false">
      <c r="A258" s="15" t="n">
        <v>45914</v>
      </c>
      <c r="B258" s="4" t="n">
        <v>0</v>
      </c>
      <c r="D258" s="5" t="n">
        <f aca="false">IF(AND(p_aplicar_feriados=1,C258&lt;&gt;""),0,B258)</f>
        <v>0</v>
      </c>
      <c r="E258" s="2" t="s">
        <v>82</v>
      </c>
    </row>
    <row r="259" customFormat="false" ht="15" hidden="false" customHeight="false" outlineLevel="0" collapsed="false">
      <c r="A259" s="15" t="n">
        <v>45915</v>
      </c>
      <c r="B259" s="4" t="n">
        <v>1</v>
      </c>
      <c r="D259" s="5" t="n">
        <f aca="false">IF(AND(p_aplicar_feriados=1,C259&lt;&gt;""),0,B259)</f>
        <v>1</v>
      </c>
      <c r="E259" s="2" t="s">
        <v>82</v>
      </c>
    </row>
    <row r="260" customFormat="false" ht="15" hidden="false" customHeight="false" outlineLevel="0" collapsed="false">
      <c r="A260" s="15" t="n">
        <v>45916</v>
      </c>
      <c r="B260" s="4" t="n">
        <v>1</v>
      </c>
      <c r="D260" s="5" t="n">
        <f aca="false">IF(AND(p_aplicar_feriados=1,C260&lt;&gt;""),0,B260)</f>
        <v>1</v>
      </c>
      <c r="E260" s="2" t="s">
        <v>82</v>
      </c>
    </row>
    <row r="261" customFormat="false" ht="15" hidden="false" customHeight="false" outlineLevel="0" collapsed="false">
      <c r="A261" s="15" t="n">
        <v>45917</v>
      </c>
      <c r="B261" s="4" t="n">
        <v>1</v>
      </c>
      <c r="D261" s="5" t="n">
        <f aca="false">IF(AND(p_aplicar_feriados=1,C261&lt;&gt;""),0,B261)</f>
        <v>1</v>
      </c>
      <c r="E261" s="2" t="s">
        <v>82</v>
      </c>
    </row>
    <row r="262" customFormat="false" ht="15" hidden="false" customHeight="false" outlineLevel="0" collapsed="false">
      <c r="A262" s="15" t="n">
        <v>45918</v>
      </c>
      <c r="B262" s="4" t="n">
        <v>1</v>
      </c>
      <c r="D262" s="5" t="n">
        <f aca="false">IF(AND(p_aplicar_feriados=1,C262&lt;&gt;""),0,B262)</f>
        <v>1</v>
      </c>
      <c r="E262" s="2" t="s">
        <v>82</v>
      </c>
    </row>
    <row r="263" customFormat="false" ht="15" hidden="false" customHeight="false" outlineLevel="0" collapsed="false">
      <c r="A263" s="15" t="n">
        <v>45919</v>
      </c>
      <c r="B263" s="4" t="n">
        <v>1</v>
      </c>
      <c r="D263" s="5" t="n">
        <f aca="false">IF(AND(p_aplicar_feriados=1,C263&lt;&gt;""),0,B263)</f>
        <v>1</v>
      </c>
      <c r="E263" s="2" t="s">
        <v>82</v>
      </c>
    </row>
    <row r="264" customFormat="false" ht="15" hidden="false" customHeight="false" outlineLevel="0" collapsed="false">
      <c r="A264" s="15" t="n">
        <v>45920</v>
      </c>
      <c r="B264" s="4" t="n">
        <v>0</v>
      </c>
      <c r="D264" s="5" t="n">
        <f aca="false">IF(AND(p_aplicar_feriados=1,C264&lt;&gt;""),0,B264)</f>
        <v>0</v>
      </c>
      <c r="E264" s="2" t="s">
        <v>82</v>
      </c>
    </row>
    <row r="265" customFormat="false" ht="15" hidden="false" customHeight="false" outlineLevel="0" collapsed="false">
      <c r="A265" s="15" t="n">
        <v>45921</v>
      </c>
      <c r="B265" s="4" t="n">
        <v>0</v>
      </c>
      <c r="D265" s="5" t="n">
        <f aca="false">IF(AND(p_aplicar_feriados=1,C265&lt;&gt;""),0,B265)</f>
        <v>0</v>
      </c>
      <c r="E265" s="2" t="s">
        <v>82</v>
      </c>
    </row>
    <row r="266" customFormat="false" ht="15" hidden="false" customHeight="false" outlineLevel="0" collapsed="false">
      <c r="A266" s="15" t="n">
        <v>45922</v>
      </c>
      <c r="B266" s="4" t="n">
        <v>1</v>
      </c>
      <c r="D266" s="5" t="n">
        <f aca="false">IF(AND(p_aplicar_feriados=1,C266&lt;&gt;""),0,B266)</f>
        <v>1</v>
      </c>
      <c r="E266" s="2" t="s">
        <v>82</v>
      </c>
    </row>
    <row r="267" customFormat="false" ht="15" hidden="false" customHeight="false" outlineLevel="0" collapsed="false">
      <c r="A267" s="15" t="n">
        <v>45923</v>
      </c>
      <c r="B267" s="4" t="n">
        <v>1</v>
      </c>
      <c r="D267" s="5" t="n">
        <f aca="false">IF(AND(p_aplicar_feriados=1,C267&lt;&gt;""),0,B267)</f>
        <v>1</v>
      </c>
      <c r="E267" s="2" t="s">
        <v>82</v>
      </c>
    </row>
    <row r="268" customFormat="false" ht="15" hidden="false" customHeight="false" outlineLevel="0" collapsed="false">
      <c r="A268" s="15" t="n">
        <v>45924</v>
      </c>
      <c r="B268" s="4" t="n">
        <v>1</v>
      </c>
      <c r="D268" s="5" t="n">
        <f aca="false">IF(AND(p_aplicar_feriados=1,C268&lt;&gt;""),0,B268)</f>
        <v>1</v>
      </c>
      <c r="E268" s="2" t="s">
        <v>82</v>
      </c>
    </row>
    <row r="269" customFormat="false" ht="15" hidden="false" customHeight="false" outlineLevel="0" collapsed="false">
      <c r="A269" s="15" t="n">
        <v>45925</v>
      </c>
      <c r="B269" s="4" t="n">
        <v>1</v>
      </c>
      <c r="D269" s="5" t="n">
        <f aca="false">IF(AND(p_aplicar_feriados=1,C269&lt;&gt;""),0,B269)</f>
        <v>1</v>
      </c>
      <c r="E269" s="2" t="s">
        <v>82</v>
      </c>
    </row>
    <row r="270" customFormat="false" ht="15" hidden="false" customHeight="false" outlineLevel="0" collapsed="false">
      <c r="A270" s="15" t="n">
        <v>45926</v>
      </c>
      <c r="B270" s="4" t="n">
        <v>1</v>
      </c>
      <c r="D270" s="5" t="n">
        <f aca="false">IF(AND(p_aplicar_feriados=1,C270&lt;&gt;""),0,B270)</f>
        <v>1</v>
      </c>
      <c r="E270" s="2" t="s">
        <v>82</v>
      </c>
    </row>
    <row r="271" customFormat="false" ht="15" hidden="false" customHeight="false" outlineLevel="0" collapsed="false">
      <c r="A271" s="15" t="n">
        <v>45927</v>
      </c>
      <c r="B271" s="4" t="n">
        <v>0</v>
      </c>
      <c r="D271" s="5" t="n">
        <f aca="false">IF(AND(p_aplicar_feriados=1,C271&lt;&gt;""),0,B271)</f>
        <v>0</v>
      </c>
      <c r="E271" s="2" t="s">
        <v>82</v>
      </c>
    </row>
    <row r="272" customFormat="false" ht="15" hidden="false" customHeight="false" outlineLevel="0" collapsed="false">
      <c r="A272" s="15" t="n">
        <v>45928</v>
      </c>
      <c r="B272" s="4" t="n">
        <v>0</v>
      </c>
      <c r="D272" s="5" t="n">
        <f aca="false">IF(AND(p_aplicar_feriados=1,C272&lt;&gt;""),0,B272)</f>
        <v>0</v>
      </c>
      <c r="E272" s="2" t="s">
        <v>82</v>
      </c>
    </row>
    <row r="273" customFormat="false" ht="15" hidden="false" customHeight="false" outlineLevel="0" collapsed="false">
      <c r="A273" s="15" t="n">
        <v>45929</v>
      </c>
      <c r="B273" s="4" t="n">
        <v>1</v>
      </c>
      <c r="D273" s="5" t="n">
        <f aca="false">IF(AND(p_aplicar_feriados=1,C273&lt;&gt;""),0,B273)</f>
        <v>1</v>
      </c>
      <c r="E273" s="2" t="s">
        <v>82</v>
      </c>
    </row>
    <row r="274" customFormat="false" ht="15" hidden="false" customHeight="false" outlineLevel="0" collapsed="false">
      <c r="A274" s="15" t="n">
        <v>45930</v>
      </c>
      <c r="B274" s="4" t="n">
        <v>1</v>
      </c>
      <c r="D274" s="5" t="n">
        <f aca="false">IF(AND(p_aplicar_feriados=1,C274&lt;&gt;""),0,B274)</f>
        <v>1</v>
      </c>
      <c r="E274" s="2" t="s">
        <v>82</v>
      </c>
    </row>
    <row r="275" customFormat="false" ht="15" hidden="false" customHeight="false" outlineLevel="0" collapsed="false">
      <c r="A275" s="15" t="n">
        <v>45931</v>
      </c>
      <c r="B275" s="4" t="n">
        <v>1</v>
      </c>
      <c r="D275" s="5" t="n">
        <f aca="false">IF(AND(p_aplicar_feriados=1,C275&lt;&gt;""),0,B275)</f>
        <v>1</v>
      </c>
      <c r="E275" s="2" t="s">
        <v>82</v>
      </c>
    </row>
    <row r="276" customFormat="false" ht="15" hidden="false" customHeight="false" outlineLevel="0" collapsed="false">
      <c r="A276" s="15" t="n">
        <v>45932</v>
      </c>
      <c r="B276" s="4" t="n">
        <v>1</v>
      </c>
      <c r="D276" s="5" t="n">
        <f aca="false">IF(AND(p_aplicar_feriados=1,C276&lt;&gt;""),0,B276)</f>
        <v>1</v>
      </c>
      <c r="E276" s="2" t="s">
        <v>82</v>
      </c>
    </row>
    <row r="277" customFormat="false" ht="15" hidden="false" customHeight="false" outlineLevel="0" collapsed="false">
      <c r="A277" s="15" t="n">
        <v>45933</v>
      </c>
      <c r="B277" s="4" t="n">
        <v>1</v>
      </c>
      <c r="D277" s="5" t="n">
        <f aca="false">IF(AND(p_aplicar_feriados=1,C277&lt;&gt;""),0,B277)</f>
        <v>1</v>
      </c>
      <c r="E277" s="2" t="s">
        <v>82</v>
      </c>
    </row>
    <row r="278" customFormat="false" ht="15" hidden="false" customHeight="false" outlineLevel="0" collapsed="false">
      <c r="A278" s="15" t="n">
        <v>45934</v>
      </c>
      <c r="B278" s="4" t="n">
        <v>0</v>
      </c>
      <c r="D278" s="5" t="n">
        <f aca="false">IF(AND(p_aplicar_feriados=1,C278&lt;&gt;""),0,B278)</f>
        <v>0</v>
      </c>
      <c r="E278" s="2" t="s">
        <v>82</v>
      </c>
    </row>
    <row r="279" customFormat="false" ht="15" hidden="false" customHeight="false" outlineLevel="0" collapsed="false">
      <c r="A279" s="15" t="n">
        <v>45935</v>
      </c>
      <c r="B279" s="4" t="n">
        <v>0</v>
      </c>
      <c r="D279" s="5" t="n">
        <f aca="false">IF(AND(p_aplicar_feriados=1,C279&lt;&gt;""),0,B279)</f>
        <v>0</v>
      </c>
      <c r="E279" s="2" t="s">
        <v>82</v>
      </c>
    </row>
    <row r="280" customFormat="false" ht="15" hidden="false" customHeight="false" outlineLevel="0" collapsed="false">
      <c r="A280" s="15" t="n">
        <v>45936</v>
      </c>
      <c r="B280" s="4" t="n">
        <v>1</v>
      </c>
      <c r="D280" s="5" t="n">
        <f aca="false">IF(AND(p_aplicar_feriados=1,C280&lt;&gt;""),0,B280)</f>
        <v>1</v>
      </c>
      <c r="E280" s="2" t="s">
        <v>82</v>
      </c>
    </row>
    <row r="281" customFormat="false" ht="15" hidden="false" customHeight="false" outlineLevel="0" collapsed="false">
      <c r="A281" s="15" t="n">
        <v>45937</v>
      </c>
      <c r="B281" s="4" t="n">
        <v>1</v>
      </c>
      <c r="D281" s="5" t="n">
        <f aca="false">IF(AND(p_aplicar_feriados=1,C281&lt;&gt;""),0,B281)</f>
        <v>1</v>
      </c>
      <c r="E281" s="2" t="s">
        <v>82</v>
      </c>
    </row>
    <row r="282" customFormat="false" ht="15" hidden="false" customHeight="false" outlineLevel="0" collapsed="false">
      <c r="A282" s="15" t="n">
        <v>45938</v>
      </c>
      <c r="B282" s="4" t="n">
        <v>1</v>
      </c>
      <c r="C282" s="2" t="s">
        <v>504</v>
      </c>
      <c r="D282" s="5" t="n">
        <f aca="false">IF(AND(p_aplicar_feriados=1,C282&lt;&gt;""),0,B282)</f>
        <v>1</v>
      </c>
      <c r="E282" s="2" t="s">
        <v>82</v>
      </c>
    </row>
    <row r="283" customFormat="false" ht="15" hidden="false" customHeight="false" outlineLevel="0" collapsed="false">
      <c r="A283" s="15" t="n">
        <v>45939</v>
      </c>
      <c r="B283" s="4" t="n">
        <v>1</v>
      </c>
      <c r="D283" s="5" t="n">
        <f aca="false">IF(AND(p_aplicar_feriados=1,C283&lt;&gt;""),0,B283)</f>
        <v>1</v>
      </c>
      <c r="E283" s="2" t="s">
        <v>82</v>
      </c>
    </row>
    <row r="284" customFormat="false" ht="15" hidden="false" customHeight="false" outlineLevel="0" collapsed="false">
      <c r="A284" s="15" t="n">
        <v>45940</v>
      </c>
      <c r="B284" s="4" t="n">
        <v>1</v>
      </c>
      <c r="D284" s="5" t="n">
        <f aca="false">IF(AND(p_aplicar_feriados=1,C284&lt;&gt;""),0,B284)</f>
        <v>1</v>
      </c>
      <c r="E284" s="2" t="s">
        <v>82</v>
      </c>
    </row>
    <row r="285" customFormat="false" ht="15" hidden="false" customHeight="false" outlineLevel="0" collapsed="false">
      <c r="A285" s="15" t="n">
        <v>45941</v>
      </c>
      <c r="B285" s="4" t="n">
        <v>0</v>
      </c>
      <c r="D285" s="5" t="n">
        <f aca="false">IF(AND(p_aplicar_feriados=1,C285&lt;&gt;""),0,B285)</f>
        <v>0</v>
      </c>
      <c r="E285" s="2" t="s">
        <v>82</v>
      </c>
    </row>
    <row r="286" customFormat="false" ht="15" hidden="false" customHeight="false" outlineLevel="0" collapsed="false">
      <c r="A286" s="15" t="n">
        <v>45942</v>
      </c>
      <c r="B286" s="4" t="n">
        <v>0</v>
      </c>
      <c r="D286" s="5" t="n">
        <f aca="false">IF(AND(p_aplicar_feriados=1,C286&lt;&gt;""),0,B286)</f>
        <v>0</v>
      </c>
      <c r="E286" s="2" t="s">
        <v>82</v>
      </c>
    </row>
    <row r="287" customFormat="false" ht="15" hidden="false" customHeight="false" outlineLevel="0" collapsed="false">
      <c r="A287" s="15" t="n">
        <v>45943</v>
      </c>
      <c r="B287" s="4" t="n">
        <v>1</v>
      </c>
      <c r="D287" s="5" t="n">
        <f aca="false">IF(AND(p_aplicar_feriados=1,C287&lt;&gt;""),0,B287)</f>
        <v>1</v>
      </c>
      <c r="E287" s="2" t="s">
        <v>82</v>
      </c>
    </row>
    <row r="288" customFormat="false" ht="15" hidden="false" customHeight="false" outlineLevel="0" collapsed="false">
      <c r="A288" s="15" t="n">
        <v>45944</v>
      </c>
      <c r="B288" s="4" t="n">
        <v>1</v>
      </c>
      <c r="D288" s="5" t="n">
        <f aca="false">IF(AND(p_aplicar_feriados=1,C288&lt;&gt;""),0,B288)</f>
        <v>1</v>
      </c>
      <c r="E288" s="2" t="s">
        <v>82</v>
      </c>
    </row>
    <row r="289" customFormat="false" ht="15" hidden="false" customHeight="false" outlineLevel="0" collapsed="false">
      <c r="A289" s="15" t="n">
        <v>45945</v>
      </c>
      <c r="B289" s="4" t="n">
        <v>1</v>
      </c>
      <c r="D289" s="5" t="n">
        <f aca="false">IF(AND(p_aplicar_feriados=1,C289&lt;&gt;""),0,B289)</f>
        <v>1</v>
      </c>
      <c r="E289" s="2" t="s">
        <v>82</v>
      </c>
    </row>
    <row r="290" customFormat="false" ht="15" hidden="false" customHeight="false" outlineLevel="0" collapsed="false">
      <c r="A290" s="15" t="n">
        <v>45946</v>
      </c>
      <c r="B290" s="4" t="n">
        <v>1</v>
      </c>
      <c r="D290" s="5" t="n">
        <f aca="false">IF(AND(p_aplicar_feriados=1,C290&lt;&gt;""),0,B290)</f>
        <v>1</v>
      </c>
      <c r="E290" s="2" t="s">
        <v>82</v>
      </c>
    </row>
    <row r="291" customFormat="false" ht="15" hidden="false" customHeight="false" outlineLevel="0" collapsed="false">
      <c r="A291" s="15" t="n">
        <v>45947</v>
      </c>
      <c r="B291" s="4" t="n">
        <v>1</v>
      </c>
      <c r="D291" s="5" t="n">
        <f aca="false">IF(AND(p_aplicar_feriados=1,C291&lt;&gt;""),0,B291)</f>
        <v>1</v>
      </c>
      <c r="E291" s="2" t="s">
        <v>82</v>
      </c>
    </row>
    <row r="292" customFormat="false" ht="15" hidden="false" customHeight="false" outlineLevel="0" collapsed="false">
      <c r="A292" s="15" t="n">
        <v>45948</v>
      </c>
      <c r="B292" s="4" t="n">
        <v>0</v>
      </c>
      <c r="D292" s="5" t="n">
        <f aca="false">IF(AND(p_aplicar_feriados=1,C292&lt;&gt;""),0,B292)</f>
        <v>0</v>
      </c>
      <c r="E292" s="2" t="s">
        <v>82</v>
      </c>
    </row>
    <row r="293" customFormat="false" ht="15" hidden="false" customHeight="false" outlineLevel="0" collapsed="false">
      <c r="A293" s="15" t="n">
        <v>45949</v>
      </c>
      <c r="B293" s="4" t="n">
        <v>0</v>
      </c>
      <c r="D293" s="5" t="n">
        <f aca="false">IF(AND(p_aplicar_feriados=1,C293&lt;&gt;""),0,B293)</f>
        <v>0</v>
      </c>
      <c r="E293" s="2" t="s">
        <v>82</v>
      </c>
    </row>
    <row r="294" customFormat="false" ht="15" hidden="false" customHeight="false" outlineLevel="0" collapsed="false">
      <c r="A294" s="15" t="n">
        <v>45950</v>
      </c>
      <c r="B294" s="4" t="n">
        <v>1</v>
      </c>
      <c r="D294" s="5" t="n">
        <f aca="false">IF(AND(p_aplicar_feriados=1,C294&lt;&gt;""),0,B294)</f>
        <v>1</v>
      </c>
      <c r="E294" s="2" t="s">
        <v>82</v>
      </c>
    </row>
    <row r="295" customFormat="false" ht="15" hidden="false" customHeight="false" outlineLevel="0" collapsed="false">
      <c r="A295" s="15" t="n">
        <v>45951</v>
      </c>
      <c r="B295" s="4" t="n">
        <v>1</v>
      </c>
      <c r="D295" s="5" t="n">
        <f aca="false">IF(AND(p_aplicar_feriados=1,C295&lt;&gt;""),0,B295)</f>
        <v>1</v>
      </c>
      <c r="E295" s="2" t="s">
        <v>82</v>
      </c>
    </row>
    <row r="296" customFormat="false" ht="15" hidden="false" customHeight="false" outlineLevel="0" collapsed="false">
      <c r="A296" s="15" t="n">
        <v>45952</v>
      </c>
      <c r="B296" s="4" t="n">
        <v>1</v>
      </c>
      <c r="D296" s="5" t="n">
        <f aca="false">IF(AND(p_aplicar_feriados=1,C296&lt;&gt;""),0,B296)</f>
        <v>1</v>
      </c>
      <c r="E296" s="2" t="s">
        <v>82</v>
      </c>
    </row>
    <row r="297" customFormat="false" ht="15" hidden="false" customHeight="false" outlineLevel="0" collapsed="false">
      <c r="A297" s="15" t="n">
        <v>45953</v>
      </c>
      <c r="B297" s="4" t="n">
        <v>1</v>
      </c>
      <c r="D297" s="5" t="n">
        <f aca="false">IF(AND(p_aplicar_feriados=1,C297&lt;&gt;""),0,B297)</f>
        <v>1</v>
      </c>
      <c r="E297" s="2" t="s">
        <v>82</v>
      </c>
    </row>
    <row r="298" customFormat="false" ht="15" hidden="false" customHeight="false" outlineLevel="0" collapsed="false">
      <c r="A298" s="15" t="n">
        <v>45954</v>
      </c>
      <c r="B298" s="4" t="n">
        <v>1</v>
      </c>
      <c r="D298" s="5" t="n">
        <f aca="false">IF(AND(p_aplicar_feriados=1,C298&lt;&gt;""),0,B298)</f>
        <v>1</v>
      </c>
      <c r="E298" s="2" t="s">
        <v>82</v>
      </c>
    </row>
    <row r="299" customFormat="false" ht="15" hidden="false" customHeight="false" outlineLevel="0" collapsed="false">
      <c r="A299" s="15" t="n">
        <v>45955</v>
      </c>
      <c r="B299" s="4" t="n">
        <v>0</v>
      </c>
      <c r="D299" s="5" t="n">
        <f aca="false">IF(AND(p_aplicar_feriados=1,C299&lt;&gt;""),0,B299)</f>
        <v>0</v>
      </c>
      <c r="E299" s="2" t="s">
        <v>82</v>
      </c>
    </row>
    <row r="300" customFormat="false" ht="15" hidden="false" customHeight="false" outlineLevel="0" collapsed="false">
      <c r="A300" s="15" t="n">
        <v>45956</v>
      </c>
      <c r="B300" s="4" t="n">
        <v>0</v>
      </c>
      <c r="D300" s="5" t="n">
        <f aca="false">IF(AND(p_aplicar_feriados=1,C300&lt;&gt;""),0,B300)</f>
        <v>0</v>
      </c>
      <c r="E300" s="2" t="s">
        <v>82</v>
      </c>
    </row>
    <row r="301" customFormat="false" ht="15" hidden="false" customHeight="false" outlineLevel="0" collapsed="false">
      <c r="A301" s="15" t="n">
        <v>45957</v>
      </c>
      <c r="B301" s="4" t="n">
        <v>1</v>
      </c>
      <c r="D301" s="5" t="n">
        <f aca="false">IF(AND(p_aplicar_feriados=1,C301&lt;&gt;""),0,B301)</f>
        <v>1</v>
      </c>
      <c r="E301" s="2" t="s">
        <v>82</v>
      </c>
    </row>
    <row r="302" customFormat="false" ht="15" hidden="false" customHeight="false" outlineLevel="0" collapsed="false">
      <c r="A302" s="15" t="n">
        <v>45958</v>
      </c>
      <c r="B302" s="4" t="n">
        <v>1</v>
      </c>
      <c r="D302" s="5" t="n">
        <f aca="false">IF(AND(p_aplicar_feriados=1,C302&lt;&gt;""),0,B302)</f>
        <v>1</v>
      </c>
      <c r="E302" s="2" t="s">
        <v>82</v>
      </c>
    </row>
    <row r="303" customFormat="false" ht="15" hidden="false" customHeight="false" outlineLevel="0" collapsed="false">
      <c r="A303" s="15" t="n">
        <v>45959</v>
      </c>
      <c r="B303" s="4" t="n">
        <v>1</v>
      </c>
      <c r="D303" s="5" t="n">
        <f aca="false">IF(AND(p_aplicar_feriados=1,C303&lt;&gt;""),0,B303)</f>
        <v>1</v>
      </c>
      <c r="E303" s="2" t="s">
        <v>82</v>
      </c>
    </row>
    <row r="304" customFormat="false" ht="15" hidden="false" customHeight="false" outlineLevel="0" collapsed="false">
      <c r="A304" s="15" t="n">
        <v>45960</v>
      </c>
      <c r="B304" s="4" t="n">
        <v>1</v>
      </c>
      <c r="D304" s="5" t="n">
        <f aca="false">IF(AND(p_aplicar_feriados=1,C304&lt;&gt;""),0,B304)</f>
        <v>1</v>
      </c>
      <c r="E304" s="2" t="s">
        <v>82</v>
      </c>
    </row>
    <row r="305" customFormat="false" ht="15" hidden="false" customHeight="false" outlineLevel="0" collapsed="false">
      <c r="A305" s="15" t="n">
        <v>45961</v>
      </c>
      <c r="B305" s="4" t="n">
        <v>1</v>
      </c>
      <c r="D305" s="5" t="n">
        <f aca="false">IF(AND(p_aplicar_feriados=1,C305&lt;&gt;""),0,B305)</f>
        <v>1</v>
      </c>
      <c r="E305" s="2" t="s">
        <v>82</v>
      </c>
    </row>
    <row r="306" customFormat="false" ht="15" hidden="false" customHeight="false" outlineLevel="0" collapsed="false">
      <c r="A306" s="15" t="n">
        <v>45962</v>
      </c>
      <c r="B306" s="4" t="n">
        <v>0</v>
      </c>
      <c r="C306" s="2" t="s">
        <v>505</v>
      </c>
      <c r="D306" s="5" t="n">
        <f aca="false">IF(AND(p_aplicar_feriados=1,C306&lt;&gt;""),0,B306)</f>
        <v>0</v>
      </c>
      <c r="E306" s="2" t="s">
        <v>82</v>
      </c>
    </row>
    <row r="307" customFormat="false" ht="15" hidden="false" customHeight="false" outlineLevel="0" collapsed="false">
      <c r="A307" s="15" t="n">
        <v>45963</v>
      </c>
      <c r="B307" s="4" t="n">
        <v>0</v>
      </c>
      <c r="D307" s="5" t="n">
        <f aca="false">IF(AND(p_aplicar_feriados=1,C307&lt;&gt;""),0,B307)</f>
        <v>0</v>
      </c>
      <c r="E307" s="2" t="s">
        <v>82</v>
      </c>
    </row>
    <row r="308" customFormat="false" ht="15" hidden="false" customHeight="false" outlineLevel="0" collapsed="false">
      <c r="A308" s="15" t="n">
        <v>45964</v>
      </c>
      <c r="B308" s="4" t="n">
        <v>1</v>
      </c>
      <c r="D308" s="5" t="n">
        <f aca="false">IF(AND(p_aplicar_feriados=1,C308&lt;&gt;""),0,B308)</f>
        <v>1</v>
      </c>
      <c r="E308" s="2" t="s">
        <v>82</v>
      </c>
    </row>
    <row r="309" customFormat="false" ht="15" hidden="false" customHeight="false" outlineLevel="0" collapsed="false">
      <c r="A309" s="15" t="n">
        <v>45965</v>
      </c>
      <c r="B309" s="4" t="n">
        <v>1</v>
      </c>
      <c r="D309" s="5" t="n">
        <f aca="false">IF(AND(p_aplicar_feriados=1,C309&lt;&gt;""),0,B309)</f>
        <v>1</v>
      </c>
      <c r="E309" s="2" t="s">
        <v>82</v>
      </c>
    </row>
    <row r="310" customFormat="false" ht="15" hidden="false" customHeight="false" outlineLevel="0" collapsed="false">
      <c r="A310" s="15" t="n">
        <v>45966</v>
      </c>
      <c r="B310" s="4" t="n">
        <v>1</v>
      </c>
      <c r="D310" s="5" t="n">
        <f aca="false">IF(AND(p_aplicar_feriados=1,C310&lt;&gt;""),0,B310)</f>
        <v>1</v>
      </c>
      <c r="E310" s="2" t="s">
        <v>82</v>
      </c>
    </row>
    <row r="311" customFormat="false" ht="15" hidden="false" customHeight="false" outlineLevel="0" collapsed="false">
      <c r="A311" s="15" t="n">
        <v>45967</v>
      </c>
      <c r="B311" s="4" t="n">
        <v>1</v>
      </c>
      <c r="D311" s="5" t="n">
        <f aca="false">IF(AND(p_aplicar_feriados=1,C311&lt;&gt;""),0,B311)</f>
        <v>1</v>
      </c>
      <c r="E311" s="2" t="s">
        <v>82</v>
      </c>
    </row>
    <row r="312" customFormat="false" ht="15" hidden="false" customHeight="false" outlineLevel="0" collapsed="false">
      <c r="A312" s="15" t="n">
        <v>45968</v>
      </c>
      <c r="B312" s="4" t="n">
        <v>1</v>
      </c>
      <c r="D312" s="5" t="n">
        <f aca="false">IF(AND(p_aplicar_feriados=1,C312&lt;&gt;""),0,B312)</f>
        <v>1</v>
      </c>
      <c r="E312" s="2" t="s">
        <v>82</v>
      </c>
    </row>
    <row r="313" customFormat="false" ht="15" hidden="false" customHeight="false" outlineLevel="0" collapsed="false">
      <c r="A313" s="15" t="n">
        <v>45969</v>
      </c>
      <c r="B313" s="4" t="n">
        <v>0</v>
      </c>
      <c r="D313" s="5" t="n">
        <f aca="false">IF(AND(p_aplicar_feriados=1,C313&lt;&gt;""),0,B313)</f>
        <v>0</v>
      </c>
      <c r="E313" s="2" t="s">
        <v>82</v>
      </c>
    </row>
    <row r="314" customFormat="false" ht="15" hidden="false" customHeight="false" outlineLevel="0" collapsed="false">
      <c r="A314" s="15" t="n">
        <v>45970</v>
      </c>
      <c r="B314" s="4" t="n">
        <v>0</v>
      </c>
      <c r="D314" s="5" t="n">
        <f aca="false">IF(AND(p_aplicar_feriados=1,C314&lt;&gt;""),0,B314)</f>
        <v>0</v>
      </c>
      <c r="E314" s="2" t="s">
        <v>82</v>
      </c>
    </row>
    <row r="315" customFormat="false" ht="15" hidden="false" customHeight="false" outlineLevel="0" collapsed="false">
      <c r="A315" s="15" t="n">
        <v>45971</v>
      </c>
      <c r="B315" s="4" t="n">
        <v>1</v>
      </c>
      <c r="D315" s="5" t="n">
        <f aca="false">IF(AND(p_aplicar_feriados=1,C315&lt;&gt;""),0,B315)</f>
        <v>1</v>
      </c>
      <c r="E315" s="2" t="s">
        <v>82</v>
      </c>
    </row>
    <row r="316" customFormat="false" ht="15" hidden="false" customHeight="false" outlineLevel="0" collapsed="false">
      <c r="A316" s="15" t="n">
        <v>45972</v>
      </c>
      <c r="B316" s="4" t="n">
        <v>1</v>
      </c>
      <c r="D316" s="5" t="n">
        <f aca="false">IF(AND(p_aplicar_feriados=1,C316&lt;&gt;""),0,B316)</f>
        <v>1</v>
      </c>
      <c r="E316" s="2" t="s">
        <v>82</v>
      </c>
    </row>
    <row r="317" customFormat="false" ht="15" hidden="false" customHeight="false" outlineLevel="0" collapsed="false">
      <c r="A317" s="15" t="n">
        <v>45973</v>
      </c>
      <c r="B317" s="4" t="n">
        <v>1</v>
      </c>
      <c r="D317" s="5" t="n">
        <f aca="false">IF(AND(p_aplicar_feriados=1,C317&lt;&gt;""),0,B317)</f>
        <v>1</v>
      </c>
      <c r="E317" s="2" t="s">
        <v>82</v>
      </c>
    </row>
    <row r="318" customFormat="false" ht="15" hidden="false" customHeight="false" outlineLevel="0" collapsed="false">
      <c r="A318" s="15" t="n">
        <v>45974</v>
      </c>
      <c r="B318" s="4" t="n">
        <v>1</v>
      </c>
      <c r="D318" s="5" t="n">
        <f aca="false">IF(AND(p_aplicar_feriados=1,C318&lt;&gt;""),0,B318)</f>
        <v>1</v>
      </c>
      <c r="E318" s="2" t="s">
        <v>82</v>
      </c>
    </row>
    <row r="319" customFormat="false" ht="15" hidden="false" customHeight="false" outlineLevel="0" collapsed="false">
      <c r="A319" s="15" t="n">
        <v>45975</v>
      </c>
      <c r="B319" s="4" t="n">
        <v>1</v>
      </c>
      <c r="D319" s="5" t="n">
        <f aca="false">IF(AND(p_aplicar_feriados=1,C319&lt;&gt;""),0,B319)</f>
        <v>1</v>
      </c>
      <c r="E319" s="2" t="s">
        <v>82</v>
      </c>
    </row>
    <row r="320" customFormat="false" ht="15" hidden="false" customHeight="false" outlineLevel="0" collapsed="false">
      <c r="A320" s="15" t="n">
        <v>45976</v>
      </c>
      <c r="B320" s="4" t="n">
        <v>0</v>
      </c>
      <c r="D320" s="5" t="n">
        <f aca="false">IF(AND(p_aplicar_feriados=1,C320&lt;&gt;""),0,B320)</f>
        <v>0</v>
      </c>
      <c r="E320" s="2" t="s">
        <v>82</v>
      </c>
    </row>
    <row r="321" customFormat="false" ht="15" hidden="false" customHeight="false" outlineLevel="0" collapsed="false">
      <c r="A321" s="15" t="n">
        <v>45977</v>
      </c>
      <c r="B321" s="4" t="n">
        <v>0</v>
      </c>
      <c r="D321" s="5" t="n">
        <f aca="false">IF(AND(p_aplicar_feriados=1,C321&lt;&gt;""),0,B321)</f>
        <v>0</v>
      </c>
      <c r="E321" s="2" t="s">
        <v>82</v>
      </c>
    </row>
    <row r="322" customFormat="false" ht="15" hidden="false" customHeight="false" outlineLevel="0" collapsed="false">
      <c r="A322" s="15" t="n">
        <v>45978</v>
      </c>
      <c r="B322" s="4" t="n">
        <v>1</v>
      </c>
      <c r="D322" s="5" t="n">
        <f aca="false">IF(AND(p_aplicar_feriados=1,C322&lt;&gt;""),0,B322)</f>
        <v>1</v>
      </c>
      <c r="E322" s="2" t="s">
        <v>82</v>
      </c>
    </row>
    <row r="323" customFormat="false" ht="15" hidden="false" customHeight="false" outlineLevel="0" collapsed="false">
      <c r="A323" s="15" t="n">
        <v>45979</v>
      </c>
      <c r="B323" s="4" t="n">
        <v>1</v>
      </c>
      <c r="D323" s="5" t="n">
        <f aca="false">IF(AND(p_aplicar_feriados=1,C323&lt;&gt;""),0,B323)</f>
        <v>1</v>
      </c>
      <c r="E323" s="2" t="s">
        <v>82</v>
      </c>
    </row>
    <row r="324" customFormat="false" ht="15" hidden="false" customHeight="false" outlineLevel="0" collapsed="false">
      <c r="A324" s="15" t="n">
        <v>45980</v>
      </c>
      <c r="B324" s="4" t="n">
        <v>1</v>
      </c>
      <c r="D324" s="5" t="n">
        <f aca="false">IF(AND(p_aplicar_feriados=1,C324&lt;&gt;""),0,B324)</f>
        <v>1</v>
      </c>
      <c r="E324" s="2" t="s">
        <v>82</v>
      </c>
    </row>
    <row r="325" customFormat="false" ht="15" hidden="false" customHeight="false" outlineLevel="0" collapsed="false">
      <c r="A325" s="15" t="n">
        <v>45981</v>
      </c>
      <c r="B325" s="4" t="n">
        <v>1</v>
      </c>
      <c r="D325" s="5" t="n">
        <f aca="false">IF(AND(p_aplicar_feriados=1,C325&lt;&gt;""),0,B325)</f>
        <v>1</v>
      </c>
      <c r="E325" s="2" t="s">
        <v>82</v>
      </c>
    </row>
    <row r="326" customFormat="false" ht="15" hidden="false" customHeight="false" outlineLevel="0" collapsed="false">
      <c r="A326" s="15" t="n">
        <v>45982</v>
      </c>
      <c r="B326" s="4" t="n">
        <v>1</v>
      </c>
      <c r="D326" s="5" t="n">
        <f aca="false">IF(AND(p_aplicar_feriados=1,C326&lt;&gt;""),0,B326)</f>
        <v>1</v>
      </c>
      <c r="E326" s="2" t="s">
        <v>82</v>
      </c>
    </row>
    <row r="327" customFormat="false" ht="15" hidden="false" customHeight="false" outlineLevel="0" collapsed="false">
      <c r="A327" s="15" t="n">
        <v>45983</v>
      </c>
      <c r="B327" s="4" t="n">
        <v>0</v>
      </c>
      <c r="D327" s="5" t="n">
        <f aca="false">IF(AND(p_aplicar_feriados=1,C327&lt;&gt;""),0,B327)</f>
        <v>0</v>
      </c>
      <c r="E327" s="2" t="s">
        <v>82</v>
      </c>
    </row>
    <row r="328" customFormat="false" ht="15" hidden="false" customHeight="false" outlineLevel="0" collapsed="false">
      <c r="A328" s="15" t="n">
        <v>45984</v>
      </c>
      <c r="B328" s="4" t="n">
        <v>0</v>
      </c>
      <c r="D328" s="5" t="n">
        <f aca="false">IF(AND(p_aplicar_feriados=1,C328&lt;&gt;""),0,B328)</f>
        <v>0</v>
      </c>
      <c r="E328" s="2" t="s">
        <v>82</v>
      </c>
    </row>
    <row r="329" customFormat="false" ht="15" hidden="false" customHeight="false" outlineLevel="0" collapsed="false">
      <c r="A329" s="15" t="n">
        <v>45985</v>
      </c>
      <c r="B329" s="4" t="n">
        <v>1</v>
      </c>
      <c r="D329" s="5" t="n">
        <f aca="false">IF(AND(p_aplicar_feriados=1,C329&lt;&gt;""),0,B329)</f>
        <v>1</v>
      </c>
      <c r="E329" s="2" t="s">
        <v>82</v>
      </c>
    </row>
    <row r="330" customFormat="false" ht="15" hidden="false" customHeight="false" outlineLevel="0" collapsed="false">
      <c r="A330" s="15" t="n">
        <v>45986</v>
      </c>
      <c r="B330" s="4" t="n">
        <v>1</v>
      </c>
      <c r="D330" s="5" t="n">
        <f aca="false">IF(AND(p_aplicar_feriados=1,C330&lt;&gt;""),0,B330)</f>
        <v>1</v>
      </c>
      <c r="E330" s="2" t="s">
        <v>82</v>
      </c>
    </row>
    <row r="331" customFormat="false" ht="15" hidden="false" customHeight="false" outlineLevel="0" collapsed="false">
      <c r="A331" s="15" t="n">
        <v>45987</v>
      </c>
      <c r="B331" s="4" t="n">
        <v>1</v>
      </c>
      <c r="D331" s="5" t="n">
        <f aca="false">IF(AND(p_aplicar_feriados=1,C331&lt;&gt;""),0,B331)</f>
        <v>1</v>
      </c>
      <c r="E331" s="2" t="s">
        <v>82</v>
      </c>
    </row>
    <row r="332" customFormat="false" ht="15" hidden="false" customHeight="false" outlineLevel="0" collapsed="false">
      <c r="A332" s="15" t="n">
        <v>45988</v>
      </c>
      <c r="B332" s="4" t="n">
        <v>1</v>
      </c>
      <c r="D332" s="5" t="n">
        <f aca="false">IF(AND(p_aplicar_feriados=1,C332&lt;&gt;""),0,B332)</f>
        <v>1</v>
      </c>
      <c r="E332" s="2" t="s">
        <v>82</v>
      </c>
    </row>
    <row r="333" customFormat="false" ht="15" hidden="false" customHeight="false" outlineLevel="0" collapsed="false">
      <c r="A333" s="15" t="n">
        <v>45989</v>
      </c>
      <c r="B333" s="4" t="n">
        <v>1</v>
      </c>
      <c r="D333" s="5" t="n">
        <f aca="false">IF(AND(p_aplicar_feriados=1,C333&lt;&gt;""),0,B333)</f>
        <v>1</v>
      </c>
      <c r="E333" s="2" t="s">
        <v>82</v>
      </c>
    </row>
    <row r="334" customFormat="false" ht="15" hidden="false" customHeight="false" outlineLevel="0" collapsed="false">
      <c r="A334" s="15" t="n">
        <v>45990</v>
      </c>
      <c r="B334" s="4" t="n">
        <v>0</v>
      </c>
      <c r="D334" s="5" t="n">
        <f aca="false">IF(AND(p_aplicar_feriados=1,C334&lt;&gt;""),0,B334)</f>
        <v>0</v>
      </c>
      <c r="E334" s="2" t="s">
        <v>82</v>
      </c>
    </row>
    <row r="335" customFormat="false" ht="15" hidden="false" customHeight="false" outlineLevel="0" collapsed="false">
      <c r="A335" s="15" t="n">
        <v>45991</v>
      </c>
      <c r="B335" s="4" t="n">
        <v>0</v>
      </c>
      <c r="D335" s="5" t="n">
        <f aca="false">IF(AND(p_aplicar_feriados=1,C335&lt;&gt;""),0,B335)</f>
        <v>0</v>
      </c>
      <c r="E335" s="2" t="s">
        <v>82</v>
      </c>
    </row>
    <row r="336" customFormat="false" ht="15" hidden="false" customHeight="false" outlineLevel="0" collapsed="false">
      <c r="A336" s="15" t="n">
        <v>45992</v>
      </c>
      <c r="B336" s="4" t="n">
        <v>1</v>
      </c>
      <c r="D336" s="5" t="n">
        <f aca="false">IF(AND(p_aplicar_feriados=1,C336&lt;&gt;""),0,B336)</f>
        <v>1</v>
      </c>
      <c r="E336" s="2" t="s">
        <v>82</v>
      </c>
    </row>
    <row r="337" customFormat="false" ht="15" hidden="false" customHeight="false" outlineLevel="0" collapsed="false">
      <c r="A337" s="15" t="n">
        <v>45993</v>
      </c>
      <c r="B337" s="4" t="n">
        <v>1</v>
      </c>
      <c r="D337" s="5" t="n">
        <f aca="false">IF(AND(p_aplicar_feriados=1,C337&lt;&gt;""),0,B337)</f>
        <v>1</v>
      </c>
      <c r="E337" s="2" t="s">
        <v>82</v>
      </c>
    </row>
    <row r="338" customFormat="false" ht="15" hidden="false" customHeight="false" outlineLevel="0" collapsed="false">
      <c r="A338" s="15" t="n">
        <v>45994</v>
      </c>
      <c r="B338" s="4" t="n">
        <v>1</v>
      </c>
      <c r="D338" s="5" t="n">
        <f aca="false">IF(AND(p_aplicar_feriados=1,C338&lt;&gt;""),0,B338)</f>
        <v>1</v>
      </c>
      <c r="E338" s="2" t="s">
        <v>82</v>
      </c>
    </row>
    <row r="339" customFormat="false" ht="15" hidden="false" customHeight="false" outlineLevel="0" collapsed="false">
      <c r="A339" s="15" t="n">
        <v>45995</v>
      </c>
      <c r="B339" s="4" t="n">
        <v>1</v>
      </c>
      <c r="D339" s="5" t="n">
        <f aca="false">IF(AND(p_aplicar_feriados=1,C339&lt;&gt;""),0,B339)</f>
        <v>1</v>
      </c>
      <c r="E339" s="2" t="s">
        <v>82</v>
      </c>
    </row>
    <row r="340" customFormat="false" ht="15" hidden="false" customHeight="false" outlineLevel="0" collapsed="false">
      <c r="A340" s="15" t="n">
        <v>45996</v>
      </c>
      <c r="B340" s="4" t="n">
        <v>1</v>
      </c>
      <c r="D340" s="5" t="n">
        <f aca="false">IF(AND(p_aplicar_feriados=1,C340&lt;&gt;""),0,B340)</f>
        <v>1</v>
      </c>
      <c r="E340" s="2" t="s">
        <v>82</v>
      </c>
    </row>
    <row r="341" customFormat="false" ht="15" hidden="false" customHeight="false" outlineLevel="0" collapsed="false">
      <c r="A341" s="15" t="n">
        <v>45997</v>
      </c>
      <c r="B341" s="4" t="n">
        <v>0</v>
      </c>
      <c r="D341" s="5" t="n">
        <f aca="false">IF(AND(p_aplicar_feriados=1,C341&lt;&gt;""),0,B341)</f>
        <v>0</v>
      </c>
      <c r="E341" s="2" t="s">
        <v>82</v>
      </c>
    </row>
    <row r="342" customFormat="false" ht="15" hidden="false" customHeight="false" outlineLevel="0" collapsed="false">
      <c r="A342" s="15" t="n">
        <v>45998</v>
      </c>
      <c r="B342" s="4" t="n">
        <v>0</v>
      </c>
      <c r="D342" s="5" t="n">
        <f aca="false">IF(AND(p_aplicar_feriados=1,C342&lt;&gt;""),0,B342)</f>
        <v>0</v>
      </c>
      <c r="E342" s="2" t="s">
        <v>82</v>
      </c>
    </row>
    <row r="343" customFormat="false" ht="15" hidden="false" customHeight="false" outlineLevel="0" collapsed="false">
      <c r="A343" s="15" t="n">
        <v>45999</v>
      </c>
      <c r="B343" s="4" t="n">
        <v>1</v>
      </c>
      <c r="C343" s="2" t="s">
        <v>506</v>
      </c>
      <c r="D343" s="5" t="n">
        <f aca="false">IF(AND(p_aplicar_feriados=1,C343&lt;&gt;""),0,B343)</f>
        <v>1</v>
      </c>
      <c r="E343" s="2" t="s">
        <v>82</v>
      </c>
    </row>
    <row r="344" customFormat="false" ht="15" hidden="false" customHeight="false" outlineLevel="0" collapsed="false">
      <c r="A344" s="15" t="n">
        <v>46000</v>
      </c>
      <c r="B344" s="4" t="n">
        <v>1</v>
      </c>
      <c r="C344" s="2" t="s">
        <v>507</v>
      </c>
      <c r="D344" s="5" t="n">
        <f aca="false">IF(AND(p_aplicar_feriados=1,C344&lt;&gt;""),0,B344)</f>
        <v>1</v>
      </c>
      <c r="E344" s="2" t="s">
        <v>82</v>
      </c>
    </row>
    <row r="345" customFormat="false" ht="15" hidden="false" customHeight="false" outlineLevel="0" collapsed="false">
      <c r="A345" s="15" t="n">
        <v>46001</v>
      </c>
      <c r="B345" s="4" t="n">
        <v>1</v>
      </c>
      <c r="D345" s="5" t="n">
        <f aca="false">IF(AND(p_aplicar_feriados=1,C345&lt;&gt;""),0,B345)</f>
        <v>1</v>
      </c>
      <c r="E345" s="2" t="s">
        <v>82</v>
      </c>
    </row>
    <row r="346" customFormat="false" ht="15" hidden="false" customHeight="false" outlineLevel="0" collapsed="false">
      <c r="A346" s="15" t="n">
        <v>46002</v>
      </c>
      <c r="B346" s="4" t="n">
        <v>1</v>
      </c>
      <c r="D346" s="5" t="n">
        <f aca="false">IF(AND(p_aplicar_feriados=1,C346&lt;&gt;""),0,B346)</f>
        <v>1</v>
      </c>
      <c r="E346" s="2" t="s">
        <v>82</v>
      </c>
    </row>
    <row r="347" customFormat="false" ht="15" hidden="false" customHeight="false" outlineLevel="0" collapsed="false">
      <c r="A347" s="15" t="n">
        <v>46003</v>
      </c>
      <c r="B347" s="4" t="n">
        <v>1</v>
      </c>
      <c r="D347" s="5" t="n">
        <f aca="false">IF(AND(p_aplicar_feriados=1,C347&lt;&gt;""),0,B347)</f>
        <v>1</v>
      </c>
      <c r="E347" s="2" t="s">
        <v>82</v>
      </c>
    </row>
    <row r="348" customFormat="false" ht="15" hidden="false" customHeight="false" outlineLevel="0" collapsed="false">
      <c r="A348" s="15" t="n">
        <v>46004</v>
      </c>
      <c r="B348" s="4" t="n">
        <v>0</v>
      </c>
      <c r="D348" s="5" t="n">
        <f aca="false">IF(AND(p_aplicar_feriados=1,C348&lt;&gt;""),0,B348)</f>
        <v>0</v>
      </c>
      <c r="E348" s="2" t="s">
        <v>82</v>
      </c>
    </row>
    <row r="349" customFormat="false" ht="15" hidden="false" customHeight="false" outlineLevel="0" collapsed="false">
      <c r="A349" s="15" t="n">
        <v>46005</v>
      </c>
      <c r="B349" s="4" t="n">
        <v>0</v>
      </c>
      <c r="D349" s="5" t="n">
        <f aca="false">IF(AND(p_aplicar_feriados=1,C349&lt;&gt;""),0,B349)</f>
        <v>0</v>
      </c>
      <c r="E349" s="2" t="s">
        <v>82</v>
      </c>
    </row>
    <row r="350" customFormat="false" ht="15" hidden="false" customHeight="false" outlineLevel="0" collapsed="false">
      <c r="A350" s="15" t="n">
        <v>46006</v>
      </c>
      <c r="B350" s="4" t="n">
        <v>1</v>
      </c>
      <c r="D350" s="5" t="n">
        <f aca="false">IF(AND(p_aplicar_feriados=1,C350&lt;&gt;""),0,B350)</f>
        <v>1</v>
      </c>
      <c r="E350" s="2" t="s">
        <v>82</v>
      </c>
    </row>
    <row r="351" customFormat="false" ht="15" hidden="false" customHeight="false" outlineLevel="0" collapsed="false">
      <c r="A351" s="15" t="n">
        <v>46007</v>
      </c>
      <c r="B351" s="4" t="n">
        <v>1</v>
      </c>
      <c r="D351" s="5" t="n">
        <f aca="false">IF(AND(p_aplicar_feriados=1,C351&lt;&gt;""),0,B351)</f>
        <v>1</v>
      </c>
      <c r="E351" s="2" t="s">
        <v>82</v>
      </c>
    </row>
    <row r="352" customFormat="false" ht="15" hidden="false" customHeight="false" outlineLevel="0" collapsed="false">
      <c r="A352" s="15" t="n">
        <v>46008</v>
      </c>
      <c r="B352" s="4" t="n">
        <v>1</v>
      </c>
      <c r="D352" s="5" t="n">
        <f aca="false">IF(AND(p_aplicar_feriados=1,C352&lt;&gt;""),0,B352)</f>
        <v>1</v>
      </c>
      <c r="E352" s="2" t="s">
        <v>82</v>
      </c>
    </row>
    <row r="353" customFormat="false" ht="15" hidden="false" customHeight="false" outlineLevel="0" collapsed="false">
      <c r="A353" s="15" t="n">
        <v>46009</v>
      </c>
      <c r="B353" s="4" t="n">
        <v>1</v>
      </c>
      <c r="D353" s="5" t="n">
        <f aca="false">IF(AND(p_aplicar_feriados=1,C353&lt;&gt;""),0,B353)</f>
        <v>1</v>
      </c>
      <c r="E353" s="2" t="s">
        <v>82</v>
      </c>
    </row>
    <row r="354" customFormat="false" ht="15" hidden="false" customHeight="false" outlineLevel="0" collapsed="false">
      <c r="A354" s="15" t="n">
        <v>46010</v>
      </c>
      <c r="B354" s="4" t="n">
        <v>1</v>
      </c>
      <c r="D354" s="5" t="n">
        <f aca="false">IF(AND(p_aplicar_feriados=1,C354&lt;&gt;""),0,B354)</f>
        <v>1</v>
      </c>
      <c r="E354" s="2" t="s">
        <v>82</v>
      </c>
    </row>
    <row r="355" customFormat="false" ht="15" hidden="false" customHeight="false" outlineLevel="0" collapsed="false">
      <c r="A355" s="15" t="n">
        <v>46011</v>
      </c>
      <c r="B355" s="4" t="n">
        <v>0</v>
      </c>
      <c r="D355" s="5" t="n">
        <f aca="false">IF(AND(p_aplicar_feriados=1,C355&lt;&gt;""),0,B355)</f>
        <v>0</v>
      </c>
      <c r="E355" s="2" t="s">
        <v>82</v>
      </c>
    </row>
    <row r="356" customFormat="false" ht="15" hidden="false" customHeight="false" outlineLevel="0" collapsed="false">
      <c r="A356" s="15" t="n">
        <v>46012</v>
      </c>
      <c r="B356" s="4" t="n">
        <v>0</v>
      </c>
      <c r="D356" s="5" t="n">
        <f aca="false">IF(AND(p_aplicar_feriados=1,C356&lt;&gt;""),0,B356)</f>
        <v>0</v>
      </c>
      <c r="E356" s="2" t="s">
        <v>82</v>
      </c>
    </row>
    <row r="357" customFormat="false" ht="15" hidden="false" customHeight="false" outlineLevel="0" collapsed="false">
      <c r="A357" s="15" t="n">
        <v>46013</v>
      </c>
      <c r="B357" s="4" t="n">
        <v>1</v>
      </c>
      <c r="D357" s="5" t="n">
        <f aca="false">IF(AND(p_aplicar_feriados=1,C357&lt;&gt;""),0,B357)</f>
        <v>1</v>
      </c>
      <c r="E357" s="2" t="s">
        <v>82</v>
      </c>
    </row>
    <row r="358" customFormat="false" ht="15" hidden="false" customHeight="false" outlineLevel="0" collapsed="false">
      <c r="A358" s="15" t="n">
        <v>46014</v>
      </c>
      <c r="B358" s="4" t="n">
        <v>1</v>
      </c>
      <c r="D358" s="5" t="n">
        <f aca="false">IF(AND(p_aplicar_feriados=1,C358&lt;&gt;""),0,B358)</f>
        <v>1</v>
      </c>
      <c r="E358" s="2" t="s">
        <v>82</v>
      </c>
    </row>
    <row r="359" customFormat="false" ht="15" hidden="false" customHeight="false" outlineLevel="0" collapsed="false">
      <c r="A359" s="15" t="n">
        <v>46015</v>
      </c>
      <c r="B359" s="4" t="n">
        <v>1</v>
      </c>
      <c r="D359" s="5" t="n">
        <f aca="false">IF(AND(p_aplicar_feriados=1,C359&lt;&gt;""),0,B359)</f>
        <v>1</v>
      </c>
      <c r="E359" s="2" t="s">
        <v>82</v>
      </c>
    </row>
    <row r="360" customFormat="false" ht="15" hidden="false" customHeight="false" outlineLevel="0" collapsed="false">
      <c r="A360" s="15" t="n">
        <v>46016</v>
      </c>
      <c r="B360" s="4" t="n">
        <v>1</v>
      </c>
      <c r="C360" s="2" t="s">
        <v>508</v>
      </c>
      <c r="D360" s="5" t="n">
        <f aca="false">IF(AND(p_aplicar_feriados=1,C360&lt;&gt;""),0,B360)</f>
        <v>1</v>
      </c>
      <c r="E360" s="2" t="s">
        <v>82</v>
      </c>
    </row>
    <row r="361" customFormat="false" ht="15" hidden="false" customHeight="false" outlineLevel="0" collapsed="false">
      <c r="A361" s="15" t="n">
        <v>46017</v>
      </c>
      <c r="B361" s="4" t="n">
        <v>1</v>
      </c>
      <c r="D361" s="5" t="n">
        <f aca="false">IF(AND(p_aplicar_feriados=1,C361&lt;&gt;""),0,B361)</f>
        <v>1</v>
      </c>
      <c r="E361" s="2" t="s">
        <v>82</v>
      </c>
    </row>
    <row r="362" customFormat="false" ht="15" hidden="false" customHeight="false" outlineLevel="0" collapsed="false">
      <c r="A362" s="15" t="n">
        <v>46018</v>
      </c>
      <c r="B362" s="4" t="n">
        <v>0</v>
      </c>
      <c r="D362" s="5" t="n">
        <f aca="false">IF(AND(p_aplicar_feriados=1,C362&lt;&gt;""),0,B362)</f>
        <v>0</v>
      </c>
      <c r="E362" s="2" t="s">
        <v>82</v>
      </c>
    </row>
    <row r="363" customFormat="false" ht="15" hidden="false" customHeight="false" outlineLevel="0" collapsed="false">
      <c r="A363" s="15" t="n">
        <v>46019</v>
      </c>
      <c r="B363" s="4" t="n">
        <v>0</v>
      </c>
      <c r="D363" s="5" t="n">
        <f aca="false">IF(AND(p_aplicar_feriados=1,C363&lt;&gt;""),0,B363)</f>
        <v>0</v>
      </c>
      <c r="E363" s="2" t="s">
        <v>82</v>
      </c>
    </row>
    <row r="364" customFormat="false" ht="15" hidden="false" customHeight="false" outlineLevel="0" collapsed="false">
      <c r="A364" s="15" t="n">
        <v>46020</v>
      </c>
      <c r="B364" s="4" t="n">
        <v>1</v>
      </c>
      <c r="D364" s="5" t="n">
        <f aca="false">IF(AND(p_aplicar_feriados=1,C364&lt;&gt;""),0,B364)</f>
        <v>1</v>
      </c>
      <c r="E364" s="2" t="s">
        <v>82</v>
      </c>
    </row>
    <row r="365" customFormat="false" ht="15" hidden="false" customHeight="false" outlineLevel="0" collapsed="false">
      <c r="A365" s="15" t="n">
        <v>46021</v>
      </c>
      <c r="B365" s="4" t="n">
        <v>1</v>
      </c>
      <c r="D365" s="5" t="n">
        <f aca="false">IF(AND(p_aplicar_feriados=1,C365&lt;&gt;""),0,B365)</f>
        <v>1</v>
      </c>
      <c r="E365" s="2" t="s">
        <v>82</v>
      </c>
    </row>
    <row r="366" customFormat="false" ht="15" hidden="false" customHeight="false" outlineLevel="0" collapsed="false">
      <c r="A366" s="15" t="n">
        <v>46022</v>
      </c>
      <c r="B366" s="4" t="n">
        <v>1</v>
      </c>
      <c r="D366" s="5" t="n">
        <f aca="false">IF(AND(p_aplicar_feriados=1,C366&lt;&gt;""),0,B366)</f>
        <v>1</v>
      </c>
      <c r="E366" s="2" t="s">
        <v>82</v>
      </c>
    </row>
    <row r="367" customFormat="false" ht="15" hidden="false" customHeight="false" outlineLevel="0" collapsed="false">
      <c r="A367" s="15" t="n">
        <v>46023</v>
      </c>
      <c r="B367" s="4" t="n">
        <v>1</v>
      </c>
      <c r="C367" s="2" t="s">
        <v>494</v>
      </c>
      <c r="D367" s="5" t="n">
        <f aca="false">IF(AND(p_aplicar_feriados=1,C367&lt;&gt;""),0,B367)</f>
        <v>1</v>
      </c>
      <c r="E367" s="2" t="s">
        <v>82</v>
      </c>
    </row>
    <row r="368" customFormat="false" ht="15" hidden="false" customHeight="false" outlineLevel="0" collapsed="false">
      <c r="A368" s="15" t="n">
        <v>46024</v>
      </c>
      <c r="B368" s="4" t="n">
        <v>1</v>
      </c>
      <c r="D368" s="5" t="n">
        <f aca="false">IF(AND(p_aplicar_feriados=1,C368&lt;&gt;""),0,B368)</f>
        <v>1</v>
      </c>
      <c r="E368" s="2" t="s">
        <v>82</v>
      </c>
    </row>
    <row r="369" customFormat="false" ht="15" hidden="false" customHeight="false" outlineLevel="0" collapsed="false">
      <c r="A369" s="15" t="n">
        <v>46025</v>
      </c>
      <c r="B369" s="4" t="n">
        <v>0</v>
      </c>
      <c r="D369" s="5" t="n">
        <f aca="false">IF(AND(p_aplicar_feriados=1,C369&lt;&gt;""),0,B369)</f>
        <v>0</v>
      </c>
      <c r="E369" s="2" t="s">
        <v>82</v>
      </c>
    </row>
    <row r="370" customFormat="false" ht="15" hidden="false" customHeight="false" outlineLevel="0" collapsed="false">
      <c r="A370" s="15" t="n">
        <v>46026</v>
      </c>
      <c r="B370" s="4" t="n">
        <v>0</v>
      </c>
      <c r="D370" s="5" t="n">
        <f aca="false">IF(AND(p_aplicar_feriados=1,C370&lt;&gt;""),0,B370)</f>
        <v>0</v>
      </c>
      <c r="E370" s="2" t="s">
        <v>82</v>
      </c>
    </row>
    <row r="371" customFormat="false" ht="15" hidden="false" customHeight="false" outlineLevel="0" collapsed="false">
      <c r="A371" s="15" t="n">
        <v>46027</v>
      </c>
      <c r="B371" s="4" t="n">
        <v>1</v>
      </c>
      <c r="D371" s="5" t="n">
        <f aca="false">IF(AND(p_aplicar_feriados=1,C371&lt;&gt;""),0,B371)</f>
        <v>1</v>
      </c>
      <c r="E371" s="2" t="s">
        <v>82</v>
      </c>
    </row>
    <row r="372" customFormat="false" ht="15" hidden="false" customHeight="false" outlineLevel="0" collapsed="false">
      <c r="A372" s="15" t="n">
        <v>46028</v>
      </c>
      <c r="B372" s="4" t="n">
        <v>1</v>
      </c>
      <c r="D372" s="5" t="n">
        <f aca="false">IF(AND(p_aplicar_feriados=1,C372&lt;&gt;""),0,B372)</f>
        <v>1</v>
      </c>
      <c r="E372" s="2" t="s">
        <v>82</v>
      </c>
    </row>
    <row r="373" customFormat="false" ht="15" hidden="false" customHeight="false" outlineLevel="0" collapsed="false">
      <c r="A373" s="15" t="n">
        <v>46029</v>
      </c>
      <c r="B373" s="4" t="n">
        <v>1</v>
      </c>
      <c r="D373" s="5" t="n">
        <f aca="false">IF(AND(p_aplicar_feriados=1,C373&lt;&gt;""),0,B373)</f>
        <v>1</v>
      </c>
      <c r="E373" s="2" t="s">
        <v>82</v>
      </c>
    </row>
    <row r="374" customFormat="false" ht="15" hidden="false" customHeight="false" outlineLevel="0" collapsed="false">
      <c r="A374" s="15" t="n">
        <v>46030</v>
      </c>
      <c r="B374" s="4" t="n">
        <v>1</v>
      </c>
      <c r="D374" s="5" t="n">
        <f aca="false">IF(AND(p_aplicar_feriados=1,C374&lt;&gt;""),0,B374)</f>
        <v>1</v>
      </c>
      <c r="E374" s="2" t="s">
        <v>82</v>
      </c>
    </row>
    <row r="375" customFormat="false" ht="15" hidden="false" customHeight="false" outlineLevel="0" collapsed="false">
      <c r="A375" s="15" t="n">
        <v>46031</v>
      </c>
      <c r="B375" s="4" t="n">
        <v>1</v>
      </c>
      <c r="D375" s="5" t="n">
        <f aca="false">IF(AND(p_aplicar_feriados=1,C375&lt;&gt;""),0,B375)</f>
        <v>1</v>
      </c>
      <c r="E375" s="2" t="s">
        <v>82</v>
      </c>
    </row>
    <row r="376" customFormat="false" ht="15" hidden="false" customHeight="false" outlineLevel="0" collapsed="false">
      <c r="A376" s="15" t="n">
        <v>46032</v>
      </c>
      <c r="B376" s="4" t="n">
        <v>0</v>
      </c>
      <c r="D376" s="5" t="n">
        <f aca="false">IF(AND(p_aplicar_feriados=1,C376&lt;&gt;""),0,B376)</f>
        <v>0</v>
      </c>
      <c r="E376" s="2" t="s">
        <v>82</v>
      </c>
    </row>
    <row r="377" customFormat="false" ht="15" hidden="false" customHeight="false" outlineLevel="0" collapsed="false">
      <c r="A377" s="15" t="n">
        <v>46033</v>
      </c>
      <c r="B377" s="4" t="n">
        <v>0</v>
      </c>
      <c r="D377" s="5" t="n">
        <f aca="false">IF(AND(p_aplicar_feriados=1,C377&lt;&gt;""),0,B377)</f>
        <v>0</v>
      </c>
      <c r="E377" s="2" t="s">
        <v>82</v>
      </c>
    </row>
    <row r="378" customFormat="false" ht="15" hidden="false" customHeight="false" outlineLevel="0" collapsed="false">
      <c r="A378" s="15" t="n">
        <v>46034</v>
      </c>
      <c r="B378" s="4" t="n">
        <v>1</v>
      </c>
      <c r="D378" s="5" t="n">
        <f aca="false">IF(AND(p_aplicar_feriados=1,C378&lt;&gt;""),0,B378)</f>
        <v>1</v>
      </c>
      <c r="E378" s="2" t="s">
        <v>82</v>
      </c>
    </row>
    <row r="379" customFormat="false" ht="15" hidden="false" customHeight="false" outlineLevel="0" collapsed="false">
      <c r="A379" s="15" t="n">
        <v>46035</v>
      </c>
      <c r="B379" s="4" t="n">
        <v>1</v>
      </c>
      <c r="D379" s="5" t="n">
        <f aca="false">IF(AND(p_aplicar_feriados=1,C379&lt;&gt;""),0,B379)</f>
        <v>1</v>
      </c>
      <c r="E379" s="2" t="s">
        <v>82</v>
      </c>
    </row>
    <row r="380" customFormat="false" ht="15" hidden="false" customHeight="false" outlineLevel="0" collapsed="false">
      <c r="A380" s="15" t="n">
        <v>46036</v>
      </c>
      <c r="B380" s="4" t="n">
        <v>1</v>
      </c>
      <c r="D380" s="5" t="n">
        <f aca="false">IF(AND(p_aplicar_feriados=1,C380&lt;&gt;""),0,B380)</f>
        <v>1</v>
      </c>
      <c r="E380" s="2" t="s">
        <v>82</v>
      </c>
    </row>
    <row r="381" customFormat="false" ht="15" hidden="false" customHeight="false" outlineLevel="0" collapsed="false">
      <c r="A381" s="15" t="n">
        <v>46037</v>
      </c>
      <c r="B381" s="4" t="n">
        <v>1</v>
      </c>
      <c r="D381" s="5" t="n">
        <f aca="false">IF(AND(p_aplicar_feriados=1,C381&lt;&gt;""),0,B381)</f>
        <v>1</v>
      </c>
      <c r="E381" s="2" t="s">
        <v>82</v>
      </c>
    </row>
    <row r="382" customFormat="false" ht="15" hidden="false" customHeight="false" outlineLevel="0" collapsed="false">
      <c r="A382" s="15" t="n">
        <v>46038</v>
      </c>
      <c r="B382" s="4" t="n">
        <v>1</v>
      </c>
      <c r="D382" s="5" t="n">
        <f aca="false">IF(AND(p_aplicar_feriados=1,C382&lt;&gt;""),0,B382)</f>
        <v>1</v>
      </c>
      <c r="E382" s="2" t="s">
        <v>82</v>
      </c>
    </row>
    <row r="383" customFormat="false" ht="15" hidden="false" customHeight="false" outlineLevel="0" collapsed="false">
      <c r="A383" s="15" t="n">
        <v>46039</v>
      </c>
      <c r="B383" s="4" t="n">
        <v>0</v>
      </c>
      <c r="D383" s="5" t="n">
        <f aca="false">IF(AND(p_aplicar_feriados=1,C383&lt;&gt;""),0,B383)</f>
        <v>0</v>
      </c>
      <c r="E383" s="2" t="s">
        <v>82</v>
      </c>
    </row>
    <row r="384" customFormat="false" ht="15" hidden="false" customHeight="false" outlineLevel="0" collapsed="false">
      <c r="A384" s="15" t="n">
        <v>46040</v>
      </c>
      <c r="B384" s="4" t="n">
        <v>0</v>
      </c>
      <c r="D384" s="5" t="n">
        <f aca="false">IF(AND(p_aplicar_feriados=1,C384&lt;&gt;""),0,B384)</f>
        <v>0</v>
      </c>
      <c r="E384" s="2" t="s">
        <v>82</v>
      </c>
    </row>
    <row r="385" customFormat="false" ht="15" hidden="false" customHeight="false" outlineLevel="0" collapsed="false">
      <c r="A385" s="15" t="n">
        <v>46041</v>
      </c>
      <c r="B385" s="4" t="n">
        <v>1</v>
      </c>
      <c r="D385" s="5" t="n">
        <f aca="false">IF(AND(p_aplicar_feriados=1,C385&lt;&gt;""),0,B385)</f>
        <v>1</v>
      </c>
      <c r="E385" s="2" t="s">
        <v>82</v>
      </c>
    </row>
    <row r="386" customFormat="false" ht="15" hidden="false" customHeight="false" outlineLevel="0" collapsed="false">
      <c r="A386" s="15" t="n">
        <v>46042</v>
      </c>
      <c r="B386" s="4" t="n">
        <v>1</v>
      </c>
      <c r="D386" s="5" t="n">
        <f aca="false">IF(AND(p_aplicar_feriados=1,C386&lt;&gt;""),0,B386)</f>
        <v>1</v>
      </c>
      <c r="E386" s="2" t="s">
        <v>82</v>
      </c>
    </row>
    <row r="387" customFormat="false" ht="15" hidden="false" customHeight="false" outlineLevel="0" collapsed="false">
      <c r="A387" s="15" t="n">
        <v>46043</v>
      </c>
      <c r="B387" s="4" t="n">
        <v>1</v>
      </c>
      <c r="D387" s="5" t="n">
        <f aca="false">IF(AND(p_aplicar_feriados=1,C387&lt;&gt;""),0,B387)</f>
        <v>1</v>
      </c>
      <c r="E387" s="2" t="s">
        <v>82</v>
      </c>
    </row>
    <row r="388" customFormat="false" ht="15" hidden="false" customHeight="false" outlineLevel="0" collapsed="false">
      <c r="A388" s="15" t="n">
        <v>46044</v>
      </c>
      <c r="B388" s="4" t="n">
        <v>1</v>
      </c>
      <c r="D388" s="5" t="n">
        <f aca="false">IF(AND(p_aplicar_feriados=1,C388&lt;&gt;""),0,B388)</f>
        <v>1</v>
      </c>
      <c r="E388" s="2" t="s">
        <v>82</v>
      </c>
    </row>
    <row r="389" customFormat="false" ht="15" hidden="false" customHeight="false" outlineLevel="0" collapsed="false">
      <c r="A389" s="15" t="n">
        <v>46045</v>
      </c>
      <c r="B389" s="4" t="n">
        <v>1</v>
      </c>
      <c r="D389" s="5" t="n">
        <f aca="false">IF(AND(p_aplicar_feriados=1,C389&lt;&gt;""),0,B389)</f>
        <v>1</v>
      </c>
      <c r="E389" s="2" t="s">
        <v>82</v>
      </c>
    </row>
    <row r="390" customFormat="false" ht="15" hidden="false" customHeight="false" outlineLevel="0" collapsed="false">
      <c r="A390" s="15" t="n">
        <v>46046</v>
      </c>
      <c r="B390" s="4" t="n">
        <v>0</v>
      </c>
      <c r="D390" s="5" t="n">
        <f aca="false">IF(AND(p_aplicar_feriados=1,C390&lt;&gt;""),0,B390)</f>
        <v>0</v>
      </c>
      <c r="E390" s="2" t="s">
        <v>82</v>
      </c>
    </row>
    <row r="391" customFormat="false" ht="15" hidden="false" customHeight="false" outlineLevel="0" collapsed="false">
      <c r="A391" s="15" t="n">
        <v>46047</v>
      </c>
      <c r="B391" s="4" t="n">
        <v>0</v>
      </c>
      <c r="D391" s="5" t="n">
        <f aca="false">IF(AND(p_aplicar_feriados=1,C391&lt;&gt;""),0,B391)</f>
        <v>0</v>
      </c>
      <c r="E391" s="2" t="s">
        <v>82</v>
      </c>
    </row>
    <row r="392" customFormat="false" ht="15" hidden="false" customHeight="false" outlineLevel="0" collapsed="false">
      <c r="A392" s="15" t="n">
        <v>46048</v>
      </c>
      <c r="B392" s="4" t="n">
        <v>1</v>
      </c>
      <c r="D392" s="5" t="n">
        <f aca="false">IF(AND(p_aplicar_feriados=1,C392&lt;&gt;""),0,B392)</f>
        <v>1</v>
      </c>
      <c r="E392" s="2" t="s">
        <v>82</v>
      </c>
    </row>
    <row r="393" customFormat="false" ht="15" hidden="false" customHeight="false" outlineLevel="0" collapsed="false">
      <c r="A393" s="15" t="n">
        <v>46049</v>
      </c>
      <c r="B393" s="4" t="n">
        <v>1</v>
      </c>
      <c r="D393" s="5" t="n">
        <f aca="false">IF(AND(p_aplicar_feriados=1,C393&lt;&gt;""),0,B393)</f>
        <v>1</v>
      </c>
      <c r="E393" s="2" t="s">
        <v>82</v>
      </c>
    </row>
    <row r="394" customFormat="false" ht="15" hidden="false" customHeight="false" outlineLevel="0" collapsed="false">
      <c r="A394" s="15" t="n">
        <v>46050</v>
      </c>
      <c r="B394" s="4" t="n">
        <v>1</v>
      </c>
      <c r="D394" s="5" t="n">
        <f aca="false">IF(AND(p_aplicar_feriados=1,C394&lt;&gt;""),0,B394)</f>
        <v>1</v>
      </c>
      <c r="E394" s="2" t="s">
        <v>82</v>
      </c>
    </row>
    <row r="395" customFormat="false" ht="15" hidden="false" customHeight="false" outlineLevel="0" collapsed="false">
      <c r="A395" s="15" t="n">
        <v>46051</v>
      </c>
      <c r="B395" s="4" t="n">
        <v>1</v>
      </c>
      <c r="D395" s="5" t="n">
        <f aca="false">IF(AND(p_aplicar_feriados=1,C395&lt;&gt;""),0,B395)</f>
        <v>1</v>
      </c>
      <c r="E395" s="2" t="s">
        <v>82</v>
      </c>
    </row>
    <row r="396" customFormat="false" ht="15" hidden="false" customHeight="false" outlineLevel="0" collapsed="false">
      <c r="A396" s="15" t="n">
        <v>46052</v>
      </c>
      <c r="B396" s="4" t="n">
        <v>1</v>
      </c>
      <c r="D396" s="5" t="n">
        <f aca="false">IF(AND(p_aplicar_feriados=1,C396&lt;&gt;""),0,B396)</f>
        <v>1</v>
      </c>
      <c r="E396" s="2" t="s">
        <v>82</v>
      </c>
    </row>
    <row r="397" customFormat="false" ht="15" hidden="false" customHeight="false" outlineLevel="0" collapsed="false">
      <c r="A397" s="15" t="n">
        <v>46053</v>
      </c>
      <c r="B397" s="4" t="n">
        <v>0</v>
      </c>
      <c r="D397" s="5" t="n">
        <f aca="false">IF(AND(p_aplicar_feriados=1,C397&lt;&gt;""),0,B397)</f>
        <v>0</v>
      </c>
      <c r="E397" s="2" t="s">
        <v>82</v>
      </c>
    </row>
  </sheetData>
  <autoFilter ref="A1:E39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5100"/>
    <pageSetUpPr fitToPage="false"/>
  </sheetPr>
  <dimension ref="A1:S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26"/>
    <col collapsed="false" customWidth="true" hidden="false" outlineLevel="0" max="4" min="4" style="0" width="8"/>
    <col collapsed="false" customWidth="true" hidden="false" outlineLevel="0" max="7" min="5" style="0" width="11"/>
    <col collapsed="false" customWidth="true" hidden="false" outlineLevel="0" max="8" min="8" style="0" width="6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12"/>
    <col collapsed="false" customWidth="true" hidden="false" outlineLevel="0" max="13" min="13" style="0" width="8"/>
    <col collapsed="false" customWidth="true" hidden="false" outlineLevel="0" max="15" min="14" style="0" width="12"/>
    <col collapsed="false" customWidth="true" hidden="false" outlineLevel="0" max="17" min="16" style="0" width="10"/>
    <col collapsed="false" customWidth="true" hidden="false" outlineLevel="0" max="18" min="18" style="0" width="9"/>
    <col collapsed="false" customWidth="true" hidden="false" outlineLevel="0" max="19" min="19" style="0" width="11"/>
  </cols>
  <sheetData>
    <row r="1" customFormat="false" ht="31.5" hidden="false" customHeight="true" outlineLevel="0" collapsed="false">
      <c r="A1" s="1" t="s">
        <v>509</v>
      </c>
      <c r="B1" s="1" t="s">
        <v>272</v>
      </c>
      <c r="C1" s="1" t="s">
        <v>67</v>
      </c>
      <c r="D1" s="1" t="s">
        <v>510</v>
      </c>
      <c r="E1" s="1" t="s">
        <v>511</v>
      </c>
      <c r="F1" s="1" t="s">
        <v>512</v>
      </c>
      <c r="G1" s="1" t="s">
        <v>513</v>
      </c>
      <c r="H1" s="1" t="s">
        <v>514</v>
      </c>
      <c r="I1" s="1" t="s">
        <v>515</v>
      </c>
      <c r="J1" s="1" t="s">
        <v>516</v>
      </c>
      <c r="K1" s="1" t="s">
        <v>517</v>
      </c>
      <c r="L1" s="1" t="s">
        <v>518</v>
      </c>
      <c r="M1" s="1" t="s">
        <v>519</v>
      </c>
      <c r="N1" s="1" t="s">
        <v>520</v>
      </c>
      <c r="O1" s="1" t="s">
        <v>521</v>
      </c>
      <c r="P1" s="1" t="s">
        <v>522</v>
      </c>
      <c r="Q1" s="1" t="s">
        <v>523</v>
      </c>
      <c r="R1" s="1" t="s">
        <v>524</v>
      </c>
      <c r="S1" s="1" t="s">
        <v>64</v>
      </c>
    </row>
    <row r="2" customFormat="false" ht="15" hidden="false" customHeight="false" outlineLevel="0" collapsed="false">
      <c r="A2" s="2" t="s">
        <v>525</v>
      </c>
      <c r="B2" s="2" t="s">
        <v>80</v>
      </c>
      <c r="C2" s="2" t="s">
        <v>79</v>
      </c>
      <c r="D2" s="4" t="n">
        <v>12</v>
      </c>
      <c r="E2" s="15" t="n">
        <v>45660</v>
      </c>
      <c r="F2" s="15" t="n">
        <v>45660</v>
      </c>
      <c r="G2" s="15" t="n">
        <v>45677</v>
      </c>
      <c r="H2" s="4" t="n">
        <v>10</v>
      </c>
      <c r="I2" s="2" t="s">
        <v>456</v>
      </c>
      <c r="J2" s="16" t="n">
        <f aca="false">INDEX('12_PRECIOS'!$D$2:$D$5,MATCH(C2,'12_PRECIOS'!$A$2:$A$5,0))</f>
        <v>2650.49</v>
      </c>
      <c r="K2" s="16" t="n">
        <f aca="false">J2*D2</f>
        <v>31805.88</v>
      </c>
      <c r="L2" s="16" t="n">
        <f aca="false">K2*INDEX('12_PRECIOS'!$E$2:$E$5,MATCH(C2,'12_PRECIOS'!$A$2:$A$5,0))</f>
        <v>3180.588</v>
      </c>
      <c r="M2" s="5" t="n">
        <f aca="false">G2-E2</f>
        <v>17</v>
      </c>
      <c r="N2" s="17" t="n">
        <f aca="false">SUMIF('09_CARGA_ORDEN'!$A$2:$A$1153,A2,'09_CARGA_ORDEN'!$J$2:$J$1153)</f>
        <v>90.66696</v>
      </c>
      <c r="O2" s="11" t="n">
        <f aca="false">SUMPRODUCT(('07_CALENDARIO'!$A$2:$A$397&gt;=F2)*('07_CALENDARIO'!$A$2:$A$397&lt;=G2)*'07_CALENDARIO'!$D$2:$D$397)*p_horas_productivas_dia</f>
        <v>96</v>
      </c>
      <c r="P2" s="5" t="n">
        <f aca="false">IF(N2&gt;O2+0.000001,1,0)</f>
        <v>0</v>
      </c>
      <c r="Q2" s="5" t="n">
        <f aca="false">IF(OR(WEEKDAY(F2,2)&gt;5,WEEKDAY(G2,2)&gt;5),1,0)</f>
        <v>0</v>
      </c>
      <c r="R2" s="5" t="n">
        <f aca="false">IF(COUNTIF('01_PRODUCTOS'!$B$2:$B$51,B2)&gt;0,1,0)</f>
        <v>1</v>
      </c>
      <c r="S2" s="2" t="s">
        <v>456</v>
      </c>
    </row>
    <row r="3" customFormat="false" ht="15" hidden="false" customHeight="false" outlineLevel="0" collapsed="false">
      <c r="A3" s="2" t="s">
        <v>526</v>
      </c>
      <c r="B3" s="2" t="s">
        <v>83</v>
      </c>
      <c r="C3" s="2" t="s">
        <v>79</v>
      </c>
      <c r="D3" s="4" t="n">
        <v>12</v>
      </c>
      <c r="E3" s="15" t="n">
        <v>45673</v>
      </c>
      <c r="F3" s="15" t="n">
        <v>45673</v>
      </c>
      <c r="G3" s="15" t="n">
        <v>45691</v>
      </c>
      <c r="H3" s="4" t="n">
        <v>10</v>
      </c>
      <c r="I3" s="2" t="s">
        <v>456</v>
      </c>
      <c r="J3" s="16" t="n">
        <f aca="false">INDEX('12_PRECIOS'!$D$2:$D$5,MATCH(C3,'12_PRECIOS'!$A$2:$A$5,0))</f>
        <v>2650.49</v>
      </c>
      <c r="K3" s="16" t="n">
        <f aca="false">J3*D3</f>
        <v>31805.88</v>
      </c>
      <c r="L3" s="16" t="n">
        <f aca="false">K3*INDEX('12_PRECIOS'!$E$2:$E$5,MATCH(C3,'12_PRECIOS'!$A$2:$A$5,0))</f>
        <v>3180.588</v>
      </c>
      <c r="M3" s="5" t="n">
        <f aca="false">G3-E3</f>
        <v>18</v>
      </c>
      <c r="N3" s="17" t="n">
        <f aca="false">SUMIF('09_CARGA_ORDEN'!$A$2:$A$1153,A3,'09_CARGA_ORDEN'!$J$2:$J$1153)</f>
        <v>100.7708</v>
      </c>
      <c r="O3" s="11" t="n">
        <f aca="false">SUMPRODUCT(('07_CALENDARIO'!$A$2:$A$397&gt;=F3)*('07_CALENDARIO'!$A$2:$A$397&lt;=G3)*'07_CALENDARIO'!$D$2:$D$397)*p_horas_productivas_dia</f>
        <v>104</v>
      </c>
      <c r="P3" s="5" t="n">
        <f aca="false">IF(N3&gt;O3+0.000001,1,0)</f>
        <v>0</v>
      </c>
      <c r="Q3" s="5" t="n">
        <f aca="false">IF(OR(WEEKDAY(F3,2)&gt;5,WEEKDAY(G3,2)&gt;5),1,0)</f>
        <v>0</v>
      </c>
      <c r="R3" s="5" t="n">
        <f aca="false">IF(COUNTIF('01_PRODUCTOS'!$B$2:$B$51,B3)&gt;0,1,0)</f>
        <v>1</v>
      </c>
      <c r="S3" s="2" t="s">
        <v>456</v>
      </c>
    </row>
    <row r="4" customFormat="false" ht="15" hidden="false" customHeight="false" outlineLevel="0" collapsed="false">
      <c r="A4" s="2" t="s">
        <v>527</v>
      </c>
      <c r="B4" s="2" t="s">
        <v>94</v>
      </c>
      <c r="C4" s="2" t="s">
        <v>93</v>
      </c>
      <c r="D4" s="4" t="n">
        <v>7</v>
      </c>
      <c r="E4" s="15" t="n">
        <v>45660</v>
      </c>
      <c r="F4" s="15" t="n">
        <v>45660</v>
      </c>
      <c r="G4" s="15" t="n">
        <v>45675</v>
      </c>
      <c r="H4" s="4" t="n">
        <v>10</v>
      </c>
      <c r="I4" s="2" t="s">
        <v>456</v>
      </c>
      <c r="J4" s="16" t="n">
        <f aca="false">INDEX('12_PRECIOS'!$D$2:$D$5,MATCH(C4,'12_PRECIOS'!$A$2:$A$5,0))</f>
        <v>2150.57</v>
      </c>
      <c r="K4" s="16" t="n">
        <f aca="false">J4*D4</f>
        <v>15053.99</v>
      </c>
      <c r="L4" s="16" t="n">
        <f aca="false">K4*INDEX('12_PRECIOS'!$E$2:$E$5,MATCH(C4,'12_PRECIOS'!$A$2:$A$5,0))</f>
        <v>1505.399</v>
      </c>
      <c r="M4" s="5" t="n">
        <f aca="false">G4-E4</f>
        <v>15</v>
      </c>
      <c r="N4" s="17" t="n">
        <f aca="false">SUMIF('09_CARGA_ORDEN'!$A$2:$A$1153,A4,'09_CARGA_ORDEN'!$J$2:$J$1153)</f>
        <v>68.4441066666667</v>
      </c>
      <c r="O4" s="11" t="n">
        <f aca="false">SUMPRODUCT(('07_CALENDARIO'!$A$2:$A$397&gt;=F4)*('07_CALENDARIO'!$A$2:$A$397&lt;=G4)*'07_CALENDARIO'!$D$2:$D$397)*p_horas_productivas_dia</f>
        <v>88</v>
      </c>
      <c r="P4" s="5" t="n">
        <f aca="false">IF(N4&gt;O4+0.000001,1,0)</f>
        <v>0</v>
      </c>
      <c r="Q4" s="5" t="n">
        <f aca="false">IF(OR(WEEKDAY(F4,2)&gt;5,WEEKDAY(G4,2)&gt;5),1,0)</f>
        <v>1</v>
      </c>
      <c r="R4" s="5" t="n">
        <f aca="false">IF(COUNTIF('01_PRODUCTOS'!$B$2:$B$51,B4)&gt;0,1,0)</f>
        <v>1</v>
      </c>
      <c r="S4" s="2" t="s">
        <v>456</v>
      </c>
    </row>
    <row r="5" customFormat="false" ht="15" hidden="false" customHeight="false" outlineLevel="0" collapsed="false">
      <c r="A5" s="2" t="s">
        <v>528</v>
      </c>
      <c r="B5" s="2" t="s">
        <v>96</v>
      </c>
      <c r="C5" s="2" t="s">
        <v>93</v>
      </c>
      <c r="D5" s="4" t="n">
        <v>7</v>
      </c>
      <c r="E5" s="15" t="n">
        <v>45673</v>
      </c>
      <c r="F5" s="15" t="n">
        <v>45673</v>
      </c>
      <c r="G5" s="15" t="n">
        <v>45689</v>
      </c>
      <c r="H5" s="4" t="n">
        <v>10</v>
      </c>
      <c r="I5" s="2" t="s">
        <v>456</v>
      </c>
      <c r="J5" s="16" t="n">
        <f aca="false">INDEX('12_PRECIOS'!$D$2:$D$5,MATCH(C5,'12_PRECIOS'!$A$2:$A$5,0))</f>
        <v>2150.57</v>
      </c>
      <c r="K5" s="16" t="n">
        <f aca="false">J5*D5</f>
        <v>15053.99</v>
      </c>
      <c r="L5" s="16" t="n">
        <f aca="false">K5*INDEX('12_PRECIOS'!$E$2:$E$5,MATCH(C5,'12_PRECIOS'!$A$2:$A$5,0))</f>
        <v>1505.399</v>
      </c>
      <c r="M5" s="5" t="n">
        <f aca="false">G5-E5</f>
        <v>16</v>
      </c>
      <c r="N5" s="17" t="n">
        <f aca="false">SUMIF('09_CARGA_ORDEN'!$A$2:$A$1153,A5,'09_CARGA_ORDEN'!$J$2:$J$1153)</f>
        <v>47.37639</v>
      </c>
      <c r="O5" s="11" t="n">
        <f aca="false">SUMPRODUCT(('07_CALENDARIO'!$A$2:$A$397&gt;=F5)*('07_CALENDARIO'!$A$2:$A$397&lt;=G5)*'07_CALENDARIO'!$D$2:$D$397)*p_horas_productivas_dia</f>
        <v>96</v>
      </c>
      <c r="P5" s="5" t="n">
        <f aca="false">IF(N5&gt;O5+0.000001,1,0)</f>
        <v>0</v>
      </c>
      <c r="Q5" s="5" t="n">
        <f aca="false">IF(OR(WEEKDAY(F5,2)&gt;5,WEEKDAY(G5,2)&gt;5),1,0)</f>
        <v>1</v>
      </c>
      <c r="R5" s="5" t="n">
        <f aca="false">IF(COUNTIF('01_PRODUCTOS'!$B$2:$B$51,B5)&gt;0,1,0)</f>
        <v>1</v>
      </c>
      <c r="S5" s="2" t="s">
        <v>456</v>
      </c>
    </row>
    <row r="6" customFormat="false" ht="15" hidden="false" customHeight="false" outlineLevel="0" collapsed="false">
      <c r="A6" s="2" t="s">
        <v>529</v>
      </c>
      <c r="B6" s="2" t="s">
        <v>106</v>
      </c>
      <c r="C6" s="2" t="s">
        <v>105</v>
      </c>
      <c r="D6" s="4" t="n">
        <v>6</v>
      </c>
      <c r="E6" s="15" t="n">
        <v>45660</v>
      </c>
      <c r="F6" s="15" t="n">
        <v>45660</v>
      </c>
      <c r="G6" s="15" t="n">
        <v>45674</v>
      </c>
      <c r="H6" s="4" t="n">
        <v>10</v>
      </c>
      <c r="I6" s="2" t="s">
        <v>456</v>
      </c>
      <c r="J6" s="16" t="n">
        <f aca="false">INDEX('12_PRECIOS'!$D$2:$D$5,MATCH(C6,'12_PRECIOS'!$A$2:$A$5,0))</f>
        <v>1800.81</v>
      </c>
      <c r="K6" s="16" t="n">
        <f aca="false">J6*D6</f>
        <v>10804.86</v>
      </c>
      <c r="L6" s="16" t="n">
        <f aca="false">K6*INDEX('12_PRECIOS'!$E$2:$E$5,MATCH(C6,'12_PRECIOS'!$A$2:$A$5,0))</f>
        <v>1080.486</v>
      </c>
      <c r="M6" s="5" t="n">
        <f aca="false">G6-E6</f>
        <v>14</v>
      </c>
      <c r="N6" s="17" t="n">
        <f aca="false">SUMIF('09_CARGA_ORDEN'!$A$2:$A$1153,A6,'09_CARGA_ORDEN'!$J$2:$J$1153)</f>
        <v>28.1919</v>
      </c>
      <c r="O6" s="11" t="n">
        <f aca="false">SUMPRODUCT(('07_CALENDARIO'!$A$2:$A$397&gt;=F6)*('07_CALENDARIO'!$A$2:$A$397&lt;=G6)*'07_CALENDARIO'!$D$2:$D$397)*p_horas_productivas_dia</f>
        <v>88</v>
      </c>
      <c r="P6" s="5" t="n">
        <f aca="false">IF(N6&gt;O6+0.000001,1,0)</f>
        <v>0</v>
      </c>
      <c r="Q6" s="5" t="n">
        <f aca="false">IF(OR(WEEKDAY(F6,2)&gt;5,WEEKDAY(G6,2)&gt;5),1,0)</f>
        <v>0</v>
      </c>
      <c r="R6" s="5" t="n">
        <f aca="false">IF(COUNTIF('01_PRODUCTOS'!$B$2:$B$51,B6)&gt;0,1,0)</f>
        <v>1</v>
      </c>
      <c r="S6" s="2" t="s">
        <v>456</v>
      </c>
    </row>
    <row r="7" customFormat="false" ht="15" hidden="false" customHeight="false" outlineLevel="0" collapsed="false">
      <c r="A7" s="2" t="s">
        <v>530</v>
      </c>
      <c r="B7" s="2" t="s">
        <v>108</v>
      </c>
      <c r="C7" s="2" t="s">
        <v>105</v>
      </c>
      <c r="D7" s="4" t="n">
        <v>6</v>
      </c>
      <c r="E7" s="15" t="n">
        <v>45673</v>
      </c>
      <c r="F7" s="15" t="n">
        <v>45673</v>
      </c>
      <c r="G7" s="15" t="n">
        <v>45688</v>
      </c>
      <c r="H7" s="4" t="n">
        <v>10</v>
      </c>
      <c r="I7" s="2" t="s">
        <v>456</v>
      </c>
      <c r="J7" s="16" t="n">
        <f aca="false">INDEX('12_PRECIOS'!$D$2:$D$5,MATCH(C7,'12_PRECIOS'!$A$2:$A$5,0))</f>
        <v>1800.81</v>
      </c>
      <c r="K7" s="16" t="n">
        <f aca="false">J7*D7</f>
        <v>10804.86</v>
      </c>
      <c r="L7" s="16" t="n">
        <f aca="false">K7*INDEX('12_PRECIOS'!$E$2:$E$5,MATCH(C7,'12_PRECIOS'!$A$2:$A$5,0))</f>
        <v>1080.486</v>
      </c>
      <c r="M7" s="5" t="n">
        <f aca="false">G7-E7</f>
        <v>15</v>
      </c>
      <c r="N7" s="17" t="n">
        <f aca="false">SUMIF('09_CARGA_ORDEN'!$A$2:$A$1153,A7,'09_CARGA_ORDEN'!$J$2:$J$1153)</f>
        <v>38.8968</v>
      </c>
      <c r="O7" s="11" t="n">
        <f aca="false">SUMPRODUCT(('07_CALENDARIO'!$A$2:$A$397&gt;=F7)*('07_CALENDARIO'!$A$2:$A$397&lt;=G7)*'07_CALENDARIO'!$D$2:$D$397)*p_horas_productivas_dia</f>
        <v>96</v>
      </c>
      <c r="P7" s="5" t="n">
        <f aca="false">IF(N7&gt;O7+0.000001,1,0)</f>
        <v>0</v>
      </c>
      <c r="Q7" s="5" t="n">
        <f aca="false">IF(OR(WEEKDAY(F7,2)&gt;5,WEEKDAY(G7,2)&gt;5),1,0)</f>
        <v>0</v>
      </c>
      <c r="R7" s="5" t="n">
        <f aca="false">IF(COUNTIF('01_PRODUCTOS'!$B$2:$B$51,B7)&gt;0,1,0)</f>
        <v>1</v>
      </c>
      <c r="S7" s="2" t="s">
        <v>456</v>
      </c>
    </row>
    <row r="8" customFormat="false" ht="15" hidden="false" customHeight="false" outlineLevel="0" collapsed="false">
      <c r="A8" s="2" t="s">
        <v>531</v>
      </c>
      <c r="B8" s="2" t="s">
        <v>119</v>
      </c>
      <c r="C8" s="2" t="s">
        <v>118</v>
      </c>
      <c r="D8" s="4" t="n">
        <v>10</v>
      </c>
      <c r="E8" s="15" t="n">
        <v>45660</v>
      </c>
      <c r="F8" s="15" t="n">
        <v>45660</v>
      </c>
      <c r="G8" s="15" t="n">
        <v>45675</v>
      </c>
      <c r="H8" s="4" t="n">
        <v>10</v>
      </c>
      <c r="I8" s="2" t="s">
        <v>456</v>
      </c>
      <c r="J8" s="16" t="n">
        <f aca="false">INDEX('12_PRECIOS'!$D$2:$D$5,MATCH(C8,'12_PRECIOS'!$A$2:$A$5,0))</f>
        <v>2322.4698</v>
      </c>
      <c r="K8" s="16" t="n">
        <f aca="false">J8*D8</f>
        <v>23224.698</v>
      </c>
      <c r="L8" s="16" t="n">
        <f aca="false">K8*INDEX('12_PRECIOS'!$E$2:$E$5,MATCH(C8,'12_PRECIOS'!$A$2:$A$5,0))</f>
        <v>2322.4698</v>
      </c>
      <c r="M8" s="5" t="n">
        <f aca="false">G8-E8</f>
        <v>15</v>
      </c>
      <c r="N8" s="17" t="n">
        <f aca="false">SUMIF('09_CARGA_ORDEN'!$A$2:$A$1153,A8,'09_CARGA_ORDEN'!$J$2:$J$1153)</f>
        <v>37.2553333333333</v>
      </c>
      <c r="O8" s="11" t="n">
        <f aca="false">SUMPRODUCT(('07_CALENDARIO'!$A$2:$A$397&gt;=F8)*('07_CALENDARIO'!$A$2:$A$397&lt;=G8)*'07_CALENDARIO'!$D$2:$D$397)*p_horas_productivas_dia</f>
        <v>88</v>
      </c>
      <c r="P8" s="5" t="n">
        <f aca="false">IF(N8&gt;O8+0.000001,1,0)</f>
        <v>0</v>
      </c>
      <c r="Q8" s="5" t="n">
        <f aca="false">IF(OR(WEEKDAY(F8,2)&gt;5,WEEKDAY(G8,2)&gt;5),1,0)</f>
        <v>1</v>
      </c>
      <c r="R8" s="5" t="n">
        <f aca="false">IF(COUNTIF('01_PRODUCTOS'!$B$2:$B$51,B8)&gt;0,1,0)</f>
        <v>1</v>
      </c>
      <c r="S8" s="2" t="s">
        <v>456</v>
      </c>
    </row>
    <row r="9" customFormat="false" ht="15" hidden="false" customHeight="false" outlineLevel="0" collapsed="false">
      <c r="A9" s="2" t="s">
        <v>532</v>
      </c>
      <c r="B9" s="2" t="s">
        <v>121</v>
      </c>
      <c r="C9" s="2" t="s">
        <v>118</v>
      </c>
      <c r="D9" s="4" t="n">
        <v>10</v>
      </c>
      <c r="E9" s="15" t="n">
        <v>45673</v>
      </c>
      <c r="F9" s="15" t="n">
        <v>45673</v>
      </c>
      <c r="G9" s="15" t="n">
        <v>45689</v>
      </c>
      <c r="H9" s="4" t="n">
        <v>10</v>
      </c>
      <c r="I9" s="2" t="s">
        <v>456</v>
      </c>
      <c r="J9" s="16" t="n">
        <f aca="false">INDEX('12_PRECIOS'!$D$2:$D$5,MATCH(C9,'12_PRECIOS'!$A$2:$A$5,0))</f>
        <v>2322.4698</v>
      </c>
      <c r="K9" s="16" t="n">
        <f aca="false">J9*D9</f>
        <v>23224.698</v>
      </c>
      <c r="L9" s="16" t="n">
        <f aca="false">K9*INDEX('12_PRECIOS'!$E$2:$E$5,MATCH(C9,'12_PRECIOS'!$A$2:$A$5,0))</f>
        <v>2322.4698</v>
      </c>
      <c r="M9" s="5" t="n">
        <f aca="false">G9-E9</f>
        <v>16</v>
      </c>
      <c r="N9" s="17" t="n">
        <f aca="false">SUMIF('09_CARGA_ORDEN'!$A$2:$A$1153,A9,'09_CARGA_ORDEN'!$J$2:$J$1153)</f>
        <v>60.1225333333333</v>
      </c>
      <c r="O9" s="11" t="n">
        <f aca="false">SUMPRODUCT(('07_CALENDARIO'!$A$2:$A$397&gt;=F9)*('07_CALENDARIO'!$A$2:$A$397&lt;=G9)*'07_CALENDARIO'!$D$2:$D$397)*p_horas_productivas_dia</f>
        <v>96</v>
      </c>
      <c r="P9" s="5" t="n">
        <f aca="false">IF(N9&gt;O9+0.000001,1,0)</f>
        <v>0</v>
      </c>
      <c r="Q9" s="5" t="n">
        <f aca="false">IF(OR(WEEKDAY(F9,2)&gt;5,WEEKDAY(G9,2)&gt;5),1,0)</f>
        <v>1</v>
      </c>
      <c r="R9" s="5" t="n">
        <f aca="false">IF(COUNTIF('01_PRODUCTOS'!$B$2:$B$51,B9)&gt;0,1,0)</f>
        <v>1</v>
      </c>
      <c r="S9" s="2" t="s">
        <v>456</v>
      </c>
    </row>
    <row r="10" customFormat="false" ht="15" hidden="false" customHeight="false" outlineLevel="0" collapsed="false">
      <c r="A10" s="2" t="s">
        <v>533</v>
      </c>
      <c r="B10" s="2" t="s">
        <v>80</v>
      </c>
      <c r="C10" s="2" t="s">
        <v>79</v>
      </c>
      <c r="D10" s="4" t="n">
        <v>12</v>
      </c>
      <c r="E10" s="15" t="n">
        <v>45691</v>
      </c>
      <c r="F10" s="15" t="n">
        <v>45691</v>
      </c>
      <c r="G10" s="15" t="n">
        <v>45708</v>
      </c>
      <c r="H10" s="4" t="n">
        <v>10</v>
      </c>
      <c r="I10" s="2" t="s">
        <v>456</v>
      </c>
      <c r="J10" s="16" t="n">
        <f aca="false">INDEX('12_PRECIOS'!$D$2:$D$5,MATCH(C10,'12_PRECIOS'!$A$2:$A$5,0))</f>
        <v>2650.49</v>
      </c>
      <c r="K10" s="16" t="n">
        <f aca="false">J10*D10</f>
        <v>31805.88</v>
      </c>
      <c r="L10" s="16" t="n">
        <f aca="false">K10*INDEX('12_PRECIOS'!$E$2:$E$5,MATCH(C10,'12_PRECIOS'!$A$2:$A$5,0))</f>
        <v>3180.588</v>
      </c>
      <c r="M10" s="5" t="n">
        <f aca="false">G10-E10</f>
        <v>17</v>
      </c>
      <c r="N10" s="17" t="n">
        <f aca="false">SUMIF('09_CARGA_ORDEN'!$A$2:$A$1153,A10,'09_CARGA_ORDEN'!$J$2:$J$1153)</f>
        <v>90.66696</v>
      </c>
      <c r="O10" s="11" t="n">
        <f aca="false">SUMPRODUCT(('07_CALENDARIO'!$A$2:$A$397&gt;=F10)*('07_CALENDARIO'!$A$2:$A$397&lt;=G10)*'07_CALENDARIO'!$D$2:$D$397)*p_horas_productivas_dia</f>
        <v>112</v>
      </c>
      <c r="P10" s="5" t="n">
        <f aca="false">IF(N10&gt;O10+0.000001,1,0)</f>
        <v>0</v>
      </c>
      <c r="Q10" s="5" t="n">
        <f aca="false">IF(OR(WEEKDAY(F10,2)&gt;5,WEEKDAY(G10,2)&gt;5),1,0)</f>
        <v>0</v>
      </c>
      <c r="R10" s="5" t="n">
        <f aca="false">IF(COUNTIF('01_PRODUCTOS'!$B$2:$B$51,B10)&gt;0,1,0)</f>
        <v>1</v>
      </c>
      <c r="S10" s="2" t="s">
        <v>456</v>
      </c>
    </row>
    <row r="11" customFormat="false" ht="15" hidden="false" customHeight="false" outlineLevel="0" collapsed="false">
      <c r="A11" s="2" t="s">
        <v>534</v>
      </c>
      <c r="B11" s="2" t="s">
        <v>83</v>
      </c>
      <c r="C11" s="2" t="s">
        <v>79</v>
      </c>
      <c r="D11" s="4" t="n">
        <v>12</v>
      </c>
      <c r="E11" s="15" t="n">
        <v>45704</v>
      </c>
      <c r="F11" s="15" t="n">
        <v>45704</v>
      </c>
      <c r="G11" s="15" t="n">
        <v>45722</v>
      </c>
      <c r="H11" s="4" t="n">
        <v>10</v>
      </c>
      <c r="I11" s="2" t="s">
        <v>456</v>
      </c>
      <c r="J11" s="16" t="n">
        <f aca="false">INDEX('12_PRECIOS'!$D$2:$D$5,MATCH(C11,'12_PRECIOS'!$A$2:$A$5,0))</f>
        <v>2650.49</v>
      </c>
      <c r="K11" s="16" t="n">
        <f aca="false">J11*D11</f>
        <v>31805.88</v>
      </c>
      <c r="L11" s="16" t="n">
        <f aca="false">K11*INDEX('12_PRECIOS'!$E$2:$E$5,MATCH(C11,'12_PRECIOS'!$A$2:$A$5,0))</f>
        <v>3180.588</v>
      </c>
      <c r="M11" s="5" t="n">
        <f aca="false">G11-E11</f>
        <v>18</v>
      </c>
      <c r="N11" s="17" t="n">
        <f aca="false">SUMIF('09_CARGA_ORDEN'!$A$2:$A$1153,A11,'09_CARGA_ORDEN'!$J$2:$J$1153)</f>
        <v>100.7708</v>
      </c>
      <c r="O11" s="11" t="n">
        <f aca="false">SUMPRODUCT(('07_CALENDARIO'!$A$2:$A$397&gt;=F11)*('07_CALENDARIO'!$A$2:$A$397&lt;=G11)*'07_CALENDARIO'!$D$2:$D$397)*p_horas_productivas_dia</f>
        <v>112</v>
      </c>
      <c r="P11" s="5" t="n">
        <f aca="false">IF(N11&gt;O11+0.000001,1,0)</f>
        <v>0</v>
      </c>
      <c r="Q11" s="5" t="n">
        <f aca="false">IF(OR(WEEKDAY(F11,2)&gt;5,WEEKDAY(G11,2)&gt;5),1,0)</f>
        <v>1</v>
      </c>
      <c r="R11" s="5" t="n">
        <f aca="false">IF(COUNTIF('01_PRODUCTOS'!$B$2:$B$51,B11)&gt;0,1,0)</f>
        <v>1</v>
      </c>
      <c r="S11" s="2" t="s">
        <v>456</v>
      </c>
    </row>
    <row r="12" customFormat="false" ht="15" hidden="false" customHeight="false" outlineLevel="0" collapsed="false">
      <c r="A12" s="2" t="s">
        <v>535</v>
      </c>
      <c r="B12" s="2" t="s">
        <v>94</v>
      </c>
      <c r="C12" s="2" t="s">
        <v>93</v>
      </c>
      <c r="D12" s="4" t="n">
        <v>7</v>
      </c>
      <c r="E12" s="15" t="n">
        <v>45691</v>
      </c>
      <c r="F12" s="15" t="n">
        <v>45691</v>
      </c>
      <c r="G12" s="15" t="n">
        <v>45706</v>
      </c>
      <c r="H12" s="4" t="n">
        <v>10</v>
      </c>
      <c r="I12" s="2" t="s">
        <v>456</v>
      </c>
      <c r="J12" s="16" t="n">
        <f aca="false">INDEX('12_PRECIOS'!$D$2:$D$5,MATCH(C12,'12_PRECIOS'!$A$2:$A$5,0))</f>
        <v>2150.57</v>
      </c>
      <c r="K12" s="16" t="n">
        <f aca="false">J12*D12</f>
        <v>15053.99</v>
      </c>
      <c r="L12" s="16" t="n">
        <f aca="false">K12*INDEX('12_PRECIOS'!$E$2:$E$5,MATCH(C12,'12_PRECIOS'!$A$2:$A$5,0))</f>
        <v>1505.399</v>
      </c>
      <c r="M12" s="5" t="n">
        <f aca="false">G12-E12</f>
        <v>15</v>
      </c>
      <c r="N12" s="17" t="n">
        <f aca="false">SUMIF('09_CARGA_ORDEN'!$A$2:$A$1153,A12,'09_CARGA_ORDEN'!$J$2:$J$1153)</f>
        <v>68.4441066666667</v>
      </c>
      <c r="O12" s="11" t="n">
        <f aca="false">SUMPRODUCT(('07_CALENDARIO'!$A$2:$A$397&gt;=F12)*('07_CALENDARIO'!$A$2:$A$397&lt;=G12)*'07_CALENDARIO'!$D$2:$D$397)*p_horas_productivas_dia</f>
        <v>96</v>
      </c>
      <c r="P12" s="5" t="n">
        <f aca="false">IF(N12&gt;O12+0.000001,1,0)</f>
        <v>0</v>
      </c>
      <c r="Q12" s="5" t="n">
        <f aca="false">IF(OR(WEEKDAY(F12,2)&gt;5,WEEKDAY(G12,2)&gt;5),1,0)</f>
        <v>0</v>
      </c>
      <c r="R12" s="5" t="n">
        <f aca="false">IF(COUNTIF('01_PRODUCTOS'!$B$2:$B$51,B12)&gt;0,1,0)</f>
        <v>1</v>
      </c>
      <c r="S12" s="2" t="s">
        <v>456</v>
      </c>
    </row>
    <row r="13" customFormat="false" ht="15" hidden="false" customHeight="false" outlineLevel="0" collapsed="false">
      <c r="A13" s="2" t="s">
        <v>536</v>
      </c>
      <c r="B13" s="2" t="s">
        <v>96</v>
      </c>
      <c r="C13" s="2" t="s">
        <v>93</v>
      </c>
      <c r="D13" s="4" t="n">
        <v>7</v>
      </c>
      <c r="E13" s="15" t="n">
        <v>45704</v>
      </c>
      <c r="F13" s="15" t="n">
        <v>45704</v>
      </c>
      <c r="G13" s="15" t="n">
        <v>45720</v>
      </c>
      <c r="H13" s="4" t="n">
        <v>10</v>
      </c>
      <c r="I13" s="2" t="s">
        <v>456</v>
      </c>
      <c r="J13" s="16" t="n">
        <f aca="false">INDEX('12_PRECIOS'!$D$2:$D$5,MATCH(C13,'12_PRECIOS'!$A$2:$A$5,0))</f>
        <v>2150.57</v>
      </c>
      <c r="K13" s="16" t="n">
        <f aca="false">J13*D13</f>
        <v>15053.99</v>
      </c>
      <c r="L13" s="16" t="n">
        <f aca="false">K13*INDEX('12_PRECIOS'!$E$2:$E$5,MATCH(C13,'12_PRECIOS'!$A$2:$A$5,0))</f>
        <v>1505.399</v>
      </c>
      <c r="M13" s="5" t="n">
        <f aca="false">G13-E13</f>
        <v>16</v>
      </c>
      <c r="N13" s="17" t="n">
        <f aca="false">SUMIF('09_CARGA_ORDEN'!$A$2:$A$1153,A13,'09_CARGA_ORDEN'!$J$2:$J$1153)</f>
        <v>47.37639</v>
      </c>
      <c r="O13" s="11" t="n">
        <f aca="false">SUMPRODUCT(('07_CALENDARIO'!$A$2:$A$397&gt;=F13)*('07_CALENDARIO'!$A$2:$A$397&lt;=G13)*'07_CALENDARIO'!$D$2:$D$397)*p_horas_productivas_dia</f>
        <v>96</v>
      </c>
      <c r="P13" s="5" t="n">
        <f aca="false">IF(N13&gt;O13+0.000001,1,0)</f>
        <v>0</v>
      </c>
      <c r="Q13" s="5" t="n">
        <f aca="false">IF(OR(WEEKDAY(F13,2)&gt;5,WEEKDAY(G13,2)&gt;5),1,0)</f>
        <v>1</v>
      </c>
      <c r="R13" s="5" t="n">
        <f aca="false">IF(COUNTIF('01_PRODUCTOS'!$B$2:$B$51,B13)&gt;0,1,0)</f>
        <v>1</v>
      </c>
      <c r="S13" s="2" t="s">
        <v>456</v>
      </c>
    </row>
    <row r="14" customFormat="false" ht="15" hidden="false" customHeight="false" outlineLevel="0" collapsed="false">
      <c r="A14" s="2" t="s">
        <v>537</v>
      </c>
      <c r="B14" s="2" t="s">
        <v>106</v>
      </c>
      <c r="C14" s="2" t="s">
        <v>105</v>
      </c>
      <c r="D14" s="4" t="n">
        <v>5</v>
      </c>
      <c r="E14" s="15" t="n">
        <v>45691</v>
      </c>
      <c r="F14" s="15" t="n">
        <v>45691</v>
      </c>
      <c r="G14" s="15" t="n">
        <v>45705</v>
      </c>
      <c r="H14" s="4" t="n">
        <v>10</v>
      </c>
      <c r="I14" s="2" t="s">
        <v>456</v>
      </c>
      <c r="J14" s="16" t="n">
        <f aca="false">INDEX('12_PRECIOS'!$D$2:$D$5,MATCH(C14,'12_PRECIOS'!$A$2:$A$5,0))</f>
        <v>1800.81</v>
      </c>
      <c r="K14" s="16" t="n">
        <f aca="false">J14*D14</f>
        <v>9004.05</v>
      </c>
      <c r="L14" s="16" t="n">
        <f aca="false">K14*INDEX('12_PRECIOS'!$E$2:$E$5,MATCH(C14,'12_PRECIOS'!$A$2:$A$5,0))</f>
        <v>900.405</v>
      </c>
      <c r="M14" s="5" t="n">
        <f aca="false">G14-E14</f>
        <v>14</v>
      </c>
      <c r="N14" s="17" t="n">
        <f aca="false">SUMIF('09_CARGA_ORDEN'!$A$2:$A$1153,A14,'09_CARGA_ORDEN'!$J$2:$J$1153)</f>
        <v>23.8099166666667</v>
      </c>
      <c r="O14" s="11" t="n">
        <f aca="false">SUMPRODUCT(('07_CALENDARIO'!$A$2:$A$397&gt;=F14)*('07_CALENDARIO'!$A$2:$A$397&lt;=G14)*'07_CALENDARIO'!$D$2:$D$397)*p_horas_productivas_dia</f>
        <v>88</v>
      </c>
      <c r="P14" s="5" t="n">
        <f aca="false">IF(N14&gt;O14+0.000001,1,0)</f>
        <v>0</v>
      </c>
      <c r="Q14" s="5" t="n">
        <f aca="false">IF(OR(WEEKDAY(F14,2)&gt;5,WEEKDAY(G14,2)&gt;5),1,0)</f>
        <v>0</v>
      </c>
      <c r="R14" s="5" t="n">
        <f aca="false">IF(COUNTIF('01_PRODUCTOS'!$B$2:$B$51,B14)&gt;0,1,0)</f>
        <v>1</v>
      </c>
      <c r="S14" s="2" t="s">
        <v>456</v>
      </c>
    </row>
    <row r="15" customFormat="false" ht="15" hidden="false" customHeight="false" outlineLevel="0" collapsed="false">
      <c r="A15" s="2" t="s">
        <v>538</v>
      </c>
      <c r="B15" s="2" t="s">
        <v>108</v>
      </c>
      <c r="C15" s="2" t="s">
        <v>105</v>
      </c>
      <c r="D15" s="4" t="n">
        <v>6</v>
      </c>
      <c r="E15" s="15" t="n">
        <v>45704</v>
      </c>
      <c r="F15" s="15" t="n">
        <v>45704</v>
      </c>
      <c r="G15" s="15" t="n">
        <v>45719</v>
      </c>
      <c r="H15" s="4" t="n">
        <v>10</v>
      </c>
      <c r="I15" s="2" t="s">
        <v>456</v>
      </c>
      <c r="J15" s="16" t="n">
        <f aca="false">INDEX('12_PRECIOS'!$D$2:$D$5,MATCH(C15,'12_PRECIOS'!$A$2:$A$5,0))</f>
        <v>1800.81</v>
      </c>
      <c r="K15" s="16" t="n">
        <f aca="false">J15*D15</f>
        <v>10804.86</v>
      </c>
      <c r="L15" s="16" t="n">
        <f aca="false">K15*INDEX('12_PRECIOS'!$E$2:$E$5,MATCH(C15,'12_PRECIOS'!$A$2:$A$5,0))</f>
        <v>1080.486</v>
      </c>
      <c r="M15" s="5" t="n">
        <f aca="false">G15-E15</f>
        <v>15</v>
      </c>
      <c r="N15" s="17" t="n">
        <f aca="false">SUMIF('09_CARGA_ORDEN'!$A$2:$A$1153,A15,'09_CARGA_ORDEN'!$J$2:$J$1153)</f>
        <v>38.8968</v>
      </c>
      <c r="O15" s="11" t="n">
        <f aca="false">SUMPRODUCT(('07_CALENDARIO'!$A$2:$A$397&gt;=F15)*('07_CALENDARIO'!$A$2:$A$397&lt;=G15)*'07_CALENDARIO'!$D$2:$D$397)*p_horas_productivas_dia</f>
        <v>88</v>
      </c>
      <c r="P15" s="5" t="n">
        <f aca="false">IF(N15&gt;O15+0.000001,1,0)</f>
        <v>0</v>
      </c>
      <c r="Q15" s="5" t="n">
        <f aca="false">IF(OR(WEEKDAY(F15,2)&gt;5,WEEKDAY(G15,2)&gt;5),1,0)</f>
        <v>1</v>
      </c>
      <c r="R15" s="5" t="n">
        <f aca="false">IF(COUNTIF('01_PRODUCTOS'!$B$2:$B$51,B15)&gt;0,1,0)</f>
        <v>1</v>
      </c>
      <c r="S15" s="2" t="s">
        <v>456</v>
      </c>
    </row>
    <row r="16" customFormat="false" ht="15" hidden="false" customHeight="false" outlineLevel="0" collapsed="false">
      <c r="A16" s="2" t="s">
        <v>539</v>
      </c>
      <c r="B16" s="2" t="s">
        <v>119</v>
      </c>
      <c r="C16" s="2" t="s">
        <v>118</v>
      </c>
      <c r="D16" s="4" t="n">
        <v>10</v>
      </c>
      <c r="E16" s="15" t="n">
        <v>45691</v>
      </c>
      <c r="F16" s="15" t="n">
        <v>45691</v>
      </c>
      <c r="G16" s="15" t="n">
        <v>45706</v>
      </c>
      <c r="H16" s="4" t="n">
        <v>10</v>
      </c>
      <c r="I16" s="2" t="s">
        <v>456</v>
      </c>
      <c r="J16" s="16" t="n">
        <f aca="false">INDEX('12_PRECIOS'!$D$2:$D$5,MATCH(C16,'12_PRECIOS'!$A$2:$A$5,0))</f>
        <v>2322.4698</v>
      </c>
      <c r="K16" s="16" t="n">
        <f aca="false">J16*D16</f>
        <v>23224.698</v>
      </c>
      <c r="L16" s="16" t="n">
        <f aca="false">K16*INDEX('12_PRECIOS'!$E$2:$E$5,MATCH(C16,'12_PRECIOS'!$A$2:$A$5,0))</f>
        <v>2322.4698</v>
      </c>
      <c r="M16" s="5" t="n">
        <f aca="false">G16-E16</f>
        <v>15</v>
      </c>
      <c r="N16" s="17" t="n">
        <f aca="false">SUMIF('09_CARGA_ORDEN'!$A$2:$A$1153,A16,'09_CARGA_ORDEN'!$J$2:$J$1153)</f>
        <v>37.2553333333333</v>
      </c>
      <c r="O16" s="11" t="n">
        <f aca="false">SUMPRODUCT(('07_CALENDARIO'!$A$2:$A$397&gt;=F16)*('07_CALENDARIO'!$A$2:$A$397&lt;=G16)*'07_CALENDARIO'!$D$2:$D$397)*p_horas_productivas_dia</f>
        <v>96</v>
      </c>
      <c r="P16" s="5" t="n">
        <f aca="false">IF(N16&gt;O16+0.000001,1,0)</f>
        <v>0</v>
      </c>
      <c r="Q16" s="5" t="n">
        <f aca="false">IF(OR(WEEKDAY(F16,2)&gt;5,WEEKDAY(G16,2)&gt;5),1,0)</f>
        <v>0</v>
      </c>
      <c r="R16" s="5" t="n">
        <f aca="false">IF(COUNTIF('01_PRODUCTOS'!$B$2:$B$51,B16)&gt;0,1,0)</f>
        <v>1</v>
      </c>
      <c r="S16" s="2" t="s">
        <v>456</v>
      </c>
    </row>
    <row r="17" customFormat="false" ht="15" hidden="false" customHeight="false" outlineLevel="0" collapsed="false">
      <c r="A17" s="2" t="s">
        <v>540</v>
      </c>
      <c r="B17" s="2" t="s">
        <v>121</v>
      </c>
      <c r="C17" s="2" t="s">
        <v>118</v>
      </c>
      <c r="D17" s="4" t="n">
        <v>10</v>
      </c>
      <c r="E17" s="15" t="n">
        <v>45704</v>
      </c>
      <c r="F17" s="15" t="n">
        <v>45704</v>
      </c>
      <c r="G17" s="15" t="n">
        <v>45720</v>
      </c>
      <c r="H17" s="4" t="n">
        <v>10</v>
      </c>
      <c r="I17" s="2" t="s">
        <v>456</v>
      </c>
      <c r="J17" s="16" t="n">
        <f aca="false">INDEX('12_PRECIOS'!$D$2:$D$5,MATCH(C17,'12_PRECIOS'!$A$2:$A$5,0))</f>
        <v>2322.4698</v>
      </c>
      <c r="K17" s="16" t="n">
        <f aca="false">J17*D17</f>
        <v>23224.698</v>
      </c>
      <c r="L17" s="16" t="n">
        <f aca="false">K17*INDEX('12_PRECIOS'!$E$2:$E$5,MATCH(C17,'12_PRECIOS'!$A$2:$A$5,0))</f>
        <v>2322.4698</v>
      </c>
      <c r="M17" s="5" t="n">
        <f aca="false">G17-E17</f>
        <v>16</v>
      </c>
      <c r="N17" s="17" t="n">
        <f aca="false">SUMIF('09_CARGA_ORDEN'!$A$2:$A$1153,A17,'09_CARGA_ORDEN'!$J$2:$J$1153)</f>
        <v>60.1225333333333</v>
      </c>
      <c r="O17" s="11" t="n">
        <f aca="false">SUMPRODUCT(('07_CALENDARIO'!$A$2:$A$397&gt;=F17)*('07_CALENDARIO'!$A$2:$A$397&lt;=G17)*'07_CALENDARIO'!$D$2:$D$397)*p_horas_productivas_dia</f>
        <v>96</v>
      </c>
      <c r="P17" s="5" t="n">
        <f aca="false">IF(N17&gt;O17+0.000001,1,0)</f>
        <v>0</v>
      </c>
      <c r="Q17" s="5" t="n">
        <f aca="false">IF(OR(WEEKDAY(F17,2)&gt;5,WEEKDAY(G17,2)&gt;5),1,0)</f>
        <v>1</v>
      </c>
      <c r="R17" s="5" t="n">
        <f aca="false">IF(COUNTIF('01_PRODUCTOS'!$B$2:$B$51,B17)&gt;0,1,0)</f>
        <v>1</v>
      </c>
      <c r="S17" s="2" t="s">
        <v>456</v>
      </c>
    </row>
    <row r="18" customFormat="false" ht="15" hidden="false" customHeight="false" outlineLevel="0" collapsed="false">
      <c r="A18" s="2" t="s">
        <v>541</v>
      </c>
      <c r="B18" s="2" t="s">
        <v>80</v>
      </c>
      <c r="C18" s="2" t="s">
        <v>79</v>
      </c>
      <c r="D18" s="4" t="n">
        <v>12</v>
      </c>
      <c r="E18" s="15" t="n">
        <v>45719</v>
      </c>
      <c r="F18" s="15" t="n">
        <v>45719</v>
      </c>
      <c r="G18" s="15" t="n">
        <v>45736</v>
      </c>
      <c r="H18" s="4" t="n">
        <v>10</v>
      </c>
      <c r="I18" s="2" t="s">
        <v>456</v>
      </c>
      <c r="J18" s="16" t="n">
        <f aca="false">INDEX('12_PRECIOS'!$D$2:$D$5,MATCH(C18,'12_PRECIOS'!$A$2:$A$5,0))</f>
        <v>2650.49</v>
      </c>
      <c r="K18" s="16" t="n">
        <f aca="false">J18*D18</f>
        <v>31805.88</v>
      </c>
      <c r="L18" s="16" t="n">
        <f aca="false">K18*INDEX('12_PRECIOS'!$E$2:$E$5,MATCH(C18,'12_PRECIOS'!$A$2:$A$5,0))</f>
        <v>3180.588</v>
      </c>
      <c r="M18" s="5" t="n">
        <f aca="false">G18-E18</f>
        <v>17</v>
      </c>
      <c r="N18" s="17" t="n">
        <f aca="false">SUMIF('09_CARGA_ORDEN'!$A$2:$A$1153,A18,'09_CARGA_ORDEN'!$J$2:$J$1153)</f>
        <v>90.66696</v>
      </c>
      <c r="O18" s="11" t="n">
        <f aca="false">SUMPRODUCT(('07_CALENDARIO'!$A$2:$A$397&gt;=F18)*('07_CALENDARIO'!$A$2:$A$397&lt;=G18)*'07_CALENDARIO'!$D$2:$D$397)*p_horas_productivas_dia</f>
        <v>112</v>
      </c>
      <c r="P18" s="5" t="n">
        <f aca="false">IF(N18&gt;O18+0.000001,1,0)</f>
        <v>0</v>
      </c>
      <c r="Q18" s="5" t="n">
        <f aca="false">IF(OR(WEEKDAY(F18,2)&gt;5,WEEKDAY(G18,2)&gt;5),1,0)</f>
        <v>0</v>
      </c>
      <c r="R18" s="5" t="n">
        <f aca="false">IF(COUNTIF('01_PRODUCTOS'!$B$2:$B$51,B18)&gt;0,1,0)</f>
        <v>1</v>
      </c>
      <c r="S18" s="2" t="s">
        <v>456</v>
      </c>
    </row>
    <row r="19" customFormat="false" ht="15" hidden="false" customHeight="false" outlineLevel="0" collapsed="false">
      <c r="A19" s="2" t="s">
        <v>542</v>
      </c>
      <c r="B19" s="2" t="s">
        <v>83</v>
      </c>
      <c r="C19" s="2" t="s">
        <v>79</v>
      </c>
      <c r="D19" s="4" t="n">
        <v>12</v>
      </c>
      <c r="E19" s="15" t="n">
        <v>45732</v>
      </c>
      <c r="F19" s="15" t="n">
        <v>45732</v>
      </c>
      <c r="G19" s="15" t="n">
        <v>45750</v>
      </c>
      <c r="H19" s="4" t="n">
        <v>10</v>
      </c>
      <c r="I19" s="2" t="s">
        <v>456</v>
      </c>
      <c r="J19" s="16" t="n">
        <f aca="false">INDEX('12_PRECIOS'!$D$2:$D$5,MATCH(C19,'12_PRECIOS'!$A$2:$A$5,0))</f>
        <v>2650.49</v>
      </c>
      <c r="K19" s="16" t="n">
        <f aca="false">J19*D19</f>
        <v>31805.88</v>
      </c>
      <c r="L19" s="16" t="n">
        <f aca="false">K19*INDEX('12_PRECIOS'!$E$2:$E$5,MATCH(C19,'12_PRECIOS'!$A$2:$A$5,0))</f>
        <v>3180.588</v>
      </c>
      <c r="M19" s="5" t="n">
        <f aca="false">G19-E19</f>
        <v>18</v>
      </c>
      <c r="N19" s="17" t="n">
        <f aca="false">SUMIF('09_CARGA_ORDEN'!$A$2:$A$1153,A19,'09_CARGA_ORDEN'!$J$2:$J$1153)</f>
        <v>100.7708</v>
      </c>
      <c r="O19" s="11" t="n">
        <f aca="false">SUMPRODUCT(('07_CALENDARIO'!$A$2:$A$397&gt;=F19)*('07_CALENDARIO'!$A$2:$A$397&lt;=G19)*'07_CALENDARIO'!$D$2:$D$397)*p_horas_productivas_dia</f>
        <v>112</v>
      </c>
      <c r="P19" s="5" t="n">
        <f aca="false">IF(N19&gt;O19+0.000001,1,0)</f>
        <v>0</v>
      </c>
      <c r="Q19" s="5" t="n">
        <f aca="false">IF(OR(WEEKDAY(F19,2)&gt;5,WEEKDAY(G19,2)&gt;5),1,0)</f>
        <v>1</v>
      </c>
      <c r="R19" s="5" t="n">
        <f aca="false">IF(COUNTIF('01_PRODUCTOS'!$B$2:$B$51,B19)&gt;0,1,0)</f>
        <v>1</v>
      </c>
      <c r="S19" s="2" t="s">
        <v>456</v>
      </c>
    </row>
    <row r="20" customFormat="false" ht="15" hidden="false" customHeight="false" outlineLevel="0" collapsed="false">
      <c r="A20" s="2" t="s">
        <v>543</v>
      </c>
      <c r="B20" s="2" t="s">
        <v>94</v>
      </c>
      <c r="C20" s="2" t="s">
        <v>93</v>
      </c>
      <c r="D20" s="4" t="n">
        <v>6</v>
      </c>
      <c r="E20" s="15" t="n">
        <v>45719</v>
      </c>
      <c r="F20" s="15" t="n">
        <v>45719</v>
      </c>
      <c r="G20" s="15" t="n">
        <v>45734</v>
      </c>
      <c r="H20" s="4" t="n">
        <v>10</v>
      </c>
      <c r="I20" s="2" t="s">
        <v>456</v>
      </c>
      <c r="J20" s="16" t="n">
        <f aca="false">INDEX('12_PRECIOS'!$D$2:$D$5,MATCH(C20,'12_PRECIOS'!$A$2:$A$5,0))</f>
        <v>2150.57</v>
      </c>
      <c r="K20" s="16" t="n">
        <f aca="false">J20*D20</f>
        <v>12903.42</v>
      </c>
      <c r="L20" s="16" t="n">
        <f aca="false">K20*INDEX('12_PRECIOS'!$E$2:$E$5,MATCH(C20,'12_PRECIOS'!$A$2:$A$5,0))</f>
        <v>1290.342</v>
      </c>
      <c r="M20" s="5" t="n">
        <f aca="false">G20-E20</f>
        <v>15</v>
      </c>
      <c r="N20" s="17" t="n">
        <f aca="false">SUMIF('09_CARGA_ORDEN'!$A$2:$A$1153,A20,'09_CARGA_ORDEN'!$J$2:$J$1153)</f>
        <v>58.9568533333333</v>
      </c>
      <c r="O20" s="11" t="n">
        <f aca="false">SUMPRODUCT(('07_CALENDARIO'!$A$2:$A$397&gt;=F20)*('07_CALENDARIO'!$A$2:$A$397&lt;=G20)*'07_CALENDARIO'!$D$2:$D$397)*p_horas_productivas_dia</f>
        <v>96</v>
      </c>
      <c r="P20" s="5" t="n">
        <f aca="false">IF(N20&gt;O20+0.000001,1,0)</f>
        <v>0</v>
      </c>
      <c r="Q20" s="5" t="n">
        <f aca="false">IF(OR(WEEKDAY(F20,2)&gt;5,WEEKDAY(G20,2)&gt;5),1,0)</f>
        <v>0</v>
      </c>
      <c r="R20" s="5" t="n">
        <f aca="false">IF(COUNTIF('01_PRODUCTOS'!$B$2:$B$51,B20)&gt;0,1,0)</f>
        <v>1</v>
      </c>
      <c r="S20" s="2" t="s">
        <v>456</v>
      </c>
    </row>
    <row r="21" customFormat="false" ht="15" hidden="false" customHeight="false" outlineLevel="0" collapsed="false">
      <c r="A21" s="2" t="s">
        <v>544</v>
      </c>
      <c r="B21" s="2" t="s">
        <v>96</v>
      </c>
      <c r="C21" s="2" t="s">
        <v>93</v>
      </c>
      <c r="D21" s="4" t="n">
        <v>7</v>
      </c>
      <c r="E21" s="15" t="n">
        <v>45732</v>
      </c>
      <c r="F21" s="15" t="n">
        <v>45732</v>
      </c>
      <c r="G21" s="15" t="n">
        <v>45748</v>
      </c>
      <c r="H21" s="4" t="n">
        <v>10</v>
      </c>
      <c r="I21" s="2" t="s">
        <v>456</v>
      </c>
      <c r="J21" s="16" t="n">
        <f aca="false">INDEX('12_PRECIOS'!$D$2:$D$5,MATCH(C21,'12_PRECIOS'!$A$2:$A$5,0))</f>
        <v>2150.57</v>
      </c>
      <c r="K21" s="16" t="n">
        <f aca="false">J21*D21</f>
        <v>15053.99</v>
      </c>
      <c r="L21" s="16" t="n">
        <f aca="false">K21*INDEX('12_PRECIOS'!$E$2:$E$5,MATCH(C21,'12_PRECIOS'!$A$2:$A$5,0))</f>
        <v>1505.399</v>
      </c>
      <c r="M21" s="5" t="n">
        <f aca="false">G21-E21</f>
        <v>16</v>
      </c>
      <c r="N21" s="17" t="n">
        <f aca="false">SUMIF('09_CARGA_ORDEN'!$A$2:$A$1153,A21,'09_CARGA_ORDEN'!$J$2:$J$1153)</f>
        <v>47.37639</v>
      </c>
      <c r="O21" s="11" t="n">
        <f aca="false">SUMPRODUCT(('07_CALENDARIO'!$A$2:$A$397&gt;=F21)*('07_CALENDARIO'!$A$2:$A$397&lt;=G21)*'07_CALENDARIO'!$D$2:$D$397)*p_horas_productivas_dia</f>
        <v>96</v>
      </c>
      <c r="P21" s="5" t="n">
        <f aca="false">IF(N21&gt;O21+0.000001,1,0)</f>
        <v>0</v>
      </c>
      <c r="Q21" s="5" t="n">
        <f aca="false">IF(OR(WEEKDAY(F21,2)&gt;5,WEEKDAY(G21,2)&gt;5),1,0)</f>
        <v>1</v>
      </c>
      <c r="R21" s="5" t="n">
        <f aca="false">IF(COUNTIF('01_PRODUCTOS'!$B$2:$B$51,B21)&gt;0,1,0)</f>
        <v>1</v>
      </c>
      <c r="S21" s="2" t="s">
        <v>456</v>
      </c>
    </row>
    <row r="22" customFormat="false" ht="15" hidden="false" customHeight="false" outlineLevel="0" collapsed="false">
      <c r="A22" s="2" t="s">
        <v>545</v>
      </c>
      <c r="B22" s="2" t="s">
        <v>106</v>
      </c>
      <c r="C22" s="2" t="s">
        <v>105</v>
      </c>
      <c r="D22" s="4" t="n">
        <v>5</v>
      </c>
      <c r="E22" s="15" t="n">
        <v>45719</v>
      </c>
      <c r="F22" s="15" t="n">
        <v>45719</v>
      </c>
      <c r="G22" s="15" t="n">
        <v>45733</v>
      </c>
      <c r="H22" s="4" t="n">
        <v>10</v>
      </c>
      <c r="I22" s="2" t="s">
        <v>456</v>
      </c>
      <c r="J22" s="16" t="n">
        <f aca="false">INDEX('12_PRECIOS'!$D$2:$D$5,MATCH(C22,'12_PRECIOS'!$A$2:$A$5,0))</f>
        <v>1800.81</v>
      </c>
      <c r="K22" s="16" t="n">
        <f aca="false">J22*D22</f>
        <v>9004.05</v>
      </c>
      <c r="L22" s="16" t="n">
        <f aca="false">K22*INDEX('12_PRECIOS'!$E$2:$E$5,MATCH(C22,'12_PRECIOS'!$A$2:$A$5,0))</f>
        <v>900.405</v>
      </c>
      <c r="M22" s="5" t="n">
        <f aca="false">G22-E22</f>
        <v>14</v>
      </c>
      <c r="N22" s="17" t="n">
        <f aca="false">SUMIF('09_CARGA_ORDEN'!$A$2:$A$1153,A22,'09_CARGA_ORDEN'!$J$2:$J$1153)</f>
        <v>23.8099166666667</v>
      </c>
      <c r="O22" s="11" t="n">
        <f aca="false">SUMPRODUCT(('07_CALENDARIO'!$A$2:$A$397&gt;=F22)*('07_CALENDARIO'!$A$2:$A$397&lt;=G22)*'07_CALENDARIO'!$D$2:$D$397)*p_horas_productivas_dia</f>
        <v>88</v>
      </c>
      <c r="P22" s="5" t="n">
        <f aca="false">IF(N22&gt;O22+0.000001,1,0)</f>
        <v>0</v>
      </c>
      <c r="Q22" s="5" t="n">
        <f aca="false">IF(OR(WEEKDAY(F22,2)&gt;5,WEEKDAY(G22,2)&gt;5),1,0)</f>
        <v>0</v>
      </c>
      <c r="R22" s="5" t="n">
        <f aca="false">IF(COUNTIF('01_PRODUCTOS'!$B$2:$B$51,B22)&gt;0,1,0)</f>
        <v>1</v>
      </c>
      <c r="S22" s="2" t="s">
        <v>456</v>
      </c>
    </row>
    <row r="23" customFormat="false" ht="15" hidden="false" customHeight="false" outlineLevel="0" collapsed="false">
      <c r="A23" s="2" t="s">
        <v>546</v>
      </c>
      <c r="B23" s="2" t="s">
        <v>108</v>
      </c>
      <c r="C23" s="2" t="s">
        <v>105</v>
      </c>
      <c r="D23" s="4" t="n">
        <v>6</v>
      </c>
      <c r="E23" s="15" t="n">
        <v>45732</v>
      </c>
      <c r="F23" s="15" t="n">
        <v>45732</v>
      </c>
      <c r="G23" s="15" t="n">
        <v>45747</v>
      </c>
      <c r="H23" s="4" t="n">
        <v>10</v>
      </c>
      <c r="I23" s="2" t="s">
        <v>456</v>
      </c>
      <c r="J23" s="16" t="n">
        <f aca="false">INDEX('12_PRECIOS'!$D$2:$D$5,MATCH(C23,'12_PRECIOS'!$A$2:$A$5,0))</f>
        <v>1800.81</v>
      </c>
      <c r="K23" s="16" t="n">
        <f aca="false">J23*D23</f>
        <v>10804.86</v>
      </c>
      <c r="L23" s="16" t="n">
        <f aca="false">K23*INDEX('12_PRECIOS'!$E$2:$E$5,MATCH(C23,'12_PRECIOS'!$A$2:$A$5,0))</f>
        <v>1080.486</v>
      </c>
      <c r="M23" s="5" t="n">
        <f aca="false">G23-E23</f>
        <v>15</v>
      </c>
      <c r="N23" s="17" t="n">
        <f aca="false">SUMIF('09_CARGA_ORDEN'!$A$2:$A$1153,A23,'09_CARGA_ORDEN'!$J$2:$J$1153)</f>
        <v>38.8968</v>
      </c>
      <c r="O23" s="11" t="n">
        <f aca="false">SUMPRODUCT(('07_CALENDARIO'!$A$2:$A$397&gt;=F23)*('07_CALENDARIO'!$A$2:$A$397&lt;=G23)*'07_CALENDARIO'!$D$2:$D$397)*p_horas_productivas_dia</f>
        <v>88</v>
      </c>
      <c r="P23" s="5" t="n">
        <f aca="false">IF(N23&gt;O23+0.000001,1,0)</f>
        <v>0</v>
      </c>
      <c r="Q23" s="5" t="n">
        <f aca="false">IF(OR(WEEKDAY(F23,2)&gt;5,WEEKDAY(G23,2)&gt;5),1,0)</f>
        <v>1</v>
      </c>
      <c r="R23" s="5" t="n">
        <f aca="false">IF(COUNTIF('01_PRODUCTOS'!$B$2:$B$51,B23)&gt;0,1,0)</f>
        <v>1</v>
      </c>
      <c r="S23" s="2" t="s">
        <v>456</v>
      </c>
    </row>
    <row r="24" customFormat="false" ht="15" hidden="false" customHeight="false" outlineLevel="0" collapsed="false">
      <c r="A24" s="2" t="s">
        <v>547</v>
      </c>
      <c r="B24" s="2" t="s">
        <v>119</v>
      </c>
      <c r="C24" s="2" t="s">
        <v>118</v>
      </c>
      <c r="D24" s="4" t="n">
        <v>10</v>
      </c>
      <c r="E24" s="15" t="n">
        <v>45719</v>
      </c>
      <c r="F24" s="15" t="n">
        <v>45719</v>
      </c>
      <c r="G24" s="15" t="n">
        <v>45734</v>
      </c>
      <c r="H24" s="4" t="n">
        <v>10</v>
      </c>
      <c r="I24" s="2" t="s">
        <v>456</v>
      </c>
      <c r="J24" s="16" t="n">
        <f aca="false">INDEX('12_PRECIOS'!$D$2:$D$5,MATCH(C24,'12_PRECIOS'!$A$2:$A$5,0))</f>
        <v>2322.4698</v>
      </c>
      <c r="K24" s="16" t="n">
        <f aca="false">J24*D24</f>
        <v>23224.698</v>
      </c>
      <c r="L24" s="16" t="n">
        <f aca="false">K24*INDEX('12_PRECIOS'!$E$2:$E$5,MATCH(C24,'12_PRECIOS'!$A$2:$A$5,0))</f>
        <v>2322.4698</v>
      </c>
      <c r="M24" s="5" t="n">
        <f aca="false">G24-E24</f>
        <v>15</v>
      </c>
      <c r="N24" s="17" t="n">
        <f aca="false">SUMIF('09_CARGA_ORDEN'!$A$2:$A$1153,A24,'09_CARGA_ORDEN'!$J$2:$J$1153)</f>
        <v>37.2553333333333</v>
      </c>
      <c r="O24" s="11" t="n">
        <f aca="false">SUMPRODUCT(('07_CALENDARIO'!$A$2:$A$397&gt;=F24)*('07_CALENDARIO'!$A$2:$A$397&lt;=G24)*'07_CALENDARIO'!$D$2:$D$397)*p_horas_productivas_dia</f>
        <v>96</v>
      </c>
      <c r="P24" s="5" t="n">
        <f aca="false">IF(N24&gt;O24+0.000001,1,0)</f>
        <v>0</v>
      </c>
      <c r="Q24" s="5" t="n">
        <f aca="false">IF(OR(WEEKDAY(F24,2)&gt;5,WEEKDAY(G24,2)&gt;5),1,0)</f>
        <v>0</v>
      </c>
      <c r="R24" s="5" t="n">
        <f aca="false">IF(COUNTIF('01_PRODUCTOS'!$B$2:$B$51,B24)&gt;0,1,0)</f>
        <v>1</v>
      </c>
      <c r="S24" s="2" t="s">
        <v>456</v>
      </c>
    </row>
    <row r="25" customFormat="false" ht="15" hidden="false" customHeight="false" outlineLevel="0" collapsed="false">
      <c r="A25" s="2" t="s">
        <v>548</v>
      </c>
      <c r="B25" s="2" t="s">
        <v>121</v>
      </c>
      <c r="C25" s="2" t="s">
        <v>118</v>
      </c>
      <c r="D25" s="4" t="n">
        <v>10</v>
      </c>
      <c r="E25" s="15" t="n">
        <v>45732</v>
      </c>
      <c r="F25" s="15" t="n">
        <v>45732</v>
      </c>
      <c r="G25" s="15" t="n">
        <v>45748</v>
      </c>
      <c r="H25" s="4" t="n">
        <v>10</v>
      </c>
      <c r="I25" s="2" t="s">
        <v>456</v>
      </c>
      <c r="J25" s="16" t="n">
        <f aca="false">INDEX('12_PRECIOS'!$D$2:$D$5,MATCH(C25,'12_PRECIOS'!$A$2:$A$5,0))</f>
        <v>2322.4698</v>
      </c>
      <c r="K25" s="16" t="n">
        <f aca="false">J25*D25</f>
        <v>23224.698</v>
      </c>
      <c r="L25" s="16" t="n">
        <f aca="false">K25*INDEX('12_PRECIOS'!$E$2:$E$5,MATCH(C25,'12_PRECIOS'!$A$2:$A$5,0))</f>
        <v>2322.4698</v>
      </c>
      <c r="M25" s="5" t="n">
        <f aca="false">G25-E25</f>
        <v>16</v>
      </c>
      <c r="N25" s="17" t="n">
        <f aca="false">SUMIF('09_CARGA_ORDEN'!$A$2:$A$1153,A25,'09_CARGA_ORDEN'!$J$2:$J$1153)</f>
        <v>60.1225333333333</v>
      </c>
      <c r="O25" s="11" t="n">
        <f aca="false">SUMPRODUCT(('07_CALENDARIO'!$A$2:$A$397&gt;=F25)*('07_CALENDARIO'!$A$2:$A$397&lt;=G25)*'07_CALENDARIO'!$D$2:$D$397)*p_horas_productivas_dia</f>
        <v>96</v>
      </c>
      <c r="P25" s="5" t="n">
        <f aca="false">IF(N25&gt;O25+0.000001,1,0)</f>
        <v>0</v>
      </c>
      <c r="Q25" s="5" t="n">
        <f aca="false">IF(OR(WEEKDAY(F25,2)&gt;5,WEEKDAY(G25,2)&gt;5),1,0)</f>
        <v>1</v>
      </c>
      <c r="R25" s="5" t="n">
        <f aca="false">IF(COUNTIF('01_PRODUCTOS'!$B$2:$B$51,B25)&gt;0,1,0)</f>
        <v>1</v>
      </c>
      <c r="S25" s="2" t="s">
        <v>456</v>
      </c>
    </row>
    <row r="26" customFormat="false" ht="15" hidden="false" customHeight="false" outlineLevel="0" collapsed="false">
      <c r="A26" s="2" t="s">
        <v>549</v>
      </c>
      <c r="B26" s="2" t="s">
        <v>80</v>
      </c>
      <c r="C26" s="2" t="s">
        <v>79</v>
      </c>
      <c r="D26" s="4" t="n">
        <v>12</v>
      </c>
      <c r="E26" s="15" t="n">
        <v>45750</v>
      </c>
      <c r="F26" s="15" t="n">
        <v>45750</v>
      </c>
      <c r="G26" s="15" t="n">
        <v>45767</v>
      </c>
      <c r="H26" s="4" t="n">
        <v>10</v>
      </c>
      <c r="I26" s="2" t="s">
        <v>456</v>
      </c>
      <c r="J26" s="16" t="n">
        <f aca="false">INDEX('12_PRECIOS'!$D$2:$D$5,MATCH(C26,'12_PRECIOS'!$A$2:$A$5,0))</f>
        <v>2650.49</v>
      </c>
      <c r="K26" s="16" t="n">
        <f aca="false">J26*D26</f>
        <v>31805.88</v>
      </c>
      <c r="L26" s="16" t="n">
        <f aca="false">K26*INDEX('12_PRECIOS'!$E$2:$E$5,MATCH(C26,'12_PRECIOS'!$A$2:$A$5,0))</f>
        <v>3180.588</v>
      </c>
      <c r="M26" s="5" t="n">
        <f aca="false">G26-E26</f>
        <v>17</v>
      </c>
      <c r="N26" s="17" t="n">
        <f aca="false">SUMIF('09_CARGA_ORDEN'!$A$2:$A$1153,A26,'09_CARGA_ORDEN'!$J$2:$J$1153)</f>
        <v>90.66696</v>
      </c>
      <c r="O26" s="11" t="n">
        <f aca="false">SUMPRODUCT(('07_CALENDARIO'!$A$2:$A$397&gt;=F26)*('07_CALENDARIO'!$A$2:$A$397&lt;=G26)*'07_CALENDARIO'!$D$2:$D$397)*p_horas_productivas_dia</f>
        <v>96</v>
      </c>
      <c r="P26" s="5" t="n">
        <f aca="false">IF(N26&gt;O26+0.000001,1,0)</f>
        <v>0</v>
      </c>
      <c r="Q26" s="5" t="n">
        <f aca="false">IF(OR(WEEKDAY(F26,2)&gt;5,WEEKDAY(G26,2)&gt;5),1,0)</f>
        <v>1</v>
      </c>
      <c r="R26" s="5" t="n">
        <f aca="false">IF(COUNTIF('01_PRODUCTOS'!$B$2:$B$51,B26)&gt;0,1,0)</f>
        <v>1</v>
      </c>
      <c r="S26" s="2" t="s">
        <v>456</v>
      </c>
    </row>
    <row r="27" customFormat="false" ht="15" hidden="false" customHeight="false" outlineLevel="0" collapsed="false">
      <c r="A27" s="2" t="s">
        <v>550</v>
      </c>
      <c r="B27" s="2" t="s">
        <v>83</v>
      </c>
      <c r="C27" s="2" t="s">
        <v>79</v>
      </c>
      <c r="D27" s="4" t="n">
        <v>12</v>
      </c>
      <c r="E27" s="15" t="n">
        <v>45763</v>
      </c>
      <c r="F27" s="15" t="n">
        <v>45763</v>
      </c>
      <c r="G27" s="15" t="n">
        <v>45781</v>
      </c>
      <c r="H27" s="4" t="n">
        <v>10</v>
      </c>
      <c r="I27" s="2" t="s">
        <v>456</v>
      </c>
      <c r="J27" s="16" t="n">
        <f aca="false">INDEX('12_PRECIOS'!$D$2:$D$5,MATCH(C27,'12_PRECIOS'!$A$2:$A$5,0))</f>
        <v>2650.49</v>
      </c>
      <c r="K27" s="16" t="n">
        <f aca="false">J27*D27</f>
        <v>31805.88</v>
      </c>
      <c r="L27" s="16" t="n">
        <f aca="false">K27*INDEX('12_PRECIOS'!$E$2:$E$5,MATCH(C27,'12_PRECIOS'!$A$2:$A$5,0))</f>
        <v>3180.588</v>
      </c>
      <c r="M27" s="5" t="n">
        <f aca="false">G27-E27</f>
        <v>18</v>
      </c>
      <c r="N27" s="17" t="n">
        <f aca="false">SUMIF('09_CARGA_ORDEN'!$A$2:$A$1153,A27,'09_CARGA_ORDEN'!$J$2:$J$1153)</f>
        <v>100.7708</v>
      </c>
      <c r="O27" s="11" t="n">
        <f aca="false">SUMPRODUCT(('07_CALENDARIO'!$A$2:$A$397&gt;=F27)*('07_CALENDARIO'!$A$2:$A$397&lt;=G27)*'07_CALENDARIO'!$D$2:$D$397)*p_horas_productivas_dia</f>
        <v>104</v>
      </c>
      <c r="P27" s="5" t="n">
        <f aca="false">IF(N27&gt;O27+0.000001,1,0)</f>
        <v>0</v>
      </c>
      <c r="Q27" s="5" t="n">
        <f aca="false">IF(OR(WEEKDAY(F27,2)&gt;5,WEEKDAY(G27,2)&gt;5),1,0)</f>
        <v>1</v>
      </c>
      <c r="R27" s="5" t="n">
        <f aca="false">IF(COUNTIF('01_PRODUCTOS'!$B$2:$B$51,B27)&gt;0,1,0)</f>
        <v>1</v>
      </c>
      <c r="S27" s="2" t="s">
        <v>456</v>
      </c>
    </row>
    <row r="28" customFormat="false" ht="15" hidden="false" customHeight="false" outlineLevel="0" collapsed="false">
      <c r="A28" s="2" t="s">
        <v>551</v>
      </c>
      <c r="B28" s="2" t="s">
        <v>94</v>
      </c>
      <c r="C28" s="2" t="s">
        <v>93</v>
      </c>
      <c r="D28" s="4" t="n">
        <v>6</v>
      </c>
      <c r="E28" s="15" t="n">
        <v>45750</v>
      </c>
      <c r="F28" s="15" t="n">
        <v>45750</v>
      </c>
      <c r="G28" s="15" t="n">
        <v>45765</v>
      </c>
      <c r="H28" s="4" t="n">
        <v>10</v>
      </c>
      <c r="I28" s="2" t="s">
        <v>456</v>
      </c>
      <c r="J28" s="16" t="n">
        <f aca="false">INDEX('12_PRECIOS'!$D$2:$D$5,MATCH(C28,'12_PRECIOS'!$A$2:$A$5,0))</f>
        <v>2150.57</v>
      </c>
      <c r="K28" s="16" t="n">
        <f aca="false">J28*D28</f>
        <v>12903.42</v>
      </c>
      <c r="L28" s="16" t="n">
        <f aca="false">K28*INDEX('12_PRECIOS'!$E$2:$E$5,MATCH(C28,'12_PRECIOS'!$A$2:$A$5,0))</f>
        <v>1290.342</v>
      </c>
      <c r="M28" s="5" t="n">
        <f aca="false">G28-E28</f>
        <v>15</v>
      </c>
      <c r="N28" s="17" t="n">
        <f aca="false">SUMIF('09_CARGA_ORDEN'!$A$2:$A$1153,A28,'09_CARGA_ORDEN'!$J$2:$J$1153)</f>
        <v>58.9568533333333</v>
      </c>
      <c r="O28" s="11" t="n">
        <f aca="false">SUMPRODUCT(('07_CALENDARIO'!$A$2:$A$397&gt;=F28)*('07_CALENDARIO'!$A$2:$A$397&lt;=G28)*'07_CALENDARIO'!$D$2:$D$397)*p_horas_productivas_dia</f>
        <v>96</v>
      </c>
      <c r="P28" s="5" t="n">
        <f aca="false">IF(N28&gt;O28+0.000001,1,0)</f>
        <v>0</v>
      </c>
      <c r="Q28" s="5" t="n">
        <f aca="false">IF(OR(WEEKDAY(F28,2)&gt;5,WEEKDAY(G28,2)&gt;5),1,0)</f>
        <v>0</v>
      </c>
      <c r="R28" s="5" t="n">
        <f aca="false">IF(COUNTIF('01_PRODUCTOS'!$B$2:$B$51,B28)&gt;0,1,0)</f>
        <v>1</v>
      </c>
      <c r="S28" s="2" t="s">
        <v>456</v>
      </c>
    </row>
    <row r="29" customFormat="false" ht="15" hidden="false" customHeight="false" outlineLevel="0" collapsed="false">
      <c r="A29" s="2" t="s">
        <v>552</v>
      </c>
      <c r="B29" s="2" t="s">
        <v>96</v>
      </c>
      <c r="C29" s="2" t="s">
        <v>93</v>
      </c>
      <c r="D29" s="4" t="n">
        <v>7</v>
      </c>
      <c r="E29" s="15" t="n">
        <v>45763</v>
      </c>
      <c r="F29" s="15" t="n">
        <v>45763</v>
      </c>
      <c r="G29" s="15" t="n">
        <v>45779</v>
      </c>
      <c r="H29" s="4" t="n">
        <v>10</v>
      </c>
      <c r="I29" s="2" t="s">
        <v>456</v>
      </c>
      <c r="J29" s="16" t="n">
        <f aca="false">INDEX('12_PRECIOS'!$D$2:$D$5,MATCH(C29,'12_PRECIOS'!$A$2:$A$5,0))</f>
        <v>2150.57</v>
      </c>
      <c r="K29" s="16" t="n">
        <f aca="false">J29*D29</f>
        <v>15053.99</v>
      </c>
      <c r="L29" s="16" t="n">
        <f aca="false">K29*INDEX('12_PRECIOS'!$E$2:$E$5,MATCH(C29,'12_PRECIOS'!$A$2:$A$5,0))</f>
        <v>1505.399</v>
      </c>
      <c r="M29" s="5" t="n">
        <f aca="false">G29-E29</f>
        <v>16</v>
      </c>
      <c r="N29" s="17" t="n">
        <f aca="false">SUMIF('09_CARGA_ORDEN'!$A$2:$A$1153,A29,'09_CARGA_ORDEN'!$J$2:$J$1153)</f>
        <v>47.37639</v>
      </c>
      <c r="O29" s="11" t="n">
        <f aca="false">SUMPRODUCT(('07_CALENDARIO'!$A$2:$A$397&gt;=F29)*('07_CALENDARIO'!$A$2:$A$397&lt;=G29)*'07_CALENDARIO'!$D$2:$D$397)*p_horas_productivas_dia</f>
        <v>104</v>
      </c>
      <c r="P29" s="5" t="n">
        <f aca="false">IF(N29&gt;O29+0.000001,1,0)</f>
        <v>0</v>
      </c>
      <c r="Q29" s="5" t="n">
        <f aca="false">IF(OR(WEEKDAY(F29,2)&gt;5,WEEKDAY(G29,2)&gt;5),1,0)</f>
        <v>0</v>
      </c>
      <c r="R29" s="5" t="n">
        <f aca="false">IF(COUNTIF('01_PRODUCTOS'!$B$2:$B$51,B29)&gt;0,1,0)</f>
        <v>1</v>
      </c>
      <c r="S29" s="2" t="s">
        <v>456</v>
      </c>
    </row>
    <row r="30" customFormat="false" ht="15" hidden="false" customHeight="false" outlineLevel="0" collapsed="false">
      <c r="A30" s="2" t="s">
        <v>553</v>
      </c>
      <c r="B30" s="2" t="s">
        <v>106</v>
      </c>
      <c r="C30" s="2" t="s">
        <v>105</v>
      </c>
      <c r="D30" s="4" t="n">
        <v>5</v>
      </c>
      <c r="E30" s="15" t="n">
        <v>45750</v>
      </c>
      <c r="F30" s="15" t="n">
        <v>45750</v>
      </c>
      <c r="G30" s="15" t="n">
        <v>45764</v>
      </c>
      <c r="H30" s="4" t="n">
        <v>10</v>
      </c>
      <c r="I30" s="2" t="s">
        <v>456</v>
      </c>
      <c r="J30" s="16" t="n">
        <f aca="false">INDEX('12_PRECIOS'!$D$2:$D$5,MATCH(C30,'12_PRECIOS'!$A$2:$A$5,0))</f>
        <v>1800.81</v>
      </c>
      <c r="K30" s="16" t="n">
        <f aca="false">J30*D30</f>
        <v>9004.05</v>
      </c>
      <c r="L30" s="16" t="n">
        <f aca="false">K30*INDEX('12_PRECIOS'!$E$2:$E$5,MATCH(C30,'12_PRECIOS'!$A$2:$A$5,0))</f>
        <v>900.405</v>
      </c>
      <c r="M30" s="5" t="n">
        <f aca="false">G30-E30</f>
        <v>14</v>
      </c>
      <c r="N30" s="17" t="n">
        <f aca="false">SUMIF('09_CARGA_ORDEN'!$A$2:$A$1153,A30,'09_CARGA_ORDEN'!$J$2:$J$1153)</f>
        <v>23.8099166666667</v>
      </c>
      <c r="O30" s="11" t="n">
        <f aca="false">SUMPRODUCT(('07_CALENDARIO'!$A$2:$A$397&gt;=F30)*('07_CALENDARIO'!$A$2:$A$397&lt;=G30)*'07_CALENDARIO'!$D$2:$D$397)*p_horas_productivas_dia</f>
        <v>88</v>
      </c>
      <c r="P30" s="5" t="n">
        <f aca="false">IF(N30&gt;O30+0.000001,1,0)</f>
        <v>0</v>
      </c>
      <c r="Q30" s="5" t="n">
        <f aca="false">IF(OR(WEEKDAY(F30,2)&gt;5,WEEKDAY(G30,2)&gt;5),1,0)</f>
        <v>0</v>
      </c>
      <c r="R30" s="5" t="n">
        <f aca="false">IF(COUNTIF('01_PRODUCTOS'!$B$2:$B$51,B30)&gt;0,1,0)</f>
        <v>1</v>
      </c>
      <c r="S30" s="2" t="s">
        <v>456</v>
      </c>
    </row>
    <row r="31" customFormat="false" ht="15" hidden="false" customHeight="false" outlineLevel="0" collapsed="false">
      <c r="A31" s="2" t="s">
        <v>554</v>
      </c>
      <c r="B31" s="2" t="s">
        <v>108</v>
      </c>
      <c r="C31" s="2" t="s">
        <v>105</v>
      </c>
      <c r="D31" s="4" t="n">
        <v>6</v>
      </c>
      <c r="E31" s="15" t="n">
        <v>45763</v>
      </c>
      <c r="F31" s="15" t="n">
        <v>45763</v>
      </c>
      <c r="G31" s="15" t="n">
        <v>45778</v>
      </c>
      <c r="H31" s="4" t="n">
        <v>10</v>
      </c>
      <c r="I31" s="2" t="s">
        <v>456</v>
      </c>
      <c r="J31" s="16" t="n">
        <f aca="false">INDEX('12_PRECIOS'!$D$2:$D$5,MATCH(C31,'12_PRECIOS'!$A$2:$A$5,0))</f>
        <v>1800.81</v>
      </c>
      <c r="K31" s="16" t="n">
        <f aca="false">J31*D31</f>
        <v>10804.86</v>
      </c>
      <c r="L31" s="16" t="n">
        <f aca="false">K31*INDEX('12_PRECIOS'!$E$2:$E$5,MATCH(C31,'12_PRECIOS'!$A$2:$A$5,0))</f>
        <v>1080.486</v>
      </c>
      <c r="M31" s="5" t="n">
        <f aca="false">G31-E31</f>
        <v>15</v>
      </c>
      <c r="N31" s="17" t="n">
        <f aca="false">SUMIF('09_CARGA_ORDEN'!$A$2:$A$1153,A31,'09_CARGA_ORDEN'!$J$2:$J$1153)</f>
        <v>38.8968</v>
      </c>
      <c r="O31" s="11" t="n">
        <f aca="false">SUMPRODUCT(('07_CALENDARIO'!$A$2:$A$397&gt;=F31)*('07_CALENDARIO'!$A$2:$A$397&lt;=G31)*'07_CALENDARIO'!$D$2:$D$397)*p_horas_productivas_dia</f>
        <v>96</v>
      </c>
      <c r="P31" s="5" t="n">
        <f aca="false">IF(N31&gt;O31+0.000001,1,0)</f>
        <v>0</v>
      </c>
      <c r="Q31" s="5" t="n">
        <f aca="false">IF(OR(WEEKDAY(F31,2)&gt;5,WEEKDAY(G31,2)&gt;5),1,0)</f>
        <v>0</v>
      </c>
      <c r="R31" s="5" t="n">
        <f aca="false">IF(COUNTIF('01_PRODUCTOS'!$B$2:$B$51,B31)&gt;0,1,0)</f>
        <v>1</v>
      </c>
      <c r="S31" s="2" t="s">
        <v>456</v>
      </c>
    </row>
    <row r="32" customFormat="false" ht="15" hidden="false" customHeight="false" outlineLevel="0" collapsed="false">
      <c r="A32" s="2" t="s">
        <v>555</v>
      </c>
      <c r="B32" s="2" t="s">
        <v>119</v>
      </c>
      <c r="C32" s="2" t="s">
        <v>118</v>
      </c>
      <c r="D32" s="4" t="n">
        <v>10</v>
      </c>
      <c r="E32" s="15" t="n">
        <v>45750</v>
      </c>
      <c r="F32" s="15" t="n">
        <v>45750</v>
      </c>
      <c r="G32" s="15" t="n">
        <v>45765</v>
      </c>
      <c r="H32" s="4" t="n">
        <v>10</v>
      </c>
      <c r="I32" s="2" t="s">
        <v>456</v>
      </c>
      <c r="J32" s="16" t="n">
        <f aca="false">INDEX('12_PRECIOS'!$D$2:$D$5,MATCH(C32,'12_PRECIOS'!$A$2:$A$5,0))</f>
        <v>2322.4698</v>
      </c>
      <c r="K32" s="16" t="n">
        <f aca="false">J32*D32</f>
        <v>23224.698</v>
      </c>
      <c r="L32" s="16" t="n">
        <f aca="false">K32*INDEX('12_PRECIOS'!$E$2:$E$5,MATCH(C32,'12_PRECIOS'!$A$2:$A$5,0))</f>
        <v>2322.4698</v>
      </c>
      <c r="M32" s="5" t="n">
        <f aca="false">G32-E32</f>
        <v>15</v>
      </c>
      <c r="N32" s="17" t="n">
        <f aca="false">SUMIF('09_CARGA_ORDEN'!$A$2:$A$1153,A32,'09_CARGA_ORDEN'!$J$2:$J$1153)</f>
        <v>37.2553333333333</v>
      </c>
      <c r="O32" s="11" t="n">
        <f aca="false">SUMPRODUCT(('07_CALENDARIO'!$A$2:$A$397&gt;=F32)*('07_CALENDARIO'!$A$2:$A$397&lt;=G32)*'07_CALENDARIO'!$D$2:$D$397)*p_horas_productivas_dia</f>
        <v>96</v>
      </c>
      <c r="P32" s="5" t="n">
        <f aca="false">IF(N32&gt;O32+0.000001,1,0)</f>
        <v>0</v>
      </c>
      <c r="Q32" s="5" t="n">
        <f aca="false">IF(OR(WEEKDAY(F32,2)&gt;5,WEEKDAY(G32,2)&gt;5),1,0)</f>
        <v>0</v>
      </c>
      <c r="R32" s="5" t="n">
        <f aca="false">IF(COUNTIF('01_PRODUCTOS'!$B$2:$B$51,B32)&gt;0,1,0)</f>
        <v>1</v>
      </c>
      <c r="S32" s="2" t="s">
        <v>456</v>
      </c>
    </row>
    <row r="33" customFormat="false" ht="15" hidden="false" customHeight="false" outlineLevel="0" collapsed="false">
      <c r="A33" s="2" t="s">
        <v>556</v>
      </c>
      <c r="B33" s="2" t="s">
        <v>121</v>
      </c>
      <c r="C33" s="2" t="s">
        <v>118</v>
      </c>
      <c r="D33" s="4" t="n">
        <v>10</v>
      </c>
      <c r="E33" s="15" t="n">
        <v>45763</v>
      </c>
      <c r="F33" s="15" t="n">
        <v>45763</v>
      </c>
      <c r="G33" s="15" t="n">
        <v>45779</v>
      </c>
      <c r="H33" s="4" t="n">
        <v>10</v>
      </c>
      <c r="I33" s="2" t="s">
        <v>456</v>
      </c>
      <c r="J33" s="16" t="n">
        <f aca="false">INDEX('12_PRECIOS'!$D$2:$D$5,MATCH(C33,'12_PRECIOS'!$A$2:$A$5,0))</f>
        <v>2322.4698</v>
      </c>
      <c r="K33" s="16" t="n">
        <f aca="false">J33*D33</f>
        <v>23224.698</v>
      </c>
      <c r="L33" s="16" t="n">
        <f aca="false">K33*INDEX('12_PRECIOS'!$E$2:$E$5,MATCH(C33,'12_PRECIOS'!$A$2:$A$5,0))</f>
        <v>2322.4698</v>
      </c>
      <c r="M33" s="5" t="n">
        <f aca="false">G33-E33</f>
        <v>16</v>
      </c>
      <c r="N33" s="17" t="n">
        <f aca="false">SUMIF('09_CARGA_ORDEN'!$A$2:$A$1153,A33,'09_CARGA_ORDEN'!$J$2:$J$1153)</f>
        <v>60.1225333333333</v>
      </c>
      <c r="O33" s="11" t="n">
        <f aca="false">SUMPRODUCT(('07_CALENDARIO'!$A$2:$A$397&gt;=F33)*('07_CALENDARIO'!$A$2:$A$397&lt;=G33)*'07_CALENDARIO'!$D$2:$D$397)*p_horas_productivas_dia</f>
        <v>104</v>
      </c>
      <c r="P33" s="5" t="n">
        <f aca="false">IF(N33&gt;O33+0.000001,1,0)</f>
        <v>0</v>
      </c>
      <c r="Q33" s="5" t="n">
        <f aca="false">IF(OR(WEEKDAY(F33,2)&gt;5,WEEKDAY(G33,2)&gt;5),1,0)</f>
        <v>0</v>
      </c>
      <c r="R33" s="5" t="n">
        <f aca="false">IF(COUNTIF('01_PRODUCTOS'!$B$2:$B$51,B33)&gt;0,1,0)</f>
        <v>1</v>
      </c>
      <c r="S33" s="2" t="s">
        <v>456</v>
      </c>
    </row>
    <row r="34" customFormat="false" ht="15" hidden="false" customHeight="false" outlineLevel="0" collapsed="false">
      <c r="A34" s="2" t="s">
        <v>557</v>
      </c>
      <c r="B34" s="2" t="s">
        <v>80</v>
      </c>
      <c r="C34" s="2" t="s">
        <v>79</v>
      </c>
      <c r="D34" s="4" t="n">
        <v>12</v>
      </c>
      <c r="E34" s="15" t="n">
        <v>45780</v>
      </c>
      <c r="F34" s="15" t="n">
        <v>45780</v>
      </c>
      <c r="G34" s="15" t="n">
        <v>45797</v>
      </c>
      <c r="H34" s="4" t="n">
        <v>10</v>
      </c>
      <c r="I34" s="2" t="s">
        <v>456</v>
      </c>
      <c r="J34" s="16" t="n">
        <f aca="false">INDEX('12_PRECIOS'!$D$2:$D$5,MATCH(C34,'12_PRECIOS'!$A$2:$A$5,0))</f>
        <v>2650.49</v>
      </c>
      <c r="K34" s="16" t="n">
        <f aca="false">J34*D34</f>
        <v>31805.88</v>
      </c>
      <c r="L34" s="16" t="n">
        <f aca="false">K34*INDEX('12_PRECIOS'!$E$2:$E$5,MATCH(C34,'12_PRECIOS'!$A$2:$A$5,0))</f>
        <v>3180.588</v>
      </c>
      <c r="M34" s="5" t="n">
        <f aca="false">G34-E34</f>
        <v>17</v>
      </c>
      <c r="N34" s="17" t="n">
        <f aca="false">SUMIF('09_CARGA_ORDEN'!$A$2:$A$1153,A34,'09_CARGA_ORDEN'!$J$2:$J$1153)</f>
        <v>90.66696</v>
      </c>
      <c r="O34" s="11" t="n">
        <f aca="false">SUMPRODUCT(('07_CALENDARIO'!$A$2:$A$397&gt;=F34)*('07_CALENDARIO'!$A$2:$A$397&lt;=G34)*'07_CALENDARIO'!$D$2:$D$397)*p_horas_productivas_dia</f>
        <v>96</v>
      </c>
      <c r="P34" s="5" t="n">
        <f aca="false">IF(N34&gt;O34+0.000001,1,0)</f>
        <v>0</v>
      </c>
      <c r="Q34" s="5" t="n">
        <f aca="false">IF(OR(WEEKDAY(F34,2)&gt;5,WEEKDAY(G34,2)&gt;5),1,0)</f>
        <v>1</v>
      </c>
      <c r="R34" s="5" t="n">
        <f aca="false">IF(COUNTIF('01_PRODUCTOS'!$B$2:$B$51,B34)&gt;0,1,0)</f>
        <v>1</v>
      </c>
      <c r="S34" s="2" t="s">
        <v>456</v>
      </c>
    </row>
    <row r="35" customFormat="false" ht="15" hidden="false" customHeight="false" outlineLevel="0" collapsed="false">
      <c r="A35" s="2" t="s">
        <v>558</v>
      </c>
      <c r="B35" s="2" t="s">
        <v>83</v>
      </c>
      <c r="C35" s="2" t="s">
        <v>79</v>
      </c>
      <c r="D35" s="4" t="n">
        <v>12</v>
      </c>
      <c r="E35" s="15" t="n">
        <v>45793</v>
      </c>
      <c r="F35" s="15" t="n">
        <v>45793</v>
      </c>
      <c r="G35" s="15" t="n">
        <v>45811</v>
      </c>
      <c r="H35" s="4" t="n">
        <v>10</v>
      </c>
      <c r="I35" s="2" t="s">
        <v>456</v>
      </c>
      <c r="J35" s="16" t="n">
        <f aca="false">INDEX('12_PRECIOS'!$D$2:$D$5,MATCH(C35,'12_PRECIOS'!$A$2:$A$5,0))</f>
        <v>2650.49</v>
      </c>
      <c r="K35" s="16" t="n">
        <f aca="false">J35*D35</f>
        <v>31805.88</v>
      </c>
      <c r="L35" s="16" t="n">
        <f aca="false">K35*INDEX('12_PRECIOS'!$E$2:$E$5,MATCH(C35,'12_PRECIOS'!$A$2:$A$5,0))</f>
        <v>3180.588</v>
      </c>
      <c r="M35" s="5" t="n">
        <f aca="false">G35-E35</f>
        <v>18</v>
      </c>
      <c r="N35" s="17" t="n">
        <f aca="false">SUMIF('09_CARGA_ORDEN'!$A$2:$A$1153,A35,'09_CARGA_ORDEN'!$J$2:$J$1153)</f>
        <v>100.7708</v>
      </c>
      <c r="O35" s="11" t="n">
        <f aca="false">SUMPRODUCT(('07_CALENDARIO'!$A$2:$A$397&gt;=F35)*('07_CALENDARIO'!$A$2:$A$397&lt;=G35)*'07_CALENDARIO'!$D$2:$D$397)*p_horas_productivas_dia</f>
        <v>104</v>
      </c>
      <c r="P35" s="5" t="n">
        <f aca="false">IF(N35&gt;O35+0.000001,1,0)</f>
        <v>0</v>
      </c>
      <c r="Q35" s="5" t="n">
        <f aca="false">IF(OR(WEEKDAY(F35,2)&gt;5,WEEKDAY(G35,2)&gt;5),1,0)</f>
        <v>0</v>
      </c>
      <c r="R35" s="5" t="n">
        <f aca="false">IF(COUNTIF('01_PRODUCTOS'!$B$2:$B$51,B35)&gt;0,1,0)</f>
        <v>1</v>
      </c>
      <c r="S35" s="2" t="s">
        <v>456</v>
      </c>
    </row>
    <row r="36" customFormat="false" ht="15" hidden="false" customHeight="false" outlineLevel="0" collapsed="false">
      <c r="A36" s="2" t="s">
        <v>559</v>
      </c>
      <c r="B36" s="2" t="s">
        <v>94</v>
      </c>
      <c r="C36" s="2" t="s">
        <v>93</v>
      </c>
      <c r="D36" s="4" t="n">
        <v>6</v>
      </c>
      <c r="E36" s="15" t="n">
        <v>45780</v>
      </c>
      <c r="F36" s="15" t="n">
        <v>45780</v>
      </c>
      <c r="G36" s="15" t="n">
        <v>45795</v>
      </c>
      <c r="H36" s="4" t="n">
        <v>10</v>
      </c>
      <c r="I36" s="2" t="s">
        <v>456</v>
      </c>
      <c r="J36" s="16" t="n">
        <f aca="false">INDEX('12_PRECIOS'!$D$2:$D$5,MATCH(C36,'12_PRECIOS'!$A$2:$A$5,0))</f>
        <v>2150.57</v>
      </c>
      <c r="K36" s="16" t="n">
        <f aca="false">J36*D36</f>
        <v>12903.42</v>
      </c>
      <c r="L36" s="16" t="n">
        <f aca="false">K36*INDEX('12_PRECIOS'!$E$2:$E$5,MATCH(C36,'12_PRECIOS'!$A$2:$A$5,0))</f>
        <v>1290.342</v>
      </c>
      <c r="M36" s="5" t="n">
        <f aca="false">G36-E36</f>
        <v>15</v>
      </c>
      <c r="N36" s="17" t="n">
        <f aca="false">SUMIF('09_CARGA_ORDEN'!$A$2:$A$1153,A36,'09_CARGA_ORDEN'!$J$2:$J$1153)</f>
        <v>58.9568533333333</v>
      </c>
      <c r="O36" s="11" t="n">
        <f aca="false">SUMPRODUCT(('07_CALENDARIO'!$A$2:$A$397&gt;=F36)*('07_CALENDARIO'!$A$2:$A$397&lt;=G36)*'07_CALENDARIO'!$D$2:$D$397)*p_horas_productivas_dia</f>
        <v>80</v>
      </c>
      <c r="P36" s="5" t="n">
        <f aca="false">IF(N36&gt;O36+0.000001,1,0)</f>
        <v>0</v>
      </c>
      <c r="Q36" s="5" t="n">
        <f aca="false">IF(OR(WEEKDAY(F36,2)&gt;5,WEEKDAY(G36,2)&gt;5),1,0)</f>
        <v>1</v>
      </c>
      <c r="R36" s="5" t="n">
        <f aca="false">IF(COUNTIF('01_PRODUCTOS'!$B$2:$B$51,B36)&gt;0,1,0)</f>
        <v>1</v>
      </c>
      <c r="S36" s="2" t="s">
        <v>456</v>
      </c>
    </row>
    <row r="37" customFormat="false" ht="15" hidden="false" customHeight="false" outlineLevel="0" collapsed="false">
      <c r="A37" s="2" t="s">
        <v>560</v>
      </c>
      <c r="B37" s="2" t="s">
        <v>96</v>
      </c>
      <c r="C37" s="2" t="s">
        <v>93</v>
      </c>
      <c r="D37" s="4" t="n">
        <v>7</v>
      </c>
      <c r="E37" s="15" t="n">
        <v>45793</v>
      </c>
      <c r="F37" s="15" t="n">
        <v>45793</v>
      </c>
      <c r="G37" s="15" t="n">
        <v>45809</v>
      </c>
      <c r="H37" s="4" t="n">
        <v>10</v>
      </c>
      <c r="I37" s="2" t="s">
        <v>456</v>
      </c>
      <c r="J37" s="16" t="n">
        <f aca="false">INDEX('12_PRECIOS'!$D$2:$D$5,MATCH(C37,'12_PRECIOS'!$A$2:$A$5,0))</f>
        <v>2150.57</v>
      </c>
      <c r="K37" s="16" t="n">
        <f aca="false">J37*D37</f>
        <v>15053.99</v>
      </c>
      <c r="L37" s="16" t="n">
        <f aca="false">K37*INDEX('12_PRECIOS'!$E$2:$E$5,MATCH(C37,'12_PRECIOS'!$A$2:$A$5,0))</f>
        <v>1505.399</v>
      </c>
      <c r="M37" s="5" t="n">
        <f aca="false">G37-E37</f>
        <v>16</v>
      </c>
      <c r="N37" s="17" t="n">
        <f aca="false">SUMIF('09_CARGA_ORDEN'!$A$2:$A$1153,A37,'09_CARGA_ORDEN'!$J$2:$J$1153)</f>
        <v>47.37639</v>
      </c>
      <c r="O37" s="11" t="n">
        <f aca="false">SUMPRODUCT(('07_CALENDARIO'!$A$2:$A$397&gt;=F37)*('07_CALENDARIO'!$A$2:$A$397&lt;=G37)*'07_CALENDARIO'!$D$2:$D$397)*p_horas_productivas_dia</f>
        <v>88</v>
      </c>
      <c r="P37" s="5" t="n">
        <f aca="false">IF(N37&gt;O37+0.000001,1,0)</f>
        <v>0</v>
      </c>
      <c r="Q37" s="5" t="n">
        <f aca="false">IF(OR(WEEKDAY(F37,2)&gt;5,WEEKDAY(G37,2)&gt;5),1,0)</f>
        <v>1</v>
      </c>
      <c r="R37" s="5" t="n">
        <f aca="false">IF(COUNTIF('01_PRODUCTOS'!$B$2:$B$51,B37)&gt;0,1,0)</f>
        <v>1</v>
      </c>
      <c r="S37" s="2" t="s">
        <v>456</v>
      </c>
    </row>
    <row r="38" customFormat="false" ht="15" hidden="false" customHeight="false" outlineLevel="0" collapsed="false">
      <c r="A38" s="2" t="s">
        <v>561</v>
      </c>
      <c r="B38" s="2" t="s">
        <v>106</v>
      </c>
      <c r="C38" s="2" t="s">
        <v>105</v>
      </c>
      <c r="D38" s="4" t="n">
        <v>5</v>
      </c>
      <c r="E38" s="15" t="n">
        <v>45780</v>
      </c>
      <c r="F38" s="15" t="n">
        <v>45780</v>
      </c>
      <c r="G38" s="15" t="n">
        <v>45794</v>
      </c>
      <c r="H38" s="4" t="n">
        <v>10</v>
      </c>
      <c r="I38" s="2" t="s">
        <v>456</v>
      </c>
      <c r="J38" s="16" t="n">
        <f aca="false">INDEX('12_PRECIOS'!$D$2:$D$5,MATCH(C38,'12_PRECIOS'!$A$2:$A$5,0))</f>
        <v>1800.81</v>
      </c>
      <c r="K38" s="16" t="n">
        <f aca="false">J38*D38</f>
        <v>9004.05</v>
      </c>
      <c r="L38" s="16" t="n">
        <f aca="false">K38*INDEX('12_PRECIOS'!$E$2:$E$5,MATCH(C38,'12_PRECIOS'!$A$2:$A$5,0))</f>
        <v>900.405</v>
      </c>
      <c r="M38" s="5" t="n">
        <f aca="false">G38-E38</f>
        <v>14</v>
      </c>
      <c r="N38" s="17" t="n">
        <f aca="false">SUMIF('09_CARGA_ORDEN'!$A$2:$A$1153,A38,'09_CARGA_ORDEN'!$J$2:$J$1153)</f>
        <v>23.8099166666667</v>
      </c>
      <c r="O38" s="11" t="n">
        <f aca="false">SUMPRODUCT(('07_CALENDARIO'!$A$2:$A$397&gt;=F38)*('07_CALENDARIO'!$A$2:$A$397&lt;=G38)*'07_CALENDARIO'!$D$2:$D$397)*p_horas_productivas_dia</f>
        <v>80</v>
      </c>
      <c r="P38" s="5" t="n">
        <f aca="false">IF(N38&gt;O38+0.000001,1,0)</f>
        <v>0</v>
      </c>
      <c r="Q38" s="5" t="n">
        <f aca="false">IF(OR(WEEKDAY(F38,2)&gt;5,WEEKDAY(G38,2)&gt;5),1,0)</f>
        <v>1</v>
      </c>
      <c r="R38" s="5" t="n">
        <f aca="false">IF(COUNTIF('01_PRODUCTOS'!$B$2:$B$51,B38)&gt;0,1,0)</f>
        <v>1</v>
      </c>
      <c r="S38" s="2" t="s">
        <v>456</v>
      </c>
    </row>
    <row r="39" customFormat="false" ht="15" hidden="false" customHeight="false" outlineLevel="0" collapsed="false">
      <c r="A39" s="2" t="s">
        <v>562</v>
      </c>
      <c r="B39" s="2" t="s">
        <v>108</v>
      </c>
      <c r="C39" s="2" t="s">
        <v>105</v>
      </c>
      <c r="D39" s="4" t="n">
        <v>6</v>
      </c>
      <c r="E39" s="15" t="n">
        <v>45793</v>
      </c>
      <c r="F39" s="15" t="n">
        <v>45793</v>
      </c>
      <c r="G39" s="15" t="n">
        <v>45808</v>
      </c>
      <c r="H39" s="4" t="n">
        <v>10</v>
      </c>
      <c r="I39" s="2" t="s">
        <v>456</v>
      </c>
      <c r="J39" s="16" t="n">
        <f aca="false">INDEX('12_PRECIOS'!$D$2:$D$5,MATCH(C39,'12_PRECIOS'!$A$2:$A$5,0))</f>
        <v>1800.81</v>
      </c>
      <c r="K39" s="16" t="n">
        <f aca="false">J39*D39</f>
        <v>10804.86</v>
      </c>
      <c r="L39" s="16" t="n">
        <f aca="false">K39*INDEX('12_PRECIOS'!$E$2:$E$5,MATCH(C39,'12_PRECIOS'!$A$2:$A$5,0))</f>
        <v>1080.486</v>
      </c>
      <c r="M39" s="5" t="n">
        <f aca="false">G39-E39</f>
        <v>15</v>
      </c>
      <c r="N39" s="17" t="n">
        <f aca="false">SUMIF('09_CARGA_ORDEN'!$A$2:$A$1153,A39,'09_CARGA_ORDEN'!$J$2:$J$1153)</f>
        <v>38.8968</v>
      </c>
      <c r="O39" s="11" t="n">
        <f aca="false">SUMPRODUCT(('07_CALENDARIO'!$A$2:$A$397&gt;=F39)*('07_CALENDARIO'!$A$2:$A$397&lt;=G39)*'07_CALENDARIO'!$D$2:$D$397)*p_horas_productivas_dia</f>
        <v>88</v>
      </c>
      <c r="P39" s="5" t="n">
        <f aca="false">IF(N39&gt;O39+0.000001,1,0)</f>
        <v>0</v>
      </c>
      <c r="Q39" s="5" t="n">
        <f aca="false">IF(OR(WEEKDAY(F39,2)&gt;5,WEEKDAY(G39,2)&gt;5),1,0)</f>
        <v>1</v>
      </c>
      <c r="R39" s="5" t="n">
        <f aca="false">IF(COUNTIF('01_PRODUCTOS'!$B$2:$B$51,B39)&gt;0,1,0)</f>
        <v>1</v>
      </c>
      <c r="S39" s="2" t="s">
        <v>456</v>
      </c>
    </row>
    <row r="40" customFormat="false" ht="15" hidden="false" customHeight="false" outlineLevel="0" collapsed="false">
      <c r="A40" s="2" t="s">
        <v>563</v>
      </c>
      <c r="B40" s="2" t="s">
        <v>119</v>
      </c>
      <c r="C40" s="2" t="s">
        <v>118</v>
      </c>
      <c r="D40" s="4" t="n">
        <v>10</v>
      </c>
      <c r="E40" s="15" t="n">
        <v>45780</v>
      </c>
      <c r="F40" s="15" t="n">
        <v>45780</v>
      </c>
      <c r="G40" s="15" t="n">
        <v>45795</v>
      </c>
      <c r="H40" s="4" t="n">
        <v>10</v>
      </c>
      <c r="I40" s="2" t="s">
        <v>456</v>
      </c>
      <c r="J40" s="16" t="n">
        <f aca="false">INDEX('12_PRECIOS'!$D$2:$D$5,MATCH(C40,'12_PRECIOS'!$A$2:$A$5,0))</f>
        <v>2322.4698</v>
      </c>
      <c r="K40" s="16" t="n">
        <f aca="false">J40*D40</f>
        <v>23224.698</v>
      </c>
      <c r="L40" s="16" t="n">
        <f aca="false">K40*INDEX('12_PRECIOS'!$E$2:$E$5,MATCH(C40,'12_PRECIOS'!$A$2:$A$5,0))</f>
        <v>2322.4698</v>
      </c>
      <c r="M40" s="5" t="n">
        <f aca="false">G40-E40</f>
        <v>15</v>
      </c>
      <c r="N40" s="17" t="n">
        <f aca="false">SUMIF('09_CARGA_ORDEN'!$A$2:$A$1153,A40,'09_CARGA_ORDEN'!$J$2:$J$1153)</f>
        <v>37.2553333333333</v>
      </c>
      <c r="O40" s="11" t="n">
        <f aca="false">SUMPRODUCT(('07_CALENDARIO'!$A$2:$A$397&gt;=F40)*('07_CALENDARIO'!$A$2:$A$397&lt;=G40)*'07_CALENDARIO'!$D$2:$D$397)*p_horas_productivas_dia</f>
        <v>80</v>
      </c>
      <c r="P40" s="5" t="n">
        <f aca="false">IF(N40&gt;O40+0.000001,1,0)</f>
        <v>0</v>
      </c>
      <c r="Q40" s="5" t="n">
        <f aca="false">IF(OR(WEEKDAY(F40,2)&gt;5,WEEKDAY(G40,2)&gt;5),1,0)</f>
        <v>1</v>
      </c>
      <c r="R40" s="5" t="n">
        <f aca="false">IF(COUNTIF('01_PRODUCTOS'!$B$2:$B$51,B40)&gt;0,1,0)</f>
        <v>1</v>
      </c>
      <c r="S40" s="2" t="s">
        <v>456</v>
      </c>
    </row>
    <row r="41" customFormat="false" ht="15" hidden="false" customHeight="false" outlineLevel="0" collapsed="false">
      <c r="A41" s="2" t="s">
        <v>564</v>
      </c>
      <c r="B41" s="2" t="s">
        <v>121</v>
      </c>
      <c r="C41" s="2" t="s">
        <v>118</v>
      </c>
      <c r="D41" s="4" t="n">
        <v>10</v>
      </c>
      <c r="E41" s="15" t="n">
        <v>45793</v>
      </c>
      <c r="F41" s="15" t="n">
        <v>45793</v>
      </c>
      <c r="G41" s="15" t="n">
        <v>45809</v>
      </c>
      <c r="H41" s="4" t="n">
        <v>10</v>
      </c>
      <c r="I41" s="2" t="s">
        <v>456</v>
      </c>
      <c r="J41" s="16" t="n">
        <f aca="false">INDEX('12_PRECIOS'!$D$2:$D$5,MATCH(C41,'12_PRECIOS'!$A$2:$A$5,0))</f>
        <v>2322.4698</v>
      </c>
      <c r="K41" s="16" t="n">
        <f aca="false">J41*D41</f>
        <v>23224.698</v>
      </c>
      <c r="L41" s="16" t="n">
        <f aca="false">K41*INDEX('12_PRECIOS'!$E$2:$E$5,MATCH(C41,'12_PRECIOS'!$A$2:$A$5,0))</f>
        <v>2322.4698</v>
      </c>
      <c r="M41" s="5" t="n">
        <f aca="false">G41-E41</f>
        <v>16</v>
      </c>
      <c r="N41" s="17" t="n">
        <f aca="false">SUMIF('09_CARGA_ORDEN'!$A$2:$A$1153,A41,'09_CARGA_ORDEN'!$J$2:$J$1153)</f>
        <v>60.1225333333333</v>
      </c>
      <c r="O41" s="11" t="n">
        <f aca="false">SUMPRODUCT(('07_CALENDARIO'!$A$2:$A$397&gt;=F41)*('07_CALENDARIO'!$A$2:$A$397&lt;=G41)*'07_CALENDARIO'!$D$2:$D$397)*p_horas_productivas_dia</f>
        <v>88</v>
      </c>
      <c r="P41" s="5" t="n">
        <f aca="false">IF(N41&gt;O41+0.000001,1,0)</f>
        <v>0</v>
      </c>
      <c r="Q41" s="5" t="n">
        <f aca="false">IF(OR(WEEKDAY(F41,2)&gt;5,WEEKDAY(G41,2)&gt;5),1,0)</f>
        <v>1</v>
      </c>
      <c r="R41" s="5" t="n">
        <f aca="false">IF(COUNTIF('01_PRODUCTOS'!$B$2:$B$51,B41)&gt;0,1,0)</f>
        <v>1</v>
      </c>
      <c r="S41" s="2" t="s">
        <v>456</v>
      </c>
    </row>
    <row r="42" customFormat="false" ht="15" hidden="false" customHeight="false" outlineLevel="0" collapsed="false">
      <c r="A42" s="2" t="s">
        <v>565</v>
      </c>
      <c r="B42" s="2" t="s">
        <v>80</v>
      </c>
      <c r="C42" s="2" t="s">
        <v>79</v>
      </c>
      <c r="D42" s="4" t="n">
        <v>13</v>
      </c>
      <c r="E42" s="15" t="n">
        <v>45811</v>
      </c>
      <c r="F42" s="15" t="n">
        <v>45811</v>
      </c>
      <c r="G42" s="15" t="n">
        <v>45828</v>
      </c>
      <c r="H42" s="4" t="n">
        <v>10</v>
      </c>
      <c r="I42" s="2" t="s">
        <v>456</v>
      </c>
      <c r="J42" s="16" t="n">
        <f aca="false">INDEX('12_PRECIOS'!$D$2:$D$5,MATCH(C42,'12_PRECIOS'!$A$2:$A$5,0))</f>
        <v>2650.49</v>
      </c>
      <c r="K42" s="16" t="n">
        <f aca="false">J42*D42</f>
        <v>34456.37</v>
      </c>
      <c r="L42" s="16" t="n">
        <f aca="false">K42*INDEX('12_PRECIOS'!$E$2:$E$5,MATCH(C42,'12_PRECIOS'!$A$2:$A$5,0))</f>
        <v>3445.637</v>
      </c>
      <c r="M42" s="5" t="n">
        <f aca="false">G42-E42</f>
        <v>17</v>
      </c>
      <c r="N42" s="17" t="n">
        <f aca="false">SUMIF('09_CARGA_ORDEN'!$A$2:$A$1153,A42,'09_CARGA_ORDEN'!$J$2:$J$1153)</f>
        <v>97.8558733333333</v>
      </c>
      <c r="O42" s="11" t="n">
        <f aca="false">SUMPRODUCT(('07_CALENDARIO'!$A$2:$A$397&gt;=F42)*('07_CALENDARIO'!$A$2:$A$397&lt;=G42)*'07_CALENDARIO'!$D$2:$D$397)*p_horas_productivas_dia</f>
        <v>112</v>
      </c>
      <c r="P42" s="5" t="n">
        <f aca="false">IF(N42&gt;O42+0.000001,1,0)</f>
        <v>0</v>
      </c>
      <c r="Q42" s="5" t="n">
        <f aca="false">IF(OR(WEEKDAY(F42,2)&gt;5,WEEKDAY(G42,2)&gt;5),1,0)</f>
        <v>0</v>
      </c>
      <c r="R42" s="5" t="n">
        <f aca="false">IF(COUNTIF('01_PRODUCTOS'!$B$2:$B$51,B42)&gt;0,1,0)</f>
        <v>1</v>
      </c>
      <c r="S42" s="2" t="s">
        <v>456</v>
      </c>
    </row>
    <row r="43" customFormat="false" ht="15" hidden="false" customHeight="false" outlineLevel="0" collapsed="false">
      <c r="A43" s="2" t="s">
        <v>566</v>
      </c>
      <c r="B43" s="2" t="s">
        <v>83</v>
      </c>
      <c r="C43" s="2" t="s">
        <v>79</v>
      </c>
      <c r="D43" s="4" t="n">
        <v>14</v>
      </c>
      <c r="E43" s="15" t="n">
        <v>45824</v>
      </c>
      <c r="F43" s="15" t="n">
        <v>45824</v>
      </c>
      <c r="G43" s="15" t="n">
        <v>45842</v>
      </c>
      <c r="H43" s="4" t="n">
        <v>10</v>
      </c>
      <c r="I43" s="2" t="s">
        <v>456</v>
      </c>
      <c r="J43" s="16" t="n">
        <f aca="false">INDEX('12_PRECIOS'!$D$2:$D$5,MATCH(C43,'12_PRECIOS'!$A$2:$A$5,0))</f>
        <v>2650.49</v>
      </c>
      <c r="K43" s="16" t="n">
        <f aca="false">J43*D43</f>
        <v>37106.86</v>
      </c>
      <c r="L43" s="16" t="n">
        <f aca="false">K43*INDEX('12_PRECIOS'!$E$2:$E$5,MATCH(C43,'12_PRECIOS'!$A$2:$A$5,0))</f>
        <v>3710.686</v>
      </c>
      <c r="M43" s="5" t="n">
        <f aca="false">G43-E43</f>
        <v>18</v>
      </c>
      <c r="N43" s="17" t="n">
        <f aca="false">SUMIF('09_CARGA_ORDEN'!$A$2:$A$1153,A43,'09_CARGA_ORDEN'!$J$2:$J$1153)</f>
        <v>116.8326</v>
      </c>
      <c r="O43" s="11" t="n">
        <f aca="false">SUMPRODUCT(('07_CALENDARIO'!$A$2:$A$397&gt;=F43)*('07_CALENDARIO'!$A$2:$A$397&lt;=G43)*'07_CALENDARIO'!$D$2:$D$397)*p_horas_productivas_dia</f>
        <v>120</v>
      </c>
      <c r="P43" s="5" t="n">
        <f aca="false">IF(N43&gt;O43+0.000001,1,0)</f>
        <v>0</v>
      </c>
      <c r="Q43" s="5" t="n">
        <f aca="false">IF(OR(WEEKDAY(F43,2)&gt;5,WEEKDAY(G43,2)&gt;5),1,0)</f>
        <v>0</v>
      </c>
      <c r="R43" s="5" t="n">
        <f aca="false">IF(COUNTIF('01_PRODUCTOS'!$B$2:$B$51,B43)&gt;0,1,0)</f>
        <v>1</v>
      </c>
      <c r="S43" s="2" t="s">
        <v>456</v>
      </c>
    </row>
    <row r="44" customFormat="false" ht="15" hidden="false" customHeight="false" outlineLevel="0" collapsed="false">
      <c r="A44" s="2" t="s">
        <v>567</v>
      </c>
      <c r="B44" s="2" t="s">
        <v>94</v>
      </c>
      <c r="C44" s="2" t="s">
        <v>93</v>
      </c>
      <c r="D44" s="4" t="n">
        <v>8</v>
      </c>
      <c r="E44" s="15" t="n">
        <v>45811</v>
      </c>
      <c r="F44" s="15" t="n">
        <v>45811</v>
      </c>
      <c r="G44" s="15" t="n">
        <v>45826</v>
      </c>
      <c r="H44" s="4" t="n">
        <v>10</v>
      </c>
      <c r="I44" s="2" t="s">
        <v>456</v>
      </c>
      <c r="J44" s="16" t="n">
        <f aca="false">INDEX('12_PRECIOS'!$D$2:$D$5,MATCH(C44,'12_PRECIOS'!$A$2:$A$5,0))</f>
        <v>2150.57</v>
      </c>
      <c r="K44" s="16" t="n">
        <f aca="false">J44*D44</f>
        <v>17204.56</v>
      </c>
      <c r="L44" s="16" t="n">
        <f aca="false">K44*INDEX('12_PRECIOS'!$E$2:$E$5,MATCH(C44,'12_PRECIOS'!$A$2:$A$5,0))</f>
        <v>1720.456</v>
      </c>
      <c r="M44" s="5" t="n">
        <f aca="false">G44-E44</f>
        <v>15</v>
      </c>
      <c r="N44" s="17" t="n">
        <f aca="false">SUMIF('09_CARGA_ORDEN'!$A$2:$A$1153,A44,'09_CARGA_ORDEN'!$J$2:$J$1153)</f>
        <v>77.93136</v>
      </c>
      <c r="O44" s="11" t="n">
        <f aca="false">SUMPRODUCT(('07_CALENDARIO'!$A$2:$A$397&gt;=F44)*('07_CALENDARIO'!$A$2:$A$397&lt;=G44)*'07_CALENDARIO'!$D$2:$D$397)*p_horas_productivas_dia</f>
        <v>96</v>
      </c>
      <c r="P44" s="5" t="n">
        <f aca="false">IF(N44&gt;O44+0.000001,1,0)</f>
        <v>0</v>
      </c>
      <c r="Q44" s="5" t="n">
        <f aca="false">IF(OR(WEEKDAY(F44,2)&gt;5,WEEKDAY(G44,2)&gt;5),1,0)</f>
        <v>0</v>
      </c>
      <c r="R44" s="5" t="n">
        <f aca="false">IF(COUNTIF('01_PRODUCTOS'!$B$2:$B$51,B44)&gt;0,1,0)</f>
        <v>1</v>
      </c>
      <c r="S44" s="2" t="s">
        <v>456</v>
      </c>
    </row>
    <row r="45" customFormat="false" ht="15" hidden="false" customHeight="false" outlineLevel="0" collapsed="false">
      <c r="A45" s="2" t="s">
        <v>568</v>
      </c>
      <c r="B45" s="2" t="s">
        <v>96</v>
      </c>
      <c r="C45" s="2" t="s">
        <v>93</v>
      </c>
      <c r="D45" s="4" t="n">
        <v>8</v>
      </c>
      <c r="E45" s="15" t="n">
        <v>45824</v>
      </c>
      <c r="F45" s="15" t="n">
        <v>45824</v>
      </c>
      <c r="G45" s="15" t="n">
        <v>45840</v>
      </c>
      <c r="H45" s="4" t="n">
        <v>10</v>
      </c>
      <c r="I45" s="2" t="s">
        <v>456</v>
      </c>
      <c r="J45" s="16" t="n">
        <f aca="false">INDEX('12_PRECIOS'!$D$2:$D$5,MATCH(C45,'12_PRECIOS'!$A$2:$A$5,0))</f>
        <v>2150.57</v>
      </c>
      <c r="K45" s="16" t="n">
        <f aca="false">J45*D45</f>
        <v>17204.56</v>
      </c>
      <c r="L45" s="16" t="n">
        <f aca="false">K45*INDEX('12_PRECIOS'!$E$2:$E$5,MATCH(C45,'12_PRECIOS'!$A$2:$A$5,0))</f>
        <v>1720.456</v>
      </c>
      <c r="M45" s="5" t="n">
        <f aca="false">G45-E45</f>
        <v>16</v>
      </c>
      <c r="N45" s="17" t="n">
        <f aca="false">SUMIF('09_CARGA_ORDEN'!$A$2:$A$1153,A45,'09_CARGA_ORDEN'!$J$2:$J$1153)</f>
        <v>53.83016</v>
      </c>
      <c r="O45" s="11" t="n">
        <f aca="false">SUMPRODUCT(('07_CALENDARIO'!$A$2:$A$397&gt;=F45)*('07_CALENDARIO'!$A$2:$A$397&lt;=G45)*'07_CALENDARIO'!$D$2:$D$397)*p_horas_productivas_dia</f>
        <v>104</v>
      </c>
      <c r="P45" s="5" t="n">
        <f aca="false">IF(N45&gt;O45+0.000001,1,0)</f>
        <v>0</v>
      </c>
      <c r="Q45" s="5" t="n">
        <f aca="false">IF(OR(WEEKDAY(F45,2)&gt;5,WEEKDAY(G45,2)&gt;5),1,0)</f>
        <v>0</v>
      </c>
      <c r="R45" s="5" t="n">
        <f aca="false">IF(COUNTIF('01_PRODUCTOS'!$B$2:$B$51,B45)&gt;0,1,0)</f>
        <v>1</v>
      </c>
      <c r="S45" s="2" t="s">
        <v>456</v>
      </c>
    </row>
    <row r="46" customFormat="false" ht="15" hidden="false" customHeight="false" outlineLevel="0" collapsed="false">
      <c r="A46" s="2" t="s">
        <v>569</v>
      </c>
      <c r="B46" s="2" t="s">
        <v>106</v>
      </c>
      <c r="C46" s="2" t="s">
        <v>105</v>
      </c>
      <c r="D46" s="4" t="n">
        <v>6</v>
      </c>
      <c r="E46" s="15" t="n">
        <v>45811</v>
      </c>
      <c r="F46" s="15" t="n">
        <v>45811</v>
      </c>
      <c r="G46" s="15" t="n">
        <v>45825</v>
      </c>
      <c r="H46" s="4" t="n">
        <v>10</v>
      </c>
      <c r="I46" s="2" t="s">
        <v>456</v>
      </c>
      <c r="J46" s="16" t="n">
        <f aca="false">INDEX('12_PRECIOS'!$D$2:$D$5,MATCH(C46,'12_PRECIOS'!$A$2:$A$5,0))</f>
        <v>1800.81</v>
      </c>
      <c r="K46" s="16" t="n">
        <f aca="false">J46*D46</f>
        <v>10804.86</v>
      </c>
      <c r="L46" s="16" t="n">
        <f aca="false">K46*INDEX('12_PRECIOS'!$E$2:$E$5,MATCH(C46,'12_PRECIOS'!$A$2:$A$5,0))</f>
        <v>1080.486</v>
      </c>
      <c r="M46" s="5" t="n">
        <f aca="false">G46-E46</f>
        <v>14</v>
      </c>
      <c r="N46" s="17" t="n">
        <f aca="false">SUMIF('09_CARGA_ORDEN'!$A$2:$A$1153,A46,'09_CARGA_ORDEN'!$J$2:$J$1153)</f>
        <v>28.1919</v>
      </c>
      <c r="O46" s="11" t="n">
        <f aca="false">SUMPRODUCT(('07_CALENDARIO'!$A$2:$A$397&gt;=F46)*('07_CALENDARIO'!$A$2:$A$397&lt;=G46)*'07_CALENDARIO'!$D$2:$D$397)*p_horas_productivas_dia</f>
        <v>88</v>
      </c>
      <c r="P46" s="5" t="n">
        <f aca="false">IF(N46&gt;O46+0.000001,1,0)</f>
        <v>0</v>
      </c>
      <c r="Q46" s="5" t="n">
        <f aca="false">IF(OR(WEEKDAY(F46,2)&gt;5,WEEKDAY(G46,2)&gt;5),1,0)</f>
        <v>0</v>
      </c>
      <c r="R46" s="5" t="n">
        <f aca="false">IF(COUNTIF('01_PRODUCTOS'!$B$2:$B$51,B46)&gt;0,1,0)</f>
        <v>1</v>
      </c>
      <c r="S46" s="2" t="s">
        <v>456</v>
      </c>
    </row>
    <row r="47" customFormat="false" ht="15" hidden="false" customHeight="false" outlineLevel="0" collapsed="false">
      <c r="A47" s="2" t="s">
        <v>570</v>
      </c>
      <c r="B47" s="2" t="s">
        <v>108</v>
      </c>
      <c r="C47" s="2" t="s">
        <v>105</v>
      </c>
      <c r="D47" s="4" t="n">
        <v>7</v>
      </c>
      <c r="E47" s="15" t="n">
        <v>45824</v>
      </c>
      <c r="F47" s="15" t="n">
        <v>45824</v>
      </c>
      <c r="G47" s="15" t="n">
        <v>45839</v>
      </c>
      <c r="H47" s="4" t="n">
        <v>10</v>
      </c>
      <c r="I47" s="2" t="s">
        <v>456</v>
      </c>
      <c r="J47" s="16" t="n">
        <f aca="false">INDEX('12_PRECIOS'!$D$2:$D$5,MATCH(C47,'12_PRECIOS'!$A$2:$A$5,0))</f>
        <v>1800.81</v>
      </c>
      <c r="K47" s="16" t="n">
        <f aca="false">J47*D47</f>
        <v>12605.67</v>
      </c>
      <c r="L47" s="16" t="n">
        <f aca="false">K47*INDEX('12_PRECIOS'!$E$2:$E$5,MATCH(C47,'12_PRECIOS'!$A$2:$A$5,0))</f>
        <v>1260.567</v>
      </c>
      <c r="M47" s="5" t="n">
        <f aca="false">G47-E47</f>
        <v>15</v>
      </c>
      <c r="N47" s="17" t="n">
        <f aca="false">SUMIF('09_CARGA_ORDEN'!$A$2:$A$1153,A47,'09_CARGA_ORDEN'!$J$2:$J$1153)</f>
        <v>45.0629333333333</v>
      </c>
      <c r="O47" s="11" t="n">
        <f aca="false">SUMPRODUCT(('07_CALENDARIO'!$A$2:$A$397&gt;=F47)*('07_CALENDARIO'!$A$2:$A$397&lt;=G47)*'07_CALENDARIO'!$D$2:$D$397)*p_horas_productivas_dia</f>
        <v>96</v>
      </c>
      <c r="P47" s="5" t="n">
        <f aca="false">IF(N47&gt;O47+0.000001,1,0)</f>
        <v>0</v>
      </c>
      <c r="Q47" s="5" t="n">
        <f aca="false">IF(OR(WEEKDAY(F47,2)&gt;5,WEEKDAY(G47,2)&gt;5),1,0)</f>
        <v>0</v>
      </c>
      <c r="R47" s="5" t="n">
        <f aca="false">IF(COUNTIF('01_PRODUCTOS'!$B$2:$B$51,B47)&gt;0,1,0)</f>
        <v>1</v>
      </c>
      <c r="S47" s="2" t="s">
        <v>456</v>
      </c>
    </row>
    <row r="48" customFormat="false" ht="15" hidden="false" customHeight="false" outlineLevel="0" collapsed="false">
      <c r="A48" s="2" t="s">
        <v>571</v>
      </c>
      <c r="B48" s="2" t="s">
        <v>119</v>
      </c>
      <c r="C48" s="2" t="s">
        <v>118</v>
      </c>
      <c r="D48" s="4" t="n">
        <v>12</v>
      </c>
      <c r="E48" s="15" t="n">
        <v>45811</v>
      </c>
      <c r="F48" s="15" t="n">
        <v>45811</v>
      </c>
      <c r="G48" s="15" t="n">
        <v>45828</v>
      </c>
      <c r="H48" s="4" t="n">
        <v>10</v>
      </c>
      <c r="I48" s="2" t="s">
        <v>456</v>
      </c>
      <c r="J48" s="16" t="n">
        <f aca="false">INDEX('12_PRECIOS'!$D$2:$D$5,MATCH(C48,'12_PRECIOS'!$A$2:$A$5,0))</f>
        <v>2322.4698</v>
      </c>
      <c r="K48" s="16" t="n">
        <f aca="false">J48*D48</f>
        <v>27869.6376</v>
      </c>
      <c r="L48" s="16" t="n">
        <f aca="false">K48*INDEX('12_PRECIOS'!$E$2:$E$5,MATCH(C48,'12_PRECIOS'!$A$2:$A$5,0))</f>
        <v>2786.96376</v>
      </c>
      <c r="M48" s="5" t="n">
        <f aca="false">G48-E48</f>
        <v>17</v>
      </c>
      <c r="N48" s="17" t="n">
        <f aca="false">SUMIF('09_CARGA_ORDEN'!$A$2:$A$1153,A48,'09_CARGA_ORDEN'!$J$2:$J$1153)</f>
        <v>46.2264</v>
      </c>
      <c r="O48" s="11" t="n">
        <f aca="false">SUMPRODUCT(('07_CALENDARIO'!$A$2:$A$397&gt;=F48)*('07_CALENDARIO'!$A$2:$A$397&lt;=G48)*'07_CALENDARIO'!$D$2:$D$397)*p_horas_productivas_dia</f>
        <v>112</v>
      </c>
      <c r="P48" s="5" t="n">
        <f aca="false">IF(N48&gt;O48+0.000001,1,0)</f>
        <v>0</v>
      </c>
      <c r="Q48" s="5" t="n">
        <f aca="false">IF(OR(WEEKDAY(F48,2)&gt;5,WEEKDAY(G48,2)&gt;5),1,0)</f>
        <v>0</v>
      </c>
      <c r="R48" s="5" t="n">
        <f aca="false">IF(COUNTIF('01_PRODUCTOS'!$B$2:$B$51,B48)&gt;0,1,0)</f>
        <v>1</v>
      </c>
      <c r="S48" s="2" t="s">
        <v>456</v>
      </c>
    </row>
    <row r="49" customFormat="false" ht="15" hidden="false" customHeight="false" outlineLevel="0" collapsed="false">
      <c r="A49" s="2" t="s">
        <v>572</v>
      </c>
      <c r="B49" s="2" t="s">
        <v>121</v>
      </c>
      <c r="C49" s="2" t="s">
        <v>118</v>
      </c>
      <c r="D49" s="4" t="n">
        <v>12</v>
      </c>
      <c r="E49" s="15" t="n">
        <v>45824</v>
      </c>
      <c r="F49" s="15" t="n">
        <v>45824</v>
      </c>
      <c r="G49" s="15" t="n">
        <v>45842</v>
      </c>
      <c r="H49" s="4" t="n">
        <v>10</v>
      </c>
      <c r="I49" s="2" t="s">
        <v>456</v>
      </c>
      <c r="J49" s="16" t="n">
        <f aca="false">INDEX('12_PRECIOS'!$D$2:$D$5,MATCH(C49,'12_PRECIOS'!$A$2:$A$5,0))</f>
        <v>2322.4698</v>
      </c>
      <c r="K49" s="16" t="n">
        <f aca="false">J49*D49</f>
        <v>27869.6376</v>
      </c>
      <c r="L49" s="16" t="n">
        <f aca="false">K49*INDEX('12_PRECIOS'!$E$2:$E$5,MATCH(C49,'12_PRECIOS'!$A$2:$A$5,0))</f>
        <v>2786.96376</v>
      </c>
      <c r="M49" s="5" t="n">
        <f aca="false">G49-E49</f>
        <v>18</v>
      </c>
      <c r="N49" s="17" t="n">
        <f aca="false">SUMIF('09_CARGA_ORDEN'!$A$2:$A$1153,A49,'09_CARGA_ORDEN'!$J$2:$J$1153)</f>
        <v>73.7737066666667</v>
      </c>
      <c r="O49" s="11" t="n">
        <f aca="false">SUMPRODUCT(('07_CALENDARIO'!$A$2:$A$397&gt;=F49)*('07_CALENDARIO'!$A$2:$A$397&lt;=G49)*'07_CALENDARIO'!$D$2:$D$397)*p_horas_productivas_dia</f>
        <v>120</v>
      </c>
      <c r="P49" s="5" t="n">
        <f aca="false">IF(N49&gt;O49+0.000001,1,0)</f>
        <v>0</v>
      </c>
      <c r="Q49" s="5" t="n">
        <f aca="false">IF(OR(WEEKDAY(F49,2)&gt;5,WEEKDAY(G49,2)&gt;5),1,0)</f>
        <v>0</v>
      </c>
      <c r="R49" s="5" t="n">
        <f aca="false">IF(COUNTIF('01_PRODUCTOS'!$B$2:$B$51,B49)&gt;0,1,0)</f>
        <v>1</v>
      </c>
      <c r="S49" s="2" t="s">
        <v>456</v>
      </c>
    </row>
    <row r="50" customFormat="false" ht="15" hidden="false" customHeight="false" outlineLevel="0" collapsed="false">
      <c r="A50" s="2" t="s">
        <v>573</v>
      </c>
      <c r="B50" s="2" t="s">
        <v>80</v>
      </c>
      <c r="C50" s="2" t="s">
        <v>79</v>
      </c>
      <c r="D50" s="4" t="n">
        <v>13</v>
      </c>
      <c r="E50" s="15" t="n">
        <v>45841</v>
      </c>
      <c r="F50" s="15" t="n">
        <v>45841</v>
      </c>
      <c r="G50" s="15" t="n">
        <v>45858</v>
      </c>
      <c r="H50" s="4" t="n">
        <v>10</v>
      </c>
      <c r="I50" s="2" t="s">
        <v>456</v>
      </c>
      <c r="J50" s="16" t="n">
        <f aca="false">INDEX('12_PRECIOS'!$D$2:$D$5,MATCH(C50,'12_PRECIOS'!$A$2:$A$5,0))</f>
        <v>2650.49</v>
      </c>
      <c r="K50" s="16" t="n">
        <f aca="false">J50*D50</f>
        <v>34456.37</v>
      </c>
      <c r="L50" s="16" t="n">
        <f aca="false">K50*INDEX('12_PRECIOS'!$E$2:$E$5,MATCH(C50,'12_PRECIOS'!$A$2:$A$5,0))</f>
        <v>3445.637</v>
      </c>
      <c r="M50" s="5" t="n">
        <f aca="false">G50-E50</f>
        <v>17</v>
      </c>
      <c r="N50" s="17" t="n">
        <f aca="false">SUMIF('09_CARGA_ORDEN'!$A$2:$A$1153,A50,'09_CARGA_ORDEN'!$J$2:$J$1153)</f>
        <v>97.8558733333333</v>
      </c>
      <c r="O50" s="11" t="n">
        <f aca="false">SUMPRODUCT(('07_CALENDARIO'!$A$2:$A$397&gt;=F50)*('07_CALENDARIO'!$A$2:$A$397&lt;=G50)*'07_CALENDARIO'!$D$2:$D$397)*p_horas_productivas_dia</f>
        <v>96</v>
      </c>
      <c r="P50" s="5" t="n">
        <f aca="false">IF(N50&gt;O50+0.000001,1,0)</f>
        <v>1</v>
      </c>
      <c r="Q50" s="5" t="n">
        <f aca="false">IF(OR(WEEKDAY(F50,2)&gt;5,WEEKDAY(G50,2)&gt;5),1,0)</f>
        <v>1</v>
      </c>
      <c r="R50" s="5" t="n">
        <f aca="false">IF(COUNTIF('01_PRODUCTOS'!$B$2:$B$51,B50)&gt;0,1,0)</f>
        <v>1</v>
      </c>
      <c r="S50" s="2" t="s">
        <v>456</v>
      </c>
    </row>
    <row r="51" customFormat="false" ht="15" hidden="false" customHeight="false" outlineLevel="0" collapsed="false">
      <c r="A51" s="2" t="s">
        <v>574</v>
      </c>
      <c r="B51" s="2" t="s">
        <v>83</v>
      </c>
      <c r="C51" s="2" t="s">
        <v>79</v>
      </c>
      <c r="D51" s="4" t="n">
        <v>14</v>
      </c>
      <c r="E51" s="15" t="n">
        <v>45854</v>
      </c>
      <c r="F51" s="15" t="n">
        <v>45854</v>
      </c>
      <c r="G51" s="15" t="n">
        <v>45872</v>
      </c>
      <c r="H51" s="4" t="n">
        <v>10</v>
      </c>
      <c r="I51" s="2" t="s">
        <v>456</v>
      </c>
      <c r="J51" s="16" t="n">
        <f aca="false">INDEX('12_PRECIOS'!$D$2:$D$5,MATCH(C51,'12_PRECIOS'!$A$2:$A$5,0))</f>
        <v>2650.49</v>
      </c>
      <c r="K51" s="16" t="n">
        <f aca="false">J51*D51</f>
        <v>37106.86</v>
      </c>
      <c r="L51" s="16" t="n">
        <f aca="false">K51*INDEX('12_PRECIOS'!$E$2:$E$5,MATCH(C51,'12_PRECIOS'!$A$2:$A$5,0))</f>
        <v>3710.686</v>
      </c>
      <c r="M51" s="5" t="n">
        <f aca="false">G51-E51</f>
        <v>18</v>
      </c>
      <c r="N51" s="17" t="n">
        <f aca="false">SUMIF('09_CARGA_ORDEN'!$A$2:$A$1153,A51,'09_CARGA_ORDEN'!$J$2:$J$1153)</f>
        <v>116.8326</v>
      </c>
      <c r="O51" s="11" t="n">
        <f aca="false">SUMPRODUCT(('07_CALENDARIO'!$A$2:$A$397&gt;=F51)*('07_CALENDARIO'!$A$2:$A$397&lt;=G51)*'07_CALENDARIO'!$D$2:$D$397)*p_horas_productivas_dia</f>
        <v>104</v>
      </c>
      <c r="P51" s="5" t="n">
        <f aca="false">IF(N51&gt;O51+0.000001,1,0)</f>
        <v>1</v>
      </c>
      <c r="Q51" s="5" t="n">
        <f aca="false">IF(OR(WEEKDAY(F51,2)&gt;5,WEEKDAY(G51,2)&gt;5),1,0)</f>
        <v>1</v>
      </c>
      <c r="R51" s="5" t="n">
        <f aca="false">IF(COUNTIF('01_PRODUCTOS'!$B$2:$B$51,B51)&gt;0,1,0)</f>
        <v>1</v>
      </c>
      <c r="S51" s="2" t="s">
        <v>456</v>
      </c>
    </row>
    <row r="52" customFormat="false" ht="15" hidden="false" customHeight="false" outlineLevel="0" collapsed="false">
      <c r="A52" s="2" t="s">
        <v>575</v>
      </c>
      <c r="B52" s="2" t="s">
        <v>94</v>
      </c>
      <c r="C52" s="2" t="s">
        <v>93</v>
      </c>
      <c r="D52" s="4" t="n">
        <v>8</v>
      </c>
      <c r="E52" s="15" t="n">
        <v>45841</v>
      </c>
      <c r="F52" s="15" t="n">
        <v>45841</v>
      </c>
      <c r="G52" s="15" t="n">
        <v>45856</v>
      </c>
      <c r="H52" s="4" t="n">
        <v>10</v>
      </c>
      <c r="I52" s="2" t="s">
        <v>456</v>
      </c>
      <c r="J52" s="16" t="n">
        <f aca="false">INDEX('12_PRECIOS'!$D$2:$D$5,MATCH(C52,'12_PRECIOS'!$A$2:$A$5,0))</f>
        <v>2150.57</v>
      </c>
      <c r="K52" s="16" t="n">
        <f aca="false">J52*D52</f>
        <v>17204.56</v>
      </c>
      <c r="L52" s="16" t="n">
        <f aca="false">K52*INDEX('12_PRECIOS'!$E$2:$E$5,MATCH(C52,'12_PRECIOS'!$A$2:$A$5,0))</f>
        <v>1720.456</v>
      </c>
      <c r="M52" s="5" t="n">
        <f aca="false">G52-E52</f>
        <v>15</v>
      </c>
      <c r="N52" s="17" t="n">
        <f aca="false">SUMIF('09_CARGA_ORDEN'!$A$2:$A$1153,A52,'09_CARGA_ORDEN'!$J$2:$J$1153)</f>
        <v>77.93136</v>
      </c>
      <c r="O52" s="11" t="n">
        <f aca="false">SUMPRODUCT(('07_CALENDARIO'!$A$2:$A$397&gt;=F52)*('07_CALENDARIO'!$A$2:$A$397&lt;=G52)*'07_CALENDARIO'!$D$2:$D$397)*p_horas_productivas_dia</f>
        <v>96</v>
      </c>
      <c r="P52" s="5" t="n">
        <f aca="false">IF(N52&gt;O52+0.000001,1,0)</f>
        <v>0</v>
      </c>
      <c r="Q52" s="5" t="n">
        <f aca="false">IF(OR(WEEKDAY(F52,2)&gt;5,WEEKDAY(G52,2)&gt;5),1,0)</f>
        <v>0</v>
      </c>
      <c r="R52" s="5" t="n">
        <f aca="false">IF(COUNTIF('01_PRODUCTOS'!$B$2:$B$51,B52)&gt;0,1,0)</f>
        <v>1</v>
      </c>
      <c r="S52" s="2" t="s">
        <v>456</v>
      </c>
    </row>
    <row r="53" customFormat="false" ht="15" hidden="false" customHeight="false" outlineLevel="0" collapsed="false">
      <c r="A53" s="2" t="s">
        <v>576</v>
      </c>
      <c r="B53" s="2" t="s">
        <v>96</v>
      </c>
      <c r="C53" s="2" t="s">
        <v>93</v>
      </c>
      <c r="D53" s="4" t="n">
        <v>8</v>
      </c>
      <c r="E53" s="15" t="n">
        <v>45854</v>
      </c>
      <c r="F53" s="15" t="n">
        <v>45854</v>
      </c>
      <c r="G53" s="15" t="n">
        <v>45870</v>
      </c>
      <c r="H53" s="4" t="n">
        <v>10</v>
      </c>
      <c r="I53" s="2" t="s">
        <v>456</v>
      </c>
      <c r="J53" s="16" t="n">
        <f aca="false">INDEX('12_PRECIOS'!$D$2:$D$5,MATCH(C53,'12_PRECIOS'!$A$2:$A$5,0))</f>
        <v>2150.57</v>
      </c>
      <c r="K53" s="16" t="n">
        <f aca="false">J53*D53</f>
        <v>17204.56</v>
      </c>
      <c r="L53" s="16" t="n">
        <f aca="false">K53*INDEX('12_PRECIOS'!$E$2:$E$5,MATCH(C53,'12_PRECIOS'!$A$2:$A$5,0))</f>
        <v>1720.456</v>
      </c>
      <c r="M53" s="5" t="n">
        <f aca="false">G53-E53</f>
        <v>16</v>
      </c>
      <c r="N53" s="17" t="n">
        <f aca="false">SUMIF('09_CARGA_ORDEN'!$A$2:$A$1153,A53,'09_CARGA_ORDEN'!$J$2:$J$1153)</f>
        <v>53.83016</v>
      </c>
      <c r="O53" s="11" t="n">
        <f aca="false">SUMPRODUCT(('07_CALENDARIO'!$A$2:$A$397&gt;=F53)*('07_CALENDARIO'!$A$2:$A$397&lt;=G53)*'07_CALENDARIO'!$D$2:$D$397)*p_horas_productivas_dia</f>
        <v>104</v>
      </c>
      <c r="P53" s="5" t="n">
        <f aca="false">IF(N53&gt;O53+0.000001,1,0)</f>
        <v>0</v>
      </c>
      <c r="Q53" s="5" t="n">
        <f aca="false">IF(OR(WEEKDAY(F53,2)&gt;5,WEEKDAY(G53,2)&gt;5),1,0)</f>
        <v>0</v>
      </c>
      <c r="R53" s="5" t="n">
        <f aca="false">IF(COUNTIF('01_PRODUCTOS'!$B$2:$B$51,B53)&gt;0,1,0)</f>
        <v>1</v>
      </c>
      <c r="S53" s="2" t="s">
        <v>456</v>
      </c>
    </row>
    <row r="54" customFormat="false" ht="15" hidden="false" customHeight="false" outlineLevel="0" collapsed="false">
      <c r="A54" s="2" t="s">
        <v>577</v>
      </c>
      <c r="B54" s="2" t="s">
        <v>106</v>
      </c>
      <c r="C54" s="2" t="s">
        <v>105</v>
      </c>
      <c r="D54" s="4" t="n">
        <v>6</v>
      </c>
      <c r="E54" s="15" t="n">
        <v>45841</v>
      </c>
      <c r="F54" s="15" t="n">
        <v>45841</v>
      </c>
      <c r="G54" s="15" t="n">
        <v>45855</v>
      </c>
      <c r="H54" s="4" t="n">
        <v>10</v>
      </c>
      <c r="I54" s="2" t="s">
        <v>456</v>
      </c>
      <c r="J54" s="16" t="n">
        <f aca="false">INDEX('12_PRECIOS'!$D$2:$D$5,MATCH(C54,'12_PRECIOS'!$A$2:$A$5,0))</f>
        <v>1800.81</v>
      </c>
      <c r="K54" s="16" t="n">
        <f aca="false">J54*D54</f>
        <v>10804.86</v>
      </c>
      <c r="L54" s="16" t="n">
        <f aca="false">K54*INDEX('12_PRECIOS'!$E$2:$E$5,MATCH(C54,'12_PRECIOS'!$A$2:$A$5,0))</f>
        <v>1080.486</v>
      </c>
      <c r="M54" s="5" t="n">
        <f aca="false">G54-E54</f>
        <v>14</v>
      </c>
      <c r="N54" s="17" t="n">
        <f aca="false">SUMIF('09_CARGA_ORDEN'!$A$2:$A$1153,A54,'09_CARGA_ORDEN'!$J$2:$J$1153)</f>
        <v>28.1919</v>
      </c>
      <c r="O54" s="11" t="n">
        <f aca="false">SUMPRODUCT(('07_CALENDARIO'!$A$2:$A$397&gt;=F54)*('07_CALENDARIO'!$A$2:$A$397&lt;=G54)*'07_CALENDARIO'!$D$2:$D$397)*p_horas_productivas_dia</f>
        <v>88</v>
      </c>
      <c r="P54" s="5" t="n">
        <f aca="false">IF(N54&gt;O54+0.000001,1,0)</f>
        <v>0</v>
      </c>
      <c r="Q54" s="5" t="n">
        <f aca="false">IF(OR(WEEKDAY(F54,2)&gt;5,WEEKDAY(G54,2)&gt;5),1,0)</f>
        <v>0</v>
      </c>
      <c r="R54" s="5" t="n">
        <f aca="false">IF(COUNTIF('01_PRODUCTOS'!$B$2:$B$51,B54)&gt;0,1,0)</f>
        <v>1</v>
      </c>
      <c r="S54" s="2" t="s">
        <v>456</v>
      </c>
    </row>
    <row r="55" customFormat="false" ht="15" hidden="false" customHeight="false" outlineLevel="0" collapsed="false">
      <c r="A55" s="2" t="s">
        <v>578</v>
      </c>
      <c r="B55" s="2" t="s">
        <v>108</v>
      </c>
      <c r="C55" s="2" t="s">
        <v>105</v>
      </c>
      <c r="D55" s="4" t="n">
        <v>7</v>
      </c>
      <c r="E55" s="15" t="n">
        <v>45854</v>
      </c>
      <c r="F55" s="15" t="n">
        <v>45854</v>
      </c>
      <c r="G55" s="15" t="n">
        <v>45869</v>
      </c>
      <c r="H55" s="4" t="n">
        <v>10</v>
      </c>
      <c r="I55" s="2" t="s">
        <v>456</v>
      </c>
      <c r="J55" s="16" t="n">
        <f aca="false">INDEX('12_PRECIOS'!$D$2:$D$5,MATCH(C55,'12_PRECIOS'!$A$2:$A$5,0))</f>
        <v>1800.81</v>
      </c>
      <c r="K55" s="16" t="n">
        <f aca="false">J55*D55</f>
        <v>12605.67</v>
      </c>
      <c r="L55" s="16" t="n">
        <f aca="false">K55*INDEX('12_PRECIOS'!$E$2:$E$5,MATCH(C55,'12_PRECIOS'!$A$2:$A$5,0))</f>
        <v>1260.567</v>
      </c>
      <c r="M55" s="5" t="n">
        <f aca="false">G55-E55</f>
        <v>15</v>
      </c>
      <c r="N55" s="17" t="n">
        <f aca="false">SUMIF('09_CARGA_ORDEN'!$A$2:$A$1153,A55,'09_CARGA_ORDEN'!$J$2:$J$1153)</f>
        <v>45.0629333333333</v>
      </c>
      <c r="O55" s="11" t="n">
        <f aca="false">SUMPRODUCT(('07_CALENDARIO'!$A$2:$A$397&gt;=F55)*('07_CALENDARIO'!$A$2:$A$397&lt;=G55)*'07_CALENDARIO'!$D$2:$D$397)*p_horas_productivas_dia</f>
        <v>96</v>
      </c>
      <c r="P55" s="5" t="n">
        <f aca="false">IF(N55&gt;O55+0.000001,1,0)</f>
        <v>0</v>
      </c>
      <c r="Q55" s="5" t="n">
        <f aca="false">IF(OR(WEEKDAY(F55,2)&gt;5,WEEKDAY(G55,2)&gt;5),1,0)</f>
        <v>0</v>
      </c>
      <c r="R55" s="5" t="n">
        <f aca="false">IF(COUNTIF('01_PRODUCTOS'!$B$2:$B$51,B55)&gt;0,1,0)</f>
        <v>1</v>
      </c>
      <c r="S55" s="2" t="s">
        <v>456</v>
      </c>
    </row>
    <row r="56" customFormat="false" ht="15" hidden="false" customHeight="false" outlineLevel="0" collapsed="false">
      <c r="A56" s="2" t="s">
        <v>579</v>
      </c>
      <c r="B56" s="2" t="s">
        <v>119</v>
      </c>
      <c r="C56" s="2" t="s">
        <v>118</v>
      </c>
      <c r="D56" s="4" t="n">
        <v>11</v>
      </c>
      <c r="E56" s="15" t="n">
        <v>45841</v>
      </c>
      <c r="F56" s="15" t="n">
        <v>45841</v>
      </c>
      <c r="G56" s="15" t="n">
        <v>45856</v>
      </c>
      <c r="H56" s="4" t="n">
        <v>10</v>
      </c>
      <c r="I56" s="2" t="s">
        <v>456</v>
      </c>
      <c r="J56" s="16" t="n">
        <f aca="false">INDEX('12_PRECIOS'!$D$2:$D$5,MATCH(C56,'12_PRECIOS'!$A$2:$A$5,0))</f>
        <v>2322.4698</v>
      </c>
      <c r="K56" s="16" t="n">
        <f aca="false">J56*D56</f>
        <v>25547.1678</v>
      </c>
      <c r="L56" s="16" t="n">
        <f aca="false">K56*INDEX('12_PRECIOS'!$E$2:$E$5,MATCH(C56,'12_PRECIOS'!$A$2:$A$5,0))</f>
        <v>2554.71678</v>
      </c>
      <c r="M56" s="5" t="n">
        <f aca="false">G56-E56</f>
        <v>15</v>
      </c>
      <c r="N56" s="17" t="n">
        <f aca="false">SUMIF('09_CARGA_ORDEN'!$A$2:$A$1153,A56,'09_CARGA_ORDEN'!$J$2:$J$1153)</f>
        <v>42.6908666666667</v>
      </c>
      <c r="O56" s="11" t="n">
        <f aca="false">SUMPRODUCT(('07_CALENDARIO'!$A$2:$A$397&gt;=F56)*('07_CALENDARIO'!$A$2:$A$397&lt;=G56)*'07_CALENDARIO'!$D$2:$D$397)*p_horas_productivas_dia</f>
        <v>96</v>
      </c>
      <c r="P56" s="5" t="n">
        <f aca="false">IF(N56&gt;O56+0.000001,1,0)</f>
        <v>0</v>
      </c>
      <c r="Q56" s="5" t="n">
        <f aca="false">IF(OR(WEEKDAY(F56,2)&gt;5,WEEKDAY(G56,2)&gt;5),1,0)</f>
        <v>0</v>
      </c>
      <c r="R56" s="5" t="n">
        <f aca="false">IF(COUNTIF('01_PRODUCTOS'!$B$2:$B$51,B56)&gt;0,1,0)</f>
        <v>1</v>
      </c>
      <c r="S56" s="2" t="s">
        <v>456</v>
      </c>
    </row>
    <row r="57" customFormat="false" ht="15" hidden="false" customHeight="false" outlineLevel="0" collapsed="false">
      <c r="A57" s="2" t="s">
        <v>580</v>
      </c>
      <c r="B57" s="2" t="s">
        <v>121</v>
      </c>
      <c r="C57" s="2" t="s">
        <v>118</v>
      </c>
      <c r="D57" s="4" t="n">
        <v>12</v>
      </c>
      <c r="E57" s="15" t="n">
        <v>45854</v>
      </c>
      <c r="F57" s="15" t="n">
        <v>45854</v>
      </c>
      <c r="G57" s="15" t="n">
        <v>45872</v>
      </c>
      <c r="H57" s="4" t="n">
        <v>10</v>
      </c>
      <c r="I57" s="2" t="s">
        <v>456</v>
      </c>
      <c r="J57" s="16" t="n">
        <f aca="false">INDEX('12_PRECIOS'!$D$2:$D$5,MATCH(C57,'12_PRECIOS'!$A$2:$A$5,0))</f>
        <v>2322.4698</v>
      </c>
      <c r="K57" s="16" t="n">
        <f aca="false">J57*D57</f>
        <v>27869.6376</v>
      </c>
      <c r="L57" s="16" t="n">
        <f aca="false">K57*INDEX('12_PRECIOS'!$E$2:$E$5,MATCH(C57,'12_PRECIOS'!$A$2:$A$5,0))</f>
        <v>2786.96376</v>
      </c>
      <c r="M57" s="5" t="n">
        <f aca="false">G57-E57</f>
        <v>18</v>
      </c>
      <c r="N57" s="17" t="n">
        <f aca="false">SUMIF('09_CARGA_ORDEN'!$A$2:$A$1153,A57,'09_CARGA_ORDEN'!$J$2:$J$1153)</f>
        <v>73.7737066666667</v>
      </c>
      <c r="O57" s="11" t="n">
        <f aca="false">SUMPRODUCT(('07_CALENDARIO'!$A$2:$A$397&gt;=F57)*('07_CALENDARIO'!$A$2:$A$397&lt;=G57)*'07_CALENDARIO'!$D$2:$D$397)*p_horas_productivas_dia</f>
        <v>104</v>
      </c>
      <c r="P57" s="5" t="n">
        <f aca="false">IF(N57&gt;O57+0.000001,1,0)</f>
        <v>0</v>
      </c>
      <c r="Q57" s="5" t="n">
        <f aca="false">IF(OR(WEEKDAY(F57,2)&gt;5,WEEKDAY(G57,2)&gt;5),1,0)</f>
        <v>1</v>
      </c>
      <c r="R57" s="5" t="n">
        <f aca="false">IF(COUNTIF('01_PRODUCTOS'!$B$2:$B$51,B57)&gt;0,1,0)</f>
        <v>1</v>
      </c>
      <c r="S57" s="2" t="s">
        <v>456</v>
      </c>
    </row>
    <row r="58" customFormat="false" ht="15" hidden="false" customHeight="false" outlineLevel="0" collapsed="false">
      <c r="A58" s="2" t="s">
        <v>581</v>
      </c>
      <c r="B58" s="2" t="s">
        <v>80</v>
      </c>
      <c r="C58" s="2" t="s">
        <v>79</v>
      </c>
      <c r="D58" s="4" t="n">
        <v>13</v>
      </c>
      <c r="E58" s="15" t="n">
        <v>45872</v>
      </c>
      <c r="F58" s="15" t="n">
        <v>45872</v>
      </c>
      <c r="G58" s="15" t="n">
        <v>45889</v>
      </c>
      <c r="H58" s="4" t="n">
        <v>10</v>
      </c>
      <c r="I58" s="2" t="s">
        <v>456</v>
      </c>
      <c r="J58" s="16" t="n">
        <f aca="false">INDEX('12_PRECIOS'!$D$2:$D$5,MATCH(C58,'12_PRECIOS'!$A$2:$A$5,0))</f>
        <v>2650.49</v>
      </c>
      <c r="K58" s="16" t="n">
        <f aca="false">J58*D58</f>
        <v>34456.37</v>
      </c>
      <c r="L58" s="16" t="n">
        <f aca="false">K58*INDEX('12_PRECIOS'!$E$2:$E$5,MATCH(C58,'12_PRECIOS'!$A$2:$A$5,0))</f>
        <v>3445.637</v>
      </c>
      <c r="M58" s="5" t="n">
        <f aca="false">G58-E58</f>
        <v>17</v>
      </c>
      <c r="N58" s="17" t="n">
        <f aca="false">SUMIF('09_CARGA_ORDEN'!$A$2:$A$1153,A58,'09_CARGA_ORDEN'!$J$2:$J$1153)</f>
        <v>97.8558733333333</v>
      </c>
      <c r="O58" s="11" t="n">
        <f aca="false">SUMPRODUCT(('07_CALENDARIO'!$A$2:$A$397&gt;=F58)*('07_CALENDARIO'!$A$2:$A$397&lt;=G58)*'07_CALENDARIO'!$D$2:$D$397)*p_horas_productivas_dia</f>
        <v>104</v>
      </c>
      <c r="P58" s="5" t="n">
        <f aca="false">IF(N58&gt;O58+0.000001,1,0)</f>
        <v>0</v>
      </c>
      <c r="Q58" s="5" t="n">
        <f aca="false">IF(OR(WEEKDAY(F58,2)&gt;5,WEEKDAY(G58,2)&gt;5),1,0)</f>
        <v>1</v>
      </c>
      <c r="R58" s="5" t="n">
        <f aca="false">IF(COUNTIF('01_PRODUCTOS'!$B$2:$B$51,B58)&gt;0,1,0)</f>
        <v>1</v>
      </c>
      <c r="S58" s="2" t="s">
        <v>456</v>
      </c>
    </row>
    <row r="59" customFormat="false" ht="15" hidden="false" customHeight="false" outlineLevel="0" collapsed="false">
      <c r="A59" s="2" t="s">
        <v>582</v>
      </c>
      <c r="B59" s="2" t="s">
        <v>83</v>
      </c>
      <c r="C59" s="2" t="s">
        <v>79</v>
      </c>
      <c r="D59" s="4" t="n">
        <v>14</v>
      </c>
      <c r="E59" s="15" t="n">
        <v>45885</v>
      </c>
      <c r="F59" s="15" t="n">
        <v>45885</v>
      </c>
      <c r="G59" s="15" t="n">
        <v>45903</v>
      </c>
      <c r="H59" s="4" t="n">
        <v>10</v>
      </c>
      <c r="I59" s="2" t="s">
        <v>456</v>
      </c>
      <c r="J59" s="16" t="n">
        <f aca="false">INDEX('12_PRECIOS'!$D$2:$D$5,MATCH(C59,'12_PRECIOS'!$A$2:$A$5,0))</f>
        <v>2650.49</v>
      </c>
      <c r="K59" s="16" t="n">
        <f aca="false">J59*D59</f>
        <v>37106.86</v>
      </c>
      <c r="L59" s="16" t="n">
        <f aca="false">K59*INDEX('12_PRECIOS'!$E$2:$E$5,MATCH(C59,'12_PRECIOS'!$A$2:$A$5,0))</f>
        <v>3710.686</v>
      </c>
      <c r="M59" s="5" t="n">
        <f aca="false">G59-E59</f>
        <v>18</v>
      </c>
      <c r="N59" s="17" t="n">
        <f aca="false">SUMIF('09_CARGA_ORDEN'!$A$2:$A$1153,A59,'09_CARGA_ORDEN'!$J$2:$J$1153)</f>
        <v>116.8326</v>
      </c>
      <c r="O59" s="11" t="n">
        <f aca="false">SUMPRODUCT(('07_CALENDARIO'!$A$2:$A$397&gt;=F59)*('07_CALENDARIO'!$A$2:$A$397&lt;=G59)*'07_CALENDARIO'!$D$2:$D$397)*p_horas_productivas_dia</f>
        <v>104</v>
      </c>
      <c r="P59" s="5" t="n">
        <f aca="false">IF(N59&gt;O59+0.000001,1,0)</f>
        <v>1</v>
      </c>
      <c r="Q59" s="5" t="n">
        <f aca="false">IF(OR(WEEKDAY(F59,2)&gt;5,WEEKDAY(G59,2)&gt;5),1,0)</f>
        <v>1</v>
      </c>
      <c r="R59" s="5" t="n">
        <f aca="false">IF(COUNTIF('01_PRODUCTOS'!$B$2:$B$51,B59)&gt;0,1,0)</f>
        <v>1</v>
      </c>
      <c r="S59" s="2" t="s">
        <v>456</v>
      </c>
    </row>
    <row r="60" customFormat="false" ht="15" hidden="false" customHeight="false" outlineLevel="0" collapsed="false">
      <c r="A60" s="2" t="s">
        <v>583</v>
      </c>
      <c r="B60" s="2" t="s">
        <v>94</v>
      </c>
      <c r="C60" s="2" t="s">
        <v>93</v>
      </c>
      <c r="D60" s="4" t="n">
        <v>8</v>
      </c>
      <c r="E60" s="15" t="n">
        <v>45872</v>
      </c>
      <c r="F60" s="15" t="n">
        <v>45872</v>
      </c>
      <c r="G60" s="15" t="n">
        <v>45887</v>
      </c>
      <c r="H60" s="4" t="n">
        <v>10</v>
      </c>
      <c r="I60" s="2" t="s">
        <v>456</v>
      </c>
      <c r="J60" s="16" t="n">
        <f aca="false">INDEX('12_PRECIOS'!$D$2:$D$5,MATCH(C60,'12_PRECIOS'!$A$2:$A$5,0))</f>
        <v>2150.57</v>
      </c>
      <c r="K60" s="16" t="n">
        <f aca="false">J60*D60</f>
        <v>17204.56</v>
      </c>
      <c r="L60" s="16" t="n">
        <f aca="false">K60*INDEX('12_PRECIOS'!$E$2:$E$5,MATCH(C60,'12_PRECIOS'!$A$2:$A$5,0))</f>
        <v>1720.456</v>
      </c>
      <c r="M60" s="5" t="n">
        <f aca="false">G60-E60</f>
        <v>15</v>
      </c>
      <c r="N60" s="17" t="n">
        <f aca="false">SUMIF('09_CARGA_ORDEN'!$A$2:$A$1153,A60,'09_CARGA_ORDEN'!$J$2:$J$1153)</f>
        <v>77.93136</v>
      </c>
      <c r="O60" s="11" t="n">
        <f aca="false">SUMPRODUCT(('07_CALENDARIO'!$A$2:$A$397&gt;=F60)*('07_CALENDARIO'!$A$2:$A$397&lt;=G60)*'07_CALENDARIO'!$D$2:$D$397)*p_horas_productivas_dia</f>
        <v>88</v>
      </c>
      <c r="P60" s="5" t="n">
        <f aca="false">IF(N60&gt;O60+0.000001,1,0)</f>
        <v>0</v>
      </c>
      <c r="Q60" s="5" t="n">
        <f aca="false">IF(OR(WEEKDAY(F60,2)&gt;5,WEEKDAY(G60,2)&gt;5),1,0)</f>
        <v>1</v>
      </c>
      <c r="R60" s="5" t="n">
        <f aca="false">IF(COUNTIF('01_PRODUCTOS'!$B$2:$B$51,B60)&gt;0,1,0)</f>
        <v>1</v>
      </c>
      <c r="S60" s="2" t="s">
        <v>456</v>
      </c>
    </row>
    <row r="61" customFormat="false" ht="15" hidden="false" customHeight="false" outlineLevel="0" collapsed="false">
      <c r="A61" s="2" t="s">
        <v>584</v>
      </c>
      <c r="B61" s="2" t="s">
        <v>96</v>
      </c>
      <c r="C61" s="2" t="s">
        <v>93</v>
      </c>
      <c r="D61" s="4" t="n">
        <v>8</v>
      </c>
      <c r="E61" s="15" t="n">
        <v>45885</v>
      </c>
      <c r="F61" s="15" t="n">
        <v>45885</v>
      </c>
      <c r="G61" s="15" t="n">
        <v>45901</v>
      </c>
      <c r="H61" s="4" t="n">
        <v>10</v>
      </c>
      <c r="I61" s="2" t="s">
        <v>456</v>
      </c>
      <c r="J61" s="16" t="n">
        <f aca="false">INDEX('12_PRECIOS'!$D$2:$D$5,MATCH(C61,'12_PRECIOS'!$A$2:$A$5,0))</f>
        <v>2150.57</v>
      </c>
      <c r="K61" s="16" t="n">
        <f aca="false">J61*D61</f>
        <v>17204.56</v>
      </c>
      <c r="L61" s="16" t="n">
        <f aca="false">K61*INDEX('12_PRECIOS'!$E$2:$E$5,MATCH(C61,'12_PRECIOS'!$A$2:$A$5,0))</f>
        <v>1720.456</v>
      </c>
      <c r="M61" s="5" t="n">
        <f aca="false">G61-E61</f>
        <v>16</v>
      </c>
      <c r="N61" s="17" t="n">
        <f aca="false">SUMIF('09_CARGA_ORDEN'!$A$2:$A$1153,A61,'09_CARGA_ORDEN'!$J$2:$J$1153)</f>
        <v>53.83016</v>
      </c>
      <c r="O61" s="11" t="n">
        <f aca="false">SUMPRODUCT(('07_CALENDARIO'!$A$2:$A$397&gt;=F61)*('07_CALENDARIO'!$A$2:$A$397&lt;=G61)*'07_CALENDARIO'!$D$2:$D$397)*p_horas_productivas_dia</f>
        <v>88</v>
      </c>
      <c r="P61" s="5" t="n">
        <f aca="false">IF(N61&gt;O61+0.000001,1,0)</f>
        <v>0</v>
      </c>
      <c r="Q61" s="5" t="n">
        <f aca="false">IF(OR(WEEKDAY(F61,2)&gt;5,WEEKDAY(G61,2)&gt;5),1,0)</f>
        <v>1</v>
      </c>
      <c r="R61" s="5" t="n">
        <f aca="false">IF(COUNTIF('01_PRODUCTOS'!$B$2:$B$51,B61)&gt;0,1,0)</f>
        <v>1</v>
      </c>
      <c r="S61" s="2" t="s">
        <v>456</v>
      </c>
    </row>
    <row r="62" customFormat="false" ht="15" hidden="false" customHeight="false" outlineLevel="0" collapsed="false">
      <c r="A62" s="2" t="s">
        <v>585</v>
      </c>
      <c r="B62" s="2" t="s">
        <v>106</v>
      </c>
      <c r="C62" s="2" t="s">
        <v>105</v>
      </c>
      <c r="D62" s="4" t="n">
        <v>6</v>
      </c>
      <c r="E62" s="15" t="n">
        <v>45872</v>
      </c>
      <c r="F62" s="15" t="n">
        <v>45872</v>
      </c>
      <c r="G62" s="15" t="n">
        <v>45886</v>
      </c>
      <c r="H62" s="4" t="n">
        <v>10</v>
      </c>
      <c r="I62" s="2" t="s">
        <v>456</v>
      </c>
      <c r="J62" s="16" t="n">
        <f aca="false">INDEX('12_PRECIOS'!$D$2:$D$5,MATCH(C62,'12_PRECIOS'!$A$2:$A$5,0))</f>
        <v>1800.81</v>
      </c>
      <c r="K62" s="16" t="n">
        <f aca="false">J62*D62</f>
        <v>10804.86</v>
      </c>
      <c r="L62" s="16" t="n">
        <f aca="false">K62*INDEX('12_PRECIOS'!$E$2:$E$5,MATCH(C62,'12_PRECIOS'!$A$2:$A$5,0))</f>
        <v>1080.486</v>
      </c>
      <c r="M62" s="5" t="n">
        <f aca="false">G62-E62</f>
        <v>14</v>
      </c>
      <c r="N62" s="17" t="n">
        <f aca="false">SUMIF('09_CARGA_ORDEN'!$A$2:$A$1153,A62,'09_CARGA_ORDEN'!$J$2:$J$1153)</f>
        <v>28.1919</v>
      </c>
      <c r="O62" s="11" t="n">
        <f aca="false">SUMPRODUCT(('07_CALENDARIO'!$A$2:$A$397&gt;=F62)*('07_CALENDARIO'!$A$2:$A$397&lt;=G62)*'07_CALENDARIO'!$D$2:$D$397)*p_horas_productivas_dia</f>
        <v>80</v>
      </c>
      <c r="P62" s="5" t="n">
        <f aca="false">IF(N62&gt;O62+0.000001,1,0)</f>
        <v>0</v>
      </c>
      <c r="Q62" s="5" t="n">
        <f aca="false">IF(OR(WEEKDAY(F62,2)&gt;5,WEEKDAY(G62,2)&gt;5),1,0)</f>
        <v>1</v>
      </c>
      <c r="R62" s="5" t="n">
        <f aca="false">IF(COUNTIF('01_PRODUCTOS'!$B$2:$B$51,B62)&gt;0,1,0)</f>
        <v>1</v>
      </c>
      <c r="S62" s="2" t="s">
        <v>456</v>
      </c>
    </row>
    <row r="63" customFormat="false" ht="15" hidden="false" customHeight="false" outlineLevel="0" collapsed="false">
      <c r="A63" s="2" t="s">
        <v>586</v>
      </c>
      <c r="B63" s="2" t="s">
        <v>108</v>
      </c>
      <c r="C63" s="2" t="s">
        <v>105</v>
      </c>
      <c r="D63" s="4" t="n">
        <v>7</v>
      </c>
      <c r="E63" s="15" t="n">
        <v>45885</v>
      </c>
      <c r="F63" s="15" t="n">
        <v>45885</v>
      </c>
      <c r="G63" s="15" t="n">
        <v>45900</v>
      </c>
      <c r="H63" s="4" t="n">
        <v>10</v>
      </c>
      <c r="I63" s="2" t="s">
        <v>456</v>
      </c>
      <c r="J63" s="16" t="n">
        <f aca="false">INDEX('12_PRECIOS'!$D$2:$D$5,MATCH(C63,'12_PRECIOS'!$A$2:$A$5,0))</f>
        <v>1800.81</v>
      </c>
      <c r="K63" s="16" t="n">
        <f aca="false">J63*D63</f>
        <v>12605.67</v>
      </c>
      <c r="L63" s="16" t="n">
        <f aca="false">K63*INDEX('12_PRECIOS'!$E$2:$E$5,MATCH(C63,'12_PRECIOS'!$A$2:$A$5,0))</f>
        <v>1260.567</v>
      </c>
      <c r="M63" s="5" t="n">
        <f aca="false">G63-E63</f>
        <v>15</v>
      </c>
      <c r="N63" s="17" t="n">
        <f aca="false">SUMIF('09_CARGA_ORDEN'!$A$2:$A$1153,A63,'09_CARGA_ORDEN'!$J$2:$J$1153)</f>
        <v>45.0629333333333</v>
      </c>
      <c r="O63" s="11" t="n">
        <f aca="false">SUMPRODUCT(('07_CALENDARIO'!$A$2:$A$397&gt;=F63)*('07_CALENDARIO'!$A$2:$A$397&lt;=G63)*'07_CALENDARIO'!$D$2:$D$397)*p_horas_productivas_dia</f>
        <v>80</v>
      </c>
      <c r="P63" s="5" t="n">
        <f aca="false">IF(N63&gt;O63+0.000001,1,0)</f>
        <v>0</v>
      </c>
      <c r="Q63" s="5" t="n">
        <f aca="false">IF(OR(WEEKDAY(F63,2)&gt;5,WEEKDAY(G63,2)&gt;5),1,0)</f>
        <v>1</v>
      </c>
      <c r="R63" s="5" t="n">
        <f aca="false">IF(COUNTIF('01_PRODUCTOS'!$B$2:$B$51,B63)&gt;0,1,0)</f>
        <v>1</v>
      </c>
      <c r="S63" s="2" t="s">
        <v>456</v>
      </c>
    </row>
    <row r="64" customFormat="false" ht="15" hidden="false" customHeight="false" outlineLevel="0" collapsed="false">
      <c r="A64" s="2" t="s">
        <v>587</v>
      </c>
      <c r="B64" s="2" t="s">
        <v>119</v>
      </c>
      <c r="C64" s="2" t="s">
        <v>118</v>
      </c>
      <c r="D64" s="4" t="n">
        <v>11</v>
      </c>
      <c r="E64" s="15" t="n">
        <v>45872</v>
      </c>
      <c r="F64" s="15" t="n">
        <v>45872</v>
      </c>
      <c r="G64" s="15" t="n">
        <v>45887</v>
      </c>
      <c r="H64" s="4" t="n">
        <v>10</v>
      </c>
      <c r="I64" s="2" t="s">
        <v>456</v>
      </c>
      <c r="J64" s="16" t="n">
        <f aca="false">INDEX('12_PRECIOS'!$D$2:$D$5,MATCH(C64,'12_PRECIOS'!$A$2:$A$5,0))</f>
        <v>2322.4698</v>
      </c>
      <c r="K64" s="16" t="n">
        <f aca="false">J64*D64</f>
        <v>25547.1678</v>
      </c>
      <c r="L64" s="16" t="n">
        <f aca="false">K64*INDEX('12_PRECIOS'!$E$2:$E$5,MATCH(C64,'12_PRECIOS'!$A$2:$A$5,0))</f>
        <v>2554.71678</v>
      </c>
      <c r="M64" s="5" t="n">
        <f aca="false">G64-E64</f>
        <v>15</v>
      </c>
      <c r="N64" s="17" t="n">
        <f aca="false">SUMIF('09_CARGA_ORDEN'!$A$2:$A$1153,A64,'09_CARGA_ORDEN'!$J$2:$J$1153)</f>
        <v>42.6908666666667</v>
      </c>
      <c r="O64" s="11" t="n">
        <f aca="false">SUMPRODUCT(('07_CALENDARIO'!$A$2:$A$397&gt;=F64)*('07_CALENDARIO'!$A$2:$A$397&lt;=G64)*'07_CALENDARIO'!$D$2:$D$397)*p_horas_productivas_dia</f>
        <v>88</v>
      </c>
      <c r="P64" s="5" t="n">
        <f aca="false">IF(N64&gt;O64+0.000001,1,0)</f>
        <v>0</v>
      </c>
      <c r="Q64" s="5" t="n">
        <f aca="false">IF(OR(WEEKDAY(F64,2)&gt;5,WEEKDAY(G64,2)&gt;5),1,0)</f>
        <v>1</v>
      </c>
      <c r="R64" s="5" t="n">
        <f aca="false">IF(COUNTIF('01_PRODUCTOS'!$B$2:$B$51,B64)&gt;0,1,0)</f>
        <v>1</v>
      </c>
      <c r="S64" s="2" t="s">
        <v>456</v>
      </c>
    </row>
    <row r="65" customFormat="false" ht="15" hidden="false" customHeight="false" outlineLevel="0" collapsed="false">
      <c r="A65" s="2" t="s">
        <v>588</v>
      </c>
      <c r="B65" s="2" t="s">
        <v>121</v>
      </c>
      <c r="C65" s="2" t="s">
        <v>118</v>
      </c>
      <c r="D65" s="4" t="n">
        <v>12</v>
      </c>
      <c r="E65" s="15" t="n">
        <v>45885</v>
      </c>
      <c r="F65" s="15" t="n">
        <v>45885</v>
      </c>
      <c r="G65" s="15" t="n">
        <v>45903</v>
      </c>
      <c r="H65" s="4" t="n">
        <v>10</v>
      </c>
      <c r="I65" s="2" t="s">
        <v>456</v>
      </c>
      <c r="J65" s="16" t="n">
        <f aca="false">INDEX('12_PRECIOS'!$D$2:$D$5,MATCH(C65,'12_PRECIOS'!$A$2:$A$5,0))</f>
        <v>2322.4698</v>
      </c>
      <c r="K65" s="16" t="n">
        <f aca="false">J65*D65</f>
        <v>27869.6376</v>
      </c>
      <c r="L65" s="16" t="n">
        <f aca="false">K65*INDEX('12_PRECIOS'!$E$2:$E$5,MATCH(C65,'12_PRECIOS'!$A$2:$A$5,0))</f>
        <v>2786.96376</v>
      </c>
      <c r="M65" s="5" t="n">
        <f aca="false">G65-E65</f>
        <v>18</v>
      </c>
      <c r="N65" s="17" t="n">
        <f aca="false">SUMIF('09_CARGA_ORDEN'!$A$2:$A$1153,A65,'09_CARGA_ORDEN'!$J$2:$J$1153)</f>
        <v>73.7737066666667</v>
      </c>
      <c r="O65" s="11" t="n">
        <f aca="false">SUMPRODUCT(('07_CALENDARIO'!$A$2:$A$397&gt;=F65)*('07_CALENDARIO'!$A$2:$A$397&lt;=G65)*'07_CALENDARIO'!$D$2:$D$397)*p_horas_productivas_dia</f>
        <v>104</v>
      </c>
      <c r="P65" s="5" t="n">
        <f aca="false">IF(N65&gt;O65+0.000001,1,0)</f>
        <v>0</v>
      </c>
      <c r="Q65" s="5" t="n">
        <f aca="false">IF(OR(WEEKDAY(F65,2)&gt;5,WEEKDAY(G65,2)&gt;5),1,0)</f>
        <v>1</v>
      </c>
      <c r="R65" s="5" t="n">
        <f aca="false">IF(COUNTIF('01_PRODUCTOS'!$B$2:$B$51,B65)&gt;0,1,0)</f>
        <v>1</v>
      </c>
      <c r="S65" s="2" t="s">
        <v>456</v>
      </c>
    </row>
    <row r="66" customFormat="false" ht="15" hidden="false" customHeight="false" outlineLevel="0" collapsed="false">
      <c r="A66" s="2" t="s">
        <v>589</v>
      </c>
      <c r="B66" s="2" t="s">
        <v>80</v>
      </c>
      <c r="C66" s="2" t="s">
        <v>79</v>
      </c>
      <c r="D66" s="4" t="n">
        <v>12</v>
      </c>
      <c r="E66" s="15" t="n">
        <v>45903</v>
      </c>
      <c r="F66" s="15" t="n">
        <v>45903</v>
      </c>
      <c r="G66" s="15" t="n">
        <v>45920</v>
      </c>
      <c r="H66" s="4" t="n">
        <v>10</v>
      </c>
      <c r="I66" s="2" t="s">
        <v>456</v>
      </c>
      <c r="J66" s="16" t="n">
        <f aca="false">INDEX('12_PRECIOS'!$D$2:$D$5,MATCH(C66,'12_PRECIOS'!$A$2:$A$5,0))</f>
        <v>2650.49</v>
      </c>
      <c r="K66" s="16" t="n">
        <f aca="false">J66*D66</f>
        <v>31805.88</v>
      </c>
      <c r="L66" s="16" t="n">
        <f aca="false">K66*INDEX('12_PRECIOS'!$E$2:$E$5,MATCH(C66,'12_PRECIOS'!$A$2:$A$5,0))</f>
        <v>3180.588</v>
      </c>
      <c r="M66" s="5" t="n">
        <f aca="false">G66-E66</f>
        <v>17</v>
      </c>
      <c r="N66" s="17" t="n">
        <f aca="false">SUMIF('09_CARGA_ORDEN'!$A$2:$A$1153,A66,'09_CARGA_ORDEN'!$J$2:$J$1153)</f>
        <v>90.66696</v>
      </c>
      <c r="O66" s="11" t="n">
        <f aca="false">SUMPRODUCT(('07_CALENDARIO'!$A$2:$A$397&gt;=F66)*('07_CALENDARIO'!$A$2:$A$397&lt;=G66)*'07_CALENDARIO'!$D$2:$D$397)*p_horas_productivas_dia</f>
        <v>104</v>
      </c>
      <c r="P66" s="5" t="n">
        <f aca="false">IF(N66&gt;O66+0.000001,1,0)</f>
        <v>0</v>
      </c>
      <c r="Q66" s="5" t="n">
        <f aca="false">IF(OR(WEEKDAY(F66,2)&gt;5,WEEKDAY(G66,2)&gt;5),1,0)</f>
        <v>1</v>
      </c>
      <c r="R66" s="5" t="n">
        <f aca="false">IF(COUNTIF('01_PRODUCTOS'!$B$2:$B$51,B66)&gt;0,1,0)</f>
        <v>1</v>
      </c>
      <c r="S66" s="2" t="s">
        <v>456</v>
      </c>
    </row>
    <row r="67" customFormat="false" ht="15" hidden="false" customHeight="false" outlineLevel="0" collapsed="false">
      <c r="A67" s="2" t="s">
        <v>590</v>
      </c>
      <c r="B67" s="2" t="s">
        <v>83</v>
      </c>
      <c r="C67" s="2" t="s">
        <v>79</v>
      </c>
      <c r="D67" s="4" t="n">
        <v>12</v>
      </c>
      <c r="E67" s="15" t="n">
        <v>45916</v>
      </c>
      <c r="F67" s="15" t="n">
        <v>45916</v>
      </c>
      <c r="G67" s="15" t="n">
        <v>45934</v>
      </c>
      <c r="H67" s="4" t="n">
        <v>10</v>
      </c>
      <c r="I67" s="2" t="s">
        <v>456</v>
      </c>
      <c r="J67" s="16" t="n">
        <f aca="false">INDEX('12_PRECIOS'!$D$2:$D$5,MATCH(C67,'12_PRECIOS'!$A$2:$A$5,0))</f>
        <v>2650.49</v>
      </c>
      <c r="K67" s="16" t="n">
        <f aca="false">J67*D67</f>
        <v>31805.88</v>
      </c>
      <c r="L67" s="16" t="n">
        <f aca="false">K67*INDEX('12_PRECIOS'!$E$2:$E$5,MATCH(C67,'12_PRECIOS'!$A$2:$A$5,0))</f>
        <v>3180.588</v>
      </c>
      <c r="M67" s="5" t="n">
        <f aca="false">G67-E67</f>
        <v>18</v>
      </c>
      <c r="N67" s="17" t="n">
        <f aca="false">SUMIF('09_CARGA_ORDEN'!$A$2:$A$1153,A67,'09_CARGA_ORDEN'!$J$2:$J$1153)</f>
        <v>100.7708</v>
      </c>
      <c r="O67" s="11" t="n">
        <f aca="false">SUMPRODUCT(('07_CALENDARIO'!$A$2:$A$397&gt;=F67)*('07_CALENDARIO'!$A$2:$A$397&lt;=G67)*'07_CALENDARIO'!$D$2:$D$397)*p_horas_productivas_dia</f>
        <v>112</v>
      </c>
      <c r="P67" s="5" t="n">
        <f aca="false">IF(N67&gt;O67+0.000001,1,0)</f>
        <v>0</v>
      </c>
      <c r="Q67" s="5" t="n">
        <f aca="false">IF(OR(WEEKDAY(F67,2)&gt;5,WEEKDAY(G67,2)&gt;5),1,0)</f>
        <v>1</v>
      </c>
      <c r="R67" s="5" t="n">
        <f aca="false">IF(COUNTIF('01_PRODUCTOS'!$B$2:$B$51,B67)&gt;0,1,0)</f>
        <v>1</v>
      </c>
      <c r="S67" s="2" t="s">
        <v>456</v>
      </c>
    </row>
    <row r="68" customFormat="false" ht="15" hidden="false" customHeight="false" outlineLevel="0" collapsed="false">
      <c r="A68" s="2" t="s">
        <v>591</v>
      </c>
      <c r="B68" s="2" t="s">
        <v>94</v>
      </c>
      <c r="C68" s="2" t="s">
        <v>93</v>
      </c>
      <c r="D68" s="4" t="n">
        <v>6</v>
      </c>
      <c r="E68" s="15" t="n">
        <v>45903</v>
      </c>
      <c r="F68" s="15" t="n">
        <v>45903</v>
      </c>
      <c r="G68" s="15" t="n">
        <v>45918</v>
      </c>
      <c r="H68" s="4" t="n">
        <v>10</v>
      </c>
      <c r="I68" s="2" t="s">
        <v>456</v>
      </c>
      <c r="J68" s="16" t="n">
        <f aca="false">INDEX('12_PRECIOS'!$D$2:$D$5,MATCH(C68,'12_PRECIOS'!$A$2:$A$5,0))</f>
        <v>2150.57</v>
      </c>
      <c r="K68" s="16" t="n">
        <f aca="false">J68*D68</f>
        <v>12903.42</v>
      </c>
      <c r="L68" s="16" t="n">
        <f aca="false">K68*INDEX('12_PRECIOS'!$E$2:$E$5,MATCH(C68,'12_PRECIOS'!$A$2:$A$5,0))</f>
        <v>1290.342</v>
      </c>
      <c r="M68" s="5" t="n">
        <f aca="false">G68-E68</f>
        <v>15</v>
      </c>
      <c r="N68" s="17" t="n">
        <f aca="false">SUMIF('09_CARGA_ORDEN'!$A$2:$A$1153,A68,'09_CARGA_ORDEN'!$J$2:$J$1153)</f>
        <v>58.9568533333333</v>
      </c>
      <c r="O68" s="11" t="n">
        <f aca="false">SUMPRODUCT(('07_CALENDARIO'!$A$2:$A$397&gt;=F68)*('07_CALENDARIO'!$A$2:$A$397&lt;=G68)*'07_CALENDARIO'!$D$2:$D$397)*p_horas_productivas_dia</f>
        <v>96</v>
      </c>
      <c r="P68" s="5" t="n">
        <f aca="false">IF(N68&gt;O68+0.000001,1,0)</f>
        <v>0</v>
      </c>
      <c r="Q68" s="5" t="n">
        <f aca="false">IF(OR(WEEKDAY(F68,2)&gt;5,WEEKDAY(G68,2)&gt;5),1,0)</f>
        <v>0</v>
      </c>
      <c r="R68" s="5" t="n">
        <f aca="false">IF(COUNTIF('01_PRODUCTOS'!$B$2:$B$51,B68)&gt;0,1,0)</f>
        <v>1</v>
      </c>
      <c r="S68" s="2" t="s">
        <v>456</v>
      </c>
    </row>
    <row r="69" customFormat="false" ht="15" hidden="false" customHeight="false" outlineLevel="0" collapsed="false">
      <c r="A69" s="2" t="s">
        <v>592</v>
      </c>
      <c r="B69" s="2" t="s">
        <v>96</v>
      </c>
      <c r="C69" s="2" t="s">
        <v>93</v>
      </c>
      <c r="D69" s="4" t="n">
        <v>7</v>
      </c>
      <c r="E69" s="15" t="n">
        <v>45916</v>
      </c>
      <c r="F69" s="15" t="n">
        <v>45916</v>
      </c>
      <c r="G69" s="15" t="n">
        <v>45932</v>
      </c>
      <c r="H69" s="4" t="n">
        <v>10</v>
      </c>
      <c r="I69" s="2" t="s">
        <v>456</v>
      </c>
      <c r="J69" s="16" t="n">
        <f aca="false">INDEX('12_PRECIOS'!$D$2:$D$5,MATCH(C69,'12_PRECIOS'!$A$2:$A$5,0))</f>
        <v>2150.57</v>
      </c>
      <c r="K69" s="16" t="n">
        <f aca="false">J69*D69</f>
        <v>15053.99</v>
      </c>
      <c r="L69" s="16" t="n">
        <f aca="false">K69*INDEX('12_PRECIOS'!$E$2:$E$5,MATCH(C69,'12_PRECIOS'!$A$2:$A$5,0))</f>
        <v>1505.399</v>
      </c>
      <c r="M69" s="5" t="n">
        <f aca="false">G69-E69</f>
        <v>16</v>
      </c>
      <c r="N69" s="17" t="n">
        <f aca="false">SUMIF('09_CARGA_ORDEN'!$A$2:$A$1153,A69,'09_CARGA_ORDEN'!$J$2:$J$1153)</f>
        <v>47.37639</v>
      </c>
      <c r="O69" s="11" t="n">
        <f aca="false">SUMPRODUCT(('07_CALENDARIO'!$A$2:$A$397&gt;=F69)*('07_CALENDARIO'!$A$2:$A$397&lt;=G69)*'07_CALENDARIO'!$D$2:$D$397)*p_horas_productivas_dia</f>
        <v>104</v>
      </c>
      <c r="P69" s="5" t="n">
        <f aca="false">IF(N69&gt;O69+0.000001,1,0)</f>
        <v>0</v>
      </c>
      <c r="Q69" s="5" t="n">
        <f aca="false">IF(OR(WEEKDAY(F69,2)&gt;5,WEEKDAY(G69,2)&gt;5),1,0)</f>
        <v>0</v>
      </c>
      <c r="R69" s="5" t="n">
        <f aca="false">IF(COUNTIF('01_PRODUCTOS'!$B$2:$B$51,B69)&gt;0,1,0)</f>
        <v>1</v>
      </c>
      <c r="S69" s="2" t="s">
        <v>456</v>
      </c>
    </row>
    <row r="70" customFormat="false" ht="15" hidden="false" customHeight="false" outlineLevel="0" collapsed="false">
      <c r="A70" s="2" t="s">
        <v>593</v>
      </c>
      <c r="B70" s="2" t="s">
        <v>106</v>
      </c>
      <c r="C70" s="2" t="s">
        <v>105</v>
      </c>
      <c r="D70" s="4" t="n">
        <v>5</v>
      </c>
      <c r="E70" s="15" t="n">
        <v>45903</v>
      </c>
      <c r="F70" s="15" t="n">
        <v>45903</v>
      </c>
      <c r="G70" s="15" t="n">
        <v>45917</v>
      </c>
      <c r="H70" s="4" t="n">
        <v>10</v>
      </c>
      <c r="I70" s="2" t="s">
        <v>456</v>
      </c>
      <c r="J70" s="16" t="n">
        <f aca="false">INDEX('12_PRECIOS'!$D$2:$D$5,MATCH(C70,'12_PRECIOS'!$A$2:$A$5,0))</f>
        <v>1800.81</v>
      </c>
      <c r="K70" s="16" t="n">
        <f aca="false">J70*D70</f>
        <v>9004.05</v>
      </c>
      <c r="L70" s="16" t="n">
        <f aca="false">K70*INDEX('12_PRECIOS'!$E$2:$E$5,MATCH(C70,'12_PRECIOS'!$A$2:$A$5,0))</f>
        <v>900.405</v>
      </c>
      <c r="M70" s="5" t="n">
        <f aca="false">G70-E70</f>
        <v>14</v>
      </c>
      <c r="N70" s="17" t="n">
        <f aca="false">SUMIF('09_CARGA_ORDEN'!$A$2:$A$1153,A70,'09_CARGA_ORDEN'!$J$2:$J$1153)</f>
        <v>23.8099166666667</v>
      </c>
      <c r="O70" s="11" t="n">
        <f aca="false">SUMPRODUCT(('07_CALENDARIO'!$A$2:$A$397&gt;=F70)*('07_CALENDARIO'!$A$2:$A$397&lt;=G70)*'07_CALENDARIO'!$D$2:$D$397)*p_horas_productivas_dia</f>
        <v>88</v>
      </c>
      <c r="P70" s="5" t="n">
        <f aca="false">IF(N70&gt;O70+0.000001,1,0)</f>
        <v>0</v>
      </c>
      <c r="Q70" s="5" t="n">
        <f aca="false">IF(OR(WEEKDAY(F70,2)&gt;5,WEEKDAY(G70,2)&gt;5),1,0)</f>
        <v>0</v>
      </c>
      <c r="R70" s="5" t="n">
        <f aca="false">IF(COUNTIF('01_PRODUCTOS'!$B$2:$B$51,B70)&gt;0,1,0)</f>
        <v>1</v>
      </c>
      <c r="S70" s="2" t="s">
        <v>456</v>
      </c>
    </row>
    <row r="71" customFormat="false" ht="15" hidden="false" customHeight="false" outlineLevel="0" collapsed="false">
      <c r="A71" s="2" t="s">
        <v>594</v>
      </c>
      <c r="B71" s="2" t="s">
        <v>108</v>
      </c>
      <c r="C71" s="2" t="s">
        <v>105</v>
      </c>
      <c r="D71" s="4" t="n">
        <v>6</v>
      </c>
      <c r="E71" s="15" t="n">
        <v>45916</v>
      </c>
      <c r="F71" s="15" t="n">
        <v>45916</v>
      </c>
      <c r="G71" s="15" t="n">
        <v>45931</v>
      </c>
      <c r="H71" s="4" t="n">
        <v>10</v>
      </c>
      <c r="I71" s="2" t="s">
        <v>456</v>
      </c>
      <c r="J71" s="16" t="n">
        <f aca="false">INDEX('12_PRECIOS'!$D$2:$D$5,MATCH(C71,'12_PRECIOS'!$A$2:$A$5,0))</f>
        <v>1800.81</v>
      </c>
      <c r="K71" s="16" t="n">
        <f aca="false">J71*D71</f>
        <v>10804.86</v>
      </c>
      <c r="L71" s="16" t="n">
        <f aca="false">K71*INDEX('12_PRECIOS'!$E$2:$E$5,MATCH(C71,'12_PRECIOS'!$A$2:$A$5,0))</f>
        <v>1080.486</v>
      </c>
      <c r="M71" s="5" t="n">
        <f aca="false">G71-E71</f>
        <v>15</v>
      </c>
      <c r="N71" s="17" t="n">
        <f aca="false">SUMIF('09_CARGA_ORDEN'!$A$2:$A$1153,A71,'09_CARGA_ORDEN'!$J$2:$J$1153)</f>
        <v>38.8968</v>
      </c>
      <c r="O71" s="11" t="n">
        <f aca="false">SUMPRODUCT(('07_CALENDARIO'!$A$2:$A$397&gt;=F71)*('07_CALENDARIO'!$A$2:$A$397&lt;=G71)*'07_CALENDARIO'!$D$2:$D$397)*p_horas_productivas_dia</f>
        <v>96</v>
      </c>
      <c r="P71" s="5" t="n">
        <f aca="false">IF(N71&gt;O71+0.000001,1,0)</f>
        <v>0</v>
      </c>
      <c r="Q71" s="5" t="n">
        <f aca="false">IF(OR(WEEKDAY(F71,2)&gt;5,WEEKDAY(G71,2)&gt;5),1,0)</f>
        <v>0</v>
      </c>
      <c r="R71" s="5" t="n">
        <f aca="false">IF(COUNTIF('01_PRODUCTOS'!$B$2:$B$51,B71)&gt;0,1,0)</f>
        <v>1</v>
      </c>
      <c r="S71" s="2" t="s">
        <v>456</v>
      </c>
    </row>
    <row r="72" customFormat="false" ht="15" hidden="false" customHeight="false" outlineLevel="0" collapsed="false">
      <c r="A72" s="2" t="s">
        <v>595</v>
      </c>
      <c r="B72" s="2" t="s">
        <v>119</v>
      </c>
      <c r="C72" s="2" t="s">
        <v>118</v>
      </c>
      <c r="D72" s="4" t="n">
        <v>10</v>
      </c>
      <c r="E72" s="15" t="n">
        <v>45903</v>
      </c>
      <c r="F72" s="15" t="n">
        <v>45903</v>
      </c>
      <c r="G72" s="15" t="n">
        <v>45918</v>
      </c>
      <c r="H72" s="4" t="n">
        <v>10</v>
      </c>
      <c r="I72" s="2" t="s">
        <v>456</v>
      </c>
      <c r="J72" s="16" t="n">
        <f aca="false">INDEX('12_PRECIOS'!$D$2:$D$5,MATCH(C72,'12_PRECIOS'!$A$2:$A$5,0))</f>
        <v>2322.4698</v>
      </c>
      <c r="K72" s="16" t="n">
        <f aca="false">J72*D72</f>
        <v>23224.698</v>
      </c>
      <c r="L72" s="16" t="n">
        <f aca="false">K72*INDEX('12_PRECIOS'!$E$2:$E$5,MATCH(C72,'12_PRECIOS'!$A$2:$A$5,0))</f>
        <v>2322.4698</v>
      </c>
      <c r="M72" s="5" t="n">
        <f aca="false">G72-E72</f>
        <v>15</v>
      </c>
      <c r="N72" s="17" t="n">
        <f aca="false">SUMIF('09_CARGA_ORDEN'!$A$2:$A$1153,A72,'09_CARGA_ORDEN'!$J$2:$J$1153)</f>
        <v>37.2553333333333</v>
      </c>
      <c r="O72" s="11" t="n">
        <f aca="false">SUMPRODUCT(('07_CALENDARIO'!$A$2:$A$397&gt;=F72)*('07_CALENDARIO'!$A$2:$A$397&lt;=G72)*'07_CALENDARIO'!$D$2:$D$397)*p_horas_productivas_dia</f>
        <v>96</v>
      </c>
      <c r="P72" s="5" t="n">
        <f aca="false">IF(N72&gt;O72+0.000001,1,0)</f>
        <v>0</v>
      </c>
      <c r="Q72" s="5" t="n">
        <f aca="false">IF(OR(WEEKDAY(F72,2)&gt;5,WEEKDAY(G72,2)&gt;5),1,0)</f>
        <v>0</v>
      </c>
      <c r="R72" s="5" t="n">
        <f aca="false">IF(COUNTIF('01_PRODUCTOS'!$B$2:$B$51,B72)&gt;0,1,0)</f>
        <v>1</v>
      </c>
      <c r="S72" s="2" t="s">
        <v>456</v>
      </c>
    </row>
    <row r="73" customFormat="false" ht="15" hidden="false" customHeight="false" outlineLevel="0" collapsed="false">
      <c r="A73" s="2" t="s">
        <v>596</v>
      </c>
      <c r="B73" s="2" t="s">
        <v>121</v>
      </c>
      <c r="C73" s="2" t="s">
        <v>118</v>
      </c>
      <c r="D73" s="4" t="n">
        <v>10</v>
      </c>
      <c r="E73" s="15" t="n">
        <v>45916</v>
      </c>
      <c r="F73" s="15" t="n">
        <v>45916</v>
      </c>
      <c r="G73" s="15" t="n">
        <v>45932</v>
      </c>
      <c r="H73" s="4" t="n">
        <v>10</v>
      </c>
      <c r="I73" s="2" t="s">
        <v>456</v>
      </c>
      <c r="J73" s="16" t="n">
        <f aca="false">INDEX('12_PRECIOS'!$D$2:$D$5,MATCH(C73,'12_PRECIOS'!$A$2:$A$5,0))</f>
        <v>2322.4698</v>
      </c>
      <c r="K73" s="16" t="n">
        <f aca="false">J73*D73</f>
        <v>23224.698</v>
      </c>
      <c r="L73" s="16" t="n">
        <f aca="false">K73*INDEX('12_PRECIOS'!$E$2:$E$5,MATCH(C73,'12_PRECIOS'!$A$2:$A$5,0))</f>
        <v>2322.4698</v>
      </c>
      <c r="M73" s="5" t="n">
        <f aca="false">G73-E73</f>
        <v>16</v>
      </c>
      <c r="N73" s="17" t="n">
        <f aca="false">SUMIF('09_CARGA_ORDEN'!$A$2:$A$1153,A73,'09_CARGA_ORDEN'!$J$2:$J$1153)</f>
        <v>60.1225333333333</v>
      </c>
      <c r="O73" s="11" t="n">
        <f aca="false">SUMPRODUCT(('07_CALENDARIO'!$A$2:$A$397&gt;=F73)*('07_CALENDARIO'!$A$2:$A$397&lt;=G73)*'07_CALENDARIO'!$D$2:$D$397)*p_horas_productivas_dia</f>
        <v>104</v>
      </c>
      <c r="P73" s="5" t="n">
        <f aca="false">IF(N73&gt;O73+0.000001,1,0)</f>
        <v>0</v>
      </c>
      <c r="Q73" s="5" t="n">
        <f aca="false">IF(OR(WEEKDAY(F73,2)&gt;5,WEEKDAY(G73,2)&gt;5),1,0)</f>
        <v>0</v>
      </c>
      <c r="R73" s="5" t="n">
        <f aca="false">IF(COUNTIF('01_PRODUCTOS'!$B$2:$B$51,B73)&gt;0,1,0)</f>
        <v>1</v>
      </c>
      <c r="S73" s="2" t="s">
        <v>456</v>
      </c>
    </row>
    <row r="74" customFormat="false" ht="15" hidden="false" customHeight="false" outlineLevel="0" collapsed="false">
      <c r="A74" s="2" t="s">
        <v>597</v>
      </c>
      <c r="B74" s="2" t="s">
        <v>80</v>
      </c>
      <c r="C74" s="2" t="s">
        <v>79</v>
      </c>
      <c r="D74" s="4" t="n">
        <v>12</v>
      </c>
      <c r="E74" s="15" t="n">
        <v>45933</v>
      </c>
      <c r="F74" s="15" t="n">
        <v>45933</v>
      </c>
      <c r="G74" s="15" t="n">
        <v>45950</v>
      </c>
      <c r="H74" s="4" t="n">
        <v>10</v>
      </c>
      <c r="I74" s="2" t="s">
        <v>456</v>
      </c>
      <c r="J74" s="16" t="n">
        <f aca="false">INDEX('12_PRECIOS'!$D$2:$D$5,MATCH(C74,'12_PRECIOS'!$A$2:$A$5,0))</f>
        <v>2650.49</v>
      </c>
      <c r="K74" s="16" t="n">
        <f aca="false">J74*D74</f>
        <v>31805.88</v>
      </c>
      <c r="L74" s="16" t="n">
        <f aca="false">K74*INDEX('12_PRECIOS'!$E$2:$E$5,MATCH(C74,'12_PRECIOS'!$A$2:$A$5,0))</f>
        <v>3180.588</v>
      </c>
      <c r="M74" s="5" t="n">
        <f aca="false">G74-E74</f>
        <v>17</v>
      </c>
      <c r="N74" s="17" t="n">
        <f aca="false">SUMIF('09_CARGA_ORDEN'!$A$2:$A$1153,A74,'09_CARGA_ORDEN'!$J$2:$J$1153)</f>
        <v>90.66696</v>
      </c>
      <c r="O74" s="11" t="n">
        <f aca="false">SUMPRODUCT(('07_CALENDARIO'!$A$2:$A$397&gt;=F74)*('07_CALENDARIO'!$A$2:$A$397&lt;=G74)*'07_CALENDARIO'!$D$2:$D$397)*p_horas_productivas_dia</f>
        <v>96</v>
      </c>
      <c r="P74" s="5" t="n">
        <f aca="false">IF(N74&gt;O74+0.000001,1,0)</f>
        <v>0</v>
      </c>
      <c r="Q74" s="5" t="n">
        <f aca="false">IF(OR(WEEKDAY(F74,2)&gt;5,WEEKDAY(G74,2)&gt;5),1,0)</f>
        <v>0</v>
      </c>
      <c r="R74" s="5" t="n">
        <f aca="false">IF(COUNTIF('01_PRODUCTOS'!$B$2:$B$51,B74)&gt;0,1,0)</f>
        <v>1</v>
      </c>
      <c r="S74" s="2" t="s">
        <v>456</v>
      </c>
    </row>
    <row r="75" customFormat="false" ht="15" hidden="false" customHeight="false" outlineLevel="0" collapsed="false">
      <c r="A75" s="2" t="s">
        <v>598</v>
      </c>
      <c r="B75" s="2" t="s">
        <v>83</v>
      </c>
      <c r="C75" s="2" t="s">
        <v>79</v>
      </c>
      <c r="D75" s="4" t="n">
        <v>12</v>
      </c>
      <c r="E75" s="15" t="n">
        <v>45946</v>
      </c>
      <c r="F75" s="15" t="n">
        <v>45946</v>
      </c>
      <c r="G75" s="15" t="n">
        <v>45964</v>
      </c>
      <c r="H75" s="4" t="n">
        <v>10</v>
      </c>
      <c r="I75" s="2" t="s">
        <v>456</v>
      </c>
      <c r="J75" s="16" t="n">
        <f aca="false">INDEX('12_PRECIOS'!$D$2:$D$5,MATCH(C75,'12_PRECIOS'!$A$2:$A$5,0))</f>
        <v>2650.49</v>
      </c>
      <c r="K75" s="16" t="n">
        <f aca="false">J75*D75</f>
        <v>31805.88</v>
      </c>
      <c r="L75" s="16" t="n">
        <f aca="false">K75*INDEX('12_PRECIOS'!$E$2:$E$5,MATCH(C75,'12_PRECIOS'!$A$2:$A$5,0))</f>
        <v>3180.588</v>
      </c>
      <c r="M75" s="5" t="n">
        <f aca="false">G75-E75</f>
        <v>18</v>
      </c>
      <c r="N75" s="17" t="n">
        <f aca="false">SUMIF('09_CARGA_ORDEN'!$A$2:$A$1153,A75,'09_CARGA_ORDEN'!$J$2:$J$1153)</f>
        <v>100.7708</v>
      </c>
      <c r="O75" s="11" t="n">
        <f aca="false">SUMPRODUCT(('07_CALENDARIO'!$A$2:$A$397&gt;=F75)*('07_CALENDARIO'!$A$2:$A$397&lt;=G75)*'07_CALENDARIO'!$D$2:$D$397)*p_horas_productivas_dia</f>
        <v>104</v>
      </c>
      <c r="P75" s="5" t="n">
        <f aca="false">IF(N75&gt;O75+0.000001,1,0)</f>
        <v>0</v>
      </c>
      <c r="Q75" s="5" t="n">
        <f aca="false">IF(OR(WEEKDAY(F75,2)&gt;5,WEEKDAY(G75,2)&gt;5),1,0)</f>
        <v>0</v>
      </c>
      <c r="R75" s="5" t="n">
        <f aca="false">IF(COUNTIF('01_PRODUCTOS'!$B$2:$B$51,B75)&gt;0,1,0)</f>
        <v>1</v>
      </c>
      <c r="S75" s="2" t="s">
        <v>456</v>
      </c>
    </row>
    <row r="76" customFormat="false" ht="15" hidden="false" customHeight="false" outlineLevel="0" collapsed="false">
      <c r="A76" s="2" t="s">
        <v>599</v>
      </c>
      <c r="B76" s="2" t="s">
        <v>94</v>
      </c>
      <c r="C76" s="2" t="s">
        <v>93</v>
      </c>
      <c r="D76" s="4" t="n">
        <v>6</v>
      </c>
      <c r="E76" s="15" t="n">
        <v>45933</v>
      </c>
      <c r="F76" s="15" t="n">
        <v>45933</v>
      </c>
      <c r="G76" s="15" t="n">
        <v>45948</v>
      </c>
      <c r="H76" s="4" t="n">
        <v>10</v>
      </c>
      <c r="I76" s="2" t="s">
        <v>456</v>
      </c>
      <c r="J76" s="16" t="n">
        <f aca="false">INDEX('12_PRECIOS'!$D$2:$D$5,MATCH(C76,'12_PRECIOS'!$A$2:$A$5,0))</f>
        <v>2150.57</v>
      </c>
      <c r="K76" s="16" t="n">
        <f aca="false">J76*D76</f>
        <v>12903.42</v>
      </c>
      <c r="L76" s="16" t="n">
        <f aca="false">K76*INDEX('12_PRECIOS'!$E$2:$E$5,MATCH(C76,'12_PRECIOS'!$A$2:$A$5,0))</f>
        <v>1290.342</v>
      </c>
      <c r="M76" s="5" t="n">
        <f aca="false">G76-E76</f>
        <v>15</v>
      </c>
      <c r="N76" s="17" t="n">
        <f aca="false">SUMIF('09_CARGA_ORDEN'!$A$2:$A$1153,A76,'09_CARGA_ORDEN'!$J$2:$J$1153)</f>
        <v>58.9568533333333</v>
      </c>
      <c r="O76" s="11" t="n">
        <f aca="false">SUMPRODUCT(('07_CALENDARIO'!$A$2:$A$397&gt;=F76)*('07_CALENDARIO'!$A$2:$A$397&lt;=G76)*'07_CALENDARIO'!$D$2:$D$397)*p_horas_productivas_dia</f>
        <v>88</v>
      </c>
      <c r="P76" s="5" t="n">
        <f aca="false">IF(N76&gt;O76+0.000001,1,0)</f>
        <v>0</v>
      </c>
      <c r="Q76" s="5" t="n">
        <f aca="false">IF(OR(WEEKDAY(F76,2)&gt;5,WEEKDAY(G76,2)&gt;5),1,0)</f>
        <v>1</v>
      </c>
      <c r="R76" s="5" t="n">
        <f aca="false">IF(COUNTIF('01_PRODUCTOS'!$B$2:$B$51,B76)&gt;0,1,0)</f>
        <v>1</v>
      </c>
      <c r="S76" s="2" t="s">
        <v>456</v>
      </c>
    </row>
    <row r="77" customFormat="false" ht="15" hidden="false" customHeight="false" outlineLevel="0" collapsed="false">
      <c r="A77" s="2" t="s">
        <v>600</v>
      </c>
      <c r="B77" s="2" t="s">
        <v>96</v>
      </c>
      <c r="C77" s="2" t="s">
        <v>93</v>
      </c>
      <c r="D77" s="4" t="n">
        <v>7</v>
      </c>
      <c r="E77" s="15" t="n">
        <v>45946</v>
      </c>
      <c r="F77" s="15" t="n">
        <v>45946</v>
      </c>
      <c r="G77" s="15" t="n">
        <v>45962</v>
      </c>
      <c r="H77" s="4" t="n">
        <v>10</v>
      </c>
      <c r="I77" s="2" t="s">
        <v>456</v>
      </c>
      <c r="J77" s="16" t="n">
        <f aca="false">INDEX('12_PRECIOS'!$D$2:$D$5,MATCH(C77,'12_PRECIOS'!$A$2:$A$5,0))</f>
        <v>2150.57</v>
      </c>
      <c r="K77" s="16" t="n">
        <f aca="false">J77*D77</f>
        <v>15053.99</v>
      </c>
      <c r="L77" s="16" t="n">
        <f aca="false">K77*INDEX('12_PRECIOS'!$E$2:$E$5,MATCH(C77,'12_PRECIOS'!$A$2:$A$5,0))</f>
        <v>1505.399</v>
      </c>
      <c r="M77" s="5" t="n">
        <f aca="false">G77-E77</f>
        <v>16</v>
      </c>
      <c r="N77" s="17" t="n">
        <f aca="false">SUMIF('09_CARGA_ORDEN'!$A$2:$A$1153,A77,'09_CARGA_ORDEN'!$J$2:$J$1153)</f>
        <v>47.37639</v>
      </c>
      <c r="O77" s="11" t="n">
        <f aca="false">SUMPRODUCT(('07_CALENDARIO'!$A$2:$A$397&gt;=F77)*('07_CALENDARIO'!$A$2:$A$397&lt;=G77)*'07_CALENDARIO'!$D$2:$D$397)*p_horas_productivas_dia</f>
        <v>96</v>
      </c>
      <c r="P77" s="5" t="n">
        <f aca="false">IF(N77&gt;O77+0.000001,1,0)</f>
        <v>0</v>
      </c>
      <c r="Q77" s="5" t="n">
        <f aca="false">IF(OR(WEEKDAY(F77,2)&gt;5,WEEKDAY(G77,2)&gt;5),1,0)</f>
        <v>1</v>
      </c>
      <c r="R77" s="5" t="n">
        <f aca="false">IF(COUNTIF('01_PRODUCTOS'!$B$2:$B$51,B77)&gt;0,1,0)</f>
        <v>1</v>
      </c>
      <c r="S77" s="2" t="s">
        <v>456</v>
      </c>
    </row>
    <row r="78" customFormat="false" ht="15" hidden="false" customHeight="false" outlineLevel="0" collapsed="false">
      <c r="A78" s="2" t="s">
        <v>601</v>
      </c>
      <c r="B78" s="2" t="s">
        <v>106</v>
      </c>
      <c r="C78" s="2" t="s">
        <v>105</v>
      </c>
      <c r="D78" s="4" t="n">
        <v>5</v>
      </c>
      <c r="E78" s="15" t="n">
        <v>45933</v>
      </c>
      <c r="F78" s="15" t="n">
        <v>45933</v>
      </c>
      <c r="G78" s="15" t="n">
        <v>45947</v>
      </c>
      <c r="H78" s="4" t="n">
        <v>10</v>
      </c>
      <c r="I78" s="2" t="s">
        <v>456</v>
      </c>
      <c r="J78" s="16" t="n">
        <f aca="false">INDEX('12_PRECIOS'!$D$2:$D$5,MATCH(C78,'12_PRECIOS'!$A$2:$A$5,0))</f>
        <v>1800.81</v>
      </c>
      <c r="K78" s="16" t="n">
        <f aca="false">J78*D78</f>
        <v>9004.05</v>
      </c>
      <c r="L78" s="16" t="n">
        <f aca="false">K78*INDEX('12_PRECIOS'!$E$2:$E$5,MATCH(C78,'12_PRECIOS'!$A$2:$A$5,0))</f>
        <v>900.405</v>
      </c>
      <c r="M78" s="5" t="n">
        <f aca="false">G78-E78</f>
        <v>14</v>
      </c>
      <c r="N78" s="17" t="n">
        <f aca="false">SUMIF('09_CARGA_ORDEN'!$A$2:$A$1153,A78,'09_CARGA_ORDEN'!$J$2:$J$1153)</f>
        <v>23.8099166666667</v>
      </c>
      <c r="O78" s="11" t="n">
        <f aca="false">SUMPRODUCT(('07_CALENDARIO'!$A$2:$A$397&gt;=F78)*('07_CALENDARIO'!$A$2:$A$397&lt;=G78)*'07_CALENDARIO'!$D$2:$D$397)*p_horas_productivas_dia</f>
        <v>88</v>
      </c>
      <c r="P78" s="5" t="n">
        <f aca="false">IF(N78&gt;O78+0.000001,1,0)</f>
        <v>0</v>
      </c>
      <c r="Q78" s="5" t="n">
        <f aca="false">IF(OR(WEEKDAY(F78,2)&gt;5,WEEKDAY(G78,2)&gt;5),1,0)</f>
        <v>0</v>
      </c>
      <c r="R78" s="5" t="n">
        <f aca="false">IF(COUNTIF('01_PRODUCTOS'!$B$2:$B$51,B78)&gt;0,1,0)</f>
        <v>1</v>
      </c>
      <c r="S78" s="2" t="s">
        <v>456</v>
      </c>
    </row>
    <row r="79" customFormat="false" ht="15" hidden="false" customHeight="false" outlineLevel="0" collapsed="false">
      <c r="A79" s="2" t="s">
        <v>602</v>
      </c>
      <c r="B79" s="2" t="s">
        <v>108</v>
      </c>
      <c r="C79" s="2" t="s">
        <v>105</v>
      </c>
      <c r="D79" s="4" t="n">
        <v>6</v>
      </c>
      <c r="E79" s="15" t="n">
        <v>45946</v>
      </c>
      <c r="F79" s="15" t="n">
        <v>45946</v>
      </c>
      <c r="G79" s="15" t="n">
        <v>45961</v>
      </c>
      <c r="H79" s="4" t="n">
        <v>10</v>
      </c>
      <c r="I79" s="2" t="s">
        <v>456</v>
      </c>
      <c r="J79" s="16" t="n">
        <f aca="false">INDEX('12_PRECIOS'!$D$2:$D$5,MATCH(C79,'12_PRECIOS'!$A$2:$A$5,0))</f>
        <v>1800.81</v>
      </c>
      <c r="K79" s="16" t="n">
        <f aca="false">J79*D79</f>
        <v>10804.86</v>
      </c>
      <c r="L79" s="16" t="n">
        <f aca="false">K79*INDEX('12_PRECIOS'!$E$2:$E$5,MATCH(C79,'12_PRECIOS'!$A$2:$A$5,0))</f>
        <v>1080.486</v>
      </c>
      <c r="M79" s="5" t="n">
        <f aca="false">G79-E79</f>
        <v>15</v>
      </c>
      <c r="N79" s="17" t="n">
        <f aca="false">SUMIF('09_CARGA_ORDEN'!$A$2:$A$1153,A79,'09_CARGA_ORDEN'!$J$2:$J$1153)</f>
        <v>38.8968</v>
      </c>
      <c r="O79" s="11" t="n">
        <f aca="false">SUMPRODUCT(('07_CALENDARIO'!$A$2:$A$397&gt;=F79)*('07_CALENDARIO'!$A$2:$A$397&lt;=G79)*'07_CALENDARIO'!$D$2:$D$397)*p_horas_productivas_dia</f>
        <v>96</v>
      </c>
      <c r="P79" s="5" t="n">
        <f aca="false">IF(N79&gt;O79+0.000001,1,0)</f>
        <v>0</v>
      </c>
      <c r="Q79" s="5" t="n">
        <f aca="false">IF(OR(WEEKDAY(F79,2)&gt;5,WEEKDAY(G79,2)&gt;5),1,0)</f>
        <v>0</v>
      </c>
      <c r="R79" s="5" t="n">
        <f aca="false">IF(COUNTIF('01_PRODUCTOS'!$B$2:$B$51,B79)&gt;0,1,0)</f>
        <v>1</v>
      </c>
      <c r="S79" s="2" t="s">
        <v>456</v>
      </c>
    </row>
    <row r="80" customFormat="false" ht="15" hidden="false" customHeight="false" outlineLevel="0" collapsed="false">
      <c r="A80" s="2" t="s">
        <v>603</v>
      </c>
      <c r="B80" s="2" t="s">
        <v>119</v>
      </c>
      <c r="C80" s="2" t="s">
        <v>118</v>
      </c>
      <c r="D80" s="4" t="n">
        <v>10</v>
      </c>
      <c r="E80" s="15" t="n">
        <v>45933</v>
      </c>
      <c r="F80" s="15" t="n">
        <v>45933</v>
      </c>
      <c r="G80" s="15" t="n">
        <v>45948</v>
      </c>
      <c r="H80" s="4" t="n">
        <v>10</v>
      </c>
      <c r="I80" s="2" t="s">
        <v>456</v>
      </c>
      <c r="J80" s="16" t="n">
        <f aca="false">INDEX('12_PRECIOS'!$D$2:$D$5,MATCH(C80,'12_PRECIOS'!$A$2:$A$5,0))</f>
        <v>2322.4698</v>
      </c>
      <c r="K80" s="16" t="n">
        <f aca="false">J80*D80</f>
        <v>23224.698</v>
      </c>
      <c r="L80" s="16" t="n">
        <f aca="false">K80*INDEX('12_PRECIOS'!$E$2:$E$5,MATCH(C80,'12_PRECIOS'!$A$2:$A$5,0))</f>
        <v>2322.4698</v>
      </c>
      <c r="M80" s="5" t="n">
        <f aca="false">G80-E80</f>
        <v>15</v>
      </c>
      <c r="N80" s="17" t="n">
        <f aca="false">SUMIF('09_CARGA_ORDEN'!$A$2:$A$1153,A80,'09_CARGA_ORDEN'!$J$2:$J$1153)</f>
        <v>37.2553333333333</v>
      </c>
      <c r="O80" s="11" t="n">
        <f aca="false">SUMPRODUCT(('07_CALENDARIO'!$A$2:$A$397&gt;=F80)*('07_CALENDARIO'!$A$2:$A$397&lt;=G80)*'07_CALENDARIO'!$D$2:$D$397)*p_horas_productivas_dia</f>
        <v>88</v>
      </c>
      <c r="P80" s="5" t="n">
        <f aca="false">IF(N80&gt;O80+0.000001,1,0)</f>
        <v>0</v>
      </c>
      <c r="Q80" s="5" t="n">
        <f aca="false">IF(OR(WEEKDAY(F80,2)&gt;5,WEEKDAY(G80,2)&gt;5),1,0)</f>
        <v>1</v>
      </c>
      <c r="R80" s="5" t="n">
        <f aca="false">IF(COUNTIF('01_PRODUCTOS'!$B$2:$B$51,B80)&gt;0,1,0)</f>
        <v>1</v>
      </c>
      <c r="S80" s="2" t="s">
        <v>456</v>
      </c>
    </row>
    <row r="81" customFormat="false" ht="15" hidden="false" customHeight="false" outlineLevel="0" collapsed="false">
      <c r="A81" s="2" t="s">
        <v>604</v>
      </c>
      <c r="B81" s="2" t="s">
        <v>121</v>
      </c>
      <c r="C81" s="2" t="s">
        <v>118</v>
      </c>
      <c r="D81" s="4" t="n">
        <v>10</v>
      </c>
      <c r="E81" s="15" t="n">
        <v>45946</v>
      </c>
      <c r="F81" s="15" t="n">
        <v>45946</v>
      </c>
      <c r="G81" s="15" t="n">
        <v>45962</v>
      </c>
      <c r="H81" s="4" t="n">
        <v>10</v>
      </c>
      <c r="I81" s="2" t="s">
        <v>456</v>
      </c>
      <c r="J81" s="16" t="n">
        <f aca="false">INDEX('12_PRECIOS'!$D$2:$D$5,MATCH(C81,'12_PRECIOS'!$A$2:$A$5,0))</f>
        <v>2322.4698</v>
      </c>
      <c r="K81" s="16" t="n">
        <f aca="false">J81*D81</f>
        <v>23224.698</v>
      </c>
      <c r="L81" s="16" t="n">
        <f aca="false">K81*INDEX('12_PRECIOS'!$E$2:$E$5,MATCH(C81,'12_PRECIOS'!$A$2:$A$5,0))</f>
        <v>2322.4698</v>
      </c>
      <c r="M81" s="5" t="n">
        <f aca="false">G81-E81</f>
        <v>16</v>
      </c>
      <c r="N81" s="17" t="n">
        <f aca="false">SUMIF('09_CARGA_ORDEN'!$A$2:$A$1153,A81,'09_CARGA_ORDEN'!$J$2:$J$1153)</f>
        <v>60.1225333333333</v>
      </c>
      <c r="O81" s="11" t="n">
        <f aca="false">SUMPRODUCT(('07_CALENDARIO'!$A$2:$A$397&gt;=F81)*('07_CALENDARIO'!$A$2:$A$397&lt;=G81)*'07_CALENDARIO'!$D$2:$D$397)*p_horas_productivas_dia</f>
        <v>96</v>
      </c>
      <c r="P81" s="5" t="n">
        <f aca="false">IF(N81&gt;O81+0.000001,1,0)</f>
        <v>0</v>
      </c>
      <c r="Q81" s="5" t="n">
        <f aca="false">IF(OR(WEEKDAY(F81,2)&gt;5,WEEKDAY(G81,2)&gt;5),1,0)</f>
        <v>1</v>
      </c>
      <c r="R81" s="5" t="n">
        <f aca="false">IF(COUNTIF('01_PRODUCTOS'!$B$2:$B$51,B81)&gt;0,1,0)</f>
        <v>1</v>
      </c>
      <c r="S81" s="2" t="s">
        <v>456</v>
      </c>
    </row>
    <row r="82" customFormat="false" ht="15" hidden="false" customHeight="false" outlineLevel="0" collapsed="false">
      <c r="A82" s="2" t="s">
        <v>605</v>
      </c>
      <c r="B82" s="2" t="s">
        <v>80</v>
      </c>
      <c r="C82" s="2" t="s">
        <v>79</v>
      </c>
      <c r="D82" s="4" t="n">
        <v>11</v>
      </c>
      <c r="E82" s="15" t="n">
        <v>45964</v>
      </c>
      <c r="F82" s="15" t="n">
        <v>45964</v>
      </c>
      <c r="G82" s="15" t="n">
        <v>45979</v>
      </c>
      <c r="H82" s="4" t="n">
        <v>10</v>
      </c>
      <c r="I82" s="2" t="s">
        <v>456</v>
      </c>
      <c r="J82" s="16" t="n">
        <f aca="false">INDEX('12_PRECIOS'!$D$2:$D$5,MATCH(C82,'12_PRECIOS'!$A$2:$A$5,0))</f>
        <v>2650.49</v>
      </c>
      <c r="K82" s="16" t="n">
        <f aca="false">J82*D82</f>
        <v>29155.39</v>
      </c>
      <c r="L82" s="16" t="n">
        <f aca="false">K82*INDEX('12_PRECIOS'!$E$2:$E$5,MATCH(C82,'12_PRECIOS'!$A$2:$A$5,0))</f>
        <v>2915.539</v>
      </c>
      <c r="M82" s="5" t="n">
        <f aca="false">G82-E82</f>
        <v>15</v>
      </c>
      <c r="N82" s="17" t="n">
        <f aca="false">SUMIF('09_CARGA_ORDEN'!$A$2:$A$1153,A82,'09_CARGA_ORDEN'!$J$2:$J$1153)</f>
        <v>83.4780466666667</v>
      </c>
      <c r="O82" s="11" t="n">
        <f aca="false">SUMPRODUCT(('07_CALENDARIO'!$A$2:$A$397&gt;=F82)*('07_CALENDARIO'!$A$2:$A$397&lt;=G82)*'07_CALENDARIO'!$D$2:$D$397)*p_horas_productivas_dia</f>
        <v>96</v>
      </c>
      <c r="P82" s="5" t="n">
        <f aca="false">IF(N82&gt;O82+0.000001,1,0)</f>
        <v>0</v>
      </c>
      <c r="Q82" s="5" t="n">
        <f aca="false">IF(OR(WEEKDAY(F82,2)&gt;5,WEEKDAY(G82,2)&gt;5),1,0)</f>
        <v>0</v>
      </c>
      <c r="R82" s="5" t="n">
        <f aca="false">IF(COUNTIF('01_PRODUCTOS'!$B$2:$B$51,B82)&gt;0,1,0)</f>
        <v>1</v>
      </c>
      <c r="S82" s="2" t="s">
        <v>456</v>
      </c>
    </row>
    <row r="83" customFormat="false" ht="15" hidden="false" customHeight="false" outlineLevel="0" collapsed="false">
      <c r="A83" s="2" t="s">
        <v>606</v>
      </c>
      <c r="B83" s="2" t="s">
        <v>83</v>
      </c>
      <c r="C83" s="2" t="s">
        <v>79</v>
      </c>
      <c r="D83" s="4" t="n">
        <v>12</v>
      </c>
      <c r="E83" s="15" t="n">
        <v>45977</v>
      </c>
      <c r="F83" s="15" t="n">
        <v>45977</v>
      </c>
      <c r="G83" s="15" t="n">
        <v>45995</v>
      </c>
      <c r="H83" s="4" t="n">
        <v>10</v>
      </c>
      <c r="I83" s="2" t="s">
        <v>456</v>
      </c>
      <c r="J83" s="16" t="n">
        <f aca="false">INDEX('12_PRECIOS'!$D$2:$D$5,MATCH(C83,'12_PRECIOS'!$A$2:$A$5,0))</f>
        <v>2650.49</v>
      </c>
      <c r="K83" s="16" t="n">
        <f aca="false">J83*D83</f>
        <v>31805.88</v>
      </c>
      <c r="L83" s="16" t="n">
        <f aca="false">K83*INDEX('12_PRECIOS'!$E$2:$E$5,MATCH(C83,'12_PRECIOS'!$A$2:$A$5,0))</f>
        <v>3180.588</v>
      </c>
      <c r="M83" s="5" t="n">
        <f aca="false">G83-E83</f>
        <v>18</v>
      </c>
      <c r="N83" s="17" t="n">
        <f aca="false">SUMIF('09_CARGA_ORDEN'!$A$2:$A$1153,A83,'09_CARGA_ORDEN'!$J$2:$J$1153)</f>
        <v>100.7708</v>
      </c>
      <c r="O83" s="11" t="n">
        <f aca="false">SUMPRODUCT(('07_CALENDARIO'!$A$2:$A$397&gt;=F83)*('07_CALENDARIO'!$A$2:$A$397&lt;=G83)*'07_CALENDARIO'!$D$2:$D$397)*p_horas_productivas_dia</f>
        <v>112</v>
      </c>
      <c r="P83" s="5" t="n">
        <f aca="false">IF(N83&gt;O83+0.000001,1,0)</f>
        <v>0</v>
      </c>
      <c r="Q83" s="5" t="n">
        <f aca="false">IF(OR(WEEKDAY(F83,2)&gt;5,WEEKDAY(G83,2)&gt;5),1,0)</f>
        <v>1</v>
      </c>
      <c r="R83" s="5" t="n">
        <f aca="false">IF(COUNTIF('01_PRODUCTOS'!$B$2:$B$51,B83)&gt;0,1,0)</f>
        <v>1</v>
      </c>
      <c r="S83" s="2" t="s">
        <v>456</v>
      </c>
    </row>
    <row r="84" customFormat="false" ht="15" hidden="false" customHeight="false" outlineLevel="0" collapsed="false">
      <c r="A84" s="2" t="s">
        <v>607</v>
      </c>
      <c r="B84" s="2" t="s">
        <v>94</v>
      </c>
      <c r="C84" s="2" t="s">
        <v>93</v>
      </c>
      <c r="D84" s="4" t="n">
        <v>6</v>
      </c>
      <c r="E84" s="15" t="n">
        <v>45964</v>
      </c>
      <c r="F84" s="15" t="n">
        <v>45964</v>
      </c>
      <c r="G84" s="15" t="n">
        <v>45979</v>
      </c>
      <c r="H84" s="4" t="n">
        <v>10</v>
      </c>
      <c r="I84" s="2" t="s">
        <v>456</v>
      </c>
      <c r="J84" s="16" t="n">
        <f aca="false">INDEX('12_PRECIOS'!$D$2:$D$5,MATCH(C84,'12_PRECIOS'!$A$2:$A$5,0))</f>
        <v>2150.57</v>
      </c>
      <c r="K84" s="16" t="n">
        <f aca="false">J84*D84</f>
        <v>12903.42</v>
      </c>
      <c r="L84" s="16" t="n">
        <f aca="false">K84*INDEX('12_PRECIOS'!$E$2:$E$5,MATCH(C84,'12_PRECIOS'!$A$2:$A$5,0))</f>
        <v>1290.342</v>
      </c>
      <c r="M84" s="5" t="n">
        <f aca="false">G84-E84</f>
        <v>15</v>
      </c>
      <c r="N84" s="17" t="n">
        <f aca="false">SUMIF('09_CARGA_ORDEN'!$A$2:$A$1153,A84,'09_CARGA_ORDEN'!$J$2:$J$1153)</f>
        <v>58.9568533333333</v>
      </c>
      <c r="O84" s="11" t="n">
        <f aca="false">SUMPRODUCT(('07_CALENDARIO'!$A$2:$A$397&gt;=F84)*('07_CALENDARIO'!$A$2:$A$397&lt;=G84)*'07_CALENDARIO'!$D$2:$D$397)*p_horas_productivas_dia</f>
        <v>96</v>
      </c>
      <c r="P84" s="5" t="n">
        <f aca="false">IF(N84&gt;O84+0.000001,1,0)</f>
        <v>0</v>
      </c>
      <c r="Q84" s="5" t="n">
        <f aca="false">IF(OR(WEEKDAY(F84,2)&gt;5,WEEKDAY(G84,2)&gt;5),1,0)</f>
        <v>0</v>
      </c>
      <c r="R84" s="5" t="n">
        <f aca="false">IF(COUNTIF('01_PRODUCTOS'!$B$2:$B$51,B84)&gt;0,1,0)</f>
        <v>1</v>
      </c>
      <c r="S84" s="2" t="s">
        <v>456</v>
      </c>
    </row>
    <row r="85" customFormat="false" ht="15" hidden="false" customHeight="false" outlineLevel="0" collapsed="false">
      <c r="A85" s="2" t="s">
        <v>608</v>
      </c>
      <c r="B85" s="2" t="s">
        <v>96</v>
      </c>
      <c r="C85" s="2" t="s">
        <v>93</v>
      </c>
      <c r="D85" s="4" t="n">
        <v>7</v>
      </c>
      <c r="E85" s="15" t="n">
        <v>45977</v>
      </c>
      <c r="F85" s="15" t="n">
        <v>45977</v>
      </c>
      <c r="G85" s="15" t="n">
        <v>45993</v>
      </c>
      <c r="H85" s="4" t="n">
        <v>10</v>
      </c>
      <c r="I85" s="2" t="s">
        <v>456</v>
      </c>
      <c r="J85" s="16" t="n">
        <f aca="false">INDEX('12_PRECIOS'!$D$2:$D$5,MATCH(C85,'12_PRECIOS'!$A$2:$A$5,0))</f>
        <v>2150.57</v>
      </c>
      <c r="K85" s="16" t="n">
        <f aca="false">J85*D85</f>
        <v>15053.99</v>
      </c>
      <c r="L85" s="16" t="n">
        <f aca="false">K85*INDEX('12_PRECIOS'!$E$2:$E$5,MATCH(C85,'12_PRECIOS'!$A$2:$A$5,0))</f>
        <v>1505.399</v>
      </c>
      <c r="M85" s="5" t="n">
        <f aca="false">G85-E85</f>
        <v>16</v>
      </c>
      <c r="N85" s="17" t="n">
        <f aca="false">SUMIF('09_CARGA_ORDEN'!$A$2:$A$1153,A85,'09_CARGA_ORDEN'!$J$2:$J$1153)</f>
        <v>47.37639</v>
      </c>
      <c r="O85" s="11" t="n">
        <f aca="false">SUMPRODUCT(('07_CALENDARIO'!$A$2:$A$397&gt;=F85)*('07_CALENDARIO'!$A$2:$A$397&lt;=G85)*'07_CALENDARIO'!$D$2:$D$397)*p_horas_productivas_dia</f>
        <v>96</v>
      </c>
      <c r="P85" s="5" t="n">
        <f aca="false">IF(N85&gt;O85+0.000001,1,0)</f>
        <v>0</v>
      </c>
      <c r="Q85" s="5" t="n">
        <f aca="false">IF(OR(WEEKDAY(F85,2)&gt;5,WEEKDAY(G85,2)&gt;5),1,0)</f>
        <v>1</v>
      </c>
      <c r="R85" s="5" t="n">
        <f aca="false">IF(COUNTIF('01_PRODUCTOS'!$B$2:$B$51,B85)&gt;0,1,0)</f>
        <v>1</v>
      </c>
      <c r="S85" s="2" t="s">
        <v>456</v>
      </c>
    </row>
    <row r="86" customFormat="false" ht="15" hidden="false" customHeight="false" outlineLevel="0" collapsed="false">
      <c r="A86" s="2" t="s">
        <v>609</v>
      </c>
      <c r="B86" s="2" t="s">
        <v>106</v>
      </c>
      <c r="C86" s="2" t="s">
        <v>105</v>
      </c>
      <c r="D86" s="4" t="n">
        <v>5</v>
      </c>
      <c r="E86" s="15" t="n">
        <v>45964</v>
      </c>
      <c r="F86" s="15" t="n">
        <v>45964</v>
      </c>
      <c r="G86" s="15" t="n">
        <v>45978</v>
      </c>
      <c r="H86" s="4" t="n">
        <v>10</v>
      </c>
      <c r="I86" s="2" t="s">
        <v>456</v>
      </c>
      <c r="J86" s="16" t="n">
        <f aca="false">INDEX('12_PRECIOS'!$D$2:$D$5,MATCH(C86,'12_PRECIOS'!$A$2:$A$5,0))</f>
        <v>1800.81</v>
      </c>
      <c r="K86" s="16" t="n">
        <f aca="false">J86*D86</f>
        <v>9004.05</v>
      </c>
      <c r="L86" s="16" t="n">
        <f aca="false">K86*INDEX('12_PRECIOS'!$E$2:$E$5,MATCH(C86,'12_PRECIOS'!$A$2:$A$5,0))</f>
        <v>900.405</v>
      </c>
      <c r="M86" s="5" t="n">
        <f aca="false">G86-E86</f>
        <v>14</v>
      </c>
      <c r="N86" s="17" t="n">
        <f aca="false">SUMIF('09_CARGA_ORDEN'!$A$2:$A$1153,A86,'09_CARGA_ORDEN'!$J$2:$J$1153)</f>
        <v>23.8099166666667</v>
      </c>
      <c r="O86" s="11" t="n">
        <f aca="false">SUMPRODUCT(('07_CALENDARIO'!$A$2:$A$397&gt;=F86)*('07_CALENDARIO'!$A$2:$A$397&lt;=G86)*'07_CALENDARIO'!$D$2:$D$397)*p_horas_productivas_dia</f>
        <v>88</v>
      </c>
      <c r="P86" s="5" t="n">
        <f aca="false">IF(N86&gt;O86+0.000001,1,0)</f>
        <v>0</v>
      </c>
      <c r="Q86" s="5" t="n">
        <f aca="false">IF(OR(WEEKDAY(F86,2)&gt;5,WEEKDAY(G86,2)&gt;5),1,0)</f>
        <v>0</v>
      </c>
      <c r="R86" s="5" t="n">
        <f aca="false">IF(COUNTIF('01_PRODUCTOS'!$B$2:$B$51,B86)&gt;0,1,0)</f>
        <v>1</v>
      </c>
      <c r="S86" s="2" t="s">
        <v>456</v>
      </c>
    </row>
    <row r="87" customFormat="false" ht="15" hidden="false" customHeight="false" outlineLevel="0" collapsed="false">
      <c r="A87" s="2" t="s">
        <v>610</v>
      </c>
      <c r="B87" s="2" t="s">
        <v>108</v>
      </c>
      <c r="C87" s="2" t="s">
        <v>105</v>
      </c>
      <c r="D87" s="4" t="n">
        <v>6</v>
      </c>
      <c r="E87" s="15" t="n">
        <v>45977</v>
      </c>
      <c r="F87" s="15" t="n">
        <v>45977</v>
      </c>
      <c r="G87" s="15" t="n">
        <v>45992</v>
      </c>
      <c r="H87" s="4" t="n">
        <v>10</v>
      </c>
      <c r="I87" s="2" t="s">
        <v>456</v>
      </c>
      <c r="J87" s="16" t="n">
        <f aca="false">INDEX('12_PRECIOS'!$D$2:$D$5,MATCH(C87,'12_PRECIOS'!$A$2:$A$5,0))</f>
        <v>1800.81</v>
      </c>
      <c r="K87" s="16" t="n">
        <f aca="false">J87*D87</f>
        <v>10804.86</v>
      </c>
      <c r="L87" s="16" t="n">
        <f aca="false">K87*INDEX('12_PRECIOS'!$E$2:$E$5,MATCH(C87,'12_PRECIOS'!$A$2:$A$5,0))</f>
        <v>1080.486</v>
      </c>
      <c r="M87" s="5" t="n">
        <f aca="false">G87-E87</f>
        <v>15</v>
      </c>
      <c r="N87" s="17" t="n">
        <f aca="false">SUMIF('09_CARGA_ORDEN'!$A$2:$A$1153,A87,'09_CARGA_ORDEN'!$J$2:$J$1153)</f>
        <v>38.8968</v>
      </c>
      <c r="O87" s="11" t="n">
        <f aca="false">SUMPRODUCT(('07_CALENDARIO'!$A$2:$A$397&gt;=F87)*('07_CALENDARIO'!$A$2:$A$397&lt;=G87)*'07_CALENDARIO'!$D$2:$D$397)*p_horas_productivas_dia</f>
        <v>88</v>
      </c>
      <c r="P87" s="5" t="n">
        <f aca="false">IF(N87&gt;O87+0.000001,1,0)</f>
        <v>0</v>
      </c>
      <c r="Q87" s="5" t="n">
        <f aca="false">IF(OR(WEEKDAY(F87,2)&gt;5,WEEKDAY(G87,2)&gt;5),1,0)</f>
        <v>1</v>
      </c>
      <c r="R87" s="5" t="n">
        <f aca="false">IF(COUNTIF('01_PRODUCTOS'!$B$2:$B$51,B87)&gt;0,1,0)</f>
        <v>1</v>
      </c>
      <c r="S87" s="2" t="s">
        <v>456</v>
      </c>
    </row>
    <row r="88" customFormat="false" ht="15" hidden="false" customHeight="false" outlineLevel="0" collapsed="false">
      <c r="A88" s="2" t="s">
        <v>611</v>
      </c>
      <c r="B88" s="2" t="s">
        <v>119</v>
      </c>
      <c r="C88" s="2" t="s">
        <v>118</v>
      </c>
      <c r="D88" s="4" t="n">
        <v>10</v>
      </c>
      <c r="E88" s="15" t="n">
        <v>45964</v>
      </c>
      <c r="F88" s="15" t="n">
        <v>45964</v>
      </c>
      <c r="G88" s="15" t="n">
        <v>45979</v>
      </c>
      <c r="H88" s="4" t="n">
        <v>10</v>
      </c>
      <c r="I88" s="2" t="s">
        <v>456</v>
      </c>
      <c r="J88" s="16" t="n">
        <f aca="false">INDEX('12_PRECIOS'!$D$2:$D$5,MATCH(C88,'12_PRECIOS'!$A$2:$A$5,0))</f>
        <v>2322.4698</v>
      </c>
      <c r="K88" s="16" t="n">
        <f aca="false">J88*D88</f>
        <v>23224.698</v>
      </c>
      <c r="L88" s="16" t="n">
        <f aca="false">K88*INDEX('12_PRECIOS'!$E$2:$E$5,MATCH(C88,'12_PRECIOS'!$A$2:$A$5,0))</f>
        <v>2322.4698</v>
      </c>
      <c r="M88" s="5" t="n">
        <f aca="false">G88-E88</f>
        <v>15</v>
      </c>
      <c r="N88" s="17" t="n">
        <f aca="false">SUMIF('09_CARGA_ORDEN'!$A$2:$A$1153,A88,'09_CARGA_ORDEN'!$J$2:$J$1153)</f>
        <v>37.2553333333333</v>
      </c>
      <c r="O88" s="11" t="n">
        <f aca="false">SUMPRODUCT(('07_CALENDARIO'!$A$2:$A$397&gt;=F88)*('07_CALENDARIO'!$A$2:$A$397&lt;=G88)*'07_CALENDARIO'!$D$2:$D$397)*p_horas_productivas_dia</f>
        <v>96</v>
      </c>
      <c r="P88" s="5" t="n">
        <f aca="false">IF(N88&gt;O88+0.000001,1,0)</f>
        <v>0</v>
      </c>
      <c r="Q88" s="5" t="n">
        <f aca="false">IF(OR(WEEKDAY(F88,2)&gt;5,WEEKDAY(G88,2)&gt;5),1,0)</f>
        <v>0</v>
      </c>
      <c r="R88" s="5" t="n">
        <f aca="false">IF(COUNTIF('01_PRODUCTOS'!$B$2:$B$51,B88)&gt;0,1,0)</f>
        <v>1</v>
      </c>
      <c r="S88" s="2" t="s">
        <v>456</v>
      </c>
    </row>
    <row r="89" customFormat="false" ht="15" hidden="false" customHeight="false" outlineLevel="0" collapsed="false">
      <c r="A89" s="2" t="s">
        <v>612</v>
      </c>
      <c r="B89" s="2" t="s">
        <v>121</v>
      </c>
      <c r="C89" s="2" t="s">
        <v>118</v>
      </c>
      <c r="D89" s="4" t="n">
        <v>10</v>
      </c>
      <c r="E89" s="15" t="n">
        <v>45977</v>
      </c>
      <c r="F89" s="15" t="n">
        <v>45977</v>
      </c>
      <c r="G89" s="15" t="n">
        <v>45993</v>
      </c>
      <c r="H89" s="4" t="n">
        <v>10</v>
      </c>
      <c r="I89" s="2" t="s">
        <v>456</v>
      </c>
      <c r="J89" s="16" t="n">
        <f aca="false">INDEX('12_PRECIOS'!$D$2:$D$5,MATCH(C89,'12_PRECIOS'!$A$2:$A$5,0))</f>
        <v>2322.4698</v>
      </c>
      <c r="K89" s="16" t="n">
        <f aca="false">J89*D89</f>
        <v>23224.698</v>
      </c>
      <c r="L89" s="16" t="n">
        <f aca="false">K89*INDEX('12_PRECIOS'!$E$2:$E$5,MATCH(C89,'12_PRECIOS'!$A$2:$A$5,0))</f>
        <v>2322.4698</v>
      </c>
      <c r="M89" s="5" t="n">
        <f aca="false">G89-E89</f>
        <v>16</v>
      </c>
      <c r="N89" s="17" t="n">
        <f aca="false">SUMIF('09_CARGA_ORDEN'!$A$2:$A$1153,A89,'09_CARGA_ORDEN'!$J$2:$J$1153)</f>
        <v>60.1225333333333</v>
      </c>
      <c r="O89" s="11" t="n">
        <f aca="false">SUMPRODUCT(('07_CALENDARIO'!$A$2:$A$397&gt;=F89)*('07_CALENDARIO'!$A$2:$A$397&lt;=G89)*'07_CALENDARIO'!$D$2:$D$397)*p_horas_productivas_dia</f>
        <v>96</v>
      </c>
      <c r="P89" s="5" t="n">
        <f aca="false">IF(N89&gt;O89+0.000001,1,0)</f>
        <v>0</v>
      </c>
      <c r="Q89" s="5" t="n">
        <f aca="false">IF(OR(WEEKDAY(F89,2)&gt;5,WEEKDAY(G89,2)&gt;5),1,0)</f>
        <v>1</v>
      </c>
      <c r="R89" s="5" t="n">
        <f aca="false">IF(COUNTIF('01_PRODUCTOS'!$B$2:$B$51,B89)&gt;0,1,0)</f>
        <v>1</v>
      </c>
      <c r="S89" s="2" t="s">
        <v>456</v>
      </c>
    </row>
    <row r="90" customFormat="false" ht="15" hidden="false" customHeight="false" outlineLevel="0" collapsed="false">
      <c r="A90" s="2" t="s">
        <v>613</v>
      </c>
      <c r="B90" s="2" t="s">
        <v>80</v>
      </c>
      <c r="C90" s="2" t="s">
        <v>79</v>
      </c>
      <c r="D90" s="4" t="n">
        <v>11</v>
      </c>
      <c r="E90" s="15" t="n">
        <v>45994</v>
      </c>
      <c r="F90" s="15" t="n">
        <v>45994</v>
      </c>
      <c r="G90" s="15" t="n">
        <v>46009</v>
      </c>
      <c r="H90" s="4" t="n">
        <v>10</v>
      </c>
      <c r="I90" s="2" t="s">
        <v>456</v>
      </c>
      <c r="J90" s="16" t="n">
        <f aca="false">INDEX('12_PRECIOS'!$D$2:$D$5,MATCH(C90,'12_PRECIOS'!$A$2:$A$5,0))</f>
        <v>2650.49</v>
      </c>
      <c r="K90" s="16" t="n">
        <f aca="false">J90*D90</f>
        <v>29155.39</v>
      </c>
      <c r="L90" s="16" t="n">
        <f aca="false">K90*INDEX('12_PRECIOS'!$E$2:$E$5,MATCH(C90,'12_PRECIOS'!$A$2:$A$5,0))</f>
        <v>2915.539</v>
      </c>
      <c r="M90" s="5" t="n">
        <f aca="false">G90-E90</f>
        <v>15</v>
      </c>
      <c r="N90" s="17" t="n">
        <f aca="false">SUMIF('09_CARGA_ORDEN'!$A$2:$A$1153,A90,'09_CARGA_ORDEN'!$J$2:$J$1153)</f>
        <v>83.4780466666667</v>
      </c>
      <c r="O90" s="11" t="n">
        <f aca="false">SUMPRODUCT(('07_CALENDARIO'!$A$2:$A$397&gt;=F90)*('07_CALENDARIO'!$A$2:$A$397&lt;=G90)*'07_CALENDARIO'!$D$2:$D$397)*p_horas_productivas_dia</f>
        <v>96</v>
      </c>
      <c r="P90" s="5" t="n">
        <f aca="false">IF(N90&gt;O90+0.000001,1,0)</f>
        <v>0</v>
      </c>
      <c r="Q90" s="5" t="n">
        <f aca="false">IF(OR(WEEKDAY(F90,2)&gt;5,WEEKDAY(G90,2)&gt;5),1,0)</f>
        <v>0</v>
      </c>
      <c r="R90" s="5" t="n">
        <f aca="false">IF(COUNTIF('01_PRODUCTOS'!$B$2:$B$51,B90)&gt;0,1,0)</f>
        <v>1</v>
      </c>
      <c r="S90" s="2" t="s">
        <v>456</v>
      </c>
    </row>
    <row r="91" customFormat="false" ht="15" hidden="false" customHeight="false" outlineLevel="0" collapsed="false">
      <c r="A91" s="2" t="s">
        <v>614</v>
      </c>
      <c r="B91" s="2" t="s">
        <v>83</v>
      </c>
      <c r="C91" s="2" t="s">
        <v>79</v>
      </c>
      <c r="D91" s="4" t="n">
        <v>12</v>
      </c>
      <c r="E91" s="15" t="n">
        <v>46007</v>
      </c>
      <c r="F91" s="15" t="n">
        <v>46007</v>
      </c>
      <c r="G91" s="15" t="n">
        <v>46025</v>
      </c>
      <c r="H91" s="4" t="n">
        <v>10</v>
      </c>
      <c r="I91" s="2" t="s">
        <v>456</v>
      </c>
      <c r="J91" s="16" t="n">
        <f aca="false">INDEX('12_PRECIOS'!$D$2:$D$5,MATCH(C91,'12_PRECIOS'!$A$2:$A$5,0))</f>
        <v>2650.49</v>
      </c>
      <c r="K91" s="16" t="n">
        <f aca="false">J91*D91</f>
        <v>31805.88</v>
      </c>
      <c r="L91" s="16" t="n">
        <f aca="false">K91*INDEX('12_PRECIOS'!$E$2:$E$5,MATCH(C91,'12_PRECIOS'!$A$2:$A$5,0))</f>
        <v>3180.588</v>
      </c>
      <c r="M91" s="5" t="n">
        <f aca="false">G91-E91</f>
        <v>18</v>
      </c>
      <c r="N91" s="17" t="n">
        <f aca="false">SUMIF('09_CARGA_ORDEN'!$A$2:$A$1153,A91,'09_CARGA_ORDEN'!$J$2:$J$1153)</f>
        <v>100.7708</v>
      </c>
      <c r="O91" s="11" t="n">
        <f aca="false">SUMPRODUCT(('07_CALENDARIO'!$A$2:$A$397&gt;=F91)*('07_CALENDARIO'!$A$2:$A$397&lt;=G91)*'07_CALENDARIO'!$D$2:$D$397)*p_horas_productivas_dia</f>
        <v>112</v>
      </c>
      <c r="P91" s="5" t="n">
        <f aca="false">IF(N91&gt;O91+0.000001,1,0)</f>
        <v>0</v>
      </c>
      <c r="Q91" s="5" t="n">
        <f aca="false">IF(OR(WEEKDAY(F91,2)&gt;5,WEEKDAY(G91,2)&gt;5),1,0)</f>
        <v>1</v>
      </c>
      <c r="R91" s="5" t="n">
        <f aca="false">IF(COUNTIF('01_PRODUCTOS'!$B$2:$B$51,B91)&gt;0,1,0)</f>
        <v>1</v>
      </c>
      <c r="S91" s="2" t="s">
        <v>456</v>
      </c>
    </row>
    <row r="92" customFormat="false" ht="15" hidden="false" customHeight="false" outlineLevel="0" collapsed="false">
      <c r="A92" s="2" t="s">
        <v>615</v>
      </c>
      <c r="B92" s="2" t="s">
        <v>94</v>
      </c>
      <c r="C92" s="2" t="s">
        <v>93</v>
      </c>
      <c r="D92" s="4" t="n">
        <v>6</v>
      </c>
      <c r="E92" s="15" t="n">
        <v>45994</v>
      </c>
      <c r="F92" s="15" t="n">
        <v>45994</v>
      </c>
      <c r="G92" s="15" t="n">
        <v>46009</v>
      </c>
      <c r="H92" s="4" t="n">
        <v>10</v>
      </c>
      <c r="I92" s="2" t="s">
        <v>456</v>
      </c>
      <c r="J92" s="16" t="n">
        <f aca="false">INDEX('12_PRECIOS'!$D$2:$D$5,MATCH(C92,'12_PRECIOS'!$A$2:$A$5,0))</f>
        <v>2150.57</v>
      </c>
      <c r="K92" s="16" t="n">
        <f aca="false">J92*D92</f>
        <v>12903.42</v>
      </c>
      <c r="L92" s="16" t="n">
        <f aca="false">K92*INDEX('12_PRECIOS'!$E$2:$E$5,MATCH(C92,'12_PRECIOS'!$A$2:$A$5,0))</f>
        <v>1290.342</v>
      </c>
      <c r="M92" s="5" t="n">
        <f aca="false">G92-E92</f>
        <v>15</v>
      </c>
      <c r="N92" s="17" t="n">
        <f aca="false">SUMIF('09_CARGA_ORDEN'!$A$2:$A$1153,A92,'09_CARGA_ORDEN'!$J$2:$J$1153)</f>
        <v>58.9568533333333</v>
      </c>
      <c r="O92" s="11" t="n">
        <f aca="false">SUMPRODUCT(('07_CALENDARIO'!$A$2:$A$397&gt;=F92)*('07_CALENDARIO'!$A$2:$A$397&lt;=G92)*'07_CALENDARIO'!$D$2:$D$397)*p_horas_productivas_dia</f>
        <v>96</v>
      </c>
      <c r="P92" s="5" t="n">
        <f aca="false">IF(N92&gt;O92+0.000001,1,0)</f>
        <v>0</v>
      </c>
      <c r="Q92" s="5" t="n">
        <f aca="false">IF(OR(WEEKDAY(F92,2)&gt;5,WEEKDAY(G92,2)&gt;5),1,0)</f>
        <v>0</v>
      </c>
      <c r="R92" s="5" t="n">
        <f aca="false">IF(COUNTIF('01_PRODUCTOS'!$B$2:$B$51,B92)&gt;0,1,0)</f>
        <v>1</v>
      </c>
      <c r="S92" s="2" t="s">
        <v>456</v>
      </c>
    </row>
    <row r="93" customFormat="false" ht="15" hidden="false" customHeight="false" outlineLevel="0" collapsed="false">
      <c r="A93" s="2" t="s">
        <v>616</v>
      </c>
      <c r="B93" s="2" t="s">
        <v>96</v>
      </c>
      <c r="C93" s="2" t="s">
        <v>93</v>
      </c>
      <c r="D93" s="4" t="n">
        <v>7</v>
      </c>
      <c r="E93" s="15" t="n">
        <v>46007</v>
      </c>
      <c r="F93" s="15" t="n">
        <v>46007</v>
      </c>
      <c r="G93" s="15" t="n">
        <v>46023</v>
      </c>
      <c r="H93" s="4" t="n">
        <v>10</v>
      </c>
      <c r="I93" s="2" t="s">
        <v>456</v>
      </c>
      <c r="J93" s="16" t="n">
        <f aca="false">INDEX('12_PRECIOS'!$D$2:$D$5,MATCH(C93,'12_PRECIOS'!$A$2:$A$5,0))</f>
        <v>2150.57</v>
      </c>
      <c r="K93" s="16" t="n">
        <f aca="false">J93*D93</f>
        <v>15053.99</v>
      </c>
      <c r="L93" s="16" t="n">
        <f aca="false">K93*INDEX('12_PRECIOS'!$E$2:$E$5,MATCH(C93,'12_PRECIOS'!$A$2:$A$5,0))</f>
        <v>1505.399</v>
      </c>
      <c r="M93" s="5" t="n">
        <f aca="false">G93-E93</f>
        <v>16</v>
      </c>
      <c r="N93" s="17" t="n">
        <f aca="false">SUMIF('09_CARGA_ORDEN'!$A$2:$A$1153,A93,'09_CARGA_ORDEN'!$J$2:$J$1153)</f>
        <v>47.37639</v>
      </c>
      <c r="O93" s="11" t="n">
        <f aca="false">SUMPRODUCT(('07_CALENDARIO'!$A$2:$A$397&gt;=F93)*('07_CALENDARIO'!$A$2:$A$397&lt;=G93)*'07_CALENDARIO'!$D$2:$D$397)*p_horas_productivas_dia</f>
        <v>104</v>
      </c>
      <c r="P93" s="5" t="n">
        <f aca="false">IF(N93&gt;O93+0.000001,1,0)</f>
        <v>0</v>
      </c>
      <c r="Q93" s="5" t="n">
        <f aca="false">IF(OR(WEEKDAY(F93,2)&gt;5,WEEKDAY(G93,2)&gt;5),1,0)</f>
        <v>0</v>
      </c>
      <c r="R93" s="5" t="n">
        <f aca="false">IF(COUNTIF('01_PRODUCTOS'!$B$2:$B$51,B93)&gt;0,1,0)</f>
        <v>1</v>
      </c>
      <c r="S93" s="2" t="s">
        <v>456</v>
      </c>
    </row>
    <row r="94" customFormat="false" ht="15" hidden="false" customHeight="false" outlineLevel="0" collapsed="false">
      <c r="A94" s="2" t="s">
        <v>617</v>
      </c>
      <c r="B94" s="2" t="s">
        <v>106</v>
      </c>
      <c r="C94" s="2" t="s">
        <v>105</v>
      </c>
      <c r="D94" s="4" t="n">
        <v>5</v>
      </c>
      <c r="E94" s="15" t="n">
        <v>45994</v>
      </c>
      <c r="F94" s="15" t="n">
        <v>45994</v>
      </c>
      <c r="G94" s="15" t="n">
        <v>46008</v>
      </c>
      <c r="H94" s="4" t="n">
        <v>10</v>
      </c>
      <c r="I94" s="2" t="s">
        <v>456</v>
      </c>
      <c r="J94" s="16" t="n">
        <f aca="false">INDEX('12_PRECIOS'!$D$2:$D$5,MATCH(C94,'12_PRECIOS'!$A$2:$A$5,0))</f>
        <v>1800.81</v>
      </c>
      <c r="K94" s="16" t="n">
        <f aca="false">J94*D94</f>
        <v>9004.05</v>
      </c>
      <c r="L94" s="16" t="n">
        <f aca="false">K94*INDEX('12_PRECIOS'!$E$2:$E$5,MATCH(C94,'12_PRECIOS'!$A$2:$A$5,0))</f>
        <v>900.405</v>
      </c>
      <c r="M94" s="5" t="n">
        <f aca="false">G94-E94</f>
        <v>14</v>
      </c>
      <c r="N94" s="17" t="n">
        <f aca="false">SUMIF('09_CARGA_ORDEN'!$A$2:$A$1153,A94,'09_CARGA_ORDEN'!$J$2:$J$1153)</f>
        <v>23.8099166666667</v>
      </c>
      <c r="O94" s="11" t="n">
        <f aca="false">SUMPRODUCT(('07_CALENDARIO'!$A$2:$A$397&gt;=F94)*('07_CALENDARIO'!$A$2:$A$397&lt;=G94)*'07_CALENDARIO'!$D$2:$D$397)*p_horas_productivas_dia</f>
        <v>88</v>
      </c>
      <c r="P94" s="5" t="n">
        <f aca="false">IF(N94&gt;O94+0.000001,1,0)</f>
        <v>0</v>
      </c>
      <c r="Q94" s="5" t="n">
        <f aca="false">IF(OR(WEEKDAY(F94,2)&gt;5,WEEKDAY(G94,2)&gt;5),1,0)</f>
        <v>0</v>
      </c>
      <c r="R94" s="5" t="n">
        <f aca="false">IF(COUNTIF('01_PRODUCTOS'!$B$2:$B$51,B94)&gt;0,1,0)</f>
        <v>1</v>
      </c>
      <c r="S94" s="2" t="s">
        <v>456</v>
      </c>
    </row>
    <row r="95" customFormat="false" ht="15" hidden="false" customHeight="false" outlineLevel="0" collapsed="false">
      <c r="A95" s="2" t="s">
        <v>618</v>
      </c>
      <c r="B95" s="2" t="s">
        <v>108</v>
      </c>
      <c r="C95" s="2" t="s">
        <v>105</v>
      </c>
      <c r="D95" s="4" t="n">
        <v>6</v>
      </c>
      <c r="E95" s="15" t="n">
        <v>46007</v>
      </c>
      <c r="F95" s="15" t="n">
        <v>46007</v>
      </c>
      <c r="G95" s="15" t="n">
        <v>46022</v>
      </c>
      <c r="H95" s="4" t="n">
        <v>10</v>
      </c>
      <c r="I95" s="2" t="s">
        <v>456</v>
      </c>
      <c r="J95" s="16" t="n">
        <f aca="false">INDEX('12_PRECIOS'!$D$2:$D$5,MATCH(C95,'12_PRECIOS'!$A$2:$A$5,0))</f>
        <v>1800.81</v>
      </c>
      <c r="K95" s="16" t="n">
        <f aca="false">J95*D95</f>
        <v>10804.86</v>
      </c>
      <c r="L95" s="16" t="n">
        <f aca="false">K95*INDEX('12_PRECIOS'!$E$2:$E$5,MATCH(C95,'12_PRECIOS'!$A$2:$A$5,0))</f>
        <v>1080.486</v>
      </c>
      <c r="M95" s="5" t="n">
        <f aca="false">G95-E95</f>
        <v>15</v>
      </c>
      <c r="N95" s="17" t="n">
        <f aca="false">SUMIF('09_CARGA_ORDEN'!$A$2:$A$1153,A95,'09_CARGA_ORDEN'!$J$2:$J$1153)</f>
        <v>38.8968</v>
      </c>
      <c r="O95" s="11" t="n">
        <f aca="false">SUMPRODUCT(('07_CALENDARIO'!$A$2:$A$397&gt;=F95)*('07_CALENDARIO'!$A$2:$A$397&lt;=G95)*'07_CALENDARIO'!$D$2:$D$397)*p_horas_productivas_dia</f>
        <v>96</v>
      </c>
      <c r="P95" s="5" t="n">
        <f aca="false">IF(N95&gt;O95+0.000001,1,0)</f>
        <v>0</v>
      </c>
      <c r="Q95" s="5" t="n">
        <f aca="false">IF(OR(WEEKDAY(F95,2)&gt;5,WEEKDAY(G95,2)&gt;5),1,0)</f>
        <v>0</v>
      </c>
      <c r="R95" s="5" t="n">
        <f aca="false">IF(COUNTIF('01_PRODUCTOS'!$B$2:$B$51,B95)&gt;0,1,0)</f>
        <v>1</v>
      </c>
      <c r="S95" s="2" t="s">
        <v>456</v>
      </c>
    </row>
    <row r="96" customFormat="false" ht="15" hidden="false" customHeight="false" outlineLevel="0" collapsed="false">
      <c r="A96" s="2" t="s">
        <v>619</v>
      </c>
      <c r="B96" s="2" t="s">
        <v>119</v>
      </c>
      <c r="C96" s="2" t="s">
        <v>118</v>
      </c>
      <c r="D96" s="4" t="n">
        <v>10</v>
      </c>
      <c r="E96" s="15" t="n">
        <v>45994</v>
      </c>
      <c r="F96" s="15" t="n">
        <v>45994</v>
      </c>
      <c r="G96" s="15" t="n">
        <v>46009</v>
      </c>
      <c r="H96" s="4" t="n">
        <v>10</v>
      </c>
      <c r="I96" s="2" t="s">
        <v>456</v>
      </c>
      <c r="J96" s="16" t="n">
        <f aca="false">INDEX('12_PRECIOS'!$D$2:$D$5,MATCH(C96,'12_PRECIOS'!$A$2:$A$5,0))</f>
        <v>2322.4698</v>
      </c>
      <c r="K96" s="16" t="n">
        <f aca="false">J96*D96</f>
        <v>23224.698</v>
      </c>
      <c r="L96" s="16" t="n">
        <f aca="false">K96*INDEX('12_PRECIOS'!$E$2:$E$5,MATCH(C96,'12_PRECIOS'!$A$2:$A$5,0))</f>
        <v>2322.4698</v>
      </c>
      <c r="M96" s="5" t="n">
        <f aca="false">G96-E96</f>
        <v>15</v>
      </c>
      <c r="N96" s="17" t="n">
        <f aca="false">SUMIF('09_CARGA_ORDEN'!$A$2:$A$1153,A96,'09_CARGA_ORDEN'!$J$2:$J$1153)</f>
        <v>37.2553333333333</v>
      </c>
      <c r="O96" s="11" t="n">
        <f aca="false">SUMPRODUCT(('07_CALENDARIO'!$A$2:$A$397&gt;=F96)*('07_CALENDARIO'!$A$2:$A$397&lt;=G96)*'07_CALENDARIO'!$D$2:$D$397)*p_horas_productivas_dia</f>
        <v>96</v>
      </c>
      <c r="P96" s="5" t="n">
        <f aca="false">IF(N96&gt;O96+0.000001,1,0)</f>
        <v>0</v>
      </c>
      <c r="Q96" s="5" t="n">
        <f aca="false">IF(OR(WEEKDAY(F96,2)&gt;5,WEEKDAY(G96,2)&gt;5),1,0)</f>
        <v>0</v>
      </c>
      <c r="R96" s="5" t="n">
        <f aca="false">IF(COUNTIF('01_PRODUCTOS'!$B$2:$B$51,B96)&gt;0,1,0)</f>
        <v>1</v>
      </c>
      <c r="S96" s="2" t="s">
        <v>456</v>
      </c>
    </row>
    <row r="97" customFormat="false" ht="15" hidden="false" customHeight="false" outlineLevel="0" collapsed="false">
      <c r="A97" s="2" t="s">
        <v>620</v>
      </c>
      <c r="B97" s="2" t="s">
        <v>121</v>
      </c>
      <c r="C97" s="2" t="s">
        <v>118</v>
      </c>
      <c r="D97" s="4" t="n">
        <v>10</v>
      </c>
      <c r="E97" s="15" t="n">
        <v>46007</v>
      </c>
      <c r="F97" s="15" t="n">
        <v>46007</v>
      </c>
      <c r="G97" s="15" t="n">
        <v>46023</v>
      </c>
      <c r="H97" s="4" t="n">
        <v>10</v>
      </c>
      <c r="I97" s="2" t="s">
        <v>456</v>
      </c>
      <c r="J97" s="16" t="n">
        <f aca="false">INDEX('12_PRECIOS'!$D$2:$D$5,MATCH(C97,'12_PRECIOS'!$A$2:$A$5,0))</f>
        <v>2322.4698</v>
      </c>
      <c r="K97" s="16" t="n">
        <f aca="false">J97*D97</f>
        <v>23224.698</v>
      </c>
      <c r="L97" s="16" t="n">
        <f aca="false">K97*INDEX('12_PRECIOS'!$E$2:$E$5,MATCH(C97,'12_PRECIOS'!$A$2:$A$5,0))</f>
        <v>2322.4698</v>
      </c>
      <c r="M97" s="5" t="n">
        <f aca="false">G97-E97</f>
        <v>16</v>
      </c>
      <c r="N97" s="17" t="n">
        <f aca="false">SUMIF('09_CARGA_ORDEN'!$A$2:$A$1153,A97,'09_CARGA_ORDEN'!$J$2:$J$1153)</f>
        <v>60.1225333333333</v>
      </c>
      <c r="O97" s="11" t="n">
        <f aca="false">SUMPRODUCT(('07_CALENDARIO'!$A$2:$A$397&gt;=F97)*('07_CALENDARIO'!$A$2:$A$397&lt;=G97)*'07_CALENDARIO'!$D$2:$D$397)*p_horas_productivas_dia</f>
        <v>104</v>
      </c>
      <c r="P97" s="5" t="n">
        <f aca="false">IF(N97&gt;O97+0.000001,1,0)</f>
        <v>0</v>
      </c>
      <c r="Q97" s="5" t="n">
        <f aca="false">IF(OR(WEEKDAY(F97,2)&gt;5,WEEKDAY(G97,2)&gt;5),1,0)</f>
        <v>0</v>
      </c>
      <c r="R97" s="5" t="n">
        <f aca="false">IF(COUNTIF('01_PRODUCTOS'!$B$2:$B$51,B97)&gt;0,1,0)</f>
        <v>1</v>
      </c>
      <c r="S97" s="2" t="s">
        <v>456</v>
      </c>
    </row>
  </sheetData>
  <autoFilter ref="A1:S9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95959"/>
    <pageSetUpPr fitToPage="false"/>
  </sheetPr>
  <dimension ref="A1:N11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6"/>
    <col collapsed="false" customWidth="true" hidden="false" outlineLevel="0" max="4" min="4" style="0" width="28"/>
    <col collapsed="false" customWidth="true" hidden="false" outlineLevel="0" max="5" min="5" style="0" width="40"/>
    <col collapsed="false" customWidth="true" hidden="false" outlineLevel="0" max="6" min="6" style="0" width="8"/>
    <col collapsed="false" customWidth="true" hidden="false" outlineLevel="0" max="7" min="7" style="0" width="6"/>
    <col collapsed="false" customWidth="true" hidden="false" outlineLevel="0" max="9" min="8" style="0" width="9"/>
    <col collapsed="false" customWidth="true" hidden="false" outlineLevel="0" max="10" min="10" style="0" width="11"/>
    <col collapsed="false" customWidth="true" hidden="false" outlineLevel="0" max="11" min="11" style="0" width="5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4" min="14" style="0" width="12"/>
  </cols>
  <sheetData>
    <row r="1" customFormat="false" ht="31.5" hidden="false" customHeight="true" outlineLevel="0" collapsed="false">
      <c r="A1" s="1" t="s">
        <v>509</v>
      </c>
      <c r="B1" s="1" t="s">
        <v>272</v>
      </c>
      <c r="C1" s="1" t="s">
        <v>427</v>
      </c>
      <c r="D1" s="1" t="s">
        <v>428</v>
      </c>
      <c r="E1" s="1" t="s">
        <v>621</v>
      </c>
      <c r="F1" s="1" t="s">
        <v>622</v>
      </c>
      <c r="G1" s="1" t="s">
        <v>514</v>
      </c>
      <c r="H1" s="1" t="s">
        <v>623</v>
      </c>
      <c r="I1" s="1" t="s">
        <v>624</v>
      </c>
      <c r="J1" s="1" t="s">
        <v>625</v>
      </c>
      <c r="K1" s="1" t="s">
        <v>626</v>
      </c>
      <c r="L1" s="1" t="s">
        <v>627</v>
      </c>
      <c r="M1" s="1" t="s">
        <v>628</v>
      </c>
      <c r="N1" s="1" t="s">
        <v>64</v>
      </c>
    </row>
    <row r="2" customFormat="false" ht="15" hidden="false" customHeight="false" outlineLevel="0" collapsed="false">
      <c r="A2" s="2" t="s">
        <v>525</v>
      </c>
      <c r="B2" s="2" t="s">
        <v>80</v>
      </c>
      <c r="C2" s="4" t="n">
        <v>1</v>
      </c>
      <c r="D2" s="2" t="s">
        <v>437</v>
      </c>
      <c r="E2" s="2" t="s">
        <v>375</v>
      </c>
      <c r="F2" s="5" t="n">
        <f aca="false">INDEX('08_PEDIDOS'!$D$2:$D$97,MATCH(A2,'08_PEDIDOS'!$A$2:$A$97,0))</f>
        <v>12</v>
      </c>
      <c r="G2" s="5" t="n">
        <f aca="false">INDEX('08_PEDIDOS'!$H$2:$H$97,MATCH(A2,'08_PEDIDOS'!$A$2:$A$97,0))</f>
        <v>10</v>
      </c>
      <c r="H2" s="17" t="n">
        <f aca="false">SUMIFS('05_RUTAS'!$F$2:$F$407,'05_RUTAS'!$A$2:$A$407,B2,'05_RUTAS'!$C$2:$C$407,C2)</f>
        <v>8</v>
      </c>
      <c r="I2" s="18" t="n">
        <f aca="false">SUMIFS('05_RUTAS'!$G$2:$G$407,'05_RUTAS'!$A$2:$A$407,B2,'05_RUTAS'!$C$2:$C$407,C2)</f>
        <v>34.62</v>
      </c>
      <c r="J2" s="18" t="n">
        <f aca="false">(ROUNDUP(F2/G2,0)*H2+F2*I2)/60</f>
        <v>7.19066666666667</v>
      </c>
      <c r="K2" s="5" t="n">
        <f aca="false">MONTH(INDEX('08_PEDIDOS'!$F$2:$F$97,MATCH(A2,'08_PEDIDOS'!$A$2:$A$97,0)))</f>
        <v>1</v>
      </c>
      <c r="L2" s="16" t="n">
        <f aca="false">J2*N(INDEX('04_MAQUINAS'!$F$2:$F$18,MATCH(E2,'04_MAQUINAS'!$A$2:$A$18,0)))</f>
        <v>172.576</v>
      </c>
      <c r="M2" s="17" t="n">
        <f aca="false">J2*INDEX('04_MAQUINAS'!$G$2:$G$18,MATCH(E2,'04_MAQUINAS'!$A$2:$A$18,0))*INDEX('04_MAQUINAS'!$H$2:$H$18,MATCH(E2,'04_MAQUINAS'!$A$2:$A$18,0))</f>
        <v>19.7743333333333</v>
      </c>
      <c r="N2" s="2" t="s">
        <v>629</v>
      </c>
    </row>
    <row r="3" customFormat="false" ht="15" hidden="false" customHeight="false" outlineLevel="0" collapsed="false">
      <c r="A3" s="2" t="s">
        <v>525</v>
      </c>
      <c r="B3" s="2" t="s">
        <v>80</v>
      </c>
      <c r="C3" s="4" t="n">
        <v>2</v>
      </c>
      <c r="D3" s="2" t="s">
        <v>441</v>
      </c>
      <c r="E3" s="2" t="s">
        <v>380</v>
      </c>
      <c r="F3" s="5" t="n">
        <f aca="false">INDEX('08_PEDIDOS'!$D$2:$D$97,MATCH(A3,'08_PEDIDOS'!$A$2:$A$97,0))</f>
        <v>12</v>
      </c>
      <c r="G3" s="5" t="n">
        <f aca="false">INDEX('08_PEDIDOS'!$H$2:$H$97,MATCH(A3,'08_PEDIDOS'!$A$2:$A$97,0))</f>
        <v>10</v>
      </c>
      <c r="H3" s="17" t="n">
        <f aca="false">SUMIFS('05_RUTAS'!$F$2:$F$407,'05_RUTAS'!$A$2:$A$407,B3,'05_RUTAS'!$C$2:$C$407,C3)</f>
        <v>8</v>
      </c>
      <c r="I3" s="18" t="n">
        <f aca="false">SUMIFS('05_RUTAS'!$G$2:$G$407,'05_RUTAS'!$A$2:$A$407,B3,'05_RUTAS'!$C$2:$C$407,C3)</f>
        <v>43.52</v>
      </c>
      <c r="J3" s="18" t="n">
        <f aca="false">(ROUNDUP(F3/G3,0)*H3+F3*I3)/60</f>
        <v>8.97066666666667</v>
      </c>
      <c r="K3" s="5" t="n">
        <f aca="false">MONTH(INDEX('08_PEDIDOS'!$F$2:$F$97,MATCH(A3,'08_PEDIDOS'!$A$2:$A$97,0)))</f>
        <v>1</v>
      </c>
      <c r="L3" s="16" t="n">
        <f aca="false">J3*N(INDEX('04_MAQUINAS'!$F$2:$F$18,MATCH(E3,'04_MAQUINAS'!$A$2:$A$18,0)))</f>
        <v>197.354666666667</v>
      </c>
      <c r="M3" s="17" t="n">
        <f aca="false">J3*INDEX('04_MAQUINAS'!$G$2:$G$18,MATCH(E3,'04_MAQUINAS'!$A$2:$A$18,0))*INDEX('04_MAQUINAS'!$H$2:$H$18,MATCH(E3,'04_MAQUINAS'!$A$2:$A$18,0))</f>
        <v>4.0368</v>
      </c>
      <c r="N3" s="2" t="s">
        <v>629</v>
      </c>
    </row>
    <row r="4" customFormat="false" ht="15" hidden="false" customHeight="false" outlineLevel="0" collapsed="false">
      <c r="A4" s="2" t="s">
        <v>525</v>
      </c>
      <c r="B4" s="2" t="s">
        <v>80</v>
      </c>
      <c r="C4" s="4" t="n">
        <v>3</v>
      </c>
      <c r="D4" s="2" t="s">
        <v>386</v>
      </c>
      <c r="E4" s="2" t="s">
        <v>383</v>
      </c>
      <c r="F4" s="5" t="n">
        <f aca="false">INDEX('08_PEDIDOS'!$D$2:$D$97,MATCH(A4,'08_PEDIDOS'!$A$2:$A$97,0))</f>
        <v>12</v>
      </c>
      <c r="G4" s="5" t="n">
        <f aca="false">INDEX('08_PEDIDOS'!$H$2:$H$97,MATCH(A4,'08_PEDIDOS'!$A$2:$A$97,0))</f>
        <v>10</v>
      </c>
      <c r="H4" s="17" t="n">
        <f aca="false">SUMIFS('05_RUTAS'!$F$2:$F$407,'05_RUTAS'!$A$2:$A$407,B4,'05_RUTAS'!$C$2:$C$407,C4)</f>
        <v>10</v>
      </c>
      <c r="I4" s="18" t="n">
        <f aca="false">SUMIFS('05_RUTAS'!$G$2:$G$407,'05_RUTAS'!$A$2:$A$407,B4,'05_RUTAS'!$C$2:$C$407,C4)</f>
        <v>63.2</v>
      </c>
      <c r="J4" s="18" t="n">
        <f aca="false">(ROUNDUP(F4/G4,0)*H4+F4*I4)/60</f>
        <v>12.9733333333333</v>
      </c>
      <c r="K4" s="5" t="n">
        <f aca="false">MONTH(INDEX('08_PEDIDOS'!$F$2:$F$97,MATCH(A4,'08_PEDIDOS'!$A$2:$A$97,0)))</f>
        <v>1</v>
      </c>
      <c r="L4" s="16" t="n">
        <f aca="false">J4*N(INDEX('04_MAQUINAS'!$F$2:$F$18,MATCH(E4,'04_MAQUINAS'!$A$2:$A$18,0)))</f>
        <v>285.413333333333</v>
      </c>
      <c r="M4" s="17" t="n">
        <f aca="false">J4*INDEX('04_MAQUINAS'!$G$2:$G$18,MATCH(E4,'04_MAQUINAS'!$A$2:$A$18,0))*INDEX('04_MAQUINAS'!$H$2:$H$18,MATCH(E4,'04_MAQUINAS'!$A$2:$A$18,0))</f>
        <v>3.56766666666667</v>
      </c>
      <c r="N4" s="2" t="s">
        <v>629</v>
      </c>
    </row>
    <row r="5" customFormat="false" ht="15" hidden="false" customHeight="false" outlineLevel="0" collapsed="false">
      <c r="A5" s="2" t="s">
        <v>525</v>
      </c>
      <c r="B5" s="2" t="s">
        <v>80</v>
      </c>
      <c r="C5" s="4" t="n">
        <v>4</v>
      </c>
      <c r="D5" s="2" t="s">
        <v>390</v>
      </c>
      <c r="E5" s="2" t="s">
        <v>387</v>
      </c>
      <c r="F5" s="5" t="n">
        <f aca="false">INDEX('08_PEDIDOS'!$D$2:$D$97,MATCH(A5,'08_PEDIDOS'!$A$2:$A$97,0))</f>
        <v>12</v>
      </c>
      <c r="G5" s="5" t="n">
        <f aca="false">INDEX('08_PEDIDOS'!$H$2:$H$97,MATCH(A5,'08_PEDIDOS'!$A$2:$A$97,0))</f>
        <v>10</v>
      </c>
      <c r="H5" s="17" t="n">
        <f aca="false">SUMIFS('05_RUTAS'!$F$2:$F$407,'05_RUTAS'!$A$2:$A$407,B5,'05_RUTAS'!$C$2:$C$407,C5)</f>
        <v>12</v>
      </c>
      <c r="I5" s="18" t="n">
        <f aca="false">SUMIFS('05_RUTAS'!$G$2:$G$407,'05_RUTAS'!$A$2:$A$407,B5,'05_RUTAS'!$C$2:$C$407,C5)</f>
        <v>60</v>
      </c>
      <c r="J5" s="18" t="n">
        <f aca="false">(ROUNDUP(F5/G5,0)*H5+F5*I5)/60</f>
        <v>12.4</v>
      </c>
      <c r="K5" s="5" t="n">
        <f aca="false">MONTH(INDEX('08_PEDIDOS'!$F$2:$F$97,MATCH(A5,'08_PEDIDOS'!$A$2:$A$97,0)))</f>
        <v>1</v>
      </c>
      <c r="L5" s="16" t="n">
        <f aca="false">J5*N(INDEX('04_MAQUINAS'!$F$2:$F$18,MATCH(E5,'04_MAQUINAS'!$A$2:$A$18,0)))</f>
        <v>347.2</v>
      </c>
      <c r="M5" s="17" t="n">
        <f aca="false">J5*INDEX('04_MAQUINAS'!$G$2:$G$18,MATCH(E5,'04_MAQUINAS'!$A$2:$A$18,0))*INDEX('04_MAQUINAS'!$H$2:$H$18,MATCH(E5,'04_MAQUINAS'!$A$2:$A$18,0))</f>
        <v>30.69</v>
      </c>
      <c r="N5" s="2" t="s">
        <v>629</v>
      </c>
    </row>
    <row r="6" customFormat="false" ht="15" hidden="false" customHeight="false" outlineLevel="0" collapsed="false">
      <c r="A6" s="2" t="s">
        <v>525</v>
      </c>
      <c r="B6" s="2" t="s">
        <v>80</v>
      </c>
      <c r="C6" s="4" t="n">
        <v>5</v>
      </c>
      <c r="D6" s="2" t="s">
        <v>442</v>
      </c>
      <c r="E6" s="2" t="s">
        <v>391</v>
      </c>
      <c r="F6" s="5" t="n">
        <f aca="false">INDEX('08_PEDIDOS'!$D$2:$D$97,MATCH(A6,'08_PEDIDOS'!$A$2:$A$97,0))</f>
        <v>12</v>
      </c>
      <c r="G6" s="5" t="n">
        <f aca="false">INDEX('08_PEDIDOS'!$H$2:$H$97,MATCH(A6,'08_PEDIDOS'!$A$2:$A$97,0))</f>
        <v>10</v>
      </c>
      <c r="H6" s="17" t="n">
        <f aca="false">SUMIFS('05_RUTAS'!$F$2:$F$407,'05_RUTAS'!$A$2:$A$407,B6,'05_RUTAS'!$C$2:$C$407,C6)</f>
        <v>10</v>
      </c>
      <c r="I6" s="18" t="n">
        <f aca="false">SUMIFS('05_RUTAS'!$G$2:$G$407,'05_RUTAS'!$A$2:$A$407,B6,'05_RUTAS'!$C$2:$C$407,C6)</f>
        <v>78.4</v>
      </c>
      <c r="J6" s="18" t="n">
        <f aca="false">(ROUNDUP(F6/G6,0)*H6+F6*I6)/60</f>
        <v>16.0133333333333</v>
      </c>
      <c r="K6" s="5" t="n">
        <f aca="false">MONTH(INDEX('08_PEDIDOS'!$F$2:$F$97,MATCH(A6,'08_PEDIDOS'!$A$2:$A$97,0)))</f>
        <v>1</v>
      </c>
      <c r="L6" s="16" t="n">
        <f aca="false">J6*N(INDEX('04_MAQUINAS'!$F$2:$F$18,MATCH(E6,'04_MAQUINAS'!$A$2:$A$18,0)))</f>
        <v>512.426666666667</v>
      </c>
      <c r="M6" s="17" t="n">
        <f aca="false">J6*INDEX('04_MAQUINAS'!$G$2:$G$18,MATCH(E6,'04_MAQUINAS'!$A$2:$A$18,0))*INDEX('04_MAQUINAS'!$H$2:$H$18,MATCH(E6,'04_MAQUINAS'!$A$2:$A$18,0))</f>
        <v>28.0233333333333</v>
      </c>
      <c r="N6" s="2" t="s">
        <v>629</v>
      </c>
    </row>
    <row r="7" customFormat="false" ht="15" hidden="false" customHeight="false" outlineLevel="0" collapsed="false">
      <c r="A7" s="2" t="s">
        <v>525</v>
      </c>
      <c r="B7" s="2" t="s">
        <v>80</v>
      </c>
      <c r="C7" s="4" t="n">
        <v>6</v>
      </c>
      <c r="D7" s="2" t="s">
        <v>443</v>
      </c>
      <c r="E7" s="2" t="s">
        <v>395</v>
      </c>
      <c r="F7" s="5" t="n">
        <f aca="false">INDEX('08_PEDIDOS'!$D$2:$D$97,MATCH(A7,'08_PEDIDOS'!$A$2:$A$97,0))</f>
        <v>12</v>
      </c>
      <c r="G7" s="5" t="n">
        <f aca="false">INDEX('08_PEDIDOS'!$H$2:$H$97,MATCH(A7,'08_PEDIDOS'!$A$2:$A$97,0))</f>
        <v>10</v>
      </c>
      <c r="H7" s="17" t="n">
        <f aca="false">SUMIFS('05_RUTAS'!$F$2:$F$407,'05_RUTAS'!$A$2:$A$407,B7,'05_RUTAS'!$C$2:$C$407,C7)</f>
        <v>3</v>
      </c>
      <c r="I7" s="18" t="n">
        <f aca="false">SUMIFS('05_RUTAS'!$G$2:$G$407,'05_RUTAS'!$A$2:$A$407,B7,'05_RUTAS'!$C$2:$C$407,C7)</f>
        <v>42</v>
      </c>
      <c r="J7" s="18" t="n">
        <f aca="false">(ROUNDUP(F7/G7,0)*H7+F7*I7)/60</f>
        <v>8.5</v>
      </c>
      <c r="K7" s="5" t="n">
        <f aca="false">MONTH(INDEX('08_PEDIDOS'!$F$2:$F$97,MATCH(A7,'08_PEDIDOS'!$A$2:$A$97,0)))</f>
        <v>1</v>
      </c>
      <c r="L7" s="16" t="n">
        <f aca="false">J7*N(INDEX('04_MAQUINAS'!$F$2:$F$18,MATCH(E7,'04_MAQUINAS'!$A$2:$A$18,0)))</f>
        <v>178.5</v>
      </c>
      <c r="M7" s="17" t="n">
        <f aca="false">J7*INDEX('04_MAQUINAS'!$G$2:$G$18,MATCH(E7,'04_MAQUINAS'!$A$2:$A$18,0))*INDEX('04_MAQUINAS'!$H$2:$H$18,MATCH(E7,'04_MAQUINAS'!$A$2:$A$18,0))</f>
        <v>6.375</v>
      </c>
      <c r="N7" s="2" t="s">
        <v>629</v>
      </c>
    </row>
    <row r="8" customFormat="false" ht="15" hidden="false" customHeight="false" outlineLevel="0" collapsed="false">
      <c r="A8" s="2" t="s">
        <v>525</v>
      </c>
      <c r="B8" s="2" t="s">
        <v>80</v>
      </c>
      <c r="C8" s="4" t="n">
        <v>7</v>
      </c>
      <c r="D8" s="2" t="s">
        <v>444</v>
      </c>
      <c r="E8" s="2" t="s">
        <v>399</v>
      </c>
      <c r="F8" s="5" t="n">
        <f aca="false">INDEX('08_PEDIDOS'!$D$2:$D$97,MATCH(A8,'08_PEDIDOS'!$A$2:$A$97,0))</f>
        <v>12</v>
      </c>
      <c r="G8" s="5" t="n">
        <f aca="false">INDEX('08_PEDIDOS'!$H$2:$H$97,MATCH(A8,'08_PEDIDOS'!$A$2:$A$97,0))</f>
        <v>10</v>
      </c>
      <c r="H8" s="17" t="n">
        <f aca="false">SUMIFS('05_RUTAS'!$F$2:$F$407,'05_RUTAS'!$A$2:$A$407,B8,'05_RUTAS'!$C$2:$C$407,C8)</f>
        <v>6</v>
      </c>
      <c r="I8" s="18" t="n">
        <f aca="false">SUMIFS('05_RUTAS'!$G$2:$G$407,'05_RUTAS'!$A$2:$A$407,B8,'05_RUTAS'!$C$2:$C$407,C8)</f>
        <v>29.7248</v>
      </c>
      <c r="J8" s="18" t="n">
        <f aca="false">(ROUNDUP(F8/G8,0)*H8+F8*I8)/60</f>
        <v>6.14496</v>
      </c>
      <c r="K8" s="5" t="n">
        <f aca="false">MONTH(INDEX('08_PEDIDOS'!$F$2:$F$97,MATCH(A8,'08_PEDIDOS'!$A$2:$A$97,0)))</f>
        <v>1</v>
      </c>
      <c r="L8" s="16" t="n">
        <f aca="false">J8*N(INDEX('04_MAQUINAS'!$F$2:$F$18,MATCH(E8,'04_MAQUINAS'!$A$2:$A$18,0)))</f>
        <v>116.75424</v>
      </c>
      <c r="M8" s="17" t="n">
        <f aca="false">J8*INDEX('04_MAQUINAS'!$G$2:$G$18,MATCH(E8,'04_MAQUINAS'!$A$2:$A$18,0))*INDEX('04_MAQUINAS'!$H$2:$H$18,MATCH(E8,'04_MAQUINAS'!$A$2:$A$18,0))</f>
        <v>5.4075648</v>
      </c>
      <c r="N8" s="2" t="s">
        <v>629</v>
      </c>
    </row>
    <row r="9" customFormat="false" ht="15" hidden="false" customHeight="false" outlineLevel="0" collapsed="false">
      <c r="A9" s="2" t="s">
        <v>525</v>
      </c>
      <c r="B9" s="2" t="s">
        <v>80</v>
      </c>
      <c r="C9" s="4" t="n">
        <v>8</v>
      </c>
      <c r="D9" s="2" t="s">
        <v>445</v>
      </c>
      <c r="E9" s="2" t="s">
        <v>402</v>
      </c>
      <c r="F9" s="5" t="n">
        <f aca="false">INDEX('08_PEDIDOS'!$D$2:$D$97,MATCH(A9,'08_PEDIDOS'!$A$2:$A$97,0))</f>
        <v>12</v>
      </c>
      <c r="G9" s="5" t="n">
        <f aca="false">INDEX('08_PEDIDOS'!$H$2:$H$97,MATCH(A9,'08_PEDIDOS'!$A$2:$A$97,0))</f>
        <v>10</v>
      </c>
      <c r="H9" s="17" t="n">
        <f aca="false">SUMIFS('05_RUTAS'!$F$2:$F$407,'05_RUTAS'!$A$2:$A$407,B9,'05_RUTAS'!$C$2:$C$407,C9)</f>
        <v>12</v>
      </c>
      <c r="I9" s="18" t="n">
        <f aca="false">SUMIFS('05_RUTAS'!$G$2:$G$407,'05_RUTAS'!$A$2:$A$407,B9,'05_RUTAS'!$C$2:$C$407,C9)</f>
        <v>8.02</v>
      </c>
      <c r="J9" s="18" t="n">
        <f aca="false">(ROUNDUP(F9/G9,0)*H9+F9*I9)/60</f>
        <v>2.004</v>
      </c>
      <c r="K9" s="5" t="n">
        <f aca="false">MONTH(INDEX('08_PEDIDOS'!$F$2:$F$97,MATCH(A9,'08_PEDIDOS'!$A$2:$A$97,0)))</f>
        <v>1</v>
      </c>
      <c r="L9" s="16" t="n">
        <f aca="false">J9*N(INDEX('04_MAQUINAS'!$F$2:$F$18,MATCH(E9,'04_MAQUINAS'!$A$2:$A$18,0)))</f>
        <v>64.128</v>
      </c>
      <c r="M9" s="17" t="n">
        <f aca="false">J9*INDEX('04_MAQUINAS'!$G$2:$G$18,MATCH(E9,'04_MAQUINAS'!$A$2:$A$18,0))*INDEX('04_MAQUINAS'!$H$2:$H$18,MATCH(E9,'04_MAQUINAS'!$A$2:$A$18,0))</f>
        <v>2.1042</v>
      </c>
      <c r="N9" s="2" t="s">
        <v>629</v>
      </c>
    </row>
    <row r="10" customFormat="false" ht="15" hidden="false" customHeight="false" outlineLevel="0" collapsed="false">
      <c r="A10" s="2" t="s">
        <v>525</v>
      </c>
      <c r="B10" s="2" t="s">
        <v>80</v>
      </c>
      <c r="C10" s="4" t="n">
        <v>9</v>
      </c>
      <c r="D10" s="2" t="s">
        <v>447</v>
      </c>
      <c r="E10" s="2" t="s">
        <v>421</v>
      </c>
      <c r="F10" s="5" t="n">
        <f aca="false">INDEX('08_PEDIDOS'!$D$2:$D$97,MATCH(A10,'08_PEDIDOS'!$A$2:$A$97,0))</f>
        <v>12</v>
      </c>
      <c r="G10" s="5" t="n">
        <f aca="false">INDEX('08_PEDIDOS'!$H$2:$H$97,MATCH(A10,'08_PEDIDOS'!$A$2:$A$97,0))</f>
        <v>10</v>
      </c>
      <c r="H10" s="17" t="n">
        <f aca="false">SUMIFS('05_RUTAS'!$F$2:$F$407,'05_RUTAS'!$A$2:$A$407,B10,'05_RUTAS'!$C$2:$C$407,C10)</f>
        <v>45</v>
      </c>
      <c r="I10" s="18" t="n">
        <f aca="false">SUMIFS('05_RUTAS'!$G$2:$G$407,'05_RUTAS'!$A$2:$A$407,B10,'05_RUTAS'!$C$2:$C$407,C10)</f>
        <v>0</v>
      </c>
      <c r="J10" s="18" t="n">
        <f aca="false">(ROUNDUP(F10/G10,0)*H10+F10*I10)/60</f>
        <v>1.5</v>
      </c>
      <c r="K10" s="5" t="n">
        <f aca="false">MONTH(INDEX('08_PEDIDOS'!$F$2:$F$97,MATCH(A10,'08_PEDIDOS'!$A$2:$A$97,0)))</f>
        <v>1</v>
      </c>
      <c r="L10" s="16" t="n">
        <f aca="false">J10*N(INDEX('04_MAQUINAS'!$F$2:$F$18,MATCH(E10,'04_MAQUINAS'!$A$2:$A$18,0)))</f>
        <v>39</v>
      </c>
      <c r="M10" s="17" t="n">
        <f aca="false">J10*INDEX('04_MAQUINAS'!$G$2:$G$18,MATCH(E10,'04_MAQUINAS'!$A$2:$A$18,0))*INDEX('04_MAQUINAS'!$H$2:$H$18,MATCH(E10,'04_MAQUINAS'!$A$2:$A$18,0))</f>
        <v>21.6</v>
      </c>
      <c r="N10" s="2" t="s">
        <v>629</v>
      </c>
    </row>
    <row r="11" customFormat="false" ht="15" hidden="false" customHeight="false" outlineLevel="0" collapsed="false">
      <c r="A11" s="2" t="s">
        <v>525</v>
      </c>
      <c r="B11" s="2" t="s">
        <v>80</v>
      </c>
      <c r="C11" s="4" t="n">
        <v>10</v>
      </c>
      <c r="D11" s="2" t="s">
        <v>449</v>
      </c>
      <c r="E11" s="2" t="s">
        <v>423</v>
      </c>
      <c r="F11" s="5" t="n">
        <f aca="false">INDEX('08_PEDIDOS'!$D$2:$D$97,MATCH(A11,'08_PEDIDOS'!$A$2:$A$97,0))</f>
        <v>12</v>
      </c>
      <c r="G11" s="5" t="n">
        <f aca="false">INDEX('08_PEDIDOS'!$H$2:$H$97,MATCH(A11,'08_PEDIDOS'!$A$2:$A$97,0))</f>
        <v>10</v>
      </c>
      <c r="H11" s="17" t="n">
        <f aca="false">SUMIFS('05_RUTAS'!$F$2:$F$407,'05_RUTAS'!$A$2:$A$407,B11,'05_RUTAS'!$C$2:$C$407,C11)</f>
        <v>8</v>
      </c>
      <c r="I11" s="18" t="n">
        <f aca="false">SUMIFS('05_RUTAS'!$G$2:$G$407,'05_RUTAS'!$A$2:$A$407,B11,'05_RUTAS'!$C$2:$C$407,C11)</f>
        <v>2.69</v>
      </c>
      <c r="J11" s="18" t="n">
        <f aca="false">(ROUNDUP(F11/G11,0)*H11+F11*I11)/60</f>
        <v>0.804666666666667</v>
      </c>
      <c r="K11" s="5" t="n">
        <f aca="false">MONTH(INDEX('08_PEDIDOS'!$F$2:$F$97,MATCH(A11,'08_PEDIDOS'!$A$2:$A$97,0)))</f>
        <v>1</v>
      </c>
      <c r="L11" s="16" t="n">
        <f aca="false">J11*N(INDEX('04_MAQUINAS'!$F$2:$F$18,MATCH(E11,'04_MAQUINAS'!$A$2:$A$18,0)))</f>
        <v>12.8746666666667</v>
      </c>
      <c r="M11" s="17" t="n">
        <f aca="false">J11*INDEX('04_MAQUINAS'!$G$2:$G$18,MATCH(E11,'04_MAQUINAS'!$A$2:$A$18,0))*INDEX('04_MAQUINAS'!$H$2:$H$18,MATCH(E11,'04_MAQUINAS'!$A$2:$A$18,0))</f>
        <v>0.201166666666667</v>
      </c>
      <c r="N11" s="2" t="s">
        <v>629</v>
      </c>
    </row>
    <row r="12" customFormat="false" ht="15" hidden="false" customHeight="false" outlineLevel="0" collapsed="false">
      <c r="A12" s="2" t="s">
        <v>525</v>
      </c>
      <c r="B12" s="2" t="s">
        <v>80</v>
      </c>
      <c r="C12" s="4" t="n">
        <v>11</v>
      </c>
      <c r="D12" s="2" t="s">
        <v>450</v>
      </c>
      <c r="E12" s="2" t="s">
        <v>406</v>
      </c>
      <c r="F12" s="5" t="n">
        <f aca="false">INDEX('08_PEDIDOS'!$D$2:$D$97,MATCH(A12,'08_PEDIDOS'!$A$2:$A$97,0))</f>
        <v>12</v>
      </c>
      <c r="G12" s="5" t="n">
        <f aca="false">INDEX('08_PEDIDOS'!$H$2:$H$97,MATCH(A12,'08_PEDIDOS'!$A$2:$A$97,0))</f>
        <v>10</v>
      </c>
      <c r="H12" s="17" t="n">
        <f aca="false">SUMIFS('05_RUTAS'!$F$2:$F$407,'05_RUTAS'!$A$2:$A$407,B12,'05_RUTAS'!$C$2:$C$407,C12)</f>
        <v>6</v>
      </c>
      <c r="I12" s="18" t="n">
        <f aca="false">SUMIFS('05_RUTAS'!$G$2:$G$407,'05_RUTAS'!$A$2:$A$407,B12,'05_RUTAS'!$C$2:$C$407,C12)</f>
        <v>60</v>
      </c>
      <c r="J12" s="18" t="n">
        <f aca="false">(ROUNDUP(F12/G12,0)*H12+F12*I12)/60</f>
        <v>12.2</v>
      </c>
      <c r="K12" s="5" t="n">
        <f aca="false">MONTH(INDEX('08_PEDIDOS'!$F$2:$F$97,MATCH(A12,'08_PEDIDOS'!$A$2:$A$97,0)))</f>
        <v>1</v>
      </c>
      <c r="L12" s="16" t="n">
        <f aca="false">J12*N(INDEX('04_MAQUINAS'!$F$2:$F$18,MATCH(E12,'04_MAQUINAS'!$A$2:$A$18,0)))</f>
        <v>231.8</v>
      </c>
      <c r="M12" s="17" t="n">
        <f aca="false">J12*INDEX('04_MAQUINAS'!$G$2:$G$18,MATCH(E12,'04_MAQUINAS'!$A$2:$A$18,0))*INDEX('04_MAQUINAS'!$H$2:$H$18,MATCH(E12,'04_MAQUINAS'!$A$2:$A$18,0))</f>
        <v>3.66</v>
      </c>
      <c r="N12" s="2" t="s">
        <v>629</v>
      </c>
    </row>
    <row r="13" customFormat="false" ht="15" hidden="false" customHeight="false" outlineLevel="0" collapsed="false">
      <c r="A13" s="2" t="s">
        <v>525</v>
      </c>
      <c r="B13" s="2" t="s">
        <v>80</v>
      </c>
      <c r="C13" s="4" t="n">
        <v>12</v>
      </c>
      <c r="D13" s="2" t="s">
        <v>451</v>
      </c>
      <c r="E13" s="2" t="s">
        <v>408</v>
      </c>
      <c r="F13" s="5" t="n">
        <f aca="false">INDEX('08_PEDIDOS'!$D$2:$D$97,MATCH(A13,'08_PEDIDOS'!$A$2:$A$97,0))</f>
        <v>12</v>
      </c>
      <c r="G13" s="5" t="n">
        <f aca="false">INDEX('08_PEDIDOS'!$H$2:$H$97,MATCH(A13,'08_PEDIDOS'!$A$2:$A$97,0))</f>
        <v>10</v>
      </c>
      <c r="H13" s="17" t="n">
        <f aca="false">SUMIFS('05_RUTAS'!$F$2:$F$407,'05_RUTAS'!$A$2:$A$407,B13,'05_RUTAS'!$C$2:$C$407,C13)</f>
        <v>2</v>
      </c>
      <c r="I13" s="18" t="n">
        <f aca="false">SUMIFS('05_RUTAS'!$G$2:$G$407,'05_RUTAS'!$A$2:$A$407,B13,'05_RUTAS'!$C$2:$C$407,C13)</f>
        <v>3.86</v>
      </c>
      <c r="J13" s="18" t="n">
        <f aca="false">(ROUNDUP(F13/G13,0)*H13+F13*I13)/60</f>
        <v>0.838666666666667</v>
      </c>
      <c r="K13" s="5" t="n">
        <f aca="false">MONTH(INDEX('08_PEDIDOS'!$F$2:$F$97,MATCH(A13,'08_PEDIDOS'!$A$2:$A$97,0)))</f>
        <v>1</v>
      </c>
      <c r="L13" s="16" t="n">
        <f aca="false">J13*N(INDEX('04_MAQUINAS'!$F$2:$F$18,MATCH(E13,'04_MAQUINAS'!$A$2:$A$18,0)))</f>
        <v>16.7733333333333</v>
      </c>
      <c r="M13" s="17" t="n">
        <f aca="false">J13*INDEX('04_MAQUINAS'!$G$2:$G$18,MATCH(E13,'04_MAQUINAS'!$A$2:$A$18,0))*INDEX('04_MAQUINAS'!$H$2:$H$18,MATCH(E13,'04_MAQUINAS'!$A$2:$A$18,0))</f>
        <v>0.0838666666666667</v>
      </c>
      <c r="N13" s="2" t="s">
        <v>629</v>
      </c>
    </row>
    <row r="14" customFormat="false" ht="15" hidden="false" customHeight="false" outlineLevel="0" collapsed="false">
      <c r="A14" s="2" t="s">
        <v>525</v>
      </c>
      <c r="B14" s="2" t="s">
        <v>80</v>
      </c>
      <c r="C14" s="4" t="n">
        <v>13</v>
      </c>
      <c r="D14" s="2" t="s">
        <v>452</v>
      </c>
      <c r="E14" s="2" t="s">
        <v>411</v>
      </c>
      <c r="F14" s="5" t="n">
        <f aca="false">INDEX('08_PEDIDOS'!$D$2:$D$97,MATCH(A14,'08_PEDIDOS'!$A$2:$A$97,0))</f>
        <v>12</v>
      </c>
      <c r="G14" s="5" t="n">
        <f aca="false">INDEX('08_PEDIDOS'!$H$2:$H$97,MATCH(A14,'08_PEDIDOS'!$A$2:$A$97,0))</f>
        <v>10</v>
      </c>
      <c r="H14" s="17" t="n">
        <f aca="false">SUMIFS('05_RUTAS'!$F$2:$F$407,'05_RUTAS'!$A$2:$A$407,B14,'05_RUTAS'!$C$2:$C$407,C14)</f>
        <v>2</v>
      </c>
      <c r="I14" s="18" t="n">
        <f aca="false">SUMIFS('05_RUTAS'!$G$2:$G$407,'05_RUTAS'!$A$2:$A$407,B14,'05_RUTAS'!$C$2:$C$407,C14)</f>
        <v>5.3</v>
      </c>
      <c r="J14" s="18" t="n">
        <f aca="false">(ROUNDUP(F14/G14,0)*H14+F14*I14)/60</f>
        <v>1.12666666666667</v>
      </c>
      <c r="K14" s="5" t="n">
        <f aca="false">MONTH(INDEX('08_PEDIDOS'!$F$2:$F$97,MATCH(A14,'08_PEDIDOS'!$A$2:$A$97,0)))</f>
        <v>1</v>
      </c>
      <c r="L14" s="16" t="n">
        <f aca="false">J14*N(INDEX('04_MAQUINAS'!$F$2:$F$18,MATCH(E14,'04_MAQUINAS'!$A$2:$A$18,0)))</f>
        <v>20.28</v>
      </c>
      <c r="M14" s="17" t="n">
        <f aca="false">J14*INDEX('04_MAQUINAS'!$G$2:$G$18,MATCH(E14,'04_MAQUINAS'!$A$2:$A$18,0))*INDEX('04_MAQUINAS'!$H$2:$H$18,MATCH(E14,'04_MAQUINAS'!$A$2:$A$18,0))</f>
        <v>0.1014</v>
      </c>
      <c r="N14" s="2" t="s">
        <v>629</v>
      </c>
    </row>
    <row r="15" customFormat="false" ht="15" hidden="false" customHeight="false" outlineLevel="0" collapsed="false">
      <c r="A15" s="2" t="s">
        <v>526</v>
      </c>
      <c r="B15" s="2" t="s">
        <v>83</v>
      </c>
      <c r="C15" s="4" t="n">
        <v>1</v>
      </c>
      <c r="D15" s="2" t="s">
        <v>437</v>
      </c>
      <c r="E15" s="2" t="s">
        <v>375</v>
      </c>
      <c r="F15" s="5" t="n">
        <f aca="false">INDEX('08_PEDIDOS'!$D$2:$D$97,MATCH(A15,'08_PEDIDOS'!$A$2:$A$97,0))</f>
        <v>12</v>
      </c>
      <c r="G15" s="5" t="n">
        <f aca="false">INDEX('08_PEDIDOS'!$H$2:$H$97,MATCH(A15,'08_PEDIDOS'!$A$2:$A$97,0))</f>
        <v>10</v>
      </c>
      <c r="H15" s="17" t="n">
        <f aca="false">SUMIFS('05_RUTAS'!$F$2:$F$407,'05_RUTAS'!$A$2:$A$407,B15,'05_RUTAS'!$C$2:$C$407,C15)</f>
        <v>8</v>
      </c>
      <c r="I15" s="18" t="n">
        <f aca="false">SUMIFS('05_RUTAS'!$G$2:$G$407,'05_RUTAS'!$A$2:$A$407,B15,'05_RUTAS'!$C$2:$C$407,C15)</f>
        <v>36.67</v>
      </c>
      <c r="J15" s="18" t="n">
        <f aca="false">(ROUNDUP(F15/G15,0)*H15+F15*I15)/60</f>
        <v>7.60066666666667</v>
      </c>
      <c r="K15" s="5" t="n">
        <f aca="false">MONTH(INDEX('08_PEDIDOS'!$F$2:$F$97,MATCH(A15,'08_PEDIDOS'!$A$2:$A$97,0)))</f>
        <v>1</v>
      </c>
      <c r="L15" s="16" t="n">
        <f aca="false">J15*N(INDEX('04_MAQUINAS'!$F$2:$F$18,MATCH(E15,'04_MAQUINAS'!$A$2:$A$18,0)))</f>
        <v>182.416</v>
      </c>
      <c r="M15" s="17" t="n">
        <f aca="false">J15*INDEX('04_MAQUINAS'!$G$2:$G$18,MATCH(E15,'04_MAQUINAS'!$A$2:$A$18,0))*INDEX('04_MAQUINAS'!$H$2:$H$18,MATCH(E15,'04_MAQUINAS'!$A$2:$A$18,0))</f>
        <v>20.9018333333333</v>
      </c>
      <c r="N15" s="2" t="s">
        <v>629</v>
      </c>
    </row>
    <row r="16" customFormat="false" ht="15" hidden="false" customHeight="false" outlineLevel="0" collapsed="false">
      <c r="A16" s="2" t="s">
        <v>526</v>
      </c>
      <c r="B16" s="2" t="s">
        <v>83</v>
      </c>
      <c r="C16" s="4" t="n">
        <v>2</v>
      </c>
      <c r="D16" s="2" t="s">
        <v>441</v>
      </c>
      <c r="E16" s="2" t="s">
        <v>380</v>
      </c>
      <c r="F16" s="5" t="n">
        <f aca="false">INDEX('08_PEDIDOS'!$D$2:$D$97,MATCH(A16,'08_PEDIDOS'!$A$2:$A$97,0))</f>
        <v>12</v>
      </c>
      <c r="G16" s="5" t="n">
        <f aca="false">INDEX('08_PEDIDOS'!$H$2:$H$97,MATCH(A16,'08_PEDIDOS'!$A$2:$A$97,0))</f>
        <v>10</v>
      </c>
      <c r="H16" s="17" t="n">
        <f aca="false">SUMIFS('05_RUTAS'!$F$2:$F$407,'05_RUTAS'!$A$2:$A$407,B16,'05_RUTAS'!$C$2:$C$407,C16)</f>
        <v>8</v>
      </c>
      <c r="I16" s="18" t="n">
        <f aca="false">SUMIFS('05_RUTAS'!$G$2:$G$407,'05_RUTAS'!$A$2:$A$407,B16,'05_RUTAS'!$C$2:$C$407,C16)</f>
        <v>52</v>
      </c>
      <c r="J16" s="18" t="n">
        <f aca="false">(ROUNDUP(F16/G16,0)*H16+F16*I16)/60</f>
        <v>10.6666666666667</v>
      </c>
      <c r="K16" s="5" t="n">
        <f aca="false">MONTH(INDEX('08_PEDIDOS'!$F$2:$F$97,MATCH(A16,'08_PEDIDOS'!$A$2:$A$97,0)))</f>
        <v>1</v>
      </c>
      <c r="L16" s="16" t="n">
        <f aca="false">J16*N(INDEX('04_MAQUINAS'!$F$2:$F$18,MATCH(E16,'04_MAQUINAS'!$A$2:$A$18,0)))</f>
        <v>234.666666666667</v>
      </c>
      <c r="M16" s="17" t="n">
        <f aca="false">J16*INDEX('04_MAQUINAS'!$G$2:$G$18,MATCH(E16,'04_MAQUINAS'!$A$2:$A$18,0))*INDEX('04_MAQUINAS'!$H$2:$H$18,MATCH(E16,'04_MAQUINAS'!$A$2:$A$18,0))</f>
        <v>4.8</v>
      </c>
      <c r="N16" s="2" t="s">
        <v>629</v>
      </c>
    </row>
    <row r="17" customFormat="false" ht="15" hidden="false" customHeight="false" outlineLevel="0" collapsed="false">
      <c r="A17" s="2" t="s">
        <v>526</v>
      </c>
      <c r="B17" s="2" t="s">
        <v>83</v>
      </c>
      <c r="C17" s="4" t="n">
        <v>3</v>
      </c>
      <c r="D17" s="2" t="s">
        <v>386</v>
      </c>
      <c r="E17" s="2" t="s">
        <v>383</v>
      </c>
      <c r="F17" s="5" t="n">
        <f aca="false">INDEX('08_PEDIDOS'!$D$2:$D$97,MATCH(A17,'08_PEDIDOS'!$A$2:$A$97,0))</f>
        <v>12</v>
      </c>
      <c r="G17" s="5" t="n">
        <f aca="false">INDEX('08_PEDIDOS'!$H$2:$H$97,MATCH(A17,'08_PEDIDOS'!$A$2:$A$97,0))</f>
        <v>10</v>
      </c>
      <c r="H17" s="17" t="n">
        <f aca="false">SUMIFS('05_RUTAS'!$F$2:$F$407,'05_RUTAS'!$A$2:$A$407,B17,'05_RUTAS'!$C$2:$C$407,C17)</f>
        <v>10</v>
      </c>
      <c r="I17" s="18" t="n">
        <f aca="false">SUMIFS('05_RUTAS'!$G$2:$G$407,'05_RUTAS'!$A$2:$A$407,B17,'05_RUTAS'!$C$2:$C$407,C17)</f>
        <v>82.1</v>
      </c>
      <c r="J17" s="18" t="n">
        <f aca="false">(ROUNDUP(F17/G17,0)*H17+F17*I17)/60</f>
        <v>16.7533333333333</v>
      </c>
      <c r="K17" s="5" t="n">
        <f aca="false">MONTH(INDEX('08_PEDIDOS'!$F$2:$F$97,MATCH(A17,'08_PEDIDOS'!$A$2:$A$97,0)))</f>
        <v>1</v>
      </c>
      <c r="L17" s="16" t="n">
        <f aca="false">J17*N(INDEX('04_MAQUINAS'!$F$2:$F$18,MATCH(E17,'04_MAQUINAS'!$A$2:$A$18,0)))</f>
        <v>368.573333333333</v>
      </c>
      <c r="M17" s="17" t="n">
        <f aca="false">J17*INDEX('04_MAQUINAS'!$G$2:$G$18,MATCH(E17,'04_MAQUINAS'!$A$2:$A$18,0))*INDEX('04_MAQUINAS'!$H$2:$H$18,MATCH(E17,'04_MAQUINAS'!$A$2:$A$18,0))</f>
        <v>4.60716666666667</v>
      </c>
      <c r="N17" s="2" t="s">
        <v>629</v>
      </c>
    </row>
    <row r="18" customFormat="false" ht="15" hidden="false" customHeight="false" outlineLevel="0" collapsed="false">
      <c r="A18" s="2" t="s">
        <v>526</v>
      </c>
      <c r="B18" s="2" t="s">
        <v>83</v>
      </c>
      <c r="C18" s="4" t="n">
        <v>4</v>
      </c>
      <c r="D18" s="2" t="s">
        <v>390</v>
      </c>
      <c r="E18" s="2" t="s">
        <v>387</v>
      </c>
      <c r="F18" s="5" t="n">
        <f aca="false">INDEX('08_PEDIDOS'!$D$2:$D$97,MATCH(A18,'08_PEDIDOS'!$A$2:$A$97,0))</f>
        <v>12</v>
      </c>
      <c r="G18" s="5" t="n">
        <f aca="false">INDEX('08_PEDIDOS'!$H$2:$H$97,MATCH(A18,'08_PEDIDOS'!$A$2:$A$97,0))</f>
        <v>10</v>
      </c>
      <c r="H18" s="17" t="n">
        <f aca="false">SUMIFS('05_RUTAS'!$F$2:$F$407,'05_RUTAS'!$A$2:$A$407,B18,'05_RUTAS'!$C$2:$C$407,C18)</f>
        <v>12</v>
      </c>
      <c r="I18" s="18" t="n">
        <f aca="false">SUMIFS('05_RUTAS'!$G$2:$G$407,'05_RUTAS'!$A$2:$A$407,B18,'05_RUTAS'!$C$2:$C$407,C18)</f>
        <v>69</v>
      </c>
      <c r="J18" s="18" t="n">
        <f aca="false">(ROUNDUP(F18/G18,0)*H18+F18*I18)/60</f>
        <v>14.2</v>
      </c>
      <c r="K18" s="5" t="n">
        <f aca="false">MONTH(INDEX('08_PEDIDOS'!$F$2:$F$97,MATCH(A18,'08_PEDIDOS'!$A$2:$A$97,0)))</f>
        <v>1</v>
      </c>
      <c r="L18" s="16" t="n">
        <f aca="false">J18*N(INDEX('04_MAQUINAS'!$F$2:$F$18,MATCH(E18,'04_MAQUINAS'!$A$2:$A$18,0)))</f>
        <v>397.6</v>
      </c>
      <c r="M18" s="17" t="n">
        <f aca="false">J18*INDEX('04_MAQUINAS'!$G$2:$G$18,MATCH(E18,'04_MAQUINAS'!$A$2:$A$18,0))*INDEX('04_MAQUINAS'!$H$2:$H$18,MATCH(E18,'04_MAQUINAS'!$A$2:$A$18,0))</f>
        <v>35.145</v>
      </c>
      <c r="N18" s="2" t="s">
        <v>629</v>
      </c>
    </row>
    <row r="19" customFormat="false" ht="15" hidden="false" customHeight="false" outlineLevel="0" collapsed="false">
      <c r="A19" s="2" t="s">
        <v>526</v>
      </c>
      <c r="B19" s="2" t="s">
        <v>83</v>
      </c>
      <c r="C19" s="4" t="n">
        <v>5</v>
      </c>
      <c r="D19" s="2" t="s">
        <v>442</v>
      </c>
      <c r="E19" s="2" t="s">
        <v>391</v>
      </c>
      <c r="F19" s="5" t="n">
        <f aca="false">INDEX('08_PEDIDOS'!$D$2:$D$97,MATCH(A19,'08_PEDIDOS'!$A$2:$A$97,0))</f>
        <v>12</v>
      </c>
      <c r="G19" s="5" t="n">
        <f aca="false">INDEX('08_PEDIDOS'!$H$2:$H$97,MATCH(A19,'08_PEDIDOS'!$A$2:$A$97,0))</f>
        <v>10</v>
      </c>
      <c r="H19" s="17" t="n">
        <f aca="false">SUMIFS('05_RUTAS'!$F$2:$F$407,'05_RUTAS'!$A$2:$A$407,B19,'05_RUTAS'!$C$2:$C$407,C19)</f>
        <v>10</v>
      </c>
      <c r="I19" s="18" t="n">
        <f aca="false">SUMIFS('05_RUTAS'!$G$2:$G$407,'05_RUTAS'!$A$2:$A$407,B19,'05_RUTAS'!$C$2:$C$407,C19)</f>
        <v>78.4</v>
      </c>
      <c r="J19" s="18" t="n">
        <f aca="false">(ROUNDUP(F19/G19,0)*H19+F19*I19)/60</f>
        <v>16.0133333333333</v>
      </c>
      <c r="K19" s="5" t="n">
        <f aca="false">MONTH(INDEX('08_PEDIDOS'!$F$2:$F$97,MATCH(A19,'08_PEDIDOS'!$A$2:$A$97,0)))</f>
        <v>1</v>
      </c>
      <c r="L19" s="16" t="n">
        <f aca="false">J19*N(INDEX('04_MAQUINAS'!$F$2:$F$18,MATCH(E19,'04_MAQUINAS'!$A$2:$A$18,0)))</f>
        <v>512.426666666667</v>
      </c>
      <c r="M19" s="17" t="n">
        <f aca="false">J19*INDEX('04_MAQUINAS'!$G$2:$G$18,MATCH(E19,'04_MAQUINAS'!$A$2:$A$18,0))*INDEX('04_MAQUINAS'!$H$2:$H$18,MATCH(E19,'04_MAQUINAS'!$A$2:$A$18,0))</f>
        <v>28.0233333333333</v>
      </c>
      <c r="N19" s="2" t="s">
        <v>629</v>
      </c>
    </row>
    <row r="20" customFormat="false" ht="15" hidden="false" customHeight="false" outlineLevel="0" collapsed="false">
      <c r="A20" s="2" t="s">
        <v>526</v>
      </c>
      <c r="B20" s="2" t="s">
        <v>83</v>
      </c>
      <c r="C20" s="4" t="n">
        <v>6</v>
      </c>
      <c r="D20" s="2" t="s">
        <v>443</v>
      </c>
      <c r="E20" s="2" t="s">
        <v>395</v>
      </c>
      <c r="F20" s="5" t="n">
        <f aca="false">INDEX('08_PEDIDOS'!$D$2:$D$97,MATCH(A20,'08_PEDIDOS'!$A$2:$A$97,0))</f>
        <v>12</v>
      </c>
      <c r="G20" s="5" t="n">
        <f aca="false">INDEX('08_PEDIDOS'!$H$2:$H$97,MATCH(A20,'08_PEDIDOS'!$A$2:$A$97,0))</f>
        <v>10</v>
      </c>
      <c r="H20" s="17" t="n">
        <f aca="false">SUMIFS('05_RUTAS'!$F$2:$F$407,'05_RUTAS'!$A$2:$A$407,B20,'05_RUTAS'!$C$2:$C$407,C20)</f>
        <v>3</v>
      </c>
      <c r="I20" s="18" t="n">
        <f aca="false">SUMIFS('05_RUTAS'!$G$2:$G$407,'05_RUTAS'!$A$2:$A$407,B20,'05_RUTAS'!$C$2:$C$407,C20)</f>
        <v>49.5</v>
      </c>
      <c r="J20" s="18" t="n">
        <f aca="false">(ROUNDUP(F20/G20,0)*H20+F20*I20)/60</f>
        <v>10</v>
      </c>
      <c r="K20" s="5" t="n">
        <f aca="false">MONTH(INDEX('08_PEDIDOS'!$F$2:$F$97,MATCH(A20,'08_PEDIDOS'!$A$2:$A$97,0)))</f>
        <v>1</v>
      </c>
      <c r="L20" s="16" t="n">
        <f aca="false">J20*N(INDEX('04_MAQUINAS'!$F$2:$F$18,MATCH(E20,'04_MAQUINAS'!$A$2:$A$18,0)))</f>
        <v>210</v>
      </c>
      <c r="M20" s="17" t="n">
        <f aca="false">J20*INDEX('04_MAQUINAS'!$G$2:$G$18,MATCH(E20,'04_MAQUINAS'!$A$2:$A$18,0))*INDEX('04_MAQUINAS'!$H$2:$H$18,MATCH(E20,'04_MAQUINAS'!$A$2:$A$18,0))</f>
        <v>7.5</v>
      </c>
      <c r="N20" s="2" t="s">
        <v>629</v>
      </c>
    </row>
    <row r="21" customFormat="false" ht="15" hidden="false" customHeight="false" outlineLevel="0" collapsed="false">
      <c r="A21" s="2" t="s">
        <v>526</v>
      </c>
      <c r="B21" s="2" t="s">
        <v>83</v>
      </c>
      <c r="C21" s="4" t="n">
        <v>7</v>
      </c>
      <c r="D21" s="2" t="s">
        <v>444</v>
      </c>
      <c r="E21" s="2" t="s">
        <v>399</v>
      </c>
      <c r="F21" s="5" t="n">
        <f aca="false">INDEX('08_PEDIDOS'!$D$2:$D$97,MATCH(A21,'08_PEDIDOS'!$A$2:$A$97,0))</f>
        <v>12</v>
      </c>
      <c r="G21" s="5" t="n">
        <f aca="false">INDEX('08_PEDIDOS'!$H$2:$H$97,MATCH(A21,'08_PEDIDOS'!$A$2:$A$97,0))</f>
        <v>10</v>
      </c>
      <c r="H21" s="17" t="n">
        <f aca="false">SUMIFS('05_RUTAS'!$F$2:$F$407,'05_RUTAS'!$A$2:$A$407,B21,'05_RUTAS'!$C$2:$C$407,C21)</f>
        <v>6</v>
      </c>
      <c r="I21" s="18" t="n">
        <f aca="false">SUMIFS('05_RUTAS'!$G$2:$G$407,'05_RUTAS'!$A$2:$A$407,B21,'05_RUTAS'!$C$2:$C$407,C21)</f>
        <v>32.064</v>
      </c>
      <c r="J21" s="18" t="n">
        <f aca="false">(ROUNDUP(F21/G21,0)*H21+F21*I21)/60</f>
        <v>6.6128</v>
      </c>
      <c r="K21" s="5" t="n">
        <f aca="false">MONTH(INDEX('08_PEDIDOS'!$F$2:$F$97,MATCH(A21,'08_PEDIDOS'!$A$2:$A$97,0)))</f>
        <v>1</v>
      </c>
      <c r="L21" s="16" t="n">
        <f aca="false">J21*N(INDEX('04_MAQUINAS'!$F$2:$F$18,MATCH(E21,'04_MAQUINAS'!$A$2:$A$18,0)))</f>
        <v>125.6432</v>
      </c>
      <c r="M21" s="17" t="n">
        <f aca="false">J21*INDEX('04_MAQUINAS'!$G$2:$G$18,MATCH(E21,'04_MAQUINAS'!$A$2:$A$18,0))*INDEX('04_MAQUINAS'!$H$2:$H$18,MATCH(E21,'04_MAQUINAS'!$A$2:$A$18,0))</f>
        <v>5.819264</v>
      </c>
      <c r="N21" s="2" t="s">
        <v>629</v>
      </c>
    </row>
    <row r="22" customFormat="false" ht="15" hidden="false" customHeight="false" outlineLevel="0" collapsed="false">
      <c r="A22" s="2" t="s">
        <v>526</v>
      </c>
      <c r="B22" s="2" t="s">
        <v>83</v>
      </c>
      <c r="C22" s="4" t="n">
        <v>8</v>
      </c>
      <c r="D22" s="2" t="s">
        <v>445</v>
      </c>
      <c r="E22" s="2" t="s">
        <v>402</v>
      </c>
      <c r="F22" s="5" t="n">
        <f aca="false">INDEX('08_PEDIDOS'!$D$2:$D$97,MATCH(A22,'08_PEDIDOS'!$A$2:$A$97,0))</f>
        <v>12</v>
      </c>
      <c r="G22" s="5" t="n">
        <f aca="false">INDEX('08_PEDIDOS'!$H$2:$H$97,MATCH(A22,'08_PEDIDOS'!$A$2:$A$97,0))</f>
        <v>10</v>
      </c>
      <c r="H22" s="17" t="n">
        <f aca="false">SUMIFS('05_RUTAS'!$F$2:$F$407,'05_RUTAS'!$A$2:$A$407,B22,'05_RUTAS'!$C$2:$C$407,C22)</f>
        <v>12</v>
      </c>
      <c r="I22" s="18" t="n">
        <f aca="false">SUMIFS('05_RUTAS'!$G$2:$G$407,'05_RUTAS'!$A$2:$A$407,B22,'05_RUTAS'!$C$2:$C$407,C22)</f>
        <v>8.02</v>
      </c>
      <c r="J22" s="18" t="n">
        <f aca="false">(ROUNDUP(F22/G22,0)*H22+F22*I22)/60</f>
        <v>2.004</v>
      </c>
      <c r="K22" s="5" t="n">
        <f aca="false">MONTH(INDEX('08_PEDIDOS'!$F$2:$F$97,MATCH(A22,'08_PEDIDOS'!$A$2:$A$97,0)))</f>
        <v>1</v>
      </c>
      <c r="L22" s="16" t="n">
        <f aca="false">J22*N(INDEX('04_MAQUINAS'!$F$2:$F$18,MATCH(E22,'04_MAQUINAS'!$A$2:$A$18,0)))</f>
        <v>64.128</v>
      </c>
      <c r="M22" s="17" t="n">
        <f aca="false">J22*INDEX('04_MAQUINAS'!$G$2:$G$18,MATCH(E22,'04_MAQUINAS'!$A$2:$A$18,0))*INDEX('04_MAQUINAS'!$H$2:$H$18,MATCH(E22,'04_MAQUINAS'!$A$2:$A$18,0))</f>
        <v>2.1042</v>
      </c>
      <c r="N22" s="2" t="s">
        <v>629</v>
      </c>
    </row>
    <row r="23" customFormat="false" ht="15" hidden="false" customHeight="false" outlineLevel="0" collapsed="false">
      <c r="A23" s="2" t="s">
        <v>526</v>
      </c>
      <c r="B23" s="2" t="s">
        <v>83</v>
      </c>
      <c r="C23" s="4" t="n">
        <v>9</v>
      </c>
      <c r="D23" s="2" t="s">
        <v>447</v>
      </c>
      <c r="E23" s="2" t="s">
        <v>421</v>
      </c>
      <c r="F23" s="5" t="n">
        <f aca="false">INDEX('08_PEDIDOS'!$D$2:$D$97,MATCH(A23,'08_PEDIDOS'!$A$2:$A$97,0))</f>
        <v>12</v>
      </c>
      <c r="G23" s="5" t="n">
        <f aca="false">INDEX('08_PEDIDOS'!$H$2:$H$97,MATCH(A23,'08_PEDIDOS'!$A$2:$A$97,0))</f>
        <v>10</v>
      </c>
      <c r="H23" s="17" t="n">
        <f aca="false">SUMIFS('05_RUTAS'!$F$2:$F$407,'05_RUTAS'!$A$2:$A$407,B23,'05_RUTAS'!$C$2:$C$407,C23)</f>
        <v>45</v>
      </c>
      <c r="I23" s="18" t="n">
        <f aca="false">SUMIFS('05_RUTAS'!$G$2:$G$407,'05_RUTAS'!$A$2:$A$407,B23,'05_RUTAS'!$C$2:$C$407,C23)</f>
        <v>0</v>
      </c>
      <c r="J23" s="18" t="n">
        <f aca="false">(ROUNDUP(F23/G23,0)*H23+F23*I23)/60</f>
        <v>1.5</v>
      </c>
      <c r="K23" s="5" t="n">
        <f aca="false">MONTH(INDEX('08_PEDIDOS'!$F$2:$F$97,MATCH(A23,'08_PEDIDOS'!$A$2:$A$97,0)))</f>
        <v>1</v>
      </c>
      <c r="L23" s="16" t="n">
        <f aca="false">J23*N(INDEX('04_MAQUINAS'!$F$2:$F$18,MATCH(E23,'04_MAQUINAS'!$A$2:$A$18,0)))</f>
        <v>39</v>
      </c>
      <c r="M23" s="17" t="n">
        <f aca="false">J23*INDEX('04_MAQUINAS'!$G$2:$G$18,MATCH(E23,'04_MAQUINAS'!$A$2:$A$18,0))*INDEX('04_MAQUINAS'!$H$2:$H$18,MATCH(E23,'04_MAQUINAS'!$A$2:$A$18,0))</f>
        <v>21.6</v>
      </c>
      <c r="N23" s="2" t="s">
        <v>629</v>
      </c>
    </row>
    <row r="24" customFormat="false" ht="15" hidden="false" customHeight="false" outlineLevel="0" collapsed="false">
      <c r="A24" s="2" t="s">
        <v>526</v>
      </c>
      <c r="B24" s="2" t="s">
        <v>83</v>
      </c>
      <c r="C24" s="4" t="n">
        <v>10</v>
      </c>
      <c r="D24" s="2" t="s">
        <v>449</v>
      </c>
      <c r="E24" s="2" t="s">
        <v>423</v>
      </c>
      <c r="F24" s="5" t="n">
        <f aca="false">INDEX('08_PEDIDOS'!$D$2:$D$97,MATCH(A24,'08_PEDIDOS'!$A$2:$A$97,0))</f>
        <v>12</v>
      </c>
      <c r="G24" s="5" t="n">
        <f aca="false">INDEX('08_PEDIDOS'!$H$2:$H$97,MATCH(A24,'08_PEDIDOS'!$A$2:$A$97,0))</f>
        <v>10</v>
      </c>
      <c r="H24" s="17" t="n">
        <f aca="false">SUMIFS('05_RUTAS'!$F$2:$F$407,'05_RUTAS'!$A$2:$A$407,B24,'05_RUTAS'!$C$2:$C$407,C24)</f>
        <v>8</v>
      </c>
      <c r="I24" s="18" t="n">
        <f aca="false">SUMIFS('05_RUTAS'!$G$2:$G$407,'05_RUTAS'!$A$2:$A$407,B24,'05_RUTAS'!$C$2:$C$407,C24)</f>
        <v>2.69</v>
      </c>
      <c r="J24" s="18" t="n">
        <f aca="false">(ROUNDUP(F24/G24,0)*H24+F24*I24)/60</f>
        <v>0.804666666666667</v>
      </c>
      <c r="K24" s="5" t="n">
        <f aca="false">MONTH(INDEX('08_PEDIDOS'!$F$2:$F$97,MATCH(A24,'08_PEDIDOS'!$A$2:$A$97,0)))</f>
        <v>1</v>
      </c>
      <c r="L24" s="16" t="n">
        <f aca="false">J24*N(INDEX('04_MAQUINAS'!$F$2:$F$18,MATCH(E24,'04_MAQUINAS'!$A$2:$A$18,0)))</f>
        <v>12.8746666666667</v>
      </c>
      <c r="M24" s="17" t="n">
        <f aca="false">J24*INDEX('04_MAQUINAS'!$G$2:$G$18,MATCH(E24,'04_MAQUINAS'!$A$2:$A$18,0))*INDEX('04_MAQUINAS'!$H$2:$H$18,MATCH(E24,'04_MAQUINAS'!$A$2:$A$18,0))</f>
        <v>0.201166666666667</v>
      </c>
      <c r="N24" s="2" t="s">
        <v>629</v>
      </c>
    </row>
    <row r="25" customFormat="false" ht="15" hidden="false" customHeight="false" outlineLevel="0" collapsed="false">
      <c r="A25" s="2" t="s">
        <v>526</v>
      </c>
      <c r="B25" s="2" t="s">
        <v>83</v>
      </c>
      <c r="C25" s="4" t="n">
        <v>11</v>
      </c>
      <c r="D25" s="2" t="s">
        <v>450</v>
      </c>
      <c r="E25" s="2" t="s">
        <v>406</v>
      </c>
      <c r="F25" s="5" t="n">
        <f aca="false">INDEX('08_PEDIDOS'!$D$2:$D$97,MATCH(A25,'08_PEDIDOS'!$A$2:$A$97,0))</f>
        <v>12</v>
      </c>
      <c r="G25" s="5" t="n">
        <f aca="false">INDEX('08_PEDIDOS'!$H$2:$H$97,MATCH(A25,'08_PEDIDOS'!$A$2:$A$97,0))</f>
        <v>10</v>
      </c>
      <c r="H25" s="17" t="n">
        <f aca="false">SUMIFS('05_RUTAS'!$F$2:$F$407,'05_RUTAS'!$A$2:$A$407,B25,'05_RUTAS'!$C$2:$C$407,C25)</f>
        <v>6</v>
      </c>
      <c r="I25" s="18" t="n">
        <f aca="false">SUMIFS('05_RUTAS'!$G$2:$G$407,'05_RUTAS'!$A$2:$A$407,B25,'05_RUTAS'!$C$2:$C$407,C25)</f>
        <v>62.25</v>
      </c>
      <c r="J25" s="18" t="n">
        <f aca="false">(ROUNDUP(F25/G25,0)*H25+F25*I25)/60</f>
        <v>12.65</v>
      </c>
      <c r="K25" s="5" t="n">
        <f aca="false">MONTH(INDEX('08_PEDIDOS'!$F$2:$F$97,MATCH(A25,'08_PEDIDOS'!$A$2:$A$97,0)))</f>
        <v>1</v>
      </c>
      <c r="L25" s="16" t="n">
        <f aca="false">J25*N(INDEX('04_MAQUINAS'!$F$2:$F$18,MATCH(E25,'04_MAQUINAS'!$A$2:$A$18,0)))</f>
        <v>240.35</v>
      </c>
      <c r="M25" s="17" t="n">
        <f aca="false">J25*INDEX('04_MAQUINAS'!$G$2:$G$18,MATCH(E25,'04_MAQUINAS'!$A$2:$A$18,0))*INDEX('04_MAQUINAS'!$H$2:$H$18,MATCH(E25,'04_MAQUINAS'!$A$2:$A$18,0))</f>
        <v>3.795</v>
      </c>
      <c r="N25" s="2" t="s">
        <v>629</v>
      </c>
    </row>
    <row r="26" customFormat="false" ht="15" hidden="false" customHeight="false" outlineLevel="0" collapsed="false">
      <c r="A26" s="2" t="s">
        <v>526</v>
      </c>
      <c r="B26" s="2" t="s">
        <v>83</v>
      </c>
      <c r="C26" s="4" t="n">
        <v>12</v>
      </c>
      <c r="D26" s="2" t="s">
        <v>451</v>
      </c>
      <c r="E26" s="2" t="s">
        <v>408</v>
      </c>
      <c r="F26" s="5" t="n">
        <f aca="false">INDEX('08_PEDIDOS'!$D$2:$D$97,MATCH(A26,'08_PEDIDOS'!$A$2:$A$97,0))</f>
        <v>12</v>
      </c>
      <c r="G26" s="5" t="n">
        <f aca="false">INDEX('08_PEDIDOS'!$H$2:$H$97,MATCH(A26,'08_PEDIDOS'!$A$2:$A$97,0))</f>
        <v>10</v>
      </c>
      <c r="H26" s="17" t="n">
        <f aca="false">SUMIFS('05_RUTAS'!$F$2:$F$407,'05_RUTAS'!$A$2:$A$407,B26,'05_RUTAS'!$C$2:$C$407,C26)</f>
        <v>2</v>
      </c>
      <c r="I26" s="18" t="n">
        <f aca="false">SUMIFS('05_RUTAS'!$G$2:$G$407,'05_RUTAS'!$A$2:$A$407,B26,'05_RUTAS'!$C$2:$C$407,C26)</f>
        <v>3.86</v>
      </c>
      <c r="J26" s="18" t="n">
        <f aca="false">(ROUNDUP(F26/G26,0)*H26+F26*I26)/60</f>
        <v>0.838666666666667</v>
      </c>
      <c r="K26" s="5" t="n">
        <f aca="false">MONTH(INDEX('08_PEDIDOS'!$F$2:$F$97,MATCH(A26,'08_PEDIDOS'!$A$2:$A$97,0)))</f>
        <v>1</v>
      </c>
      <c r="L26" s="16" t="n">
        <f aca="false">J26*N(INDEX('04_MAQUINAS'!$F$2:$F$18,MATCH(E26,'04_MAQUINAS'!$A$2:$A$18,0)))</f>
        <v>16.7733333333333</v>
      </c>
      <c r="M26" s="17" t="n">
        <f aca="false">J26*INDEX('04_MAQUINAS'!$G$2:$G$18,MATCH(E26,'04_MAQUINAS'!$A$2:$A$18,0))*INDEX('04_MAQUINAS'!$H$2:$H$18,MATCH(E26,'04_MAQUINAS'!$A$2:$A$18,0))</f>
        <v>0.0838666666666667</v>
      </c>
      <c r="N26" s="2" t="s">
        <v>629</v>
      </c>
    </row>
    <row r="27" customFormat="false" ht="15" hidden="false" customHeight="false" outlineLevel="0" collapsed="false">
      <c r="A27" s="2" t="s">
        <v>526</v>
      </c>
      <c r="B27" s="2" t="s">
        <v>83</v>
      </c>
      <c r="C27" s="4" t="n">
        <v>13</v>
      </c>
      <c r="D27" s="2" t="s">
        <v>452</v>
      </c>
      <c r="E27" s="2" t="s">
        <v>411</v>
      </c>
      <c r="F27" s="5" t="n">
        <f aca="false">INDEX('08_PEDIDOS'!$D$2:$D$97,MATCH(A27,'08_PEDIDOS'!$A$2:$A$97,0))</f>
        <v>12</v>
      </c>
      <c r="G27" s="5" t="n">
        <f aca="false">INDEX('08_PEDIDOS'!$H$2:$H$97,MATCH(A27,'08_PEDIDOS'!$A$2:$A$97,0))</f>
        <v>10</v>
      </c>
      <c r="H27" s="17" t="n">
        <f aca="false">SUMIFS('05_RUTAS'!$F$2:$F$407,'05_RUTAS'!$A$2:$A$407,B27,'05_RUTAS'!$C$2:$C$407,C27)</f>
        <v>2</v>
      </c>
      <c r="I27" s="18" t="n">
        <f aca="false">SUMIFS('05_RUTAS'!$G$2:$G$407,'05_RUTAS'!$A$2:$A$407,B27,'05_RUTAS'!$C$2:$C$407,C27)</f>
        <v>5.3</v>
      </c>
      <c r="J27" s="18" t="n">
        <f aca="false">(ROUNDUP(F27/G27,0)*H27+F27*I27)/60</f>
        <v>1.12666666666667</v>
      </c>
      <c r="K27" s="5" t="n">
        <f aca="false">MONTH(INDEX('08_PEDIDOS'!$F$2:$F$97,MATCH(A27,'08_PEDIDOS'!$A$2:$A$97,0)))</f>
        <v>1</v>
      </c>
      <c r="L27" s="16" t="n">
        <f aca="false">J27*N(INDEX('04_MAQUINAS'!$F$2:$F$18,MATCH(E27,'04_MAQUINAS'!$A$2:$A$18,0)))</f>
        <v>20.28</v>
      </c>
      <c r="M27" s="17" t="n">
        <f aca="false">J27*INDEX('04_MAQUINAS'!$G$2:$G$18,MATCH(E27,'04_MAQUINAS'!$A$2:$A$18,0))*INDEX('04_MAQUINAS'!$H$2:$H$18,MATCH(E27,'04_MAQUINAS'!$A$2:$A$18,0))</f>
        <v>0.1014</v>
      </c>
      <c r="N27" s="2" t="s">
        <v>629</v>
      </c>
    </row>
    <row r="28" customFormat="false" ht="15" hidden="false" customHeight="false" outlineLevel="0" collapsed="false">
      <c r="A28" s="2" t="s">
        <v>527</v>
      </c>
      <c r="B28" s="2" t="s">
        <v>94</v>
      </c>
      <c r="C28" s="4" t="n">
        <v>1</v>
      </c>
      <c r="D28" s="2" t="s">
        <v>437</v>
      </c>
      <c r="E28" s="2" t="s">
        <v>375</v>
      </c>
      <c r="F28" s="5" t="n">
        <f aca="false">INDEX('08_PEDIDOS'!$D$2:$D$97,MATCH(A28,'08_PEDIDOS'!$A$2:$A$97,0))</f>
        <v>7</v>
      </c>
      <c r="G28" s="5" t="n">
        <f aca="false">INDEX('08_PEDIDOS'!$H$2:$H$97,MATCH(A28,'08_PEDIDOS'!$A$2:$A$97,0))</f>
        <v>10</v>
      </c>
      <c r="H28" s="17" t="n">
        <f aca="false">SUMIFS('05_RUTAS'!$F$2:$F$407,'05_RUTAS'!$A$2:$A$407,B28,'05_RUTAS'!$C$2:$C$407,C28)</f>
        <v>8</v>
      </c>
      <c r="I28" s="18" t="n">
        <f aca="false">SUMIFS('05_RUTAS'!$G$2:$G$407,'05_RUTAS'!$A$2:$A$407,B28,'05_RUTAS'!$C$2:$C$407,C28)</f>
        <v>90.38</v>
      </c>
      <c r="J28" s="18" t="n">
        <f aca="false">(ROUNDUP(F28/G28,0)*H28+F28*I28)/60</f>
        <v>10.6776666666667</v>
      </c>
      <c r="K28" s="5" t="n">
        <f aca="false">MONTH(INDEX('08_PEDIDOS'!$F$2:$F$97,MATCH(A28,'08_PEDIDOS'!$A$2:$A$97,0)))</f>
        <v>1</v>
      </c>
      <c r="L28" s="16" t="n">
        <f aca="false">J28*N(INDEX('04_MAQUINAS'!$F$2:$F$18,MATCH(E28,'04_MAQUINAS'!$A$2:$A$18,0)))</f>
        <v>256.264</v>
      </c>
      <c r="M28" s="17" t="n">
        <f aca="false">J28*INDEX('04_MAQUINAS'!$G$2:$G$18,MATCH(E28,'04_MAQUINAS'!$A$2:$A$18,0))*INDEX('04_MAQUINAS'!$H$2:$H$18,MATCH(E28,'04_MAQUINAS'!$A$2:$A$18,0))</f>
        <v>29.3635833333333</v>
      </c>
      <c r="N28" s="2" t="s">
        <v>629</v>
      </c>
    </row>
    <row r="29" customFormat="false" ht="15" hidden="false" customHeight="false" outlineLevel="0" collapsed="false">
      <c r="A29" s="2" t="s">
        <v>527</v>
      </c>
      <c r="B29" s="2" t="s">
        <v>94</v>
      </c>
      <c r="C29" s="4" t="n">
        <v>2</v>
      </c>
      <c r="D29" s="2" t="s">
        <v>441</v>
      </c>
      <c r="E29" s="2" t="s">
        <v>380</v>
      </c>
      <c r="F29" s="5" t="n">
        <f aca="false">INDEX('08_PEDIDOS'!$D$2:$D$97,MATCH(A29,'08_PEDIDOS'!$A$2:$A$97,0))</f>
        <v>7</v>
      </c>
      <c r="G29" s="5" t="n">
        <f aca="false">INDEX('08_PEDIDOS'!$H$2:$H$97,MATCH(A29,'08_PEDIDOS'!$A$2:$A$97,0))</f>
        <v>10</v>
      </c>
      <c r="H29" s="17" t="n">
        <f aca="false">SUMIFS('05_RUTAS'!$F$2:$F$407,'05_RUTAS'!$A$2:$A$407,B29,'05_RUTAS'!$C$2:$C$407,C29)</f>
        <v>8</v>
      </c>
      <c r="I29" s="18" t="n">
        <f aca="false">SUMIFS('05_RUTAS'!$G$2:$G$407,'05_RUTAS'!$A$2:$A$407,B29,'05_RUTAS'!$C$2:$C$407,C29)</f>
        <v>5.98</v>
      </c>
      <c r="J29" s="18" t="n">
        <f aca="false">(ROUNDUP(F29/G29,0)*H29+F29*I29)/60</f>
        <v>0.831</v>
      </c>
      <c r="K29" s="5" t="n">
        <f aca="false">MONTH(INDEX('08_PEDIDOS'!$F$2:$F$97,MATCH(A29,'08_PEDIDOS'!$A$2:$A$97,0)))</f>
        <v>1</v>
      </c>
      <c r="L29" s="16" t="n">
        <f aca="false">J29*N(INDEX('04_MAQUINAS'!$F$2:$F$18,MATCH(E29,'04_MAQUINAS'!$A$2:$A$18,0)))</f>
        <v>18.282</v>
      </c>
      <c r="M29" s="17" t="n">
        <f aca="false">J29*INDEX('04_MAQUINAS'!$G$2:$G$18,MATCH(E29,'04_MAQUINAS'!$A$2:$A$18,0))*INDEX('04_MAQUINAS'!$H$2:$H$18,MATCH(E29,'04_MAQUINAS'!$A$2:$A$18,0))</f>
        <v>0.37395</v>
      </c>
      <c r="N29" s="2" t="s">
        <v>629</v>
      </c>
    </row>
    <row r="30" customFormat="false" ht="15" hidden="false" customHeight="false" outlineLevel="0" collapsed="false">
      <c r="A30" s="2" t="s">
        <v>527</v>
      </c>
      <c r="B30" s="2" t="s">
        <v>94</v>
      </c>
      <c r="C30" s="4" t="n">
        <v>3</v>
      </c>
      <c r="D30" s="2" t="s">
        <v>386</v>
      </c>
      <c r="E30" s="2" t="s">
        <v>383</v>
      </c>
      <c r="F30" s="5" t="n">
        <f aca="false">INDEX('08_PEDIDOS'!$D$2:$D$97,MATCH(A30,'08_PEDIDOS'!$A$2:$A$97,0))</f>
        <v>7</v>
      </c>
      <c r="G30" s="5" t="n">
        <f aca="false">INDEX('08_PEDIDOS'!$H$2:$H$97,MATCH(A30,'08_PEDIDOS'!$A$2:$A$97,0))</f>
        <v>10</v>
      </c>
      <c r="H30" s="17" t="n">
        <f aca="false">SUMIFS('05_RUTAS'!$F$2:$F$407,'05_RUTAS'!$A$2:$A$407,B30,'05_RUTAS'!$C$2:$C$407,C30)</f>
        <v>10</v>
      </c>
      <c r="I30" s="18" t="n">
        <f aca="false">SUMIFS('05_RUTAS'!$G$2:$G$407,'05_RUTAS'!$A$2:$A$407,B30,'05_RUTAS'!$C$2:$C$407,C30)</f>
        <v>97</v>
      </c>
      <c r="J30" s="18" t="n">
        <f aca="false">(ROUNDUP(F30/G30,0)*H30+F30*I30)/60</f>
        <v>11.4833333333333</v>
      </c>
      <c r="K30" s="5" t="n">
        <f aca="false">MONTH(INDEX('08_PEDIDOS'!$F$2:$F$97,MATCH(A30,'08_PEDIDOS'!$A$2:$A$97,0)))</f>
        <v>1</v>
      </c>
      <c r="L30" s="16" t="n">
        <f aca="false">J30*N(INDEX('04_MAQUINAS'!$F$2:$F$18,MATCH(E30,'04_MAQUINAS'!$A$2:$A$18,0)))</f>
        <v>252.633333333333</v>
      </c>
      <c r="M30" s="17" t="n">
        <f aca="false">J30*INDEX('04_MAQUINAS'!$G$2:$G$18,MATCH(E30,'04_MAQUINAS'!$A$2:$A$18,0))*INDEX('04_MAQUINAS'!$H$2:$H$18,MATCH(E30,'04_MAQUINAS'!$A$2:$A$18,0))</f>
        <v>3.15791666666667</v>
      </c>
      <c r="N30" s="2" t="s">
        <v>629</v>
      </c>
    </row>
    <row r="31" customFormat="false" ht="15" hidden="false" customHeight="false" outlineLevel="0" collapsed="false">
      <c r="A31" s="2" t="s">
        <v>527</v>
      </c>
      <c r="B31" s="2" t="s">
        <v>94</v>
      </c>
      <c r="C31" s="4" t="n">
        <v>4</v>
      </c>
      <c r="D31" s="2" t="s">
        <v>390</v>
      </c>
      <c r="E31" s="2" t="s">
        <v>387</v>
      </c>
      <c r="F31" s="5" t="n">
        <f aca="false">INDEX('08_PEDIDOS'!$D$2:$D$97,MATCH(A31,'08_PEDIDOS'!$A$2:$A$97,0))</f>
        <v>7</v>
      </c>
      <c r="G31" s="5" t="n">
        <f aca="false">INDEX('08_PEDIDOS'!$H$2:$H$97,MATCH(A31,'08_PEDIDOS'!$A$2:$A$97,0))</f>
        <v>10</v>
      </c>
      <c r="H31" s="17" t="n">
        <f aca="false">SUMIFS('05_RUTAS'!$F$2:$F$407,'05_RUTAS'!$A$2:$A$407,B31,'05_RUTAS'!$C$2:$C$407,C31)</f>
        <v>12</v>
      </c>
      <c r="I31" s="18" t="n">
        <f aca="false">SUMIFS('05_RUTAS'!$G$2:$G$407,'05_RUTAS'!$A$2:$A$407,B31,'05_RUTAS'!$C$2:$C$407,C31)</f>
        <v>196</v>
      </c>
      <c r="J31" s="18" t="n">
        <f aca="false">(ROUNDUP(F31/G31,0)*H31+F31*I31)/60</f>
        <v>23.0666666666667</v>
      </c>
      <c r="K31" s="5" t="n">
        <f aca="false">MONTH(INDEX('08_PEDIDOS'!$F$2:$F$97,MATCH(A31,'08_PEDIDOS'!$A$2:$A$97,0)))</f>
        <v>1</v>
      </c>
      <c r="L31" s="16" t="n">
        <f aca="false">J31*N(INDEX('04_MAQUINAS'!$F$2:$F$18,MATCH(E31,'04_MAQUINAS'!$A$2:$A$18,0)))</f>
        <v>645.866666666667</v>
      </c>
      <c r="M31" s="17" t="n">
        <f aca="false">J31*INDEX('04_MAQUINAS'!$G$2:$G$18,MATCH(E31,'04_MAQUINAS'!$A$2:$A$18,0))*INDEX('04_MAQUINAS'!$H$2:$H$18,MATCH(E31,'04_MAQUINAS'!$A$2:$A$18,0))</f>
        <v>57.09</v>
      </c>
      <c r="N31" s="2" t="s">
        <v>629</v>
      </c>
    </row>
    <row r="32" customFormat="false" ht="15" hidden="false" customHeight="false" outlineLevel="0" collapsed="false">
      <c r="A32" s="2" t="s">
        <v>527</v>
      </c>
      <c r="B32" s="2" t="s">
        <v>94</v>
      </c>
      <c r="C32" s="4" t="n">
        <v>5</v>
      </c>
      <c r="D32" s="2" t="s">
        <v>443</v>
      </c>
      <c r="E32" s="2" t="s">
        <v>395</v>
      </c>
      <c r="F32" s="5" t="n">
        <f aca="false">INDEX('08_PEDIDOS'!$D$2:$D$97,MATCH(A32,'08_PEDIDOS'!$A$2:$A$97,0))</f>
        <v>7</v>
      </c>
      <c r="G32" s="5" t="n">
        <f aca="false">INDEX('08_PEDIDOS'!$H$2:$H$97,MATCH(A32,'08_PEDIDOS'!$A$2:$A$97,0))</f>
        <v>10</v>
      </c>
      <c r="H32" s="17" t="n">
        <f aca="false">SUMIFS('05_RUTAS'!$F$2:$F$407,'05_RUTAS'!$A$2:$A$407,B32,'05_RUTAS'!$C$2:$C$407,C32)</f>
        <v>3</v>
      </c>
      <c r="I32" s="18" t="n">
        <f aca="false">SUMIFS('05_RUTAS'!$G$2:$G$407,'05_RUTAS'!$A$2:$A$407,B32,'05_RUTAS'!$C$2:$C$407,C32)</f>
        <v>51</v>
      </c>
      <c r="J32" s="18" t="n">
        <f aca="false">(ROUNDUP(F32/G32,0)*H32+F32*I32)/60</f>
        <v>6</v>
      </c>
      <c r="K32" s="5" t="n">
        <f aca="false">MONTH(INDEX('08_PEDIDOS'!$F$2:$F$97,MATCH(A32,'08_PEDIDOS'!$A$2:$A$97,0)))</f>
        <v>1</v>
      </c>
      <c r="L32" s="16" t="n">
        <f aca="false">J32*N(INDEX('04_MAQUINAS'!$F$2:$F$18,MATCH(E32,'04_MAQUINAS'!$A$2:$A$18,0)))</f>
        <v>126</v>
      </c>
      <c r="M32" s="17" t="n">
        <f aca="false">J32*INDEX('04_MAQUINAS'!$G$2:$G$18,MATCH(E32,'04_MAQUINAS'!$A$2:$A$18,0))*INDEX('04_MAQUINAS'!$H$2:$H$18,MATCH(E32,'04_MAQUINAS'!$A$2:$A$18,0))</f>
        <v>4.5</v>
      </c>
      <c r="N32" s="2" t="s">
        <v>629</v>
      </c>
    </row>
    <row r="33" customFormat="false" ht="15" hidden="false" customHeight="false" outlineLevel="0" collapsed="false">
      <c r="A33" s="2" t="s">
        <v>527</v>
      </c>
      <c r="B33" s="2" t="s">
        <v>94</v>
      </c>
      <c r="C33" s="4" t="n">
        <v>6</v>
      </c>
      <c r="D33" s="2" t="s">
        <v>444</v>
      </c>
      <c r="E33" s="2" t="s">
        <v>399</v>
      </c>
      <c r="F33" s="5" t="n">
        <f aca="false">INDEX('08_PEDIDOS'!$D$2:$D$97,MATCH(A33,'08_PEDIDOS'!$A$2:$A$97,0))</f>
        <v>7</v>
      </c>
      <c r="G33" s="5" t="n">
        <f aca="false">INDEX('08_PEDIDOS'!$H$2:$H$97,MATCH(A33,'08_PEDIDOS'!$A$2:$A$97,0))</f>
        <v>10</v>
      </c>
      <c r="H33" s="17" t="n">
        <f aca="false">SUMIFS('05_RUTAS'!$F$2:$F$407,'05_RUTAS'!$A$2:$A$407,B33,'05_RUTAS'!$C$2:$C$407,C33)</f>
        <v>6</v>
      </c>
      <c r="I33" s="18" t="n">
        <f aca="false">SUMIFS('05_RUTAS'!$G$2:$G$407,'05_RUTAS'!$A$2:$A$407,B33,'05_RUTAS'!$C$2:$C$407,C33)</f>
        <v>40.5152</v>
      </c>
      <c r="J33" s="18" t="n">
        <f aca="false">(ROUNDUP(F33/G33,0)*H33+F33*I33)/60</f>
        <v>4.82677333333333</v>
      </c>
      <c r="K33" s="5" t="n">
        <f aca="false">MONTH(INDEX('08_PEDIDOS'!$F$2:$F$97,MATCH(A33,'08_PEDIDOS'!$A$2:$A$97,0)))</f>
        <v>1</v>
      </c>
      <c r="L33" s="16" t="n">
        <f aca="false">J33*N(INDEX('04_MAQUINAS'!$F$2:$F$18,MATCH(E33,'04_MAQUINAS'!$A$2:$A$18,0)))</f>
        <v>91.7086933333333</v>
      </c>
      <c r="M33" s="17" t="n">
        <f aca="false">J33*INDEX('04_MAQUINAS'!$G$2:$G$18,MATCH(E33,'04_MAQUINAS'!$A$2:$A$18,0))*INDEX('04_MAQUINAS'!$H$2:$H$18,MATCH(E33,'04_MAQUINAS'!$A$2:$A$18,0))</f>
        <v>4.24756053333333</v>
      </c>
      <c r="N33" s="2" t="s">
        <v>629</v>
      </c>
    </row>
    <row r="34" customFormat="false" ht="15" hidden="false" customHeight="false" outlineLevel="0" collapsed="false">
      <c r="A34" s="2" t="s">
        <v>527</v>
      </c>
      <c r="B34" s="2" t="s">
        <v>94</v>
      </c>
      <c r="C34" s="4" t="n">
        <v>7</v>
      </c>
      <c r="D34" s="2" t="s">
        <v>445</v>
      </c>
      <c r="E34" s="2" t="s">
        <v>402</v>
      </c>
      <c r="F34" s="5" t="n">
        <f aca="false">INDEX('08_PEDIDOS'!$D$2:$D$97,MATCH(A34,'08_PEDIDOS'!$A$2:$A$97,0))</f>
        <v>7</v>
      </c>
      <c r="G34" s="5" t="n">
        <f aca="false">INDEX('08_PEDIDOS'!$H$2:$H$97,MATCH(A34,'08_PEDIDOS'!$A$2:$A$97,0))</f>
        <v>10</v>
      </c>
      <c r="H34" s="17" t="n">
        <f aca="false">SUMIFS('05_RUTAS'!$F$2:$F$407,'05_RUTAS'!$A$2:$A$407,B34,'05_RUTAS'!$C$2:$C$407,C34)</f>
        <v>12</v>
      </c>
      <c r="I34" s="18" t="n">
        <f aca="false">SUMIFS('05_RUTAS'!$G$2:$G$407,'05_RUTAS'!$A$2:$A$407,B34,'05_RUTAS'!$C$2:$C$407,C34)</f>
        <v>7.76</v>
      </c>
      <c r="J34" s="18" t="n">
        <f aca="false">(ROUNDUP(F34/G34,0)*H34+F34*I34)/60</f>
        <v>1.10533333333333</v>
      </c>
      <c r="K34" s="5" t="n">
        <f aca="false">MONTH(INDEX('08_PEDIDOS'!$F$2:$F$97,MATCH(A34,'08_PEDIDOS'!$A$2:$A$97,0)))</f>
        <v>1</v>
      </c>
      <c r="L34" s="16" t="n">
        <f aca="false">J34*N(INDEX('04_MAQUINAS'!$F$2:$F$18,MATCH(E34,'04_MAQUINAS'!$A$2:$A$18,0)))</f>
        <v>35.3706666666667</v>
      </c>
      <c r="M34" s="17" t="n">
        <f aca="false">J34*INDEX('04_MAQUINAS'!$G$2:$G$18,MATCH(E34,'04_MAQUINAS'!$A$2:$A$18,0))*INDEX('04_MAQUINAS'!$H$2:$H$18,MATCH(E34,'04_MAQUINAS'!$A$2:$A$18,0))</f>
        <v>1.1606</v>
      </c>
      <c r="N34" s="2" t="s">
        <v>629</v>
      </c>
    </row>
    <row r="35" customFormat="false" ht="15" hidden="false" customHeight="false" outlineLevel="0" collapsed="false">
      <c r="A35" s="2" t="s">
        <v>527</v>
      </c>
      <c r="B35" s="2" t="s">
        <v>94</v>
      </c>
      <c r="C35" s="4" t="n">
        <v>8</v>
      </c>
      <c r="D35" s="2" t="s">
        <v>447</v>
      </c>
      <c r="E35" s="2" t="s">
        <v>421</v>
      </c>
      <c r="F35" s="5" t="n">
        <f aca="false">INDEX('08_PEDIDOS'!$D$2:$D$97,MATCH(A35,'08_PEDIDOS'!$A$2:$A$97,0))</f>
        <v>7</v>
      </c>
      <c r="G35" s="5" t="n">
        <f aca="false">INDEX('08_PEDIDOS'!$H$2:$H$97,MATCH(A35,'08_PEDIDOS'!$A$2:$A$97,0))</f>
        <v>10</v>
      </c>
      <c r="H35" s="17" t="n">
        <f aca="false">SUMIFS('05_RUTAS'!$F$2:$F$407,'05_RUTAS'!$A$2:$A$407,B35,'05_RUTAS'!$C$2:$C$407,C35)</f>
        <v>45</v>
      </c>
      <c r="I35" s="18" t="n">
        <f aca="false">SUMIFS('05_RUTAS'!$G$2:$G$407,'05_RUTAS'!$A$2:$A$407,B35,'05_RUTAS'!$C$2:$C$407,C35)</f>
        <v>0</v>
      </c>
      <c r="J35" s="18" t="n">
        <f aca="false">(ROUNDUP(F35/G35,0)*H35+F35*I35)/60</f>
        <v>0.75</v>
      </c>
      <c r="K35" s="5" t="n">
        <f aca="false">MONTH(INDEX('08_PEDIDOS'!$F$2:$F$97,MATCH(A35,'08_PEDIDOS'!$A$2:$A$97,0)))</f>
        <v>1</v>
      </c>
      <c r="L35" s="16" t="n">
        <f aca="false">J35*N(INDEX('04_MAQUINAS'!$F$2:$F$18,MATCH(E35,'04_MAQUINAS'!$A$2:$A$18,0)))</f>
        <v>19.5</v>
      </c>
      <c r="M35" s="17" t="n">
        <f aca="false">J35*INDEX('04_MAQUINAS'!$G$2:$G$18,MATCH(E35,'04_MAQUINAS'!$A$2:$A$18,0))*INDEX('04_MAQUINAS'!$H$2:$H$18,MATCH(E35,'04_MAQUINAS'!$A$2:$A$18,0))</f>
        <v>10.8</v>
      </c>
      <c r="N35" s="2" t="s">
        <v>629</v>
      </c>
    </row>
    <row r="36" customFormat="false" ht="15" hidden="false" customHeight="false" outlineLevel="0" collapsed="false">
      <c r="A36" s="2" t="s">
        <v>527</v>
      </c>
      <c r="B36" s="2" t="s">
        <v>94</v>
      </c>
      <c r="C36" s="4" t="n">
        <v>9</v>
      </c>
      <c r="D36" s="2" t="s">
        <v>449</v>
      </c>
      <c r="E36" s="2" t="s">
        <v>423</v>
      </c>
      <c r="F36" s="5" t="n">
        <f aca="false">INDEX('08_PEDIDOS'!$D$2:$D$97,MATCH(A36,'08_PEDIDOS'!$A$2:$A$97,0))</f>
        <v>7</v>
      </c>
      <c r="G36" s="5" t="n">
        <f aca="false">INDEX('08_PEDIDOS'!$H$2:$H$97,MATCH(A36,'08_PEDIDOS'!$A$2:$A$97,0))</f>
        <v>10</v>
      </c>
      <c r="H36" s="17" t="n">
        <f aca="false">SUMIFS('05_RUTAS'!$F$2:$F$407,'05_RUTAS'!$A$2:$A$407,B36,'05_RUTAS'!$C$2:$C$407,C36)</f>
        <v>8</v>
      </c>
      <c r="I36" s="18" t="n">
        <f aca="false">SUMIFS('05_RUTAS'!$G$2:$G$407,'05_RUTAS'!$A$2:$A$407,B36,'05_RUTAS'!$C$2:$C$407,C36)</f>
        <v>2.63</v>
      </c>
      <c r="J36" s="18" t="n">
        <f aca="false">(ROUNDUP(F36/G36,0)*H36+F36*I36)/60</f>
        <v>0.440166666666667</v>
      </c>
      <c r="K36" s="5" t="n">
        <f aca="false">MONTH(INDEX('08_PEDIDOS'!$F$2:$F$97,MATCH(A36,'08_PEDIDOS'!$A$2:$A$97,0)))</f>
        <v>1</v>
      </c>
      <c r="L36" s="16" t="n">
        <f aca="false">J36*N(INDEX('04_MAQUINAS'!$F$2:$F$18,MATCH(E36,'04_MAQUINAS'!$A$2:$A$18,0)))</f>
        <v>7.04266666666667</v>
      </c>
      <c r="M36" s="17" t="n">
        <f aca="false">J36*INDEX('04_MAQUINAS'!$G$2:$G$18,MATCH(E36,'04_MAQUINAS'!$A$2:$A$18,0))*INDEX('04_MAQUINAS'!$H$2:$H$18,MATCH(E36,'04_MAQUINAS'!$A$2:$A$18,0))</f>
        <v>0.110041666666667</v>
      </c>
      <c r="N36" s="2" t="s">
        <v>629</v>
      </c>
    </row>
    <row r="37" customFormat="false" ht="15" hidden="false" customHeight="false" outlineLevel="0" collapsed="false">
      <c r="A37" s="2" t="s">
        <v>527</v>
      </c>
      <c r="B37" s="2" t="s">
        <v>94</v>
      </c>
      <c r="C37" s="4" t="n">
        <v>10</v>
      </c>
      <c r="D37" s="2" t="s">
        <v>450</v>
      </c>
      <c r="E37" s="2" t="s">
        <v>406</v>
      </c>
      <c r="F37" s="5" t="n">
        <f aca="false">INDEX('08_PEDIDOS'!$D$2:$D$97,MATCH(A37,'08_PEDIDOS'!$A$2:$A$97,0))</f>
        <v>7</v>
      </c>
      <c r="G37" s="5" t="n">
        <f aca="false">INDEX('08_PEDIDOS'!$H$2:$H$97,MATCH(A37,'08_PEDIDOS'!$A$2:$A$97,0))</f>
        <v>10</v>
      </c>
      <c r="H37" s="17" t="n">
        <f aca="false">SUMIFS('05_RUTAS'!$F$2:$F$407,'05_RUTAS'!$A$2:$A$407,B37,'05_RUTAS'!$C$2:$C$407,C37)</f>
        <v>6</v>
      </c>
      <c r="I37" s="18" t="n">
        <f aca="false">SUMIFS('05_RUTAS'!$G$2:$G$407,'05_RUTAS'!$A$2:$A$407,B37,'05_RUTAS'!$C$2:$C$407,C37)</f>
        <v>69</v>
      </c>
      <c r="J37" s="18" t="n">
        <f aca="false">(ROUNDUP(F37/G37,0)*H37+F37*I37)/60</f>
        <v>8.15</v>
      </c>
      <c r="K37" s="5" t="n">
        <f aca="false">MONTH(INDEX('08_PEDIDOS'!$F$2:$F$97,MATCH(A37,'08_PEDIDOS'!$A$2:$A$97,0)))</f>
        <v>1</v>
      </c>
      <c r="L37" s="16" t="n">
        <f aca="false">J37*N(INDEX('04_MAQUINAS'!$F$2:$F$18,MATCH(E37,'04_MAQUINAS'!$A$2:$A$18,0)))</f>
        <v>154.85</v>
      </c>
      <c r="M37" s="17" t="n">
        <f aca="false">J37*INDEX('04_MAQUINAS'!$G$2:$G$18,MATCH(E37,'04_MAQUINAS'!$A$2:$A$18,0))*INDEX('04_MAQUINAS'!$H$2:$H$18,MATCH(E37,'04_MAQUINAS'!$A$2:$A$18,0))</f>
        <v>2.445</v>
      </c>
      <c r="N37" s="2" t="s">
        <v>629</v>
      </c>
    </row>
    <row r="38" customFormat="false" ht="15" hidden="false" customHeight="false" outlineLevel="0" collapsed="false">
      <c r="A38" s="2" t="s">
        <v>527</v>
      </c>
      <c r="B38" s="2" t="s">
        <v>94</v>
      </c>
      <c r="C38" s="4" t="n">
        <v>11</v>
      </c>
      <c r="D38" s="2" t="s">
        <v>451</v>
      </c>
      <c r="E38" s="2" t="s">
        <v>408</v>
      </c>
      <c r="F38" s="5" t="n">
        <f aca="false">INDEX('08_PEDIDOS'!$D$2:$D$97,MATCH(A38,'08_PEDIDOS'!$A$2:$A$97,0))</f>
        <v>7</v>
      </c>
      <c r="G38" s="5" t="n">
        <f aca="false">INDEX('08_PEDIDOS'!$H$2:$H$97,MATCH(A38,'08_PEDIDOS'!$A$2:$A$97,0))</f>
        <v>10</v>
      </c>
      <c r="H38" s="17" t="n">
        <f aca="false">SUMIFS('05_RUTAS'!$F$2:$F$407,'05_RUTAS'!$A$2:$A$407,B38,'05_RUTAS'!$C$2:$C$407,C38)</f>
        <v>2</v>
      </c>
      <c r="I38" s="18" t="n">
        <f aca="false">SUMIFS('05_RUTAS'!$G$2:$G$407,'05_RUTAS'!$A$2:$A$407,B38,'05_RUTAS'!$C$2:$C$407,C38)</f>
        <v>3.79</v>
      </c>
      <c r="J38" s="18" t="n">
        <f aca="false">(ROUNDUP(F38/G38,0)*H38+F38*I38)/60</f>
        <v>0.4755</v>
      </c>
      <c r="K38" s="5" t="n">
        <f aca="false">MONTH(INDEX('08_PEDIDOS'!$F$2:$F$97,MATCH(A38,'08_PEDIDOS'!$A$2:$A$97,0)))</f>
        <v>1</v>
      </c>
      <c r="L38" s="16" t="n">
        <f aca="false">J38*N(INDEX('04_MAQUINAS'!$F$2:$F$18,MATCH(E38,'04_MAQUINAS'!$A$2:$A$18,0)))</f>
        <v>9.51</v>
      </c>
      <c r="M38" s="17" t="n">
        <f aca="false">J38*INDEX('04_MAQUINAS'!$G$2:$G$18,MATCH(E38,'04_MAQUINAS'!$A$2:$A$18,0))*INDEX('04_MAQUINAS'!$H$2:$H$18,MATCH(E38,'04_MAQUINAS'!$A$2:$A$18,0))</f>
        <v>0.04755</v>
      </c>
      <c r="N38" s="2" t="s">
        <v>629</v>
      </c>
    </row>
    <row r="39" customFormat="false" ht="15" hidden="false" customHeight="false" outlineLevel="0" collapsed="false">
      <c r="A39" s="2" t="s">
        <v>527</v>
      </c>
      <c r="B39" s="2" t="s">
        <v>94</v>
      </c>
      <c r="C39" s="4" t="n">
        <v>12</v>
      </c>
      <c r="D39" s="2" t="s">
        <v>452</v>
      </c>
      <c r="E39" s="2" t="s">
        <v>411</v>
      </c>
      <c r="F39" s="5" t="n">
        <f aca="false">INDEX('08_PEDIDOS'!$D$2:$D$97,MATCH(A39,'08_PEDIDOS'!$A$2:$A$97,0))</f>
        <v>7</v>
      </c>
      <c r="G39" s="5" t="n">
        <f aca="false">INDEX('08_PEDIDOS'!$H$2:$H$97,MATCH(A39,'08_PEDIDOS'!$A$2:$A$97,0))</f>
        <v>10</v>
      </c>
      <c r="H39" s="17" t="n">
        <f aca="false">SUMIFS('05_RUTAS'!$F$2:$F$407,'05_RUTAS'!$A$2:$A$407,B39,'05_RUTAS'!$C$2:$C$407,C39)</f>
        <v>2</v>
      </c>
      <c r="I39" s="18" t="n">
        <f aca="false">SUMIFS('05_RUTAS'!$G$2:$G$407,'05_RUTAS'!$A$2:$A$407,B39,'05_RUTAS'!$C$2:$C$407,C39)</f>
        <v>5.18</v>
      </c>
      <c r="J39" s="18" t="n">
        <f aca="false">(ROUNDUP(F39/G39,0)*H39+F39*I39)/60</f>
        <v>0.637666666666667</v>
      </c>
      <c r="K39" s="5" t="n">
        <f aca="false">MONTH(INDEX('08_PEDIDOS'!$F$2:$F$97,MATCH(A39,'08_PEDIDOS'!$A$2:$A$97,0)))</f>
        <v>1</v>
      </c>
      <c r="L39" s="16" t="n">
        <f aca="false">J39*N(INDEX('04_MAQUINAS'!$F$2:$F$18,MATCH(E39,'04_MAQUINAS'!$A$2:$A$18,0)))</f>
        <v>11.478</v>
      </c>
      <c r="M39" s="17" t="n">
        <f aca="false">J39*INDEX('04_MAQUINAS'!$G$2:$G$18,MATCH(E39,'04_MAQUINAS'!$A$2:$A$18,0))*INDEX('04_MAQUINAS'!$H$2:$H$18,MATCH(E39,'04_MAQUINAS'!$A$2:$A$18,0))</f>
        <v>0.05739</v>
      </c>
      <c r="N39" s="2" t="s">
        <v>629</v>
      </c>
    </row>
    <row r="40" customFormat="false" ht="15" hidden="false" customHeight="false" outlineLevel="0" collapsed="false">
      <c r="A40" s="2" t="s">
        <v>528</v>
      </c>
      <c r="B40" s="2" t="s">
        <v>96</v>
      </c>
      <c r="C40" s="4" t="n">
        <v>1</v>
      </c>
      <c r="D40" s="2" t="s">
        <v>437</v>
      </c>
      <c r="E40" s="2" t="s">
        <v>375</v>
      </c>
      <c r="F40" s="5" t="n">
        <f aca="false">INDEX('08_PEDIDOS'!$D$2:$D$97,MATCH(A40,'08_PEDIDOS'!$A$2:$A$97,0))</f>
        <v>7</v>
      </c>
      <c r="G40" s="5" t="n">
        <f aca="false">INDEX('08_PEDIDOS'!$H$2:$H$97,MATCH(A40,'08_PEDIDOS'!$A$2:$A$97,0))</f>
        <v>10</v>
      </c>
      <c r="H40" s="17" t="n">
        <f aca="false">SUMIFS('05_RUTAS'!$F$2:$F$407,'05_RUTAS'!$A$2:$A$407,B40,'05_RUTAS'!$C$2:$C$407,C40)</f>
        <v>8</v>
      </c>
      <c r="I40" s="18" t="n">
        <f aca="false">SUMIFS('05_RUTAS'!$G$2:$G$407,'05_RUTAS'!$A$2:$A$407,B40,'05_RUTAS'!$C$2:$C$407,C40)</f>
        <v>56.975</v>
      </c>
      <c r="J40" s="18" t="n">
        <f aca="false">(ROUNDUP(F40/G40,0)*H40+F40*I40)/60</f>
        <v>6.78041666666667</v>
      </c>
      <c r="K40" s="5" t="n">
        <f aca="false">MONTH(INDEX('08_PEDIDOS'!$F$2:$F$97,MATCH(A40,'08_PEDIDOS'!$A$2:$A$97,0)))</f>
        <v>1</v>
      </c>
      <c r="L40" s="16" t="n">
        <f aca="false">J40*N(INDEX('04_MAQUINAS'!$F$2:$F$18,MATCH(E40,'04_MAQUINAS'!$A$2:$A$18,0)))</f>
        <v>162.73</v>
      </c>
      <c r="M40" s="17" t="n">
        <f aca="false">J40*INDEX('04_MAQUINAS'!$G$2:$G$18,MATCH(E40,'04_MAQUINAS'!$A$2:$A$18,0))*INDEX('04_MAQUINAS'!$H$2:$H$18,MATCH(E40,'04_MAQUINAS'!$A$2:$A$18,0))</f>
        <v>18.6461458333333</v>
      </c>
      <c r="N40" s="2" t="s">
        <v>629</v>
      </c>
    </row>
    <row r="41" customFormat="false" ht="15" hidden="false" customHeight="false" outlineLevel="0" collapsed="false">
      <c r="A41" s="2" t="s">
        <v>528</v>
      </c>
      <c r="B41" s="2" t="s">
        <v>96</v>
      </c>
      <c r="C41" s="4" t="n">
        <v>2</v>
      </c>
      <c r="D41" s="2" t="s">
        <v>441</v>
      </c>
      <c r="E41" s="2" t="s">
        <v>380</v>
      </c>
      <c r="F41" s="5" t="n">
        <f aca="false">INDEX('08_PEDIDOS'!$D$2:$D$97,MATCH(A41,'08_PEDIDOS'!$A$2:$A$97,0))</f>
        <v>7</v>
      </c>
      <c r="G41" s="5" t="n">
        <f aca="false">INDEX('08_PEDIDOS'!$H$2:$H$97,MATCH(A41,'08_PEDIDOS'!$A$2:$A$97,0))</f>
        <v>10</v>
      </c>
      <c r="H41" s="17" t="n">
        <f aca="false">SUMIFS('05_RUTAS'!$F$2:$F$407,'05_RUTAS'!$A$2:$A$407,B41,'05_RUTAS'!$C$2:$C$407,C41)</f>
        <v>8</v>
      </c>
      <c r="I41" s="18" t="n">
        <f aca="false">SUMIFS('05_RUTAS'!$G$2:$G$407,'05_RUTAS'!$A$2:$A$407,B41,'05_RUTAS'!$C$2:$C$407,C41)</f>
        <v>6.28</v>
      </c>
      <c r="J41" s="18" t="n">
        <f aca="false">(ROUNDUP(F41/G41,0)*H41+F41*I41)/60</f>
        <v>0.866</v>
      </c>
      <c r="K41" s="5" t="n">
        <f aca="false">MONTH(INDEX('08_PEDIDOS'!$F$2:$F$97,MATCH(A41,'08_PEDIDOS'!$A$2:$A$97,0)))</f>
        <v>1</v>
      </c>
      <c r="L41" s="16" t="n">
        <f aca="false">J41*N(INDEX('04_MAQUINAS'!$F$2:$F$18,MATCH(E41,'04_MAQUINAS'!$A$2:$A$18,0)))</f>
        <v>19.052</v>
      </c>
      <c r="M41" s="17" t="n">
        <f aca="false">J41*INDEX('04_MAQUINAS'!$G$2:$G$18,MATCH(E41,'04_MAQUINAS'!$A$2:$A$18,0))*INDEX('04_MAQUINAS'!$H$2:$H$18,MATCH(E41,'04_MAQUINAS'!$A$2:$A$18,0))</f>
        <v>0.3897</v>
      </c>
      <c r="N41" s="2" t="s">
        <v>629</v>
      </c>
    </row>
    <row r="42" customFormat="false" ht="15" hidden="false" customHeight="false" outlineLevel="0" collapsed="false">
      <c r="A42" s="2" t="s">
        <v>528</v>
      </c>
      <c r="B42" s="2" t="s">
        <v>96</v>
      </c>
      <c r="C42" s="4" t="n">
        <v>3</v>
      </c>
      <c r="D42" s="2" t="s">
        <v>386</v>
      </c>
      <c r="E42" s="2" t="s">
        <v>383</v>
      </c>
      <c r="F42" s="5" t="n">
        <f aca="false">INDEX('08_PEDIDOS'!$D$2:$D$97,MATCH(A42,'08_PEDIDOS'!$A$2:$A$97,0))</f>
        <v>7</v>
      </c>
      <c r="G42" s="5" t="n">
        <f aca="false">INDEX('08_PEDIDOS'!$H$2:$H$97,MATCH(A42,'08_PEDIDOS'!$A$2:$A$97,0))</f>
        <v>10</v>
      </c>
      <c r="H42" s="17" t="n">
        <f aca="false">SUMIFS('05_RUTAS'!$F$2:$F$407,'05_RUTAS'!$A$2:$A$407,B42,'05_RUTAS'!$C$2:$C$407,C42)</f>
        <v>10</v>
      </c>
      <c r="I42" s="18" t="n">
        <f aca="false">SUMIFS('05_RUTAS'!$G$2:$G$407,'05_RUTAS'!$A$2:$A$407,B42,'05_RUTAS'!$C$2:$C$407,C42)</f>
        <v>67</v>
      </c>
      <c r="J42" s="18" t="n">
        <f aca="false">(ROUNDUP(F42/G42,0)*H42+F42*I42)/60</f>
        <v>7.98333333333333</v>
      </c>
      <c r="K42" s="5" t="n">
        <f aca="false">MONTH(INDEX('08_PEDIDOS'!$F$2:$F$97,MATCH(A42,'08_PEDIDOS'!$A$2:$A$97,0)))</f>
        <v>1</v>
      </c>
      <c r="L42" s="16" t="n">
        <f aca="false">J42*N(INDEX('04_MAQUINAS'!$F$2:$F$18,MATCH(E42,'04_MAQUINAS'!$A$2:$A$18,0)))</f>
        <v>175.633333333333</v>
      </c>
      <c r="M42" s="17" t="n">
        <f aca="false">J42*INDEX('04_MAQUINAS'!$G$2:$G$18,MATCH(E42,'04_MAQUINAS'!$A$2:$A$18,0))*INDEX('04_MAQUINAS'!$H$2:$H$18,MATCH(E42,'04_MAQUINAS'!$A$2:$A$18,0))</f>
        <v>2.19541666666667</v>
      </c>
      <c r="N42" s="2" t="s">
        <v>629</v>
      </c>
    </row>
    <row r="43" customFormat="false" ht="15" hidden="false" customHeight="false" outlineLevel="0" collapsed="false">
      <c r="A43" s="2" t="s">
        <v>528</v>
      </c>
      <c r="B43" s="2" t="s">
        <v>96</v>
      </c>
      <c r="C43" s="4" t="n">
        <v>4</v>
      </c>
      <c r="D43" s="2" t="s">
        <v>390</v>
      </c>
      <c r="E43" s="2" t="s">
        <v>387</v>
      </c>
      <c r="F43" s="5" t="n">
        <f aca="false">INDEX('08_PEDIDOS'!$D$2:$D$97,MATCH(A43,'08_PEDIDOS'!$A$2:$A$97,0))</f>
        <v>7</v>
      </c>
      <c r="G43" s="5" t="n">
        <f aca="false">INDEX('08_PEDIDOS'!$H$2:$H$97,MATCH(A43,'08_PEDIDOS'!$A$2:$A$97,0))</f>
        <v>10</v>
      </c>
      <c r="H43" s="17" t="n">
        <f aca="false">SUMIFS('05_RUTAS'!$F$2:$F$407,'05_RUTAS'!$A$2:$A$407,B43,'05_RUTAS'!$C$2:$C$407,C43)</f>
        <v>12</v>
      </c>
      <c r="I43" s="18" t="n">
        <f aca="false">SUMIFS('05_RUTAS'!$G$2:$G$407,'05_RUTAS'!$A$2:$A$407,B43,'05_RUTAS'!$C$2:$C$407,C43)</f>
        <v>124</v>
      </c>
      <c r="J43" s="18" t="n">
        <f aca="false">(ROUNDUP(F43/G43,0)*H43+F43*I43)/60</f>
        <v>14.6666666666667</v>
      </c>
      <c r="K43" s="5" t="n">
        <f aca="false">MONTH(INDEX('08_PEDIDOS'!$F$2:$F$97,MATCH(A43,'08_PEDIDOS'!$A$2:$A$97,0)))</f>
        <v>1</v>
      </c>
      <c r="L43" s="16" t="n">
        <f aca="false">J43*N(INDEX('04_MAQUINAS'!$F$2:$F$18,MATCH(E43,'04_MAQUINAS'!$A$2:$A$18,0)))</f>
        <v>410.666666666667</v>
      </c>
      <c r="M43" s="17" t="n">
        <f aca="false">J43*INDEX('04_MAQUINAS'!$G$2:$G$18,MATCH(E43,'04_MAQUINAS'!$A$2:$A$18,0))*INDEX('04_MAQUINAS'!$H$2:$H$18,MATCH(E43,'04_MAQUINAS'!$A$2:$A$18,0))</f>
        <v>36.3</v>
      </c>
      <c r="N43" s="2" t="s">
        <v>629</v>
      </c>
    </row>
    <row r="44" customFormat="false" ht="15" hidden="false" customHeight="false" outlineLevel="0" collapsed="false">
      <c r="A44" s="2" t="s">
        <v>528</v>
      </c>
      <c r="B44" s="2" t="s">
        <v>96</v>
      </c>
      <c r="C44" s="4" t="n">
        <v>5</v>
      </c>
      <c r="D44" s="2" t="s">
        <v>442</v>
      </c>
      <c r="E44" s="2" t="s">
        <v>391</v>
      </c>
      <c r="F44" s="5" t="n">
        <f aca="false">INDEX('08_PEDIDOS'!$D$2:$D$97,MATCH(A44,'08_PEDIDOS'!$A$2:$A$97,0))</f>
        <v>7</v>
      </c>
      <c r="G44" s="5" t="n">
        <f aca="false">INDEX('08_PEDIDOS'!$H$2:$H$97,MATCH(A44,'08_PEDIDOS'!$A$2:$A$97,0))</f>
        <v>10</v>
      </c>
      <c r="H44" s="17" t="n">
        <f aca="false">SUMIFS('05_RUTAS'!$F$2:$F$407,'05_RUTAS'!$A$2:$A$407,B44,'05_RUTAS'!$C$2:$C$407,C44)</f>
        <v>10</v>
      </c>
      <c r="I44" s="18" t="n">
        <f aca="false">SUMIFS('05_RUTAS'!$G$2:$G$407,'05_RUTAS'!$A$2:$A$407,B44,'05_RUTAS'!$C$2:$C$407,C44)</f>
        <v>5.6</v>
      </c>
      <c r="J44" s="18" t="n">
        <f aca="false">(ROUNDUP(F44/G44,0)*H44+F44*I44)/60</f>
        <v>0.82</v>
      </c>
      <c r="K44" s="5" t="n">
        <f aca="false">MONTH(INDEX('08_PEDIDOS'!$F$2:$F$97,MATCH(A44,'08_PEDIDOS'!$A$2:$A$97,0)))</f>
        <v>1</v>
      </c>
      <c r="L44" s="16" t="n">
        <f aca="false">J44*N(INDEX('04_MAQUINAS'!$F$2:$F$18,MATCH(E44,'04_MAQUINAS'!$A$2:$A$18,0)))</f>
        <v>26.24</v>
      </c>
      <c r="M44" s="17" t="n">
        <f aca="false">J44*INDEX('04_MAQUINAS'!$G$2:$G$18,MATCH(E44,'04_MAQUINAS'!$A$2:$A$18,0))*INDEX('04_MAQUINAS'!$H$2:$H$18,MATCH(E44,'04_MAQUINAS'!$A$2:$A$18,0))</f>
        <v>1.435</v>
      </c>
      <c r="N44" s="2" t="s">
        <v>629</v>
      </c>
    </row>
    <row r="45" customFormat="false" ht="15" hidden="false" customHeight="false" outlineLevel="0" collapsed="false">
      <c r="A45" s="2" t="s">
        <v>528</v>
      </c>
      <c r="B45" s="2" t="s">
        <v>96</v>
      </c>
      <c r="C45" s="4" t="n">
        <v>6</v>
      </c>
      <c r="D45" s="2" t="s">
        <v>443</v>
      </c>
      <c r="E45" s="2" t="s">
        <v>395</v>
      </c>
      <c r="F45" s="5" t="n">
        <f aca="false">INDEX('08_PEDIDOS'!$D$2:$D$97,MATCH(A45,'08_PEDIDOS'!$A$2:$A$97,0))</f>
        <v>7</v>
      </c>
      <c r="G45" s="5" t="n">
        <f aca="false">INDEX('08_PEDIDOS'!$H$2:$H$97,MATCH(A45,'08_PEDIDOS'!$A$2:$A$97,0))</f>
        <v>10</v>
      </c>
      <c r="H45" s="17" t="n">
        <f aca="false">SUMIFS('05_RUTAS'!$F$2:$F$407,'05_RUTAS'!$A$2:$A$407,B45,'05_RUTAS'!$C$2:$C$407,C45)</f>
        <v>3</v>
      </c>
      <c r="I45" s="18" t="n">
        <f aca="false">SUMIFS('05_RUTAS'!$G$2:$G$407,'05_RUTAS'!$A$2:$A$407,B45,'05_RUTAS'!$C$2:$C$407,C45)</f>
        <v>33</v>
      </c>
      <c r="J45" s="18" t="n">
        <f aca="false">(ROUNDUP(F45/G45,0)*H45+F45*I45)/60</f>
        <v>3.9</v>
      </c>
      <c r="K45" s="5" t="n">
        <f aca="false">MONTH(INDEX('08_PEDIDOS'!$F$2:$F$97,MATCH(A45,'08_PEDIDOS'!$A$2:$A$97,0)))</f>
        <v>1</v>
      </c>
      <c r="L45" s="16" t="n">
        <f aca="false">J45*N(INDEX('04_MAQUINAS'!$F$2:$F$18,MATCH(E45,'04_MAQUINAS'!$A$2:$A$18,0)))</f>
        <v>81.9</v>
      </c>
      <c r="M45" s="17" t="n">
        <f aca="false">J45*INDEX('04_MAQUINAS'!$G$2:$G$18,MATCH(E45,'04_MAQUINAS'!$A$2:$A$18,0))*INDEX('04_MAQUINAS'!$H$2:$H$18,MATCH(E45,'04_MAQUINAS'!$A$2:$A$18,0))</f>
        <v>2.925</v>
      </c>
      <c r="N45" s="2" t="s">
        <v>629</v>
      </c>
    </row>
    <row r="46" customFormat="false" ht="15" hidden="false" customHeight="false" outlineLevel="0" collapsed="false">
      <c r="A46" s="2" t="s">
        <v>528</v>
      </c>
      <c r="B46" s="2" t="s">
        <v>96</v>
      </c>
      <c r="C46" s="4" t="n">
        <v>7</v>
      </c>
      <c r="D46" s="2" t="s">
        <v>444</v>
      </c>
      <c r="E46" s="2" t="s">
        <v>399</v>
      </c>
      <c r="F46" s="5" t="n">
        <f aca="false">INDEX('08_PEDIDOS'!$D$2:$D$97,MATCH(A46,'08_PEDIDOS'!$A$2:$A$97,0))</f>
        <v>7</v>
      </c>
      <c r="G46" s="5" t="n">
        <f aca="false">INDEX('08_PEDIDOS'!$H$2:$H$97,MATCH(A46,'08_PEDIDOS'!$A$2:$A$97,0))</f>
        <v>10</v>
      </c>
      <c r="H46" s="17" t="n">
        <f aca="false">SUMIFS('05_RUTAS'!$F$2:$F$407,'05_RUTAS'!$A$2:$A$407,B46,'05_RUTAS'!$C$2:$C$407,C46)</f>
        <v>6</v>
      </c>
      <c r="I46" s="18" t="n">
        <f aca="false">SUMIFS('05_RUTAS'!$G$2:$G$407,'05_RUTAS'!$A$2:$A$407,B46,'05_RUTAS'!$C$2:$C$407,C46)</f>
        <v>27.0712</v>
      </c>
      <c r="J46" s="18" t="n">
        <f aca="false">(ROUNDUP(F46/G46,0)*H46+F46*I46)/60</f>
        <v>3.25830666666667</v>
      </c>
      <c r="K46" s="5" t="n">
        <f aca="false">MONTH(INDEX('08_PEDIDOS'!$F$2:$F$97,MATCH(A46,'08_PEDIDOS'!$A$2:$A$97,0)))</f>
        <v>1</v>
      </c>
      <c r="L46" s="16" t="n">
        <f aca="false">J46*N(INDEX('04_MAQUINAS'!$F$2:$F$18,MATCH(E46,'04_MAQUINAS'!$A$2:$A$18,0)))</f>
        <v>61.9078266666667</v>
      </c>
      <c r="M46" s="17" t="n">
        <f aca="false">J46*INDEX('04_MAQUINAS'!$G$2:$G$18,MATCH(E46,'04_MAQUINAS'!$A$2:$A$18,0))*INDEX('04_MAQUINAS'!$H$2:$H$18,MATCH(E46,'04_MAQUINAS'!$A$2:$A$18,0))</f>
        <v>2.86730986666667</v>
      </c>
      <c r="N46" s="2" t="s">
        <v>629</v>
      </c>
    </row>
    <row r="47" customFormat="false" ht="15" hidden="false" customHeight="false" outlineLevel="0" collapsed="false">
      <c r="A47" s="2" t="s">
        <v>528</v>
      </c>
      <c r="B47" s="2" t="s">
        <v>96</v>
      </c>
      <c r="C47" s="4" t="n">
        <v>8</v>
      </c>
      <c r="D47" s="2" t="s">
        <v>445</v>
      </c>
      <c r="E47" s="2" t="s">
        <v>402</v>
      </c>
      <c r="F47" s="5" t="n">
        <f aca="false">INDEX('08_PEDIDOS'!$D$2:$D$97,MATCH(A47,'08_PEDIDOS'!$A$2:$A$97,0))</f>
        <v>7</v>
      </c>
      <c r="G47" s="5" t="n">
        <f aca="false">INDEX('08_PEDIDOS'!$H$2:$H$97,MATCH(A47,'08_PEDIDOS'!$A$2:$A$97,0))</f>
        <v>10</v>
      </c>
      <c r="H47" s="17" t="n">
        <f aca="false">SUMIFS('05_RUTAS'!$F$2:$F$407,'05_RUTAS'!$A$2:$A$407,B47,'05_RUTAS'!$C$2:$C$407,C47)</f>
        <v>12</v>
      </c>
      <c r="I47" s="18" t="n">
        <f aca="false">SUMIFS('05_RUTAS'!$G$2:$G$407,'05_RUTAS'!$A$2:$A$407,B47,'05_RUTAS'!$C$2:$C$407,C47)</f>
        <v>7.34</v>
      </c>
      <c r="J47" s="18" t="n">
        <f aca="false">(ROUNDUP(F47/G47,0)*H47+F47*I47)/60</f>
        <v>1.05633333333333</v>
      </c>
      <c r="K47" s="5" t="n">
        <f aca="false">MONTH(INDEX('08_PEDIDOS'!$F$2:$F$97,MATCH(A47,'08_PEDIDOS'!$A$2:$A$97,0)))</f>
        <v>1</v>
      </c>
      <c r="L47" s="16" t="n">
        <f aca="false">J47*N(INDEX('04_MAQUINAS'!$F$2:$F$18,MATCH(E47,'04_MAQUINAS'!$A$2:$A$18,0)))</f>
        <v>33.8026666666667</v>
      </c>
      <c r="M47" s="17" t="n">
        <f aca="false">J47*INDEX('04_MAQUINAS'!$G$2:$G$18,MATCH(E47,'04_MAQUINAS'!$A$2:$A$18,0))*INDEX('04_MAQUINAS'!$H$2:$H$18,MATCH(E47,'04_MAQUINAS'!$A$2:$A$18,0))</f>
        <v>1.10915</v>
      </c>
      <c r="N47" s="2" t="s">
        <v>629</v>
      </c>
    </row>
    <row r="48" customFormat="false" ht="15" hidden="false" customHeight="false" outlineLevel="0" collapsed="false">
      <c r="A48" s="2" t="s">
        <v>528</v>
      </c>
      <c r="B48" s="2" t="s">
        <v>96</v>
      </c>
      <c r="C48" s="4" t="n">
        <v>9</v>
      </c>
      <c r="D48" s="2" t="s">
        <v>447</v>
      </c>
      <c r="E48" s="2" t="s">
        <v>421</v>
      </c>
      <c r="F48" s="5" t="n">
        <f aca="false">INDEX('08_PEDIDOS'!$D$2:$D$97,MATCH(A48,'08_PEDIDOS'!$A$2:$A$97,0))</f>
        <v>7</v>
      </c>
      <c r="G48" s="5" t="n">
        <f aca="false">INDEX('08_PEDIDOS'!$H$2:$H$97,MATCH(A48,'08_PEDIDOS'!$A$2:$A$97,0))</f>
        <v>10</v>
      </c>
      <c r="H48" s="17" t="n">
        <f aca="false">SUMIFS('05_RUTAS'!$F$2:$F$407,'05_RUTAS'!$A$2:$A$407,B48,'05_RUTAS'!$C$2:$C$407,C48)</f>
        <v>45</v>
      </c>
      <c r="I48" s="18" t="n">
        <f aca="false">SUMIFS('05_RUTAS'!$G$2:$G$407,'05_RUTAS'!$A$2:$A$407,B48,'05_RUTAS'!$C$2:$C$407,C48)</f>
        <v>0</v>
      </c>
      <c r="J48" s="18" t="n">
        <f aca="false">(ROUNDUP(F48/G48,0)*H48+F48*I48)/60</f>
        <v>0.75</v>
      </c>
      <c r="K48" s="5" t="n">
        <f aca="false">MONTH(INDEX('08_PEDIDOS'!$F$2:$F$97,MATCH(A48,'08_PEDIDOS'!$A$2:$A$97,0)))</f>
        <v>1</v>
      </c>
      <c r="L48" s="16" t="n">
        <f aca="false">J48*N(INDEX('04_MAQUINAS'!$F$2:$F$18,MATCH(E48,'04_MAQUINAS'!$A$2:$A$18,0)))</f>
        <v>19.5</v>
      </c>
      <c r="M48" s="17" t="n">
        <f aca="false">J48*INDEX('04_MAQUINAS'!$G$2:$G$18,MATCH(E48,'04_MAQUINAS'!$A$2:$A$18,0))*INDEX('04_MAQUINAS'!$H$2:$H$18,MATCH(E48,'04_MAQUINAS'!$A$2:$A$18,0))</f>
        <v>10.8</v>
      </c>
      <c r="N48" s="2" t="s">
        <v>629</v>
      </c>
    </row>
    <row r="49" customFormat="false" ht="15" hidden="false" customHeight="false" outlineLevel="0" collapsed="false">
      <c r="A49" s="2" t="s">
        <v>528</v>
      </c>
      <c r="B49" s="2" t="s">
        <v>96</v>
      </c>
      <c r="C49" s="4" t="n">
        <v>10</v>
      </c>
      <c r="D49" s="2" t="s">
        <v>449</v>
      </c>
      <c r="E49" s="2" t="s">
        <v>423</v>
      </c>
      <c r="F49" s="5" t="n">
        <f aca="false">INDEX('08_PEDIDOS'!$D$2:$D$97,MATCH(A49,'08_PEDIDOS'!$A$2:$A$97,0))</f>
        <v>7</v>
      </c>
      <c r="G49" s="5" t="n">
        <f aca="false">INDEX('08_PEDIDOS'!$H$2:$H$97,MATCH(A49,'08_PEDIDOS'!$A$2:$A$97,0))</f>
        <v>10</v>
      </c>
      <c r="H49" s="17" t="n">
        <f aca="false">SUMIFS('05_RUTAS'!$F$2:$F$407,'05_RUTAS'!$A$2:$A$407,B49,'05_RUTAS'!$C$2:$C$407,C49)</f>
        <v>8</v>
      </c>
      <c r="I49" s="18" t="n">
        <f aca="false">SUMIFS('05_RUTAS'!$G$2:$G$407,'05_RUTAS'!$A$2:$A$407,B49,'05_RUTAS'!$C$2:$C$407,C49)</f>
        <v>2.54</v>
      </c>
      <c r="J49" s="18" t="n">
        <f aca="false">(ROUNDUP(F49/G49,0)*H49+F49*I49)/60</f>
        <v>0.429666666666667</v>
      </c>
      <c r="K49" s="5" t="n">
        <f aca="false">MONTH(INDEX('08_PEDIDOS'!$F$2:$F$97,MATCH(A49,'08_PEDIDOS'!$A$2:$A$97,0)))</f>
        <v>1</v>
      </c>
      <c r="L49" s="16" t="n">
        <f aca="false">J49*N(INDEX('04_MAQUINAS'!$F$2:$F$18,MATCH(E49,'04_MAQUINAS'!$A$2:$A$18,0)))</f>
        <v>6.87466666666667</v>
      </c>
      <c r="M49" s="17" t="n">
        <f aca="false">J49*INDEX('04_MAQUINAS'!$G$2:$G$18,MATCH(E49,'04_MAQUINAS'!$A$2:$A$18,0))*INDEX('04_MAQUINAS'!$H$2:$H$18,MATCH(E49,'04_MAQUINAS'!$A$2:$A$18,0))</f>
        <v>0.107416666666667</v>
      </c>
      <c r="N49" s="2" t="s">
        <v>629</v>
      </c>
    </row>
    <row r="50" customFormat="false" ht="15" hidden="false" customHeight="false" outlineLevel="0" collapsed="false">
      <c r="A50" s="2" t="s">
        <v>528</v>
      </c>
      <c r="B50" s="2" t="s">
        <v>96</v>
      </c>
      <c r="C50" s="4" t="n">
        <v>11</v>
      </c>
      <c r="D50" s="2" t="s">
        <v>450</v>
      </c>
      <c r="E50" s="2" t="s">
        <v>406</v>
      </c>
      <c r="F50" s="5" t="n">
        <f aca="false">INDEX('08_PEDIDOS'!$D$2:$D$97,MATCH(A50,'08_PEDIDOS'!$A$2:$A$97,0))</f>
        <v>7</v>
      </c>
      <c r="G50" s="5" t="n">
        <f aca="false">INDEX('08_PEDIDOS'!$H$2:$H$97,MATCH(A50,'08_PEDIDOS'!$A$2:$A$97,0))</f>
        <v>10</v>
      </c>
      <c r="H50" s="17" t="n">
        <f aca="false">SUMIFS('05_RUTAS'!$F$2:$F$407,'05_RUTAS'!$A$2:$A$407,B50,'05_RUTAS'!$C$2:$C$407,C50)</f>
        <v>6</v>
      </c>
      <c r="I50" s="18" t="n">
        <f aca="false">SUMIFS('05_RUTAS'!$G$2:$G$407,'05_RUTAS'!$A$2:$A$407,B50,'05_RUTAS'!$C$2:$C$407,C50)</f>
        <v>48.75</v>
      </c>
      <c r="J50" s="18" t="n">
        <f aca="false">(ROUNDUP(F50/G50,0)*H50+F50*I50)/60</f>
        <v>5.7875</v>
      </c>
      <c r="K50" s="5" t="n">
        <f aca="false">MONTH(INDEX('08_PEDIDOS'!$F$2:$F$97,MATCH(A50,'08_PEDIDOS'!$A$2:$A$97,0)))</f>
        <v>1</v>
      </c>
      <c r="L50" s="16" t="n">
        <f aca="false">J50*N(INDEX('04_MAQUINAS'!$F$2:$F$18,MATCH(E50,'04_MAQUINAS'!$A$2:$A$18,0)))</f>
        <v>109.9625</v>
      </c>
      <c r="M50" s="17" t="n">
        <f aca="false">J50*INDEX('04_MAQUINAS'!$G$2:$G$18,MATCH(E50,'04_MAQUINAS'!$A$2:$A$18,0))*INDEX('04_MAQUINAS'!$H$2:$H$18,MATCH(E50,'04_MAQUINAS'!$A$2:$A$18,0))</f>
        <v>1.73625</v>
      </c>
      <c r="N50" s="2" t="s">
        <v>629</v>
      </c>
    </row>
    <row r="51" customFormat="false" ht="15" hidden="false" customHeight="false" outlineLevel="0" collapsed="false">
      <c r="A51" s="2" t="s">
        <v>528</v>
      </c>
      <c r="B51" s="2" t="s">
        <v>96</v>
      </c>
      <c r="C51" s="4" t="n">
        <v>12</v>
      </c>
      <c r="D51" s="2" t="s">
        <v>451</v>
      </c>
      <c r="E51" s="2" t="s">
        <v>408</v>
      </c>
      <c r="F51" s="5" t="n">
        <f aca="false">INDEX('08_PEDIDOS'!$D$2:$D$97,MATCH(A51,'08_PEDIDOS'!$A$2:$A$97,0))</f>
        <v>7</v>
      </c>
      <c r="G51" s="5" t="n">
        <f aca="false">INDEX('08_PEDIDOS'!$H$2:$H$97,MATCH(A51,'08_PEDIDOS'!$A$2:$A$97,0))</f>
        <v>10</v>
      </c>
      <c r="H51" s="17" t="n">
        <f aca="false">SUMIFS('05_RUTAS'!$F$2:$F$407,'05_RUTAS'!$A$2:$A$407,B51,'05_RUTAS'!$C$2:$C$407,C51)</f>
        <v>2</v>
      </c>
      <c r="I51" s="18" t="n">
        <f aca="false">SUMIFS('05_RUTAS'!$G$2:$G$407,'05_RUTAS'!$A$2:$A$407,B51,'05_RUTAS'!$C$2:$C$407,C51)</f>
        <v>3.67</v>
      </c>
      <c r="J51" s="18" t="n">
        <f aca="false">(ROUNDUP(F51/G51,0)*H51+F51*I51)/60</f>
        <v>0.4615</v>
      </c>
      <c r="K51" s="5" t="n">
        <f aca="false">MONTH(INDEX('08_PEDIDOS'!$F$2:$F$97,MATCH(A51,'08_PEDIDOS'!$A$2:$A$97,0)))</f>
        <v>1</v>
      </c>
      <c r="L51" s="16" t="n">
        <f aca="false">J51*N(INDEX('04_MAQUINAS'!$F$2:$F$18,MATCH(E51,'04_MAQUINAS'!$A$2:$A$18,0)))</f>
        <v>9.23</v>
      </c>
      <c r="M51" s="17" t="n">
        <f aca="false">J51*INDEX('04_MAQUINAS'!$G$2:$G$18,MATCH(E51,'04_MAQUINAS'!$A$2:$A$18,0))*INDEX('04_MAQUINAS'!$H$2:$H$18,MATCH(E51,'04_MAQUINAS'!$A$2:$A$18,0))</f>
        <v>0.04615</v>
      </c>
      <c r="N51" s="2" t="s">
        <v>629</v>
      </c>
    </row>
    <row r="52" customFormat="false" ht="15" hidden="false" customHeight="false" outlineLevel="0" collapsed="false">
      <c r="A52" s="2" t="s">
        <v>528</v>
      </c>
      <c r="B52" s="2" t="s">
        <v>96</v>
      </c>
      <c r="C52" s="4" t="n">
        <v>13</v>
      </c>
      <c r="D52" s="2" t="s">
        <v>452</v>
      </c>
      <c r="E52" s="2" t="s">
        <v>411</v>
      </c>
      <c r="F52" s="5" t="n">
        <f aca="false">INDEX('08_PEDIDOS'!$D$2:$D$97,MATCH(A52,'08_PEDIDOS'!$A$2:$A$97,0))</f>
        <v>7</v>
      </c>
      <c r="G52" s="5" t="n">
        <f aca="false">INDEX('08_PEDIDOS'!$H$2:$H$97,MATCH(A52,'08_PEDIDOS'!$A$2:$A$97,0))</f>
        <v>10</v>
      </c>
      <c r="H52" s="17" t="n">
        <f aca="false">SUMIFS('05_RUTAS'!$F$2:$F$407,'05_RUTAS'!$A$2:$A$407,B52,'05_RUTAS'!$C$2:$C$407,C52)</f>
        <v>2</v>
      </c>
      <c r="I52" s="18" t="n">
        <f aca="false">SUMIFS('05_RUTAS'!$G$2:$G$407,'05_RUTAS'!$A$2:$A$407,B52,'05_RUTAS'!$C$2:$C$407,C52)</f>
        <v>5</v>
      </c>
      <c r="J52" s="18" t="n">
        <f aca="false">(ROUNDUP(F52/G52,0)*H52+F52*I52)/60</f>
        <v>0.616666666666667</v>
      </c>
      <c r="K52" s="5" t="n">
        <f aca="false">MONTH(INDEX('08_PEDIDOS'!$F$2:$F$97,MATCH(A52,'08_PEDIDOS'!$A$2:$A$97,0)))</f>
        <v>1</v>
      </c>
      <c r="L52" s="16" t="n">
        <f aca="false">J52*N(INDEX('04_MAQUINAS'!$F$2:$F$18,MATCH(E52,'04_MAQUINAS'!$A$2:$A$18,0)))</f>
        <v>11.1</v>
      </c>
      <c r="M52" s="17" t="n">
        <f aca="false">J52*INDEX('04_MAQUINAS'!$G$2:$G$18,MATCH(E52,'04_MAQUINAS'!$A$2:$A$18,0))*INDEX('04_MAQUINAS'!$H$2:$H$18,MATCH(E52,'04_MAQUINAS'!$A$2:$A$18,0))</f>
        <v>0.0555</v>
      </c>
      <c r="N52" s="2" t="s">
        <v>629</v>
      </c>
    </row>
    <row r="53" customFormat="false" ht="15" hidden="false" customHeight="false" outlineLevel="0" collapsed="false">
      <c r="A53" s="2" t="s">
        <v>529</v>
      </c>
      <c r="B53" s="2" t="s">
        <v>106</v>
      </c>
      <c r="C53" s="4" t="n">
        <v>1</v>
      </c>
      <c r="D53" s="2" t="s">
        <v>437</v>
      </c>
      <c r="E53" s="2" t="s">
        <v>375</v>
      </c>
      <c r="F53" s="5" t="n">
        <f aca="false">INDEX('08_PEDIDOS'!$D$2:$D$97,MATCH(A53,'08_PEDIDOS'!$A$2:$A$97,0))</f>
        <v>6</v>
      </c>
      <c r="G53" s="5" t="n">
        <f aca="false">INDEX('08_PEDIDOS'!$H$2:$H$97,MATCH(A53,'08_PEDIDOS'!$A$2:$A$97,0))</f>
        <v>10</v>
      </c>
      <c r="H53" s="17" t="n">
        <f aca="false">SUMIFS('05_RUTAS'!$F$2:$F$407,'05_RUTAS'!$A$2:$A$407,B53,'05_RUTAS'!$C$2:$C$407,C53)</f>
        <v>8</v>
      </c>
      <c r="I53" s="18" t="n">
        <f aca="false">SUMIFS('05_RUTAS'!$G$2:$G$407,'05_RUTAS'!$A$2:$A$407,B53,'05_RUTAS'!$C$2:$C$407,C53)</f>
        <v>40.245</v>
      </c>
      <c r="J53" s="18" t="n">
        <f aca="false">(ROUNDUP(F53/G53,0)*H53+F53*I53)/60</f>
        <v>4.15783333333333</v>
      </c>
      <c r="K53" s="5" t="n">
        <f aca="false">MONTH(INDEX('08_PEDIDOS'!$F$2:$F$97,MATCH(A53,'08_PEDIDOS'!$A$2:$A$97,0)))</f>
        <v>1</v>
      </c>
      <c r="L53" s="16" t="n">
        <f aca="false">J53*N(INDEX('04_MAQUINAS'!$F$2:$F$18,MATCH(E53,'04_MAQUINAS'!$A$2:$A$18,0)))</f>
        <v>99.788</v>
      </c>
      <c r="M53" s="17" t="n">
        <f aca="false">J53*INDEX('04_MAQUINAS'!$G$2:$G$18,MATCH(E53,'04_MAQUINAS'!$A$2:$A$18,0))*INDEX('04_MAQUINAS'!$H$2:$H$18,MATCH(E53,'04_MAQUINAS'!$A$2:$A$18,0))</f>
        <v>11.4340416666667</v>
      </c>
      <c r="N53" s="2" t="s">
        <v>629</v>
      </c>
    </row>
    <row r="54" customFormat="false" ht="15" hidden="false" customHeight="false" outlineLevel="0" collapsed="false">
      <c r="A54" s="2" t="s">
        <v>529</v>
      </c>
      <c r="B54" s="2" t="s">
        <v>106</v>
      </c>
      <c r="C54" s="4" t="n">
        <v>2</v>
      </c>
      <c r="D54" s="2" t="s">
        <v>386</v>
      </c>
      <c r="E54" s="2" t="s">
        <v>383</v>
      </c>
      <c r="F54" s="5" t="n">
        <f aca="false">INDEX('08_PEDIDOS'!$D$2:$D$97,MATCH(A54,'08_PEDIDOS'!$A$2:$A$97,0))</f>
        <v>6</v>
      </c>
      <c r="G54" s="5" t="n">
        <f aca="false">INDEX('08_PEDIDOS'!$H$2:$H$97,MATCH(A54,'08_PEDIDOS'!$A$2:$A$97,0))</f>
        <v>10</v>
      </c>
      <c r="H54" s="17" t="n">
        <f aca="false">SUMIFS('05_RUTAS'!$F$2:$F$407,'05_RUTAS'!$A$2:$A$407,B54,'05_RUTAS'!$C$2:$C$407,C54)</f>
        <v>10</v>
      </c>
      <c r="I54" s="18" t="n">
        <f aca="false">SUMIFS('05_RUTAS'!$G$2:$G$407,'05_RUTAS'!$A$2:$A$407,B54,'05_RUTAS'!$C$2:$C$407,C54)</f>
        <v>14.8</v>
      </c>
      <c r="J54" s="18" t="n">
        <f aca="false">(ROUNDUP(F54/G54,0)*H54+F54*I54)/60</f>
        <v>1.64666666666667</v>
      </c>
      <c r="K54" s="5" t="n">
        <f aca="false">MONTH(INDEX('08_PEDIDOS'!$F$2:$F$97,MATCH(A54,'08_PEDIDOS'!$A$2:$A$97,0)))</f>
        <v>1</v>
      </c>
      <c r="L54" s="16" t="n">
        <f aca="false">J54*N(INDEX('04_MAQUINAS'!$F$2:$F$18,MATCH(E54,'04_MAQUINAS'!$A$2:$A$18,0)))</f>
        <v>36.2266666666667</v>
      </c>
      <c r="M54" s="17" t="n">
        <f aca="false">J54*INDEX('04_MAQUINAS'!$G$2:$G$18,MATCH(E54,'04_MAQUINAS'!$A$2:$A$18,0))*INDEX('04_MAQUINAS'!$H$2:$H$18,MATCH(E54,'04_MAQUINAS'!$A$2:$A$18,0))</f>
        <v>0.452833333333333</v>
      </c>
      <c r="N54" s="2" t="s">
        <v>629</v>
      </c>
    </row>
    <row r="55" customFormat="false" ht="15" hidden="false" customHeight="false" outlineLevel="0" collapsed="false">
      <c r="A55" s="2" t="s">
        <v>529</v>
      </c>
      <c r="B55" s="2" t="s">
        <v>106</v>
      </c>
      <c r="C55" s="4" t="n">
        <v>3</v>
      </c>
      <c r="D55" s="2" t="s">
        <v>390</v>
      </c>
      <c r="E55" s="2" t="s">
        <v>387</v>
      </c>
      <c r="F55" s="5" t="n">
        <f aca="false">INDEX('08_PEDIDOS'!$D$2:$D$97,MATCH(A55,'08_PEDIDOS'!$A$2:$A$97,0))</f>
        <v>6</v>
      </c>
      <c r="G55" s="5" t="n">
        <f aca="false">INDEX('08_PEDIDOS'!$H$2:$H$97,MATCH(A55,'08_PEDIDOS'!$A$2:$A$97,0))</f>
        <v>10</v>
      </c>
      <c r="H55" s="17" t="n">
        <f aca="false">SUMIFS('05_RUTAS'!$F$2:$F$407,'05_RUTAS'!$A$2:$A$407,B55,'05_RUTAS'!$C$2:$C$407,C55)</f>
        <v>12</v>
      </c>
      <c r="I55" s="18" t="n">
        <f aca="false">SUMIFS('05_RUTAS'!$G$2:$G$407,'05_RUTAS'!$A$2:$A$407,B55,'05_RUTAS'!$C$2:$C$407,C55)</f>
        <v>104</v>
      </c>
      <c r="J55" s="18" t="n">
        <f aca="false">(ROUNDUP(F55/G55,0)*H55+F55*I55)/60</f>
        <v>10.6</v>
      </c>
      <c r="K55" s="5" t="n">
        <f aca="false">MONTH(INDEX('08_PEDIDOS'!$F$2:$F$97,MATCH(A55,'08_PEDIDOS'!$A$2:$A$97,0)))</f>
        <v>1</v>
      </c>
      <c r="L55" s="16" t="n">
        <f aca="false">J55*N(INDEX('04_MAQUINAS'!$F$2:$F$18,MATCH(E55,'04_MAQUINAS'!$A$2:$A$18,0)))</f>
        <v>296.8</v>
      </c>
      <c r="M55" s="17" t="n">
        <f aca="false">J55*INDEX('04_MAQUINAS'!$G$2:$G$18,MATCH(E55,'04_MAQUINAS'!$A$2:$A$18,0))*INDEX('04_MAQUINAS'!$H$2:$H$18,MATCH(E55,'04_MAQUINAS'!$A$2:$A$18,0))</f>
        <v>26.235</v>
      </c>
      <c r="N55" s="2" t="s">
        <v>629</v>
      </c>
    </row>
    <row r="56" customFormat="false" ht="15" hidden="false" customHeight="false" outlineLevel="0" collapsed="false">
      <c r="A56" s="2" t="s">
        <v>529</v>
      </c>
      <c r="B56" s="2" t="s">
        <v>106</v>
      </c>
      <c r="C56" s="4" t="n">
        <v>4</v>
      </c>
      <c r="D56" s="2" t="s">
        <v>443</v>
      </c>
      <c r="E56" s="2" t="s">
        <v>395</v>
      </c>
      <c r="F56" s="5" t="n">
        <f aca="false">INDEX('08_PEDIDOS'!$D$2:$D$97,MATCH(A56,'08_PEDIDOS'!$A$2:$A$97,0))</f>
        <v>6</v>
      </c>
      <c r="G56" s="5" t="n">
        <f aca="false">INDEX('08_PEDIDOS'!$H$2:$H$97,MATCH(A56,'08_PEDIDOS'!$A$2:$A$97,0))</f>
        <v>10</v>
      </c>
      <c r="H56" s="17" t="n">
        <f aca="false">SUMIFS('05_RUTAS'!$F$2:$F$407,'05_RUTAS'!$A$2:$A$407,B56,'05_RUTAS'!$C$2:$C$407,C56)</f>
        <v>3</v>
      </c>
      <c r="I56" s="18" t="n">
        <f aca="false">SUMIFS('05_RUTAS'!$G$2:$G$407,'05_RUTAS'!$A$2:$A$407,B56,'05_RUTAS'!$C$2:$C$407,C56)</f>
        <v>18</v>
      </c>
      <c r="J56" s="18" t="n">
        <f aca="false">(ROUNDUP(F56/G56,0)*H56+F56*I56)/60</f>
        <v>1.85</v>
      </c>
      <c r="K56" s="5" t="n">
        <f aca="false">MONTH(INDEX('08_PEDIDOS'!$F$2:$F$97,MATCH(A56,'08_PEDIDOS'!$A$2:$A$97,0)))</f>
        <v>1</v>
      </c>
      <c r="L56" s="16" t="n">
        <f aca="false">J56*N(INDEX('04_MAQUINAS'!$F$2:$F$18,MATCH(E56,'04_MAQUINAS'!$A$2:$A$18,0)))</f>
        <v>38.85</v>
      </c>
      <c r="M56" s="17" t="n">
        <f aca="false">J56*INDEX('04_MAQUINAS'!$G$2:$G$18,MATCH(E56,'04_MAQUINAS'!$A$2:$A$18,0))*INDEX('04_MAQUINAS'!$H$2:$H$18,MATCH(E56,'04_MAQUINAS'!$A$2:$A$18,0))</f>
        <v>1.3875</v>
      </c>
      <c r="N56" s="2" t="s">
        <v>629</v>
      </c>
    </row>
    <row r="57" customFormat="false" ht="15" hidden="false" customHeight="false" outlineLevel="0" collapsed="false">
      <c r="A57" s="2" t="s">
        <v>529</v>
      </c>
      <c r="B57" s="2" t="s">
        <v>106</v>
      </c>
      <c r="C57" s="4" t="n">
        <v>5</v>
      </c>
      <c r="D57" s="2" t="s">
        <v>444</v>
      </c>
      <c r="E57" s="2" t="s">
        <v>399</v>
      </c>
      <c r="F57" s="5" t="n">
        <f aca="false">INDEX('08_PEDIDOS'!$D$2:$D$97,MATCH(A57,'08_PEDIDOS'!$A$2:$A$97,0))</f>
        <v>6</v>
      </c>
      <c r="G57" s="5" t="n">
        <f aca="false">INDEX('08_PEDIDOS'!$H$2:$H$97,MATCH(A57,'08_PEDIDOS'!$A$2:$A$97,0))</f>
        <v>10</v>
      </c>
      <c r="H57" s="17" t="n">
        <f aca="false">SUMIFS('05_RUTAS'!$F$2:$F$407,'05_RUTAS'!$A$2:$A$407,B57,'05_RUTAS'!$C$2:$C$407,C57)</f>
        <v>6</v>
      </c>
      <c r="I57" s="18" t="n">
        <f aca="false">SUMIFS('05_RUTAS'!$G$2:$G$407,'05_RUTAS'!$A$2:$A$407,B57,'05_RUTAS'!$C$2:$C$407,C57)</f>
        <v>26.324</v>
      </c>
      <c r="J57" s="18" t="n">
        <f aca="false">(ROUNDUP(F57/G57,0)*H57+F57*I57)/60</f>
        <v>2.7324</v>
      </c>
      <c r="K57" s="5" t="n">
        <f aca="false">MONTH(INDEX('08_PEDIDOS'!$F$2:$F$97,MATCH(A57,'08_PEDIDOS'!$A$2:$A$97,0)))</f>
        <v>1</v>
      </c>
      <c r="L57" s="16" t="n">
        <f aca="false">J57*N(INDEX('04_MAQUINAS'!$F$2:$F$18,MATCH(E57,'04_MAQUINAS'!$A$2:$A$18,0)))</f>
        <v>51.9156</v>
      </c>
      <c r="M57" s="17" t="n">
        <f aca="false">J57*INDEX('04_MAQUINAS'!$G$2:$G$18,MATCH(E57,'04_MAQUINAS'!$A$2:$A$18,0))*INDEX('04_MAQUINAS'!$H$2:$H$18,MATCH(E57,'04_MAQUINAS'!$A$2:$A$18,0))</f>
        <v>2.404512</v>
      </c>
      <c r="N57" s="2" t="s">
        <v>629</v>
      </c>
    </row>
    <row r="58" customFormat="false" ht="15" hidden="false" customHeight="false" outlineLevel="0" collapsed="false">
      <c r="A58" s="2" t="s">
        <v>529</v>
      </c>
      <c r="B58" s="2" t="s">
        <v>106</v>
      </c>
      <c r="C58" s="4" t="n">
        <v>6</v>
      </c>
      <c r="D58" s="2" t="s">
        <v>445</v>
      </c>
      <c r="E58" s="2" t="s">
        <v>402</v>
      </c>
      <c r="F58" s="5" t="n">
        <f aca="false">INDEX('08_PEDIDOS'!$D$2:$D$97,MATCH(A58,'08_PEDIDOS'!$A$2:$A$97,0))</f>
        <v>6</v>
      </c>
      <c r="G58" s="5" t="n">
        <f aca="false">INDEX('08_PEDIDOS'!$H$2:$H$97,MATCH(A58,'08_PEDIDOS'!$A$2:$A$97,0))</f>
        <v>10</v>
      </c>
      <c r="H58" s="17" t="n">
        <f aca="false">SUMIFS('05_RUTAS'!$F$2:$F$407,'05_RUTAS'!$A$2:$A$407,B58,'05_RUTAS'!$C$2:$C$407,C58)</f>
        <v>12</v>
      </c>
      <c r="I58" s="18" t="n">
        <f aca="false">SUMIFS('05_RUTAS'!$G$2:$G$407,'05_RUTAS'!$A$2:$A$407,B58,'05_RUTAS'!$C$2:$C$407,C58)</f>
        <v>6.83</v>
      </c>
      <c r="J58" s="18" t="n">
        <f aca="false">(ROUNDUP(F58/G58,0)*H58+F58*I58)/60</f>
        <v>0.883</v>
      </c>
      <c r="K58" s="5" t="n">
        <f aca="false">MONTH(INDEX('08_PEDIDOS'!$F$2:$F$97,MATCH(A58,'08_PEDIDOS'!$A$2:$A$97,0)))</f>
        <v>1</v>
      </c>
      <c r="L58" s="16" t="n">
        <f aca="false">J58*N(INDEX('04_MAQUINAS'!$F$2:$F$18,MATCH(E58,'04_MAQUINAS'!$A$2:$A$18,0)))</f>
        <v>28.256</v>
      </c>
      <c r="M58" s="17" t="n">
        <f aca="false">J58*INDEX('04_MAQUINAS'!$G$2:$G$18,MATCH(E58,'04_MAQUINAS'!$A$2:$A$18,0))*INDEX('04_MAQUINAS'!$H$2:$H$18,MATCH(E58,'04_MAQUINAS'!$A$2:$A$18,0))</f>
        <v>0.92715</v>
      </c>
      <c r="N58" s="2" t="s">
        <v>629</v>
      </c>
    </row>
    <row r="59" customFormat="false" ht="15" hidden="false" customHeight="false" outlineLevel="0" collapsed="false">
      <c r="A59" s="2" t="s">
        <v>529</v>
      </c>
      <c r="B59" s="2" t="s">
        <v>106</v>
      </c>
      <c r="C59" s="4" t="n">
        <v>7</v>
      </c>
      <c r="D59" s="2" t="s">
        <v>447</v>
      </c>
      <c r="E59" s="2" t="s">
        <v>421</v>
      </c>
      <c r="F59" s="5" t="n">
        <f aca="false">INDEX('08_PEDIDOS'!$D$2:$D$97,MATCH(A59,'08_PEDIDOS'!$A$2:$A$97,0))</f>
        <v>6</v>
      </c>
      <c r="G59" s="5" t="n">
        <f aca="false">INDEX('08_PEDIDOS'!$H$2:$H$97,MATCH(A59,'08_PEDIDOS'!$A$2:$A$97,0))</f>
        <v>10</v>
      </c>
      <c r="H59" s="17" t="n">
        <f aca="false">SUMIFS('05_RUTAS'!$F$2:$F$407,'05_RUTAS'!$A$2:$A$407,B59,'05_RUTAS'!$C$2:$C$407,C59)</f>
        <v>45</v>
      </c>
      <c r="I59" s="18" t="n">
        <f aca="false">SUMIFS('05_RUTAS'!$G$2:$G$407,'05_RUTAS'!$A$2:$A$407,B59,'05_RUTAS'!$C$2:$C$407,C59)</f>
        <v>0</v>
      </c>
      <c r="J59" s="18" t="n">
        <f aca="false">(ROUNDUP(F59/G59,0)*H59+F59*I59)/60</f>
        <v>0.75</v>
      </c>
      <c r="K59" s="5" t="n">
        <f aca="false">MONTH(INDEX('08_PEDIDOS'!$F$2:$F$97,MATCH(A59,'08_PEDIDOS'!$A$2:$A$97,0)))</f>
        <v>1</v>
      </c>
      <c r="L59" s="16" t="n">
        <f aca="false">J59*N(INDEX('04_MAQUINAS'!$F$2:$F$18,MATCH(E59,'04_MAQUINAS'!$A$2:$A$18,0)))</f>
        <v>19.5</v>
      </c>
      <c r="M59" s="17" t="n">
        <f aca="false">J59*INDEX('04_MAQUINAS'!$G$2:$G$18,MATCH(E59,'04_MAQUINAS'!$A$2:$A$18,0))*INDEX('04_MAQUINAS'!$H$2:$H$18,MATCH(E59,'04_MAQUINAS'!$A$2:$A$18,0))</f>
        <v>10.8</v>
      </c>
      <c r="N59" s="2" t="s">
        <v>629</v>
      </c>
    </row>
    <row r="60" customFormat="false" ht="15" hidden="false" customHeight="false" outlineLevel="0" collapsed="false">
      <c r="A60" s="2" t="s">
        <v>529</v>
      </c>
      <c r="B60" s="2" t="s">
        <v>106</v>
      </c>
      <c r="C60" s="4" t="n">
        <v>8</v>
      </c>
      <c r="D60" s="2" t="s">
        <v>449</v>
      </c>
      <c r="E60" s="2" t="s">
        <v>423</v>
      </c>
      <c r="F60" s="5" t="n">
        <f aca="false">INDEX('08_PEDIDOS'!$D$2:$D$97,MATCH(A60,'08_PEDIDOS'!$A$2:$A$97,0))</f>
        <v>6</v>
      </c>
      <c r="G60" s="5" t="n">
        <f aca="false">INDEX('08_PEDIDOS'!$H$2:$H$97,MATCH(A60,'08_PEDIDOS'!$A$2:$A$97,0))</f>
        <v>10</v>
      </c>
      <c r="H60" s="17" t="n">
        <f aca="false">SUMIFS('05_RUTAS'!$F$2:$F$407,'05_RUTAS'!$A$2:$A$407,B60,'05_RUTAS'!$C$2:$C$407,C60)</f>
        <v>8</v>
      </c>
      <c r="I60" s="18" t="n">
        <f aca="false">SUMIFS('05_RUTAS'!$G$2:$G$407,'05_RUTAS'!$A$2:$A$407,B60,'05_RUTAS'!$C$2:$C$407,C60)</f>
        <v>2.42</v>
      </c>
      <c r="J60" s="18" t="n">
        <f aca="false">(ROUNDUP(F60/G60,0)*H60+F60*I60)/60</f>
        <v>0.375333333333333</v>
      </c>
      <c r="K60" s="5" t="n">
        <f aca="false">MONTH(INDEX('08_PEDIDOS'!$F$2:$F$97,MATCH(A60,'08_PEDIDOS'!$A$2:$A$97,0)))</f>
        <v>1</v>
      </c>
      <c r="L60" s="16" t="n">
        <f aca="false">J60*N(INDEX('04_MAQUINAS'!$F$2:$F$18,MATCH(E60,'04_MAQUINAS'!$A$2:$A$18,0)))</f>
        <v>6.00533333333333</v>
      </c>
      <c r="M60" s="17" t="n">
        <f aca="false">J60*INDEX('04_MAQUINAS'!$G$2:$G$18,MATCH(E60,'04_MAQUINAS'!$A$2:$A$18,0))*INDEX('04_MAQUINAS'!$H$2:$H$18,MATCH(E60,'04_MAQUINAS'!$A$2:$A$18,0))</f>
        <v>0.0938333333333333</v>
      </c>
      <c r="N60" s="2" t="s">
        <v>629</v>
      </c>
    </row>
    <row r="61" customFormat="false" ht="15" hidden="false" customHeight="false" outlineLevel="0" collapsed="false">
      <c r="A61" s="2" t="s">
        <v>529</v>
      </c>
      <c r="B61" s="2" t="s">
        <v>106</v>
      </c>
      <c r="C61" s="4" t="n">
        <v>9</v>
      </c>
      <c r="D61" s="2" t="s">
        <v>450</v>
      </c>
      <c r="E61" s="2" t="s">
        <v>406</v>
      </c>
      <c r="F61" s="5" t="n">
        <f aca="false">INDEX('08_PEDIDOS'!$D$2:$D$97,MATCH(A61,'08_PEDIDOS'!$A$2:$A$97,0))</f>
        <v>6</v>
      </c>
      <c r="G61" s="5" t="n">
        <f aca="false">INDEX('08_PEDIDOS'!$H$2:$H$97,MATCH(A61,'08_PEDIDOS'!$A$2:$A$97,0))</f>
        <v>10</v>
      </c>
      <c r="H61" s="17" t="n">
        <f aca="false">SUMIFS('05_RUTAS'!$F$2:$F$407,'05_RUTAS'!$A$2:$A$407,B61,'05_RUTAS'!$C$2:$C$407,C61)</f>
        <v>6</v>
      </c>
      <c r="I61" s="18" t="n">
        <f aca="false">SUMIFS('05_RUTAS'!$G$2:$G$407,'05_RUTAS'!$A$2:$A$407,B61,'05_RUTAS'!$C$2:$C$407,C61)</f>
        <v>42</v>
      </c>
      <c r="J61" s="18" t="n">
        <f aca="false">(ROUNDUP(F61/G61,0)*H61+F61*I61)/60</f>
        <v>4.3</v>
      </c>
      <c r="K61" s="5" t="n">
        <f aca="false">MONTH(INDEX('08_PEDIDOS'!$F$2:$F$97,MATCH(A61,'08_PEDIDOS'!$A$2:$A$97,0)))</f>
        <v>1</v>
      </c>
      <c r="L61" s="16" t="n">
        <f aca="false">J61*N(INDEX('04_MAQUINAS'!$F$2:$F$18,MATCH(E61,'04_MAQUINAS'!$A$2:$A$18,0)))</f>
        <v>81.7</v>
      </c>
      <c r="M61" s="17" t="n">
        <f aca="false">J61*INDEX('04_MAQUINAS'!$G$2:$G$18,MATCH(E61,'04_MAQUINAS'!$A$2:$A$18,0))*INDEX('04_MAQUINAS'!$H$2:$H$18,MATCH(E61,'04_MAQUINAS'!$A$2:$A$18,0))</f>
        <v>1.29</v>
      </c>
      <c r="N61" s="2" t="s">
        <v>629</v>
      </c>
    </row>
    <row r="62" customFormat="false" ht="15" hidden="false" customHeight="false" outlineLevel="0" collapsed="false">
      <c r="A62" s="2" t="s">
        <v>529</v>
      </c>
      <c r="B62" s="2" t="s">
        <v>106</v>
      </c>
      <c r="C62" s="4" t="n">
        <v>10</v>
      </c>
      <c r="D62" s="2" t="s">
        <v>451</v>
      </c>
      <c r="E62" s="2" t="s">
        <v>408</v>
      </c>
      <c r="F62" s="5" t="n">
        <f aca="false">INDEX('08_PEDIDOS'!$D$2:$D$97,MATCH(A62,'08_PEDIDOS'!$A$2:$A$97,0))</f>
        <v>6</v>
      </c>
      <c r="G62" s="5" t="n">
        <f aca="false">INDEX('08_PEDIDOS'!$H$2:$H$97,MATCH(A62,'08_PEDIDOS'!$A$2:$A$97,0))</f>
        <v>10</v>
      </c>
      <c r="H62" s="17" t="n">
        <f aca="false">SUMIFS('05_RUTAS'!$F$2:$F$407,'05_RUTAS'!$A$2:$A$407,B62,'05_RUTAS'!$C$2:$C$407,C62)</f>
        <v>2</v>
      </c>
      <c r="I62" s="18" t="n">
        <f aca="false">SUMIFS('05_RUTAS'!$G$2:$G$407,'05_RUTAS'!$A$2:$A$407,B62,'05_RUTAS'!$C$2:$C$407,C62)</f>
        <v>3.52</v>
      </c>
      <c r="J62" s="18" t="n">
        <f aca="false">(ROUNDUP(F62/G62,0)*H62+F62*I62)/60</f>
        <v>0.385333333333333</v>
      </c>
      <c r="K62" s="5" t="n">
        <f aca="false">MONTH(INDEX('08_PEDIDOS'!$F$2:$F$97,MATCH(A62,'08_PEDIDOS'!$A$2:$A$97,0)))</f>
        <v>1</v>
      </c>
      <c r="L62" s="16" t="n">
        <f aca="false">J62*N(INDEX('04_MAQUINAS'!$F$2:$F$18,MATCH(E62,'04_MAQUINAS'!$A$2:$A$18,0)))</f>
        <v>7.70666666666667</v>
      </c>
      <c r="M62" s="17" t="n">
        <f aca="false">J62*INDEX('04_MAQUINAS'!$G$2:$G$18,MATCH(E62,'04_MAQUINAS'!$A$2:$A$18,0))*INDEX('04_MAQUINAS'!$H$2:$H$18,MATCH(E62,'04_MAQUINAS'!$A$2:$A$18,0))</f>
        <v>0.0385333333333333</v>
      </c>
      <c r="N62" s="2" t="s">
        <v>629</v>
      </c>
    </row>
    <row r="63" customFormat="false" ht="15" hidden="false" customHeight="false" outlineLevel="0" collapsed="false">
      <c r="A63" s="2" t="s">
        <v>529</v>
      </c>
      <c r="B63" s="2" t="s">
        <v>106</v>
      </c>
      <c r="C63" s="4" t="n">
        <v>11</v>
      </c>
      <c r="D63" s="2" t="s">
        <v>452</v>
      </c>
      <c r="E63" s="2" t="s">
        <v>411</v>
      </c>
      <c r="F63" s="5" t="n">
        <f aca="false">INDEX('08_PEDIDOS'!$D$2:$D$97,MATCH(A63,'08_PEDIDOS'!$A$2:$A$97,0))</f>
        <v>6</v>
      </c>
      <c r="G63" s="5" t="n">
        <f aca="false">INDEX('08_PEDIDOS'!$H$2:$H$97,MATCH(A63,'08_PEDIDOS'!$A$2:$A$97,0))</f>
        <v>10</v>
      </c>
      <c r="H63" s="17" t="n">
        <f aca="false">SUMIFS('05_RUTAS'!$F$2:$F$407,'05_RUTAS'!$A$2:$A$407,B63,'05_RUTAS'!$C$2:$C$407,C63)</f>
        <v>2</v>
      </c>
      <c r="I63" s="18" t="n">
        <f aca="false">SUMIFS('05_RUTAS'!$G$2:$G$407,'05_RUTAS'!$A$2:$A$407,B63,'05_RUTAS'!$C$2:$C$407,C63)</f>
        <v>4.78</v>
      </c>
      <c r="J63" s="18" t="n">
        <f aca="false">(ROUNDUP(F63/G63,0)*H63+F63*I63)/60</f>
        <v>0.511333333333333</v>
      </c>
      <c r="K63" s="5" t="n">
        <f aca="false">MONTH(INDEX('08_PEDIDOS'!$F$2:$F$97,MATCH(A63,'08_PEDIDOS'!$A$2:$A$97,0)))</f>
        <v>1</v>
      </c>
      <c r="L63" s="16" t="n">
        <f aca="false">J63*N(INDEX('04_MAQUINAS'!$F$2:$F$18,MATCH(E63,'04_MAQUINAS'!$A$2:$A$18,0)))</f>
        <v>9.204</v>
      </c>
      <c r="M63" s="17" t="n">
        <f aca="false">J63*INDEX('04_MAQUINAS'!$G$2:$G$18,MATCH(E63,'04_MAQUINAS'!$A$2:$A$18,0))*INDEX('04_MAQUINAS'!$H$2:$H$18,MATCH(E63,'04_MAQUINAS'!$A$2:$A$18,0))</f>
        <v>0.04602</v>
      </c>
      <c r="N63" s="2" t="s">
        <v>629</v>
      </c>
    </row>
    <row r="64" customFormat="false" ht="15" hidden="false" customHeight="false" outlineLevel="0" collapsed="false">
      <c r="A64" s="2" t="s">
        <v>530</v>
      </c>
      <c r="B64" s="2" t="s">
        <v>108</v>
      </c>
      <c r="C64" s="4" t="n">
        <v>1</v>
      </c>
      <c r="D64" s="2" t="s">
        <v>437</v>
      </c>
      <c r="E64" s="2" t="s">
        <v>375</v>
      </c>
      <c r="F64" s="5" t="n">
        <f aca="false">INDEX('08_PEDIDOS'!$D$2:$D$97,MATCH(A64,'08_PEDIDOS'!$A$2:$A$97,0))</f>
        <v>6</v>
      </c>
      <c r="G64" s="5" t="n">
        <f aca="false">INDEX('08_PEDIDOS'!$H$2:$H$97,MATCH(A64,'08_PEDIDOS'!$A$2:$A$97,0))</f>
        <v>10</v>
      </c>
      <c r="H64" s="17" t="n">
        <f aca="false">SUMIFS('05_RUTAS'!$F$2:$F$407,'05_RUTAS'!$A$2:$A$407,B64,'05_RUTAS'!$C$2:$C$407,C64)</f>
        <v>8</v>
      </c>
      <c r="I64" s="18" t="n">
        <f aca="false">SUMIFS('05_RUTAS'!$G$2:$G$407,'05_RUTAS'!$A$2:$A$407,B64,'05_RUTAS'!$C$2:$C$407,C64)</f>
        <v>57.14</v>
      </c>
      <c r="J64" s="18" t="n">
        <f aca="false">(ROUNDUP(F64/G64,0)*H64+F64*I64)/60</f>
        <v>5.84733333333333</v>
      </c>
      <c r="K64" s="5" t="n">
        <f aca="false">MONTH(INDEX('08_PEDIDOS'!$F$2:$F$97,MATCH(A64,'08_PEDIDOS'!$A$2:$A$97,0)))</f>
        <v>1</v>
      </c>
      <c r="L64" s="16" t="n">
        <f aca="false">J64*N(INDEX('04_MAQUINAS'!$F$2:$F$18,MATCH(E64,'04_MAQUINAS'!$A$2:$A$18,0)))</f>
        <v>140.336</v>
      </c>
      <c r="M64" s="17" t="n">
        <f aca="false">J64*INDEX('04_MAQUINAS'!$G$2:$G$18,MATCH(E64,'04_MAQUINAS'!$A$2:$A$18,0))*INDEX('04_MAQUINAS'!$H$2:$H$18,MATCH(E64,'04_MAQUINAS'!$A$2:$A$18,0))</f>
        <v>16.0801666666667</v>
      </c>
      <c r="N64" s="2" t="s">
        <v>629</v>
      </c>
    </row>
    <row r="65" customFormat="false" ht="15" hidden="false" customHeight="false" outlineLevel="0" collapsed="false">
      <c r="A65" s="2" t="s">
        <v>530</v>
      </c>
      <c r="B65" s="2" t="s">
        <v>108</v>
      </c>
      <c r="C65" s="4" t="n">
        <v>2</v>
      </c>
      <c r="D65" s="2" t="s">
        <v>386</v>
      </c>
      <c r="E65" s="2" t="s">
        <v>383</v>
      </c>
      <c r="F65" s="5" t="n">
        <f aca="false">INDEX('08_PEDIDOS'!$D$2:$D$97,MATCH(A65,'08_PEDIDOS'!$A$2:$A$97,0))</f>
        <v>6</v>
      </c>
      <c r="G65" s="5" t="n">
        <f aca="false">INDEX('08_PEDIDOS'!$H$2:$H$97,MATCH(A65,'08_PEDIDOS'!$A$2:$A$97,0))</f>
        <v>10</v>
      </c>
      <c r="H65" s="17" t="n">
        <f aca="false">SUMIFS('05_RUTAS'!$F$2:$F$407,'05_RUTAS'!$A$2:$A$407,B65,'05_RUTAS'!$C$2:$C$407,C65)</f>
        <v>10</v>
      </c>
      <c r="I65" s="18" t="n">
        <f aca="false">SUMIFS('05_RUTAS'!$G$2:$G$407,'05_RUTAS'!$A$2:$A$407,B65,'05_RUTAS'!$C$2:$C$407,C65)</f>
        <v>27</v>
      </c>
      <c r="J65" s="18" t="n">
        <f aca="false">(ROUNDUP(F65/G65,0)*H65+F65*I65)/60</f>
        <v>2.86666666666667</v>
      </c>
      <c r="K65" s="5" t="n">
        <f aca="false">MONTH(INDEX('08_PEDIDOS'!$F$2:$F$97,MATCH(A65,'08_PEDIDOS'!$A$2:$A$97,0)))</f>
        <v>1</v>
      </c>
      <c r="L65" s="16" t="n">
        <f aca="false">J65*N(INDEX('04_MAQUINAS'!$F$2:$F$18,MATCH(E65,'04_MAQUINAS'!$A$2:$A$18,0)))</f>
        <v>63.0666666666667</v>
      </c>
      <c r="M65" s="17" t="n">
        <f aca="false">J65*INDEX('04_MAQUINAS'!$G$2:$G$18,MATCH(E65,'04_MAQUINAS'!$A$2:$A$18,0))*INDEX('04_MAQUINAS'!$H$2:$H$18,MATCH(E65,'04_MAQUINAS'!$A$2:$A$18,0))</f>
        <v>0.788333333333333</v>
      </c>
      <c r="N65" s="2" t="s">
        <v>629</v>
      </c>
    </row>
    <row r="66" customFormat="false" ht="15" hidden="false" customHeight="false" outlineLevel="0" collapsed="false">
      <c r="A66" s="2" t="s">
        <v>530</v>
      </c>
      <c r="B66" s="2" t="s">
        <v>108</v>
      </c>
      <c r="C66" s="4" t="n">
        <v>3</v>
      </c>
      <c r="D66" s="2" t="s">
        <v>390</v>
      </c>
      <c r="E66" s="2" t="s">
        <v>387</v>
      </c>
      <c r="F66" s="5" t="n">
        <f aca="false">INDEX('08_PEDIDOS'!$D$2:$D$97,MATCH(A66,'08_PEDIDOS'!$A$2:$A$97,0))</f>
        <v>6</v>
      </c>
      <c r="G66" s="5" t="n">
        <f aca="false">INDEX('08_PEDIDOS'!$H$2:$H$97,MATCH(A66,'08_PEDIDOS'!$A$2:$A$97,0))</f>
        <v>10</v>
      </c>
      <c r="H66" s="17" t="n">
        <f aca="false">SUMIFS('05_RUTAS'!$F$2:$F$407,'05_RUTAS'!$A$2:$A$407,B66,'05_RUTAS'!$C$2:$C$407,C66)</f>
        <v>12</v>
      </c>
      <c r="I66" s="18" t="n">
        <f aca="false">SUMIFS('05_RUTAS'!$G$2:$G$407,'05_RUTAS'!$A$2:$A$407,B66,'05_RUTAS'!$C$2:$C$407,C66)</f>
        <v>149</v>
      </c>
      <c r="J66" s="18" t="n">
        <f aca="false">(ROUNDUP(F66/G66,0)*H66+F66*I66)/60</f>
        <v>15.1</v>
      </c>
      <c r="K66" s="5" t="n">
        <f aca="false">MONTH(INDEX('08_PEDIDOS'!$F$2:$F$97,MATCH(A66,'08_PEDIDOS'!$A$2:$A$97,0)))</f>
        <v>1</v>
      </c>
      <c r="L66" s="16" t="n">
        <f aca="false">J66*N(INDEX('04_MAQUINAS'!$F$2:$F$18,MATCH(E66,'04_MAQUINAS'!$A$2:$A$18,0)))</f>
        <v>422.8</v>
      </c>
      <c r="M66" s="17" t="n">
        <f aca="false">J66*INDEX('04_MAQUINAS'!$G$2:$G$18,MATCH(E66,'04_MAQUINAS'!$A$2:$A$18,0))*INDEX('04_MAQUINAS'!$H$2:$H$18,MATCH(E66,'04_MAQUINAS'!$A$2:$A$18,0))</f>
        <v>37.3725</v>
      </c>
      <c r="N66" s="2" t="s">
        <v>629</v>
      </c>
    </row>
    <row r="67" customFormat="false" ht="15" hidden="false" customHeight="false" outlineLevel="0" collapsed="false">
      <c r="A67" s="2" t="s">
        <v>530</v>
      </c>
      <c r="B67" s="2" t="s">
        <v>108</v>
      </c>
      <c r="C67" s="4" t="n">
        <v>4</v>
      </c>
      <c r="D67" s="2" t="s">
        <v>443</v>
      </c>
      <c r="E67" s="2" t="s">
        <v>395</v>
      </c>
      <c r="F67" s="5" t="n">
        <f aca="false">INDEX('08_PEDIDOS'!$D$2:$D$97,MATCH(A67,'08_PEDIDOS'!$A$2:$A$97,0))</f>
        <v>6</v>
      </c>
      <c r="G67" s="5" t="n">
        <f aca="false">INDEX('08_PEDIDOS'!$H$2:$H$97,MATCH(A67,'08_PEDIDOS'!$A$2:$A$97,0))</f>
        <v>10</v>
      </c>
      <c r="H67" s="17" t="n">
        <f aca="false">SUMIFS('05_RUTAS'!$F$2:$F$407,'05_RUTAS'!$A$2:$A$407,B67,'05_RUTAS'!$C$2:$C$407,C67)</f>
        <v>3</v>
      </c>
      <c r="I67" s="18" t="n">
        <f aca="false">SUMIFS('05_RUTAS'!$G$2:$G$407,'05_RUTAS'!$A$2:$A$407,B67,'05_RUTAS'!$C$2:$C$407,C67)</f>
        <v>25.5</v>
      </c>
      <c r="J67" s="18" t="n">
        <f aca="false">(ROUNDUP(F67/G67,0)*H67+F67*I67)/60</f>
        <v>2.6</v>
      </c>
      <c r="K67" s="5" t="n">
        <f aca="false">MONTH(INDEX('08_PEDIDOS'!$F$2:$F$97,MATCH(A67,'08_PEDIDOS'!$A$2:$A$97,0)))</f>
        <v>1</v>
      </c>
      <c r="L67" s="16" t="n">
        <f aca="false">J67*N(INDEX('04_MAQUINAS'!$F$2:$F$18,MATCH(E67,'04_MAQUINAS'!$A$2:$A$18,0)))</f>
        <v>54.6</v>
      </c>
      <c r="M67" s="17" t="n">
        <f aca="false">J67*INDEX('04_MAQUINAS'!$G$2:$G$18,MATCH(E67,'04_MAQUINAS'!$A$2:$A$18,0))*INDEX('04_MAQUINAS'!$H$2:$H$18,MATCH(E67,'04_MAQUINAS'!$A$2:$A$18,0))</f>
        <v>1.95</v>
      </c>
      <c r="N67" s="2" t="s">
        <v>629</v>
      </c>
    </row>
    <row r="68" customFormat="false" ht="15" hidden="false" customHeight="false" outlineLevel="0" collapsed="false">
      <c r="A68" s="2" t="s">
        <v>530</v>
      </c>
      <c r="B68" s="2" t="s">
        <v>108</v>
      </c>
      <c r="C68" s="4" t="n">
        <v>5</v>
      </c>
      <c r="D68" s="2" t="s">
        <v>444</v>
      </c>
      <c r="E68" s="2" t="s">
        <v>399</v>
      </c>
      <c r="F68" s="5" t="n">
        <f aca="false">INDEX('08_PEDIDOS'!$D$2:$D$97,MATCH(A68,'08_PEDIDOS'!$A$2:$A$97,0))</f>
        <v>6</v>
      </c>
      <c r="G68" s="5" t="n">
        <f aca="false">INDEX('08_PEDIDOS'!$H$2:$H$97,MATCH(A68,'08_PEDIDOS'!$A$2:$A$97,0))</f>
        <v>10</v>
      </c>
      <c r="H68" s="17" t="n">
        <f aca="false">SUMIFS('05_RUTAS'!$F$2:$F$407,'05_RUTAS'!$A$2:$A$407,B68,'05_RUTAS'!$C$2:$C$407,C68)</f>
        <v>6</v>
      </c>
      <c r="I68" s="18" t="n">
        <f aca="false">SUMIFS('05_RUTAS'!$G$2:$G$407,'05_RUTAS'!$A$2:$A$407,B68,'05_RUTAS'!$C$2:$C$407,C68)</f>
        <v>37.528</v>
      </c>
      <c r="J68" s="18" t="n">
        <f aca="false">(ROUNDUP(F68/G68,0)*H68+F68*I68)/60</f>
        <v>3.8528</v>
      </c>
      <c r="K68" s="5" t="n">
        <f aca="false">MONTH(INDEX('08_PEDIDOS'!$F$2:$F$97,MATCH(A68,'08_PEDIDOS'!$A$2:$A$97,0)))</f>
        <v>1</v>
      </c>
      <c r="L68" s="16" t="n">
        <f aca="false">J68*N(INDEX('04_MAQUINAS'!$F$2:$F$18,MATCH(E68,'04_MAQUINAS'!$A$2:$A$18,0)))</f>
        <v>73.2032</v>
      </c>
      <c r="M68" s="17" t="n">
        <f aca="false">J68*INDEX('04_MAQUINAS'!$G$2:$G$18,MATCH(E68,'04_MAQUINAS'!$A$2:$A$18,0))*INDEX('04_MAQUINAS'!$H$2:$H$18,MATCH(E68,'04_MAQUINAS'!$A$2:$A$18,0))</f>
        <v>3.390464</v>
      </c>
      <c r="N68" s="2" t="s">
        <v>629</v>
      </c>
    </row>
    <row r="69" customFormat="false" ht="15" hidden="false" customHeight="false" outlineLevel="0" collapsed="false">
      <c r="A69" s="2" t="s">
        <v>530</v>
      </c>
      <c r="B69" s="2" t="s">
        <v>108</v>
      </c>
      <c r="C69" s="4" t="n">
        <v>6</v>
      </c>
      <c r="D69" s="2" t="s">
        <v>445</v>
      </c>
      <c r="E69" s="2" t="s">
        <v>402</v>
      </c>
      <c r="F69" s="5" t="n">
        <f aca="false">INDEX('08_PEDIDOS'!$D$2:$D$97,MATCH(A69,'08_PEDIDOS'!$A$2:$A$97,0))</f>
        <v>6</v>
      </c>
      <c r="G69" s="5" t="n">
        <f aca="false">INDEX('08_PEDIDOS'!$H$2:$H$97,MATCH(A69,'08_PEDIDOS'!$A$2:$A$97,0))</f>
        <v>10</v>
      </c>
      <c r="H69" s="17" t="n">
        <f aca="false">SUMIFS('05_RUTAS'!$F$2:$F$407,'05_RUTAS'!$A$2:$A$407,B69,'05_RUTAS'!$C$2:$C$407,C69)</f>
        <v>12</v>
      </c>
      <c r="I69" s="18" t="n">
        <f aca="false">SUMIFS('05_RUTAS'!$G$2:$G$407,'05_RUTAS'!$A$2:$A$407,B69,'05_RUTAS'!$C$2:$C$407,C69)</f>
        <v>6.83</v>
      </c>
      <c r="J69" s="18" t="n">
        <f aca="false">(ROUNDUP(F69/G69,0)*H69+F69*I69)/60</f>
        <v>0.883</v>
      </c>
      <c r="K69" s="5" t="n">
        <f aca="false">MONTH(INDEX('08_PEDIDOS'!$F$2:$F$97,MATCH(A69,'08_PEDIDOS'!$A$2:$A$97,0)))</f>
        <v>1</v>
      </c>
      <c r="L69" s="16" t="n">
        <f aca="false">J69*N(INDEX('04_MAQUINAS'!$F$2:$F$18,MATCH(E69,'04_MAQUINAS'!$A$2:$A$18,0)))</f>
        <v>28.256</v>
      </c>
      <c r="M69" s="17" t="n">
        <f aca="false">J69*INDEX('04_MAQUINAS'!$G$2:$G$18,MATCH(E69,'04_MAQUINAS'!$A$2:$A$18,0))*INDEX('04_MAQUINAS'!$H$2:$H$18,MATCH(E69,'04_MAQUINAS'!$A$2:$A$18,0))</f>
        <v>0.92715</v>
      </c>
      <c r="N69" s="2" t="s">
        <v>629</v>
      </c>
    </row>
    <row r="70" customFormat="false" ht="15" hidden="false" customHeight="false" outlineLevel="0" collapsed="false">
      <c r="A70" s="2" t="s">
        <v>530</v>
      </c>
      <c r="B70" s="2" t="s">
        <v>108</v>
      </c>
      <c r="C70" s="4" t="n">
        <v>7</v>
      </c>
      <c r="D70" s="2" t="s">
        <v>447</v>
      </c>
      <c r="E70" s="2" t="s">
        <v>421</v>
      </c>
      <c r="F70" s="5" t="n">
        <f aca="false">INDEX('08_PEDIDOS'!$D$2:$D$97,MATCH(A70,'08_PEDIDOS'!$A$2:$A$97,0))</f>
        <v>6</v>
      </c>
      <c r="G70" s="5" t="n">
        <f aca="false">INDEX('08_PEDIDOS'!$H$2:$H$97,MATCH(A70,'08_PEDIDOS'!$A$2:$A$97,0))</f>
        <v>10</v>
      </c>
      <c r="H70" s="17" t="n">
        <f aca="false">SUMIFS('05_RUTAS'!$F$2:$F$407,'05_RUTAS'!$A$2:$A$407,B70,'05_RUTAS'!$C$2:$C$407,C70)</f>
        <v>45</v>
      </c>
      <c r="I70" s="18" t="n">
        <f aca="false">SUMIFS('05_RUTAS'!$G$2:$G$407,'05_RUTAS'!$A$2:$A$407,B70,'05_RUTAS'!$C$2:$C$407,C70)</f>
        <v>0</v>
      </c>
      <c r="J70" s="18" t="n">
        <f aca="false">(ROUNDUP(F70/G70,0)*H70+F70*I70)/60</f>
        <v>0.75</v>
      </c>
      <c r="K70" s="5" t="n">
        <f aca="false">MONTH(INDEX('08_PEDIDOS'!$F$2:$F$97,MATCH(A70,'08_PEDIDOS'!$A$2:$A$97,0)))</f>
        <v>1</v>
      </c>
      <c r="L70" s="16" t="n">
        <f aca="false">J70*N(INDEX('04_MAQUINAS'!$F$2:$F$18,MATCH(E70,'04_MAQUINAS'!$A$2:$A$18,0)))</f>
        <v>19.5</v>
      </c>
      <c r="M70" s="17" t="n">
        <f aca="false">J70*INDEX('04_MAQUINAS'!$G$2:$G$18,MATCH(E70,'04_MAQUINAS'!$A$2:$A$18,0))*INDEX('04_MAQUINAS'!$H$2:$H$18,MATCH(E70,'04_MAQUINAS'!$A$2:$A$18,0))</f>
        <v>10.8</v>
      </c>
      <c r="N70" s="2" t="s">
        <v>629</v>
      </c>
    </row>
    <row r="71" customFormat="false" ht="15" hidden="false" customHeight="false" outlineLevel="0" collapsed="false">
      <c r="A71" s="2" t="s">
        <v>530</v>
      </c>
      <c r="B71" s="2" t="s">
        <v>108</v>
      </c>
      <c r="C71" s="4" t="n">
        <v>8</v>
      </c>
      <c r="D71" s="2" t="s">
        <v>449</v>
      </c>
      <c r="E71" s="2" t="s">
        <v>423</v>
      </c>
      <c r="F71" s="5" t="n">
        <f aca="false">INDEX('08_PEDIDOS'!$D$2:$D$97,MATCH(A71,'08_PEDIDOS'!$A$2:$A$97,0))</f>
        <v>6</v>
      </c>
      <c r="G71" s="5" t="n">
        <f aca="false">INDEX('08_PEDIDOS'!$H$2:$H$97,MATCH(A71,'08_PEDIDOS'!$A$2:$A$97,0))</f>
        <v>10</v>
      </c>
      <c r="H71" s="17" t="n">
        <f aca="false">SUMIFS('05_RUTAS'!$F$2:$F$407,'05_RUTAS'!$A$2:$A$407,B71,'05_RUTAS'!$C$2:$C$407,C71)</f>
        <v>8</v>
      </c>
      <c r="I71" s="18" t="n">
        <f aca="false">SUMIFS('05_RUTAS'!$G$2:$G$407,'05_RUTAS'!$A$2:$A$407,B71,'05_RUTAS'!$C$2:$C$407,C71)</f>
        <v>2.42</v>
      </c>
      <c r="J71" s="18" t="n">
        <f aca="false">(ROUNDUP(F71/G71,0)*H71+F71*I71)/60</f>
        <v>0.375333333333333</v>
      </c>
      <c r="K71" s="5" t="n">
        <f aca="false">MONTH(INDEX('08_PEDIDOS'!$F$2:$F$97,MATCH(A71,'08_PEDIDOS'!$A$2:$A$97,0)))</f>
        <v>1</v>
      </c>
      <c r="L71" s="16" t="n">
        <f aca="false">J71*N(INDEX('04_MAQUINAS'!$F$2:$F$18,MATCH(E71,'04_MAQUINAS'!$A$2:$A$18,0)))</f>
        <v>6.00533333333333</v>
      </c>
      <c r="M71" s="17" t="n">
        <f aca="false">J71*INDEX('04_MAQUINAS'!$G$2:$G$18,MATCH(E71,'04_MAQUINAS'!$A$2:$A$18,0))*INDEX('04_MAQUINAS'!$H$2:$H$18,MATCH(E71,'04_MAQUINAS'!$A$2:$A$18,0))</f>
        <v>0.0938333333333333</v>
      </c>
      <c r="N71" s="2" t="s">
        <v>629</v>
      </c>
    </row>
    <row r="72" customFormat="false" ht="15" hidden="false" customHeight="false" outlineLevel="0" collapsed="false">
      <c r="A72" s="2" t="s">
        <v>530</v>
      </c>
      <c r="B72" s="2" t="s">
        <v>108</v>
      </c>
      <c r="C72" s="4" t="n">
        <v>9</v>
      </c>
      <c r="D72" s="2" t="s">
        <v>450</v>
      </c>
      <c r="E72" s="2" t="s">
        <v>406</v>
      </c>
      <c r="F72" s="5" t="n">
        <f aca="false">INDEX('08_PEDIDOS'!$D$2:$D$97,MATCH(A72,'08_PEDIDOS'!$A$2:$A$97,0))</f>
        <v>6</v>
      </c>
      <c r="G72" s="5" t="n">
        <f aca="false">INDEX('08_PEDIDOS'!$H$2:$H$97,MATCH(A72,'08_PEDIDOS'!$A$2:$A$97,0))</f>
        <v>10</v>
      </c>
      <c r="H72" s="17" t="n">
        <f aca="false">SUMIFS('05_RUTAS'!$F$2:$F$407,'05_RUTAS'!$A$2:$A$407,B72,'05_RUTAS'!$C$2:$C$407,C72)</f>
        <v>6</v>
      </c>
      <c r="I72" s="18" t="n">
        <f aca="false">SUMIFS('05_RUTAS'!$G$2:$G$407,'05_RUTAS'!$A$2:$A$407,B72,'05_RUTAS'!$C$2:$C$407,C72)</f>
        <v>56.25</v>
      </c>
      <c r="J72" s="18" t="n">
        <f aca="false">(ROUNDUP(F72/G72,0)*H72+F72*I72)/60</f>
        <v>5.725</v>
      </c>
      <c r="K72" s="5" t="n">
        <f aca="false">MONTH(INDEX('08_PEDIDOS'!$F$2:$F$97,MATCH(A72,'08_PEDIDOS'!$A$2:$A$97,0)))</f>
        <v>1</v>
      </c>
      <c r="L72" s="16" t="n">
        <f aca="false">J72*N(INDEX('04_MAQUINAS'!$F$2:$F$18,MATCH(E72,'04_MAQUINAS'!$A$2:$A$18,0)))</f>
        <v>108.775</v>
      </c>
      <c r="M72" s="17" t="n">
        <f aca="false">J72*INDEX('04_MAQUINAS'!$G$2:$G$18,MATCH(E72,'04_MAQUINAS'!$A$2:$A$18,0))*INDEX('04_MAQUINAS'!$H$2:$H$18,MATCH(E72,'04_MAQUINAS'!$A$2:$A$18,0))</f>
        <v>1.7175</v>
      </c>
      <c r="N72" s="2" t="s">
        <v>629</v>
      </c>
    </row>
    <row r="73" customFormat="false" ht="15" hidden="false" customHeight="false" outlineLevel="0" collapsed="false">
      <c r="A73" s="2" t="s">
        <v>530</v>
      </c>
      <c r="B73" s="2" t="s">
        <v>108</v>
      </c>
      <c r="C73" s="4" t="n">
        <v>10</v>
      </c>
      <c r="D73" s="2" t="s">
        <v>451</v>
      </c>
      <c r="E73" s="2" t="s">
        <v>408</v>
      </c>
      <c r="F73" s="5" t="n">
        <f aca="false">INDEX('08_PEDIDOS'!$D$2:$D$97,MATCH(A73,'08_PEDIDOS'!$A$2:$A$97,0))</f>
        <v>6</v>
      </c>
      <c r="G73" s="5" t="n">
        <f aca="false">INDEX('08_PEDIDOS'!$H$2:$H$97,MATCH(A73,'08_PEDIDOS'!$A$2:$A$97,0))</f>
        <v>10</v>
      </c>
      <c r="H73" s="17" t="n">
        <f aca="false">SUMIFS('05_RUTAS'!$F$2:$F$407,'05_RUTAS'!$A$2:$A$407,B73,'05_RUTAS'!$C$2:$C$407,C73)</f>
        <v>2</v>
      </c>
      <c r="I73" s="18" t="n">
        <f aca="false">SUMIFS('05_RUTAS'!$G$2:$G$407,'05_RUTAS'!$A$2:$A$407,B73,'05_RUTAS'!$C$2:$C$407,C73)</f>
        <v>3.52</v>
      </c>
      <c r="J73" s="18" t="n">
        <f aca="false">(ROUNDUP(F73/G73,0)*H73+F73*I73)/60</f>
        <v>0.385333333333333</v>
      </c>
      <c r="K73" s="5" t="n">
        <f aca="false">MONTH(INDEX('08_PEDIDOS'!$F$2:$F$97,MATCH(A73,'08_PEDIDOS'!$A$2:$A$97,0)))</f>
        <v>1</v>
      </c>
      <c r="L73" s="16" t="n">
        <f aca="false">J73*N(INDEX('04_MAQUINAS'!$F$2:$F$18,MATCH(E73,'04_MAQUINAS'!$A$2:$A$18,0)))</f>
        <v>7.70666666666667</v>
      </c>
      <c r="M73" s="17" t="n">
        <f aca="false">J73*INDEX('04_MAQUINAS'!$G$2:$G$18,MATCH(E73,'04_MAQUINAS'!$A$2:$A$18,0))*INDEX('04_MAQUINAS'!$H$2:$H$18,MATCH(E73,'04_MAQUINAS'!$A$2:$A$18,0))</f>
        <v>0.0385333333333333</v>
      </c>
      <c r="N73" s="2" t="s">
        <v>629</v>
      </c>
    </row>
    <row r="74" customFormat="false" ht="15" hidden="false" customHeight="false" outlineLevel="0" collapsed="false">
      <c r="A74" s="2" t="s">
        <v>530</v>
      </c>
      <c r="B74" s="2" t="s">
        <v>108</v>
      </c>
      <c r="C74" s="4" t="n">
        <v>11</v>
      </c>
      <c r="D74" s="2" t="s">
        <v>452</v>
      </c>
      <c r="E74" s="2" t="s">
        <v>411</v>
      </c>
      <c r="F74" s="5" t="n">
        <f aca="false">INDEX('08_PEDIDOS'!$D$2:$D$97,MATCH(A74,'08_PEDIDOS'!$A$2:$A$97,0))</f>
        <v>6</v>
      </c>
      <c r="G74" s="5" t="n">
        <f aca="false">INDEX('08_PEDIDOS'!$H$2:$H$97,MATCH(A74,'08_PEDIDOS'!$A$2:$A$97,0))</f>
        <v>10</v>
      </c>
      <c r="H74" s="17" t="n">
        <f aca="false">SUMIFS('05_RUTAS'!$F$2:$F$407,'05_RUTAS'!$A$2:$A$407,B74,'05_RUTAS'!$C$2:$C$407,C74)</f>
        <v>2</v>
      </c>
      <c r="I74" s="18" t="n">
        <f aca="false">SUMIFS('05_RUTAS'!$G$2:$G$407,'05_RUTAS'!$A$2:$A$407,B74,'05_RUTAS'!$C$2:$C$407,C74)</f>
        <v>4.78</v>
      </c>
      <c r="J74" s="18" t="n">
        <f aca="false">(ROUNDUP(F74/G74,0)*H74+F74*I74)/60</f>
        <v>0.511333333333333</v>
      </c>
      <c r="K74" s="5" t="n">
        <f aca="false">MONTH(INDEX('08_PEDIDOS'!$F$2:$F$97,MATCH(A74,'08_PEDIDOS'!$A$2:$A$97,0)))</f>
        <v>1</v>
      </c>
      <c r="L74" s="16" t="n">
        <f aca="false">J74*N(INDEX('04_MAQUINAS'!$F$2:$F$18,MATCH(E74,'04_MAQUINAS'!$A$2:$A$18,0)))</f>
        <v>9.204</v>
      </c>
      <c r="M74" s="17" t="n">
        <f aca="false">J74*INDEX('04_MAQUINAS'!$G$2:$G$18,MATCH(E74,'04_MAQUINAS'!$A$2:$A$18,0))*INDEX('04_MAQUINAS'!$H$2:$H$18,MATCH(E74,'04_MAQUINAS'!$A$2:$A$18,0))</f>
        <v>0.04602</v>
      </c>
      <c r="N74" s="2" t="s">
        <v>629</v>
      </c>
    </row>
    <row r="75" customFormat="false" ht="15" hidden="false" customHeight="false" outlineLevel="0" collapsed="false">
      <c r="A75" s="2" t="s">
        <v>531</v>
      </c>
      <c r="B75" s="2" t="s">
        <v>119</v>
      </c>
      <c r="C75" s="4" t="n">
        <v>1</v>
      </c>
      <c r="D75" s="2" t="s">
        <v>437</v>
      </c>
      <c r="E75" s="2" t="s">
        <v>375</v>
      </c>
      <c r="F75" s="5" t="n">
        <f aca="false">INDEX('08_PEDIDOS'!$D$2:$D$97,MATCH(A75,'08_PEDIDOS'!$A$2:$A$97,0))</f>
        <v>10</v>
      </c>
      <c r="G75" s="5" t="n">
        <f aca="false">INDEX('08_PEDIDOS'!$H$2:$H$97,MATCH(A75,'08_PEDIDOS'!$A$2:$A$97,0))</f>
        <v>10</v>
      </c>
      <c r="H75" s="17" t="n">
        <f aca="false">SUMIFS('05_RUTAS'!$F$2:$F$407,'05_RUTAS'!$A$2:$A$407,B75,'05_RUTAS'!$C$2:$C$407,C75)</f>
        <v>8</v>
      </c>
      <c r="I75" s="18" t="n">
        <f aca="false">SUMIFS('05_RUTAS'!$G$2:$G$407,'05_RUTAS'!$A$2:$A$407,B75,'05_RUTAS'!$C$2:$C$407,C75)</f>
        <v>35.56</v>
      </c>
      <c r="J75" s="18" t="n">
        <f aca="false">(ROUNDUP(F75/G75,0)*H75+F75*I75)/60</f>
        <v>6.06</v>
      </c>
      <c r="K75" s="5" t="n">
        <f aca="false">MONTH(INDEX('08_PEDIDOS'!$F$2:$F$97,MATCH(A75,'08_PEDIDOS'!$A$2:$A$97,0)))</f>
        <v>1</v>
      </c>
      <c r="L75" s="16" t="n">
        <f aca="false">J75*N(INDEX('04_MAQUINAS'!$F$2:$F$18,MATCH(E75,'04_MAQUINAS'!$A$2:$A$18,0)))</f>
        <v>145.44</v>
      </c>
      <c r="M75" s="17" t="n">
        <f aca="false">J75*INDEX('04_MAQUINAS'!$G$2:$G$18,MATCH(E75,'04_MAQUINAS'!$A$2:$A$18,0))*INDEX('04_MAQUINAS'!$H$2:$H$18,MATCH(E75,'04_MAQUINAS'!$A$2:$A$18,0))</f>
        <v>16.665</v>
      </c>
      <c r="N75" s="2" t="s">
        <v>629</v>
      </c>
    </row>
    <row r="76" customFormat="false" ht="15" hidden="false" customHeight="false" outlineLevel="0" collapsed="false">
      <c r="A76" s="2" t="s">
        <v>531</v>
      </c>
      <c r="B76" s="2" t="s">
        <v>119</v>
      </c>
      <c r="C76" s="4" t="n">
        <v>2</v>
      </c>
      <c r="D76" s="2" t="s">
        <v>386</v>
      </c>
      <c r="E76" s="2" t="s">
        <v>383</v>
      </c>
      <c r="F76" s="5" t="n">
        <f aca="false">INDEX('08_PEDIDOS'!$D$2:$D$97,MATCH(A76,'08_PEDIDOS'!$A$2:$A$97,0))</f>
        <v>10</v>
      </c>
      <c r="G76" s="5" t="n">
        <f aca="false">INDEX('08_PEDIDOS'!$H$2:$H$97,MATCH(A76,'08_PEDIDOS'!$A$2:$A$97,0))</f>
        <v>10</v>
      </c>
      <c r="H76" s="17" t="n">
        <f aca="false">SUMIFS('05_RUTAS'!$F$2:$F$407,'05_RUTAS'!$A$2:$A$407,B76,'05_RUTAS'!$C$2:$C$407,C76)</f>
        <v>10</v>
      </c>
      <c r="I76" s="18" t="n">
        <f aca="false">SUMIFS('05_RUTAS'!$G$2:$G$407,'05_RUTAS'!$A$2:$A$407,B76,'05_RUTAS'!$C$2:$C$407,C76)</f>
        <v>5.8</v>
      </c>
      <c r="J76" s="18" t="n">
        <f aca="false">(ROUNDUP(F76/G76,0)*H76+F76*I76)/60</f>
        <v>1.13333333333333</v>
      </c>
      <c r="K76" s="5" t="n">
        <f aca="false">MONTH(INDEX('08_PEDIDOS'!$F$2:$F$97,MATCH(A76,'08_PEDIDOS'!$A$2:$A$97,0)))</f>
        <v>1</v>
      </c>
      <c r="L76" s="16" t="n">
        <f aca="false">J76*N(INDEX('04_MAQUINAS'!$F$2:$F$18,MATCH(E76,'04_MAQUINAS'!$A$2:$A$18,0)))</f>
        <v>24.9333333333333</v>
      </c>
      <c r="M76" s="17" t="n">
        <f aca="false">J76*INDEX('04_MAQUINAS'!$G$2:$G$18,MATCH(E76,'04_MAQUINAS'!$A$2:$A$18,0))*INDEX('04_MAQUINAS'!$H$2:$H$18,MATCH(E76,'04_MAQUINAS'!$A$2:$A$18,0))</f>
        <v>0.311666666666667</v>
      </c>
      <c r="N76" s="2" t="s">
        <v>629</v>
      </c>
    </row>
    <row r="77" customFormat="false" ht="15" hidden="false" customHeight="false" outlineLevel="0" collapsed="false">
      <c r="A77" s="2" t="s">
        <v>531</v>
      </c>
      <c r="B77" s="2" t="s">
        <v>119</v>
      </c>
      <c r="C77" s="4" t="n">
        <v>3</v>
      </c>
      <c r="D77" s="2" t="s">
        <v>390</v>
      </c>
      <c r="E77" s="2" t="s">
        <v>387</v>
      </c>
      <c r="F77" s="5" t="n">
        <f aca="false">INDEX('08_PEDIDOS'!$D$2:$D$97,MATCH(A77,'08_PEDIDOS'!$A$2:$A$97,0))</f>
        <v>10</v>
      </c>
      <c r="G77" s="5" t="n">
        <f aca="false">INDEX('08_PEDIDOS'!$H$2:$H$97,MATCH(A77,'08_PEDIDOS'!$A$2:$A$97,0))</f>
        <v>10</v>
      </c>
      <c r="H77" s="17" t="n">
        <f aca="false">SUMIFS('05_RUTAS'!$F$2:$F$407,'05_RUTAS'!$A$2:$A$407,B77,'05_RUTAS'!$C$2:$C$407,C77)</f>
        <v>12</v>
      </c>
      <c r="I77" s="18" t="n">
        <f aca="false">SUMIFS('05_RUTAS'!$G$2:$G$407,'05_RUTAS'!$A$2:$A$407,B77,'05_RUTAS'!$C$2:$C$407,C77)</f>
        <v>86</v>
      </c>
      <c r="J77" s="18" t="n">
        <f aca="false">(ROUNDUP(F77/G77,0)*H77+F77*I77)/60</f>
        <v>14.5333333333333</v>
      </c>
      <c r="K77" s="5" t="n">
        <f aca="false">MONTH(INDEX('08_PEDIDOS'!$F$2:$F$97,MATCH(A77,'08_PEDIDOS'!$A$2:$A$97,0)))</f>
        <v>1</v>
      </c>
      <c r="L77" s="16" t="n">
        <f aca="false">J77*N(INDEX('04_MAQUINAS'!$F$2:$F$18,MATCH(E77,'04_MAQUINAS'!$A$2:$A$18,0)))</f>
        <v>406.933333333333</v>
      </c>
      <c r="M77" s="17" t="n">
        <f aca="false">J77*INDEX('04_MAQUINAS'!$G$2:$G$18,MATCH(E77,'04_MAQUINAS'!$A$2:$A$18,0))*INDEX('04_MAQUINAS'!$H$2:$H$18,MATCH(E77,'04_MAQUINAS'!$A$2:$A$18,0))</f>
        <v>35.97</v>
      </c>
      <c r="N77" s="2" t="s">
        <v>629</v>
      </c>
    </row>
    <row r="78" customFormat="false" ht="15" hidden="false" customHeight="false" outlineLevel="0" collapsed="false">
      <c r="A78" s="2" t="s">
        <v>531</v>
      </c>
      <c r="B78" s="2" t="s">
        <v>119</v>
      </c>
      <c r="C78" s="4" t="n">
        <v>4</v>
      </c>
      <c r="D78" s="2" t="s">
        <v>443</v>
      </c>
      <c r="E78" s="2" t="s">
        <v>395</v>
      </c>
      <c r="F78" s="5" t="n">
        <f aca="false">INDEX('08_PEDIDOS'!$D$2:$D$97,MATCH(A78,'08_PEDIDOS'!$A$2:$A$97,0))</f>
        <v>10</v>
      </c>
      <c r="G78" s="5" t="n">
        <f aca="false">INDEX('08_PEDIDOS'!$H$2:$H$97,MATCH(A78,'08_PEDIDOS'!$A$2:$A$97,0))</f>
        <v>10</v>
      </c>
      <c r="H78" s="17" t="n">
        <f aca="false">SUMIFS('05_RUTAS'!$F$2:$F$407,'05_RUTAS'!$A$2:$A$407,B78,'05_RUTAS'!$C$2:$C$407,C78)</f>
        <v>3</v>
      </c>
      <c r="I78" s="18" t="n">
        <f aca="false">SUMIFS('05_RUTAS'!$G$2:$G$407,'05_RUTAS'!$A$2:$A$407,B78,'05_RUTAS'!$C$2:$C$407,C78)</f>
        <v>15</v>
      </c>
      <c r="J78" s="18" t="n">
        <f aca="false">(ROUNDUP(F78/G78,0)*H78+F78*I78)/60</f>
        <v>2.55</v>
      </c>
      <c r="K78" s="5" t="n">
        <f aca="false">MONTH(INDEX('08_PEDIDOS'!$F$2:$F$97,MATCH(A78,'08_PEDIDOS'!$A$2:$A$97,0)))</f>
        <v>1</v>
      </c>
      <c r="L78" s="16" t="n">
        <f aca="false">J78*N(INDEX('04_MAQUINAS'!$F$2:$F$18,MATCH(E78,'04_MAQUINAS'!$A$2:$A$18,0)))</f>
        <v>53.55</v>
      </c>
      <c r="M78" s="17" t="n">
        <f aca="false">J78*INDEX('04_MAQUINAS'!$G$2:$G$18,MATCH(E78,'04_MAQUINAS'!$A$2:$A$18,0))*INDEX('04_MAQUINAS'!$H$2:$H$18,MATCH(E78,'04_MAQUINAS'!$A$2:$A$18,0))</f>
        <v>1.9125</v>
      </c>
      <c r="N78" s="2" t="s">
        <v>629</v>
      </c>
    </row>
    <row r="79" customFormat="false" ht="15" hidden="false" customHeight="false" outlineLevel="0" collapsed="false">
      <c r="A79" s="2" t="s">
        <v>531</v>
      </c>
      <c r="B79" s="2" t="s">
        <v>119</v>
      </c>
      <c r="C79" s="4" t="n">
        <v>5</v>
      </c>
      <c r="D79" s="2" t="s">
        <v>444</v>
      </c>
      <c r="E79" s="2" t="s">
        <v>399</v>
      </c>
      <c r="F79" s="5" t="n">
        <f aca="false">INDEX('08_PEDIDOS'!$D$2:$D$97,MATCH(A79,'08_PEDIDOS'!$A$2:$A$97,0))</f>
        <v>10</v>
      </c>
      <c r="G79" s="5" t="n">
        <f aca="false">INDEX('08_PEDIDOS'!$H$2:$H$97,MATCH(A79,'08_PEDIDOS'!$A$2:$A$97,0))</f>
        <v>10</v>
      </c>
      <c r="H79" s="17" t="n">
        <f aca="false">SUMIFS('05_RUTAS'!$F$2:$F$407,'05_RUTAS'!$A$2:$A$407,B79,'05_RUTAS'!$C$2:$C$407,C79)</f>
        <v>6</v>
      </c>
      <c r="I79" s="18" t="n">
        <f aca="false">SUMIFS('05_RUTAS'!$G$2:$G$407,'05_RUTAS'!$A$2:$A$407,B79,'05_RUTAS'!$C$2:$C$407,C79)</f>
        <v>25.712</v>
      </c>
      <c r="J79" s="18" t="n">
        <f aca="false">(ROUNDUP(F79/G79,0)*H79+F79*I79)/60</f>
        <v>4.38533333333333</v>
      </c>
      <c r="K79" s="5" t="n">
        <f aca="false">MONTH(INDEX('08_PEDIDOS'!$F$2:$F$97,MATCH(A79,'08_PEDIDOS'!$A$2:$A$97,0)))</f>
        <v>1</v>
      </c>
      <c r="L79" s="16" t="n">
        <f aca="false">J79*N(INDEX('04_MAQUINAS'!$F$2:$F$18,MATCH(E79,'04_MAQUINAS'!$A$2:$A$18,0)))</f>
        <v>83.3213333333333</v>
      </c>
      <c r="M79" s="17" t="n">
        <f aca="false">J79*INDEX('04_MAQUINAS'!$G$2:$G$18,MATCH(E79,'04_MAQUINAS'!$A$2:$A$18,0))*INDEX('04_MAQUINAS'!$H$2:$H$18,MATCH(E79,'04_MAQUINAS'!$A$2:$A$18,0))</f>
        <v>3.85909333333333</v>
      </c>
      <c r="N79" s="2" t="s">
        <v>629</v>
      </c>
    </row>
    <row r="80" customFormat="false" ht="15" hidden="false" customHeight="false" outlineLevel="0" collapsed="false">
      <c r="A80" s="2" t="s">
        <v>531</v>
      </c>
      <c r="B80" s="2" t="s">
        <v>119</v>
      </c>
      <c r="C80" s="4" t="n">
        <v>6</v>
      </c>
      <c r="D80" s="2" t="s">
        <v>445</v>
      </c>
      <c r="E80" s="2" t="s">
        <v>402</v>
      </c>
      <c r="F80" s="5" t="n">
        <f aca="false">INDEX('08_PEDIDOS'!$D$2:$D$97,MATCH(A80,'08_PEDIDOS'!$A$2:$A$97,0))</f>
        <v>10</v>
      </c>
      <c r="G80" s="5" t="n">
        <f aca="false">INDEX('08_PEDIDOS'!$H$2:$H$97,MATCH(A80,'08_PEDIDOS'!$A$2:$A$97,0))</f>
        <v>10</v>
      </c>
      <c r="H80" s="17" t="n">
        <f aca="false">SUMIFS('05_RUTAS'!$F$2:$F$407,'05_RUTAS'!$A$2:$A$407,B80,'05_RUTAS'!$C$2:$C$407,C80)</f>
        <v>12</v>
      </c>
      <c r="I80" s="18" t="n">
        <f aca="false">SUMIFS('05_RUTAS'!$G$2:$G$407,'05_RUTAS'!$A$2:$A$407,B80,'05_RUTAS'!$C$2:$C$407,C80)</f>
        <v>6.58</v>
      </c>
      <c r="J80" s="18" t="n">
        <f aca="false">(ROUNDUP(F80/G80,0)*H80+F80*I80)/60</f>
        <v>1.29666666666667</v>
      </c>
      <c r="K80" s="5" t="n">
        <f aca="false">MONTH(INDEX('08_PEDIDOS'!$F$2:$F$97,MATCH(A80,'08_PEDIDOS'!$A$2:$A$97,0)))</f>
        <v>1</v>
      </c>
      <c r="L80" s="16" t="n">
        <f aca="false">J80*N(INDEX('04_MAQUINAS'!$F$2:$F$18,MATCH(E80,'04_MAQUINAS'!$A$2:$A$18,0)))</f>
        <v>41.4933333333333</v>
      </c>
      <c r="M80" s="17" t="n">
        <f aca="false">J80*INDEX('04_MAQUINAS'!$G$2:$G$18,MATCH(E80,'04_MAQUINAS'!$A$2:$A$18,0))*INDEX('04_MAQUINAS'!$H$2:$H$18,MATCH(E80,'04_MAQUINAS'!$A$2:$A$18,0))</f>
        <v>1.3615</v>
      </c>
      <c r="N80" s="2" t="s">
        <v>629</v>
      </c>
    </row>
    <row r="81" customFormat="false" ht="15" hidden="false" customHeight="false" outlineLevel="0" collapsed="false">
      <c r="A81" s="2" t="s">
        <v>531</v>
      </c>
      <c r="B81" s="2" t="s">
        <v>119</v>
      </c>
      <c r="C81" s="4" t="n">
        <v>7</v>
      </c>
      <c r="D81" s="2" t="s">
        <v>447</v>
      </c>
      <c r="E81" s="2" t="s">
        <v>421</v>
      </c>
      <c r="F81" s="5" t="n">
        <f aca="false">INDEX('08_PEDIDOS'!$D$2:$D$97,MATCH(A81,'08_PEDIDOS'!$A$2:$A$97,0))</f>
        <v>10</v>
      </c>
      <c r="G81" s="5" t="n">
        <f aca="false">INDEX('08_PEDIDOS'!$H$2:$H$97,MATCH(A81,'08_PEDIDOS'!$A$2:$A$97,0))</f>
        <v>10</v>
      </c>
      <c r="H81" s="17" t="n">
        <f aca="false">SUMIFS('05_RUTAS'!$F$2:$F$407,'05_RUTAS'!$A$2:$A$407,B81,'05_RUTAS'!$C$2:$C$407,C81)</f>
        <v>45</v>
      </c>
      <c r="I81" s="18" t="n">
        <f aca="false">SUMIFS('05_RUTAS'!$G$2:$G$407,'05_RUTAS'!$A$2:$A$407,B81,'05_RUTAS'!$C$2:$C$407,C81)</f>
        <v>0</v>
      </c>
      <c r="J81" s="18" t="n">
        <f aca="false">(ROUNDUP(F81/G81,0)*H81+F81*I81)/60</f>
        <v>0.75</v>
      </c>
      <c r="K81" s="5" t="n">
        <f aca="false">MONTH(INDEX('08_PEDIDOS'!$F$2:$F$97,MATCH(A81,'08_PEDIDOS'!$A$2:$A$97,0)))</f>
        <v>1</v>
      </c>
      <c r="L81" s="16" t="n">
        <f aca="false">J81*N(INDEX('04_MAQUINAS'!$F$2:$F$18,MATCH(E81,'04_MAQUINAS'!$A$2:$A$18,0)))</f>
        <v>19.5</v>
      </c>
      <c r="M81" s="17" t="n">
        <f aca="false">J81*INDEX('04_MAQUINAS'!$G$2:$G$18,MATCH(E81,'04_MAQUINAS'!$A$2:$A$18,0))*INDEX('04_MAQUINAS'!$H$2:$H$18,MATCH(E81,'04_MAQUINAS'!$A$2:$A$18,0))</f>
        <v>10.8</v>
      </c>
      <c r="N81" s="2" t="s">
        <v>629</v>
      </c>
    </row>
    <row r="82" customFormat="false" ht="15" hidden="false" customHeight="false" outlineLevel="0" collapsed="false">
      <c r="A82" s="2" t="s">
        <v>531</v>
      </c>
      <c r="B82" s="2" t="s">
        <v>119</v>
      </c>
      <c r="C82" s="4" t="n">
        <v>8</v>
      </c>
      <c r="D82" s="2" t="s">
        <v>449</v>
      </c>
      <c r="E82" s="2" t="s">
        <v>423</v>
      </c>
      <c r="F82" s="5" t="n">
        <f aca="false">INDEX('08_PEDIDOS'!$D$2:$D$97,MATCH(A82,'08_PEDIDOS'!$A$2:$A$97,0))</f>
        <v>10</v>
      </c>
      <c r="G82" s="5" t="n">
        <f aca="false">INDEX('08_PEDIDOS'!$H$2:$H$97,MATCH(A82,'08_PEDIDOS'!$A$2:$A$97,0))</f>
        <v>10</v>
      </c>
      <c r="H82" s="17" t="n">
        <f aca="false">SUMIFS('05_RUTAS'!$F$2:$F$407,'05_RUTAS'!$A$2:$A$407,B82,'05_RUTAS'!$C$2:$C$407,C82)</f>
        <v>8</v>
      </c>
      <c r="I82" s="18" t="n">
        <f aca="false">SUMIFS('05_RUTAS'!$G$2:$G$407,'05_RUTAS'!$A$2:$A$407,B82,'05_RUTAS'!$C$2:$C$407,C82)</f>
        <v>2.36</v>
      </c>
      <c r="J82" s="18" t="n">
        <f aca="false">(ROUNDUP(F82/G82,0)*H82+F82*I82)/60</f>
        <v>0.526666666666667</v>
      </c>
      <c r="K82" s="5" t="n">
        <f aca="false">MONTH(INDEX('08_PEDIDOS'!$F$2:$F$97,MATCH(A82,'08_PEDIDOS'!$A$2:$A$97,0)))</f>
        <v>1</v>
      </c>
      <c r="L82" s="16" t="n">
        <f aca="false">J82*N(INDEX('04_MAQUINAS'!$F$2:$F$18,MATCH(E82,'04_MAQUINAS'!$A$2:$A$18,0)))</f>
        <v>8.42666666666667</v>
      </c>
      <c r="M82" s="17" t="n">
        <f aca="false">J82*INDEX('04_MAQUINAS'!$G$2:$G$18,MATCH(E82,'04_MAQUINAS'!$A$2:$A$18,0))*INDEX('04_MAQUINAS'!$H$2:$H$18,MATCH(E82,'04_MAQUINAS'!$A$2:$A$18,0))</f>
        <v>0.131666666666667</v>
      </c>
      <c r="N82" s="2" t="s">
        <v>629</v>
      </c>
    </row>
    <row r="83" customFormat="false" ht="15" hidden="false" customHeight="false" outlineLevel="0" collapsed="false">
      <c r="A83" s="2" t="s">
        <v>531</v>
      </c>
      <c r="B83" s="2" t="s">
        <v>119</v>
      </c>
      <c r="C83" s="4" t="n">
        <v>9</v>
      </c>
      <c r="D83" s="2" t="s">
        <v>450</v>
      </c>
      <c r="E83" s="2" t="s">
        <v>406</v>
      </c>
      <c r="F83" s="5" t="n">
        <f aca="false">INDEX('08_PEDIDOS'!$D$2:$D$97,MATCH(A83,'08_PEDIDOS'!$A$2:$A$97,0))</f>
        <v>10</v>
      </c>
      <c r="G83" s="5" t="n">
        <f aca="false">INDEX('08_PEDIDOS'!$H$2:$H$97,MATCH(A83,'08_PEDIDOS'!$A$2:$A$97,0))</f>
        <v>10</v>
      </c>
      <c r="H83" s="17" t="n">
        <f aca="false">SUMIFS('05_RUTAS'!$F$2:$F$407,'05_RUTAS'!$A$2:$A$407,B83,'05_RUTAS'!$C$2:$C$407,C83)</f>
        <v>6</v>
      </c>
      <c r="I83" s="18" t="n">
        <f aca="false">SUMIFS('05_RUTAS'!$G$2:$G$407,'05_RUTAS'!$A$2:$A$407,B83,'05_RUTAS'!$C$2:$C$407,C83)</f>
        <v>27</v>
      </c>
      <c r="J83" s="18" t="n">
        <f aca="false">(ROUNDUP(F83/G83,0)*H83+F83*I83)/60</f>
        <v>4.6</v>
      </c>
      <c r="K83" s="5" t="n">
        <f aca="false">MONTH(INDEX('08_PEDIDOS'!$F$2:$F$97,MATCH(A83,'08_PEDIDOS'!$A$2:$A$97,0)))</f>
        <v>1</v>
      </c>
      <c r="L83" s="16" t="n">
        <f aca="false">J83*N(INDEX('04_MAQUINAS'!$F$2:$F$18,MATCH(E83,'04_MAQUINAS'!$A$2:$A$18,0)))</f>
        <v>87.4</v>
      </c>
      <c r="M83" s="17" t="n">
        <f aca="false">J83*INDEX('04_MAQUINAS'!$G$2:$G$18,MATCH(E83,'04_MAQUINAS'!$A$2:$A$18,0))*INDEX('04_MAQUINAS'!$H$2:$H$18,MATCH(E83,'04_MAQUINAS'!$A$2:$A$18,0))</f>
        <v>1.38</v>
      </c>
      <c r="N83" s="2" t="s">
        <v>629</v>
      </c>
    </row>
    <row r="84" customFormat="false" ht="15" hidden="false" customHeight="false" outlineLevel="0" collapsed="false">
      <c r="A84" s="2" t="s">
        <v>531</v>
      </c>
      <c r="B84" s="2" t="s">
        <v>119</v>
      </c>
      <c r="C84" s="4" t="n">
        <v>10</v>
      </c>
      <c r="D84" s="2" t="s">
        <v>451</v>
      </c>
      <c r="E84" s="2" t="s">
        <v>408</v>
      </c>
      <c r="F84" s="5" t="n">
        <f aca="false">INDEX('08_PEDIDOS'!$D$2:$D$97,MATCH(A84,'08_PEDIDOS'!$A$2:$A$97,0))</f>
        <v>10</v>
      </c>
      <c r="G84" s="5" t="n">
        <f aca="false">INDEX('08_PEDIDOS'!$H$2:$H$97,MATCH(A84,'08_PEDIDOS'!$A$2:$A$97,0))</f>
        <v>10</v>
      </c>
      <c r="H84" s="17" t="n">
        <f aca="false">SUMIFS('05_RUTAS'!$F$2:$F$407,'05_RUTAS'!$A$2:$A$407,B84,'05_RUTAS'!$C$2:$C$407,C84)</f>
        <v>2</v>
      </c>
      <c r="I84" s="18" t="n">
        <f aca="false">SUMIFS('05_RUTAS'!$G$2:$G$407,'05_RUTAS'!$A$2:$A$407,B84,'05_RUTAS'!$C$2:$C$407,C84)</f>
        <v>3.45</v>
      </c>
      <c r="J84" s="18" t="n">
        <f aca="false">(ROUNDUP(F84/G84,0)*H84+F84*I84)/60</f>
        <v>0.608333333333333</v>
      </c>
      <c r="K84" s="5" t="n">
        <f aca="false">MONTH(INDEX('08_PEDIDOS'!$F$2:$F$97,MATCH(A84,'08_PEDIDOS'!$A$2:$A$97,0)))</f>
        <v>1</v>
      </c>
      <c r="L84" s="16" t="n">
        <f aca="false">J84*N(INDEX('04_MAQUINAS'!$F$2:$F$18,MATCH(E84,'04_MAQUINAS'!$A$2:$A$18,0)))</f>
        <v>12.1666666666667</v>
      </c>
      <c r="M84" s="17" t="n">
        <f aca="false">J84*INDEX('04_MAQUINAS'!$G$2:$G$18,MATCH(E84,'04_MAQUINAS'!$A$2:$A$18,0))*INDEX('04_MAQUINAS'!$H$2:$H$18,MATCH(E84,'04_MAQUINAS'!$A$2:$A$18,0))</f>
        <v>0.0608333333333333</v>
      </c>
      <c r="N84" s="2" t="s">
        <v>629</v>
      </c>
    </row>
    <row r="85" customFormat="false" ht="15" hidden="false" customHeight="false" outlineLevel="0" collapsed="false">
      <c r="A85" s="2" t="s">
        <v>531</v>
      </c>
      <c r="B85" s="2" t="s">
        <v>119</v>
      </c>
      <c r="C85" s="4" t="n">
        <v>11</v>
      </c>
      <c r="D85" s="2" t="s">
        <v>452</v>
      </c>
      <c r="E85" s="2" t="s">
        <v>411</v>
      </c>
      <c r="F85" s="5" t="n">
        <f aca="false">INDEX('08_PEDIDOS'!$D$2:$D$97,MATCH(A85,'08_PEDIDOS'!$A$2:$A$97,0))</f>
        <v>10</v>
      </c>
      <c r="G85" s="5" t="n">
        <f aca="false">INDEX('08_PEDIDOS'!$H$2:$H$97,MATCH(A85,'08_PEDIDOS'!$A$2:$A$97,0))</f>
        <v>10</v>
      </c>
      <c r="H85" s="17" t="n">
        <f aca="false">SUMIFS('05_RUTAS'!$F$2:$F$407,'05_RUTAS'!$A$2:$A$407,B85,'05_RUTAS'!$C$2:$C$407,C85)</f>
        <v>2</v>
      </c>
      <c r="I85" s="18" t="n">
        <f aca="false">SUMIFS('05_RUTAS'!$G$2:$G$407,'05_RUTAS'!$A$2:$A$407,B85,'05_RUTAS'!$C$2:$C$407,C85)</f>
        <v>4.67</v>
      </c>
      <c r="J85" s="18" t="n">
        <f aca="false">(ROUNDUP(F85/G85,0)*H85+F85*I85)/60</f>
        <v>0.811666666666667</v>
      </c>
      <c r="K85" s="5" t="n">
        <f aca="false">MONTH(INDEX('08_PEDIDOS'!$F$2:$F$97,MATCH(A85,'08_PEDIDOS'!$A$2:$A$97,0)))</f>
        <v>1</v>
      </c>
      <c r="L85" s="16" t="n">
        <f aca="false">J85*N(INDEX('04_MAQUINAS'!$F$2:$F$18,MATCH(E85,'04_MAQUINAS'!$A$2:$A$18,0)))</f>
        <v>14.61</v>
      </c>
      <c r="M85" s="17" t="n">
        <f aca="false">J85*INDEX('04_MAQUINAS'!$G$2:$G$18,MATCH(E85,'04_MAQUINAS'!$A$2:$A$18,0))*INDEX('04_MAQUINAS'!$H$2:$H$18,MATCH(E85,'04_MAQUINAS'!$A$2:$A$18,0))</f>
        <v>0.07305</v>
      </c>
      <c r="N85" s="2" t="s">
        <v>629</v>
      </c>
    </row>
    <row r="86" customFormat="false" ht="15" hidden="false" customHeight="false" outlineLevel="0" collapsed="false">
      <c r="A86" s="2" t="s">
        <v>532</v>
      </c>
      <c r="B86" s="2" t="s">
        <v>121</v>
      </c>
      <c r="C86" s="4" t="n">
        <v>1</v>
      </c>
      <c r="D86" s="2" t="s">
        <v>437</v>
      </c>
      <c r="E86" s="2" t="s">
        <v>375</v>
      </c>
      <c r="F86" s="5" t="n">
        <f aca="false">INDEX('08_PEDIDOS'!$D$2:$D$97,MATCH(A86,'08_PEDIDOS'!$A$2:$A$97,0))</f>
        <v>10</v>
      </c>
      <c r="G86" s="5" t="n">
        <f aca="false">INDEX('08_PEDIDOS'!$H$2:$H$97,MATCH(A86,'08_PEDIDOS'!$A$2:$A$97,0))</f>
        <v>10</v>
      </c>
      <c r="H86" s="17" t="n">
        <f aca="false">SUMIFS('05_RUTAS'!$F$2:$F$407,'05_RUTAS'!$A$2:$A$407,B86,'05_RUTAS'!$C$2:$C$407,C86)</f>
        <v>8</v>
      </c>
      <c r="I86" s="18" t="n">
        <f aca="false">SUMIFS('05_RUTAS'!$G$2:$G$407,'05_RUTAS'!$A$2:$A$407,B86,'05_RUTAS'!$C$2:$C$407,C86)</f>
        <v>35.92</v>
      </c>
      <c r="J86" s="18" t="n">
        <f aca="false">(ROUNDUP(F86/G86,0)*H86+F86*I86)/60</f>
        <v>6.12</v>
      </c>
      <c r="K86" s="5" t="n">
        <f aca="false">MONTH(INDEX('08_PEDIDOS'!$F$2:$F$97,MATCH(A86,'08_PEDIDOS'!$A$2:$A$97,0)))</f>
        <v>1</v>
      </c>
      <c r="L86" s="16" t="n">
        <f aca="false">J86*N(INDEX('04_MAQUINAS'!$F$2:$F$18,MATCH(E86,'04_MAQUINAS'!$A$2:$A$18,0)))</f>
        <v>146.88</v>
      </c>
      <c r="M86" s="17" t="n">
        <f aca="false">J86*INDEX('04_MAQUINAS'!$G$2:$G$18,MATCH(E86,'04_MAQUINAS'!$A$2:$A$18,0))*INDEX('04_MAQUINAS'!$H$2:$H$18,MATCH(E86,'04_MAQUINAS'!$A$2:$A$18,0))</f>
        <v>16.83</v>
      </c>
      <c r="N86" s="2" t="s">
        <v>629</v>
      </c>
    </row>
    <row r="87" customFormat="false" ht="15" hidden="false" customHeight="false" outlineLevel="0" collapsed="false">
      <c r="A87" s="2" t="s">
        <v>532</v>
      </c>
      <c r="B87" s="2" t="s">
        <v>121</v>
      </c>
      <c r="C87" s="4" t="n">
        <v>2</v>
      </c>
      <c r="D87" s="2" t="s">
        <v>441</v>
      </c>
      <c r="E87" s="2" t="s">
        <v>380</v>
      </c>
      <c r="F87" s="5" t="n">
        <f aca="false">INDEX('08_PEDIDOS'!$D$2:$D$97,MATCH(A87,'08_PEDIDOS'!$A$2:$A$97,0))</f>
        <v>10</v>
      </c>
      <c r="G87" s="5" t="n">
        <f aca="false">INDEX('08_PEDIDOS'!$H$2:$H$97,MATCH(A87,'08_PEDIDOS'!$A$2:$A$97,0))</f>
        <v>10</v>
      </c>
      <c r="H87" s="17" t="n">
        <f aca="false">SUMIFS('05_RUTAS'!$F$2:$F$407,'05_RUTAS'!$A$2:$A$407,B87,'05_RUTAS'!$C$2:$C$407,C87)</f>
        <v>8</v>
      </c>
      <c r="I87" s="18" t="n">
        <f aca="false">SUMIFS('05_RUTAS'!$G$2:$G$407,'05_RUTAS'!$A$2:$A$407,B87,'05_RUTAS'!$C$2:$C$407,C87)</f>
        <v>32.28</v>
      </c>
      <c r="J87" s="18" t="n">
        <f aca="false">(ROUNDUP(F87/G87,0)*H87+F87*I87)/60</f>
        <v>5.51333333333333</v>
      </c>
      <c r="K87" s="5" t="n">
        <f aca="false">MONTH(INDEX('08_PEDIDOS'!$F$2:$F$97,MATCH(A87,'08_PEDIDOS'!$A$2:$A$97,0)))</f>
        <v>1</v>
      </c>
      <c r="L87" s="16" t="n">
        <f aca="false">J87*N(INDEX('04_MAQUINAS'!$F$2:$F$18,MATCH(E87,'04_MAQUINAS'!$A$2:$A$18,0)))</f>
        <v>121.293333333333</v>
      </c>
      <c r="M87" s="17" t="n">
        <f aca="false">J87*INDEX('04_MAQUINAS'!$G$2:$G$18,MATCH(E87,'04_MAQUINAS'!$A$2:$A$18,0))*INDEX('04_MAQUINAS'!$H$2:$H$18,MATCH(E87,'04_MAQUINAS'!$A$2:$A$18,0))</f>
        <v>2.481</v>
      </c>
      <c r="N87" s="2" t="s">
        <v>629</v>
      </c>
    </row>
    <row r="88" customFormat="false" ht="15" hidden="false" customHeight="false" outlineLevel="0" collapsed="false">
      <c r="A88" s="2" t="s">
        <v>532</v>
      </c>
      <c r="B88" s="2" t="s">
        <v>121</v>
      </c>
      <c r="C88" s="4" t="n">
        <v>3</v>
      </c>
      <c r="D88" s="2" t="s">
        <v>386</v>
      </c>
      <c r="E88" s="2" t="s">
        <v>383</v>
      </c>
      <c r="F88" s="5" t="n">
        <f aca="false">INDEX('08_PEDIDOS'!$D$2:$D$97,MATCH(A88,'08_PEDIDOS'!$A$2:$A$97,0))</f>
        <v>10</v>
      </c>
      <c r="G88" s="5" t="n">
        <f aca="false">INDEX('08_PEDIDOS'!$H$2:$H$97,MATCH(A88,'08_PEDIDOS'!$A$2:$A$97,0))</f>
        <v>10</v>
      </c>
      <c r="H88" s="17" t="n">
        <f aca="false">SUMIFS('05_RUTAS'!$F$2:$F$407,'05_RUTAS'!$A$2:$A$407,B88,'05_RUTAS'!$C$2:$C$407,C88)</f>
        <v>10</v>
      </c>
      <c r="I88" s="18" t="n">
        <f aca="false">SUMIFS('05_RUTAS'!$G$2:$G$407,'05_RUTAS'!$A$2:$A$407,B88,'05_RUTAS'!$C$2:$C$407,C88)</f>
        <v>54.8</v>
      </c>
      <c r="J88" s="18" t="n">
        <f aca="false">(ROUNDUP(F88/G88,0)*H88+F88*I88)/60</f>
        <v>9.3</v>
      </c>
      <c r="K88" s="5" t="n">
        <f aca="false">MONTH(INDEX('08_PEDIDOS'!$F$2:$F$97,MATCH(A88,'08_PEDIDOS'!$A$2:$A$97,0)))</f>
        <v>1</v>
      </c>
      <c r="L88" s="16" t="n">
        <f aca="false">J88*N(INDEX('04_MAQUINAS'!$F$2:$F$18,MATCH(E88,'04_MAQUINAS'!$A$2:$A$18,0)))</f>
        <v>204.6</v>
      </c>
      <c r="M88" s="17" t="n">
        <f aca="false">J88*INDEX('04_MAQUINAS'!$G$2:$G$18,MATCH(E88,'04_MAQUINAS'!$A$2:$A$18,0))*INDEX('04_MAQUINAS'!$H$2:$H$18,MATCH(E88,'04_MAQUINAS'!$A$2:$A$18,0))</f>
        <v>2.5575</v>
      </c>
      <c r="N88" s="2" t="s">
        <v>629</v>
      </c>
    </row>
    <row r="89" customFormat="false" ht="15" hidden="false" customHeight="false" outlineLevel="0" collapsed="false">
      <c r="A89" s="2" t="s">
        <v>532</v>
      </c>
      <c r="B89" s="2" t="s">
        <v>121</v>
      </c>
      <c r="C89" s="4" t="n">
        <v>4</v>
      </c>
      <c r="D89" s="2" t="s">
        <v>390</v>
      </c>
      <c r="E89" s="2" t="s">
        <v>387</v>
      </c>
      <c r="F89" s="5" t="n">
        <f aca="false">INDEX('08_PEDIDOS'!$D$2:$D$97,MATCH(A89,'08_PEDIDOS'!$A$2:$A$97,0))</f>
        <v>10</v>
      </c>
      <c r="G89" s="5" t="n">
        <f aca="false">INDEX('08_PEDIDOS'!$H$2:$H$97,MATCH(A89,'08_PEDIDOS'!$A$2:$A$97,0))</f>
        <v>10</v>
      </c>
      <c r="H89" s="17" t="n">
        <f aca="false">SUMIFS('05_RUTAS'!$F$2:$F$407,'05_RUTAS'!$A$2:$A$407,B89,'05_RUTAS'!$C$2:$C$407,C89)</f>
        <v>12</v>
      </c>
      <c r="I89" s="18" t="n">
        <f aca="false">SUMIFS('05_RUTAS'!$G$2:$G$407,'05_RUTAS'!$A$2:$A$407,B89,'05_RUTAS'!$C$2:$C$407,C89)</f>
        <v>85</v>
      </c>
      <c r="J89" s="18" t="n">
        <f aca="false">(ROUNDUP(F89/G89,0)*H89+F89*I89)/60</f>
        <v>14.3666666666667</v>
      </c>
      <c r="K89" s="5" t="n">
        <f aca="false">MONTH(INDEX('08_PEDIDOS'!$F$2:$F$97,MATCH(A89,'08_PEDIDOS'!$A$2:$A$97,0)))</f>
        <v>1</v>
      </c>
      <c r="L89" s="16" t="n">
        <f aca="false">J89*N(INDEX('04_MAQUINAS'!$F$2:$F$18,MATCH(E89,'04_MAQUINAS'!$A$2:$A$18,0)))</f>
        <v>402.266666666667</v>
      </c>
      <c r="M89" s="17" t="n">
        <f aca="false">J89*INDEX('04_MAQUINAS'!$G$2:$G$18,MATCH(E89,'04_MAQUINAS'!$A$2:$A$18,0))*INDEX('04_MAQUINAS'!$H$2:$H$18,MATCH(E89,'04_MAQUINAS'!$A$2:$A$18,0))</f>
        <v>35.5575</v>
      </c>
      <c r="N89" s="2" t="s">
        <v>629</v>
      </c>
    </row>
    <row r="90" customFormat="false" ht="15" hidden="false" customHeight="false" outlineLevel="0" collapsed="false">
      <c r="A90" s="2" t="s">
        <v>532</v>
      </c>
      <c r="B90" s="2" t="s">
        <v>121</v>
      </c>
      <c r="C90" s="4" t="n">
        <v>5</v>
      </c>
      <c r="D90" s="2" t="s">
        <v>443</v>
      </c>
      <c r="E90" s="2" t="s">
        <v>395</v>
      </c>
      <c r="F90" s="5" t="n">
        <f aca="false">INDEX('08_PEDIDOS'!$D$2:$D$97,MATCH(A90,'08_PEDIDOS'!$A$2:$A$97,0))</f>
        <v>10</v>
      </c>
      <c r="G90" s="5" t="n">
        <f aca="false">INDEX('08_PEDIDOS'!$H$2:$H$97,MATCH(A90,'08_PEDIDOS'!$A$2:$A$97,0))</f>
        <v>10</v>
      </c>
      <c r="H90" s="17" t="n">
        <f aca="false">SUMIFS('05_RUTAS'!$F$2:$F$407,'05_RUTAS'!$A$2:$A$407,B90,'05_RUTAS'!$C$2:$C$407,C90)</f>
        <v>3</v>
      </c>
      <c r="I90" s="18" t="n">
        <f aca="false">SUMIFS('05_RUTAS'!$G$2:$G$407,'05_RUTAS'!$A$2:$A$407,B90,'05_RUTAS'!$C$2:$C$407,C90)</f>
        <v>37.5</v>
      </c>
      <c r="J90" s="18" t="n">
        <f aca="false">(ROUNDUP(F90/G90,0)*H90+F90*I90)/60</f>
        <v>6.3</v>
      </c>
      <c r="K90" s="5" t="n">
        <f aca="false">MONTH(INDEX('08_PEDIDOS'!$F$2:$F$97,MATCH(A90,'08_PEDIDOS'!$A$2:$A$97,0)))</f>
        <v>1</v>
      </c>
      <c r="L90" s="16" t="n">
        <f aca="false">J90*N(INDEX('04_MAQUINAS'!$F$2:$F$18,MATCH(E90,'04_MAQUINAS'!$A$2:$A$18,0)))</f>
        <v>132.3</v>
      </c>
      <c r="M90" s="17" t="n">
        <f aca="false">J90*INDEX('04_MAQUINAS'!$G$2:$G$18,MATCH(E90,'04_MAQUINAS'!$A$2:$A$18,0))*INDEX('04_MAQUINAS'!$H$2:$H$18,MATCH(E90,'04_MAQUINAS'!$A$2:$A$18,0))</f>
        <v>4.725</v>
      </c>
      <c r="N90" s="2" t="s">
        <v>629</v>
      </c>
    </row>
    <row r="91" customFormat="false" ht="15" hidden="false" customHeight="false" outlineLevel="0" collapsed="false">
      <c r="A91" s="2" t="s">
        <v>532</v>
      </c>
      <c r="B91" s="2" t="s">
        <v>121</v>
      </c>
      <c r="C91" s="4" t="n">
        <v>6</v>
      </c>
      <c r="D91" s="2" t="s">
        <v>444</v>
      </c>
      <c r="E91" s="2" t="s">
        <v>399</v>
      </c>
      <c r="F91" s="5" t="n">
        <f aca="false">INDEX('08_PEDIDOS'!$D$2:$D$97,MATCH(A91,'08_PEDIDOS'!$A$2:$A$97,0))</f>
        <v>10</v>
      </c>
      <c r="G91" s="5" t="n">
        <f aca="false">INDEX('08_PEDIDOS'!$H$2:$H$97,MATCH(A91,'08_PEDIDOS'!$A$2:$A$97,0))</f>
        <v>10</v>
      </c>
      <c r="H91" s="17" t="n">
        <f aca="false">SUMIFS('05_RUTAS'!$F$2:$F$407,'05_RUTAS'!$A$2:$A$407,B91,'05_RUTAS'!$C$2:$C$407,C91)</f>
        <v>6</v>
      </c>
      <c r="I91" s="18" t="n">
        <f aca="false">SUMIFS('05_RUTAS'!$G$2:$G$407,'05_RUTAS'!$A$2:$A$407,B91,'05_RUTAS'!$C$2:$C$407,C91)</f>
        <v>24.4752</v>
      </c>
      <c r="J91" s="18" t="n">
        <f aca="false">(ROUNDUP(F91/G91,0)*H91+F91*I91)/60</f>
        <v>4.1792</v>
      </c>
      <c r="K91" s="5" t="n">
        <f aca="false">MONTH(INDEX('08_PEDIDOS'!$F$2:$F$97,MATCH(A91,'08_PEDIDOS'!$A$2:$A$97,0)))</f>
        <v>1</v>
      </c>
      <c r="L91" s="16" t="n">
        <f aca="false">J91*N(INDEX('04_MAQUINAS'!$F$2:$F$18,MATCH(E91,'04_MAQUINAS'!$A$2:$A$18,0)))</f>
        <v>79.4048</v>
      </c>
      <c r="M91" s="17" t="n">
        <f aca="false">J91*INDEX('04_MAQUINAS'!$G$2:$G$18,MATCH(E91,'04_MAQUINAS'!$A$2:$A$18,0))*INDEX('04_MAQUINAS'!$H$2:$H$18,MATCH(E91,'04_MAQUINAS'!$A$2:$A$18,0))</f>
        <v>3.677696</v>
      </c>
      <c r="N91" s="2" t="s">
        <v>629</v>
      </c>
    </row>
    <row r="92" customFormat="false" ht="15" hidden="false" customHeight="false" outlineLevel="0" collapsed="false">
      <c r="A92" s="2" t="s">
        <v>532</v>
      </c>
      <c r="B92" s="2" t="s">
        <v>121</v>
      </c>
      <c r="C92" s="4" t="n">
        <v>7</v>
      </c>
      <c r="D92" s="2" t="s">
        <v>445</v>
      </c>
      <c r="E92" s="2" t="s">
        <v>402</v>
      </c>
      <c r="F92" s="5" t="n">
        <f aca="false">INDEX('08_PEDIDOS'!$D$2:$D$97,MATCH(A92,'08_PEDIDOS'!$A$2:$A$97,0))</f>
        <v>10</v>
      </c>
      <c r="G92" s="5" t="n">
        <f aca="false">INDEX('08_PEDIDOS'!$H$2:$H$97,MATCH(A92,'08_PEDIDOS'!$A$2:$A$97,0))</f>
        <v>10</v>
      </c>
      <c r="H92" s="17" t="n">
        <f aca="false">SUMIFS('05_RUTAS'!$F$2:$F$407,'05_RUTAS'!$A$2:$A$407,B92,'05_RUTAS'!$C$2:$C$407,C92)</f>
        <v>12</v>
      </c>
      <c r="I92" s="18" t="n">
        <f aca="false">SUMIFS('05_RUTAS'!$G$2:$G$407,'05_RUTAS'!$A$2:$A$407,B92,'05_RUTAS'!$C$2:$C$407,C92)</f>
        <v>6.58</v>
      </c>
      <c r="J92" s="18" t="n">
        <f aca="false">(ROUNDUP(F92/G92,0)*H92+F92*I92)/60</f>
        <v>1.29666666666667</v>
      </c>
      <c r="K92" s="5" t="n">
        <f aca="false">MONTH(INDEX('08_PEDIDOS'!$F$2:$F$97,MATCH(A92,'08_PEDIDOS'!$A$2:$A$97,0)))</f>
        <v>1</v>
      </c>
      <c r="L92" s="16" t="n">
        <f aca="false">J92*N(INDEX('04_MAQUINAS'!$F$2:$F$18,MATCH(E92,'04_MAQUINAS'!$A$2:$A$18,0)))</f>
        <v>41.4933333333333</v>
      </c>
      <c r="M92" s="17" t="n">
        <f aca="false">J92*INDEX('04_MAQUINAS'!$G$2:$G$18,MATCH(E92,'04_MAQUINAS'!$A$2:$A$18,0))*INDEX('04_MAQUINAS'!$H$2:$H$18,MATCH(E92,'04_MAQUINAS'!$A$2:$A$18,0))</f>
        <v>1.3615</v>
      </c>
      <c r="N92" s="2" t="s">
        <v>629</v>
      </c>
    </row>
    <row r="93" customFormat="false" ht="15" hidden="false" customHeight="false" outlineLevel="0" collapsed="false">
      <c r="A93" s="2" t="s">
        <v>532</v>
      </c>
      <c r="B93" s="2" t="s">
        <v>121</v>
      </c>
      <c r="C93" s="4" t="n">
        <v>8</v>
      </c>
      <c r="D93" s="2" t="s">
        <v>447</v>
      </c>
      <c r="E93" s="2" t="s">
        <v>421</v>
      </c>
      <c r="F93" s="5" t="n">
        <f aca="false">INDEX('08_PEDIDOS'!$D$2:$D$97,MATCH(A93,'08_PEDIDOS'!$A$2:$A$97,0))</f>
        <v>10</v>
      </c>
      <c r="G93" s="5" t="n">
        <f aca="false">INDEX('08_PEDIDOS'!$H$2:$H$97,MATCH(A93,'08_PEDIDOS'!$A$2:$A$97,0))</f>
        <v>10</v>
      </c>
      <c r="H93" s="17" t="n">
        <f aca="false">SUMIFS('05_RUTAS'!$F$2:$F$407,'05_RUTAS'!$A$2:$A$407,B93,'05_RUTAS'!$C$2:$C$407,C93)</f>
        <v>45</v>
      </c>
      <c r="I93" s="18" t="n">
        <f aca="false">SUMIFS('05_RUTAS'!$G$2:$G$407,'05_RUTAS'!$A$2:$A$407,B93,'05_RUTAS'!$C$2:$C$407,C93)</f>
        <v>0</v>
      </c>
      <c r="J93" s="18" t="n">
        <f aca="false">(ROUNDUP(F93/G93,0)*H93+F93*I93)/60</f>
        <v>0.75</v>
      </c>
      <c r="K93" s="5" t="n">
        <f aca="false">MONTH(INDEX('08_PEDIDOS'!$F$2:$F$97,MATCH(A93,'08_PEDIDOS'!$A$2:$A$97,0)))</f>
        <v>1</v>
      </c>
      <c r="L93" s="16" t="n">
        <f aca="false">J93*N(INDEX('04_MAQUINAS'!$F$2:$F$18,MATCH(E93,'04_MAQUINAS'!$A$2:$A$18,0)))</f>
        <v>19.5</v>
      </c>
      <c r="M93" s="17" t="n">
        <f aca="false">J93*INDEX('04_MAQUINAS'!$G$2:$G$18,MATCH(E93,'04_MAQUINAS'!$A$2:$A$18,0))*INDEX('04_MAQUINAS'!$H$2:$H$18,MATCH(E93,'04_MAQUINAS'!$A$2:$A$18,0))</f>
        <v>10.8</v>
      </c>
      <c r="N93" s="2" t="s">
        <v>629</v>
      </c>
    </row>
    <row r="94" customFormat="false" ht="15" hidden="false" customHeight="false" outlineLevel="0" collapsed="false">
      <c r="A94" s="2" t="s">
        <v>532</v>
      </c>
      <c r="B94" s="2" t="s">
        <v>121</v>
      </c>
      <c r="C94" s="4" t="n">
        <v>9</v>
      </c>
      <c r="D94" s="2" t="s">
        <v>449</v>
      </c>
      <c r="E94" s="2" t="s">
        <v>423</v>
      </c>
      <c r="F94" s="5" t="n">
        <f aca="false">INDEX('08_PEDIDOS'!$D$2:$D$97,MATCH(A94,'08_PEDIDOS'!$A$2:$A$97,0))</f>
        <v>10</v>
      </c>
      <c r="G94" s="5" t="n">
        <f aca="false">INDEX('08_PEDIDOS'!$H$2:$H$97,MATCH(A94,'08_PEDIDOS'!$A$2:$A$97,0))</f>
        <v>10</v>
      </c>
      <c r="H94" s="17" t="n">
        <f aca="false">SUMIFS('05_RUTAS'!$F$2:$F$407,'05_RUTAS'!$A$2:$A$407,B94,'05_RUTAS'!$C$2:$C$407,C94)</f>
        <v>8</v>
      </c>
      <c r="I94" s="18" t="n">
        <f aca="false">SUMIFS('05_RUTAS'!$G$2:$G$407,'05_RUTAS'!$A$2:$A$407,B94,'05_RUTAS'!$C$2:$C$407,C94)</f>
        <v>2.36</v>
      </c>
      <c r="J94" s="18" t="n">
        <f aca="false">(ROUNDUP(F94/G94,0)*H94+F94*I94)/60</f>
        <v>0.526666666666667</v>
      </c>
      <c r="K94" s="5" t="n">
        <f aca="false">MONTH(INDEX('08_PEDIDOS'!$F$2:$F$97,MATCH(A94,'08_PEDIDOS'!$A$2:$A$97,0)))</f>
        <v>1</v>
      </c>
      <c r="L94" s="16" t="n">
        <f aca="false">J94*N(INDEX('04_MAQUINAS'!$F$2:$F$18,MATCH(E94,'04_MAQUINAS'!$A$2:$A$18,0)))</f>
        <v>8.42666666666667</v>
      </c>
      <c r="M94" s="17" t="n">
        <f aca="false">J94*INDEX('04_MAQUINAS'!$G$2:$G$18,MATCH(E94,'04_MAQUINAS'!$A$2:$A$18,0))*INDEX('04_MAQUINAS'!$H$2:$H$18,MATCH(E94,'04_MAQUINAS'!$A$2:$A$18,0))</f>
        <v>0.131666666666667</v>
      </c>
      <c r="N94" s="2" t="s">
        <v>629</v>
      </c>
    </row>
    <row r="95" customFormat="false" ht="15" hidden="false" customHeight="false" outlineLevel="0" collapsed="false">
      <c r="A95" s="2" t="s">
        <v>532</v>
      </c>
      <c r="B95" s="2" t="s">
        <v>121</v>
      </c>
      <c r="C95" s="4" t="n">
        <v>10</v>
      </c>
      <c r="D95" s="2" t="s">
        <v>450</v>
      </c>
      <c r="E95" s="2" t="s">
        <v>406</v>
      </c>
      <c r="F95" s="5" t="n">
        <f aca="false">INDEX('08_PEDIDOS'!$D$2:$D$97,MATCH(A95,'08_PEDIDOS'!$A$2:$A$97,0))</f>
        <v>10</v>
      </c>
      <c r="G95" s="5" t="n">
        <f aca="false">INDEX('08_PEDIDOS'!$H$2:$H$97,MATCH(A95,'08_PEDIDOS'!$A$2:$A$97,0))</f>
        <v>10</v>
      </c>
      <c r="H95" s="17" t="n">
        <f aca="false">SUMIFS('05_RUTAS'!$F$2:$F$407,'05_RUTAS'!$A$2:$A$407,B95,'05_RUTAS'!$C$2:$C$407,C95)</f>
        <v>6</v>
      </c>
      <c r="I95" s="18" t="n">
        <f aca="false">SUMIFS('05_RUTAS'!$G$2:$G$407,'05_RUTAS'!$A$2:$A$407,B95,'05_RUTAS'!$C$2:$C$407,C95)</f>
        <v>61.5</v>
      </c>
      <c r="J95" s="18" t="n">
        <f aca="false">(ROUNDUP(F95/G95,0)*H95+F95*I95)/60</f>
        <v>10.35</v>
      </c>
      <c r="K95" s="5" t="n">
        <f aca="false">MONTH(INDEX('08_PEDIDOS'!$F$2:$F$97,MATCH(A95,'08_PEDIDOS'!$A$2:$A$97,0)))</f>
        <v>1</v>
      </c>
      <c r="L95" s="16" t="n">
        <f aca="false">J95*N(INDEX('04_MAQUINAS'!$F$2:$F$18,MATCH(E95,'04_MAQUINAS'!$A$2:$A$18,0)))</f>
        <v>196.65</v>
      </c>
      <c r="M95" s="17" t="n">
        <f aca="false">J95*INDEX('04_MAQUINAS'!$G$2:$G$18,MATCH(E95,'04_MAQUINAS'!$A$2:$A$18,0))*INDEX('04_MAQUINAS'!$H$2:$H$18,MATCH(E95,'04_MAQUINAS'!$A$2:$A$18,0))</f>
        <v>3.105</v>
      </c>
      <c r="N95" s="2" t="s">
        <v>629</v>
      </c>
    </row>
    <row r="96" customFormat="false" ht="15" hidden="false" customHeight="false" outlineLevel="0" collapsed="false">
      <c r="A96" s="2" t="s">
        <v>532</v>
      </c>
      <c r="B96" s="2" t="s">
        <v>121</v>
      </c>
      <c r="C96" s="4" t="n">
        <v>11</v>
      </c>
      <c r="D96" s="2" t="s">
        <v>451</v>
      </c>
      <c r="E96" s="2" t="s">
        <v>408</v>
      </c>
      <c r="F96" s="5" t="n">
        <f aca="false">INDEX('08_PEDIDOS'!$D$2:$D$97,MATCH(A96,'08_PEDIDOS'!$A$2:$A$97,0))</f>
        <v>10</v>
      </c>
      <c r="G96" s="5" t="n">
        <f aca="false">INDEX('08_PEDIDOS'!$H$2:$H$97,MATCH(A96,'08_PEDIDOS'!$A$2:$A$97,0))</f>
        <v>10</v>
      </c>
      <c r="H96" s="17" t="n">
        <f aca="false">SUMIFS('05_RUTAS'!$F$2:$F$407,'05_RUTAS'!$A$2:$A$407,B96,'05_RUTAS'!$C$2:$C$407,C96)</f>
        <v>2</v>
      </c>
      <c r="I96" s="18" t="n">
        <f aca="false">SUMIFS('05_RUTAS'!$G$2:$G$407,'05_RUTAS'!$A$2:$A$407,B96,'05_RUTAS'!$C$2:$C$407,C96)</f>
        <v>3.45</v>
      </c>
      <c r="J96" s="18" t="n">
        <f aca="false">(ROUNDUP(F96/G96,0)*H96+F96*I96)/60</f>
        <v>0.608333333333333</v>
      </c>
      <c r="K96" s="5" t="n">
        <f aca="false">MONTH(INDEX('08_PEDIDOS'!$F$2:$F$97,MATCH(A96,'08_PEDIDOS'!$A$2:$A$97,0)))</f>
        <v>1</v>
      </c>
      <c r="L96" s="16" t="n">
        <f aca="false">J96*N(INDEX('04_MAQUINAS'!$F$2:$F$18,MATCH(E96,'04_MAQUINAS'!$A$2:$A$18,0)))</f>
        <v>12.1666666666667</v>
      </c>
      <c r="M96" s="17" t="n">
        <f aca="false">J96*INDEX('04_MAQUINAS'!$G$2:$G$18,MATCH(E96,'04_MAQUINAS'!$A$2:$A$18,0))*INDEX('04_MAQUINAS'!$H$2:$H$18,MATCH(E96,'04_MAQUINAS'!$A$2:$A$18,0))</f>
        <v>0.0608333333333333</v>
      </c>
      <c r="N96" s="2" t="s">
        <v>629</v>
      </c>
    </row>
    <row r="97" customFormat="false" ht="15" hidden="false" customHeight="false" outlineLevel="0" collapsed="false">
      <c r="A97" s="2" t="s">
        <v>532</v>
      </c>
      <c r="B97" s="2" t="s">
        <v>121</v>
      </c>
      <c r="C97" s="4" t="n">
        <v>12</v>
      </c>
      <c r="D97" s="2" t="s">
        <v>452</v>
      </c>
      <c r="E97" s="2" t="s">
        <v>411</v>
      </c>
      <c r="F97" s="5" t="n">
        <f aca="false">INDEX('08_PEDIDOS'!$D$2:$D$97,MATCH(A97,'08_PEDIDOS'!$A$2:$A$97,0))</f>
        <v>10</v>
      </c>
      <c r="G97" s="5" t="n">
        <f aca="false">INDEX('08_PEDIDOS'!$H$2:$H$97,MATCH(A97,'08_PEDIDOS'!$A$2:$A$97,0))</f>
        <v>10</v>
      </c>
      <c r="H97" s="17" t="n">
        <f aca="false">SUMIFS('05_RUTAS'!$F$2:$F$407,'05_RUTAS'!$A$2:$A$407,B97,'05_RUTAS'!$C$2:$C$407,C97)</f>
        <v>2</v>
      </c>
      <c r="I97" s="18" t="n">
        <f aca="false">SUMIFS('05_RUTAS'!$G$2:$G$407,'05_RUTAS'!$A$2:$A$407,B97,'05_RUTAS'!$C$2:$C$407,C97)</f>
        <v>4.67</v>
      </c>
      <c r="J97" s="18" t="n">
        <f aca="false">(ROUNDUP(F97/G97,0)*H97+F97*I97)/60</f>
        <v>0.811666666666667</v>
      </c>
      <c r="K97" s="5" t="n">
        <f aca="false">MONTH(INDEX('08_PEDIDOS'!$F$2:$F$97,MATCH(A97,'08_PEDIDOS'!$A$2:$A$97,0)))</f>
        <v>1</v>
      </c>
      <c r="L97" s="16" t="n">
        <f aca="false">J97*N(INDEX('04_MAQUINAS'!$F$2:$F$18,MATCH(E97,'04_MAQUINAS'!$A$2:$A$18,0)))</f>
        <v>14.61</v>
      </c>
      <c r="M97" s="17" t="n">
        <f aca="false">J97*INDEX('04_MAQUINAS'!$G$2:$G$18,MATCH(E97,'04_MAQUINAS'!$A$2:$A$18,0))*INDEX('04_MAQUINAS'!$H$2:$H$18,MATCH(E97,'04_MAQUINAS'!$A$2:$A$18,0))</f>
        <v>0.07305</v>
      </c>
      <c r="N97" s="2" t="s">
        <v>629</v>
      </c>
    </row>
    <row r="98" customFormat="false" ht="15" hidden="false" customHeight="false" outlineLevel="0" collapsed="false">
      <c r="A98" s="2" t="s">
        <v>533</v>
      </c>
      <c r="B98" s="2" t="s">
        <v>80</v>
      </c>
      <c r="C98" s="4" t="n">
        <v>1</v>
      </c>
      <c r="D98" s="2" t="s">
        <v>437</v>
      </c>
      <c r="E98" s="2" t="s">
        <v>375</v>
      </c>
      <c r="F98" s="5" t="n">
        <f aca="false">INDEX('08_PEDIDOS'!$D$2:$D$97,MATCH(A98,'08_PEDIDOS'!$A$2:$A$97,0))</f>
        <v>12</v>
      </c>
      <c r="G98" s="5" t="n">
        <f aca="false">INDEX('08_PEDIDOS'!$H$2:$H$97,MATCH(A98,'08_PEDIDOS'!$A$2:$A$97,0))</f>
        <v>10</v>
      </c>
      <c r="H98" s="17" t="n">
        <f aca="false">SUMIFS('05_RUTAS'!$F$2:$F$407,'05_RUTAS'!$A$2:$A$407,B98,'05_RUTAS'!$C$2:$C$407,C98)</f>
        <v>8</v>
      </c>
      <c r="I98" s="18" t="n">
        <f aca="false">SUMIFS('05_RUTAS'!$G$2:$G$407,'05_RUTAS'!$A$2:$A$407,B98,'05_RUTAS'!$C$2:$C$407,C98)</f>
        <v>34.62</v>
      </c>
      <c r="J98" s="18" t="n">
        <f aca="false">(ROUNDUP(F98/G98,0)*H98+F98*I98)/60</f>
        <v>7.19066666666667</v>
      </c>
      <c r="K98" s="5" t="n">
        <f aca="false">MONTH(INDEX('08_PEDIDOS'!$F$2:$F$97,MATCH(A98,'08_PEDIDOS'!$A$2:$A$97,0)))</f>
        <v>2</v>
      </c>
      <c r="L98" s="16" t="n">
        <f aca="false">J98*N(INDEX('04_MAQUINAS'!$F$2:$F$18,MATCH(E98,'04_MAQUINAS'!$A$2:$A$18,0)))</f>
        <v>172.576</v>
      </c>
      <c r="M98" s="17" t="n">
        <f aca="false">J98*INDEX('04_MAQUINAS'!$G$2:$G$18,MATCH(E98,'04_MAQUINAS'!$A$2:$A$18,0))*INDEX('04_MAQUINAS'!$H$2:$H$18,MATCH(E98,'04_MAQUINAS'!$A$2:$A$18,0))</f>
        <v>19.7743333333333</v>
      </c>
      <c r="N98" s="2" t="s">
        <v>629</v>
      </c>
    </row>
    <row r="99" customFormat="false" ht="15" hidden="false" customHeight="false" outlineLevel="0" collapsed="false">
      <c r="A99" s="2" t="s">
        <v>533</v>
      </c>
      <c r="B99" s="2" t="s">
        <v>80</v>
      </c>
      <c r="C99" s="4" t="n">
        <v>2</v>
      </c>
      <c r="D99" s="2" t="s">
        <v>441</v>
      </c>
      <c r="E99" s="2" t="s">
        <v>380</v>
      </c>
      <c r="F99" s="5" t="n">
        <f aca="false">INDEX('08_PEDIDOS'!$D$2:$D$97,MATCH(A99,'08_PEDIDOS'!$A$2:$A$97,0))</f>
        <v>12</v>
      </c>
      <c r="G99" s="5" t="n">
        <f aca="false">INDEX('08_PEDIDOS'!$H$2:$H$97,MATCH(A99,'08_PEDIDOS'!$A$2:$A$97,0))</f>
        <v>10</v>
      </c>
      <c r="H99" s="17" t="n">
        <f aca="false">SUMIFS('05_RUTAS'!$F$2:$F$407,'05_RUTAS'!$A$2:$A$407,B99,'05_RUTAS'!$C$2:$C$407,C99)</f>
        <v>8</v>
      </c>
      <c r="I99" s="18" t="n">
        <f aca="false">SUMIFS('05_RUTAS'!$G$2:$G$407,'05_RUTAS'!$A$2:$A$407,B99,'05_RUTAS'!$C$2:$C$407,C99)</f>
        <v>43.52</v>
      </c>
      <c r="J99" s="18" t="n">
        <f aca="false">(ROUNDUP(F99/G99,0)*H99+F99*I99)/60</f>
        <v>8.97066666666667</v>
      </c>
      <c r="K99" s="5" t="n">
        <f aca="false">MONTH(INDEX('08_PEDIDOS'!$F$2:$F$97,MATCH(A99,'08_PEDIDOS'!$A$2:$A$97,0)))</f>
        <v>2</v>
      </c>
      <c r="L99" s="16" t="n">
        <f aca="false">J99*N(INDEX('04_MAQUINAS'!$F$2:$F$18,MATCH(E99,'04_MAQUINAS'!$A$2:$A$18,0)))</f>
        <v>197.354666666667</v>
      </c>
      <c r="M99" s="17" t="n">
        <f aca="false">J99*INDEX('04_MAQUINAS'!$G$2:$G$18,MATCH(E99,'04_MAQUINAS'!$A$2:$A$18,0))*INDEX('04_MAQUINAS'!$H$2:$H$18,MATCH(E99,'04_MAQUINAS'!$A$2:$A$18,0))</f>
        <v>4.0368</v>
      </c>
      <c r="N99" s="2" t="s">
        <v>629</v>
      </c>
    </row>
    <row r="100" customFormat="false" ht="15" hidden="false" customHeight="false" outlineLevel="0" collapsed="false">
      <c r="A100" s="2" t="s">
        <v>533</v>
      </c>
      <c r="B100" s="2" t="s">
        <v>80</v>
      </c>
      <c r="C100" s="4" t="n">
        <v>3</v>
      </c>
      <c r="D100" s="2" t="s">
        <v>386</v>
      </c>
      <c r="E100" s="2" t="s">
        <v>383</v>
      </c>
      <c r="F100" s="5" t="n">
        <f aca="false">INDEX('08_PEDIDOS'!$D$2:$D$97,MATCH(A100,'08_PEDIDOS'!$A$2:$A$97,0))</f>
        <v>12</v>
      </c>
      <c r="G100" s="5" t="n">
        <f aca="false">INDEX('08_PEDIDOS'!$H$2:$H$97,MATCH(A100,'08_PEDIDOS'!$A$2:$A$97,0))</f>
        <v>10</v>
      </c>
      <c r="H100" s="17" t="n">
        <f aca="false">SUMIFS('05_RUTAS'!$F$2:$F$407,'05_RUTAS'!$A$2:$A$407,B100,'05_RUTAS'!$C$2:$C$407,C100)</f>
        <v>10</v>
      </c>
      <c r="I100" s="18" t="n">
        <f aca="false">SUMIFS('05_RUTAS'!$G$2:$G$407,'05_RUTAS'!$A$2:$A$407,B100,'05_RUTAS'!$C$2:$C$407,C100)</f>
        <v>63.2</v>
      </c>
      <c r="J100" s="18" t="n">
        <f aca="false">(ROUNDUP(F100/G100,0)*H100+F100*I100)/60</f>
        <v>12.9733333333333</v>
      </c>
      <c r="K100" s="5" t="n">
        <f aca="false">MONTH(INDEX('08_PEDIDOS'!$F$2:$F$97,MATCH(A100,'08_PEDIDOS'!$A$2:$A$97,0)))</f>
        <v>2</v>
      </c>
      <c r="L100" s="16" t="n">
        <f aca="false">J100*N(INDEX('04_MAQUINAS'!$F$2:$F$18,MATCH(E100,'04_MAQUINAS'!$A$2:$A$18,0)))</f>
        <v>285.413333333333</v>
      </c>
      <c r="M100" s="17" t="n">
        <f aca="false">J100*INDEX('04_MAQUINAS'!$G$2:$G$18,MATCH(E100,'04_MAQUINAS'!$A$2:$A$18,0))*INDEX('04_MAQUINAS'!$H$2:$H$18,MATCH(E100,'04_MAQUINAS'!$A$2:$A$18,0))</f>
        <v>3.56766666666667</v>
      </c>
      <c r="N100" s="2" t="s">
        <v>629</v>
      </c>
    </row>
    <row r="101" customFormat="false" ht="15" hidden="false" customHeight="false" outlineLevel="0" collapsed="false">
      <c r="A101" s="2" t="s">
        <v>533</v>
      </c>
      <c r="B101" s="2" t="s">
        <v>80</v>
      </c>
      <c r="C101" s="4" t="n">
        <v>4</v>
      </c>
      <c r="D101" s="2" t="s">
        <v>390</v>
      </c>
      <c r="E101" s="2" t="s">
        <v>387</v>
      </c>
      <c r="F101" s="5" t="n">
        <f aca="false">INDEX('08_PEDIDOS'!$D$2:$D$97,MATCH(A101,'08_PEDIDOS'!$A$2:$A$97,0))</f>
        <v>12</v>
      </c>
      <c r="G101" s="5" t="n">
        <f aca="false">INDEX('08_PEDIDOS'!$H$2:$H$97,MATCH(A101,'08_PEDIDOS'!$A$2:$A$97,0))</f>
        <v>10</v>
      </c>
      <c r="H101" s="17" t="n">
        <f aca="false">SUMIFS('05_RUTAS'!$F$2:$F$407,'05_RUTAS'!$A$2:$A$407,B101,'05_RUTAS'!$C$2:$C$407,C101)</f>
        <v>12</v>
      </c>
      <c r="I101" s="18" t="n">
        <f aca="false">SUMIFS('05_RUTAS'!$G$2:$G$407,'05_RUTAS'!$A$2:$A$407,B101,'05_RUTAS'!$C$2:$C$407,C101)</f>
        <v>60</v>
      </c>
      <c r="J101" s="18" t="n">
        <f aca="false">(ROUNDUP(F101/G101,0)*H101+F101*I101)/60</f>
        <v>12.4</v>
      </c>
      <c r="K101" s="5" t="n">
        <f aca="false">MONTH(INDEX('08_PEDIDOS'!$F$2:$F$97,MATCH(A101,'08_PEDIDOS'!$A$2:$A$97,0)))</f>
        <v>2</v>
      </c>
      <c r="L101" s="16" t="n">
        <f aca="false">J101*N(INDEX('04_MAQUINAS'!$F$2:$F$18,MATCH(E101,'04_MAQUINAS'!$A$2:$A$18,0)))</f>
        <v>347.2</v>
      </c>
      <c r="M101" s="17" t="n">
        <f aca="false">J101*INDEX('04_MAQUINAS'!$G$2:$G$18,MATCH(E101,'04_MAQUINAS'!$A$2:$A$18,0))*INDEX('04_MAQUINAS'!$H$2:$H$18,MATCH(E101,'04_MAQUINAS'!$A$2:$A$18,0))</f>
        <v>30.69</v>
      </c>
      <c r="N101" s="2" t="s">
        <v>629</v>
      </c>
    </row>
    <row r="102" customFormat="false" ht="15" hidden="false" customHeight="false" outlineLevel="0" collapsed="false">
      <c r="A102" s="2" t="s">
        <v>533</v>
      </c>
      <c r="B102" s="2" t="s">
        <v>80</v>
      </c>
      <c r="C102" s="4" t="n">
        <v>5</v>
      </c>
      <c r="D102" s="2" t="s">
        <v>442</v>
      </c>
      <c r="E102" s="2" t="s">
        <v>391</v>
      </c>
      <c r="F102" s="5" t="n">
        <f aca="false">INDEX('08_PEDIDOS'!$D$2:$D$97,MATCH(A102,'08_PEDIDOS'!$A$2:$A$97,0))</f>
        <v>12</v>
      </c>
      <c r="G102" s="5" t="n">
        <f aca="false">INDEX('08_PEDIDOS'!$H$2:$H$97,MATCH(A102,'08_PEDIDOS'!$A$2:$A$97,0))</f>
        <v>10</v>
      </c>
      <c r="H102" s="17" t="n">
        <f aca="false">SUMIFS('05_RUTAS'!$F$2:$F$407,'05_RUTAS'!$A$2:$A$407,B102,'05_RUTAS'!$C$2:$C$407,C102)</f>
        <v>10</v>
      </c>
      <c r="I102" s="18" t="n">
        <f aca="false">SUMIFS('05_RUTAS'!$G$2:$G$407,'05_RUTAS'!$A$2:$A$407,B102,'05_RUTAS'!$C$2:$C$407,C102)</f>
        <v>78.4</v>
      </c>
      <c r="J102" s="18" t="n">
        <f aca="false">(ROUNDUP(F102/G102,0)*H102+F102*I102)/60</f>
        <v>16.0133333333333</v>
      </c>
      <c r="K102" s="5" t="n">
        <f aca="false">MONTH(INDEX('08_PEDIDOS'!$F$2:$F$97,MATCH(A102,'08_PEDIDOS'!$A$2:$A$97,0)))</f>
        <v>2</v>
      </c>
      <c r="L102" s="16" t="n">
        <f aca="false">J102*N(INDEX('04_MAQUINAS'!$F$2:$F$18,MATCH(E102,'04_MAQUINAS'!$A$2:$A$18,0)))</f>
        <v>512.426666666667</v>
      </c>
      <c r="M102" s="17" t="n">
        <f aca="false">J102*INDEX('04_MAQUINAS'!$G$2:$G$18,MATCH(E102,'04_MAQUINAS'!$A$2:$A$18,0))*INDEX('04_MAQUINAS'!$H$2:$H$18,MATCH(E102,'04_MAQUINAS'!$A$2:$A$18,0))</f>
        <v>28.0233333333333</v>
      </c>
      <c r="N102" s="2" t="s">
        <v>629</v>
      </c>
    </row>
    <row r="103" customFormat="false" ht="15" hidden="false" customHeight="false" outlineLevel="0" collapsed="false">
      <c r="A103" s="2" t="s">
        <v>533</v>
      </c>
      <c r="B103" s="2" t="s">
        <v>80</v>
      </c>
      <c r="C103" s="4" t="n">
        <v>6</v>
      </c>
      <c r="D103" s="2" t="s">
        <v>443</v>
      </c>
      <c r="E103" s="2" t="s">
        <v>395</v>
      </c>
      <c r="F103" s="5" t="n">
        <f aca="false">INDEX('08_PEDIDOS'!$D$2:$D$97,MATCH(A103,'08_PEDIDOS'!$A$2:$A$97,0))</f>
        <v>12</v>
      </c>
      <c r="G103" s="5" t="n">
        <f aca="false">INDEX('08_PEDIDOS'!$H$2:$H$97,MATCH(A103,'08_PEDIDOS'!$A$2:$A$97,0))</f>
        <v>10</v>
      </c>
      <c r="H103" s="17" t="n">
        <f aca="false">SUMIFS('05_RUTAS'!$F$2:$F$407,'05_RUTAS'!$A$2:$A$407,B103,'05_RUTAS'!$C$2:$C$407,C103)</f>
        <v>3</v>
      </c>
      <c r="I103" s="18" t="n">
        <f aca="false">SUMIFS('05_RUTAS'!$G$2:$G$407,'05_RUTAS'!$A$2:$A$407,B103,'05_RUTAS'!$C$2:$C$407,C103)</f>
        <v>42</v>
      </c>
      <c r="J103" s="18" t="n">
        <f aca="false">(ROUNDUP(F103/G103,0)*H103+F103*I103)/60</f>
        <v>8.5</v>
      </c>
      <c r="K103" s="5" t="n">
        <f aca="false">MONTH(INDEX('08_PEDIDOS'!$F$2:$F$97,MATCH(A103,'08_PEDIDOS'!$A$2:$A$97,0)))</f>
        <v>2</v>
      </c>
      <c r="L103" s="16" t="n">
        <f aca="false">J103*N(INDEX('04_MAQUINAS'!$F$2:$F$18,MATCH(E103,'04_MAQUINAS'!$A$2:$A$18,0)))</f>
        <v>178.5</v>
      </c>
      <c r="M103" s="17" t="n">
        <f aca="false">J103*INDEX('04_MAQUINAS'!$G$2:$G$18,MATCH(E103,'04_MAQUINAS'!$A$2:$A$18,0))*INDEX('04_MAQUINAS'!$H$2:$H$18,MATCH(E103,'04_MAQUINAS'!$A$2:$A$18,0))</f>
        <v>6.375</v>
      </c>
      <c r="N103" s="2" t="s">
        <v>629</v>
      </c>
    </row>
    <row r="104" customFormat="false" ht="15" hidden="false" customHeight="false" outlineLevel="0" collapsed="false">
      <c r="A104" s="2" t="s">
        <v>533</v>
      </c>
      <c r="B104" s="2" t="s">
        <v>80</v>
      </c>
      <c r="C104" s="4" t="n">
        <v>7</v>
      </c>
      <c r="D104" s="2" t="s">
        <v>444</v>
      </c>
      <c r="E104" s="2" t="s">
        <v>399</v>
      </c>
      <c r="F104" s="5" t="n">
        <f aca="false">INDEX('08_PEDIDOS'!$D$2:$D$97,MATCH(A104,'08_PEDIDOS'!$A$2:$A$97,0))</f>
        <v>12</v>
      </c>
      <c r="G104" s="5" t="n">
        <f aca="false">INDEX('08_PEDIDOS'!$H$2:$H$97,MATCH(A104,'08_PEDIDOS'!$A$2:$A$97,0))</f>
        <v>10</v>
      </c>
      <c r="H104" s="17" t="n">
        <f aca="false">SUMIFS('05_RUTAS'!$F$2:$F$407,'05_RUTAS'!$A$2:$A$407,B104,'05_RUTAS'!$C$2:$C$407,C104)</f>
        <v>6</v>
      </c>
      <c r="I104" s="18" t="n">
        <f aca="false">SUMIFS('05_RUTAS'!$G$2:$G$407,'05_RUTAS'!$A$2:$A$407,B104,'05_RUTAS'!$C$2:$C$407,C104)</f>
        <v>29.7248</v>
      </c>
      <c r="J104" s="18" t="n">
        <f aca="false">(ROUNDUP(F104/G104,0)*H104+F104*I104)/60</f>
        <v>6.14496</v>
      </c>
      <c r="K104" s="5" t="n">
        <f aca="false">MONTH(INDEX('08_PEDIDOS'!$F$2:$F$97,MATCH(A104,'08_PEDIDOS'!$A$2:$A$97,0)))</f>
        <v>2</v>
      </c>
      <c r="L104" s="16" t="n">
        <f aca="false">J104*N(INDEX('04_MAQUINAS'!$F$2:$F$18,MATCH(E104,'04_MAQUINAS'!$A$2:$A$18,0)))</f>
        <v>116.75424</v>
      </c>
      <c r="M104" s="17" t="n">
        <f aca="false">J104*INDEX('04_MAQUINAS'!$G$2:$G$18,MATCH(E104,'04_MAQUINAS'!$A$2:$A$18,0))*INDEX('04_MAQUINAS'!$H$2:$H$18,MATCH(E104,'04_MAQUINAS'!$A$2:$A$18,0))</f>
        <v>5.4075648</v>
      </c>
      <c r="N104" s="2" t="s">
        <v>629</v>
      </c>
    </row>
    <row r="105" customFormat="false" ht="15" hidden="false" customHeight="false" outlineLevel="0" collapsed="false">
      <c r="A105" s="2" t="s">
        <v>533</v>
      </c>
      <c r="B105" s="2" t="s">
        <v>80</v>
      </c>
      <c r="C105" s="4" t="n">
        <v>8</v>
      </c>
      <c r="D105" s="2" t="s">
        <v>445</v>
      </c>
      <c r="E105" s="2" t="s">
        <v>402</v>
      </c>
      <c r="F105" s="5" t="n">
        <f aca="false">INDEX('08_PEDIDOS'!$D$2:$D$97,MATCH(A105,'08_PEDIDOS'!$A$2:$A$97,0))</f>
        <v>12</v>
      </c>
      <c r="G105" s="5" t="n">
        <f aca="false">INDEX('08_PEDIDOS'!$H$2:$H$97,MATCH(A105,'08_PEDIDOS'!$A$2:$A$97,0))</f>
        <v>10</v>
      </c>
      <c r="H105" s="17" t="n">
        <f aca="false">SUMIFS('05_RUTAS'!$F$2:$F$407,'05_RUTAS'!$A$2:$A$407,B105,'05_RUTAS'!$C$2:$C$407,C105)</f>
        <v>12</v>
      </c>
      <c r="I105" s="18" t="n">
        <f aca="false">SUMIFS('05_RUTAS'!$G$2:$G$407,'05_RUTAS'!$A$2:$A$407,B105,'05_RUTAS'!$C$2:$C$407,C105)</f>
        <v>8.02</v>
      </c>
      <c r="J105" s="18" t="n">
        <f aca="false">(ROUNDUP(F105/G105,0)*H105+F105*I105)/60</f>
        <v>2.004</v>
      </c>
      <c r="K105" s="5" t="n">
        <f aca="false">MONTH(INDEX('08_PEDIDOS'!$F$2:$F$97,MATCH(A105,'08_PEDIDOS'!$A$2:$A$97,0)))</f>
        <v>2</v>
      </c>
      <c r="L105" s="16" t="n">
        <f aca="false">J105*N(INDEX('04_MAQUINAS'!$F$2:$F$18,MATCH(E105,'04_MAQUINAS'!$A$2:$A$18,0)))</f>
        <v>64.128</v>
      </c>
      <c r="M105" s="17" t="n">
        <f aca="false">J105*INDEX('04_MAQUINAS'!$G$2:$G$18,MATCH(E105,'04_MAQUINAS'!$A$2:$A$18,0))*INDEX('04_MAQUINAS'!$H$2:$H$18,MATCH(E105,'04_MAQUINAS'!$A$2:$A$18,0))</f>
        <v>2.1042</v>
      </c>
      <c r="N105" s="2" t="s">
        <v>629</v>
      </c>
    </row>
    <row r="106" customFormat="false" ht="15" hidden="false" customHeight="false" outlineLevel="0" collapsed="false">
      <c r="A106" s="2" t="s">
        <v>533</v>
      </c>
      <c r="B106" s="2" t="s">
        <v>80</v>
      </c>
      <c r="C106" s="4" t="n">
        <v>9</v>
      </c>
      <c r="D106" s="2" t="s">
        <v>447</v>
      </c>
      <c r="E106" s="2" t="s">
        <v>421</v>
      </c>
      <c r="F106" s="5" t="n">
        <f aca="false">INDEX('08_PEDIDOS'!$D$2:$D$97,MATCH(A106,'08_PEDIDOS'!$A$2:$A$97,0))</f>
        <v>12</v>
      </c>
      <c r="G106" s="5" t="n">
        <f aca="false">INDEX('08_PEDIDOS'!$H$2:$H$97,MATCH(A106,'08_PEDIDOS'!$A$2:$A$97,0))</f>
        <v>10</v>
      </c>
      <c r="H106" s="17" t="n">
        <f aca="false">SUMIFS('05_RUTAS'!$F$2:$F$407,'05_RUTAS'!$A$2:$A$407,B106,'05_RUTAS'!$C$2:$C$407,C106)</f>
        <v>45</v>
      </c>
      <c r="I106" s="18" t="n">
        <f aca="false">SUMIFS('05_RUTAS'!$G$2:$G$407,'05_RUTAS'!$A$2:$A$407,B106,'05_RUTAS'!$C$2:$C$407,C106)</f>
        <v>0</v>
      </c>
      <c r="J106" s="18" t="n">
        <f aca="false">(ROUNDUP(F106/G106,0)*H106+F106*I106)/60</f>
        <v>1.5</v>
      </c>
      <c r="K106" s="5" t="n">
        <f aca="false">MONTH(INDEX('08_PEDIDOS'!$F$2:$F$97,MATCH(A106,'08_PEDIDOS'!$A$2:$A$97,0)))</f>
        <v>2</v>
      </c>
      <c r="L106" s="16" t="n">
        <f aca="false">J106*N(INDEX('04_MAQUINAS'!$F$2:$F$18,MATCH(E106,'04_MAQUINAS'!$A$2:$A$18,0)))</f>
        <v>39</v>
      </c>
      <c r="M106" s="17" t="n">
        <f aca="false">J106*INDEX('04_MAQUINAS'!$G$2:$G$18,MATCH(E106,'04_MAQUINAS'!$A$2:$A$18,0))*INDEX('04_MAQUINAS'!$H$2:$H$18,MATCH(E106,'04_MAQUINAS'!$A$2:$A$18,0))</f>
        <v>21.6</v>
      </c>
      <c r="N106" s="2" t="s">
        <v>629</v>
      </c>
    </row>
    <row r="107" customFormat="false" ht="15" hidden="false" customHeight="false" outlineLevel="0" collapsed="false">
      <c r="A107" s="2" t="s">
        <v>533</v>
      </c>
      <c r="B107" s="2" t="s">
        <v>80</v>
      </c>
      <c r="C107" s="4" t="n">
        <v>10</v>
      </c>
      <c r="D107" s="2" t="s">
        <v>449</v>
      </c>
      <c r="E107" s="2" t="s">
        <v>423</v>
      </c>
      <c r="F107" s="5" t="n">
        <f aca="false">INDEX('08_PEDIDOS'!$D$2:$D$97,MATCH(A107,'08_PEDIDOS'!$A$2:$A$97,0))</f>
        <v>12</v>
      </c>
      <c r="G107" s="5" t="n">
        <f aca="false">INDEX('08_PEDIDOS'!$H$2:$H$97,MATCH(A107,'08_PEDIDOS'!$A$2:$A$97,0))</f>
        <v>10</v>
      </c>
      <c r="H107" s="17" t="n">
        <f aca="false">SUMIFS('05_RUTAS'!$F$2:$F$407,'05_RUTAS'!$A$2:$A$407,B107,'05_RUTAS'!$C$2:$C$407,C107)</f>
        <v>8</v>
      </c>
      <c r="I107" s="18" t="n">
        <f aca="false">SUMIFS('05_RUTAS'!$G$2:$G$407,'05_RUTAS'!$A$2:$A$407,B107,'05_RUTAS'!$C$2:$C$407,C107)</f>
        <v>2.69</v>
      </c>
      <c r="J107" s="18" t="n">
        <f aca="false">(ROUNDUP(F107/G107,0)*H107+F107*I107)/60</f>
        <v>0.804666666666667</v>
      </c>
      <c r="K107" s="5" t="n">
        <f aca="false">MONTH(INDEX('08_PEDIDOS'!$F$2:$F$97,MATCH(A107,'08_PEDIDOS'!$A$2:$A$97,0)))</f>
        <v>2</v>
      </c>
      <c r="L107" s="16" t="n">
        <f aca="false">J107*N(INDEX('04_MAQUINAS'!$F$2:$F$18,MATCH(E107,'04_MAQUINAS'!$A$2:$A$18,0)))</f>
        <v>12.8746666666667</v>
      </c>
      <c r="M107" s="17" t="n">
        <f aca="false">J107*INDEX('04_MAQUINAS'!$G$2:$G$18,MATCH(E107,'04_MAQUINAS'!$A$2:$A$18,0))*INDEX('04_MAQUINAS'!$H$2:$H$18,MATCH(E107,'04_MAQUINAS'!$A$2:$A$18,0))</f>
        <v>0.201166666666667</v>
      </c>
      <c r="N107" s="2" t="s">
        <v>629</v>
      </c>
    </row>
    <row r="108" customFormat="false" ht="15" hidden="false" customHeight="false" outlineLevel="0" collapsed="false">
      <c r="A108" s="2" t="s">
        <v>533</v>
      </c>
      <c r="B108" s="2" t="s">
        <v>80</v>
      </c>
      <c r="C108" s="4" t="n">
        <v>11</v>
      </c>
      <c r="D108" s="2" t="s">
        <v>450</v>
      </c>
      <c r="E108" s="2" t="s">
        <v>406</v>
      </c>
      <c r="F108" s="5" t="n">
        <f aca="false">INDEX('08_PEDIDOS'!$D$2:$D$97,MATCH(A108,'08_PEDIDOS'!$A$2:$A$97,0))</f>
        <v>12</v>
      </c>
      <c r="G108" s="5" t="n">
        <f aca="false">INDEX('08_PEDIDOS'!$H$2:$H$97,MATCH(A108,'08_PEDIDOS'!$A$2:$A$97,0))</f>
        <v>10</v>
      </c>
      <c r="H108" s="17" t="n">
        <f aca="false">SUMIFS('05_RUTAS'!$F$2:$F$407,'05_RUTAS'!$A$2:$A$407,B108,'05_RUTAS'!$C$2:$C$407,C108)</f>
        <v>6</v>
      </c>
      <c r="I108" s="18" t="n">
        <f aca="false">SUMIFS('05_RUTAS'!$G$2:$G$407,'05_RUTAS'!$A$2:$A$407,B108,'05_RUTAS'!$C$2:$C$407,C108)</f>
        <v>60</v>
      </c>
      <c r="J108" s="18" t="n">
        <f aca="false">(ROUNDUP(F108/G108,0)*H108+F108*I108)/60</f>
        <v>12.2</v>
      </c>
      <c r="K108" s="5" t="n">
        <f aca="false">MONTH(INDEX('08_PEDIDOS'!$F$2:$F$97,MATCH(A108,'08_PEDIDOS'!$A$2:$A$97,0)))</f>
        <v>2</v>
      </c>
      <c r="L108" s="16" t="n">
        <f aca="false">J108*N(INDEX('04_MAQUINAS'!$F$2:$F$18,MATCH(E108,'04_MAQUINAS'!$A$2:$A$18,0)))</f>
        <v>231.8</v>
      </c>
      <c r="M108" s="17" t="n">
        <f aca="false">J108*INDEX('04_MAQUINAS'!$G$2:$G$18,MATCH(E108,'04_MAQUINAS'!$A$2:$A$18,0))*INDEX('04_MAQUINAS'!$H$2:$H$18,MATCH(E108,'04_MAQUINAS'!$A$2:$A$18,0))</f>
        <v>3.66</v>
      </c>
      <c r="N108" s="2" t="s">
        <v>629</v>
      </c>
    </row>
    <row r="109" customFormat="false" ht="15" hidden="false" customHeight="false" outlineLevel="0" collapsed="false">
      <c r="A109" s="2" t="s">
        <v>533</v>
      </c>
      <c r="B109" s="2" t="s">
        <v>80</v>
      </c>
      <c r="C109" s="4" t="n">
        <v>12</v>
      </c>
      <c r="D109" s="2" t="s">
        <v>451</v>
      </c>
      <c r="E109" s="2" t="s">
        <v>408</v>
      </c>
      <c r="F109" s="5" t="n">
        <f aca="false">INDEX('08_PEDIDOS'!$D$2:$D$97,MATCH(A109,'08_PEDIDOS'!$A$2:$A$97,0))</f>
        <v>12</v>
      </c>
      <c r="G109" s="5" t="n">
        <f aca="false">INDEX('08_PEDIDOS'!$H$2:$H$97,MATCH(A109,'08_PEDIDOS'!$A$2:$A$97,0))</f>
        <v>10</v>
      </c>
      <c r="H109" s="17" t="n">
        <f aca="false">SUMIFS('05_RUTAS'!$F$2:$F$407,'05_RUTAS'!$A$2:$A$407,B109,'05_RUTAS'!$C$2:$C$407,C109)</f>
        <v>2</v>
      </c>
      <c r="I109" s="18" t="n">
        <f aca="false">SUMIFS('05_RUTAS'!$G$2:$G$407,'05_RUTAS'!$A$2:$A$407,B109,'05_RUTAS'!$C$2:$C$407,C109)</f>
        <v>3.86</v>
      </c>
      <c r="J109" s="18" t="n">
        <f aca="false">(ROUNDUP(F109/G109,0)*H109+F109*I109)/60</f>
        <v>0.838666666666667</v>
      </c>
      <c r="K109" s="5" t="n">
        <f aca="false">MONTH(INDEX('08_PEDIDOS'!$F$2:$F$97,MATCH(A109,'08_PEDIDOS'!$A$2:$A$97,0)))</f>
        <v>2</v>
      </c>
      <c r="L109" s="16" t="n">
        <f aca="false">J109*N(INDEX('04_MAQUINAS'!$F$2:$F$18,MATCH(E109,'04_MAQUINAS'!$A$2:$A$18,0)))</f>
        <v>16.7733333333333</v>
      </c>
      <c r="M109" s="17" t="n">
        <f aca="false">J109*INDEX('04_MAQUINAS'!$G$2:$G$18,MATCH(E109,'04_MAQUINAS'!$A$2:$A$18,0))*INDEX('04_MAQUINAS'!$H$2:$H$18,MATCH(E109,'04_MAQUINAS'!$A$2:$A$18,0))</f>
        <v>0.0838666666666667</v>
      </c>
      <c r="N109" s="2" t="s">
        <v>629</v>
      </c>
    </row>
    <row r="110" customFormat="false" ht="15" hidden="false" customHeight="false" outlineLevel="0" collapsed="false">
      <c r="A110" s="2" t="s">
        <v>533</v>
      </c>
      <c r="B110" s="2" t="s">
        <v>80</v>
      </c>
      <c r="C110" s="4" t="n">
        <v>13</v>
      </c>
      <c r="D110" s="2" t="s">
        <v>452</v>
      </c>
      <c r="E110" s="2" t="s">
        <v>411</v>
      </c>
      <c r="F110" s="5" t="n">
        <f aca="false">INDEX('08_PEDIDOS'!$D$2:$D$97,MATCH(A110,'08_PEDIDOS'!$A$2:$A$97,0))</f>
        <v>12</v>
      </c>
      <c r="G110" s="5" t="n">
        <f aca="false">INDEX('08_PEDIDOS'!$H$2:$H$97,MATCH(A110,'08_PEDIDOS'!$A$2:$A$97,0))</f>
        <v>10</v>
      </c>
      <c r="H110" s="17" t="n">
        <f aca="false">SUMIFS('05_RUTAS'!$F$2:$F$407,'05_RUTAS'!$A$2:$A$407,B110,'05_RUTAS'!$C$2:$C$407,C110)</f>
        <v>2</v>
      </c>
      <c r="I110" s="18" t="n">
        <f aca="false">SUMIFS('05_RUTAS'!$G$2:$G$407,'05_RUTAS'!$A$2:$A$407,B110,'05_RUTAS'!$C$2:$C$407,C110)</f>
        <v>5.3</v>
      </c>
      <c r="J110" s="18" t="n">
        <f aca="false">(ROUNDUP(F110/G110,0)*H110+F110*I110)/60</f>
        <v>1.12666666666667</v>
      </c>
      <c r="K110" s="5" t="n">
        <f aca="false">MONTH(INDEX('08_PEDIDOS'!$F$2:$F$97,MATCH(A110,'08_PEDIDOS'!$A$2:$A$97,0)))</f>
        <v>2</v>
      </c>
      <c r="L110" s="16" t="n">
        <f aca="false">J110*N(INDEX('04_MAQUINAS'!$F$2:$F$18,MATCH(E110,'04_MAQUINAS'!$A$2:$A$18,0)))</f>
        <v>20.28</v>
      </c>
      <c r="M110" s="17" t="n">
        <f aca="false">J110*INDEX('04_MAQUINAS'!$G$2:$G$18,MATCH(E110,'04_MAQUINAS'!$A$2:$A$18,0))*INDEX('04_MAQUINAS'!$H$2:$H$18,MATCH(E110,'04_MAQUINAS'!$A$2:$A$18,0))</f>
        <v>0.1014</v>
      </c>
      <c r="N110" s="2" t="s">
        <v>629</v>
      </c>
    </row>
    <row r="111" customFormat="false" ht="15" hidden="false" customHeight="false" outlineLevel="0" collapsed="false">
      <c r="A111" s="2" t="s">
        <v>534</v>
      </c>
      <c r="B111" s="2" t="s">
        <v>83</v>
      </c>
      <c r="C111" s="4" t="n">
        <v>1</v>
      </c>
      <c r="D111" s="2" t="s">
        <v>437</v>
      </c>
      <c r="E111" s="2" t="s">
        <v>375</v>
      </c>
      <c r="F111" s="5" t="n">
        <f aca="false">INDEX('08_PEDIDOS'!$D$2:$D$97,MATCH(A111,'08_PEDIDOS'!$A$2:$A$97,0))</f>
        <v>12</v>
      </c>
      <c r="G111" s="5" t="n">
        <f aca="false">INDEX('08_PEDIDOS'!$H$2:$H$97,MATCH(A111,'08_PEDIDOS'!$A$2:$A$97,0))</f>
        <v>10</v>
      </c>
      <c r="H111" s="17" t="n">
        <f aca="false">SUMIFS('05_RUTAS'!$F$2:$F$407,'05_RUTAS'!$A$2:$A$407,B111,'05_RUTAS'!$C$2:$C$407,C111)</f>
        <v>8</v>
      </c>
      <c r="I111" s="18" t="n">
        <f aca="false">SUMIFS('05_RUTAS'!$G$2:$G$407,'05_RUTAS'!$A$2:$A$407,B111,'05_RUTAS'!$C$2:$C$407,C111)</f>
        <v>36.67</v>
      </c>
      <c r="J111" s="18" t="n">
        <f aca="false">(ROUNDUP(F111/G111,0)*H111+F111*I111)/60</f>
        <v>7.60066666666667</v>
      </c>
      <c r="K111" s="5" t="n">
        <f aca="false">MONTH(INDEX('08_PEDIDOS'!$F$2:$F$97,MATCH(A111,'08_PEDIDOS'!$A$2:$A$97,0)))</f>
        <v>2</v>
      </c>
      <c r="L111" s="16" t="n">
        <f aca="false">J111*N(INDEX('04_MAQUINAS'!$F$2:$F$18,MATCH(E111,'04_MAQUINAS'!$A$2:$A$18,0)))</f>
        <v>182.416</v>
      </c>
      <c r="M111" s="17" t="n">
        <f aca="false">J111*INDEX('04_MAQUINAS'!$G$2:$G$18,MATCH(E111,'04_MAQUINAS'!$A$2:$A$18,0))*INDEX('04_MAQUINAS'!$H$2:$H$18,MATCH(E111,'04_MAQUINAS'!$A$2:$A$18,0))</f>
        <v>20.9018333333333</v>
      </c>
      <c r="N111" s="2" t="s">
        <v>629</v>
      </c>
    </row>
    <row r="112" customFormat="false" ht="15" hidden="false" customHeight="false" outlineLevel="0" collapsed="false">
      <c r="A112" s="2" t="s">
        <v>534</v>
      </c>
      <c r="B112" s="2" t="s">
        <v>83</v>
      </c>
      <c r="C112" s="4" t="n">
        <v>2</v>
      </c>
      <c r="D112" s="2" t="s">
        <v>441</v>
      </c>
      <c r="E112" s="2" t="s">
        <v>380</v>
      </c>
      <c r="F112" s="5" t="n">
        <f aca="false">INDEX('08_PEDIDOS'!$D$2:$D$97,MATCH(A112,'08_PEDIDOS'!$A$2:$A$97,0))</f>
        <v>12</v>
      </c>
      <c r="G112" s="5" t="n">
        <f aca="false">INDEX('08_PEDIDOS'!$H$2:$H$97,MATCH(A112,'08_PEDIDOS'!$A$2:$A$97,0))</f>
        <v>10</v>
      </c>
      <c r="H112" s="17" t="n">
        <f aca="false">SUMIFS('05_RUTAS'!$F$2:$F$407,'05_RUTAS'!$A$2:$A$407,B112,'05_RUTAS'!$C$2:$C$407,C112)</f>
        <v>8</v>
      </c>
      <c r="I112" s="18" t="n">
        <f aca="false">SUMIFS('05_RUTAS'!$G$2:$G$407,'05_RUTAS'!$A$2:$A$407,B112,'05_RUTAS'!$C$2:$C$407,C112)</f>
        <v>52</v>
      </c>
      <c r="J112" s="18" t="n">
        <f aca="false">(ROUNDUP(F112/G112,0)*H112+F112*I112)/60</f>
        <v>10.6666666666667</v>
      </c>
      <c r="K112" s="5" t="n">
        <f aca="false">MONTH(INDEX('08_PEDIDOS'!$F$2:$F$97,MATCH(A112,'08_PEDIDOS'!$A$2:$A$97,0)))</f>
        <v>2</v>
      </c>
      <c r="L112" s="16" t="n">
        <f aca="false">J112*N(INDEX('04_MAQUINAS'!$F$2:$F$18,MATCH(E112,'04_MAQUINAS'!$A$2:$A$18,0)))</f>
        <v>234.666666666667</v>
      </c>
      <c r="M112" s="17" t="n">
        <f aca="false">J112*INDEX('04_MAQUINAS'!$G$2:$G$18,MATCH(E112,'04_MAQUINAS'!$A$2:$A$18,0))*INDEX('04_MAQUINAS'!$H$2:$H$18,MATCH(E112,'04_MAQUINAS'!$A$2:$A$18,0))</f>
        <v>4.8</v>
      </c>
      <c r="N112" s="2" t="s">
        <v>629</v>
      </c>
    </row>
    <row r="113" customFormat="false" ht="15" hidden="false" customHeight="false" outlineLevel="0" collapsed="false">
      <c r="A113" s="2" t="s">
        <v>534</v>
      </c>
      <c r="B113" s="2" t="s">
        <v>83</v>
      </c>
      <c r="C113" s="4" t="n">
        <v>3</v>
      </c>
      <c r="D113" s="2" t="s">
        <v>386</v>
      </c>
      <c r="E113" s="2" t="s">
        <v>383</v>
      </c>
      <c r="F113" s="5" t="n">
        <f aca="false">INDEX('08_PEDIDOS'!$D$2:$D$97,MATCH(A113,'08_PEDIDOS'!$A$2:$A$97,0))</f>
        <v>12</v>
      </c>
      <c r="G113" s="5" t="n">
        <f aca="false">INDEX('08_PEDIDOS'!$H$2:$H$97,MATCH(A113,'08_PEDIDOS'!$A$2:$A$97,0))</f>
        <v>10</v>
      </c>
      <c r="H113" s="17" t="n">
        <f aca="false">SUMIFS('05_RUTAS'!$F$2:$F$407,'05_RUTAS'!$A$2:$A$407,B113,'05_RUTAS'!$C$2:$C$407,C113)</f>
        <v>10</v>
      </c>
      <c r="I113" s="18" t="n">
        <f aca="false">SUMIFS('05_RUTAS'!$G$2:$G$407,'05_RUTAS'!$A$2:$A$407,B113,'05_RUTAS'!$C$2:$C$407,C113)</f>
        <v>82.1</v>
      </c>
      <c r="J113" s="18" t="n">
        <f aca="false">(ROUNDUP(F113/G113,0)*H113+F113*I113)/60</f>
        <v>16.7533333333333</v>
      </c>
      <c r="K113" s="5" t="n">
        <f aca="false">MONTH(INDEX('08_PEDIDOS'!$F$2:$F$97,MATCH(A113,'08_PEDIDOS'!$A$2:$A$97,0)))</f>
        <v>2</v>
      </c>
      <c r="L113" s="16" t="n">
        <f aca="false">J113*N(INDEX('04_MAQUINAS'!$F$2:$F$18,MATCH(E113,'04_MAQUINAS'!$A$2:$A$18,0)))</f>
        <v>368.573333333333</v>
      </c>
      <c r="M113" s="17" t="n">
        <f aca="false">J113*INDEX('04_MAQUINAS'!$G$2:$G$18,MATCH(E113,'04_MAQUINAS'!$A$2:$A$18,0))*INDEX('04_MAQUINAS'!$H$2:$H$18,MATCH(E113,'04_MAQUINAS'!$A$2:$A$18,0))</f>
        <v>4.60716666666667</v>
      </c>
      <c r="N113" s="2" t="s">
        <v>629</v>
      </c>
    </row>
    <row r="114" customFormat="false" ht="15" hidden="false" customHeight="false" outlineLevel="0" collapsed="false">
      <c r="A114" s="2" t="s">
        <v>534</v>
      </c>
      <c r="B114" s="2" t="s">
        <v>83</v>
      </c>
      <c r="C114" s="4" t="n">
        <v>4</v>
      </c>
      <c r="D114" s="2" t="s">
        <v>390</v>
      </c>
      <c r="E114" s="2" t="s">
        <v>387</v>
      </c>
      <c r="F114" s="5" t="n">
        <f aca="false">INDEX('08_PEDIDOS'!$D$2:$D$97,MATCH(A114,'08_PEDIDOS'!$A$2:$A$97,0))</f>
        <v>12</v>
      </c>
      <c r="G114" s="5" t="n">
        <f aca="false">INDEX('08_PEDIDOS'!$H$2:$H$97,MATCH(A114,'08_PEDIDOS'!$A$2:$A$97,0))</f>
        <v>10</v>
      </c>
      <c r="H114" s="17" t="n">
        <f aca="false">SUMIFS('05_RUTAS'!$F$2:$F$407,'05_RUTAS'!$A$2:$A$407,B114,'05_RUTAS'!$C$2:$C$407,C114)</f>
        <v>12</v>
      </c>
      <c r="I114" s="18" t="n">
        <f aca="false">SUMIFS('05_RUTAS'!$G$2:$G$407,'05_RUTAS'!$A$2:$A$407,B114,'05_RUTAS'!$C$2:$C$407,C114)</f>
        <v>69</v>
      </c>
      <c r="J114" s="18" t="n">
        <f aca="false">(ROUNDUP(F114/G114,0)*H114+F114*I114)/60</f>
        <v>14.2</v>
      </c>
      <c r="K114" s="5" t="n">
        <f aca="false">MONTH(INDEX('08_PEDIDOS'!$F$2:$F$97,MATCH(A114,'08_PEDIDOS'!$A$2:$A$97,0)))</f>
        <v>2</v>
      </c>
      <c r="L114" s="16" t="n">
        <f aca="false">J114*N(INDEX('04_MAQUINAS'!$F$2:$F$18,MATCH(E114,'04_MAQUINAS'!$A$2:$A$18,0)))</f>
        <v>397.6</v>
      </c>
      <c r="M114" s="17" t="n">
        <f aca="false">J114*INDEX('04_MAQUINAS'!$G$2:$G$18,MATCH(E114,'04_MAQUINAS'!$A$2:$A$18,0))*INDEX('04_MAQUINAS'!$H$2:$H$18,MATCH(E114,'04_MAQUINAS'!$A$2:$A$18,0))</f>
        <v>35.145</v>
      </c>
      <c r="N114" s="2" t="s">
        <v>629</v>
      </c>
    </row>
    <row r="115" customFormat="false" ht="15" hidden="false" customHeight="false" outlineLevel="0" collapsed="false">
      <c r="A115" s="2" t="s">
        <v>534</v>
      </c>
      <c r="B115" s="2" t="s">
        <v>83</v>
      </c>
      <c r="C115" s="4" t="n">
        <v>5</v>
      </c>
      <c r="D115" s="2" t="s">
        <v>442</v>
      </c>
      <c r="E115" s="2" t="s">
        <v>391</v>
      </c>
      <c r="F115" s="5" t="n">
        <f aca="false">INDEX('08_PEDIDOS'!$D$2:$D$97,MATCH(A115,'08_PEDIDOS'!$A$2:$A$97,0))</f>
        <v>12</v>
      </c>
      <c r="G115" s="5" t="n">
        <f aca="false">INDEX('08_PEDIDOS'!$H$2:$H$97,MATCH(A115,'08_PEDIDOS'!$A$2:$A$97,0))</f>
        <v>10</v>
      </c>
      <c r="H115" s="17" t="n">
        <f aca="false">SUMIFS('05_RUTAS'!$F$2:$F$407,'05_RUTAS'!$A$2:$A$407,B115,'05_RUTAS'!$C$2:$C$407,C115)</f>
        <v>10</v>
      </c>
      <c r="I115" s="18" t="n">
        <f aca="false">SUMIFS('05_RUTAS'!$G$2:$G$407,'05_RUTAS'!$A$2:$A$407,B115,'05_RUTAS'!$C$2:$C$407,C115)</f>
        <v>78.4</v>
      </c>
      <c r="J115" s="18" t="n">
        <f aca="false">(ROUNDUP(F115/G115,0)*H115+F115*I115)/60</f>
        <v>16.0133333333333</v>
      </c>
      <c r="K115" s="5" t="n">
        <f aca="false">MONTH(INDEX('08_PEDIDOS'!$F$2:$F$97,MATCH(A115,'08_PEDIDOS'!$A$2:$A$97,0)))</f>
        <v>2</v>
      </c>
      <c r="L115" s="16" t="n">
        <f aca="false">J115*N(INDEX('04_MAQUINAS'!$F$2:$F$18,MATCH(E115,'04_MAQUINAS'!$A$2:$A$18,0)))</f>
        <v>512.426666666667</v>
      </c>
      <c r="M115" s="17" t="n">
        <f aca="false">J115*INDEX('04_MAQUINAS'!$G$2:$G$18,MATCH(E115,'04_MAQUINAS'!$A$2:$A$18,0))*INDEX('04_MAQUINAS'!$H$2:$H$18,MATCH(E115,'04_MAQUINAS'!$A$2:$A$18,0))</f>
        <v>28.0233333333333</v>
      </c>
      <c r="N115" s="2" t="s">
        <v>629</v>
      </c>
    </row>
    <row r="116" customFormat="false" ht="15" hidden="false" customHeight="false" outlineLevel="0" collapsed="false">
      <c r="A116" s="2" t="s">
        <v>534</v>
      </c>
      <c r="B116" s="2" t="s">
        <v>83</v>
      </c>
      <c r="C116" s="4" t="n">
        <v>6</v>
      </c>
      <c r="D116" s="2" t="s">
        <v>443</v>
      </c>
      <c r="E116" s="2" t="s">
        <v>395</v>
      </c>
      <c r="F116" s="5" t="n">
        <f aca="false">INDEX('08_PEDIDOS'!$D$2:$D$97,MATCH(A116,'08_PEDIDOS'!$A$2:$A$97,0))</f>
        <v>12</v>
      </c>
      <c r="G116" s="5" t="n">
        <f aca="false">INDEX('08_PEDIDOS'!$H$2:$H$97,MATCH(A116,'08_PEDIDOS'!$A$2:$A$97,0))</f>
        <v>10</v>
      </c>
      <c r="H116" s="17" t="n">
        <f aca="false">SUMIFS('05_RUTAS'!$F$2:$F$407,'05_RUTAS'!$A$2:$A$407,B116,'05_RUTAS'!$C$2:$C$407,C116)</f>
        <v>3</v>
      </c>
      <c r="I116" s="18" t="n">
        <f aca="false">SUMIFS('05_RUTAS'!$G$2:$G$407,'05_RUTAS'!$A$2:$A$407,B116,'05_RUTAS'!$C$2:$C$407,C116)</f>
        <v>49.5</v>
      </c>
      <c r="J116" s="18" t="n">
        <f aca="false">(ROUNDUP(F116/G116,0)*H116+F116*I116)/60</f>
        <v>10</v>
      </c>
      <c r="K116" s="5" t="n">
        <f aca="false">MONTH(INDEX('08_PEDIDOS'!$F$2:$F$97,MATCH(A116,'08_PEDIDOS'!$A$2:$A$97,0)))</f>
        <v>2</v>
      </c>
      <c r="L116" s="16" t="n">
        <f aca="false">J116*N(INDEX('04_MAQUINAS'!$F$2:$F$18,MATCH(E116,'04_MAQUINAS'!$A$2:$A$18,0)))</f>
        <v>210</v>
      </c>
      <c r="M116" s="17" t="n">
        <f aca="false">J116*INDEX('04_MAQUINAS'!$G$2:$G$18,MATCH(E116,'04_MAQUINAS'!$A$2:$A$18,0))*INDEX('04_MAQUINAS'!$H$2:$H$18,MATCH(E116,'04_MAQUINAS'!$A$2:$A$18,0))</f>
        <v>7.5</v>
      </c>
      <c r="N116" s="2" t="s">
        <v>629</v>
      </c>
    </row>
    <row r="117" customFormat="false" ht="15" hidden="false" customHeight="false" outlineLevel="0" collapsed="false">
      <c r="A117" s="2" t="s">
        <v>534</v>
      </c>
      <c r="B117" s="2" t="s">
        <v>83</v>
      </c>
      <c r="C117" s="4" t="n">
        <v>7</v>
      </c>
      <c r="D117" s="2" t="s">
        <v>444</v>
      </c>
      <c r="E117" s="2" t="s">
        <v>399</v>
      </c>
      <c r="F117" s="5" t="n">
        <f aca="false">INDEX('08_PEDIDOS'!$D$2:$D$97,MATCH(A117,'08_PEDIDOS'!$A$2:$A$97,0))</f>
        <v>12</v>
      </c>
      <c r="G117" s="5" t="n">
        <f aca="false">INDEX('08_PEDIDOS'!$H$2:$H$97,MATCH(A117,'08_PEDIDOS'!$A$2:$A$97,0))</f>
        <v>10</v>
      </c>
      <c r="H117" s="17" t="n">
        <f aca="false">SUMIFS('05_RUTAS'!$F$2:$F$407,'05_RUTAS'!$A$2:$A$407,B117,'05_RUTAS'!$C$2:$C$407,C117)</f>
        <v>6</v>
      </c>
      <c r="I117" s="18" t="n">
        <f aca="false">SUMIFS('05_RUTAS'!$G$2:$G$407,'05_RUTAS'!$A$2:$A$407,B117,'05_RUTAS'!$C$2:$C$407,C117)</f>
        <v>32.064</v>
      </c>
      <c r="J117" s="18" t="n">
        <f aca="false">(ROUNDUP(F117/G117,0)*H117+F117*I117)/60</f>
        <v>6.6128</v>
      </c>
      <c r="K117" s="5" t="n">
        <f aca="false">MONTH(INDEX('08_PEDIDOS'!$F$2:$F$97,MATCH(A117,'08_PEDIDOS'!$A$2:$A$97,0)))</f>
        <v>2</v>
      </c>
      <c r="L117" s="16" t="n">
        <f aca="false">J117*N(INDEX('04_MAQUINAS'!$F$2:$F$18,MATCH(E117,'04_MAQUINAS'!$A$2:$A$18,0)))</f>
        <v>125.6432</v>
      </c>
      <c r="M117" s="17" t="n">
        <f aca="false">J117*INDEX('04_MAQUINAS'!$G$2:$G$18,MATCH(E117,'04_MAQUINAS'!$A$2:$A$18,0))*INDEX('04_MAQUINAS'!$H$2:$H$18,MATCH(E117,'04_MAQUINAS'!$A$2:$A$18,0))</f>
        <v>5.819264</v>
      </c>
      <c r="N117" s="2" t="s">
        <v>629</v>
      </c>
    </row>
    <row r="118" customFormat="false" ht="15" hidden="false" customHeight="false" outlineLevel="0" collapsed="false">
      <c r="A118" s="2" t="s">
        <v>534</v>
      </c>
      <c r="B118" s="2" t="s">
        <v>83</v>
      </c>
      <c r="C118" s="4" t="n">
        <v>8</v>
      </c>
      <c r="D118" s="2" t="s">
        <v>445</v>
      </c>
      <c r="E118" s="2" t="s">
        <v>402</v>
      </c>
      <c r="F118" s="5" t="n">
        <f aca="false">INDEX('08_PEDIDOS'!$D$2:$D$97,MATCH(A118,'08_PEDIDOS'!$A$2:$A$97,0))</f>
        <v>12</v>
      </c>
      <c r="G118" s="5" t="n">
        <f aca="false">INDEX('08_PEDIDOS'!$H$2:$H$97,MATCH(A118,'08_PEDIDOS'!$A$2:$A$97,0))</f>
        <v>10</v>
      </c>
      <c r="H118" s="17" t="n">
        <f aca="false">SUMIFS('05_RUTAS'!$F$2:$F$407,'05_RUTAS'!$A$2:$A$407,B118,'05_RUTAS'!$C$2:$C$407,C118)</f>
        <v>12</v>
      </c>
      <c r="I118" s="18" t="n">
        <f aca="false">SUMIFS('05_RUTAS'!$G$2:$G$407,'05_RUTAS'!$A$2:$A$407,B118,'05_RUTAS'!$C$2:$C$407,C118)</f>
        <v>8.02</v>
      </c>
      <c r="J118" s="18" t="n">
        <f aca="false">(ROUNDUP(F118/G118,0)*H118+F118*I118)/60</f>
        <v>2.004</v>
      </c>
      <c r="K118" s="5" t="n">
        <f aca="false">MONTH(INDEX('08_PEDIDOS'!$F$2:$F$97,MATCH(A118,'08_PEDIDOS'!$A$2:$A$97,0)))</f>
        <v>2</v>
      </c>
      <c r="L118" s="16" t="n">
        <f aca="false">J118*N(INDEX('04_MAQUINAS'!$F$2:$F$18,MATCH(E118,'04_MAQUINAS'!$A$2:$A$18,0)))</f>
        <v>64.128</v>
      </c>
      <c r="M118" s="17" t="n">
        <f aca="false">J118*INDEX('04_MAQUINAS'!$G$2:$G$18,MATCH(E118,'04_MAQUINAS'!$A$2:$A$18,0))*INDEX('04_MAQUINAS'!$H$2:$H$18,MATCH(E118,'04_MAQUINAS'!$A$2:$A$18,0))</f>
        <v>2.1042</v>
      </c>
      <c r="N118" s="2" t="s">
        <v>629</v>
      </c>
    </row>
    <row r="119" customFormat="false" ht="15" hidden="false" customHeight="false" outlineLevel="0" collapsed="false">
      <c r="A119" s="2" t="s">
        <v>534</v>
      </c>
      <c r="B119" s="2" t="s">
        <v>83</v>
      </c>
      <c r="C119" s="4" t="n">
        <v>9</v>
      </c>
      <c r="D119" s="2" t="s">
        <v>447</v>
      </c>
      <c r="E119" s="2" t="s">
        <v>421</v>
      </c>
      <c r="F119" s="5" t="n">
        <f aca="false">INDEX('08_PEDIDOS'!$D$2:$D$97,MATCH(A119,'08_PEDIDOS'!$A$2:$A$97,0))</f>
        <v>12</v>
      </c>
      <c r="G119" s="5" t="n">
        <f aca="false">INDEX('08_PEDIDOS'!$H$2:$H$97,MATCH(A119,'08_PEDIDOS'!$A$2:$A$97,0))</f>
        <v>10</v>
      </c>
      <c r="H119" s="17" t="n">
        <f aca="false">SUMIFS('05_RUTAS'!$F$2:$F$407,'05_RUTAS'!$A$2:$A$407,B119,'05_RUTAS'!$C$2:$C$407,C119)</f>
        <v>45</v>
      </c>
      <c r="I119" s="18" t="n">
        <f aca="false">SUMIFS('05_RUTAS'!$G$2:$G$407,'05_RUTAS'!$A$2:$A$407,B119,'05_RUTAS'!$C$2:$C$407,C119)</f>
        <v>0</v>
      </c>
      <c r="J119" s="18" t="n">
        <f aca="false">(ROUNDUP(F119/G119,0)*H119+F119*I119)/60</f>
        <v>1.5</v>
      </c>
      <c r="K119" s="5" t="n">
        <f aca="false">MONTH(INDEX('08_PEDIDOS'!$F$2:$F$97,MATCH(A119,'08_PEDIDOS'!$A$2:$A$97,0)))</f>
        <v>2</v>
      </c>
      <c r="L119" s="16" t="n">
        <f aca="false">J119*N(INDEX('04_MAQUINAS'!$F$2:$F$18,MATCH(E119,'04_MAQUINAS'!$A$2:$A$18,0)))</f>
        <v>39</v>
      </c>
      <c r="M119" s="17" t="n">
        <f aca="false">J119*INDEX('04_MAQUINAS'!$G$2:$G$18,MATCH(E119,'04_MAQUINAS'!$A$2:$A$18,0))*INDEX('04_MAQUINAS'!$H$2:$H$18,MATCH(E119,'04_MAQUINAS'!$A$2:$A$18,0))</f>
        <v>21.6</v>
      </c>
      <c r="N119" s="2" t="s">
        <v>629</v>
      </c>
    </row>
    <row r="120" customFormat="false" ht="15" hidden="false" customHeight="false" outlineLevel="0" collapsed="false">
      <c r="A120" s="2" t="s">
        <v>534</v>
      </c>
      <c r="B120" s="2" t="s">
        <v>83</v>
      </c>
      <c r="C120" s="4" t="n">
        <v>10</v>
      </c>
      <c r="D120" s="2" t="s">
        <v>449</v>
      </c>
      <c r="E120" s="2" t="s">
        <v>423</v>
      </c>
      <c r="F120" s="5" t="n">
        <f aca="false">INDEX('08_PEDIDOS'!$D$2:$D$97,MATCH(A120,'08_PEDIDOS'!$A$2:$A$97,0))</f>
        <v>12</v>
      </c>
      <c r="G120" s="5" t="n">
        <f aca="false">INDEX('08_PEDIDOS'!$H$2:$H$97,MATCH(A120,'08_PEDIDOS'!$A$2:$A$97,0))</f>
        <v>10</v>
      </c>
      <c r="H120" s="17" t="n">
        <f aca="false">SUMIFS('05_RUTAS'!$F$2:$F$407,'05_RUTAS'!$A$2:$A$407,B120,'05_RUTAS'!$C$2:$C$407,C120)</f>
        <v>8</v>
      </c>
      <c r="I120" s="18" t="n">
        <f aca="false">SUMIFS('05_RUTAS'!$G$2:$G$407,'05_RUTAS'!$A$2:$A$407,B120,'05_RUTAS'!$C$2:$C$407,C120)</f>
        <v>2.69</v>
      </c>
      <c r="J120" s="18" t="n">
        <f aca="false">(ROUNDUP(F120/G120,0)*H120+F120*I120)/60</f>
        <v>0.804666666666667</v>
      </c>
      <c r="K120" s="5" t="n">
        <f aca="false">MONTH(INDEX('08_PEDIDOS'!$F$2:$F$97,MATCH(A120,'08_PEDIDOS'!$A$2:$A$97,0)))</f>
        <v>2</v>
      </c>
      <c r="L120" s="16" t="n">
        <f aca="false">J120*N(INDEX('04_MAQUINAS'!$F$2:$F$18,MATCH(E120,'04_MAQUINAS'!$A$2:$A$18,0)))</f>
        <v>12.8746666666667</v>
      </c>
      <c r="M120" s="17" t="n">
        <f aca="false">J120*INDEX('04_MAQUINAS'!$G$2:$G$18,MATCH(E120,'04_MAQUINAS'!$A$2:$A$18,0))*INDEX('04_MAQUINAS'!$H$2:$H$18,MATCH(E120,'04_MAQUINAS'!$A$2:$A$18,0))</f>
        <v>0.201166666666667</v>
      </c>
      <c r="N120" s="2" t="s">
        <v>629</v>
      </c>
    </row>
    <row r="121" customFormat="false" ht="15" hidden="false" customHeight="false" outlineLevel="0" collapsed="false">
      <c r="A121" s="2" t="s">
        <v>534</v>
      </c>
      <c r="B121" s="2" t="s">
        <v>83</v>
      </c>
      <c r="C121" s="4" t="n">
        <v>11</v>
      </c>
      <c r="D121" s="2" t="s">
        <v>450</v>
      </c>
      <c r="E121" s="2" t="s">
        <v>406</v>
      </c>
      <c r="F121" s="5" t="n">
        <f aca="false">INDEX('08_PEDIDOS'!$D$2:$D$97,MATCH(A121,'08_PEDIDOS'!$A$2:$A$97,0))</f>
        <v>12</v>
      </c>
      <c r="G121" s="5" t="n">
        <f aca="false">INDEX('08_PEDIDOS'!$H$2:$H$97,MATCH(A121,'08_PEDIDOS'!$A$2:$A$97,0))</f>
        <v>10</v>
      </c>
      <c r="H121" s="17" t="n">
        <f aca="false">SUMIFS('05_RUTAS'!$F$2:$F$407,'05_RUTAS'!$A$2:$A$407,B121,'05_RUTAS'!$C$2:$C$407,C121)</f>
        <v>6</v>
      </c>
      <c r="I121" s="18" t="n">
        <f aca="false">SUMIFS('05_RUTAS'!$G$2:$G$407,'05_RUTAS'!$A$2:$A$407,B121,'05_RUTAS'!$C$2:$C$407,C121)</f>
        <v>62.25</v>
      </c>
      <c r="J121" s="18" t="n">
        <f aca="false">(ROUNDUP(F121/G121,0)*H121+F121*I121)/60</f>
        <v>12.65</v>
      </c>
      <c r="K121" s="5" t="n">
        <f aca="false">MONTH(INDEX('08_PEDIDOS'!$F$2:$F$97,MATCH(A121,'08_PEDIDOS'!$A$2:$A$97,0)))</f>
        <v>2</v>
      </c>
      <c r="L121" s="16" t="n">
        <f aca="false">J121*N(INDEX('04_MAQUINAS'!$F$2:$F$18,MATCH(E121,'04_MAQUINAS'!$A$2:$A$18,0)))</f>
        <v>240.35</v>
      </c>
      <c r="M121" s="17" t="n">
        <f aca="false">J121*INDEX('04_MAQUINAS'!$G$2:$G$18,MATCH(E121,'04_MAQUINAS'!$A$2:$A$18,0))*INDEX('04_MAQUINAS'!$H$2:$H$18,MATCH(E121,'04_MAQUINAS'!$A$2:$A$18,0))</f>
        <v>3.795</v>
      </c>
      <c r="N121" s="2" t="s">
        <v>629</v>
      </c>
    </row>
    <row r="122" customFormat="false" ht="15" hidden="false" customHeight="false" outlineLevel="0" collapsed="false">
      <c r="A122" s="2" t="s">
        <v>534</v>
      </c>
      <c r="B122" s="2" t="s">
        <v>83</v>
      </c>
      <c r="C122" s="4" t="n">
        <v>12</v>
      </c>
      <c r="D122" s="2" t="s">
        <v>451</v>
      </c>
      <c r="E122" s="2" t="s">
        <v>408</v>
      </c>
      <c r="F122" s="5" t="n">
        <f aca="false">INDEX('08_PEDIDOS'!$D$2:$D$97,MATCH(A122,'08_PEDIDOS'!$A$2:$A$97,0))</f>
        <v>12</v>
      </c>
      <c r="G122" s="5" t="n">
        <f aca="false">INDEX('08_PEDIDOS'!$H$2:$H$97,MATCH(A122,'08_PEDIDOS'!$A$2:$A$97,0))</f>
        <v>10</v>
      </c>
      <c r="H122" s="17" t="n">
        <f aca="false">SUMIFS('05_RUTAS'!$F$2:$F$407,'05_RUTAS'!$A$2:$A$407,B122,'05_RUTAS'!$C$2:$C$407,C122)</f>
        <v>2</v>
      </c>
      <c r="I122" s="18" t="n">
        <f aca="false">SUMIFS('05_RUTAS'!$G$2:$G$407,'05_RUTAS'!$A$2:$A$407,B122,'05_RUTAS'!$C$2:$C$407,C122)</f>
        <v>3.86</v>
      </c>
      <c r="J122" s="18" t="n">
        <f aca="false">(ROUNDUP(F122/G122,0)*H122+F122*I122)/60</f>
        <v>0.838666666666667</v>
      </c>
      <c r="K122" s="5" t="n">
        <f aca="false">MONTH(INDEX('08_PEDIDOS'!$F$2:$F$97,MATCH(A122,'08_PEDIDOS'!$A$2:$A$97,0)))</f>
        <v>2</v>
      </c>
      <c r="L122" s="16" t="n">
        <f aca="false">J122*N(INDEX('04_MAQUINAS'!$F$2:$F$18,MATCH(E122,'04_MAQUINAS'!$A$2:$A$18,0)))</f>
        <v>16.7733333333333</v>
      </c>
      <c r="M122" s="17" t="n">
        <f aca="false">J122*INDEX('04_MAQUINAS'!$G$2:$G$18,MATCH(E122,'04_MAQUINAS'!$A$2:$A$18,0))*INDEX('04_MAQUINAS'!$H$2:$H$18,MATCH(E122,'04_MAQUINAS'!$A$2:$A$18,0))</f>
        <v>0.0838666666666667</v>
      </c>
      <c r="N122" s="2" t="s">
        <v>629</v>
      </c>
    </row>
    <row r="123" customFormat="false" ht="15" hidden="false" customHeight="false" outlineLevel="0" collapsed="false">
      <c r="A123" s="2" t="s">
        <v>534</v>
      </c>
      <c r="B123" s="2" t="s">
        <v>83</v>
      </c>
      <c r="C123" s="4" t="n">
        <v>13</v>
      </c>
      <c r="D123" s="2" t="s">
        <v>452</v>
      </c>
      <c r="E123" s="2" t="s">
        <v>411</v>
      </c>
      <c r="F123" s="5" t="n">
        <f aca="false">INDEX('08_PEDIDOS'!$D$2:$D$97,MATCH(A123,'08_PEDIDOS'!$A$2:$A$97,0))</f>
        <v>12</v>
      </c>
      <c r="G123" s="5" t="n">
        <f aca="false">INDEX('08_PEDIDOS'!$H$2:$H$97,MATCH(A123,'08_PEDIDOS'!$A$2:$A$97,0))</f>
        <v>10</v>
      </c>
      <c r="H123" s="17" t="n">
        <f aca="false">SUMIFS('05_RUTAS'!$F$2:$F$407,'05_RUTAS'!$A$2:$A$407,B123,'05_RUTAS'!$C$2:$C$407,C123)</f>
        <v>2</v>
      </c>
      <c r="I123" s="18" t="n">
        <f aca="false">SUMIFS('05_RUTAS'!$G$2:$G$407,'05_RUTAS'!$A$2:$A$407,B123,'05_RUTAS'!$C$2:$C$407,C123)</f>
        <v>5.3</v>
      </c>
      <c r="J123" s="18" t="n">
        <f aca="false">(ROUNDUP(F123/G123,0)*H123+F123*I123)/60</f>
        <v>1.12666666666667</v>
      </c>
      <c r="K123" s="5" t="n">
        <f aca="false">MONTH(INDEX('08_PEDIDOS'!$F$2:$F$97,MATCH(A123,'08_PEDIDOS'!$A$2:$A$97,0)))</f>
        <v>2</v>
      </c>
      <c r="L123" s="16" t="n">
        <f aca="false">J123*N(INDEX('04_MAQUINAS'!$F$2:$F$18,MATCH(E123,'04_MAQUINAS'!$A$2:$A$18,0)))</f>
        <v>20.28</v>
      </c>
      <c r="M123" s="17" t="n">
        <f aca="false">J123*INDEX('04_MAQUINAS'!$G$2:$G$18,MATCH(E123,'04_MAQUINAS'!$A$2:$A$18,0))*INDEX('04_MAQUINAS'!$H$2:$H$18,MATCH(E123,'04_MAQUINAS'!$A$2:$A$18,0))</f>
        <v>0.1014</v>
      </c>
      <c r="N123" s="2" t="s">
        <v>629</v>
      </c>
    </row>
    <row r="124" customFormat="false" ht="15" hidden="false" customHeight="false" outlineLevel="0" collapsed="false">
      <c r="A124" s="2" t="s">
        <v>535</v>
      </c>
      <c r="B124" s="2" t="s">
        <v>94</v>
      </c>
      <c r="C124" s="4" t="n">
        <v>1</v>
      </c>
      <c r="D124" s="2" t="s">
        <v>437</v>
      </c>
      <c r="E124" s="2" t="s">
        <v>375</v>
      </c>
      <c r="F124" s="5" t="n">
        <f aca="false">INDEX('08_PEDIDOS'!$D$2:$D$97,MATCH(A124,'08_PEDIDOS'!$A$2:$A$97,0))</f>
        <v>7</v>
      </c>
      <c r="G124" s="5" t="n">
        <f aca="false">INDEX('08_PEDIDOS'!$H$2:$H$97,MATCH(A124,'08_PEDIDOS'!$A$2:$A$97,0))</f>
        <v>10</v>
      </c>
      <c r="H124" s="17" t="n">
        <f aca="false">SUMIFS('05_RUTAS'!$F$2:$F$407,'05_RUTAS'!$A$2:$A$407,B124,'05_RUTAS'!$C$2:$C$407,C124)</f>
        <v>8</v>
      </c>
      <c r="I124" s="18" t="n">
        <f aca="false">SUMIFS('05_RUTAS'!$G$2:$G$407,'05_RUTAS'!$A$2:$A$407,B124,'05_RUTAS'!$C$2:$C$407,C124)</f>
        <v>90.38</v>
      </c>
      <c r="J124" s="18" t="n">
        <f aca="false">(ROUNDUP(F124/G124,0)*H124+F124*I124)/60</f>
        <v>10.6776666666667</v>
      </c>
      <c r="K124" s="5" t="n">
        <f aca="false">MONTH(INDEX('08_PEDIDOS'!$F$2:$F$97,MATCH(A124,'08_PEDIDOS'!$A$2:$A$97,0)))</f>
        <v>2</v>
      </c>
      <c r="L124" s="16" t="n">
        <f aca="false">J124*N(INDEX('04_MAQUINAS'!$F$2:$F$18,MATCH(E124,'04_MAQUINAS'!$A$2:$A$18,0)))</f>
        <v>256.264</v>
      </c>
      <c r="M124" s="17" t="n">
        <f aca="false">J124*INDEX('04_MAQUINAS'!$G$2:$G$18,MATCH(E124,'04_MAQUINAS'!$A$2:$A$18,0))*INDEX('04_MAQUINAS'!$H$2:$H$18,MATCH(E124,'04_MAQUINAS'!$A$2:$A$18,0))</f>
        <v>29.3635833333333</v>
      </c>
      <c r="N124" s="2" t="s">
        <v>629</v>
      </c>
    </row>
    <row r="125" customFormat="false" ht="15" hidden="false" customHeight="false" outlineLevel="0" collapsed="false">
      <c r="A125" s="2" t="s">
        <v>535</v>
      </c>
      <c r="B125" s="2" t="s">
        <v>94</v>
      </c>
      <c r="C125" s="4" t="n">
        <v>2</v>
      </c>
      <c r="D125" s="2" t="s">
        <v>441</v>
      </c>
      <c r="E125" s="2" t="s">
        <v>380</v>
      </c>
      <c r="F125" s="5" t="n">
        <f aca="false">INDEX('08_PEDIDOS'!$D$2:$D$97,MATCH(A125,'08_PEDIDOS'!$A$2:$A$97,0))</f>
        <v>7</v>
      </c>
      <c r="G125" s="5" t="n">
        <f aca="false">INDEX('08_PEDIDOS'!$H$2:$H$97,MATCH(A125,'08_PEDIDOS'!$A$2:$A$97,0))</f>
        <v>10</v>
      </c>
      <c r="H125" s="17" t="n">
        <f aca="false">SUMIFS('05_RUTAS'!$F$2:$F$407,'05_RUTAS'!$A$2:$A$407,B125,'05_RUTAS'!$C$2:$C$407,C125)</f>
        <v>8</v>
      </c>
      <c r="I125" s="18" t="n">
        <f aca="false">SUMIFS('05_RUTAS'!$G$2:$G$407,'05_RUTAS'!$A$2:$A$407,B125,'05_RUTAS'!$C$2:$C$407,C125)</f>
        <v>5.98</v>
      </c>
      <c r="J125" s="18" t="n">
        <f aca="false">(ROUNDUP(F125/G125,0)*H125+F125*I125)/60</f>
        <v>0.831</v>
      </c>
      <c r="K125" s="5" t="n">
        <f aca="false">MONTH(INDEX('08_PEDIDOS'!$F$2:$F$97,MATCH(A125,'08_PEDIDOS'!$A$2:$A$97,0)))</f>
        <v>2</v>
      </c>
      <c r="L125" s="16" t="n">
        <f aca="false">J125*N(INDEX('04_MAQUINAS'!$F$2:$F$18,MATCH(E125,'04_MAQUINAS'!$A$2:$A$18,0)))</f>
        <v>18.282</v>
      </c>
      <c r="M125" s="17" t="n">
        <f aca="false">J125*INDEX('04_MAQUINAS'!$G$2:$G$18,MATCH(E125,'04_MAQUINAS'!$A$2:$A$18,0))*INDEX('04_MAQUINAS'!$H$2:$H$18,MATCH(E125,'04_MAQUINAS'!$A$2:$A$18,0))</f>
        <v>0.37395</v>
      </c>
      <c r="N125" s="2" t="s">
        <v>629</v>
      </c>
    </row>
    <row r="126" customFormat="false" ht="15" hidden="false" customHeight="false" outlineLevel="0" collapsed="false">
      <c r="A126" s="2" t="s">
        <v>535</v>
      </c>
      <c r="B126" s="2" t="s">
        <v>94</v>
      </c>
      <c r="C126" s="4" t="n">
        <v>3</v>
      </c>
      <c r="D126" s="2" t="s">
        <v>386</v>
      </c>
      <c r="E126" s="2" t="s">
        <v>383</v>
      </c>
      <c r="F126" s="5" t="n">
        <f aca="false">INDEX('08_PEDIDOS'!$D$2:$D$97,MATCH(A126,'08_PEDIDOS'!$A$2:$A$97,0))</f>
        <v>7</v>
      </c>
      <c r="G126" s="5" t="n">
        <f aca="false">INDEX('08_PEDIDOS'!$H$2:$H$97,MATCH(A126,'08_PEDIDOS'!$A$2:$A$97,0))</f>
        <v>10</v>
      </c>
      <c r="H126" s="17" t="n">
        <f aca="false">SUMIFS('05_RUTAS'!$F$2:$F$407,'05_RUTAS'!$A$2:$A$407,B126,'05_RUTAS'!$C$2:$C$407,C126)</f>
        <v>10</v>
      </c>
      <c r="I126" s="18" t="n">
        <f aca="false">SUMIFS('05_RUTAS'!$G$2:$G$407,'05_RUTAS'!$A$2:$A$407,B126,'05_RUTAS'!$C$2:$C$407,C126)</f>
        <v>97</v>
      </c>
      <c r="J126" s="18" t="n">
        <f aca="false">(ROUNDUP(F126/G126,0)*H126+F126*I126)/60</f>
        <v>11.4833333333333</v>
      </c>
      <c r="K126" s="5" t="n">
        <f aca="false">MONTH(INDEX('08_PEDIDOS'!$F$2:$F$97,MATCH(A126,'08_PEDIDOS'!$A$2:$A$97,0)))</f>
        <v>2</v>
      </c>
      <c r="L126" s="16" t="n">
        <f aca="false">J126*N(INDEX('04_MAQUINAS'!$F$2:$F$18,MATCH(E126,'04_MAQUINAS'!$A$2:$A$18,0)))</f>
        <v>252.633333333333</v>
      </c>
      <c r="M126" s="17" t="n">
        <f aca="false">J126*INDEX('04_MAQUINAS'!$G$2:$G$18,MATCH(E126,'04_MAQUINAS'!$A$2:$A$18,0))*INDEX('04_MAQUINAS'!$H$2:$H$18,MATCH(E126,'04_MAQUINAS'!$A$2:$A$18,0))</f>
        <v>3.15791666666667</v>
      </c>
      <c r="N126" s="2" t="s">
        <v>629</v>
      </c>
    </row>
    <row r="127" customFormat="false" ht="15" hidden="false" customHeight="false" outlineLevel="0" collapsed="false">
      <c r="A127" s="2" t="s">
        <v>535</v>
      </c>
      <c r="B127" s="2" t="s">
        <v>94</v>
      </c>
      <c r="C127" s="4" t="n">
        <v>4</v>
      </c>
      <c r="D127" s="2" t="s">
        <v>390</v>
      </c>
      <c r="E127" s="2" t="s">
        <v>387</v>
      </c>
      <c r="F127" s="5" t="n">
        <f aca="false">INDEX('08_PEDIDOS'!$D$2:$D$97,MATCH(A127,'08_PEDIDOS'!$A$2:$A$97,0))</f>
        <v>7</v>
      </c>
      <c r="G127" s="5" t="n">
        <f aca="false">INDEX('08_PEDIDOS'!$H$2:$H$97,MATCH(A127,'08_PEDIDOS'!$A$2:$A$97,0))</f>
        <v>10</v>
      </c>
      <c r="H127" s="17" t="n">
        <f aca="false">SUMIFS('05_RUTAS'!$F$2:$F$407,'05_RUTAS'!$A$2:$A$407,B127,'05_RUTAS'!$C$2:$C$407,C127)</f>
        <v>12</v>
      </c>
      <c r="I127" s="18" t="n">
        <f aca="false">SUMIFS('05_RUTAS'!$G$2:$G$407,'05_RUTAS'!$A$2:$A$407,B127,'05_RUTAS'!$C$2:$C$407,C127)</f>
        <v>196</v>
      </c>
      <c r="J127" s="18" t="n">
        <f aca="false">(ROUNDUP(F127/G127,0)*H127+F127*I127)/60</f>
        <v>23.0666666666667</v>
      </c>
      <c r="K127" s="5" t="n">
        <f aca="false">MONTH(INDEX('08_PEDIDOS'!$F$2:$F$97,MATCH(A127,'08_PEDIDOS'!$A$2:$A$97,0)))</f>
        <v>2</v>
      </c>
      <c r="L127" s="16" t="n">
        <f aca="false">J127*N(INDEX('04_MAQUINAS'!$F$2:$F$18,MATCH(E127,'04_MAQUINAS'!$A$2:$A$18,0)))</f>
        <v>645.866666666667</v>
      </c>
      <c r="M127" s="17" t="n">
        <f aca="false">J127*INDEX('04_MAQUINAS'!$G$2:$G$18,MATCH(E127,'04_MAQUINAS'!$A$2:$A$18,0))*INDEX('04_MAQUINAS'!$H$2:$H$18,MATCH(E127,'04_MAQUINAS'!$A$2:$A$18,0))</f>
        <v>57.09</v>
      </c>
      <c r="N127" s="2" t="s">
        <v>629</v>
      </c>
    </row>
    <row r="128" customFormat="false" ht="15" hidden="false" customHeight="false" outlineLevel="0" collapsed="false">
      <c r="A128" s="2" t="s">
        <v>535</v>
      </c>
      <c r="B128" s="2" t="s">
        <v>94</v>
      </c>
      <c r="C128" s="4" t="n">
        <v>5</v>
      </c>
      <c r="D128" s="2" t="s">
        <v>443</v>
      </c>
      <c r="E128" s="2" t="s">
        <v>395</v>
      </c>
      <c r="F128" s="5" t="n">
        <f aca="false">INDEX('08_PEDIDOS'!$D$2:$D$97,MATCH(A128,'08_PEDIDOS'!$A$2:$A$97,0))</f>
        <v>7</v>
      </c>
      <c r="G128" s="5" t="n">
        <f aca="false">INDEX('08_PEDIDOS'!$H$2:$H$97,MATCH(A128,'08_PEDIDOS'!$A$2:$A$97,0))</f>
        <v>10</v>
      </c>
      <c r="H128" s="17" t="n">
        <f aca="false">SUMIFS('05_RUTAS'!$F$2:$F$407,'05_RUTAS'!$A$2:$A$407,B128,'05_RUTAS'!$C$2:$C$407,C128)</f>
        <v>3</v>
      </c>
      <c r="I128" s="18" t="n">
        <f aca="false">SUMIFS('05_RUTAS'!$G$2:$G$407,'05_RUTAS'!$A$2:$A$407,B128,'05_RUTAS'!$C$2:$C$407,C128)</f>
        <v>51</v>
      </c>
      <c r="J128" s="18" t="n">
        <f aca="false">(ROUNDUP(F128/G128,0)*H128+F128*I128)/60</f>
        <v>6</v>
      </c>
      <c r="K128" s="5" t="n">
        <f aca="false">MONTH(INDEX('08_PEDIDOS'!$F$2:$F$97,MATCH(A128,'08_PEDIDOS'!$A$2:$A$97,0)))</f>
        <v>2</v>
      </c>
      <c r="L128" s="16" t="n">
        <f aca="false">J128*N(INDEX('04_MAQUINAS'!$F$2:$F$18,MATCH(E128,'04_MAQUINAS'!$A$2:$A$18,0)))</f>
        <v>126</v>
      </c>
      <c r="M128" s="17" t="n">
        <f aca="false">J128*INDEX('04_MAQUINAS'!$G$2:$G$18,MATCH(E128,'04_MAQUINAS'!$A$2:$A$18,0))*INDEX('04_MAQUINAS'!$H$2:$H$18,MATCH(E128,'04_MAQUINAS'!$A$2:$A$18,0))</f>
        <v>4.5</v>
      </c>
      <c r="N128" s="2" t="s">
        <v>629</v>
      </c>
    </row>
    <row r="129" customFormat="false" ht="15" hidden="false" customHeight="false" outlineLevel="0" collapsed="false">
      <c r="A129" s="2" t="s">
        <v>535</v>
      </c>
      <c r="B129" s="2" t="s">
        <v>94</v>
      </c>
      <c r="C129" s="4" t="n">
        <v>6</v>
      </c>
      <c r="D129" s="2" t="s">
        <v>444</v>
      </c>
      <c r="E129" s="2" t="s">
        <v>399</v>
      </c>
      <c r="F129" s="5" t="n">
        <f aca="false">INDEX('08_PEDIDOS'!$D$2:$D$97,MATCH(A129,'08_PEDIDOS'!$A$2:$A$97,0))</f>
        <v>7</v>
      </c>
      <c r="G129" s="5" t="n">
        <f aca="false">INDEX('08_PEDIDOS'!$H$2:$H$97,MATCH(A129,'08_PEDIDOS'!$A$2:$A$97,0))</f>
        <v>10</v>
      </c>
      <c r="H129" s="17" t="n">
        <f aca="false">SUMIFS('05_RUTAS'!$F$2:$F$407,'05_RUTAS'!$A$2:$A$407,B129,'05_RUTAS'!$C$2:$C$407,C129)</f>
        <v>6</v>
      </c>
      <c r="I129" s="18" t="n">
        <f aca="false">SUMIFS('05_RUTAS'!$G$2:$G$407,'05_RUTAS'!$A$2:$A$407,B129,'05_RUTAS'!$C$2:$C$407,C129)</f>
        <v>40.5152</v>
      </c>
      <c r="J129" s="18" t="n">
        <f aca="false">(ROUNDUP(F129/G129,0)*H129+F129*I129)/60</f>
        <v>4.82677333333333</v>
      </c>
      <c r="K129" s="5" t="n">
        <f aca="false">MONTH(INDEX('08_PEDIDOS'!$F$2:$F$97,MATCH(A129,'08_PEDIDOS'!$A$2:$A$97,0)))</f>
        <v>2</v>
      </c>
      <c r="L129" s="16" t="n">
        <f aca="false">J129*N(INDEX('04_MAQUINAS'!$F$2:$F$18,MATCH(E129,'04_MAQUINAS'!$A$2:$A$18,0)))</f>
        <v>91.7086933333333</v>
      </c>
      <c r="M129" s="17" t="n">
        <f aca="false">J129*INDEX('04_MAQUINAS'!$G$2:$G$18,MATCH(E129,'04_MAQUINAS'!$A$2:$A$18,0))*INDEX('04_MAQUINAS'!$H$2:$H$18,MATCH(E129,'04_MAQUINAS'!$A$2:$A$18,0))</f>
        <v>4.24756053333333</v>
      </c>
      <c r="N129" s="2" t="s">
        <v>629</v>
      </c>
    </row>
    <row r="130" customFormat="false" ht="15" hidden="false" customHeight="false" outlineLevel="0" collapsed="false">
      <c r="A130" s="2" t="s">
        <v>535</v>
      </c>
      <c r="B130" s="2" t="s">
        <v>94</v>
      </c>
      <c r="C130" s="4" t="n">
        <v>7</v>
      </c>
      <c r="D130" s="2" t="s">
        <v>445</v>
      </c>
      <c r="E130" s="2" t="s">
        <v>402</v>
      </c>
      <c r="F130" s="5" t="n">
        <f aca="false">INDEX('08_PEDIDOS'!$D$2:$D$97,MATCH(A130,'08_PEDIDOS'!$A$2:$A$97,0))</f>
        <v>7</v>
      </c>
      <c r="G130" s="5" t="n">
        <f aca="false">INDEX('08_PEDIDOS'!$H$2:$H$97,MATCH(A130,'08_PEDIDOS'!$A$2:$A$97,0))</f>
        <v>10</v>
      </c>
      <c r="H130" s="17" t="n">
        <f aca="false">SUMIFS('05_RUTAS'!$F$2:$F$407,'05_RUTAS'!$A$2:$A$407,B130,'05_RUTAS'!$C$2:$C$407,C130)</f>
        <v>12</v>
      </c>
      <c r="I130" s="18" t="n">
        <f aca="false">SUMIFS('05_RUTAS'!$G$2:$G$407,'05_RUTAS'!$A$2:$A$407,B130,'05_RUTAS'!$C$2:$C$407,C130)</f>
        <v>7.76</v>
      </c>
      <c r="J130" s="18" t="n">
        <f aca="false">(ROUNDUP(F130/G130,0)*H130+F130*I130)/60</f>
        <v>1.10533333333333</v>
      </c>
      <c r="K130" s="5" t="n">
        <f aca="false">MONTH(INDEX('08_PEDIDOS'!$F$2:$F$97,MATCH(A130,'08_PEDIDOS'!$A$2:$A$97,0)))</f>
        <v>2</v>
      </c>
      <c r="L130" s="16" t="n">
        <f aca="false">J130*N(INDEX('04_MAQUINAS'!$F$2:$F$18,MATCH(E130,'04_MAQUINAS'!$A$2:$A$18,0)))</f>
        <v>35.3706666666667</v>
      </c>
      <c r="M130" s="17" t="n">
        <f aca="false">J130*INDEX('04_MAQUINAS'!$G$2:$G$18,MATCH(E130,'04_MAQUINAS'!$A$2:$A$18,0))*INDEX('04_MAQUINAS'!$H$2:$H$18,MATCH(E130,'04_MAQUINAS'!$A$2:$A$18,0))</f>
        <v>1.1606</v>
      </c>
      <c r="N130" s="2" t="s">
        <v>629</v>
      </c>
    </row>
    <row r="131" customFormat="false" ht="15" hidden="false" customHeight="false" outlineLevel="0" collapsed="false">
      <c r="A131" s="2" t="s">
        <v>535</v>
      </c>
      <c r="B131" s="2" t="s">
        <v>94</v>
      </c>
      <c r="C131" s="4" t="n">
        <v>8</v>
      </c>
      <c r="D131" s="2" t="s">
        <v>447</v>
      </c>
      <c r="E131" s="2" t="s">
        <v>421</v>
      </c>
      <c r="F131" s="5" t="n">
        <f aca="false">INDEX('08_PEDIDOS'!$D$2:$D$97,MATCH(A131,'08_PEDIDOS'!$A$2:$A$97,0))</f>
        <v>7</v>
      </c>
      <c r="G131" s="5" t="n">
        <f aca="false">INDEX('08_PEDIDOS'!$H$2:$H$97,MATCH(A131,'08_PEDIDOS'!$A$2:$A$97,0))</f>
        <v>10</v>
      </c>
      <c r="H131" s="17" t="n">
        <f aca="false">SUMIFS('05_RUTAS'!$F$2:$F$407,'05_RUTAS'!$A$2:$A$407,B131,'05_RUTAS'!$C$2:$C$407,C131)</f>
        <v>45</v>
      </c>
      <c r="I131" s="18" t="n">
        <f aca="false">SUMIFS('05_RUTAS'!$G$2:$G$407,'05_RUTAS'!$A$2:$A$407,B131,'05_RUTAS'!$C$2:$C$407,C131)</f>
        <v>0</v>
      </c>
      <c r="J131" s="18" t="n">
        <f aca="false">(ROUNDUP(F131/G131,0)*H131+F131*I131)/60</f>
        <v>0.75</v>
      </c>
      <c r="K131" s="5" t="n">
        <f aca="false">MONTH(INDEX('08_PEDIDOS'!$F$2:$F$97,MATCH(A131,'08_PEDIDOS'!$A$2:$A$97,0)))</f>
        <v>2</v>
      </c>
      <c r="L131" s="16" t="n">
        <f aca="false">J131*N(INDEX('04_MAQUINAS'!$F$2:$F$18,MATCH(E131,'04_MAQUINAS'!$A$2:$A$18,0)))</f>
        <v>19.5</v>
      </c>
      <c r="M131" s="17" t="n">
        <f aca="false">J131*INDEX('04_MAQUINAS'!$G$2:$G$18,MATCH(E131,'04_MAQUINAS'!$A$2:$A$18,0))*INDEX('04_MAQUINAS'!$H$2:$H$18,MATCH(E131,'04_MAQUINAS'!$A$2:$A$18,0))</f>
        <v>10.8</v>
      </c>
      <c r="N131" s="2" t="s">
        <v>629</v>
      </c>
    </row>
    <row r="132" customFormat="false" ht="15" hidden="false" customHeight="false" outlineLevel="0" collapsed="false">
      <c r="A132" s="2" t="s">
        <v>535</v>
      </c>
      <c r="B132" s="2" t="s">
        <v>94</v>
      </c>
      <c r="C132" s="4" t="n">
        <v>9</v>
      </c>
      <c r="D132" s="2" t="s">
        <v>449</v>
      </c>
      <c r="E132" s="2" t="s">
        <v>423</v>
      </c>
      <c r="F132" s="5" t="n">
        <f aca="false">INDEX('08_PEDIDOS'!$D$2:$D$97,MATCH(A132,'08_PEDIDOS'!$A$2:$A$97,0))</f>
        <v>7</v>
      </c>
      <c r="G132" s="5" t="n">
        <f aca="false">INDEX('08_PEDIDOS'!$H$2:$H$97,MATCH(A132,'08_PEDIDOS'!$A$2:$A$97,0))</f>
        <v>10</v>
      </c>
      <c r="H132" s="17" t="n">
        <f aca="false">SUMIFS('05_RUTAS'!$F$2:$F$407,'05_RUTAS'!$A$2:$A$407,B132,'05_RUTAS'!$C$2:$C$407,C132)</f>
        <v>8</v>
      </c>
      <c r="I132" s="18" t="n">
        <f aca="false">SUMIFS('05_RUTAS'!$G$2:$G$407,'05_RUTAS'!$A$2:$A$407,B132,'05_RUTAS'!$C$2:$C$407,C132)</f>
        <v>2.63</v>
      </c>
      <c r="J132" s="18" t="n">
        <f aca="false">(ROUNDUP(F132/G132,0)*H132+F132*I132)/60</f>
        <v>0.440166666666667</v>
      </c>
      <c r="K132" s="5" t="n">
        <f aca="false">MONTH(INDEX('08_PEDIDOS'!$F$2:$F$97,MATCH(A132,'08_PEDIDOS'!$A$2:$A$97,0)))</f>
        <v>2</v>
      </c>
      <c r="L132" s="16" t="n">
        <f aca="false">J132*N(INDEX('04_MAQUINAS'!$F$2:$F$18,MATCH(E132,'04_MAQUINAS'!$A$2:$A$18,0)))</f>
        <v>7.04266666666667</v>
      </c>
      <c r="M132" s="17" t="n">
        <f aca="false">J132*INDEX('04_MAQUINAS'!$G$2:$G$18,MATCH(E132,'04_MAQUINAS'!$A$2:$A$18,0))*INDEX('04_MAQUINAS'!$H$2:$H$18,MATCH(E132,'04_MAQUINAS'!$A$2:$A$18,0))</f>
        <v>0.110041666666667</v>
      </c>
      <c r="N132" s="2" t="s">
        <v>629</v>
      </c>
    </row>
    <row r="133" customFormat="false" ht="15" hidden="false" customHeight="false" outlineLevel="0" collapsed="false">
      <c r="A133" s="2" t="s">
        <v>535</v>
      </c>
      <c r="B133" s="2" t="s">
        <v>94</v>
      </c>
      <c r="C133" s="4" t="n">
        <v>10</v>
      </c>
      <c r="D133" s="2" t="s">
        <v>450</v>
      </c>
      <c r="E133" s="2" t="s">
        <v>406</v>
      </c>
      <c r="F133" s="5" t="n">
        <f aca="false">INDEX('08_PEDIDOS'!$D$2:$D$97,MATCH(A133,'08_PEDIDOS'!$A$2:$A$97,0))</f>
        <v>7</v>
      </c>
      <c r="G133" s="5" t="n">
        <f aca="false">INDEX('08_PEDIDOS'!$H$2:$H$97,MATCH(A133,'08_PEDIDOS'!$A$2:$A$97,0))</f>
        <v>10</v>
      </c>
      <c r="H133" s="17" t="n">
        <f aca="false">SUMIFS('05_RUTAS'!$F$2:$F$407,'05_RUTAS'!$A$2:$A$407,B133,'05_RUTAS'!$C$2:$C$407,C133)</f>
        <v>6</v>
      </c>
      <c r="I133" s="18" t="n">
        <f aca="false">SUMIFS('05_RUTAS'!$G$2:$G$407,'05_RUTAS'!$A$2:$A$407,B133,'05_RUTAS'!$C$2:$C$407,C133)</f>
        <v>69</v>
      </c>
      <c r="J133" s="18" t="n">
        <f aca="false">(ROUNDUP(F133/G133,0)*H133+F133*I133)/60</f>
        <v>8.15</v>
      </c>
      <c r="K133" s="5" t="n">
        <f aca="false">MONTH(INDEX('08_PEDIDOS'!$F$2:$F$97,MATCH(A133,'08_PEDIDOS'!$A$2:$A$97,0)))</f>
        <v>2</v>
      </c>
      <c r="L133" s="16" t="n">
        <f aca="false">J133*N(INDEX('04_MAQUINAS'!$F$2:$F$18,MATCH(E133,'04_MAQUINAS'!$A$2:$A$18,0)))</f>
        <v>154.85</v>
      </c>
      <c r="M133" s="17" t="n">
        <f aca="false">J133*INDEX('04_MAQUINAS'!$G$2:$G$18,MATCH(E133,'04_MAQUINAS'!$A$2:$A$18,0))*INDEX('04_MAQUINAS'!$H$2:$H$18,MATCH(E133,'04_MAQUINAS'!$A$2:$A$18,0))</f>
        <v>2.445</v>
      </c>
      <c r="N133" s="2" t="s">
        <v>629</v>
      </c>
    </row>
    <row r="134" customFormat="false" ht="15" hidden="false" customHeight="false" outlineLevel="0" collapsed="false">
      <c r="A134" s="2" t="s">
        <v>535</v>
      </c>
      <c r="B134" s="2" t="s">
        <v>94</v>
      </c>
      <c r="C134" s="4" t="n">
        <v>11</v>
      </c>
      <c r="D134" s="2" t="s">
        <v>451</v>
      </c>
      <c r="E134" s="2" t="s">
        <v>408</v>
      </c>
      <c r="F134" s="5" t="n">
        <f aca="false">INDEX('08_PEDIDOS'!$D$2:$D$97,MATCH(A134,'08_PEDIDOS'!$A$2:$A$97,0))</f>
        <v>7</v>
      </c>
      <c r="G134" s="5" t="n">
        <f aca="false">INDEX('08_PEDIDOS'!$H$2:$H$97,MATCH(A134,'08_PEDIDOS'!$A$2:$A$97,0))</f>
        <v>10</v>
      </c>
      <c r="H134" s="17" t="n">
        <f aca="false">SUMIFS('05_RUTAS'!$F$2:$F$407,'05_RUTAS'!$A$2:$A$407,B134,'05_RUTAS'!$C$2:$C$407,C134)</f>
        <v>2</v>
      </c>
      <c r="I134" s="18" t="n">
        <f aca="false">SUMIFS('05_RUTAS'!$G$2:$G$407,'05_RUTAS'!$A$2:$A$407,B134,'05_RUTAS'!$C$2:$C$407,C134)</f>
        <v>3.79</v>
      </c>
      <c r="J134" s="18" t="n">
        <f aca="false">(ROUNDUP(F134/G134,0)*H134+F134*I134)/60</f>
        <v>0.4755</v>
      </c>
      <c r="K134" s="5" t="n">
        <f aca="false">MONTH(INDEX('08_PEDIDOS'!$F$2:$F$97,MATCH(A134,'08_PEDIDOS'!$A$2:$A$97,0)))</f>
        <v>2</v>
      </c>
      <c r="L134" s="16" t="n">
        <f aca="false">J134*N(INDEX('04_MAQUINAS'!$F$2:$F$18,MATCH(E134,'04_MAQUINAS'!$A$2:$A$18,0)))</f>
        <v>9.51</v>
      </c>
      <c r="M134" s="17" t="n">
        <f aca="false">J134*INDEX('04_MAQUINAS'!$G$2:$G$18,MATCH(E134,'04_MAQUINAS'!$A$2:$A$18,0))*INDEX('04_MAQUINAS'!$H$2:$H$18,MATCH(E134,'04_MAQUINAS'!$A$2:$A$18,0))</f>
        <v>0.04755</v>
      </c>
      <c r="N134" s="2" t="s">
        <v>629</v>
      </c>
    </row>
    <row r="135" customFormat="false" ht="15" hidden="false" customHeight="false" outlineLevel="0" collapsed="false">
      <c r="A135" s="2" t="s">
        <v>535</v>
      </c>
      <c r="B135" s="2" t="s">
        <v>94</v>
      </c>
      <c r="C135" s="4" t="n">
        <v>12</v>
      </c>
      <c r="D135" s="2" t="s">
        <v>452</v>
      </c>
      <c r="E135" s="2" t="s">
        <v>411</v>
      </c>
      <c r="F135" s="5" t="n">
        <f aca="false">INDEX('08_PEDIDOS'!$D$2:$D$97,MATCH(A135,'08_PEDIDOS'!$A$2:$A$97,0))</f>
        <v>7</v>
      </c>
      <c r="G135" s="5" t="n">
        <f aca="false">INDEX('08_PEDIDOS'!$H$2:$H$97,MATCH(A135,'08_PEDIDOS'!$A$2:$A$97,0))</f>
        <v>10</v>
      </c>
      <c r="H135" s="17" t="n">
        <f aca="false">SUMIFS('05_RUTAS'!$F$2:$F$407,'05_RUTAS'!$A$2:$A$407,B135,'05_RUTAS'!$C$2:$C$407,C135)</f>
        <v>2</v>
      </c>
      <c r="I135" s="18" t="n">
        <f aca="false">SUMIFS('05_RUTAS'!$G$2:$G$407,'05_RUTAS'!$A$2:$A$407,B135,'05_RUTAS'!$C$2:$C$407,C135)</f>
        <v>5.18</v>
      </c>
      <c r="J135" s="18" t="n">
        <f aca="false">(ROUNDUP(F135/G135,0)*H135+F135*I135)/60</f>
        <v>0.637666666666667</v>
      </c>
      <c r="K135" s="5" t="n">
        <f aca="false">MONTH(INDEX('08_PEDIDOS'!$F$2:$F$97,MATCH(A135,'08_PEDIDOS'!$A$2:$A$97,0)))</f>
        <v>2</v>
      </c>
      <c r="L135" s="16" t="n">
        <f aca="false">J135*N(INDEX('04_MAQUINAS'!$F$2:$F$18,MATCH(E135,'04_MAQUINAS'!$A$2:$A$18,0)))</f>
        <v>11.478</v>
      </c>
      <c r="M135" s="17" t="n">
        <f aca="false">J135*INDEX('04_MAQUINAS'!$G$2:$G$18,MATCH(E135,'04_MAQUINAS'!$A$2:$A$18,0))*INDEX('04_MAQUINAS'!$H$2:$H$18,MATCH(E135,'04_MAQUINAS'!$A$2:$A$18,0))</f>
        <v>0.05739</v>
      </c>
      <c r="N135" s="2" t="s">
        <v>629</v>
      </c>
    </row>
    <row r="136" customFormat="false" ht="15" hidden="false" customHeight="false" outlineLevel="0" collapsed="false">
      <c r="A136" s="2" t="s">
        <v>536</v>
      </c>
      <c r="B136" s="2" t="s">
        <v>96</v>
      </c>
      <c r="C136" s="4" t="n">
        <v>1</v>
      </c>
      <c r="D136" s="2" t="s">
        <v>437</v>
      </c>
      <c r="E136" s="2" t="s">
        <v>375</v>
      </c>
      <c r="F136" s="5" t="n">
        <f aca="false">INDEX('08_PEDIDOS'!$D$2:$D$97,MATCH(A136,'08_PEDIDOS'!$A$2:$A$97,0))</f>
        <v>7</v>
      </c>
      <c r="G136" s="5" t="n">
        <f aca="false">INDEX('08_PEDIDOS'!$H$2:$H$97,MATCH(A136,'08_PEDIDOS'!$A$2:$A$97,0))</f>
        <v>10</v>
      </c>
      <c r="H136" s="17" t="n">
        <f aca="false">SUMIFS('05_RUTAS'!$F$2:$F$407,'05_RUTAS'!$A$2:$A$407,B136,'05_RUTAS'!$C$2:$C$407,C136)</f>
        <v>8</v>
      </c>
      <c r="I136" s="18" t="n">
        <f aca="false">SUMIFS('05_RUTAS'!$G$2:$G$407,'05_RUTAS'!$A$2:$A$407,B136,'05_RUTAS'!$C$2:$C$407,C136)</f>
        <v>56.975</v>
      </c>
      <c r="J136" s="18" t="n">
        <f aca="false">(ROUNDUP(F136/G136,0)*H136+F136*I136)/60</f>
        <v>6.78041666666667</v>
      </c>
      <c r="K136" s="5" t="n">
        <f aca="false">MONTH(INDEX('08_PEDIDOS'!$F$2:$F$97,MATCH(A136,'08_PEDIDOS'!$A$2:$A$97,0)))</f>
        <v>2</v>
      </c>
      <c r="L136" s="16" t="n">
        <f aca="false">J136*N(INDEX('04_MAQUINAS'!$F$2:$F$18,MATCH(E136,'04_MAQUINAS'!$A$2:$A$18,0)))</f>
        <v>162.73</v>
      </c>
      <c r="M136" s="17" t="n">
        <f aca="false">J136*INDEX('04_MAQUINAS'!$G$2:$G$18,MATCH(E136,'04_MAQUINAS'!$A$2:$A$18,0))*INDEX('04_MAQUINAS'!$H$2:$H$18,MATCH(E136,'04_MAQUINAS'!$A$2:$A$18,0))</f>
        <v>18.6461458333333</v>
      </c>
      <c r="N136" s="2" t="s">
        <v>629</v>
      </c>
    </row>
    <row r="137" customFormat="false" ht="15" hidden="false" customHeight="false" outlineLevel="0" collapsed="false">
      <c r="A137" s="2" t="s">
        <v>536</v>
      </c>
      <c r="B137" s="2" t="s">
        <v>96</v>
      </c>
      <c r="C137" s="4" t="n">
        <v>2</v>
      </c>
      <c r="D137" s="2" t="s">
        <v>441</v>
      </c>
      <c r="E137" s="2" t="s">
        <v>380</v>
      </c>
      <c r="F137" s="5" t="n">
        <f aca="false">INDEX('08_PEDIDOS'!$D$2:$D$97,MATCH(A137,'08_PEDIDOS'!$A$2:$A$97,0))</f>
        <v>7</v>
      </c>
      <c r="G137" s="5" t="n">
        <f aca="false">INDEX('08_PEDIDOS'!$H$2:$H$97,MATCH(A137,'08_PEDIDOS'!$A$2:$A$97,0))</f>
        <v>10</v>
      </c>
      <c r="H137" s="17" t="n">
        <f aca="false">SUMIFS('05_RUTAS'!$F$2:$F$407,'05_RUTAS'!$A$2:$A$407,B137,'05_RUTAS'!$C$2:$C$407,C137)</f>
        <v>8</v>
      </c>
      <c r="I137" s="18" t="n">
        <f aca="false">SUMIFS('05_RUTAS'!$G$2:$G$407,'05_RUTAS'!$A$2:$A$407,B137,'05_RUTAS'!$C$2:$C$407,C137)</f>
        <v>6.28</v>
      </c>
      <c r="J137" s="18" t="n">
        <f aca="false">(ROUNDUP(F137/G137,0)*H137+F137*I137)/60</f>
        <v>0.866</v>
      </c>
      <c r="K137" s="5" t="n">
        <f aca="false">MONTH(INDEX('08_PEDIDOS'!$F$2:$F$97,MATCH(A137,'08_PEDIDOS'!$A$2:$A$97,0)))</f>
        <v>2</v>
      </c>
      <c r="L137" s="16" t="n">
        <f aca="false">J137*N(INDEX('04_MAQUINAS'!$F$2:$F$18,MATCH(E137,'04_MAQUINAS'!$A$2:$A$18,0)))</f>
        <v>19.052</v>
      </c>
      <c r="M137" s="17" t="n">
        <f aca="false">J137*INDEX('04_MAQUINAS'!$G$2:$G$18,MATCH(E137,'04_MAQUINAS'!$A$2:$A$18,0))*INDEX('04_MAQUINAS'!$H$2:$H$18,MATCH(E137,'04_MAQUINAS'!$A$2:$A$18,0))</f>
        <v>0.3897</v>
      </c>
      <c r="N137" s="2" t="s">
        <v>629</v>
      </c>
    </row>
    <row r="138" customFormat="false" ht="15" hidden="false" customHeight="false" outlineLevel="0" collapsed="false">
      <c r="A138" s="2" t="s">
        <v>536</v>
      </c>
      <c r="B138" s="2" t="s">
        <v>96</v>
      </c>
      <c r="C138" s="4" t="n">
        <v>3</v>
      </c>
      <c r="D138" s="2" t="s">
        <v>386</v>
      </c>
      <c r="E138" s="2" t="s">
        <v>383</v>
      </c>
      <c r="F138" s="5" t="n">
        <f aca="false">INDEX('08_PEDIDOS'!$D$2:$D$97,MATCH(A138,'08_PEDIDOS'!$A$2:$A$97,0))</f>
        <v>7</v>
      </c>
      <c r="G138" s="5" t="n">
        <f aca="false">INDEX('08_PEDIDOS'!$H$2:$H$97,MATCH(A138,'08_PEDIDOS'!$A$2:$A$97,0))</f>
        <v>10</v>
      </c>
      <c r="H138" s="17" t="n">
        <f aca="false">SUMIFS('05_RUTAS'!$F$2:$F$407,'05_RUTAS'!$A$2:$A$407,B138,'05_RUTAS'!$C$2:$C$407,C138)</f>
        <v>10</v>
      </c>
      <c r="I138" s="18" t="n">
        <f aca="false">SUMIFS('05_RUTAS'!$G$2:$G$407,'05_RUTAS'!$A$2:$A$407,B138,'05_RUTAS'!$C$2:$C$407,C138)</f>
        <v>67</v>
      </c>
      <c r="J138" s="18" t="n">
        <f aca="false">(ROUNDUP(F138/G138,0)*H138+F138*I138)/60</f>
        <v>7.98333333333333</v>
      </c>
      <c r="K138" s="5" t="n">
        <f aca="false">MONTH(INDEX('08_PEDIDOS'!$F$2:$F$97,MATCH(A138,'08_PEDIDOS'!$A$2:$A$97,0)))</f>
        <v>2</v>
      </c>
      <c r="L138" s="16" t="n">
        <f aca="false">J138*N(INDEX('04_MAQUINAS'!$F$2:$F$18,MATCH(E138,'04_MAQUINAS'!$A$2:$A$18,0)))</f>
        <v>175.633333333333</v>
      </c>
      <c r="M138" s="17" t="n">
        <f aca="false">J138*INDEX('04_MAQUINAS'!$G$2:$G$18,MATCH(E138,'04_MAQUINAS'!$A$2:$A$18,0))*INDEX('04_MAQUINAS'!$H$2:$H$18,MATCH(E138,'04_MAQUINAS'!$A$2:$A$18,0))</f>
        <v>2.19541666666667</v>
      </c>
      <c r="N138" s="2" t="s">
        <v>629</v>
      </c>
    </row>
    <row r="139" customFormat="false" ht="15" hidden="false" customHeight="false" outlineLevel="0" collapsed="false">
      <c r="A139" s="2" t="s">
        <v>536</v>
      </c>
      <c r="B139" s="2" t="s">
        <v>96</v>
      </c>
      <c r="C139" s="4" t="n">
        <v>4</v>
      </c>
      <c r="D139" s="2" t="s">
        <v>390</v>
      </c>
      <c r="E139" s="2" t="s">
        <v>387</v>
      </c>
      <c r="F139" s="5" t="n">
        <f aca="false">INDEX('08_PEDIDOS'!$D$2:$D$97,MATCH(A139,'08_PEDIDOS'!$A$2:$A$97,0))</f>
        <v>7</v>
      </c>
      <c r="G139" s="5" t="n">
        <f aca="false">INDEX('08_PEDIDOS'!$H$2:$H$97,MATCH(A139,'08_PEDIDOS'!$A$2:$A$97,0))</f>
        <v>10</v>
      </c>
      <c r="H139" s="17" t="n">
        <f aca="false">SUMIFS('05_RUTAS'!$F$2:$F$407,'05_RUTAS'!$A$2:$A$407,B139,'05_RUTAS'!$C$2:$C$407,C139)</f>
        <v>12</v>
      </c>
      <c r="I139" s="18" t="n">
        <f aca="false">SUMIFS('05_RUTAS'!$G$2:$G$407,'05_RUTAS'!$A$2:$A$407,B139,'05_RUTAS'!$C$2:$C$407,C139)</f>
        <v>124</v>
      </c>
      <c r="J139" s="18" t="n">
        <f aca="false">(ROUNDUP(F139/G139,0)*H139+F139*I139)/60</f>
        <v>14.6666666666667</v>
      </c>
      <c r="K139" s="5" t="n">
        <f aca="false">MONTH(INDEX('08_PEDIDOS'!$F$2:$F$97,MATCH(A139,'08_PEDIDOS'!$A$2:$A$97,0)))</f>
        <v>2</v>
      </c>
      <c r="L139" s="16" t="n">
        <f aca="false">J139*N(INDEX('04_MAQUINAS'!$F$2:$F$18,MATCH(E139,'04_MAQUINAS'!$A$2:$A$18,0)))</f>
        <v>410.666666666667</v>
      </c>
      <c r="M139" s="17" t="n">
        <f aca="false">J139*INDEX('04_MAQUINAS'!$G$2:$G$18,MATCH(E139,'04_MAQUINAS'!$A$2:$A$18,0))*INDEX('04_MAQUINAS'!$H$2:$H$18,MATCH(E139,'04_MAQUINAS'!$A$2:$A$18,0))</f>
        <v>36.3</v>
      </c>
      <c r="N139" s="2" t="s">
        <v>629</v>
      </c>
    </row>
    <row r="140" customFormat="false" ht="15" hidden="false" customHeight="false" outlineLevel="0" collapsed="false">
      <c r="A140" s="2" t="s">
        <v>536</v>
      </c>
      <c r="B140" s="2" t="s">
        <v>96</v>
      </c>
      <c r="C140" s="4" t="n">
        <v>5</v>
      </c>
      <c r="D140" s="2" t="s">
        <v>442</v>
      </c>
      <c r="E140" s="2" t="s">
        <v>391</v>
      </c>
      <c r="F140" s="5" t="n">
        <f aca="false">INDEX('08_PEDIDOS'!$D$2:$D$97,MATCH(A140,'08_PEDIDOS'!$A$2:$A$97,0))</f>
        <v>7</v>
      </c>
      <c r="G140" s="5" t="n">
        <f aca="false">INDEX('08_PEDIDOS'!$H$2:$H$97,MATCH(A140,'08_PEDIDOS'!$A$2:$A$97,0))</f>
        <v>10</v>
      </c>
      <c r="H140" s="17" t="n">
        <f aca="false">SUMIFS('05_RUTAS'!$F$2:$F$407,'05_RUTAS'!$A$2:$A$407,B140,'05_RUTAS'!$C$2:$C$407,C140)</f>
        <v>10</v>
      </c>
      <c r="I140" s="18" t="n">
        <f aca="false">SUMIFS('05_RUTAS'!$G$2:$G$407,'05_RUTAS'!$A$2:$A$407,B140,'05_RUTAS'!$C$2:$C$407,C140)</f>
        <v>5.6</v>
      </c>
      <c r="J140" s="18" t="n">
        <f aca="false">(ROUNDUP(F140/G140,0)*H140+F140*I140)/60</f>
        <v>0.82</v>
      </c>
      <c r="K140" s="5" t="n">
        <f aca="false">MONTH(INDEX('08_PEDIDOS'!$F$2:$F$97,MATCH(A140,'08_PEDIDOS'!$A$2:$A$97,0)))</f>
        <v>2</v>
      </c>
      <c r="L140" s="16" t="n">
        <f aca="false">J140*N(INDEX('04_MAQUINAS'!$F$2:$F$18,MATCH(E140,'04_MAQUINAS'!$A$2:$A$18,0)))</f>
        <v>26.24</v>
      </c>
      <c r="M140" s="17" t="n">
        <f aca="false">J140*INDEX('04_MAQUINAS'!$G$2:$G$18,MATCH(E140,'04_MAQUINAS'!$A$2:$A$18,0))*INDEX('04_MAQUINAS'!$H$2:$H$18,MATCH(E140,'04_MAQUINAS'!$A$2:$A$18,0))</f>
        <v>1.435</v>
      </c>
      <c r="N140" s="2" t="s">
        <v>629</v>
      </c>
    </row>
    <row r="141" customFormat="false" ht="15" hidden="false" customHeight="false" outlineLevel="0" collapsed="false">
      <c r="A141" s="2" t="s">
        <v>536</v>
      </c>
      <c r="B141" s="2" t="s">
        <v>96</v>
      </c>
      <c r="C141" s="4" t="n">
        <v>6</v>
      </c>
      <c r="D141" s="2" t="s">
        <v>443</v>
      </c>
      <c r="E141" s="2" t="s">
        <v>395</v>
      </c>
      <c r="F141" s="5" t="n">
        <f aca="false">INDEX('08_PEDIDOS'!$D$2:$D$97,MATCH(A141,'08_PEDIDOS'!$A$2:$A$97,0))</f>
        <v>7</v>
      </c>
      <c r="G141" s="5" t="n">
        <f aca="false">INDEX('08_PEDIDOS'!$H$2:$H$97,MATCH(A141,'08_PEDIDOS'!$A$2:$A$97,0))</f>
        <v>10</v>
      </c>
      <c r="H141" s="17" t="n">
        <f aca="false">SUMIFS('05_RUTAS'!$F$2:$F$407,'05_RUTAS'!$A$2:$A$407,B141,'05_RUTAS'!$C$2:$C$407,C141)</f>
        <v>3</v>
      </c>
      <c r="I141" s="18" t="n">
        <f aca="false">SUMIFS('05_RUTAS'!$G$2:$G$407,'05_RUTAS'!$A$2:$A$407,B141,'05_RUTAS'!$C$2:$C$407,C141)</f>
        <v>33</v>
      </c>
      <c r="J141" s="18" t="n">
        <f aca="false">(ROUNDUP(F141/G141,0)*H141+F141*I141)/60</f>
        <v>3.9</v>
      </c>
      <c r="K141" s="5" t="n">
        <f aca="false">MONTH(INDEX('08_PEDIDOS'!$F$2:$F$97,MATCH(A141,'08_PEDIDOS'!$A$2:$A$97,0)))</f>
        <v>2</v>
      </c>
      <c r="L141" s="16" t="n">
        <f aca="false">J141*N(INDEX('04_MAQUINAS'!$F$2:$F$18,MATCH(E141,'04_MAQUINAS'!$A$2:$A$18,0)))</f>
        <v>81.9</v>
      </c>
      <c r="M141" s="17" t="n">
        <f aca="false">J141*INDEX('04_MAQUINAS'!$G$2:$G$18,MATCH(E141,'04_MAQUINAS'!$A$2:$A$18,0))*INDEX('04_MAQUINAS'!$H$2:$H$18,MATCH(E141,'04_MAQUINAS'!$A$2:$A$18,0))</f>
        <v>2.925</v>
      </c>
      <c r="N141" s="2" t="s">
        <v>629</v>
      </c>
    </row>
    <row r="142" customFormat="false" ht="15" hidden="false" customHeight="false" outlineLevel="0" collapsed="false">
      <c r="A142" s="2" t="s">
        <v>536</v>
      </c>
      <c r="B142" s="2" t="s">
        <v>96</v>
      </c>
      <c r="C142" s="4" t="n">
        <v>7</v>
      </c>
      <c r="D142" s="2" t="s">
        <v>444</v>
      </c>
      <c r="E142" s="2" t="s">
        <v>399</v>
      </c>
      <c r="F142" s="5" t="n">
        <f aca="false">INDEX('08_PEDIDOS'!$D$2:$D$97,MATCH(A142,'08_PEDIDOS'!$A$2:$A$97,0))</f>
        <v>7</v>
      </c>
      <c r="G142" s="5" t="n">
        <f aca="false">INDEX('08_PEDIDOS'!$H$2:$H$97,MATCH(A142,'08_PEDIDOS'!$A$2:$A$97,0))</f>
        <v>10</v>
      </c>
      <c r="H142" s="17" t="n">
        <f aca="false">SUMIFS('05_RUTAS'!$F$2:$F$407,'05_RUTAS'!$A$2:$A$407,B142,'05_RUTAS'!$C$2:$C$407,C142)</f>
        <v>6</v>
      </c>
      <c r="I142" s="18" t="n">
        <f aca="false">SUMIFS('05_RUTAS'!$G$2:$G$407,'05_RUTAS'!$A$2:$A$407,B142,'05_RUTAS'!$C$2:$C$407,C142)</f>
        <v>27.0712</v>
      </c>
      <c r="J142" s="18" t="n">
        <f aca="false">(ROUNDUP(F142/G142,0)*H142+F142*I142)/60</f>
        <v>3.25830666666667</v>
      </c>
      <c r="K142" s="5" t="n">
        <f aca="false">MONTH(INDEX('08_PEDIDOS'!$F$2:$F$97,MATCH(A142,'08_PEDIDOS'!$A$2:$A$97,0)))</f>
        <v>2</v>
      </c>
      <c r="L142" s="16" t="n">
        <f aca="false">J142*N(INDEX('04_MAQUINAS'!$F$2:$F$18,MATCH(E142,'04_MAQUINAS'!$A$2:$A$18,0)))</f>
        <v>61.9078266666667</v>
      </c>
      <c r="M142" s="17" t="n">
        <f aca="false">J142*INDEX('04_MAQUINAS'!$G$2:$G$18,MATCH(E142,'04_MAQUINAS'!$A$2:$A$18,0))*INDEX('04_MAQUINAS'!$H$2:$H$18,MATCH(E142,'04_MAQUINAS'!$A$2:$A$18,0))</f>
        <v>2.86730986666667</v>
      </c>
      <c r="N142" s="2" t="s">
        <v>629</v>
      </c>
    </row>
    <row r="143" customFormat="false" ht="15" hidden="false" customHeight="false" outlineLevel="0" collapsed="false">
      <c r="A143" s="2" t="s">
        <v>536</v>
      </c>
      <c r="B143" s="2" t="s">
        <v>96</v>
      </c>
      <c r="C143" s="4" t="n">
        <v>8</v>
      </c>
      <c r="D143" s="2" t="s">
        <v>445</v>
      </c>
      <c r="E143" s="2" t="s">
        <v>402</v>
      </c>
      <c r="F143" s="5" t="n">
        <f aca="false">INDEX('08_PEDIDOS'!$D$2:$D$97,MATCH(A143,'08_PEDIDOS'!$A$2:$A$97,0))</f>
        <v>7</v>
      </c>
      <c r="G143" s="5" t="n">
        <f aca="false">INDEX('08_PEDIDOS'!$H$2:$H$97,MATCH(A143,'08_PEDIDOS'!$A$2:$A$97,0))</f>
        <v>10</v>
      </c>
      <c r="H143" s="17" t="n">
        <f aca="false">SUMIFS('05_RUTAS'!$F$2:$F$407,'05_RUTAS'!$A$2:$A$407,B143,'05_RUTAS'!$C$2:$C$407,C143)</f>
        <v>12</v>
      </c>
      <c r="I143" s="18" t="n">
        <f aca="false">SUMIFS('05_RUTAS'!$G$2:$G$407,'05_RUTAS'!$A$2:$A$407,B143,'05_RUTAS'!$C$2:$C$407,C143)</f>
        <v>7.34</v>
      </c>
      <c r="J143" s="18" t="n">
        <f aca="false">(ROUNDUP(F143/G143,0)*H143+F143*I143)/60</f>
        <v>1.05633333333333</v>
      </c>
      <c r="K143" s="5" t="n">
        <f aca="false">MONTH(INDEX('08_PEDIDOS'!$F$2:$F$97,MATCH(A143,'08_PEDIDOS'!$A$2:$A$97,0)))</f>
        <v>2</v>
      </c>
      <c r="L143" s="16" t="n">
        <f aca="false">J143*N(INDEX('04_MAQUINAS'!$F$2:$F$18,MATCH(E143,'04_MAQUINAS'!$A$2:$A$18,0)))</f>
        <v>33.8026666666667</v>
      </c>
      <c r="M143" s="17" t="n">
        <f aca="false">J143*INDEX('04_MAQUINAS'!$G$2:$G$18,MATCH(E143,'04_MAQUINAS'!$A$2:$A$18,0))*INDEX('04_MAQUINAS'!$H$2:$H$18,MATCH(E143,'04_MAQUINAS'!$A$2:$A$18,0))</f>
        <v>1.10915</v>
      </c>
      <c r="N143" s="2" t="s">
        <v>629</v>
      </c>
    </row>
    <row r="144" customFormat="false" ht="15" hidden="false" customHeight="false" outlineLevel="0" collapsed="false">
      <c r="A144" s="2" t="s">
        <v>536</v>
      </c>
      <c r="B144" s="2" t="s">
        <v>96</v>
      </c>
      <c r="C144" s="4" t="n">
        <v>9</v>
      </c>
      <c r="D144" s="2" t="s">
        <v>447</v>
      </c>
      <c r="E144" s="2" t="s">
        <v>421</v>
      </c>
      <c r="F144" s="5" t="n">
        <f aca="false">INDEX('08_PEDIDOS'!$D$2:$D$97,MATCH(A144,'08_PEDIDOS'!$A$2:$A$97,0))</f>
        <v>7</v>
      </c>
      <c r="G144" s="5" t="n">
        <f aca="false">INDEX('08_PEDIDOS'!$H$2:$H$97,MATCH(A144,'08_PEDIDOS'!$A$2:$A$97,0))</f>
        <v>10</v>
      </c>
      <c r="H144" s="17" t="n">
        <f aca="false">SUMIFS('05_RUTAS'!$F$2:$F$407,'05_RUTAS'!$A$2:$A$407,B144,'05_RUTAS'!$C$2:$C$407,C144)</f>
        <v>45</v>
      </c>
      <c r="I144" s="18" t="n">
        <f aca="false">SUMIFS('05_RUTAS'!$G$2:$G$407,'05_RUTAS'!$A$2:$A$407,B144,'05_RUTAS'!$C$2:$C$407,C144)</f>
        <v>0</v>
      </c>
      <c r="J144" s="18" t="n">
        <f aca="false">(ROUNDUP(F144/G144,0)*H144+F144*I144)/60</f>
        <v>0.75</v>
      </c>
      <c r="K144" s="5" t="n">
        <f aca="false">MONTH(INDEX('08_PEDIDOS'!$F$2:$F$97,MATCH(A144,'08_PEDIDOS'!$A$2:$A$97,0)))</f>
        <v>2</v>
      </c>
      <c r="L144" s="16" t="n">
        <f aca="false">J144*N(INDEX('04_MAQUINAS'!$F$2:$F$18,MATCH(E144,'04_MAQUINAS'!$A$2:$A$18,0)))</f>
        <v>19.5</v>
      </c>
      <c r="M144" s="17" t="n">
        <f aca="false">J144*INDEX('04_MAQUINAS'!$G$2:$G$18,MATCH(E144,'04_MAQUINAS'!$A$2:$A$18,0))*INDEX('04_MAQUINAS'!$H$2:$H$18,MATCH(E144,'04_MAQUINAS'!$A$2:$A$18,0))</f>
        <v>10.8</v>
      </c>
      <c r="N144" s="2" t="s">
        <v>629</v>
      </c>
    </row>
    <row r="145" customFormat="false" ht="15" hidden="false" customHeight="false" outlineLevel="0" collapsed="false">
      <c r="A145" s="2" t="s">
        <v>536</v>
      </c>
      <c r="B145" s="2" t="s">
        <v>96</v>
      </c>
      <c r="C145" s="4" t="n">
        <v>10</v>
      </c>
      <c r="D145" s="2" t="s">
        <v>449</v>
      </c>
      <c r="E145" s="2" t="s">
        <v>423</v>
      </c>
      <c r="F145" s="5" t="n">
        <f aca="false">INDEX('08_PEDIDOS'!$D$2:$D$97,MATCH(A145,'08_PEDIDOS'!$A$2:$A$97,0))</f>
        <v>7</v>
      </c>
      <c r="G145" s="5" t="n">
        <f aca="false">INDEX('08_PEDIDOS'!$H$2:$H$97,MATCH(A145,'08_PEDIDOS'!$A$2:$A$97,0))</f>
        <v>10</v>
      </c>
      <c r="H145" s="17" t="n">
        <f aca="false">SUMIFS('05_RUTAS'!$F$2:$F$407,'05_RUTAS'!$A$2:$A$407,B145,'05_RUTAS'!$C$2:$C$407,C145)</f>
        <v>8</v>
      </c>
      <c r="I145" s="18" t="n">
        <f aca="false">SUMIFS('05_RUTAS'!$G$2:$G$407,'05_RUTAS'!$A$2:$A$407,B145,'05_RUTAS'!$C$2:$C$407,C145)</f>
        <v>2.54</v>
      </c>
      <c r="J145" s="18" t="n">
        <f aca="false">(ROUNDUP(F145/G145,0)*H145+F145*I145)/60</f>
        <v>0.429666666666667</v>
      </c>
      <c r="K145" s="5" t="n">
        <f aca="false">MONTH(INDEX('08_PEDIDOS'!$F$2:$F$97,MATCH(A145,'08_PEDIDOS'!$A$2:$A$97,0)))</f>
        <v>2</v>
      </c>
      <c r="L145" s="16" t="n">
        <f aca="false">J145*N(INDEX('04_MAQUINAS'!$F$2:$F$18,MATCH(E145,'04_MAQUINAS'!$A$2:$A$18,0)))</f>
        <v>6.87466666666667</v>
      </c>
      <c r="M145" s="17" t="n">
        <f aca="false">J145*INDEX('04_MAQUINAS'!$G$2:$G$18,MATCH(E145,'04_MAQUINAS'!$A$2:$A$18,0))*INDEX('04_MAQUINAS'!$H$2:$H$18,MATCH(E145,'04_MAQUINAS'!$A$2:$A$18,0))</f>
        <v>0.107416666666667</v>
      </c>
      <c r="N145" s="2" t="s">
        <v>629</v>
      </c>
    </row>
    <row r="146" customFormat="false" ht="15" hidden="false" customHeight="false" outlineLevel="0" collapsed="false">
      <c r="A146" s="2" t="s">
        <v>536</v>
      </c>
      <c r="B146" s="2" t="s">
        <v>96</v>
      </c>
      <c r="C146" s="4" t="n">
        <v>11</v>
      </c>
      <c r="D146" s="2" t="s">
        <v>450</v>
      </c>
      <c r="E146" s="2" t="s">
        <v>406</v>
      </c>
      <c r="F146" s="5" t="n">
        <f aca="false">INDEX('08_PEDIDOS'!$D$2:$D$97,MATCH(A146,'08_PEDIDOS'!$A$2:$A$97,0))</f>
        <v>7</v>
      </c>
      <c r="G146" s="5" t="n">
        <f aca="false">INDEX('08_PEDIDOS'!$H$2:$H$97,MATCH(A146,'08_PEDIDOS'!$A$2:$A$97,0))</f>
        <v>10</v>
      </c>
      <c r="H146" s="17" t="n">
        <f aca="false">SUMIFS('05_RUTAS'!$F$2:$F$407,'05_RUTAS'!$A$2:$A$407,B146,'05_RUTAS'!$C$2:$C$407,C146)</f>
        <v>6</v>
      </c>
      <c r="I146" s="18" t="n">
        <f aca="false">SUMIFS('05_RUTAS'!$G$2:$G$407,'05_RUTAS'!$A$2:$A$407,B146,'05_RUTAS'!$C$2:$C$407,C146)</f>
        <v>48.75</v>
      </c>
      <c r="J146" s="18" t="n">
        <f aca="false">(ROUNDUP(F146/G146,0)*H146+F146*I146)/60</f>
        <v>5.7875</v>
      </c>
      <c r="K146" s="5" t="n">
        <f aca="false">MONTH(INDEX('08_PEDIDOS'!$F$2:$F$97,MATCH(A146,'08_PEDIDOS'!$A$2:$A$97,0)))</f>
        <v>2</v>
      </c>
      <c r="L146" s="16" t="n">
        <f aca="false">J146*N(INDEX('04_MAQUINAS'!$F$2:$F$18,MATCH(E146,'04_MAQUINAS'!$A$2:$A$18,0)))</f>
        <v>109.9625</v>
      </c>
      <c r="M146" s="17" t="n">
        <f aca="false">J146*INDEX('04_MAQUINAS'!$G$2:$G$18,MATCH(E146,'04_MAQUINAS'!$A$2:$A$18,0))*INDEX('04_MAQUINAS'!$H$2:$H$18,MATCH(E146,'04_MAQUINAS'!$A$2:$A$18,0))</f>
        <v>1.73625</v>
      </c>
      <c r="N146" s="2" t="s">
        <v>629</v>
      </c>
    </row>
    <row r="147" customFormat="false" ht="15" hidden="false" customHeight="false" outlineLevel="0" collapsed="false">
      <c r="A147" s="2" t="s">
        <v>536</v>
      </c>
      <c r="B147" s="2" t="s">
        <v>96</v>
      </c>
      <c r="C147" s="4" t="n">
        <v>12</v>
      </c>
      <c r="D147" s="2" t="s">
        <v>451</v>
      </c>
      <c r="E147" s="2" t="s">
        <v>408</v>
      </c>
      <c r="F147" s="5" t="n">
        <f aca="false">INDEX('08_PEDIDOS'!$D$2:$D$97,MATCH(A147,'08_PEDIDOS'!$A$2:$A$97,0))</f>
        <v>7</v>
      </c>
      <c r="G147" s="5" t="n">
        <f aca="false">INDEX('08_PEDIDOS'!$H$2:$H$97,MATCH(A147,'08_PEDIDOS'!$A$2:$A$97,0))</f>
        <v>10</v>
      </c>
      <c r="H147" s="17" t="n">
        <f aca="false">SUMIFS('05_RUTAS'!$F$2:$F$407,'05_RUTAS'!$A$2:$A$407,B147,'05_RUTAS'!$C$2:$C$407,C147)</f>
        <v>2</v>
      </c>
      <c r="I147" s="18" t="n">
        <f aca="false">SUMIFS('05_RUTAS'!$G$2:$G$407,'05_RUTAS'!$A$2:$A$407,B147,'05_RUTAS'!$C$2:$C$407,C147)</f>
        <v>3.67</v>
      </c>
      <c r="J147" s="18" t="n">
        <f aca="false">(ROUNDUP(F147/G147,0)*H147+F147*I147)/60</f>
        <v>0.4615</v>
      </c>
      <c r="K147" s="5" t="n">
        <f aca="false">MONTH(INDEX('08_PEDIDOS'!$F$2:$F$97,MATCH(A147,'08_PEDIDOS'!$A$2:$A$97,0)))</f>
        <v>2</v>
      </c>
      <c r="L147" s="16" t="n">
        <f aca="false">J147*N(INDEX('04_MAQUINAS'!$F$2:$F$18,MATCH(E147,'04_MAQUINAS'!$A$2:$A$18,0)))</f>
        <v>9.23</v>
      </c>
      <c r="M147" s="17" t="n">
        <f aca="false">J147*INDEX('04_MAQUINAS'!$G$2:$G$18,MATCH(E147,'04_MAQUINAS'!$A$2:$A$18,0))*INDEX('04_MAQUINAS'!$H$2:$H$18,MATCH(E147,'04_MAQUINAS'!$A$2:$A$18,0))</f>
        <v>0.04615</v>
      </c>
      <c r="N147" s="2" t="s">
        <v>629</v>
      </c>
    </row>
    <row r="148" customFormat="false" ht="15" hidden="false" customHeight="false" outlineLevel="0" collapsed="false">
      <c r="A148" s="2" t="s">
        <v>536</v>
      </c>
      <c r="B148" s="2" t="s">
        <v>96</v>
      </c>
      <c r="C148" s="4" t="n">
        <v>13</v>
      </c>
      <c r="D148" s="2" t="s">
        <v>452</v>
      </c>
      <c r="E148" s="2" t="s">
        <v>411</v>
      </c>
      <c r="F148" s="5" t="n">
        <f aca="false">INDEX('08_PEDIDOS'!$D$2:$D$97,MATCH(A148,'08_PEDIDOS'!$A$2:$A$97,0))</f>
        <v>7</v>
      </c>
      <c r="G148" s="5" t="n">
        <f aca="false">INDEX('08_PEDIDOS'!$H$2:$H$97,MATCH(A148,'08_PEDIDOS'!$A$2:$A$97,0))</f>
        <v>10</v>
      </c>
      <c r="H148" s="17" t="n">
        <f aca="false">SUMIFS('05_RUTAS'!$F$2:$F$407,'05_RUTAS'!$A$2:$A$407,B148,'05_RUTAS'!$C$2:$C$407,C148)</f>
        <v>2</v>
      </c>
      <c r="I148" s="18" t="n">
        <f aca="false">SUMIFS('05_RUTAS'!$G$2:$G$407,'05_RUTAS'!$A$2:$A$407,B148,'05_RUTAS'!$C$2:$C$407,C148)</f>
        <v>5</v>
      </c>
      <c r="J148" s="18" t="n">
        <f aca="false">(ROUNDUP(F148/G148,0)*H148+F148*I148)/60</f>
        <v>0.616666666666667</v>
      </c>
      <c r="K148" s="5" t="n">
        <f aca="false">MONTH(INDEX('08_PEDIDOS'!$F$2:$F$97,MATCH(A148,'08_PEDIDOS'!$A$2:$A$97,0)))</f>
        <v>2</v>
      </c>
      <c r="L148" s="16" t="n">
        <f aca="false">J148*N(INDEX('04_MAQUINAS'!$F$2:$F$18,MATCH(E148,'04_MAQUINAS'!$A$2:$A$18,0)))</f>
        <v>11.1</v>
      </c>
      <c r="M148" s="17" t="n">
        <f aca="false">J148*INDEX('04_MAQUINAS'!$G$2:$G$18,MATCH(E148,'04_MAQUINAS'!$A$2:$A$18,0))*INDEX('04_MAQUINAS'!$H$2:$H$18,MATCH(E148,'04_MAQUINAS'!$A$2:$A$18,0))</f>
        <v>0.0555</v>
      </c>
      <c r="N148" s="2" t="s">
        <v>629</v>
      </c>
    </row>
    <row r="149" customFormat="false" ht="15" hidden="false" customHeight="false" outlineLevel="0" collapsed="false">
      <c r="A149" s="2" t="s">
        <v>537</v>
      </c>
      <c r="B149" s="2" t="s">
        <v>106</v>
      </c>
      <c r="C149" s="4" t="n">
        <v>1</v>
      </c>
      <c r="D149" s="2" t="s">
        <v>437</v>
      </c>
      <c r="E149" s="2" t="s">
        <v>375</v>
      </c>
      <c r="F149" s="5" t="n">
        <f aca="false">INDEX('08_PEDIDOS'!$D$2:$D$97,MATCH(A149,'08_PEDIDOS'!$A$2:$A$97,0))</f>
        <v>5</v>
      </c>
      <c r="G149" s="5" t="n">
        <f aca="false">INDEX('08_PEDIDOS'!$H$2:$H$97,MATCH(A149,'08_PEDIDOS'!$A$2:$A$97,0))</f>
        <v>10</v>
      </c>
      <c r="H149" s="17" t="n">
        <f aca="false">SUMIFS('05_RUTAS'!$F$2:$F$407,'05_RUTAS'!$A$2:$A$407,B149,'05_RUTAS'!$C$2:$C$407,C149)</f>
        <v>8</v>
      </c>
      <c r="I149" s="18" t="n">
        <f aca="false">SUMIFS('05_RUTAS'!$G$2:$G$407,'05_RUTAS'!$A$2:$A$407,B149,'05_RUTAS'!$C$2:$C$407,C149)</f>
        <v>40.245</v>
      </c>
      <c r="J149" s="18" t="n">
        <f aca="false">(ROUNDUP(F149/G149,0)*H149+F149*I149)/60</f>
        <v>3.48708333333333</v>
      </c>
      <c r="K149" s="5" t="n">
        <f aca="false">MONTH(INDEX('08_PEDIDOS'!$F$2:$F$97,MATCH(A149,'08_PEDIDOS'!$A$2:$A$97,0)))</f>
        <v>2</v>
      </c>
      <c r="L149" s="16" t="n">
        <f aca="false">J149*N(INDEX('04_MAQUINAS'!$F$2:$F$18,MATCH(E149,'04_MAQUINAS'!$A$2:$A$18,0)))</f>
        <v>83.69</v>
      </c>
      <c r="M149" s="17" t="n">
        <f aca="false">J149*INDEX('04_MAQUINAS'!$G$2:$G$18,MATCH(E149,'04_MAQUINAS'!$A$2:$A$18,0))*INDEX('04_MAQUINAS'!$H$2:$H$18,MATCH(E149,'04_MAQUINAS'!$A$2:$A$18,0))</f>
        <v>9.58947916666667</v>
      </c>
      <c r="N149" s="2" t="s">
        <v>629</v>
      </c>
    </row>
    <row r="150" customFormat="false" ht="15" hidden="false" customHeight="false" outlineLevel="0" collapsed="false">
      <c r="A150" s="2" t="s">
        <v>537</v>
      </c>
      <c r="B150" s="2" t="s">
        <v>106</v>
      </c>
      <c r="C150" s="4" t="n">
        <v>2</v>
      </c>
      <c r="D150" s="2" t="s">
        <v>386</v>
      </c>
      <c r="E150" s="2" t="s">
        <v>383</v>
      </c>
      <c r="F150" s="5" t="n">
        <f aca="false">INDEX('08_PEDIDOS'!$D$2:$D$97,MATCH(A150,'08_PEDIDOS'!$A$2:$A$97,0))</f>
        <v>5</v>
      </c>
      <c r="G150" s="5" t="n">
        <f aca="false">INDEX('08_PEDIDOS'!$H$2:$H$97,MATCH(A150,'08_PEDIDOS'!$A$2:$A$97,0))</f>
        <v>10</v>
      </c>
      <c r="H150" s="17" t="n">
        <f aca="false">SUMIFS('05_RUTAS'!$F$2:$F$407,'05_RUTAS'!$A$2:$A$407,B150,'05_RUTAS'!$C$2:$C$407,C150)</f>
        <v>10</v>
      </c>
      <c r="I150" s="18" t="n">
        <f aca="false">SUMIFS('05_RUTAS'!$G$2:$G$407,'05_RUTAS'!$A$2:$A$407,B150,'05_RUTAS'!$C$2:$C$407,C150)</f>
        <v>14.8</v>
      </c>
      <c r="J150" s="18" t="n">
        <f aca="false">(ROUNDUP(F150/G150,0)*H150+F150*I150)/60</f>
        <v>1.4</v>
      </c>
      <c r="K150" s="5" t="n">
        <f aca="false">MONTH(INDEX('08_PEDIDOS'!$F$2:$F$97,MATCH(A150,'08_PEDIDOS'!$A$2:$A$97,0)))</f>
        <v>2</v>
      </c>
      <c r="L150" s="16" t="n">
        <f aca="false">J150*N(INDEX('04_MAQUINAS'!$F$2:$F$18,MATCH(E150,'04_MAQUINAS'!$A$2:$A$18,0)))</f>
        <v>30.8</v>
      </c>
      <c r="M150" s="17" t="n">
        <f aca="false">J150*INDEX('04_MAQUINAS'!$G$2:$G$18,MATCH(E150,'04_MAQUINAS'!$A$2:$A$18,0))*INDEX('04_MAQUINAS'!$H$2:$H$18,MATCH(E150,'04_MAQUINAS'!$A$2:$A$18,0))</f>
        <v>0.385</v>
      </c>
      <c r="N150" s="2" t="s">
        <v>629</v>
      </c>
    </row>
    <row r="151" customFormat="false" ht="15" hidden="false" customHeight="false" outlineLevel="0" collapsed="false">
      <c r="A151" s="2" t="s">
        <v>537</v>
      </c>
      <c r="B151" s="2" t="s">
        <v>106</v>
      </c>
      <c r="C151" s="4" t="n">
        <v>3</v>
      </c>
      <c r="D151" s="2" t="s">
        <v>390</v>
      </c>
      <c r="E151" s="2" t="s">
        <v>387</v>
      </c>
      <c r="F151" s="5" t="n">
        <f aca="false">INDEX('08_PEDIDOS'!$D$2:$D$97,MATCH(A151,'08_PEDIDOS'!$A$2:$A$97,0))</f>
        <v>5</v>
      </c>
      <c r="G151" s="5" t="n">
        <f aca="false">INDEX('08_PEDIDOS'!$H$2:$H$97,MATCH(A151,'08_PEDIDOS'!$A$2:$A$97,0))</f>
        <v>10</v>
      </c>
      <c r="H151" s="17" t="n">
        <f aca="false">SUMIFS('05_RUTAS'!$F$2:$F$407,'05_RUTAS'!$A$2:$A$407,B151,'05_RUTAS'!$C$2:$C$407,C151)</f>
        <v>12</v>
      </c>
      <c r="I151" s="18" t="n">
        <f aca="false">SUMIFS('05_RUTAS'!$G$2:$G$407,'05_RUTAS'!$A$2:$A$407,B151,'05_RUTAS'!$C$2:$C$407,C151)</f>
        <v>104</v>
      </c>
      <c r="J151" s="18" t="n">
        <f aca="false">(ROUNDUP(F151/G151,0)*H151+F151*I151)/60</f>
        <v>8.86666666666667</v>
      </c>
      <c r="K151" s="5" t="n">
        <f aca="false">MONTH(INDEX('08_PEDIDOS'!$F$2:$F$97,MATCH(A151,'08_PEDIDOS'!$A$2:$A$97,0)))</f>
        <v>2</v>
      </c>
      <c r="L151" s="16" t="n">
        <f aca="false">J151*N(INDEX('04_MAQUINAS'!$F$2:$F$18,MATCH(E151,'04_MAQUINAS'!$A$2:$A$18,0)))</f>
        <v>248.266666666667</v>
      </c>
      <c r="M151" s="17" t="n">
        <f aca="false">J151*INDEX('04_MAQUINAS'!$G$2:$G$18,MATCH(E151,'04_MAQUINAS'!$A$2:$A$18,0))*INDEX('04_MAQUINAS'!$H$2:$H$18,MATCH(E151,'04_MAQUINAS'!$A$2:$A$18,0))</f>
        <v>21.945</v>
      </c>
      <c r="N151" s="2" t="s">
        <v>629</v>
      </c>
    </row>
    <row r="152" customFormat="false" ht="15" hidden="false" customHeight="false" outlineLevel="0" collapsed="false">
      <c r="A152" s="2" t="s">
        <v>537</v>
      </c>
      <c r="B152" s="2" t="s">
        <v>106</v>
      </c>
      <c r="C152" s="4" t="n">
        <v>4</v>
      </c>
      <c r="D152" s="2" t="s">
        <v>443</v>
      </c>
      <c r="E152" s="2" t="s">
        <v>395</v>
      </c>
      <c r="F152" s="5" t="n">
        <f aca="false">INDEX('08_PEDIDOS'!$D$2:$D$97,MATCH(A152,'08_PEDIDOS'!$A$2:$A$97,0))</f>
        <v>5</v>
      </c>
      <c r="G152" s="5" t="n">
        <f aca="false">INDEX('08_PEDIDOS'!$H$2:$H$97,MATCH(A152,'08_PEDIDOS'!$A$2:$A$97,0))</f>
        <v>10</v>
      </c>
      <c r="H152" s="17" t="n">
        <f aca="false">SUMIFS('05_RUTAS'!$F$2:$F$407,'05_RUTAS'!$A$2:$A$407,B152,'05_RUTAS'!$C$2:$C$407,C152)</f>
        <v>3</v>
      </c>
      <c r="I152" s="18" t="n">
        <f aca="false">SUMIFS('05_RUTAS'!$G$2:$G$407,'05_RUTAS'!$A$2:$A$407,B152,'05_RUTAS'!$C$2:$C$407,C152)</f>
        <v>18</v>
      </c>
      <c r="J152" s="18" t="n">
        <f aca="false">(ROUNDUP(F152/G152,0)*H152+F152*I152)/60</f>
        <v>1.55</v>
      </c>
      <c r="K152" s="5" t="n">
        <f aca="false">MONTH(INDEX('08_PEDIDOS'!$F$2:$F$97,MATCH(A152,'08_PEDIDOS'!$A$2:$A$97,0)))</f>
        <v>2</v>
      </c>
      <c r="L152" s="16" t="n">
        <f aca="false">J152*N(INDEX('04_MAQUINAS'!$F$2:$F$18,MATCH(E152,'04_MAQUINAS'!$A$2:$A$18,0)))</f>
        <v>32.55</v>
      </c>
      <c r="M152" s="17" t="n">
        <f aca="false">J152*INDEX('04_MAQUINAS'!$G$2:$G$18,MATCH(E152,'04_MAQUINAS'!$A$2:$A$18,0))*INDEX('04_MAQUINAS'!$H$2:$H$18,MATCH(E152,'04_MAQUINAS'!$A$2:$A$18,0))</f>
        <v>1.1625</v>
      </c>
      <c r="N152" s="2" t="s">
        <v>629</v>
      </c>
    </row>
    <row r="153" customFormat="false" ht="15" hidden="false" customHeight="false" outlineLevel="0" collapsed="false">
      <c r="A153" s="2" t="s">
        <v>537</v>
      </c>
      <c r="B153" s="2" t="s">
        <v>106</v>
      </c>
      <c r="C153" s="4" t="n">
        <v>5</v>
      </c>
      <c r="D153" s="2" t="s">
        <v>444</v>
      </c>
      <c r="E153" s="2" t="s">
        <v>399</v>
      </c>
      <c r="F153" s="5" t="n">
        <f aca="false">INDEX('08_PEDIDOS'!$D$2:$D$97,MATCH(A153,'08_PEDIDOS'!$A$2:$A$97,0))</f>
        <v>5</v>
      </c>
      <c r="G153" s="5" t="n">
        <f aca="false">INDEX('08_PEDIDOS'!$H$2:$H$97,MATCH(A153,'08_PEDIDOS'!$A$2:$A$97,0))</f>
        <v>10</v>
      </c>
      <c r="H153" s="17" t="n">
        <f aca="false">SUMIFS('05_RUTAS'!$F$2:$F$407,'05_RUTAS'!$A$2:$A$407,B153,'05_RUTAS'!$C$2:$C$407,C153)</f>
        <v>6</v>
      </c>
      <c r="I153" s="18" t="n">
        <f aca="false">SUMIFS('05_RUTAS'!$G$2:$G$407,'05_RUTAS'!$A$2:$A$407,B153,'05_RUTAS'!$C$2:$C$407,C153)</f>
        <v>26.324</v>
      </c>
      <c r="J153" s="18" t="n">
        <f aca="false">(ROUNDUP(F153/G153,0)*H153+F153*I153)/60</f>
        <v>2.29366666666667</v>
      </c>
      <c r="K153" s="5" t="n">
        <f aca="false">MONTH(INDEX('08_PEDIDOS'!$F$2:$F$97,MATCH(A153,'08_PEDIDOS'!$A$2:$A$97,0)))</f>
        <v>2</v>
      </c>
      <c r="L153" s="16" t="n">
        <f aca="false">J153*N(INDEX('04_MAQUINAS'!$F$2:$F$18,MATCH(E153,'04_MAQUINAS'!$A$2:$A$18,0)))</f>
        <v>43.5796666666667</v>
      </c>
      <c r="M153" s="17" t="n">
        <f aca="false">J153*INDEX('04_MAQUINAS'!$G$2:$G$18,MATCH(E153,'04_MAQUINAS'!$A$2:$A$18,0))*INDEX('04_MAQUINAS'!$H$2:$H$18,MATCH(E153,'04_MAQUINAS'!$A$2:$A$18,0))</f>
        <v>2.01842666666667</v>
      </c>
      <c r="N153" s="2" t="s">
        <v>629</v>
      </c>
    </row>
    <row r="154" customFormat="false" ht="15" hidden="false" customHeight="false" outlineLevel="0" collapsed="false">
      <c r="A154" s="2" t="s">
        <v>537</v>
      </c>
      <c r="B154" s="2" t="s">
        <v>106</v>
      </c>
      <c r="C154" s="4" t="n">
        <v>6</v>
      </c>
      <c r="D154" s="2" t="s">
        <v>445</v>
      </c>
      <c r="E154" s="2" t="s">
        <v>402</v>
      </c>
      <c r="F154" s="5" t="n">
        <f aca="false">INDEX('08_PEDIDOS'!$D$2:$D$97,MATCH(A154,'08_PEDIDOS'!$A$2:$A$97,0))</f>
        <v>5</v>
      </c>
      <c r="G154" s="5" t="n">
        <f aca="false">INDEX('08_PEDIDOS'!$H$2:$H$97,MATCH(A154,'08_PEDIDOS'!$A$2:$A$97,0))</f>
        <v>10</v>
      </c>
      <c r="H154" s="17" t="n">
        <f aca="false">SUMIFS('05_RUTAS'!$F$2:$F$407,'05_RUTAS'!$A$2:$A$407,B154,'05_RUTAS'!$C$2:$C$407,C154)</f>
        <v>12</v>
      </c>
      <c r="I154" s="18" t="n">
        <f aca="false">SUMIFS('05_RUTAS'!$G$2:$G$407,'05_RUTAS'!$A$2:$A$407,B154,'05_RUTAS'!$C$2:$C$407,C154)</f>
        <v>6.83</v>
      </c>
      <c r="J154" s="18" t="n">
        <f aca="false">(ROUNDUP(F154/G154,0)*H154+F154*I154)/60</f>
        <v>0.769166666666667</v>
      </c>
      <c r="K154" s="5" t="n">
        <f aca="false">MONTH(INDEX('08_PEDIDOS'!$F$2:$F$97,MATCH(A154,'08_PEDIDOS'!$A$2:$A$97,0)))</f>
        <v>2</v>
      </c>
      <c r="L154" s="16" t="n">
        <f aca="false">J154*N(INDEX('04_MAQUINAS'!$F$2:$F$18,MATCH(E154,'04_MAQUINAS'!$A$2:$A$18,0)))</f>
        <v>24.6133333333333</v>
      </c>
      <c r="M154" s="17" t="n">
        <f aca="false">J154*INDEX('04_MAQUINAS'!$G$2:$G$18,MATCH(E154,'04_MAQUINAS'!$A$2:$A$18,0))*INDEX('04_MAQUINAS'!$H$2:$H$18,MATCH(E154,'04_MAQUINAS'!$A$2:$A$18,0))</f>
        <v>0.807625</v>
      </c>
      <c r="N154" s="2" t="s">
        <v>629</v>
      </c>
    </row>
    <row r="155" customFormat="false" ht="15" hidden="false" customHeight="false" outlineLevel="0" collapsed="false">
      <c r="A155" s="2" t="s">
        <v>537</v>
      </c>
      <c r="B155" s="2" t="s">
        <v>106</v>
      </c>
      <c r="C155" s="4" t="n">
        <v>7</v>
      </c>
      <c r="D155" s="2" t="s">
        <v>447</v>
      </c>
      <c r="E155" s="2" t="s">
        <v>421</v>
      </c>
      <c r="F155" s="5" t="n">
        <f aca="false">INDEX('08_PEDIDOS'!$D$2:$D$97,MATCH(A155,'08_PEDIDOS'!$A$2:$A$97,0))</f>
        <v>5</v>
      </c>
      <c r="G155" s="5" t="n">
        <f aca="false">INDEX('08_PEDIDOS'!$H$2:$H$97,MATCH(A155,'08_PEDIDOS'!$A$2:$A$97,0))</f>
        <v>10</v>
      </c>
      <c r="H155" s="17" t="n">
        <f aca="false">SUMIFS('05_RUTAS'!$F$2:$F$407,'05_RUTAS'!$A$2:$A$407,B155,'05_RUTAS'!$C$2:$C$407,C155)</f>
        <v>45</v>
      </c>
      <c r="I155" s="18" t="n">
        <f aca="false">SUMIFS('05_RUTAS'!$G$2:$G$407,'05_RUTAS'!$A$2:$A$407,B155,'05_RUTAS'!$C$2:$C$407,C155)</f>
        <v>0</v>
      </c>
      <c r="J155" s="18" t="n">
        <f aca="false">(ROUNDUP(F155/G155,0)*H155+F155*I155)/60</f>
        <v>0.75</v>
      </c>
      <c r="K155" s="5" t="n">
        <f aca="false">MONTH(INDEX('08_PEDIDOS'!$F$2:$F$97,MATCH(A155,'08_PEDIDOS'!$A$2:$A$97,0)))</f>
        <v>2</v>
      </c>
      <c r="L155" s="16" t="n">
        <f aca="false">J155*N(INDEX('04_MAQUINAS'!$F$2:$F$18,MATCH(E155,'04_MAQUINAS'!$A$2:$A$18,0)))</f>
        <v>19.5</v>
      </c>
      <c r="M155" s="17" t="n">
        <f aca="false">J155*INDEX('04_MAQUINAS'!$G$2:$G$18,MATCH(E155,'04_MAQUINAS'!$A$2:$A$18,0))*INDEX('04_MAQUINAS'!$H$2:$H$18,MATCH(E155,'04_MAQUINAS'!$A$2:$A$18,0))</f>
        <v>10.8</v>
      </c>
      <c r="N155" s="2" t="s">
        <v>629</v>
      </c>
    </row>
    <row r="156" customFormat="false" ht="15" hidden="false" customHeight="false" outlineLevel="0" collapsed="false">
      <c r="A156" s="2" t="s">
        <v>537</v>
      </c>
      <c r="B156" s="2" t="s">
        <v>106</v>
      </c>
      <c r="C156" s="4" t="n">
        <v>8</v>
      </c>
      <c r="D156" s="2" t="s">
        <v>449</v>
      </c>
      <c r="E156" s="2" t="s">
        <v>423</v>
      </c>
      <c r="F156" s="5" t="n">
        <f aca="false">INDEX('08_PEDIDOS'!$D$2:$D$97,MATCH(A156,'08_PEDIDOS'!$A$2:$A$97,0))</f>
        <v>5</v>
      </c>
      <c r="G156" s="5" t="n">
        <f aca="false">INDEX('08_PEDIDOS'!$H$2:$H$97,MATCH(A156,'08_PEDIDOS'!$A$2:$A$97,0))</f>
        <v>10</v>
      </c>
      <c r="H156" s="17" t="n">
        <f aca="false">SUMIFS('05_RUTAS'!$F$2:$F$407,'05_RUTAS'!$A$2:$A$407,B156,'05_RUTAS'!$C$2:$C$407,C156)</f>
        <v>8</v>
      </c>
      <c r="I156" s="18" t="n">
        <f aca="false">SUMIFS('05_RUTAS'!$G$2:$G$407,'05_RUTAS'!$A$2:$A$407,B156,'05_RUTAS'!$C$2:$C$407,C156)</f>
        <v>2.42</v>
      </c>
      <c r="J156" s="18" t="n">
        <f aca="false">(ROUNDUP(F156/G156,0)*H156+F156*I156)/60</f>
        <v>0.335</v>
      </c>
      <c r="K156" s="5" t="n">
        <f aca="false">MONTH(INDEX('08_PEDIDOS'!$F$2:$F$97,MATCH(A156,'08_PEDIDOS'!$A$2:$A$97,0)))</f>
        <v>2</v>
      </c>
      <c r="L156" s="16" t="n">
        <f aca="false">J156*N(INDEX('04_MAQUINAS'!$F$2:$F$18,MATCH(E156,'04_MAQUINAS'!$A$2:$A$18,0)))</f>
        <v>5.36</v>
      </c>
      <c r="M156" s="17" t="n">
        <f aca="false">J156*INDEX('04_MAQUINAS'!$G$2:$G$18,MATCH(E156,'04_MAQUINAS'!$A$2:$A$18,0))*INDEX('04_MAQUINAS'!$H$2:$H$18,MATCH(E156,'04_MAQUINAS'!$A$2:$A$18,0))</f>
        <v>0.08375</v>
      </c>
      <c r="N156" s="2" t="s">
        <v>629</v>
      </c>
    </row>
    <row r="157" customFormat="false" ht="15" hidden="false" customHeight="false" outlineLevel="0" collapsed="false">
      <c r="A157" s="2" t="s">
        <v>537</v>
      </c>
      <c r="B157" s="2" t="s">
        <v>106</v>
      </c>
      <c r="C157" s="4" t="n">
        <v>9</v>
      </c>
      <c r="D157" s="2" t="s">
        <v>450</v>
      </c>
      <c r="E157" s="2" t="s">
        <v>406</v>
      </c>
      <c r="F157" s="5" t="n">
        <f aca="false">INDEX('08_PEDIDOS'!$D$2:$D$97,MATCH(A157,'08_PEDIDOS'!$A$2:$A$97,0))</f>
        <v>5</v>
      </c>
      <c r="G157" s="5" t="n">
        <f aca="false">INDEX('08_PEDIDOS'!$H$2:$H$97,MATCH(A157,'08_PEDIDOS'!$A$2:$A$97,0))</f>
        <v>10</v>
      </c>
      <c r="H157" s="17" t="n">
        <f aca="false">SUMIFS('05_RUTAS'!$F$2:$F$407,'05_RUTAS'!$A$2:$A$407,B157,'05_RUTAS'!$C$2:$C$407,C157)</f>
        <v>6</v>
      </c>
      <c r="I157" s="18" t="n">
        <f aca="false">SUMIFS('05_RUTAS'!$G$2:$G$407,'05_RUTAS'!$A$2:$A$407,B157,'05_RUTAS'!$C$2:$C$407,C157)</f>
        <v>42</v>
      </c>
      <c r="J157" s="18" t="n">
        <f aca="false">(ROUNDUP(F157/G157,0)*H157+F157*I157)/60</f>
        <v>3.6</v>
      </c>
      <c r="K157" s="5" t="n">
        <f aca="false">MONTH(INDEX('08_PEDIDOS'!$F$2:$F$97,MATCH(A157,'08_PEDIDOS'!$A$2:$A$97,0)))</f>
        <v>2</v>
      </c>
      <c r="L157" s="16" t="n">
        <f aca="false">J157*N(INDEX('04_MAQUINAS'!$F$2:$F$18,MATCH(E157,'04_MAQUINAS'!$A$2:$A$18,0)))</f>
        <v>68.4</v>
      </c>
      <c r="M157" s="17" t="n">
        <f aca="false">J157*INDEX('04_MAQUINAS'!$G$2:$G$18,MATCH(E157,'04_MAQUINAS'!$A$2:$A$18,0))*INDEX('04_MAQUINAS'!$H$2:$H$18,MATCH(E157,'04_MAQUINAS'!$A$2:$A$18,0))</f>
        <v>1.08</v>
      </c>
      <c r="N157" s="2" t="s">
        <v>629</v>
      </c>
    </row>
    <row r="158" customFormat="false" ht="15" hidden="false" customHeight="false" outlineLevel="0" collapsed="false">
      <c r="A158" s="2" t="s">
        <v>537</v>
      </c>
      <c r="B158" s="2" t="s">
        <v>106</v>
      </c>
      <c r="C158" s="4" t="n">
        <v>10</v>
      </c>
      <c r="D158" s="2" t="s">
        <v>451</v>
      </c>
      <c r="E158" s="2" t="s">
        <v>408</v>
      </c>
      <c r="F158" s="5" t="n">
        <f aca="false">INDEX('08_PEDIDOS'!$D$2:$D$97,MATCH(A158,'08_PEDIDOS'!$A$2:$A$97,0))</f>
        <v>5</v>
      </c>
      <c r="G158" s="5" t="n">
        <f aca="false">INDEX('08_PEDIDOS'!$H$2:$H$97,MATCH(A158,'08_PEDIDOS'!$A$2:$A$97,0))</f>
        <v>10</v>
      </c>
      <c r="H158" s="17" t="n">
        <f aca="false">SUMIFS('05_RUTAS'!$F$2:$F$407,'05_RUTAS'!$A$2:$A$407,B158,'05_RUTAS'!$C$2:$C$407,C158)</f>
        <v>2</v>
      </c>
      <c r="I158" s="18" t="n">
        <f aca="false">SUMIFS('05_RUTAS'!$G$2:$G$407,'05_RUTAS'!$A$2:$A$407,B158,'05_RUTAS'!$C$2:$C$407,C158)</f>
        <v>3.52</v>
      </c>
      <c r="J158" s="18" t="n">
        <f aca="false">(ROUNDUP(F158/G158,0)*H158+F158*I158)/60</f>
        <v>0.326666666666667</v>
      </c>
      <c r="K158" s="5" t="n">
        <f aca="false">MONTH(INDEX('08_PEDIDOS'!$F$2:$F$97,MATCH(A158,'08_PEDIDOS'!$A$2:$A$97,0)))</f>
        <v>2</v>
      </c>
      <c r="L158" s="16" t="n">
        <f aca="false">J158*N(INDEX('04_MAQUINAS'!$F$2:$F$18,MATCH(E158,'04_MAQUINAS'!$A$2:$A$18,0)))</f>
        <v>6.53333333333333</v>
      </c>
      <c r="M158" s="17" t="n">
        <f aca="false">J158*INDEX('04_MAQUINAS'!$G$2:$G$18,MATCH(E158,'04_MAQUINAS'!$A$2:$A$18,0))*INDEX('04_MAQUINAS'!$H$2:$H$18,MATCH(E158,'04_MAQUINAS'!$A$2:$A$18,0))</f>
        <v>0.0326666666666667</v>
      </c>
      <c r="N158" s="2" t="s">
        <v>629</v>
      </c>
    </row>
    <row r="159" customFormat="false" ht="15" hidden="false" customHeight="false" outlineLevel="0" collapsed="false">
      <c r="A159" s="2" t="s">
        <v>537</v>
      </c>
      <c r="B159" s="2" t="s">
        <v>106</v>
      </c>
      <c r="C159" s="4" t="n">
        <v>11</v>
      </c>
      <c r="D159" s="2" t="s">
        <v>452</v>
      </c>
      <c r="E159" s="2" t="s">
        <v>411</v>
      </c>
      <c r="F159" s="5" t="n">
        <f aca="false">INDEX('08_PEDIDOS'!$D$2:$D$97,MATCH(A159,'08_PEDIDOS'!$A$2:$A$97,0))</f>
        <v>5</v>
      </c>
      <c r="G159" s="5" t="n">
        <f aca="false">INDEX('08_PEDIDOS'!$H$2:$H$97,MATCH(A159,'08_PEDIDOS'!$A$2:$A$97,0))</f>
        <v>10</v>
      </c>
      <c r="H159" s="17" t="n">
        <f aca="false">SUMIFS('05_RUTAS'!$F$2:$F$407,'05_RUTAS'!$A$2:$A$407,B159,'05_RUTAS'!$C$2:$C$407,C159)</f>
        <v>2</v>
      </c>
      <c r="I159" s="18" t="n">
        <f aca="false">SUMIFS('05_RUTAS'!$G$2:$G$407,'05_RUTAS'!$A$2:$A$407,B159,'05_RUTAS'!$C$2:$C$407,C159)</f>
        <v>4.78</v>
      </c>
      <c r="J159" s="18" t="n">
        <f aca="false">(ROUNDUP(F159/G159,0)*H159+F159*I159)/60</f>
        <v>0.431666666666667</v>
      </c>
      <c r="K159" s="5" t="n">
        <f aca="false">MONTH(INDEX('08_PEDIDOS'!$F$2:$F$97,MATCH(A159,'08_PEDIDOS'!$A$2:$A$97,0)))</f>
        <v>2</v>
      </c>
      <c r="L159" s="16" t="n">
        <f aca="false">J159*N(INDEX('04_MAQUINAS'!$F$2:$F$18,MATCH(E159,'04_MAQUINAS'!$A$2:$A$18,0)))</f>
        <v>7.77</v>
      </c>
      <c r="M159" s="17" t="n">
        <f aca="false">J159*INDEX('04_MAQUINAS'!$G$2:$G$18,MATCH(E159,'04_MAQUINAS'!$A$2:$A$18,0))*INDEX('04_MAQUINAS'!$H$2:$H$18,MATCH(E159,'04_MAQUINAS'!$A$2:$A$18,0))</f>
        <v>0.03885</v>
      </c>
      <c r="N159" s="2" t="s">
        <v>629</v>
      </c>
    </row>
    <row r="160" customFormat="false" ht="15" hidden="false" customHeight="false" outlineLevel="0" collapsed="false">
      <c r="A160" s="2" t="s">
        <v>538</v>
      </c>
      <c r="B160" s="2" t="s">
        <v>108</v>
      </c>
      <c r="C160" s="4" t="n">
        <v>1</v>
      </c>
      <c r="D160" s="2" t="s">
        <v>437</v>
      </c>
      <c r="E160" s="2" t="s">
        <v>375</v>
      </c>
      <c r="F160" s="5" t="n">
        <f aca="false">INDEX('08_PEDIDOS'!$D$2:$D$97,MATCH(A160,'08_PEDIDOS'!$A$2:$A$97,0))</f>
        <v>6</v>
      </c>
      <c r="G160" s="5" t="n">
        <f aca="false">INDEX('08_PEDIDOS'!$H$2:$H$97,MATCH(A160,'08_PEDIDOS'!$A$2:$A$97,0))</f>
        <v>10</v>
      </c>
      <c r="H160" s="17" t="n">
        <f aca="false">SUMIFS('05_RUTAS'!$F$2:$F$407,'05_RUTAS'!$A$2:$A$407,B160,'05_RUTAS'!$C$2:$C$407,C160)</f>
        <v>8</v>
      </c>
      <c r="I160" s="18" t="n">
        <f aca="false">SUMIFS('05_RUTAS'!$G$2:$G$407,'05_RUTAS'!$A$2:$A$407,B160,'05_RUTAS'!$C$2:$C$407,C160)</f>
        <v>57.14</v>
      </c>
      <c r="J160" s="18" t="n">
        <f aca="false">(ROUNDUP(F160/G160,0)*H160+F160*I160)/60</f>
        <v>5.84733333333333</v>
      </c>
      <c r="K160" s="5" t="n">
        <f aca="false">MONTH(INDEX('08_PEDIDOS'!$F$2:$F$97,MATCH(A160,'08_PEDIDOS'!$A$2:$A$97,0)))</f>
        <v>2</v>
      </c>
      <c r="L160" s="16" t="n">
        <f aca="false">J160*N(INDEX('04_MAQUINAS'!$F$2:$F$18,MATCH(E160,'04_MAQUINAS'!$A$2:$A$18,0)))</f>
        <v>140.336</v>
      </c>
      <c r="M160" s="17" t="n">
        <f aca="false">J160*INDEX('04_MAQUINAS'!$G$2:$G$18,MATCH(E160,'04_MAQUINAS'!$A$2:$A$18,0))*INDEX('04_MAQUINAS'!$H$2:$H$18,MATCH(E160,'04_MAQUINAS'!$A$2:$A$18,0))</f>
        <v>16.0801666666667</v>
      </c>
      <c r="N160" s="2" t="s">
        <v>629</v>
      </c>
    </row>
    <row r="161" customFormat="false" ht="15" hidden="false" customHeight="false" outlineLevel="0" collapsed="false">
      <c r="A161" s="2" t="s">
        <v>538</v>
      </c>
      <c r="B161" s="2" t="s">
        <v>108</v>
      </c>
      <c r="C161" s="4" t="n">
        <v>2</v>
      </c>
      <c r="D161" s="2" t="s">
        <v>386</v>
      </c>
      <c r="E161" s="2" t="s">
        <v>383</v>
      </c>
      <c r="F161" s="5" t="n">
        <f aca="false">INDEX('08_PEDIDOS'!$D$2:$D$97,MATCH(A161,'08_PEDIDOS'!$A$2:$A$97,0))</f>
        <v>6</v>
      </c>
      <c r="G161" s="5" t="n">
        <f aca="false">INDEX('08_PEDIDOS'!$H$2:$H$97,MATCH(A161,'08_PEDIDOS'!$A$2:$A$97,0))</f>
        <v>10</v>
      </c>
      <c r="H161" s="17" t="n">
        <f aca="false">SUMIFS('05_RUTAS'!$F$2:$F$407,'05_RUTAS'!$A$2:$A$407,B161,'05_RUTAS'!$C$2:$C$407,C161)</f>
        <v>10</v>
      </c>
      <c r="I161" s="18" t="n">
        <f aca="false">SUMIFS('05_RUTAS'!$G$2:$G$407,'05_RUTAS'!$A$2:$A$407,B161,'05_RUTAS'!$C$2:$C$407,C161)</f>
        <v>27</v>
      </c>
      <c r="J161" s="18" t="n">
        <f aca="false">(ROUNDUP(F161/G161,0)*H161+F161*I161)/60</f>
        <v>2.86666666666667</v>
      </c>
      <c r="K161" s="5" t="n">
        <f aca="false">MONTH(INDEX('08_PEDIDOS'!$F$2:$F$97,MATCH(A161,'08_PEDIDOS'!$A$2:$A$97,0)))</f>
        <v>2</v>
      </c>
      <c r="L161" s="16" t="n">
        <f aca="false">J161*N(INDEX('04_MAQUINAS'!$F$2:$F$18,MATCH(E161,'04_MAQUINAS'!$A$2:$A$18,0)))</f>
        <v>63.0666666666667</v>
      </c>
      <c r="M161" s="17" t="n">
        <f aca="false">J161*INDEX('04_MAQUINAS'!$G$2:$G$18,MATCH(E161,'04_MAQUINAS'!$A$2:$A$18,0))*INDEX('04_MAQUINAS'!$H$2:$H$18,MATCH(E161,'04_MAQUINAS'!$A$2:$A$18,0))</f>
        <v>0.788333333333333</v>
      </c>
      <c r="N161" s="2" t="s">
        <v>629</v>
      </c>
    </row>
    <row r="162" customFormat="false" ht="15" hidden="false" customHeight="false" outlineLevel="0" collapsed="false">
      <c r="A162" s="2" t="s">
        <v>538</v>
      </c>
      <c r="B162" s="2" t="s">
        <v>108</v>
      </c>
      <c r="C162" s="4" t="n">
        <v>3</v>
      </c>
      <c r="D162" s="2" t="s">
        <v>390</v>
      </c>
      <c r="E162" s="2" t="s">
        <v>387</v>
      </c>
      <c r="F162" s="5" t="n">
        <f aca="false">INDEX('08_PEDIDOS'!$D$2:$D$97,MATCH(A162,'08_PEDIDOS'!$A$2:$A$97,0))</f>
        <v>6</v>
      </c>
      <c r="G162" s="5" t="n">
        <f aca="false">INDEX('08_PEDIDOS'!$H$2:$H$97,MATCH(A162,'08_PEDIDOS'!$A$2:$A$97,0))</f>
        <v>10</v>
      </c>
      <c r="H162" s="17" t="n">
        <f aca="false">SUMIFS('05_RUTAS'!$F$2:$F$407,'05_RUTAS'!$A$2:$A$407,B162,'05_RUTAS'!$C$2:$C$407,C162)</f>
        <v>12</v>
      </c>
      <c r="I162" s="18" t="n">
        <f aca="false">SUMIFS('05_RUTAS'!$G$2:$G$407,'05_RUTAS'!$A$2:$A$407,B162,'05_RUTAS'!$C$2:$C$407,C162)</f>
        <v>149</v>
      </c>
      <c r="J162" s="18" t="n">
        <f aca="false">(ROUNDUP(F162/G162,0)*H162+F162*I162)/60</f>
        <v>15.1</v>
      </c>
      <c r="K162" s="5" t="n">
        <f aca="false">MONTH(INDEX('08_PEDIDOS'!$F$2:$F$97,MATCH(A162,'08_PEDIDOS'!$A$2:$A$97,0)))</f>
        <v>2</v>
      </c>
      <c r="L162" s="16" t="n">
        <f aca="false">J162*N(INDEX('04_MAQUINAS'!$F$2:$F$18,MATCH(E162,'04_MAQUINAS'!$A$2:$A$18,0)))</f>
        <v>422.8</v>
      </c>
      <c r="M162" s="17" t="n">
        <f aca="false">J162*INDEX('04_MAQUINAS'!$G$2:$G$18,MATCH(E162,'04_MAQUINAS'!$A$2:$A$18,0))*INDEX('04_MAQUINAS'!$H$2:$H$18,MATCH(E162,'04_MAQUINAS'!$A$2:$A$18,0))</f>
        <v>37.3725</v>
      </c>
      <c r="N162" s="2" t="s">
        <v>629</v>
      </c>
    </row>
    <row r="163" customFormat="false" ht="15" hidden="false" customHeight="false" outlineLevel="0" collapsed="false">
      <c r="A163" s="2" t="s">
        <v>538</v>
      </c>
      <c r="B163" s="2" t="s">
        <v>108</v>
      </c>
      <c r="C163" s="4" t="n">
        <v>4</v>
      </c>
      <c r="D163" s="2" t="s">
        <v>443</v>
      </c>
      <c r="E163" s="2" t="s">
        <v>395</v>
      </c>
      <c r="F163" s="5" t="n">
        <f aca="false">INDEX('08_PEDIDOS'!$D$2:$D$97,MATCH(A163,'08_PEDIDOS'!$A$2:$A$97,0))</f>
        <v>6</v>
      </c>
      <c r="G163" s="5" t="n">
        <f aca="false">INDEX('08_PEDIDOS'!$H$2:$H$97,MATCH(A163,'08_PEDIDOS'!$A$2:$A$97,0))</f>
        <v>10</v>
      </c>
      <c r="H163" s="17" t="n">
        <f aca="false">SUMIFS('05_RUTAS'!$F$2:$F$407,'05_RUTAS'!$A$2:$A$407,B163,'05_RUTAS'!$C$2:$C$407,C163)</f>
        <v>3</v>
      </c>
      <c r="I163" s="18" t="n">
        <f aca="false">SUMIFS('05_RUTAS'!$G$2:$G$407,'05_RUTAS'!$A$2:$A$407,B163,'05_RUTAS'!$C$2:$C$407,C163)</f>
        <v>25.5</v>
      </c>
      <c r="J163" s="18" t="n">
        <f aca="false">(ROUNDUP(F163/G163,0)*H163+F163*I163)/60</f>
        <v>2.6</v>
      </c>
      <c r="K163" s="5" t="n">
        <f aca="false">MONTH(INDEX('08_PEDIDOS'!$F$2:$F$97,MATCH(A163,'08_PEDIDOS'!$A$2:$A$97,0)))</f>
        <v>2</v>
      </c>
      <c r="L163" s="16" t="n">
        <f aca="false">J163*N(INDEX('04_MAQUINAS'!$F$2:$F$18,MATCH(E163,'04_MAQUINAS'!$A$2:$A$18,0)))</f>
        <v>54.6</v>
      </c>
      <c r="M163" s="17" t="n">
        <f aca="false">J163*INDEX('04_MAQUINAS'!$G$2:$G$18,MATCH(E163,'04_MAQUINAS'!$A$2:$A$18,0))*INDEX('04_MAQUINAS'!$H$2:$H$18,MATCH(E163,'04_MAQUINAS'!$A$2:$A$18,0))</f>
        <v>1.95</v>
      </c>
      <c r="N163" s="2" t="s">
        <v>629</v>
      </c>
    </row>
    <row r="164" customFormat="false" ht="15" hidden="false" customHeight="false" outlineLevel="0" collapsed="false">
      <c r="A164" s="2" t="s">
        <v>538</v>
      </c>
      <c r="B164" s="2" t="s">
        <v>108</v>
      </c>
      <c r="C164" s="4" t="n">
        <v>5</v>
      </c>
      <c r="D164" s="2" t="s">
        <v>444</v>
      </c>
      <c r="E164" s="2" t="s">
        <v>399</v>
      </c>
      <c r="F164" s="5" t="n">
        <f aca="false">INDEX('08_PEDIDOS'!$D$2:$D$97,MATCH(A164,'08_PEDIDOS'!$A$2:$A$97,0))</f>
        <v>6</v>
      </c>
      <c r="G164" s="5" t="n">
        <f aca="false">INDEX('08_PEDIDOS'!$H$2:$H$97,MATCH(A164,'08_PEDIDOS'!$A$2:$A$97,0))</f>
        <v>10</v>
      </c>
      <c r="H164" s="17" t="n">
        <f aca="false">SUMIFS('05_RUTAS'!$F$2:$F$407,'05_RUTAS'!$A$2:$A$407,B164,'05_RUTAS'!$C$2:$C$407,C164)</f>
        <v>6</v>
      </c>
      <c r="I164" s="18" t="n">
        <f aca="false">SUMIFS('05_RUTAS'!$G$2:$G$407,'05_RUTAS'!$A$2:$A$407,B164,'05_RUTAS'!$C$2:$C$407,C164)</f>
        <v>37.528</v>
      </c>
      <c r="J164" s="18" t="n">
        <f aca="false">(ROUNDUP(F164/G164,0)*H164+F164*I164)/60</f>
        <v>3.8528</v>
      </c>
      <c r="K164" s="5" t="n">
        <f aca="false">MONTH(INDEX('08_PEDIDOS'!$F$2:$F$97,MATCH(A164,'08_PEDIDOS'!$A$2:$A$97,0)))</f>
        <v>2</v>
      </c>
      <c r="L164" s="16" t="n">
        <f aca="false">J164*N(INDEX('04_MAQUINAS'!$F$2:$F$18,MATCH(E164,'04_MAQUINAS'!$A$2:$A$18,0)))</f>
        <v>73.2032</v>
      </c>
      <c r="M164" s="17" t="n">
        <f aca="false">J164*INDEX('04_MAQUINAS'!$G$2:$G$18,MATCH(E164,'04_MAQUINAS'!$A$2:$A$18,0))*INDEX('04_MAQUINAS'!$H$2:$H$18,MATCH(E164,'04_MAQUINAS'!$A$2:$A$18,0))</f>
        <v>3.390464</v>
      </c>
      <c r="N164" s="2" t="s">
        <v>629</v>
      </c>
    </row>
    <row r="165" customFormat="false" ht="15" hidden="false" customHeight="false" outlineLevel="0" collapsed="false">
      <c r="A165" s="2" t="s">
        <v>538</v>
      </c>
      <c r="B165" s="2" t="s">
        <v>108</v>
      </c>
      <c r="C165" s="4" t="n">
        <v>6</v>
      </c>
      <c r="D165" s="2" t="s">
        <v>445</v>
      </c>
      <c r="E165" s="2" t="s">
        <v>402</v>
      </c>
      <c r="F165" s="5" t="n">
        <f aca="false">INDEX('08_PEDIDOS'!$D$2:$D$97,MATCH(A165,'08_PEDIDOS'!$A$2:$A$97,0))</f>
        <v>6</v>
      </c>
      <c r="G165" s="5" t="n">
        <f aca="false">INDEX('08_PEDIDOS'!$H$2:$H$97,MATCH(A165,'08_PEDIDOS'!$A$2:$A$97,0))</f>
        <v>10</v>
      </c>
      <c r="H165" s="17" t="n">
        <f aca="false">SUMIFS('05_RUTAS'!$F$2:$F$407,'05_RUTAS'!$A$2:$A$407,B165,'05_RUTAS'!$C$2:$C$407,C165)</f>
        <v>12</v>
      </c>
      <c r="I165" s="18" t="n">
        <f aca="false">SUMIFS('05_RUTAS'!$G$2:$G$407,'05_RUTAS'!$A$2:$A$407,B165,'05_RUTAS'!$C$2:$C$407,C165)</f>
        <v>6.83</v>
      </c>
      <c r="J165" s="18" t="n">
        <f aca="false">(ROUNDUP(F165/G165,0)*H165+F165*I165)/60</f>
        <v>0.883</v>
      </c>
      <c r="K165" s="5" t="n">
        <f aca="false">MONTH(INDEX('08_PEDIDOS'!$F$2:$F$97,MATCH(A165,'08_PEDIDOS'!$A$2:$A$97,0)))</f>
        <v>2</v>
      </c>
      <c r="L165" s="16" t="n">
        <f aca="false">J165*N(INDEX('04_MAQUINAS'!$F$2:$F$18,MATCH(E165,'04_MAQUINAS'!$A$2:$A$18,0)))</f>
        <v>28.256</v>
      </c>
      <c r="M165" s="17" t="n">
        <f aca="false">J165*INDEX('04_MAQUINAS'!$G$2:$G$18,MATCH(E165,'04_MAQUINAS'!$A$2:$A$18,0))*INDEX('04_MAQUINAS'!$H$2:$H$18,MATCH(E165,'04_MAQUINAS'!$A$2:$A$18,0))</f>
        <v>0.92715</v>
      </c>
      <c r="N165" s="2" t="s">
        <v>629</v>
      </c>
    </row>
    <row r="166" customFormat="false" ht="15" hidden="false" customHeight="false" outlineLevel="0" collapsed="false">
      <c r="A166" s="2" t="s">
        <v>538</v>
      </c>
      <c r="B166" s="2" t="s">
        <v>108</v>
      </c>
      <c r="C166" s="4" t="n">
        <v>7</v>
      </c>
      <c r="D166" s="2" t="s">
        <v>447</v>
      </c>
      <c r="E166" s="2" t="s">
        <v>421</v>
      </c>
      <c r="F166" s="5" t="n">
        <f aca="false">INDEX('08_PEDIDOS'!$D$2:$D$97,MATCH(A166,'08_PEDIDOS'!$A$2:$A$97,0))</f>
        <v>6</v>
      </c>
      <c r="G166" s="5" t="n">
        <f aca="false">INDEX('08_PEDIDOS'!$H$2:$H$97,MATCH(A166,'08_PEDIDOS'!$A$2:$A$97,0))</f>
        <v>10</v>
      </c>
      <c r="H166" s="17" t="n">
        <f aca="false">SUMIFS('05_RUTAS'!$F$2:$F$407,'05_RUTAS'!$A$2:$A$407,B166,'05_RUTAS'!$C$2:$C$407,C166)</f>
        <v>45</v>
      </c>
      <c r="I166" s="18" t="n">
        <f aca="false">SUMIFS('05_RUTAS'!$G$2:$G$407,'05_RUTAS'!$A$2:$A$407,B166,'05_RUTAS'!$C$2:$C$407,C166)</f>
        <v>0</v>
      </c>
      <c r="J166" s="18" t="n">
        <f aca="false">(ROUNDUP(F166/G166,0)*H166+F166*I166)/60</f>
        <v>0.75</v>
      </c>
      <c r="K166" s="5" t="n">
        <f aca="false">MONTH(INDEX('08_PEDIDOS'!$F$2:$F$97,MATCH(A166,'08_PEDIDOS'!$A$2:$A$97,0)))</f>
        <v>2</v>
      </c>
      <c r="L166" s="16" t="n">
        <f aca="false">J166*N(INDEX('04_MAQUINAS'!$F$2:$F$18,MATCH(E166,'04_MAQUINAS'!$A$2:$A$18,0)))</f>
        <v>19.5</v>
      </c>
      <c r="M166" s="17" t="n">
        <f aca="false">J166*INDEX('04_MAQUINAS'!$G$2:$G$18,MATCH(E166,'04_MAQUINAS'!$A$2:$A$18,0))*INDEX('04_MAQUINAS'!$H$2:$H$18,MATCH(E166,'04_MAQUINAS'!$A$2:$A$18,0))</f>
        <v>10.8</v>
      </c>
      <c r="N166" s="2" t="s">
        <v>629</v>
      </c>
    </row>
    <row r="167" customFormat="false" ht="15" hidden="false" customHeight="false" outlineLevel="0" collapsed="false">
      <c r="A167" s="2" t="s">
        <v>538</v>
      </c>
      <c r="B167" s="2" t="s">
        <v>108</v>
      </c>
      <c r="C167" s="4" t="n">
        <v>8</v>
      </c>
      <c r="D167" s="2" t="s">
        <v>449</v>
      </c>
      <c r="E167" s="2" t="s">
        <v>423</v>
      </c>
      <c r="F167" s="5" t="n">
        <f aca="false">INDEX('08_PEDIDOS'!$D$2:$D$97,MATCH(A167,'08_PEDIDOS'!$A$2:$A$97,0))</f>
        <v>6</v>
      </c>
      <c r="G167" s="5" t="n">
        <f aca="false">INDEX('08_PEDIDOS'!$H$2:$H$97,MATCH(A167,'08_PEDIDOS'!$A$2:$A$97,0))</f>
        <v>10</v>
      </c>
      <c r="H167" s="17" t="n">
        <f aca="false">SUMIFS('05_RUTAS'!$F$2:$F$407,'05_RUTAS'!$A$2:$A$407,B167,'05_RUTAS'!$C$2:$C$407,C167)</f>
        <v>8</v>
      </c>
      <c r="I167" s="18" t="n">
        <f aca="false">SUMIFS('05_RUTAS'!$G$2:$G$407,'05_RUTAS'!$A$2:$A$407,B167,'05_RUTAS'!$C$2:$C$407,C167)</f>
        <v>2.42</v>
      </c>
      <c r="J167" s="18" t="n">
        <f aca="false">(ROUNDUP(F167/G167,0)*H167+F167*I167)/60</f>
        <v>0.375333333333333</v>
      </c>
      <c r="K167" s="5" t="n">
        <f aca="false">MONTH(INDEX('08_PEDIDOS'!$F$2:$F$97,MATCH(A167,'08_PEDIDOS'!$A$2:$A$97,0)))</f>
        <v>2</v>
      </c>
      <c r="L167" s="16" t="n">
        <f aca="false">J167*N(INDEX('04_MAQUINAS'!$F$2:$F$18,MATCH(E167,'04_MAQUINAS'!$A$2:$A$18,0)))</f>
        <v>6.00533333333333</v>
      </c>
      <c r="M167" s="17" t="n">
        <f aca="false">J167*INDEX('04_MAQUINAS'!$G$2:$G$18,MATCH(E167,'04_MAQUINAS'!$A$2:$A$18,0))*INDEX('04_MAQUINAS'!$H$2:$H$18,MATCH(E167,'04_MAQUINAS'!$A$2:$A$18,0))</f>
        <v>0.0938333333333333</v>
      </c>
      <c r="N167" s="2" t="s">
        <v>629</v>
      </c>
    </row>
    <row r="168" customFormat="false" ht="15" hidden="false" customHeight="false" outlineLevel="0" collapsed="false">
      <c r="A168" s="2" t="s">
        <v>538</v>
      </c>
      <c r="B168" s="2" t="s">
        <v>108</v>
      </c>
      <c r="C168" s="4" t="n">
        <v>9</v>
      </c>
      <c r="D168" s="2" t="s">
        <v>450</v>
      </c>
      <c r="E168" s="2" t="s">
        <v>406</v>
      </c>
      <c r="F168" s="5" t="n">
        <f aca="false">INDEX('08_PEDIDOS'!$D$2:$D$97,MATCH(A168,'08_PEDIDOS'!$A$2:$A$97,0))</f>
        <v>6</v>
      </c>
      <c r="G168" s="5" t="n">
        <f aca="false">INDEX('08_PEDIDOS'!$H$2:$H$97,MATCH(A168,'08_PEDIDOS'!$A$2:$A$97,0))</f>
        <v>10</v>
      </c>
      <c r="H168" s="17" t="n">
        <f aca="false">SUMIFS('05_RUTAS'!$F$2:$F$407,'05_RUTAS'!$A$2:$A$407,B168,'05_RUTAS'!$C$2:$C$407,C168)</f>
        <v>6</v>
      </c>
      <c r="I168" s="18" t="n">
        <f aca="false">SUMIFS('05_RUTAS'!$G$2:$G$407,'05_RUTAS'!$A$2:$A$407,B168,'05_RUTAS'!$C$2:$C$407,C168)</f>
        <v>56.25</v>
      </c>
      <c r="J168" s="18" t="n">
        <f aca="false">(ROUNDUP(F168/G168,0)*H168+F168*I168)/60</f>
        <v>5.725</v>
      </c>
      <c r="K168" s="5" t="n">
        <f aca="false">MONTH(INDEX('08_PEDIDOS'!$F$2:$F$97,MATCH(A168,'08_PEDIDOS'!$A$2:$A$97,0)))</f>
        <v>2</v>
      </c>
      <c r="L168" s="16" t="n">
        <f aca="false">J168*N(INDEX('04_MAQUINAS'!$F$2:$F$18,MATCH(E168,'04_MAQUINAS'!$A$2:$A$18,0)))</f>
        <v>108.775</v>
      </c>
      <c r="M168" s="17" t="n">
        <f aca="false">J168*INDEX('04_MAQUINAS'!$G$2:$G$18,MATCH(E168,'04_MAQUINAS'!$A$2:$A$18,0))*INDEX('04_MAQUINAS'!$H$2:$H$18,MATCH(E168,'04_MAQUINAS'!$A$2:$A$18,0))</f>
        <v>1.7175</v>
      </c>
      <c r="N168" s="2" t="s">
        <v>629</v>
      </c>
    </row>
    <row r="169" customFormat="false" ht="15" hidden="false" customHeight="false" outlineLevel="0" collapsed="false">
      <c r="A169" s="2" t="s">
        <v>538</v>
      </c>
      <c r="B169" s="2" t="s">
        <v>108</v>
      </c>
      <c r="C169" s="4" t="n">
        <v>10</v>
      </c>
      <c r="D169" s="2" t="s">
        <v>451</v>
      </c>
      <c r="E169" s="2" t="s">
        <v>408</v>
      </c>
      <c r="F169" s="5" t="n">
        <f aca="false">INDEX('08_PEDIDOS'!$D$2:$D$97,MATCH(A169,'08_PEDIDOS'!$A$2:$A$97,0))</f>
        <v>6</v>
      </c>
      <c r="G169" s="5" t="n">
        <f aca="false">INDEX('08_PEDIDOS'!$H$2:$H$97,MATCH(A169,'08_PEDIDOS'!$A$2:$A$97,0))</f>
        <v>10</v>
      </c>
      <c r="H169" s="17" t="n">
        <f aca="false">SUMIFS('05_RUTAS'!$F$2:$F$407,'05_RUTAS'!$A$2:$A$407,B169,'05_RUTAS'!$C$2:$C$407,C169)</f>
        <v>2</v>
      </c>
      <c r="I169" s="18" t="n">
        <f aca="false">SUMIFS('05_RUTAS'!$G$2:$G$407,'05_RUTAS'!$A$2:$A$407,B169,'05_RUTAS'!$C$2:$C$407,C169)</f>
        <v>3.52</v>
      </c>
      <c r="J169" s="18" t="n">
        <f aca="false">(ROUNDUP(F169/G169,0)*H169+F169*I169)/60</f>
        <v>0.385333333333333</v>
      </c>
      <c r="K169" s="5" t="n">
        <f aca="false">MONTH(INDEX('08_PEDIDOS'!$F$2:$F$97,MATCH(A169,'08_PEDIDOS'!$A$2:$A$97,0)))</f>
        <v>2</v>
      </c>
      <c r="L169" s="16" t="n">
        <f aca="false">J169*N(INDEX('04_MAQUINAS'!$F$2:$F$18,MATCH(E169,'04_MAQUINAS'!$A$2:$A$18,0)))</f>
        <v>7.70666666666667</v>
      </c>
      <c r="M169" s="17" t="n">
        <f aca="false">J169*INDEX('04_MAQUINAS'!$G$2:$G$18,MATCH(E169,'04_MAQUINAS'!$A$2:$A$18,0))*INDEX('04_MAQUINAS'!$H$2:$H$18,MATCH(E169,'04_MAQUINAS'!$A$2:$A$18,0))</f>
        <v>0.0385333333333333</v>
      </c>
      <c r="N169" s="2" t="s">
        <v>629</v>
      </c>
    </row>
    <row r="170" customFormat="false" ht="15" hidden="false" customHeight="false" outlineLevel="0" collapsed="false">
      <c r="A170" s="2" t="s">
        <v>538</v>
      </c>
      <c r="B170" s="2" t="s">
        <v>108</v>
      </c>
      <c r="C170" s="4" t="n">
        <v>11</v>
      </c>
      <c r="D170" s="2" t="s">
        <v>452</v>
      </c>
      <c r="E170" s="2" t="s">
        <v>411</v>
      </c>
      <c r="F170" s="5" t="n">
        <f aca="false">INDEX('08_PEDIDOS'!$D$2:$D$97,MATCH(A170,'08_PEDIDOS'!$A$2:$A$97,0))</f>
        <v>6</v>
      </c>
      <c r="G170" s="5" t="n">
        <f aca="false">INDEX('08_PEDIDOS'!$H$2:$H$97,MATCH(A170,'08_PEDIDOS'!$A$2:$A$97,0))</f>
        <v>10</v>
      </c>
      <c r="H170" s="17" t="n">
        <f aca="false">SUMIFS('05_RUTAS'!$F$2:$F$407,'05_RUTAS'!$A$2:$A$407,B170,'05_RUTAS'!$C$2:$C$407,C170)</f>
        <v>2</v>
      </c>
      <c r="I170" s="18" t="n">
        <f aca="false">SUMIFS('05_RUTAS'!$G$2:$G$407,'05_RUTAS'!$A$2:$A$407,B170,'05_RUTAS'!$C$2:$C$407,C170)</f>
        <v>4.78</v>
      </c>
      <c r="J170" s="18" t="n">
        <f aca="false">(ROUNDUP(F170/G170,0)*H170+F170*I170)/60</f>
        <v>0.511333333333333</v>
      </c>
      <c r="K170" s="5" t="n">
        <f aca="false">MONTH(INDEX('08_PEDIDOS'!$F$2:$F$97,MATCH(A170,'08_PEDIDOS'!$A$2:$A$97,0)))</f>
        <v>2</v>
      </c>
      <c r="L170" s="16" t="n">
        <f aca="false">J170*N(INDEX('04_MAQUINAS'!$F$2:$F$18,MATCH(E170,'04_MAQUINAS'!$A$2:$A$18,0)))</f>
        <v>9.204</v>
      </c>
      <c r="M170" s="17" t="n">
        <f aca="false">J170*INDEX('04_MAQUINAS'!$G$2:$G$18,MATCH(E170,'04_MAQUINAS'!$A$2:$A$18,0))*INDEX('04_MAQUINAS'!$H$2:$H$18,MATCH(E170,'04_MAQUINAS'!$A$2:$A$18,0))</f>
        <v>0.04602</v>
      </c>
      <c r="N170" s="2" t="s">
        <v>629</v>
      </c>
    </row>
    <row r="171" customFormat="false" ht="15" hidden="false" customHeight="false" outlineLevel="0" collapsed="false">
      <c r="A171" s="2" t="s">
        <v>539</v>
      </c>
      <c r="B171" s="2" t="s">
        <v>119</v>
      </c>
      <c r="C171" s="4" t="n">
        <v>1</v>
      </c>
      <c r="D171" s="2" t="s">
        <v>437</v>
      </c>
      <c r="E171" s="2" t="s">
        <v>375</v>
      </c>
      <c r="F171" s="5" t="n">
        <f aca="false">INDEX('08_PEDIDOS'!$D$2:$D$97,MATCH(A171,'08_PEDIDOS'!$A$2:$A$97,0))</f>
        <v>10</v>
      </c>
      <c r="G171" s="5" t="n">
        <f aca="false">INDEX('08_PEDIDOS'!$H$2:$H$97,MATCH(A171,'08_PEDIDOS'!$A$2:$A$97,0))</f>
        <v>10</v>
      </c>
      <c r="H171" s="17" t="n">
        <f aca="false">SUMIFS('05_RUTAS'!$F$2:$F$407,'05_RUTAS'!$A$2:$A$407,B171,'05_RUTAS'!$C$2:$C$407,C171)</f>
        <v>8</v>
      </c>
      <c r="I171" s="18" t="n">
        <f aca="false">SUMIFS('05_RUTAS'!$G$2:$G$407,'05_RUTAS'!$A$2:$A$407,B171,'05_RUTAS'!$C$2:$C$407,C171)</f>
        <v>35.56</v>
      </c>
      <c r="J171" s="18" t="n">
        <f aca="false">(ROUNDUP(F171/G171,0)*H171+F171*I171)/60</f>
        <v>6.06</v>
      </c>
      <c r="K171" s="5" t="n">
        <f aca="false">MONTH(INDEX('08_PEDIDOS'!$F$2:$F$97,MATCH(A171,'08_PEDIDOS'!$A$2:$A$97,0)))</f>
        <v>2</v>
      </c>
      <c r="L171" s="16" t="n">
        <f aca="false">J171*N(INDEX('04_MAQUINAS'!$F$2:$F$18,MATCH(E171,'04_MAQUINAS'!$A$2:$A$18,0)))</f>
        <v>145.44</v>
      </c>
      <c r="M171" s="17" t="n">
        <f aca="false">J171*INDEX('04_MAQUINAS'!$G$2:$G$18,MATCH(E171,'04_MAQUINAS'!$A$2:$A$18,0))*INDEX('04_MAQUINAS'!$H$2:$H$18,MATCH(E171,'04_MAQUINAS'!$A$2:$A$18,0))</f>
        <v>16.665</v>
      </c>
      <c r="N171" s="2" t="s">
        <v>629</v>
      </c>
    </row>
    <row r="172" customFormat="false" ht="15" hidden="false" customHeight="false" outlineLevel="0" collapsed="false">
      <c r="A172" s="2" t="s">
        <v>539</v>
      </c>
      <c r="B172" s="2" t="s">
        <v>119</v>
      </c>
      <c r="C172" s="4" t="n">
        <v>2</v>
      </c>
      <c r="D172" s="2" t="s">
        <v>386</v>
      </c>
      <c r="E172" s="2" t="s">
        <v>383</v>
      </c>
      <c r="F172" s="5" t="n">
        <f aca="false">INDEX('08_PEDIDOS'!$D$2:$D$97,MATCH(A172,'08_PEDIDOS'!$A$2:$A$97,0))</f>
        <v>10</v>
      </c>
      <c r="G172" s="5" t="n">
        <f aca="false">INDEX('08_PEDIDOS'!$H$2:$H$97,MATCH(A172,'08_PEDIDOS'!$A$2:$A$97,0))</f>
        <v>10</v>
      </c>
      <c r="H172" s="17" t="n">
        <f aca="false">SUMIFS('05_RUTAS'!$F$2:$F$407,'05_RUTAS'!$A$2:$A$407,B172,'05_RUTAS'!$C$2:$C$407,C172)</f>
        <v>10</v>
      </c>
      <c r="I172" s="18" t="n">
        <f aca="false">SUMIFS('05_RUTAS'!$G$2:$G$407,'05_RUTAS'!$A$2:$A$407,B172,'05_RUTAS'!$C$2:$C$407,C172)</f>
        <v>5.8</v>
      </c>
      <c r="J172" s="18" t="n">
        <f aca="false">(ROUNDUP(F172/G172,0)*H172+F172*I172)/60</f>
        <v>1.13333333333333</v>
      </c>
      <c r="K172" s="5" t="n">
        <f aca="false">MONTH(INDEX('08_PEDIDOS'!$F$2:$F$97,MATCH(A172,'08_PEDIDOS'!$A$2:$A$97,0)))</f>
        <v>2</v>
      </c>
      <c r="L172" s="16" t="n">
        <f aca="false">J172*N(INDEX('04_MAQUINAS'!$F$2:$F$18,MATCH(E172,'04_MAQUINAS'!$A$2:$A$18,0)))</f>
        <v>24.9333333333333</v>
      </c>
      <c r="M172" s="17" t="n">
        <f aca="false">J172*INDEX('04_MAQUINAS'!$G$2:$G$18,MATCH(E172,'04_MAQUINAS'!$A$2:$A$18,0))*INDEX('04_MAQUINAS'!$H$2:$H$18,MATCH(E172,'04_MAQUINAS'!$A$2:$A$18,0))</f>
        <v>0.311666666666667</v>
      </c>
      <c r="N172" s="2" t="s">
        <v>629</v>
      </c>
    </row>
    <row r="173" customFormat="false" ht="15" hidden="false" customHeight="false" outlineLevel="0" collapsed="false">
      <c r="A173" s="2" t="s">
        <v>539</v>
      </c>
      <c r="B173" s="2" t="s">
        <v>119</v>
      </c>
      <c r="C173" s="4" t="n">
        <v>3</v>
      </c>
      <c r="D173" s="2" t="s">
        <v>390</v>
      </c>
      <c r="E173" s="2" t="s">
        <v>387</v>
      </c>
      <c r="F173" s="5" t="n">
        <f aca="false">INDEX('08_PEDIDOS'!$D$2:$D$97,MATCH(A173,'08_PEDIDOS'!$A$2:$A$97,0))</f>
        <v>10</v>
      </c>
      <c r="G173" s="5" t="n">
        <f aca="false">INDEX('08_PEDIDOS'!$H$2:$H$97,MATCH(A173,'08_PEDIDOS'!$A$2:$A$97,0))</f>
        <v>10</v>
      </c>
      <c r="H173" s="17" t="n">
        <f aca="false">SUMIFS('05_RUTAS'!$F$2:$F$407,'05_RUTAS'!$A$2:$A$407,B173,'05_RUTAS'!$C$2:$C$407,C173)</f>
        <v>12</v>
      </c>
      <c r="I173" s="18" t="n">
        <f aca="false">SUMIFS('05_RUTAS'!$G$2:$G$407,'05_RUTAS'!$A$2:$A$407,B173,'05_RUTAS'!$C$2:$C$407,C173)</f>
        <v>86</v>
      </c>
      <c r="J173" s="18" t="n">
        <f aca="false">(ROUNDUP(F173/G173,0)*H173+F173*I173)/60</f>
        <v>14.5333333333333</v>
      </c>
      <c r="K173" s="5" t="n">
        <f aca="false">MONTH(INDEX('08_PEDIDOS'!$F$2:$F$97,MATCH(A173,'08_PEDIDOS'!$A$2:$A$97,0)))</f>
        <v>2</v>
      </c>
      <c r="L173" s="16" t="n">
        <f aca="false">J173*N(INDEX('04_MAQUINAS'!$F$2:$F$18,MATCH(E173,'04_MAQUINAS'!$A$2:$A$18,0)))</f>
        <v>406.933333333333</v>
      </c>
      <c r="M173" s="17" t="n">
        <f aca="false">J173*INDEX('04_MAQUINAS'!$G$2:$G$18,MATCH(E173,'04_MAQUINAS'!$A$2:$A$18,0))*INDEX('04_MAQUINAS'!$H$2:$H$18,MATCH(E173,'04_MAQUINAS'!$A$2:$A$18,0))</f>
        <v>35.97</v>
      </c>
      <c r="N173" s="2" t="s">
        <v>629</v>
      </c>
    </row>
    <row r="174" customFormat="false" ht="15" hidden="false" customHeight="false" outlineLevel="0" collapsed="false">
      <c r="A174" s="2" t="s">
        <v>539</v>
      </c>
      <c r="B174" s="2" t="s">
        <v>119</v>
      </c>
      <c r="C174" s="4" t="n">
        <v>4</v>
      </c>
      <c r="D174" s="2" t="s">
        <v>443</v>
      </c>
      <c r="E174" s="2" t="s">
        <v>395</v>
      </c>
      <c r="F174" s="5" t="n">
        <f aca="false">INDEX('08_PEDIDOS'!$D$2:$D$97,MATCH(A174,'08_PEDIDOS'!$A$2:$A$97,0))</f>
        <v>10</v>
      </c>
      <c r="G174" s="5" t="n">
        <f aca="false">INDEX('08_PEDIDOS'!$H$2:$H$97,MATCH(A174,'08_PEDIDOS'!$A$2:$A$97,0))</f>
        <v>10</v>
      </c>
      <c r="H174" s="17" t="n">
        <f aca="false">SUMIFS('05_RUTAS'!$F$2:$F$407,'05_RUTAS'!$A$2:$A$407,B174,'05_RUTAS'!$C$2:$C$407,C174)</f>
        <v>3</v>
      </c>
      <c r="I174" s="18" t="n">
        <f aca="false">SUMIFS('05_RUTAS'!$G$2:$G$407,'05_RUTAS'!$A$2:$A$407,B174,'05_RUTAS'!$C$2:$C$407,C174)</f>
        <v>15</v>
      </c>
      <c r="J174" s="18" t="n">
        <f aca="false">(ROUNDUP(F174/G174,0)*H174+F174*I174)/60</f>
        <v>2.55</v>
      </c>
      <c r="K174" s="5" t="n">
        <f aca="false">MONTH(INDEX('08_PEDIDOS'!$F$2:$F$97,MATCH(A174,'08_PEDIDOS'!$A$2:$A$97,0)))</f>
        <v>2</v>
      </c>
      <c r="L174" s="16" t="n">
        <f aca="false">J174*N(INDEX('04_MAQUINAS'!$F$2:$F$18,MATCH(E174,'04_MAQUINAS'!$A$2:$A$18,0)))</f>
        <v>53.55</v>
      </c>
      <c r="M174" s="17" t="n">
        <f aca="false">J174*INDEX('04_MAQUINAS'!$G$2:$G$18,MATCH(E174,'04_MAQUINAS'!$A$2:$A$18,0))*INDEX('04_MAQUINAS'!$H$2:$H$18,MATCH(E174,'04_MAQUINAS'!$A$2:$A$18,0))</f>
        <v>1.9125</v>
      </c>
      <c r="N174" s="2" t="s">
        <v>629</v>
      </c>
    </row>
    <row r="175" customFormat="false" ht="15" hidden="false" customHeight="false" outlineLevel="0" collapsed="false">
      <c r="A175" s="2" t="s">
        <v>539</v>
      </c>
      <c r="B175" s="2" t="s">
        <v>119</v>
      </c>
      <c r="C175" s="4" t="n">
        <v>5</v>
      </c>
      <c r="D175" s="2" t="s">
        <v>444</v>
      </c>
      <c r="E175" s="2" t="s">
        <v>399</v>
      </c>
      <c r="F175" s="5" t="n">
        <f aca="false">INDEX('08_PEDIDOS'!$D$2:$D$97,MATCH(A175,'08_PEDIDOS'!$A$2:$A$97,0))</f>
        <v>10</v>
      </c>
      <c r="G175" s="5" t="n">
        <f aca="false">INDEX('08_PEDIDOS'!$H$2:$H$97,MATCH(A175,'08_PEDIDOS'!$A$2:$A$97,0))</f>
        <v>10</v>
      </c>
      <c r="H175" s="17" t="n">
        <f aca="false">SUMIFS('05_RUTAS'!$F$2:$F$407,'05_RUTAS'!$A$2:$A$407,B175,'05_RUTAS'!$C$2:$C$407,C175)</f>
        <v>6</v>
      </c>
      <c r="I175" s="18" t="n">
        <f aca="false">SUMIFS('05_RUTAS'!$G$2:$G$407,'05_RUTAS'!$A$2:$A$407,B175,'05_RUTAS'!$C$2:$C$407,C175)</f>
        <v>25.712</v>
      </c>
      <c r="J175" s="18" t="n">
        <f aca="false">(ROUNDUP(F175/G175,0)*H175+F175*I175)/60</f>
        <v>4.38533333333333</v>
      </c>
      <c r="K175" s="5" t="n">
        <f aca="false">MONTH(INDEX('08_PEDIDOS'!$F$2:$F$97,MATCH(A175,'08_PEDIDOS'!$A$2:$A$97,0)))</f>
        <v>2</v>
      </c>
      <c r="L175" s="16" t="n">
        <f aca="false">J175*N(INDEX('04_MAQUINAS'!$F$2:$F$18,MATCH(E175,'04_MAQUINAS'!$A$2:$A$18,0)))</f>
        <v>83.3213333333333</v>
      </c>
      <c r="M175" s="17" t="n">
        <f aca="false">J175*INDEX('04_MAQUINAS'!$G$2:$G$18,MATCH(E175,'04_MAQUINAS'!$A$2:$A$18,0))*INDEX('04_MAQUINAS'!$H$2:$H$18,MATCH(E175,'04_MAQUINAS'!$A$2:$A$18,0))</f>
        <v>3.85909333333333</v>
      </c>
      <c r="N175" s="2" t="s">
        <v>629</v>
      </c>
    </row>
    <row r="176" customFormat="false" ht="15" hidden="false" customHeight="false" outlineLevel="0" collapsed="false">
      <c r="A176" s="2" t="s">
        <v>539</v>
      </c>
      <c r="B176" s="2" t="s">
        <v>119</v>
      </c>
      <c r="C176" s="4" t="n">
        <v>6</v>
      </c>
      <c r="D176" s="2" t="s">
        <v>445</v>
      </c>
      <c r="E176" s="2" t="s">
        <v>402</v>
      </c>
      <c r="F176" s="5" t="n">
        <f aca="false">INDEX('08_PEDIDOS'!$D$2:$D$97,MATCH(A176,'08_PEDIDOS'!$A$2:$A$97,0))</f>
        <v>10</v>
      </c>
      <c r="G176" s="5" t="n">
        <f aca="false">INDEX('08_PEDIDOS'!$H$2:$H$97,MATCH(A176,'08_PEDIDOS'!$A$2:$A$97,0))</f>
        <v>10</v>
      </c>
      <c r="H176" s="17" t="n">
        <f aca="false">SUMIFS('05_RUTAS'!$F$2:$F$407,'05_RUTAS'!$A$2:$A$407,B176,'05_RUTAS'!$C$2:$C$407,C176)</f>
        <v>12</v>
      </c>
      <c r="I176" s="18" t="n">
        <f aca="false">SUMIFS('05_RUTAS'!$G$2:$G$407,'05_RUTAS'!$A$2:$A$407,B176,'05_RUTAS'!$C$2:$C$407,C176)</f>
        <v>6.58</v>
      </c>
      <c r="J176" s="18" t="n">
        <f aca="false">(ROUNDUP(F176/G176,0)*H176+F176*I176)/60</f>
        <v>1.29666666666667</v>
      </c>
      <c r="K176" s="5" t="n">
        <f aca="false">MONTH(INDEX('08_PEDIDOS'!$F$2:$F$97,MATCH(A176,'08_PEDIDOS'!$A$2:$A$97,0)))</f>
        <v>2</v>
      </c>
      <c r="L176" s="16" t="n">
        <f aca="false">J176*N(INDEX('04_MAQUINAS'!$F$2:$F$18,MATCH(E176,'04_MAQUINAS'!$A$2:$A$18,0)))</f>
        <v>41.4933333333333</v>
      </c>
      <c r="M176" s="17" t="n">
        <f aca="false">J176*INDEX('04_MAQUINAS'!$G$2:$G$18,MATCH(E176,'04_MAQUINAS'!$A$2:$A$18,0))*INDEX('04_MAQUINAS'!$H$2:$H$18,MATCH(E176,'04_MAQUINAS'!$A$2:$A$18,0))</f>
        <v>1.3615</v>
      </c>
      <c r="N176" s="2" t="s">
        <v>629</v>
      </c>
    </row>
    <row r="177" customFormat="false" ht="15" hidden="false" customHeight="false" outlineLevel="0" collapsed="false">
      <c r="A177" s="2" t="s">
        <v>539</v>
      </c>
      <c r="B177" s="2" t="s">
        <v>119</v>
      </c>
      <c r="C177" s="4" t="n">
        <v>7</v>
      </c>
      <c r="D177" s="2" t="s">
        <v>447</v>
      </c>
      <c r="E177" s="2" t="s">
        <v>421</v>
      </c>
      <c r="F177" s="5" t="n">
        <f aca="false">INDEX('08_PEDIDOS'!$D$2:$D$97,MATCH(A177,'08_PEDIDOS'!$A$2:$A$97,0))</f>
        <v>10</v>
      </c>
      <c r="G177" s="5" t="n">
        <f aca="false">INDEX('08_PEDIDOS'!$H$2:$H$97,MATCH(A177,'08_PEDIDOS'!$A$2:$A$97,0))</f>
        <v>10</v>
      </c>
      <c r="H177" s="17" t="n">
        <f aca="false">SUMIFS('05_RUTAS'!$F$2:$F$407,'05_RUTAS'!$A$2:$A$407,B177,'05_RUTAS'!$C$2:$C$407,C177)</f>
        <v>45</v>
      </c>
      <c r="I177" s="18" t="n">
        <f aca="false">SUMIFS('05_RUTAS'!$G$2:$G$407,'05_RUTAS'!$A$2:$A$407,B177,'05_RUTAS'!$C$2:$C$407,C177)</f>
        <v>0</v>
      </c>
      <c r="J177" s="18" t="n">
        <f aca="false">(ROUNDUP(F177/G177,0)*H177+F177*I177)/60</f>
        <v>0.75</v>
      </c>
      <c r="K177" s="5" t="n">
        <f aca="false">MONTH(INDEX('08_PEDIDOS'!$F$2:$F$97,MATCH(A177,'08_PEDIDOS'!$A$2:$A$97,0)))</f>
        <v>2</v>
      </c>
      <c r="L177" s="16" t="n">
        <f aca="false">J177*N(INDEX('04_MAQUINAS'!$F$2:$F$18,MATCH(E177,'04_MAQUINAS'!$A$2:$A$18,0)))</f>
        <v>19.5</v>
      </c>
      <c r="M177" s="17" t="n">
        <f aca="false">J177*INDEX('04_MAQUINAS'!$G$2:$G$18,MATCH(E177,'04_MAQUINAS'!$A$2:$A$18,0))*INDEX('04_MAQUINAS'!$H$2:$H$18,MATCH(E177,'04_MAQUINAS'!$A$2:$A$18,0))</f>
        <v>10.8</v>
      </c>
      <c r="N177" s="2" t="s">
        <v>629</v>
      </c>
    </row>
    <row r="178" customFormat="false" ht="15" hidden="false" customHeight="false" outlineLevel="0" collapsed="false">
      <c r="A178" s="2" t="s">
        <v>539</v>
      </c>
      <c r="B178" s="2" t="s">
        <v>119</v>
      </c>
      <c r="C178" s="4" t="n">
        <v>8</v>
      </c>
      <c r="D178" s="2" t="s">
        <v>449</v>
      </c>
      <c r="E178" s="2" t="s">
        <v>423</v>
      </c>
      <c r="F178" s="5" t="n">
        <f aca="false">INDEX('08_PEDIDOS'!$D$2:$D$97,MATCH(A178,'08_PEDIDOS'!$A$2:$A$97,0))</f>
        <v>10</v>
      </c>
      <c r="G178" s="5" t="n">
        <f aca="false">INDEX('08_PEDIDOS'!$H$2:$H$97,MATCH(A178,'08_PEDIDOS'!$A$2:$A$97,0))</f>
        <v>10</v>
      </c>
      <c r="H178" s="17" t="n">
        <f aca="false">SUMIFS('05_RUTAS'!$F$2:$F$407,'05_RUTAS'!$A$2:$A$407,B178,'05_RUTAS'!$C$2:$C$407,C178)</f>
        <v>8</v>
      </c>
      <c r="I178" s="18" t="n">
        <f aca="false">SUMIFS('05_RUTAS'!$G$2:$G$407,'05_RUTAS'!$A$2:$A$407,B178,'05_RUTAS'!$C$2:$C$407,C178)</f>
        <v>2.36</v>
      </c>
      <c r="J178" s="18" t="n">
        <f aca="false">(ROUNDUP(F178/G178,0)*H178+F178*I178)/60</f>
        <v>0.526666666666667</v>
      </c>
      <c r="K178" s="5" t="n">
        <f aca="false">MONTH(INDEX('08_PEDIDOS'!$F$2:$F$97,MATCH(A178,'08_PEDIDOS'!$A$2:$A$97,0)))</f>
        <v>2</v>
      </c>
      <c r="L178" s="16" t="n">
        <f aca="false">J178*N(INDEX('04_MAQUINAS'!$F$2:$F$18,MATCH(E178,'04_MAQUINAS'!$A$2:$A$18,0)))</f>
        <v>8.42666666666667</v>
      </c>
      <c r="M178" s="17" t="n">
        <f aca="false">J178*INDEX('04_MAQUINAS'!$G$2:$G$18,MATCH(E178,'04_MAQUINAS'!$A$2:$A$18,0))*INDEX('04_MAQUINAS'!$H$2:$H$18,MATCH(E178,'04_MAQUINAS'!$A$2:$A$18,0))</f>
        <v>0.131666666666667</v>
      </c>
      <c r="N178" s="2" t="s">
        <v>629</v>
      </c>
    </row>
    <row r="179" customFormat="false" ht="15" hidden="false" customHeight="false" outlineLevel="0" collapsed="false">
      <c r="A179" s="2" t="s">
        <v>539</v>
      </c>
      <c r="B179" s="2" t="s">
        <v>119</v>
      </c>
      <c r="C179" s="4" t="n">
        <v>9</v>
      </c>
      <c r="D179" s="2" t="s">
        <v>450</v>
      </c>
      <c r="E179" s="2" t="s">
        <v>406</v>
      </c>
      <c r="F179" s="5" t="n">
        <f aca="false">INDEX('08_PEDIDOS'!$D$2:$D$97,MATCH(A179,'08_PEDIDOS'!$A$2:$A$97,0))</f>
        <v>10</v>
      </c>
      <c r="G179" s="5" t="n">
        <f aca="false">INDEX('08_PEDIDOS'!$H$2:$H$97,MATCH(A179,'08_PEDIDOS'!$A$2:$A$97,0))</f>
        <v>10</v>
      </c>
      <c r="H179" s="17" t="n">
        <f aca="false">SUMIFS('05_RUTAS'!$F$2:$F$407,'05_RUTAS'!$A$2:$A$407,B179,'05_RUTAS'!$C$2:$C$407,C179)</f>
        <v>6</v>
      </c>
      <c r="I179" s="18" t="n">
        <f aca="false">SUMIFS('05_RUTAS'!$G$2:$G$407,'05_RUTAS'!$A$2:$A$407,B179,'05_RUTAS'!$C$2:$C$407,C179)</f>
        <v>27</v>
      </c>
      <c r="J179" s="18" t="n">
        <f aca="false">(ROUNDUP(F179/G179,0)*H179+F179*I179)/60</f>
        <v>4.6</v>
      </c>
      <c r="K179" s="5" t="n">
        <f aca="false">MONTH(INDEX('08_PEDIDOS'!$F$2:$F$97,MATCH(A179,'08_PEDIDOS'!$A$2:$A$97,0)))</f>
        <v>2</v>
      </c>
      <c r="L179" s="16" t="n">
        <f aca="false">J179*N(INDEX('04_MAQUINAS'!$F$2:$F$18,MATCH(E179,'04_MAQUINAS'!$A$2:$A$18,0)))</f>
        <v>87.4</v>
      </c>
      <c r="M179" s="17" t="n">
        <f aca="false">J179*INDEX('04_MAQUINAS'!$G$2:$G$18,MATCH(E179,'04_MAQUINAS'!$A$2:$A$18,0))*INDEX('04_MAQUINAS'!$H$2:$H$18,MATCH(E179,'04_MAQUINAS'!$A$2:$A$18,0))</f>
        <v>1.38</v>
      </c>
      <c r="N179" s="2" t="s">
        <v>629</v>
      </c>
    </row>
    <row r="180" customFormat="false" ht="15" hidden="false" customHeight="false" outlineLevel="0" collapsed="false">
      <c r="A180" s="2" t="s">
        <v>539</v>
      </c>
      <c r="B180" s="2" t="s">
        <v>119</v>
      </c>
      <c r="C180" s="4" t="n">
        <v>10</v>
      </c>
      <c r="D180" s="2" t="s">
        <v>451</v>
      </c>
      <c r="E180" s="2" t="s">
        <v>408</v>
      </c>
      <c r="F180" s="5" t="n">
        <f aca="false">INDEX('08_PEDIDOS'!$D$2:$D$97,MATCH(A180,'08_PEDIDOS'!$A$2:$A$97,0))</f>
        <v>10</v>
      </c>
      <c r="G180" s="5" t="n">
        <f aca="false">INDEX('08_PEDIDOS'!$H$2:$H$97,MATCH(A180,'08_PEDIDOS'!$A$2:$A$97,0))</f>
        <v>10</v>
      </c>
      <c r="H180" s="17" t="n">
        <f aca="false">SUMIFS('05_RUTAS'!$F$2:$F$407,'05_RUTAS'!$A$2:$A$407,B180,'05_RUTAS'!$C$2:$C$407,C180)</f>
        <v>2</v>
      </c>
      <c r="I180" s="18" t="n">
        <f aca="false">SUMIFS('05_RUTAS'!$G$2:$G$407,'05_RUTAS'!$A$2:$A$407,B180,'05_RUTAS'!$C$2:$C$407,C180)</f>
        <v>3.45</v>
      </c>
      <c r="J180" s="18" t="n">
        <f aca="false">(ROUNDUP(F180/G180,0)*H180+F180*I180)/60</f>
        <v>0.608333333333333</v>
      </c>
      <c r="K180" s="5" t="n">
        <f aca="false">MONTH(INDEX('08_PEDIDOS'!$F$2:$F$97,MATCH(A180,'08_PEDIDOS'!$A$2:$A$97,0)))</f>
        <v>2</v>
      </c>
      <c r="L180" s="16" t="n">
        <f aca="false">J180*N(INDEX('04_MAQUINAS'!$F$2:$F$18,MATCH(E180,'04_MAQUINAS'!$A$2:$A$18,0)))</f>
        <v>12.1666666666667</v>
      </c>
      <c r="M180" s="17" t="n">
        <f aca="false">J180*INDEX('04_MAQUINAS'!$G$2:$G$18,MATCH(E180,'04_MAQUINAS'!$A$2:$A$18,0))*INDEX('04_MAQUINAS'!$H$2:$H$18,MATCH(E180,'04_MAQUINAS'!$A$2:$A$18,0))</f>
        <v>0.0608333333333333</v>
      </c>
      <c r="N180" s="2" t="s">
        <v>629</v>
      </c>
    </row>
    <row r="181" customFormat="false" ht="15" hidden="false" customHeight="false" outlineLevel="0" collapsed="false">
      <c r="A181" s="2" t="s">
        <v>539</v>
      </c>
      <c r="B181" s="2" t="s">
        <v>119</v>
      </c>
      <c r="C181" s="4" t="n">
        <v>11</v>
      </c>
      <c r="D181" s="2" t="s">
        <v>452</v>
      </c>
      <c r="E181" s="2" t="s">
        <v>411</v>
      </c>
      <c r="F181" s="5" t="n">
        <f aca="false">INDEX('08_PEDIDOS'!$D$2:$D$97,MATCH(A181,'08_PEDIDOS'!$A$2:$A$97,0))</f>
        <v>10</v>
      </c>
      <c r="G181" s="5" t="n">
        <f aca="false">INDEX('08_PEDIDOS'!$H$2:$H$97,MATCH(A181,'08_PEDIDOS'!$A$2:$A$97,0))</f>
        <v>10</v>
      </c>
      <c r="H181" s="17" t="n">
        <f aca="false">SUMIFS('05_RUTAS'!$F$2:$F$407,'05_RUTAS'!$A$2:$A$407,B181,'05_RUTAS'!$C$2:$C$407,C181)</f>
        <v>2</v>
      </c>
      <c r="I181" s="18" t="n">
        <f aca="false">SUMIFS('05_RUTAS'!$G$2:$G$407,'05_RUTAS'!$A$2:$A$407,B181,'05_RUTAS'!$C$2:$C$407,C181)</f>
        <v>4.67</v>
      </c>
      <c r="J181" s="18" t="n">
        <f aca="false">(ROUNDUP(F181/G181,0)*H181+F181*I181)/60</f>
        <v>0.811666666666667</v>
      </c>
      <c r="K181" s="5" t="n">
        <f aca="false">MONTH(INDEX('08_PEDIDOS'!$F$2:$F$97,MATCH(A181,'08_PEDIDOS'!$A$2:$A$97,0)))</f>
        <v>2</v>
      </c>
      <c r="L181" s="16" t="n">
        <f aca="false">J181*N(INDEX('04_MAQUINAS'!$F$2:$F$18,MATCH(E181,'04_MAQUINAS'!$A$2:$A$18,0)))</f>
        <v>14.61</v>
      </c>
      <c r="M181" s="17" t="n">
        <f aca="false">J181*INDEX('04_MAQUINAS'!$G$2:$G$18,MATCH(E181,'04_MAQUINAS'!$A$2:$A$18,0))*INDEX('04_MAQUINAS'!$H$2:$H$18,MATCH(E181,'04_MAQUINAS'!$A$2:$A$18,0))</f>
        <v>0.07305</v>
      </c>
      <c r="N181" s="2" t="s">
        <v>629</v>
      </c>
    </row>
    <row r="182" customFormat="false" ht="15" hidden="false" customHeight="false" outlineLevel="0" collapsed="false">
      <c r="A182" s="2" t="s">
        <v>540</v>
      </c>
      <c r="B182" s="2" t="s">
        <v>121</v>
      </c>
      <c r="C182" s="4" t="n">
        <v>1</v>
      </c>
      <c r="D182" s="2" t="s">
        <v>437</v>
      </c>
      <c r="E182" s="2" t="s">
        <v>375</v>
      </c>
      <c r="F182" s="5" t="n">
        <f aca="false">INDEX('08_PEDIDOS'!$D$2:$D$97,MATCH(A182,'08_PEDIDOS'!$A$2:$A$97,0))</f>
        <v>10</v>
      </c>
      <c r="G182" s="5" t="n">
        <f aca="false">INDEX('08_PEDIDOS'!$H$2:$H$97,MATCH(A182,'08_PEDIDOS'!$A$2:$A$97,0))</f>
        <v>10</v>
      </c>
      <c r="H182" s="17" t="n">
        <f aca="false">SUMIFS('05_RUTAS'!$F$2:$F$407,'05_RUTAS'!$A$2:$A$407,B182,'05_RUTAS'!$C$2:$C$407,C182)</f>
        <v>8</v>
      </c>
      <c r="I182" s="18" t="n">
        <f aca="false">SUMIFS('05_RUTAS'!$G$2:$G$407,'05_RUTAS'!$A$2:$A$407,B182,'05_RUTAS'!$C$2:$C$407,C182)</f>
        <v>35.92</v>
      </c>
      <c r="J182" s="18" t="n">
        <f aca="false">(ROUNDUP(F182/G182,0)*H182+F182*I182)/60</f>
        <v>6.12</v>
      </c>
      <c r="K182" s="5" t="n">
        <f aca="false">MONTH(INDEX('08_PEDIDOS'!$F$2:$F$97,MATCH(A182,'08_PEDIDOS'!$A$2:$A$97,0)))</f>
        <v>2</v>
      </c>
      <c r="L182" s="16" t="n">
        <f aca="false">J182*N(INDEX('04_MAQUINAS'!$F$2:$F$18,MATCH(E182,'04_MAQUINAS'!$A$2:$A$18,0)))</f>
        <v>146.88</v>
      </c>
      <c r="M182" s="17" t="n">
        <f aca="false">J182*INDEX('04_MAQUINAS'!$G$2:$G$18,MATCH(E182,'04_MAQUINAS'!$A$2:$A$18,0))*INDEX('04_MAQUINAS'!$H$2:$H$18,MATCH(E182,'04_MAQUINAS'!$A$2:$A$18,0))</f>
        <v>16.83</v>
      </c>
      <c r="N182" s="2" t="s">
        <v>629</v>
      </c>
    </row>
    <row r="183" customFormat="false" ht="15" hidden="false" customHeight="false" outlineLevel="0" collapsed="false">
      <c r="A183" s="2" t="s">
        <v>540</v>
      </c>
      <c r="B183" s="2" t="s">
        <v>121</v>
      </c>
      <c r="C183" s="4" t="n">
        <v>2</v>
      </c>
      <c r="D183" s="2" t="s">
        <v>441</v>
      </c>
      <c r="E183" s="2" t="s">
        <v>380</v>
      </c>
      <c r="F183" s="5" t="n">
        <f aca="false">INDEX('08_PEDIDOS'!$D$2:$D$97,MATCH(A183,'08_PEDIDOS'!$A$2:$A$97,0))</f>
        <v>10</v>
      </c>
      <c r="G183" s="5" t="n">
        <f aca="false">INDEX('08_PEDIDOS'!$H$2:$H$97,MATCH(A183,'08_PEDIDOS'!$A$2:$A$97,0))</f>
        <v>10</v>
      </c>
      <c r="H183" s="17" t="n">
        <f aca="false">SUMIFS('05_RUTAS'!$F$2:$F$407,'05_RUTAS'!$A$2:$A$407,B183,'05_RUTAS'!$C$2:$C$407,C183)</f>
        <v>8</v>
      </c>
      <c r="I183" s="18" t="n">
        <f aca="false">SUMIFS('05_RUTAS'!$G$2:$G$407,'05_RUTAS'!$A$2:$A$407,B183,'05_RUTAS'!$C$2:$C$407,C183)</f>
        <v>32.28</v>
      </c>
      <c r="J183" s="18" t="n">
        <f aca="false">(ROUNDUP(F183/G183,0)*H183+F183*I183)/60</f>
        <v>5.51333333333333</v>
      </c>
      <c r="K183" s="5" t="n">
        <f aca="false">MONTH(INDEX('08_PEDIDOS'!$F$2:$F$97,MATCH(A183,'08_PEDIDOS'!$A$2:$A$97,0)))</f>
        <v>2</v>
      </c>
      <c r="L183" s="16" t="n">
        <f aca="false">J183*N(INDEX('04_MAQUINAS'!$F$2:$F$18,MATCH(E183,'04_MAQUINAS'!$A$2:$A$18,0)))</f>
        <v>121.293333333333</v>
      </c>
      <c r="M183" s="17" t="n">
        <f aca="false">J183*INDEX('04_MAQUINAS'!$G$2:$G$18,MATCH(E183,'04_MAQUINAS'!$A$2:$A$18,0))*INDEX('04_MAQUINAS'!$H$2:$H$18,MATCH(E183,'04_MAQUINAS'!$A$2:$A$18,0))</f>
        <v>2.481</v>
      </c>
      <c r="N183" s="2" t="s">
        <v>629</v>
      </c>
    </row>
    <row r="184" customFormat="false" ht="15" hidden="false" customHeight="false" outlineLevel="0" collapsed="false">
      <c r="A184" s="2" t="s">
        <v>540</v>
      </c>
      <c r="B184" s="2" t="s">
        <v>121</v>
      </c>
      <c r="C184" s="4" t="n">
        <v>3</v>
      </c>
      <c r="D184" s="2" t="s">
        <v>386</v>
      </c>
      <c r="E184" s="2" t="s">
        <v>383</v>
      </c>
      <c r="F184" s="5" t="n">
        <f aca="false">INDEX('08_PEDIDOS'!$D$2:$D$97,MATCH(A184,'08_PEDIDOS'!$A$2:$A$97,0))</f>
        <v>10</v>
      </c>
      <c r="G184" s="5" t="n">
        <f aca="false">INDEX('08_PEDIDOS'!$H$2:$H$97,MATCH(A184,'08_PEDIDOS'!$A$2:$A$97,0))</f>
        <v>10</v>
      </c>
      <c r="H184" s="17" t="n">
        <f aca="false">SUMIFS('05_RUTAS'!$F$2:$F$407,'05_RUTAS'!$A$2:$A$407,B184,'05_RUTAS'!$C$2:$C$407,C184)</f>
        <v>10</v>
      </c>
      <c r="I184" s="18" t="n">
        <f aca="false">SUMIFS('05_RUTAS'!$G$2:$G$407,'05_RUTAS'!$A$2:$A$407,B184,'05_RUTAS'!$C$2:$C$407,C184)</f>
        <v>54.8</v>
      </c>
      <c r="J184" s="18" t="n">
        <f aca="false">(ROUNDUP(F184/G184,0)*H184+F184*I184)/60</f>
        <v>9.3</v>
      </c>
      <c r="K184" s="5" t="n">
        <f aca="false">MONTH(INDEX('08_PEDIDOS'!$F$2:$F$97,MATCH(A184,'08_PEDIDOS'!$A$2:$A$97,0)))</f>
        <v>2</v>
      </c>
      <c r="L184" s="16" t="n">
        <f aca="false">J184*N(INDEX('04_MAQUINAS'!$F$2:$F$18,MATCH(E184,'04_MAQUINAS'!$A$2:$A$18,0)))</f>
        <v>204.6</v>
      </c>
      <c r="M184" s="17" t="n">
        <f aca="false">J184*INDEX('04_MAQUINAS'!$G$2:$G$18,MATCH(E184,'04_MAQUINAS'!$A$2:$A$18,0))*INDEX('04_MAQUINAS'!$H$2:$H$18,MATCH(E184,'04_MAQUINAS'!$A$2:$A$18,0))</f>
        <v>2.5575</v>
      </c>
      <c r="N184" s="2" t="s">
        <v>629</v>
      </c>
    </row>
    <row r="185" customFormat="false" ht="15" hidden="false" customHeight="false" outlineLevel="0" collapsed="false">
      <c r="A185" s="2" t="s">
        <v>540</v>
      </c>
      <c r="B185" s="2" t="s">
        <v>121</v>
      </c>
      <c r="C185" s="4" t="n">
        <v>4</v>
      </c>
      <c r="D185" s="2" t="s">
        <v>390</v>
      </c>
      <c r="E185" s="2" t="s">
        <v>387</v>
      </c>
      <c r="F185" s="5" t="n">
        <f aca="false">INDEX('08_PEDIDOS'!$D$2:$D$97,MATCH(A185,'08_PEDIDOS'!$A$2:$A$97,0))</f>
        <v>10</v>
      </c>
      <c r="G185" s="5" t="n">
        <f aca="false">INDEX('08_PEDIDOS'!$H$2:$H$97,MATCH(A185,'08_PEDIDOS'!$A$2:$A$97,0))</f>
        <v>10</v>
      </c>
      <c r="H185" s="17" t="n">
        <f aca="false">SUMIFS('05_RUTAS'!$F$2:$F$407,'05_RUTAS'!$A$2:$A$407,B185,'05_RUTAS'!$C$2:$C$407,C185)</f>
        <v>12</v>
      </c>
      <c r="I185" s="18" t="n">
        <f aca="false">SUMIFS('05_RUTAS'!$G$2:$G$407,'05_RUTAS'!$A$2:$A$407,B185,'05_RUTAS'!$C$2:$C$407,C185)</f>
        <v>85</v>
      </c>
      <c r="J185" s="18" t="n">
        <f aca="false">(ROUNDUP(F185/G185,0)*H185+F185*I185)/60</f>
        <v>14.3666666666667</v>
      </c>
      <c r="K185" s="5" t="n">
        <f aca="false">MONTH(INDEX('08_PEDIDOS'!$F$2:$F$97,MATCH(A185,'08_PEDIDOS'!$A$2:$A$97,0)))</f>
        <v>2</v>
      </c>
      <c r="L185" s="16" t="n">
        <f aca="false">J185*N(INDEX('04_MAQUINAS'!$F$2:$F$18,MATCH(E185,'04_MAQUINAS'!$A$2:$A$18,0)))</f>
        <v>402.266666666667</v>
      </c>
      <c r="M185" s="17" t="n">
        <f aca="false">J185*INDEX('04_MAQUINAS'!$G$2:$G$18,MATCH(E185,'04_MAQUINAS'!$A$2:$A$18,0))*INDEX('04_MAQUINAS'!$H$2:$H$18,MATCH(E185,'04_MAQUINAS'!$A$2:$A$18,0))</f>
        <v>35.5575</v>
      </c>
      <c r="N185" s="2" t="s">
        <v>629</v>
      </c>
    </row>
    <row r="186" customFormat="false" ht="15" hidden="false" customHeight="false" outlineLevel="0" collapsed="false">
      <c r="A186" s="2" t="s">
        <v>540</v>
      </c>
      <c r="B186" s="2" t="s">
        <v>121</v>
      </c>
      <c r="C186" s="4" t="n">
        <v>5</v>
      </c>
      <c r="D186" s="2" t="s">
        <v>443</v>
      </c>
      <c r="E186" s="2" t="s">
        <v>395</v>
      </c>
      <c r="F186" s="5" t="n">
        <f aca="false">INDEX('08_PEDIDOS'!$D$2:$D$97,MATCH(A186,'08_PEDIDOS'!$A$2:$A$97,0))</f>
        <v>10</v>
      </c>
      <c r="G186" s="5" t="n">
        <f aca="false">INDEX('08_PEDIDOS'!$H$2:$H$97,MATCH(A186,'08_PEDIDOS'!$A$2:$A$97,0))</f>
        <v>10</v>
      </c>
      <c r="H186" s="17" t="n">
        <f aca="false">SUMIFS('05_RUTAS'!$F$2:$F$407,'05_RUTAS'!$A$2:$A$407,B186,'05_RUTAS'!$C$2:$C$407,C186)</f>
        <v>3</v>
      </c>
      <c r="I186" s="18" t="n">
        <f aca="false">SUMIFS('05_RUTAS'!$G$2:$G$407,'05_RUTAS'!$A$2:$A$407,B186,'05_RUTAS'!$C$2:$C$407,C186)</f>
        <v>37.5</v>
      </c>
      <c r="J186" s="18" t="n">
        <f aca="false">(ROUNDUP(F186/G186,0)*H186+F186*I186)/60</f>
        <v>6.3</v>
      </c>
      <c r="K186" s="5" t="n">
        <f aca="false">MONTH(INDEX('08_PEDIDOS'!$F$2:$F$97,MATCH(A186,'08_PEDIDOS'!$A$2:$A$97,0)))</f>
        <v>2</v>
      </c>
      <c r="L186" s="16" t="n">
        <f aca="false">J186*N(INDEX('04_MAQUINAS'!$F$2:$F$18,MATCH(E186,'04_MAQUINAS'!$A$2:$A$18,0)))</f>
        <v>132.3</v>
      </c>
      <c r="M186" s="17" t="n">
        <f aca="false">J186*INDEX('04_MAQUINAS'!$G$2:$G$18,MATCH(E186,'04_MAQUINAS'!$A$2:$A$18,0))*INDEX('04_MAQUINAS'!$H$2:$H$18,MATCH(E186,'04_MAQUINAS'!$A$2:$A$18,0))</f>
        <v>4.725</v>
      </c>
      <c r="N186" s="2" t="s">
        <v>629</v>
      </c>
    </row>
    <row r="187" customFormat="false" ht="15" hidden="false" customHeight="false" outlineLevel="0" collapsed="false">
      <c r="A187" s="2" t="s">
        <v>540</v>
      </c>
      <c r="B187" s="2" t="s">
        <v>121</v>
      </c>
      <c r="C187" s="4" t="n">
        <v>6</v>
      </c>
      <c r="D187" s="2" t="s">
        <v>444</v>
      </c>
      <c r="E187" s="2" t="s">
        <v>399</v>
      </c>
      <c r="F187" s="5" t="n">
        <f aca="false">INDEX('08_PEDIDOS'!$D$2:$D$97,MATCH(A187,'08_PEDIDOS'!$A$2:$A$97,0))</f>
        <v>10</v>
      </c>
      <c r="G187" s="5" t="n">
        <f aca="false">INDEX('08_PEDIDOS'!$H$2:$H$97,MATCH(A187,'08_PEDIDOS'!$A$2:$A$97,0))</f>
        <v>10</v>
      </c>
      <c r="H187" s="17" t="n">
        <f aca="false">SUMIFS('05_RUTAS'!$F$2:$F$407,'05_RUTAS'!$A$2:$A$407,B187,'05_RUTAS'!$C$2:$C$407,C187)</f>
        <v>6</v>
      </c>
      <c r="I187" s="18" t="n">
        <f aca="false">SUMIFS('05_RUTAS'!$G$2:$G$407,'05_RUTAS'!$A$2:$A$407,B187,'05_RUTAS'!$C$2:$C$407,C187)</f>
        <v>24.4752</v>
      </c>
      <c r="J187" s="18" t="n">
        <f aca="false">(ROUNDUP(F187/G187,0)*H187+F187*I187)/60</f>
        <v>4.1792</v>
      </c>
      <c r="K187" s="5" t="n">
        <f aca="false">MONTH(INDEX('08_PEDIDOS'!$F$2:$F$97,MATCH(A187,'08_PEDIDOS'!$A$2:$A$97,0)))</f>
        <v>2</v>
      </c>
      <c r="L187" s="16" t="n">
        <f aca="false">J187*N(INDEX('04_MAQUINAS'!$F$2:$F$18,MATCH(E187,'04_MAQUINAS'!$A$2:$A$18,0)))</f>
        <v>79.4048</v>
      </c>
      <c r="M187" s="17" t="n">
        <f aca="false">J187*INDEX('04_MAQUINAS'!$G$2:$G$18,MATCH(E187,'04_MAQUINAS'!$A$2:$A$18,0))*INDEX('04_MAQUINAS'!$H$2:$H$18,MATCH(E187,'04_MAQUINAS'!$A$2:$A$18,0))</f>
        <v>3.677696</v>
      </c>
      <c r="N187" s="2" t="s">
        <v>629</v>
      </c>
    </row>
    <row r="188" customFormat="false" ht="15" hidden="false" customHeight="false" outlineLevel="0" collapsed="false">
      <c r="A188" s="2" t="s">
        <v>540</v>
      </c>
      <c r="B188" s="2" t="s">
        <v>121</v>
      </c>
      <c r="C188" s="4" t="n">
        <v>7</v>
      </c>
      <c r="D188" s="2" t="s">
        <v>445</v>
      </c>
      <c r="E188" s="2" t="s">
        <v>402</v>
      </c>
      <c r="F188" s="5" t="n">
        <f aca="false">INDEX('08_PEDIDOS'!$D$2:$D$97,MATCH(A188,'08_PEDIDOS'!$A$2:$A$97,0))</f>
        <v>10</v>
      </c>
      <c r="G188" s="5" t="n">
        <f aca="false">INDEX('08_PEDIDOS'!$H$2:$H$97,MATCH(A188,'08_PEDIDOS'!$A$2:$A$97,0))</f>
        <v>10</v>
      </c>
      <c r="H188" s="17" t="n">
        <f aca="false">SUMIFS('05_RUTAS'!$F$2:$F$407,'05_RUTAS'!$A$2:$A$407,B188,'05_RUTAS'!$C$2:$C$407,C188)</f>
        <v>12</v>
      </c>
      <c r="I188" s="18" t="n">
        <f aca="false">SUMIFS('05_RUTAS'!$G$2:$G$407,'05_RUTAS'!$A$2:$A$407,B188,'05_RUTAS'!$C$2:$C$407,C188)</f>
        <v>6.58</v>
      </c>
      <c r="J188" s="18" t="n">
        <f aca="false">(ROUNDUP(F188/G188,0)*H188+F188*I188)/60</f>
        <v>1.29666666666667</v>
      </c>
      <c r="K188" s="5" t="n">
        <f aca="false">MONTH(INDEX('08_PEDIDOS'!$F$2:$F$97,MATCH(A188,'08_PEDIDOS'!$A$2:$A$97,0)))</f>
        <v>2</v>
      </c>
      <c r="L188" s="16" t="n">
        <f aca="false">J188*N(INDEX('04_MAQUINAS'!$F$2:$F$18,MATCH(E188,'04_MAQUINAS'!$A$2:$A$18,0)))</f>
        <v>41.4933333333333</v>
      </c>
      <c r="M188" s="17" t="n">
        <f aca="false">J188*INDEX('04_MAQUINAS'!$G$2:$G$18,MATCH(E188,'04_MAQUINAS'!$A$2:$A$18,0))*INDEX('04_MAQUINAS'!$H$2:$H$18,MATCH(E188,'04_MAQUINAS'!$A$2:$A$18,0))</f>
        <v>1.3615</v>
      </c>
      <c r="N188" s="2" t="s">
        <v>629</v>
      </c>
    </row>
    <row r="189" customFormat="false" ht="15" hidden="false" customHeight="false" outlineLevel="0" collapsed="false">
      <c r="A189" s="2" t="s">
        <v>540</v>
      </c>
      <c r="B189" s="2" t="s">
        <v>121</v>
      </c>
      <c r="C189" s="4" t="n">
        <v>8</v>
      </c>
      <c r="D189" s="2" t="s">
        <v>447</v>
      </c>
      <c r="E189" s="2" t="s">
        <v>421</v>
      </c>
      <c r="F189" s="5" t="n">
        <f aca="false">INDEX('08_PEDIDOS'!$D$2:$D$97,MATCH(A189,'08_PEDIDOS'!$A$2:$A$97,0))</f>
        <v>10</v>
      </c>
      <c r="G189" s="5" t="n">
        <f aca="false">INDEX('08_PEDIDOS'!$H$2:$H$97,MATCH(A189,'08_PEDIDOS'!$A$2:$A$97,0))</f>
        <v>10</v>
      </c>
      <c r="H189" s="17" t="n">
        <f aca="false">SUMIFS('05_RUTAS'!$F$2:$F$407,'05_RUTAS'!$A$2:$A$407,B189,'05_RUTAS'!$C$2:$C$407,C189)</f>
        <v>45</v>
      </c>
      <c r="I189" s="18" t="n">
        <f aca="false">SUMIFS('05_RUTAS'!$G$2:$G$407,'05_RUTAS'!$A$2:$A$407,B189,'05_RUTAS'!$C$2:$C$407,C189)</f>
        <v>0</v>
      </c>
      <c r="J189" s="18" t="n">
        <f aca="false">(ROUNDUP(F189/G189,0)*H189+F189*I189)/60</f>
        <v>0.75</v>
      </c>
      <c r="K189" s="5" t="n">
        <f aca="false">MONTH(INDEX('08_PEDIDOS'!$F$2:$F$97,MATCH(A189,'08_PEDIDOS'!$A$2:$A$97,0)))</f>
        <v>2</v>
      </c>
      <c r="L189" s="16" t="n">
        <f aca="false">J189*N(INDEX('04_MAQUINAS'!$F$2:$F$18,MATCH(E189,'04_MAQUINAS'!$A$2:$A$18,0)))</f>
        <v>19.5</v>
      </c>
      <c r="M189" s="17" t="n">
        <f aca="false">J189*INDEX('04_MAQUINAS'!$G$2:$G$18,MATCH(E189,'04_MAQUINAS'!$A$2:$A$18,0))*INDEX('04_MAQUINAS'!$H$2:$H$18,MATCH(E189,'04_MAQUINAS'!$A$2:$A$18,0))</f>
        <v>10.8</v>
      </c>
      <c r="N189" s="2" t="s">
        <v>629</v>
      </c>
    </row>
    <row r="190" customFormat="false" ht="15" hidden="false" customHeight="false" outlineLevel="0" collapsed="false">
      <c r="A190" s="2" t="s">
        <v>540</v>
      </c>
      <c r="B190" s="2" t="s">
        <v>121</v>
      </c>
      <c r="C190" s="4" t="n">
        <v>9</v>
      </c>
      <c r="D190" s="2" t="s">
        <v>449</v>
      </c>
      <c r="E190" s="2" t="s">
        <v>423</v>
      </c>
      <c r="F190" s="5" t="n">
        <f aca="false">INDEX('08_PEDIDOS'!$D$2:$D$97,MATCH(A190,'08_PEDIDOS'!$A$2:$A$97,0))</f>
        <v>10</v>
      </c>
      <c r="G190" s="5" t="n">
        <f aca="false">INDEX('08_PEDIDOS'!$H$2:$H$97,MATCH(A190,'08_PEDIDOS'!$A$2:$A$97,0))</f>
        <v>10</v>
      </c>
      <c r="H190" s="17" t="n">
        <f aca="false">SUMIFS('05_RUTAS'!$F$2:$F$407,'05_RUTAS'!$A$2:$A$407,B190,'05_RUTAS'!$C$2:$C$407,C190)</f>
        <v>8</v>
      </c>
      <c r="I190" s="18" t="n">
        <f aca="false">SUMIFS('05_RUTAS'!$G$2:$G$407,'05_RUTAS'!$A$2:$A$407,B190,'05_RUTAS'!$C$2:$C$407,C190)</f>
        <v>2.36</v>
      </c>
      <c r="J190" s="18" t="n">
        <f aca="false">(ROUNDUP(F190/G190,0)*H190+F190*I190)/60</f>
        <v>0.526666666666667</v>
      </c>
      <c r="K190" s="5" t="n">
        <f aca="false">MONTH(INDEX('08_PEDIDOS'!$F$2:$F$97,MATCH(A190,'08_PEDIDOS'!$A$2:$A$97,0)))</f>
        <v>2</v>
      </c>
      <c r="L190" s="16" t="n">
        <f aca="false">J190*N(INDEX('04_MAQUINAS'!$F$2:$F$18,MATCH(E190,'04_MAQUINAS'!$A$2:$A$18,0)))</f>
        <v>8.42666666666667</v>
      </c>
      <c r="M190" s="17" t="n">
        <f aca="false">J190*INDEX('04_MAQUINAS'!$G$2:$G$18,MATCH(E190,'04_MAQUINAS'!$A$2:$A$18,0))*INDEX('04_MAQUINAS'!$H$2:$H$18,MATCH(E190,'04_MAQUINAS'!$A$2:$A$18,0))</f>
        <v>0.131666666666667</v>
      </c>
      <c r="N190" s="2" t="s">
        <v>629</v>
      </c>
    </row>
    <row r="191" customFormat="false" ht="15" hidden="false" customHeight="false" outlineLevel="0" collapsed="false">
      <c r="A191" s="2" t="s">
        <v>540</v>
      </c>
      <c r="B191" s="2" t="s">
        <v>121</v>
      </c>
      <c r="C191" s="4" t="n">
        <v>10</v>
      </c>
      <c r="D191" s="2" t="s">
        <v>450</v>
      </c>
      <c r="E191" s="2" t="s">
        <v>406</v>
      </c>
      <c r="F191" s="5" t="n">
        <f aca="false">INDEX('08_PEDIDOS'!$D$2:$D$97,MATCH(A191,'08_PEDIDOS'!$A$2:$A$97,0))</f>
        <v>10</v>
      </c>
      <c r="G191" s="5" t="n">
        <f aca="false">INDEX('08_PEDIDOS'!$H$2:$H$97,MATCH(A191,'08_PEDIDOS'!$A$2:$A$97,0))</f>
        <v>10</v>
      </c>
      <c r="H191" s="17" t="n">
        <f aca="false">SUMIFS('05_RUTAS'!$F$2:$F$407,'05_RUTAS'!$A$2:$A$407,B191,'05_RUTAS'!$C$2:$C$407,C191)</f>
        <v>6</v>
      </c>
      <c r="I191" s="18" t="n">
        <f aca="false">SUMIFS('05_RUTAS'!$G$2:$G$407,'05_RUTAS'!$A$2:$A$407,B191,'05_RUTAS'!$C$2:$C$407,C191)</f>
        <v>61.5</v>
      </c>
      <c r="J191" s="18" t="n">
        <f aca="false">(ROUNDUP(F191/G191,0)*H191+F191*I191)/60</f>
        <v>10.35</v>
      </c>
      <c r="K191" s="5" t="n">
        <f aca="false">MONTH(INDEX('08_PEDIDOS'!$F$2:$F$97,MATCH(A191,'08_PEDIDOS'!$A$2:$A$97,0)))</f>
        <v>2</v>
      </c>
      <c r="L191" s="16" t="n">
        <f aca="false">J191*N(INDEX('04_MAQUINAS'!$F$2:$F$18,MATCH(E191,'04_MAQUINAS'!$A$2:$A$18,0)))</f>
        <v>196.65</v>
      </c>
      <c r="M191" s="17" t="n">
        <f aca="false">J191*INDEX('04_MAQUINAS'!$G$2:$G$18,MATCH(E191,'04_MAQUINAS'!$A$2:$A$18,0))*INDEX('04_MAQUINAS'!$H$2:$H$18,MATCH(E191,'04_MAQUINAS'!$A$2:$A$18,0))</f>
        <v>3.105</v>
      </c>
      <c r="N191" s="2" t="s">
        <v>629</v>
      </c>
    </row>
    <row r="192" customFormat="false" ht="15" hidden="false" customHeight="false" outlineLevel="0" collapsed="false">
      <c r="A192" s="2" t="s">
        <v>540</v>
      </c>
      <c r="B192" s="2" t="s">
        <v>121</v>
      </c>
      <c r="C192" s="4" t="n">
        <v>11</v>
      </c>
      <c r="D192" s="2" t="s">
        <v>451</v>
      </c>
      <c r="E192" s="2" t="s">
        <v>408</v>
      </c>
      <c r="F192" s="5" t="n">
        <f aca="false">INDEX('08_PEDIDOS'!$D$2:$D$97,MATCH(A192,'08_PEDIDOS'!$A$2:$A$97,0))</f>
        <v>10</v>
      </c>
      <c r="G192" s="5" t="n">
        <f aca="false">INDEX('08_PEDIDOS'!$H$2:$H$97,MATCH(A192,'08_PEDIDOS'!$A$2:$A$97,0))</f>
        <v>10</v>
      </c>
      <c r="H192" s="17" t="n">
        <f aca="false">SUMIFS('05_RUTAS'!$F$2:$F$407,'05_RUTAS'!$A$2:$A$407,B192,'05_RUTAS'!$C$2:$C$407,C192)</f>
        <v>2</v>
      </c>
      <c r="I192" s="18" t="n">
        <f aca="false">SUMIFS('05_RUTAS'!$G$2:$G$407,'05_RUTAS'!$A$2:$A$407,B192,'05_RUTAS'!$C$2:$C$407,C192)</f>
        <v>3.45</v>
      </c>
      <c r="J192" s="18" t="n">
        <f aca="false">(ROUNDUP(F192/G192,0)*H192+F192*I192)/60</f>
        <v>0.608333333333333</v>
      </c>
      <c r="K192" s="5" t="n">
        <f aca="false">MONTH(INDEX('08_PEDIDOS'!$F$2:$F$97,MATCH(A192,'08_PEDIDOS'!$A$2:$A$97,0)))</f>
        <v>2</v>
      </c>
      <c r="L192" s="16" t="n">
        <f aca="false">J192*N(INDEX('04_MAQUINAS'!$F$2:$F$18,MATCH(E192,'04_MAQUINAS'!$A$2:$A$18,0)))</f>
        <v>12.1666666666667</v>
      </c>
      <c r="M192" s="17" t="n">
        <f aca="false">J192*INDEX('04_MAQUINAS'!$G$2:$G$18,MATCH(E192,'04_MAQUINAS'!$A$2:$A$18,0))*INDEX('04_MAQUINAS'!$H$2:$H$18,MATCH(E192,'04_MAQUINAS'!$A$2:$A$18,0))</f>
        <v>0.0608333333333333</v>
      </c>
      <c r="N192" s="2" t="s">
        <v>629</v>
      </c>
    </row>
    <row r="193" customFormat="false" ht="15" hidden="false" customHeight="false" outlineLevel="0" collapsed="false">
      <c r="A193" s="2" t="s">
        <v>540</v>
      </c>
      <c r="B193" s="2" t="s">
        <v>121</v>
      </c>
      <c r="C193" s="4" t="n">
        <v>12</v>
      </c>
      <c r="D193" s="2" t="s">
        <v>452</v>
      </c>
      <c r="E193" s="2" t="s">
        <v>411</v>
      </c>
      <c r="F193" s="5" t="n">
        <f aca="false">INDEX('08_PEDIDOS'!$D$2:$D$97,MATCH(A193,'08_PEDIDOS'!$A$2:$A$97,0))</f>
        <v>10</v>
      </c>
      <c r="G193" s="5" t="n">
        <f aca="false">INDEX('08_PEDIDOS'!$H$2:$H$97,MATCH(A193,'08_PEDIDOS'!$A$2:$A$97,0))</f>
        <v>10</v>
      </c>
      <c r="H193" s="17" t="n">
        <f aca="false">SUMIFS('05_RUTAS'!$F$2:$F$407,'05_RUTAS'!$A$2:$A$407,B193,'05_RUTAS'!$C$2:$C$407,C193)</f>
        <v>2</v>
      </c>
      <c r="I193" s="18" t="n">
        <f aca="false">SUMIFS('05_RUTAS'!$G$2:$G$407,'05_RUTAS'!$A$2:$A$407,B193,'05_RUTAS'!$C$2:$C$407,C193)</f>
        <v>4.67</v>
      </c>
      <c r="J193" s="18" t="n">
        <f aca="false">(ROUNDUP(F193/G193,0)*H193+F193*I193)/60</f>
        <v>0.811666666666667</v>
      </c>
      <c r="K193" s="5" t="n">
        <f aca="false">MONTH(INDEX('08_PEDIDOS'!$F$2:$F$97,MATCH(A193,'08_PEDIDOS'!$A$2:$A$97,0)))</f>
        <v>2</v>
      </c>
      <c r="L193" s="16" t="n">
        <f aca="false">J193*N(INDEX('04_MAQUINAS'!$F$2:$F$18,MATCH(E193,'04_MAQUINAS'!$A$2:$A$18,0)))</f>
        <v>14.61</v>
      </c>
      <c r="M193" s="17" t="n">
        <f aca="false">J193*INDEX('04_MAQUINAS'!$G$2:$G$18,MATCH(E193,'04_MAQUINAS'!$A$2:$A$18,0))*INDEX('04_MAQUINAS'!$H$2:$H$18,MATCH(E193,'04_MAQUINAS'!$A$2:$A$18,0))</f>
        <v>0.07305</v>
      </c>
      <c r="N193" s="2" t="s">
        <v>629</v>
      </c>
    </row>
    <row r="194" customFormat="false" ht="15" hidden="false" customHeight="false" outlineLevel="0" collapsed="false">
      <c r="A194" s="2" t="s">
        <v>541</v>
      </c>
      <c r="B194" s="2" t="s">
        <v>80</v>
      </c>
      <c r="C194" s="4" t="n">
        <v>1</v>
      </c>
      <c r="D194" s="2" t="s">
        <v>437</v>
      </c>
      <c r="E194" s="2" t="s">
        <v>375</v>
      </c>
      <c r="F194" s="5" t="n">
        <f aca="false">INDEX('08_PEDIDOS'!$D$2:$D$97,MATCH(A194,'08_PEDIDOS'!$A$2:$A$97,0))</f>
        <v>12</v>
      </c>
      <c r="G194" s="5" t="n">
        <f aca="false">INDEX('08_PEDIDOS'!$H$2:$H$97,MATCH(A194,'08_PEDIDOS'!$A$2:$A$97,0))</f>
        <v>10</v>
      </c>
      <c r="H194" s="17" t="n">
        <f aca="false">SUMIFS('05_RUTAS'!$F$2:$F$407,'05_RUTAS'!$A$2:$A$407,B194,'05_RUTAS'!$C$2:$C$407,C194)</f>
        <v>8</v>
      </c>
      <c r="I194" s="18" t="n">
        <f aca="false">SUMIFS('05_RUTAS'!$G$2:$G$407,'05_RUTAS'!$A$2:$A$407,B194,'05_RUTAS'!$C$2:$C$407,C194)</f>
        <v>34.62</v>
      </c>
      <c r="J194" s="18" t="n">
        <f aca="false">(ROUNDUP(F194/G194,0)*H194+F194*I194)/60</f>
        <v>7.19066666666667</v>
      </c>
      <c r="K194" s="5" t="n">
        <f aca="false">MONTH(INDEX('08_PEDIDOS'!$F$2:$F$97,MATCH(A194,'08_PEDIDOS'!$A$2:$A$97,0)))</f>
        <v>3</v>
      </c>
      <c r="L194" s="16" t="n">
        <f aca="false">J194*N(INDEX('04_MAQUINAS'!$F$2:$F$18,MATCH(E194,'04_MAQUINAS'!$A$2:$A$18,0)))</f>
        <v>172.576</v>
      </c>
      <c r="M194" s="17" t="n">
        <f aca="false">J194*INDEX('04_MAQUINAS'!$G$2:$G$18,MATCH(E194,'04_MAQUINAS'!$A$2:$A$18,0))*INDEX('04_MAQUINAS'!$H$2:$H$18,MATCH(E194,'04_MAQUINAS'!$A$2:$A$18,0))</f>
        <v>19.7743333333333</v>
      </c>
      <c r="N194" s="2" t="s">
        <v>629</v>
      </c>
    </row>
    <row r="195" customFormat="false" ht="15" hidden="false" customHeight="false" outlineLevel="0" collapsed="false">
      <c r="A195" s="2" t="s">
        <v>541</v>
      </c>
      <c r="B195" s="2" t="s">
        <v>80</v>
      </c>
      <c r="C195" s="4" t="n">
        <v>2</v>
      </c>
      <c r="D195" s="2" t="s">
        <v>441</v>
      </c>
      <c r="E195" s="2" t="s">
        <v>380</v>
      </c>
      <c r="F195" s="5" t="n">
        <f aca="false">INDEX('08_PEDIDOS'!$D$2:$D$97,MATCH(A195,'08_PEDIDOS'!$A$2:$A$97,0))</f>
        <v>12</v>
      </c>
      <c r="G195" s="5" t="n">
        <f aca="false">INDEX('08_PEDIDOS'!$H$2:$H$97,MATCH(A195,'08_PEDIDOS'!$A$2:$A$97,0))</f>
        <v>10</v>
      </c>
      <c r="H195" s="17" t="n">
        <f aca="false">SUMIFS('05_RUTAS'!$F$2:$F$407,'05_RUTAS'!$A$2:$A$407,B195,'05_RUTAS'!$C$2:$C$407,C195)</f>
        <v>8</v>
      </c>
      <c r="I195" s="18" t="n">
        <f aca="false">SUMIFS('05_RUTAS'!$G$2:$G$407,'05_RUTAS'!$A$2:$A$407,B195,'05_RUTAS'!$C$2:$C$407,C195)</f>
        <v>43.52</v>
      </c>
      <c r="J195" s="18" t="n">
        <f aca="false">(ROUNDUP(F195/G195,0)*H195+F195*I195)/60</f>
        <v>8.97066666666667</v>
      </c>
      <c r="K195" s="5" t="n">
        <f aca="false">MONTH(INDEX('08_PEDIDOS'!$F$2:$F$97,MATCH(A195,'08_PEDIDOS'!$A$2:$A$97,0)))</f>
        <v>3</v>
      </c>
      <c r="L195" s="16" t="n">
        <f aca="false">J195*N(INDEX('04_MAQUINAS'!$F$2:$F$18,MATCH(E195,'04_MAQUINAS'!$A$2:$A$18,0)))</f>
        <v>197.354666666667</v>
      </c>
      <c r="M195" s="17" t="n">
        <f aca="false">J195*INDEX('04_MAQUINAS'!$G$2:$G$18,MATCH(E195,'04_MAQUINAS'!$A$2:$A$18,0))*INDEX('04_MAQUINAS'!$H$2:$H$18,MATCH(E195,'04_MAQUINAS'!$A$2:$A$18,0))</f>
        <v>4.0368</v>
      </c>
      <c r="N195" s="2" t="s">
        <v>629</v>
      </c>
    </row>
    <row r="196" customFormat="false" ht="15" hidden="false" customHeight="false" outlineLevel="0" collapsed="false">
      <c r="A196" s="2" t="s">
        <v>541</v>
      </c>
      <c r="B196" s="2" t="s">
        <v>80</v>
      </c>
      <c r="C196" s="4" t="n">
        <v>3</v>
      </c>
      <c r="D196" s="2" t="s">
        <v>386</v>
      </c>
      <c r="E196" s="2" t="s">
        <v>383</v>
      </c>
      <c r="F196" s="5" t="n">
        <f aca="false">INDEX('08_PEDIDOS'!$D$2:$D$97,MATCH(A196,'08_PEDIDOS'!$A$2:$A$97,0))</f>
        <v>12</v>
      </c>
      <c r="G196" s="5" t="n">
        <f aca="false">INDEX('08_PEDIDOS'!$H$2:$H$97,MATCH(A196,'08_PEDIDOS'!$A$2:$A$97,0))</f>
        <v>10</v>
      </c>
      <c r="H196" s="17" t="n">
        <f aca="false">SUMIFS('05_RUTAS'!$F$2:$F$407,'05_RUTAS'!$A$2:$A$407,B196,'05_RUTAS'!$C$2:$C$407,C196)</f>
        <v>10</v>
      </c>
      <c r="I196" s="18" t="n">
        <f aca="false">SUMIFS('05_RUTAS'!$G$2:$G$407,'05_RUTAS'!$A$2:$A$407,B196,'05_RUTAS'!$C$2:$C$407,C196)</f>
        <v>63.2</v>
      </c>
      <c r="J196" s="18" t="n">
        <f aca="false">(ROUNDUP(F196/G196,0)*H196+F196*I196)/60</f>
        <v>12.9733333333333</v>
      </c>
      <c r="K196" s="5" t="n">
        <f aca="false">MONTH(INDEX('08_PEDIDOS'!$F$2:$F$97,MATCH(A196,'08_PEDIDOS'!$A$2:$A$97,0)))</f>
        <v>3</v>
      </c>
      <c r="L196" s="16" t="n">
        <f aca="false">J196*N(INDEX('04_MAQUINAS'!$F$2:$F$18,MATCH(E196,'04_MAQUINAS'!$A$2:$A$18,0)))</f>
        <v>285.413333333333</v>
      </c>
      <c r="M196" s="17" t="n">
        <f aca="false">J196*INDEX('04_MAQUINAS'!$G$2:$G$18,MATCH(E196,'04_MAQUINAS'!$A$2:$A$18,0))*INDEX('04_MAQUINAS'!$H$2:$H$18,MATCH(E196,'04_MAQUINAS'!$A$2:$A$18,0))</f>
        <v>3.56766666666667</v>
      </c>
      <c r="N196" s="2" t="s">
        <v>629</v>
      </c>
    </row>
    <row r="197" customFormat="false" ht="15" hidden="false" customHeight="false" outlineLevel="0" collapsed="false">
      <c r="A197" s="2" t="s">
        <v>541</v>
      </c>
      <c r="B197" s="2" t="s">
        <v>80</v>
      </c>
      <c r="C197" s="4" t="n">
        <v>4</v>
      </c>
      <c r="D197" s="2" t="s">
        <v>390</v>
      </c>
      <c r="E197" s="2" t="s">
        <v>387</v>
      </c>
      <c r="F197" s="5" t="n">
        <f aca="false">INDEX('08_PEDIDOS'!$D$2:$D$97,MATCH(A197,'08_PEDIDOS'!$A$2:$A$97,0))</f>
        <v>12</v>
      </c>
      <c r="G197" s="5" t="n">
        <f aca="false">INDEX('08_PEDIDOS'!$H$2:$H$97,MATCH(A197,'08_PEDIDOS'!$A$2:$A$97,0))</f>
        <v>10</v>
      </c>
      <c r="H197" s="17" t="n">
        <f aca="false">SUMIFS('05_RUTAS'!$F$2:$F$407,'05_RUTAS'!$A$2:$A$407,B197,'05_RUTAS'!$C$2:$C$407,C197)</f>
        <v>12</v>
      </c>
      <c r="I197" s="18" t="n">
        <f aca="false">SUMIFS('05_RUTAS'!$G$2:$G$407,'05_RUTAS'!$A$2:$A$407,B197,'05_RUTAS'!$C$2:$C$407,C197)</f>
        <v>60</v>
      </c>
      <c r="J197" s="18" t="n">
        <f aca="false">(ROUNDUP(F197/G197,0)*H197+F197*I197)/60</f>
        <v>12.4</v>
      </c>
      <c r="K197" s="5" t="n">
        <f aca="false">MONTH(INDEX('08_PEDIDOS'!$F$2:$F$97,MATCH(A197,'08_PEDIDOS'!$A$2:$A$97,0)))</f>
        <v>3</v>
      </c>
      <c r="L197" s="16" t="n">
        <f aca="false">J197*N(INDEX('04_MAQUINAS'!$F$2:$F$18,MATCH(E197,'04_MAQUINAS'!$A$2:$A$18,0)))</f>
        <v>347.2</v>
      </c>
      <c r="M197" s="17" t="n">
        <f aca="false">J197*INDEX('04_MAQUINAS'!$G$2:$G$18,MATCH(E197,'04_MAQUINAS'!$A$2:$A$18,0))*INDEX('04_MAQUINAS'!$H$2:$H$18,MATCH(E197,'04_MAQUINAS'!$A$2:$A$18,0))</f>
        <v>30.69</v>
      </c>
      <c r="N197" s="2" t="s">
        <v>629</v>
      </c>
    </row>
    <row r="198" customFormat="false" ht="15" hidden="false" customHeight="false" outlineLevel="0" collapsed="false">
      <c r="A198" s="2" t="s">
        <v>541</v>
      </c>
      <c r="B198" s="2" t="s">
        <v>80</v>
      </c>
      <c r="C198" s="4" t="n">
        <v>5</v>
      </c>
      <c r="D198" s="2" t="s">
        <v>442</v>
      </c>
      <c r="E198" s="2" t="s">
        <v>391</v>
      </c>
      <c r="F198" s="5" t="n">
        <f aca="false">INDEX('08_PEDIDOS'!$D$2:$D$97,MATCH(A198,'08_PEDIDOS'!$A$2:$A$97,0))</f>
        <v>12</v>
      </c>
      <c r="G198" s="5" t="n">
        <f aca="false">INDEX('08_PEDIDOS'!$H$2:$H$97,MATCH(A198,'08_PEDIDOS'!$A$2:$A$97,0))</f>
        <v>10</v>
      </c>
      <c r="H198" s="17" t="n">
        <f aca="false">SUMIFS('05_RUTAS'!$F$2:$F$407,'05_RUTAS'!$A$2:$A$407,B198,'05_RUTAS'!$C$2:$C$407,C198)</f>
        <v>10</v>
      </c>
      <c r="I198" s="18" t="n">
        <f aca="false">SUMIFS('05_RUTAS'!$G$2:$G$407,'05_RUTAS'!$A$2:$A$407,B198,'05_RUTAS'!$C$2:$C$407,C198)</f>
        <v>78.4</v>
      </c>
      <c r="J198" s="18" t="n">
        <f aca="false">(ROUNDUP(F198/G198,0)*H198+F198*I198)/60</f>
        <v>16.0133333333333</v>
      </c>
      <c r="K198" s="5" t="n">
        <f aca="false">MONTH(INDEX('08_PEDIDOS'!$F$2:$F$97,MATCH(A198,'08_PEDIDOS'!$A$2:$A$97,0)))</f>
        <v>3</v>
      </c>
      <c r="L198" s="16" t="n">
        <f aca="false">J198*N(INDEX('04_MAQUINAS'!$F$2:$F$18,MATCH(E198,'04_MAQUINAS'!$A$2:$A$18,0)))</f>
        <v>512.426666666667</v>
      </c>
      <c r="M198" s="17" t="n">
        <f aca="false">J198*INDEX('04_MAQUINAS'!$G$2:$G$18,MATCH(E198,'04_MAQUINAS'!$A$2:$A$18,0))*INDEX('04_MAQUINAS'!$H$2:$H$18,MATCH(E198,'04_MAQUINAS'!$A$2:$A$18,0))</f>
        <v>28.0233333333333</v>
      </c>
      <c r="N198" s="2" t="s">
        <v>629</v>
      </c>
    </row>
    <row r="199" customFormat="false" ht="15" hidden="false" customHeight="false" outlineLevel="0" collapsed="false">
      <c r="A199" s="2" t="s">
        <v>541</v>
      </c>
      <c r="B199" s="2" t="s">
        <v>80</v>
      </c>
      <c r="C199" s="4" t="n">
        <v>6</v>
      </c>
      <c r="D199" s="2" t="s">
        <v>443</v>
      </c>
      <c r="E199" s="2" t="s">
        <v>395</v>
      </c>
      <c r="F199" s="5" t="n">
        <f aca="false">INDEX('08_PEDIDOS'!$D$2:$D$97,MATCH(A199,'08_PEDIDOS'!$A$2:$A$97,0))</f>
        <v>12</v>
      </c>
      <c r="G199" s="5" t="n">
        <f aca="false">INDEX('08_PEDIDOS'!$H$2:$H$97,MATCH(A199,'08_PEDIDOS'!$A$2:$A$97,0))</f>
        <v>10</v>
      </c>
      <c r="H199" s="17" t="n">
        <f aca="false">SUMIFS('05_RUTAS'!$F$2:$F$407,'05_RUTAS'!$A$2:$A$407,B199,'05_RUTAS'!$C$2:$C$407,C199)</f>
        <v>3</v>
      </c>
      <c r="I199" s="18" t="n">
        <f aca="false">SUMIFS('05_RUTAS'!$G$2:$G$407,'05_RUTAS'!$A$2:$A$407,B199,'05_RUTAS'!$C$2:$C$407,C199)</f>
        <v>42</v>
      </c>
      <c r="J199" s="18" t="n">
        <f aca="false">(ROUNDUP(F199/G199,0)*H199+F199*I199)/60</f>
        <v>8.5</v>
      </c>
      <c r="K199" s="5" t="n">
        <f aca="false">MONTH(INDEX('08_PEDIDOS'!$F$2:$F$97,MATCH(A199,'08_PEDIDOS'!$A$2:$A$97,0)))</f>
        <v>3</v>
      </c>
      <c r="L199" s="16" t="n">
        <f aca="false">J199*N(INDEX('04_MAQUINAS'!$F$2:$F$18,MATCH(E199,'04_MAQUINAS'!$A$2:$A$18,0)))</f>
        <v>178.5</v>
      </c>
      <c r="M199" s="17" t="n">
        <f aca="false">J199*INDEX('04_MAQUINAS'!$G$2:$G$18,MATCH(E199,'04_MAQUINAS'!$A$2:$A$18,0))*INDEX('04_MAQUINAS'!$H$2:$H$18,MATCH(E199,'04_MAQUINAS'!$A$2:$A$18,0))</f>
        <v>6.375</v>
      </c>
      <c r="N199" s="2" t="s">
        <v>629</v>
      </c>
    </row>
    <row r="200" customFormat="false" ht="15" hidden="false" customHeight="false" outlineLevel="0" collapsed="false">
      <c r="A200" s="2" t="s">
        <v>541</v>
      </c>
      <c r="B200" s="2" t="s">
        <v>80</v>
      </c>
      <c r="C200" s="4" t="n">
        <v>7</v>
      </c>
      <c r="D200" s="2" t="s">
        <v>444</v>
      </c>
      <c r="E200" s="2" t="s">
        <v>399</v>
      </c>
      <c r="F200" s="5" t="n">
        <f aca="false">INDEX('08_PEDIDOS'!$D$2:$D$97,MATCH(A200,'08_PEDIDOS'!$A$2:$A$97,0))</f>
        <v>12</v>
      </c>
      <c r="G200" s="5" t="n">
        <f aca="false">INDEX('08_PEDIDOS'!$H$2:$H$97,MATCH(A200,'08_PEDIDOS'!$A$2:$A$97,0))</f>
        <v>10</v>
      </c>
      <c r="H200" s="17" t="n">
        <f aca="false">SUMIFS('05_RUTAS'!$F$2:$F$407,'05_RUTAS'!$A$2:$A$407,B200,'05_RUTAS'!$C$2:$C$407,C200)</f>
        <v>6</v>
      </c>
      <c r="I200" s="18" t="n">
        <f aca="false">SUMIFS('05_RUTAS'!$G$2:$G$407,'05_RUTAS'!$A$2:$A$407,B200,'05_RUTAS'!$C$2:$C$407,C200)</f>
        <v>29.7248</v>
      </c>
      <c r="J200" s="18" t="n">
        <f aca="false">(ROUNDUP(F200/G200,0)*H200+F200*I200)/60</f>
        <v>6.14496</v>
      </c>
      <c r="K200" s="5" t="n">
        <f aca="false">MONTH(INDEX('08_PEDIDOS'!$F$2:$F$97,MATCH(A200,'08_PEDIDOS'!$A$2:$A$97,0)))</f>
        <v>3</v>
      </c>
      <c r="L200" s="16" t="n">
        <f aca="false">J200*N(INDEX('04_MAQUINAS'!$F$2:$F$18,MATCH(E200,'04_MAQUINAS'!$A$2:$A$18,0)))</f>
        <v>116.75424</v>
      </c>
      <c r="M200" s="17" t="n">
        <f aca="false">J200*INDEX('04_MAQUINAS'!$G$2:$G$18,MATCH(E200,'04_MAQUINAS'!$A$2:$A$18,0))*INDEX('04_MAQUINAS'!$H$2:$H$18,MATCH(E200,'04_MAQUINAS'!$A$2:$A$18,0))</f>
        <v>5.4075648</v>
      </c>
      <c r="N200" s="2" t="s">
        <v>629</v>
      </c>
    </row>
    <row r="201" customFormat="false" ht="15" hidden="false" customHeight="false" outlineLevel="0" collapsed="false">
      <c r="A201" s="2" t="s">
        <v>541</v>
      </c>
      <c r="B201" s="2" t="s">
        <v>80</v>
      </c>
      <c r="C201" s="4" t="n">
        <v>8</v>
      </c>
      <c r="D201" s="2" t="s">
        <v>445</v>
      </c>
      <c r="E201" s="2" t="s">
        <v>402</v>
      </c>
      <c r="F201" s="5" t="n">
        <f aca="false">INDEX('08_PEDIDOS'!$D$2:$D$97,MATCH(A201,'08_PEDIDOS'!$A$2:$A$97,0))</f>
        <v>12</v>
      </c>
      <c r="G201" s="5" t="n">
        <f aca="false">INDEX('08_PEDIDOS'!$H$2:$H$97,MATCH(A201,'08_PEDIDOS'!$A$2:$A$97,0))</f>
        <v>10</v>
      </c>
      <c r="H201" s="17" t="n">
        <f aca="false">SUMIFS('05_RUTAS'!$F$2:$F$407,'05_RUTAS'!$A$2:$A$407,B201,'05_RUTAS'!$C$2:$C$407,C201)</f>
        <v>12</v>
      </c>
      <c r="I201" s="18" t="n">
        <f aca="false">SUMIFS('05_RUTAS'!$G$2:$G$407,'05_RUTAS'!$A$2:$A$407,B201,'05_RUTAS'!$C$2:$C$407,C201)</f>
        <v>8.02</v>
      </c>
      <c r="J201" s="18" t="n">
        <f aca="false">(ROUNDUP(F201/G201,0)*H201+F201*I201)/60</f>
        <v>2.004</v>
      </c>
      <c r="K201" s="5" t="n">
        <f aca="false">MONTH(INDEX('08_PEDIDOS'!$F$2:$F$97,MATCH(A201,'08_PEDIDOS'!$A$2:$A$97,0)))</f>
        <v>3</v>
      </c>
      <c r="L201" s="16" t="n">
        <f aca="false">J201*N(INDEX('04_MAQUINAS'!$F$2:$F$18,MATCH(E201,'04_MAQUINAS'!$A$2:$A$18,0)))</f>
        <v>64.128</v>
      </c>
      <c r="M201" s="17" t="n">
        <f aca="false">J201*INDEX('04_MAQUINAS'!$G$2:$G$18,MATCH(E201,'04_MAQUINAS'!$A$2:$A$18,0))*INDEX('04_MAQUINAS'!$H$2:$H$18,MATCH(E201,'04_MAQUINAS'!$A$2:$A$18,0))</f>
        <v>2.1042</v>
      </c>
      <c r="N201" s="2" t="s">
        <v>629</v>
      </c>
    </row>
    <row r="202" customFormat="false" ht="15" hidden="false" customHeight="false" outlineLevel="0" collapsed="false">
      <c r="A202" s="2" t="s">
        <v>541</v>
      </c>
      <c r="B202" s="2" t="s">
        <v>80</v>
      </c>
      <c r="C202" s="4" t="n">
        <v>9</v>
      </c>
      <c r="D202" s="2" t="s">
        <v>447</v>
      </c>
      <c r="E202" s="2" t="s">
        <v>421</v>
      </c>
      <c r="F202" s="5" t="n">
        <f aca="false">INDEX('08_PEDIDOS'!$D$2:$D$97,MATCH(A202,'08_PEDIDOS'!$A$2:$A$97,0))</f>
        <v>12</v>
      </c>
      <c r="G202" s="5" t="n">
        <f aca="false">INDEX('08_PEDIDOS'!$H$2:$H$97,MATCH(A202,'08_PEDIDOS'!$A$2:$A$97,0))</f>
        <v>10</v>
      </c>
      <c r="H202" s="17" t="n">
        <f aca="false">SUMIFS('05_RUTAS'!$F$2:$F$407,'05_RUTAS'!$A$2:$A$407,B202,'05_RUTAS'!$C$2:$C$407,C202)</f>
        <v>45</v>
      </c>
      <c r="I202" s="18" t="n">
        <f aca="false">SUMIFS('05_RUTAS'!$G$2:$G$407,'05_RUTAS'!$A$2:$A$407,B202,'05_RUTAS'!$C$2:$C$407,C202)</f>
        <v>0</v>
      </c>
      <c r="J202" s="18" t="n">
        <f aca="false">(ROUNDUP(F202/G202,0)*H202+F202*I202)/60</f>
        <v>1.5</v>
      </c>
      <c r="K202" s="5" t="n">
        <f aca="false">MONTH(INDEX('08_PEDIDOS'!$F$2:$F$97,MATCH(A202,'08_PEDIDOS'!$A$2:$A$97,0)))</f>
        <v>3</v>
      </c>
      <c r="L202" s="16" t="n">
        <f aca="false">J202*N(INDEX('04_MAQUINAS'!$F$2:$F$18,MATCH(E202,'04_MAQUINAS'!$A$2:$A$18,0)))</f>
        <v>39</v>
      </c>
      <c r="M202" s="17" t="n">
        <f aca="false">J202*INDEX('04_MAQUINAS'!$G$2:$G$18,MATCH(E202,'04_MAQUINAS'!$A$2:$A$18,0))*INDEX('04_MAQUINAS'!$H$2:$H$18,MATCH(E202,'04_MAQUINAS'!$A$2:$A$18,0))</f>
        <v>21.6</v>
      </c>
      <c r="N202" s="2" t="s">
        <v>629</v>
      </c>
    </row>
    <row r="203" customFormat="false" ht="15" hidden="false" customHeight="false" outlineLevel="0" collapsed="false">
      <c r="A203" s="2" t="s">
        <v>541</v>
      </c>
      <c r="B203" s="2" t="s">
        <v>80</v>
      </c>
      <c r="C203" s="4" t="n">
        <v>10</v>
      </c>
      <c r="D203" s="2" t="s">
        <v>449</v>
      </c>
      <c r="E203" s="2" t="s">
        <v>423</v>
      </c>
      <c r="F203" s="5" t="n">
        <f aca="false">INDEX('08_PEDIDOS'!$D$2:$D$97,MATCH(A203,'08_PEDIDOS'!$A$2:$A$97,0))</f>
        <v>12</v>
      </c>
      <c r="G203" s="5" t="n">
        <f aca="false">INDEX('08_PEDIDOS'!$H$2:$H$97,MATCH(A203,'08_PEDIDOS'!$A$2:$A$97,0))</f>
        <v>10</v>
      </c>
      <c r="H203" s="17" t="n">
        <f aca="false">SUMIFS('05_RUTAS'!$F$2:$F$407,'05_RUTAS'!$A$2:$A$407,B203,'05_RUTAS'!$C$2:$C$407,C203)</f>
        <v>8</v>
      </c>
      <c r="I203" s="18" t="n">
        <f aca="false">SUMIFS('05_RUTAS'!$G$2:$G$407,'05_RUTAS'!$A$2:$A$407,B203,'05_RUTAS'!$C$2:$C$407,C203)</f>
        <v>2.69</v>
      </c>
      <c r="J203" s="18" t="n">
        <f aca="false">(ROUNDUP(F203/G203,0)*H203+F203*I203)/60</f>
        <v>0.804666666666667</v>
      </c>
      <c r="K203" s="5" t="n">
        <f aca="false">MONTH(INDEX('08_PEDIDOS'!$F$2:$F$97,MATCH(A203,'08_PEDIDOS'!$A$2:$A$97,0)))</f>
        <v>3</v>
      </c>
      <c r="L203" s="16" t="n">
        <f aca="false">J203*N(INDEX('04_MAQUINAS'!$F$2:$F$18,MATCH(E203,'04_MAQUINAS'!$A$2:$A$18,0)))</f>
        <v>12.8746666666667</v>
      </c>
      <c r="M203" s="17" t="n">
        <f aca="false">J203*INDEX('04_MAQUINAS'!$G$2:$G$18,MATCH(E203,'04_MAQUINAS'!$A$2:$A$18,0))*INDEX('04_MAQUINAS'!$H$2:$H$18,MATCH(E203,'04_MAQUINAS'!$A$2:$A$18,0))</f>
        <v>0.201166666666667</v>
      </c>
      <c r="N203" s="2" t="s">
        <v>629</v>
      </c>
    </row>
    <row r="204" customFormat="false" ht="15" hidden="false" customHeight="false" outlineLevel="0" collapsed="false">
      <c r="A204" s="2" t="s">
        <v>541</v>
      </c>
      <c r="B204" s="2" t="s">
        <v>80</v>
      </c>
      <c r="C204" s="4" t="n">
        <v>11</v>
      </c>
      <c r="D204" s="2" t="s">
        <v>450</v>
      </c>
      <c r="E204" s="2" t="s">
        <v>406</v>
      </c>
      <c r="F204" s="5" t="n">
        <f aca="false">INDEX('08_PEDIDOS'!$D$2:$D$97,MATCH(A204,'08_PEDIDOS'!$A$2:$A$97,0))</f>
        <v>12</v>
      </c>
      <c r="G204" s="5" t="n">
        <f aca="false">INDEX('08_PEDIDOS'!$H$2:$H$97,MATCH(A204,'08_PEDIDOS'!$A$2:$A$97,0))</f>
        <v>10</v>
      </c>
      <c r="H204" s="17" t="n">
        <f aca="false">SUMIFS('05_RUTAS'!$F$2:$F$407,'05_RUTAS'!$A$2:$A$407,B204,'05_RUTAS'!$C$2:$C$407,C204)</f>
        <v>6</v>
      </c>
      <c r="I204" s="18" t="n">
        <f aca="false">SUMIFS('05_RUTAS'!$G$2:$G$407,'05_RUTAS'!$A$2:$A$407,B204,'05_RUTAS'!$C$2:$C$407,C204)</f>
        <v>60</v>
      </c>
      <c r="J204" s="18" t="n">
        <f aca="false">(ROUNDUP(F204/G204,0)*H204+F204*I204)/60</f>
        <v>12.2</v>
      </c>
      <c r="K204" s="5" t="n">
        <f aca="false">MONTH(INDEX('08_PEDIDOS'!$F$2:$F$97,MATCH(A204,'08_PEDIDOS'!$A$2:$A$97,0)))</f>
        <v>3</v>
      </c>
      <c r="L204" s="16" t="n">
        <f aca="false">J204*N(INDEX('04_MAQUINAS'!$F$2:$F$18,MATCH(E204,'04_MAQUINAS'!$A$2:$A$18,0)))</f>
        <v>231.8</v>
      </c>
      <c r="M204" s="17" t="n">
        <f aca="false">J204*INDEX('04_MAQUINAS'!$G$2:$G$18,MATCH(E204,'04_MAQUINAS'!$A$2:$A$18,0))*INDEX('04_MAQUINAS'!$H$2:$H$18,MATCH(E204,'04_MAQUINAS'!$A$2:$A$18,0))</f>
        <v>3.66</v>
      </c>
      <c r="N204" s="2" t="s">
        <v>629</v>
      </c>
    </row>
    <row r="205" customFormat="false" ht="15" hidden="false" customHeight="false" outlineLevel="0" collapsed="false">
      <c r="A205" s="2" t="s">
        <v>541</v>
      </c>
      <c r="B205" s="2" t="s">
        <v>80</v>
      </c>
      <c r="C205" s="4" t="n">
        <v>12</v>
      </c>
      <c r="D205" s="2" t="s">
        <v>451</v>
      </c>
      <c r="E205" s="2" t="s">
        <v>408</v>
      </c>
      <c r="F205" s="5" t="n">
        <f aca="false">INDEX('08_PEDIDOS'!$D$2:$D$97,MATCH(A205,'08_PEDIDOS'!$A$2:$A$97,0))</f>
        <v>12</v>
      </c>
      <c r="G205" s="5" t="n">
        <f aca="false">INDEX('08_PEDIDOS'!$H$2:$H$97,MATCH(A205,'08_PEDIDOS'!$A$2:$A$97,0))</f>
        <v>10</v>
      </c>
      <c r="H205" s="17" t="n">
        <f aca="false">SUMIFS('05_RUTAS'!$F$2:$F$407,'05_RUTAS'!$A$2:$A$407,B205,'05_RUTAS'!$C$2:$C$407,C205)</f>
        <v>2</v>
      </c>
      <c r="I205" s="18" t="n">
        <f aca="false">SUMIFS('05_RUTAS'!$G$2:$G$407,'05_RUTAS'!$A$2:$A$407,B205,'05_RUTAS'!$C$2:$C$407,C205)</f>
        <v>3.86</v>
      </c>
      <c r="J205" s="18" t="n">
        <f aca="false">(ROUNDUP(F205/G205,0)*H205+F205*I205)/60</f>
        <v>0.838666666666667</v>
      </c>
      <c r="K205" s="5" t="n">
        <f aca="false">MONTH(INDEX('08_PEDIDOS'!$F$2:$F$97,MATCH(A205,'08_PEDIDOS'!$A$2:$A$97,0)))</f>
        <v>3</v>
      </c>
      <c r="L205" s="16" t="n">
        <f aca="false">J205*N(INDEX('04_MAQUINAS'!$F$2:$F$18,MATCH(E205,'04_MAQUINAS'!$A$2:$A$18,0)))</f>
        <v>16.7733333333333</v>
      </c>
      <c r="M205" s="17" t="n">
        <f aca="false">J205*INDEX('04_MAQUINAS'!$G$2:$G$18,MATCH(E205,'04_MAQUINAS'!$A$2:$A$18,0))*INDEX('04_MAQUINAS'!$H$2:$H$18,MATCH(E205,'04_MAQUINAS'!$A$2:$A$18,0))</f>
        <v>0.0838666666666667</v>
      </c>
      <c r="N205" s="2" t="s">
        <v>629</v>
      </c>
    </row>
    <row r="206" customFormat="false" ht="15" hidden="false" customHeight="false" outlineLevel="0" collapsed="false">
      <c r="A206" s="2" t="s">
        <v>541</v>
      </c>
      <c r="B206" s="2" t="s">
        <v>80</v>
      </c>
      <c r="C206" s="4" t="n">
        <v>13</v>
      </c>
      <c r="D206" s="2" t="s">
        <v>452</v>
      </c>
      <c r="E206" s="2" t="s">
        <v>411</v>
      </c>
      <c r="F206" s="5" t="n">
        <f aca="false">INDEX('08_PEDIDOS'!$D$2:$D$97,MATCH(A206,'08_PEDIDOS'!$A$2:$A$97,0))</f>
        <v>12</v>
      </c>
      <c r="G206" s="5" t="n">
        <f aca="false">INDEX('08_PEDIDOS'!$H$2:$H$97,MATCH(A206,'08_PEDIDOS'!$A$2:$A$97,0))</f>
        <v>10</v>
      </c>
      <c r="H206" s="17" t="n">
        <f aca="false">SUMIFS('05_RUTAS'!$F$2:$F$407,'05_RUTAS'!$A$2:$A$407,B206,'05_RUTAS'!$C$2:$C$407,C206)</f>
        <v>2</v>
      </c>
      <c r="I206" s="18" t="n">
        <f aca="false">SUMIFS('05_RUTAS'!$G$2:$G$407,'05_RUTAS'!$A$2:$A$407,B206,'05_RUTAS'!$C$2:$C$407,C206)</f>
        <v>5.3</v>
      </c>
      <c r="J206" s="18" t="n">
        <f aca="false">(ROUNDUP(F206/G206,0)*H206+F206*I206)/60</f>
        <v>1.12666666666667</v>
      </c>
      <c r="K206" s="5" t="n">
        <f aca="false">MONTH(INDEX('08_PEDIDOS'!$F$2:$F$97,MATCH(A206,'08_PEDIDOS'!$A$2:$A$97,0)))</f>
        <v>3</v>
      </c>
      <c r="L206" s="16" t="n">
        <f aca="false">J206*N(INDEX('04_MAQUINAS'!$F$2:$F$18,MATCH(E206,'04_MAQUINAS'!$A$2:$A$18,0)))</f>
        <v>20.28</v>
      </c>
      <c r="M206" s="17" t="n">
        <f aca="false">J206*INDEX('04_MAQUINAS'!$G$2:$G$18,MATCH(E206,'04_MAQUINAS'!$A$2:$A$18,0))*INDEX('04_MAQUINAS'!$H$2:$H$18,MATCH(E206,'04_MAQUINAS'!$A$2:$A$18,0))</f>
        <v>0.1014</v>
      </c>
      <c r="N206" s="2" t="s">
        <v>629</v>
      </c>
    </row>
    <row r="207" customFormat="false" ht="15" hidden="false" customHeight="false" outlineLevel="0" collapsed="false">
      <c r="A207" s="2" t="s">
        <v>542</v>
      </c>
      <c r="B207" s="2" t="s">
        <v>83</v>
      </c>
      <c r="C207" s="4" t="n">
        <v>1</v>
      </c>
      <c r="D207" s="2" t="s">
        <v>437</v>
      </c>
      <c r="E207" s="2" t="s">
        <v>375</v>
      </c>
      <c r="F207" s="5" t="n">
        <f aca="false">INDEX('08_PEDIDOS'!$D$2:$D$97,MATCH(A207,'08_PEDIDOS'!$A$2:$A$97,0))</f>
        <v>12</v>
      </c>
      <c r="G207" s="5" t="n">
        <f aca="false">INDEX('08_PEDIDOS'!$H$2:$H$97,MATCH(A207,'08_PEDIDOS'!$A$2:$A$97,0))</f>
        <v>10</v>
      </c>
      <c r="H207" s="17" t="n">
        <f aca="false">SUMIFS('05_RUTAS'!$F$2:$F$407,'05_RUTAS'!$A$2:$A$407,B207,'05_RUTAS'!$C$2:$C$407,C207)</f>
        <v>8</v>
      </c>
      <c r="I207" s="18" t="n">
        <f aca="false">SUMIFS('05_RUTAS'!$G$2:$G$407,'05_RUTAS'!$A$2:$A$407,B207,'05_RUTAS'!$C$2:$C$407,C207)</f>
        <v>36.67</v>
      </c>
      <c r="J207" s="18" t="n">
        <f aca="false">(ROUNDUP(F207/G207,0)*H207+F207*I207)/60</f>
        <v>7.60066666666667</v>
      </c>
      <c r="K207" s="5" t="n">
        <f aca="false">MONTH(INDEX('08_PEDIDOS'!$F$2:$F$97,MATCH(A207,'08_PEDIDOS'!$A$2:$A$97,0)))</f>
        <v>3</v>
      </c>
      <c r="L207" s="16" t="n">
        <f aca="false">J207*N(INDEX('04_MAQUINAS'!$F$2:$F$18,MATCH(E207,'04_MAQUINAS'!$A$2:$A$18,0)))</f>
        <v>182.416</v>
      </c>
      <c r="M207" s="17" t="n">
        <f aca="false">J207*INDEX('04_MAQUINAS'!$G$2:$G$18,MATCH(E207,'04_MAQUINAS'!$A$2:$A$18,0))*INDEX('04_MAQUINAS'!$H$2:$H$18,MATCH(E207,'04_MAQUINAS'!$A$2:$A$18,0))</f>
        <v>20.9018333333333</v>
      </c>
      <c r="N207" s="2" t="s">
        <v>629</v>
      </c>
    </row>
    <row r="208" customFormat="false" ht="15" hidden="false" customHeight="false" outlineLevel="0" collapsed="false">
      <c r="A208" s="2" t="s">
        <v>542</v>
      </c>
      <c r="B208" s="2" t="s">
        <v>83</v>
      </c>
      <c r="C208" s="4" t="n">
        <v>2</v>
      </c>
      <c r="D208" s="2" t="s">
        <v>441</v>
      </c>
      <c r="E208" s="2" t="s">
        <v>380</v>
      </c>
      <c r="F208" s="5" t="n">
        <f aca="false">INDEX('08_PEDIDOS'!$D$2:$D$97,MATCH(A208,'08_PEDIDOS'!$A$2:$A$97,0))</f>
        <v>12</v>
      </c>
      <c r="G208" s="5" t="n">
        <f aca="false">INDEX('08_PEDIDOS'!$H$2:$H$97,MATCH(A208,'08_PEDIDOS'!$A$2:$A$97,0))</f>
        <v>10</v>
      </c>
      <c r="H208" s="17" t="n">
        <f aca="false">SUMIFS('05_RUTAS'!$F$2:$F$407,'05_RUTAS'!$A$2:$A$407,B208,'05_RUTAS'!$C$2:$C$407,C208)</f>
        <v>8</v>
      </c>
      <c r="I208" s="18" t="n">
        <f aca="false">SUMIFS('05_RUTAS'!$G$2:$G$407,'05_RUTAS'!$A$2:$A$407,B208,'05_RUTAS'!$C$2:$C$407,C208)</f>
        <v>52</v>
      </c>
      <c r="J208" s="18" t="n">
        <f aca="false">(ROUNDUP(F208/G208,0)*H208+F208*I208)/60</f>
        <v>10.6666666666667</v>
      </c>
      <c r="K208" s="5" t="n">
        <f aca="false">MONTH(INDEX('08_PEDIDOS'!$F$2:$F$97,MATCH(A208,'08_PEDIDOS'!$A$2:$A$97,0)))</f>
        <v>3</v>
      </c>
      <c r="L208" s="16" t="n">
        <f aca="false">J208*N(INDEX('04_MAQUINAS'!$F$2:$F$18,MATCH(E208,'04_MAQUINAS'!$A$2:$A$18,0)))</f>
        <v>234.666666666667</v>
      </c>
      <c r="M208" s="17" t="n">
        <f aca="false">J208*INDEX('04_MAQUINAS'!$G$2:$G$18,MATCH(E208,'04_MAQUINAS'!$A$2:$A$18,0))*INDEX('04_MAQUINAS'!$H$2:$H$18,MATCH(E208,'04_MAQUINAS'!$A$2:$A$18,0))</f>
        <v>4.8</v>
      </c>
      <c r="N208" s="2" t="s">
        <v>629</v>
      </c>
    </row>
    <row r="209" customFormat="false" ht="15" hidden="false" customHeight="false" outlineLevel="0" collapsed="false">
      <c r="A209" s="2" t="s">
        <v>542</v>
      </c>
      <c r="B209" s="2" t="s">
        <v>83</v>
      </c>
      <c r="C209" s="4" t="n">
        <v>3</v>
      </c>
      <c r="D209" s="2" t="s">
        <v>386</v>
      </c>
      <c r="E209" s="2" t="s">
        <v>383</v>
      </c>
      <c r="F209" s="5" t="n">
        <f aca="false">INDEX('08_PEDIDOS'!$D$2:$D$97,MATCH(A209,'08_PEDIDOS'!$A$2:$A$97,0))</f>
        <v>12</v>
      </c>
      <c r="G209" s="5" t="n">
        <f aca="false">INDEX('08_PEDIDOS'!$H$2:$H$97,MATCH(A209,'08_PEDIDOS'!$A$2:$A$97,0))</f>
        <v>10</v>
      </c>
      <c r="H209" s="17" t="n">
        <f aca="false">SUMIFS('05_RUTAS'!$F$2:$F$407,'05_RUTAS'!$A$2:$A$407,B209,'05_RUTAS'!$C$2:$C$407,C209)</f>
        <v>10</v>
      </c>
      <c r="I209" s="18" t="n">
        <f aca="false">SUMIFS('05_RUTAS'!$G$2:$G$407,'05_RUTAS'!$A$2:$A$407,B209,'05_RUTAS'!$C$2:$C$407,C209)</f>
        <v>82.1</v>
      </c>
      <c r="J209" s="18" t="n">
        <f aca="false">(ROUNDUP(F209/G209,0)*H209+F209*I209)/60</f>
        <v>16.7533333333333</v>
      </c>
      <c r="K209" s="5" t="n">
        <f aca="false">MONTH(INDEX('08_PEDIDOS'!$F$2:$F$97,MATCH(A209,'08_PEDIDOS'!$A$2:$A$97,0)))</f>
        <v>3</v>
      </c>
      <c r="L209" s="16" t="n">
        <f aca="false">J209*N(INDEX('04_MAQUINAS'!$F$2:$F$18,MATCH(E209,'04_MAQUINAS'!$A$2:$A$18,0)))</f>
        <v>368.573333333333</v>
      </c>
      <c r="M209" s="17" t="n">
        <f aca="false">J209*INDEX('04_MAQUINAS'!$G$2:$G$18,MATCH(E209,'04_MAQUINAS'!$A$2:$A$18,0))*INDEX('04_MAQUINAS'!$H$2:$H$18,MATCH(E209,'04_MAQUINAS'!$A$2:$A$18,0))</f>
        <v>4.60716666666667</v>
      </c>
      <c r="N209" s="2" t="s">
        <v>629</v>
      </c>
    </row>
    <row r="210" customFormat="false" ht="15" hidden="false" customHeight="false" outlineLevel="0" collapsed="false">
      <c r="A210" s="2" t="s">
        <v>542</v>
      </c>
      <c r="B210" s="2" t="s">
        <v>83</v>
      </c>
      <c r="C210" s="4" t="n">
        <v>4</v>
      </c>
      <c r="D210" s="2" t="s">
        <v>390</v>
      </c>
      <c r="E210" s="2" t="s">
        <v>387</v>
      </c>
      <c r="F210" s="5" t="n">
        <f aca="false">INDEX('08_PEDIDOS'!$D$2:$D$97,MATCH(A210,'08_PEDIDOS'!$A$2:$A$97,0))</f>
        <v>12</v>
      </c>
      <c r="G210" s="5" t="n">
        <f aca="false">INDEX('08_PEDIDOS'!$H$2:$H$97,MATCH(A210,'08_PEDIDOS'!$A$2:$A$97,0))</f>
        <v>10</v>
      </c>
      <c r="H210" s="17" t="n">
        <f aca="false">SUMIFS('05_RUTAS'!$F$2:$F$407,'05_RUTAS'!$A$2:$A$407,B210,'05_RUTAS'!$C$2:$C$407,C210)</f>
        <v>12</v>
      </c>
      <c r="I210" s="18" t="n">
        <f aca="false">SUMIFS('05_RUTAS'!$G$2:$G$407,'05_RUTAS'!$A$2:$A$407,B210,'05_RUTAS'!$C$2:$C$407,C210)</f>
        <v>69</v>
      </c>
      <c r="J210" s="18" t="n">
        <f aca="false">(ROUNDUP(F210/G210,0)*H210+F210*I210)/60</f>
        <v>14.2</v>
      </c>
      <c r="K210" s="5" t="n">
        <f aca="false">MONTH(INDEX('08_PEDIDOS'!$F$2:$F$97,MATCH(A210,'08_PEDIDOS'!$A$2:$A$97,0)))</f>
        <v>3</v>
      </c>
      <c r="L210" s="16" t="n">
        <f aca="false">J210*N(INDEX('04_MAQUINAS'!$F$2:$F$18,MATCH(E210,'04_MAQUINAS'!$A$2:$A$18,0)))</f>
        <v>397.6</v>
      </c>
      <c r="M210" s="17" t="n">
        <f aca="false">J210*INDEX('04_MAQUINAS'!$G$2:$G$18,MATCH(E210,'04_MAQUINAS'!$A$2:$A$18,0))*INDEX('04_MAQUINAS'!$H$2:$H$18,MATCH(E210,'04_MAQUINAS'!$A$2:$A$18,0))</f>
        <v>35.145</v>
      </c>
      <c r="N210" s="2" t="s">
        <v>629</v>
      </c>
    </row>
    <row r="211" customFormat="false" ht="15" hidden="false" customHeight="false" outlineLevel="0" collapsed="false">
      <c r="A211" s="2" t="s">
        <v>542</v>
      </c>
      <c r="B211" s="2" t="s">
        <v>83</v>
      </c>
      <c r="C211" s="4" t="n">
        <v>5</v>
      </c>
      <c r="D211" s="2" t="s">
        <v>442</v>
      </c>
      <c r="E211" s="2" t="s">
        <v>391</v>
      </c>
      <c r="F211" s="5" t="n">
        <f aca="false">INDEX('08_PEDIDOS'!$D$2:$D$97,MATCH(A211,'08_PEDIDOS'!$A$2:$A$97,0))</f>
        <v>12</v>
      </c>
      <c r="G211" s="5" t="n">
        <f aca="false">INDEX('08_PEDIDOS'!$H$2:$H$97,MATCH(A211,'08_PEDIDOS'!$A$2:$A$97,0))</f>
        <v>10</v>
      </c>
      <c r="H211" s="17" t="n">
        <f aca="false">SUMIFS('05_RUTAS'!$F$2:$F$407,'05_RUTAS'!$A$2:$A$407,B211,'05_RUTAS'!$C$2:$C$407,C211)</f>
        <v>10</v>
      </c>
      <c r="I211" s="18" t="n">
        <f aca="false">SUMIFS('05_RUTAS'!$G$2:$G$407,'05_RUTAS'!$A$2:$A$407,B211,'05_RUTAS'!$C$2:$C$407,C211)</f>
        <v>78.4</v>
      </c>
      <c r="J211" s="18" t="n">
        <f aca="false">(ROUNDUP(F211/G211,0)*H211+F211*I211)/60</f>
        <v>16.0133333333333</v>
      </c>
      <c r="K211" s="5" t="n">
        <f aca="false">MONTH(INDEX('08_PEDIDOS'!$F$2:$F$97,MATCH(A211,'08_PEDIDOS'!$A$2:$A$97,0)))</f>
        <v>3</v>
      </c>
      <c r="L211" s="16" t="n">
        <f aca="false">J211*N(INDEX('04_MAQUINAS'!$F$2:$F$18,MATCH(E211,'04_MAQUINAS'!$A$2:$A$18,0)))</f>
        <v>512.426666666667</v>
      </c>
      <c r="M211" s="17" t="n">
        <f aca="false">J211*INDEX('04_MAQUINAS'!$G$2:$G$18,MATCH(E211,'04_MAQUINAS'!$A$2:$A$18,0))*INDEX('04_MAQUINAS'!$H$2:$H$18,MATCH(E211,'04_MAQUINAS'!$A$2:$A$18,0))</f>
        <v>28.0233333333333</v>
      </c>
      <c r="N211" s="2" t="s">
        <v>629</v>
      </c>
    </row>
    <row r="212" customFormat="false" ht="15" hidden="false" customHeight="false" outlineLevel="0" collapsed="false">
      <c r="A212" s="2" t="s">
        <v>542</v>
      </c>
      <c r="B212" s="2" t="s">
        <v>83</v>
      </c>
      <c r="C212" s="4" t="n">
        <v>6</v>
      </c>
      <c r="D212" s="2" t="s">
        <v>443</v>
      </c>
      <c r="E212" s="2" t="s">
        <v>395</v>
      </c>
      <c r="F212" s="5" t="n">
        <f aca="false">INDEX('08_PEDIDOS'!$D$2:$D$97,MATCH(A212,'08_PEDIDOS'!$A$2:$A$97,0))</f>
        <v>12</v>
      </c>
      <c r="G212" s="5" t="n">
        <f aca="false">INDEX('08_PEDIDOS'!$H$2:$H$97,MATCH(A212,'08_PEDIDOS'!$A$2:$A$97,0))</f>
        <v>10</v>
      </c>
      <c r="H212" s="17" t="n">
        <f aca="false">SUMIFS('05_RUTAS'!$F$2:$F$407,'05_RUTAS'!$A$2:$A$407,B212,'05_RUTAS'!$C$2:$C$407,C212)</f>
        <v>3</v>
      </c>
      <c r="I212" s="18" t="n">
        <f aca="false">SUMIFS('05_RUTAS'!$G$2:$G$407,'05_RUTAS'!$A$2:$A$407,B212,'05_RUTAS'!$C$2:$C$407,C212)</f>
        <v>49.5</v>
      </c>
      <c r="J212" s="18" t="n">
        <f aca="false">(ROUNDUP(F212/G212,0)*H212+F212*I212)/60</f>
        <v>10</v>
      </c>
      <c r="K212" s="5" t="n">
        <f aca="false">MONTH(INDEX('08_PEDIDOS'!$F$2:$F$97,MATCH(A212,'08_PEDIDOS'!$A$2:$A$97,0)))</f>
        <v>3</v>
      </c>
      <c r="L212" s="16" t="n">
        <f aca="false">J212*N(INDEX('04_MAQUINAS'!$F$2:$F$18,MATCH(E212,'04_MAQUINAS'!$A$2:$A$18,0)))</f>
        <v>210</v>
      </c>
      <c r="M212" s="17" t="n">
        <f aca="false">J212*INDEX('04_MAQUINAS'!$G$2:$G$18,MATCH(E212,'04_MAQUINAS'!$A$2:$A$18,0))*INDEX('04_MAQUINAS'!$H$2:$H$18,MATCH(E212,'04_MAQUINAS'!$A$2:$A$18,0))</f>
        <v>7.5</v>
      </c>
      <c r="N212" s="2" t="s">
        <v>629</v>
      </c>
    </row>
    <row r="213" customFormat="false" ht="15" hidden="false" customHeight="false" outlineLevel="0" collapsed="false">
      <c r="A213" s="2" t="s">
        <v>542</v>
      </c>
      <c r="B213" s="2" t="s">
        <v>83</v>
      </c>
      <c r="C213" s="4" t="n">
        <v>7</v>
      </c>
      <c r="D213" s="2" t="s">
        <v>444</v>
      </c>
      <c r="E213" s="2" t="s">
        <v>399</v>
      </c>
      <c r="F213" s="5" t="n">
        <f aca="false">INDEX('08_PEDIDOS'!$D$2:$D$97,MATCH(A213,'08_PEDIDOS'!$A$2:$A$97,0))</f>
        <v>12</v>
      </c>
      <c r="G213" s="5" t="n">
        <f aca="false">INDEX('08_PEDIDOS'!$H$2:$H$97,MATCH(A213,'08_PEDIDOS'!$A$2:$A$97,0))</f>
        <v>10</v>
      </c>
      <c r="H213" s="17" t="n">
        <f aca="false">SUMIFS('05_RUTAS'!$F$2:$F$407,'05_RUTAS'!$A$2:$A$407,B213,'05_RUTAS'!$C$2:$C$407,C213)</f>
        <v>6</v>
      </c>
      <c r="I213" s="18" t="n">
        <f aca="false">SUMIFS('05_RUTAS'!$G$2:$G$407,'05_RUTAS'!$A$2:$A$407,B213,'05_RUTAS'!$C$2:$C$407,C213)</f>
        <v>32.064</v>
      </c>
      <c r="J213" s="18" t="n">
        <f aca="false">(ROUNDUP(F213/G213,0)*H213+F213*I213)/60</f>
        <v>6.6128</v>
      </c>
      <c r="K213" s="5" t="n">
        <f aca="false">MONTH(INDEX('08_PEDIDOS'!$F$2:$F$97,MATCH(A213,'08_PEDIDOS'!$A$2:$A$97,0)))</f>
        <v>3</v>
      </c>
      <c r="L213" s="16" t="n">
        <f aca="false">J213*N(INDEX('04_MAQUINAS'!$F$2:$F$18,MATCH(E213,'04_MAQUINAS'!$A$2:$A$18,0)))</f>
        <v>125.6432</v>
      </c>
      <c r="M213" s="17" t="n">
        <f aca="false">J213*INDEX('04_MAQUINAS'!$G$2:$G$18,MATCH(E213,'04_MAQUINAS'!$A$2:$A$18,0))*INDEX('04_MAQUINAS'!$H$2:$H$18,MATCH(E213,'04_MAQUINAS'!$A$2:$A$18,0))</f>
        <v>5.819264</v>
      </c>
      <c r="N213" s="2" t="s">
        <v>629</v>
      </c>
    </row>
    <row r="214" customFormat="false" ht="15" hidden="false" customHeight="false" outlineLevel="0" collapsed="false">
      <c r="A214" s="2" t="s">
        <v>542</v>
      </c>
      <c r="B214" s="2" t="s">
        <v>83</v>
      </c>
      <c r="C214" s="4" t="n">
        <v>8</v>
      </c>
      <c r="D214" s="2" t="s">
        <v>445</v>
      </c>
      <c r="E214" s="2" t="s">
        <v>402</v>
      </c>
      <c r="F214" s="5" t="n">
        <f aca="false">INDEX('08_PEDIDOS'!$D$2:$D$97,MATCH(A214,'08_PEDIDOS'!$A$2:$A$97,0))</f>
        <v>12</v>
      </c>
      <c r="G214" s="5" t="n">
        <f aca="false">INDEX('08_PEDIDOS'!$H$2:$H$97,MATCH(A214,'08_PEDIDOS'!$A$2:$A$97,0))</f>
        <v>10</v>
      </c>
      <c r="H214" s="17" t="n">
        <f aca="false">SUMIFS('05_RUTAS'!$F$2:$F$407,'05_RUTAS'!$A$2:$A$407,B214,'05_RUTAS'!$C$2:$C$407,C214)</f>
        <v>12</v>
      </c>
      <c r="I214" s="18" t="n">
        <f aca="false">SUMIFS('05_RUTAS'!$G$2:$G$407,'05_RUTAS'!$A$2:$A$407,B214,'05_RUTAS'!$C$2:$C$407,C214)</f>
        <v>8.02</v>
      </c>
      <c r="J214" s="18" t="n">
        <f aca="false">(ROUNDUP(F214/G214,0)*H214+F214*I214)/60</f>
        <v>2.004</v>
      </c>
      <c r="K214" s="5" t="n">
        <f aca="false">MONTH(INDEX('08_PEDIDOS'!$F$2:$F$97,MATCH(A214,'08_PEDIDOS'!$A$2:$A$97,0)))</f>
        <v>3</v>
      </c>
      <c r="L214" s="16" t="n">
        <f aca="false">J214*N(INDEX('04_MAQUINAS'!$F$2:$F$18,MATCH(E214,'04_MAQUINAS'!$A$2:$A$18,0)))</f>
        <v>64.128</v>
      </c>
      <c r="M214" s="17" t="n">
        <f aca="false">J214*INDEX('04_MAQUINAS'!$G$2:$G$18,MATCH(E214,'04_MAQUINAS'!$A$2:$A$18,0))*INDEX('04_MAQUINAS'!$H$2:$H$18,MATCH(E214,'04_MAQUINAS'!$A$2:$A$18,0))</f>
        <v>2.1042</v>
      </c>
      <c r="N214" s="2" t="s">
        <v>629</v>
      </c>
    </row>
    <row r="215" customFormat="false" ht="15" hidden="false" customHeight="false" outlineLevel="0" collapsed="false">
      <c r="A215" s="2" t="s">
        <v>542</v>
      </c>
      <c r="B215" s="2" t="s">
        <v>83</v>
      </c>
      <c r="C215" s="4" t="n">
        <v>9</v>
      </c>
      <c r="D215" s="2" t="s">
        <v>447</v>
      </c>
      <c r="E215" s="2" t="s">
        <v>421</v>
      </c>
      <c r="F215" s="5" t="n">
        <f aca="false">INDEX('08_PEDIDOS'!$D$2:$D$97,MATCH(A215,'08_PEDIDOS'!$A$2:$A$97,0))</f>
        <v>12</v>
      </c>
      <c r="G215" s="5" t="n">
        <f aca="false">INDEX('08_PEDIDOS'!$H$2:$H$97,MATCH(A215,'08_PEDIDOS'!$A$2:$A$97,0))</f>
        <v>10</v>
      </c>
      <c r="H215" s="17" t="n">
        <f aca="false">SUMIFS('05_RUTAS'!$F$2:$F$407,'05_RUTAS'!$A$2:$A$407,B215,'05_RUTAS'!$C$2:$C$407,C215)</f>
        <v>45</v>
      </c>
      <c r="I215" s="18" t="n">
        <f aca="false">SUMIFS('05_RUTAS'!$G$2:$G$407,'05_RUTAS'!$A$2:$A$407,B215,'05_RUTAS'!$C$2:$C$407,C215)</f>
        <v>0</v>
      </c>
      <c r="J215" s="18" t="n">
        <f aca="false">(ROUNDUP(F215/G215,0)*H215+F215*I215)/60</f>
        <v>1.5</v>
      </c>
      <c r="K215" s="5" t="n">
        <f aca="false">MONTH(INDEX('08_PEDIDOS'!$F$2:$F$97,MATCH(A215,'08_PEDIDOS'!$A$2:$A$97,0)))</f>
        <v>3</v>
      </c>
      <c r="L215" s="16" t="n">
        <f aca="false">J215*N(INDEX('04_MAQUINAS'!$F$2:$F$18,MATCH(E215,'04_MAQUINAS'!$A$2:$A$18,0)))</f>
        <v>39</v>
      </c>
      <c r="M215" s="17" t="n">
        <f aca="false">J215*INDEX('04_MAQUINAS'!$G$2:$G$18,MATCH(E215,'04_MAQUINAS'!$A$2:$A$18,0))*INDEX('04_MAQUINAS'!$H$2:$H$18,MATCH(E215,'04_MAQUINAS'!$A$2:$A$18,0))</f>
        <v>21.6</v>
      </c>
      <c r="N215" s="2" t="s">
        <v>629</v>
      </c>
    </row>
    <row r="216" customFormat="false" ht="15" hidden="false" customHeight="false" outlineLevel="0" collapsed="false">
      <c r="A216" s="2" t="s">
        <v>542</v>
      </c>
      <c r="B216" s="2" t="s">
        <v>83</v>
      </c>
      <c r="C216" s="4" t="n">
        <v>10</v>
      </c>
      <c r="D216" s="2" t="s">
        <v>449</v>
      </c>
      <c r="E216" s="2" t="s">
        <v>423</v>
      </c>
      <c r="F216" s="5" t="n">
        <f aca="false">INDEX('08_PEDIDOS'!$D$2:$D$97,MATCH(A216,'08_PEDIDOS'!$A$2:$A$97,0))</f>
        <v>12</v>
      </c>
      <c r="G216" s="5" t="n">
        <f aca="false">INDEX('08_PEDIDOS'!$H$2:$H$97,MATCH(A216,'08_PEDIDOS'!$A$2:$A$97,0))</f>
        <v>10</v>
      </c>
      <c r="H216" s="17" t="n">
        <f aca="false">SUMIFS('05_RUTAS'!$F$2:$F$407,'05_RUTAS'!$A$2:$A$407,B216,'05_RUTAS'!$C$2:$C$407,C216)</f>
        <v>8</v>
      </c>
      <c r="I216" s="18" t="n">
        <f aca="false">SUMIFS('05_RUTAS'!$G$2:$G$407,'05_RUTAS'!$A$2:$A$407,B216,'05_RUTAS'!$C$2:$C$407,C216)</f>
        <v>2.69</v>
      </c>
      <c r="J216" s="18" t="n">
        <f aca="false">(ROUNDUP(F216/G216,0)*H216+F216*I216)/60</f>
        <v>0.804666666666667</v>
      </c>
      <c r="K216" s="5" t="n">
        <f aca="false">MONTH(INDEX('08_PEDIDOS'!$F$2:$F$97,MATCH(A216,'08_PEDIDOS'!$A$2:$A$97,0)))</f>
        <v>3</v>
      </c>
      <c r="L216" s="16" t="n">
        <f aca="false">J216*N(INDEX('04_MAQUINAS'!$F$2:$F$18,MATCH(E216,'04_MAQUINAS'!$A$2:$A$18,0)))</f>
        <v>12.8746666666667</v>
      </c>
      <c r="M216" s="17" t="n">
        <f aca="false">J216*INDEX('04_MAQUINAS'!$G$2:$G$18,MATCH(E216,'04_MAQUINAS'!$A$2:$A$18,0))*INDEX('04_MAQUINAS'!$H$2:$H$18,MATCH(E216,'04_MAQUINAS'!$A$2:$A$18,0))</f>
        <v>0.201166666666667</v>
      </c>
      <c r="N216" s="2" t="s">
        <v>629</v>
      </c>
    </row>
    <row r="217" customFormat="false" ht="15" hidden="false" customHeight="false" outlineLevel="0" collapsed="false">
      <c r="A217" s="2" t="s">
        <v>542</v>
      </c>
      <c r="B217" s="2" t="s">
        <v>83</v>
      </c>
      <c r="C217" s="4" t="n">
        <v>11</v>
      </c>
      <c r="D217" s="2" t="s">
        <v>450</v>
      </c>
      <c r="E217" s="2" t="s">
        <v>406</v>
      </c>
      <c r="F217" s="5" t="n">
        <f aca="false">INDEX('08_PEDIDOS'!$D$2:$D$97,MATCH(A217,'08_PEDIDOS'!$A$2:$A$97,0))</f>
        <v>12</v>
      </c>
      <c r="G217" s="5" t="n">
        <f aca="false">INDEX('08_PEDIDOS'!$H$2:$H$97,MATCH(A217,'08_PEDIDOS'!$A$2:$A$97,0))</f>
        <v>10</v>
      </c>
      <c r="H217" s="17" t="n">
        <f aca="false">SUMIFS('05_RUTAS'!$F$2:$F$407,'05_RUTAS'!$A$2:$A$407,B217,'05_RUTAS'!$C$2:$C$407,C217)</f>
        <v>6</v>
      </c>
      <c r="I217" s="18" t="n">
        <f aca="false">SUMIFS('05_RUTAS'!$G$2:$G$407,'05_RUTAS'!$A$2:$A$407,B217,'05_RUTAS'!$C$2:$C$407,C217)</f>
        <v>62.25</v>
      </c>
      <c r="J217" s="18" t="n">
        <f aca="false">(ROUNDUP(F217/G217,0)*H217+F217*I217)/60</f>
        <v>12.65</v>
      </c>
      <c r="K217" s="5" t="n">
        <f aca="false">MONTH(INDEX('08_PEDIDOS'!$F$2:$F$97,MATCH(A217,'08_PEDIDOS'!$A$2:$A$97,0)))</f>
        <v>3</v>
      </c>
      <c r="L217" s="16" t="n">
        <f aca="false">J217*N(INDEX('04_MAQUINAS'!$F$2:$F$18,MATCH(E217,'04_MAQUINAS'!$A$2:$A$18,0)))</f>
        <v>240.35</v>
      </c>
      <c r="M217" s="17" t="n">
        <f aca="false">J217*INDEX('04_MAQUINAS'!$G$2:$G$18,MATCH(E217,'04_MAQUINAS'!$A$2:$A$18,0))*INDEX('04_MAQUINAS'!$H$2:$H$18,MATCH(E217,'04_MAQUINAS'!$A$2:$A$18,0))</f>
        <v>3.795</v>
      </c>
      <c r="N217" s="2" t="s">
        <v>629</v>
      </c>
    </row>
    <row r="218" customFormat="false" ht="15" hidden="false" customHeight="false" outlineLevel="0" collapsed="false">
      <c r="A218" s="2" t="s">
        <v>542</v>
      </c>
      <c r="B218" s="2" t="s">
        <v>83</v>
      </c>
      <c r="C218" s="4" t="n">
        <v>12</v>
      </c>
      <c r="D218" s="2" t="s">
        <v>451</v>
      </c>
      <c r="E218" s="2" t="s">
        <v>408</v>
      </c>
      <c r="F218" s="5" t="n">
        <f aca="false">INDEX('08_PEDIDOS'!$D$2:$D$97,MATCH(A218,'08_PEDIDOS'!$A$2:$A$97,0))</f>
        <v>12</v>
      </c>
      <c r="G218" s="5" t="n">
        <f aca="false">INDEX('08_PEDIDOS'!$H$2:$H$97,MATCH(A218,'08_PEDIDOS'!$A$2:$A$97,0))</f>
        <v>10</v>
      </c>
      <c r="H218" s="17" t="n">
        <f aca="false">SUMIFS('05_RUTAS'!$F$2:$F$407,'05_RUTAS'!$A$2:$A$407,B218,'05_RUTAS'!$C$2:$C$407,C218)</f>
        <v>2</v>
      </c>
      <c r="I218" s="18" t="n">
        <f aca="false">SUMIFS('05_RUTAS'!$G$2:$G$407,'05_RUTAS'!$A$2:$A$407,B218,'05_RUTAS'!$C$2:$C$407,C218)</f>
        <v>3.86</v>
      </c>
      <c r="J218" s="18" t="n">
        <f aca="false">(ROUNDUP(F218/G218,0)*H218+F218*I218)/60</f>
        <v>0.838666666666667</v>
      </c>
      <c r="K218" s="5" t="n">
        <f aca="false">MONTH(INDEX('08_PEDIDOS'!$F$2:$F$97,MATCH(A218,'08_PEDIDOS'!$A$2:$A$97,0)))</f>
        <v>3</v>
      </c>
      <c r="L218" s="16" t="n">
        <f aca="false">J218*N(INDEX('04_MAQUINAS'!$F$2:$F$18,MATCH(E218,'04_MAQUINAS'!$A$2:$A$18,0)))</f>
        <v>16.7733333333333</v>
      </c>
      <c r="M218" s="17" t="n">
        <f aca="false">J218*INDEX('04_MAQUINAS'!$G$2:$G$18,MATCH(E218,'04_MAQUINAS'!$A$2:$A$18,0))*INDEX('04_MAQUINAS'!$H$2:$H$18,MATCH(E218,'04_MAQUINAS'!$A$2:$A$18,0))</f>
        <v>0.0838666666666667</v>
      </c>
      <c r="N218" s="2" t="s">
        <v>629</v>
      </c>
    </row>
    <row r="219" customFormat="false" ht="15" hidden="false" customHeight="false" outlineLevel="0" collapsed="false">
      <c r="A219" s="2" t="s">
        <v>542</v>
      </c>
      <c r="B219" s="2" t="s">
        <v>83</v>
      </c>
      <c r="C219" s="4" t="n">
        <v>13</v>
      </c>
      <c r="D219" s="2" t="s">
        <v>452</v>
      </c>
      <c r="E219" s="2" t="s">
        <v>411</v>
      </c>
      <c r="F219" s="5" t="n">
        <f aca="false">INDEX('08_PEDIDOS'!$D$2:$D$97,MATCH(A219,'08_PEDIDOS'!$A$2:$A$97,0))</f>
        <v>12</v>
      </c>
      <c r="G219" s="5" t="n">
        <f aca="false">INDEX('08_PEDIDOS'!$H$2:$H$97,MATCH(A219,'08_PEDIDOS'!$A$2:$A$97,0))</f>
        <v>10</v>
      </c>
      <c r="H219" s="17" t="n">
        <f aca="false">SUMIFS('05_RUTAS'!$F$2:$F$407,'05_RUTAS'!$A$2:$A$407,B219,'05_RUTAS'!$C$2:$C$407,C219)</f>
        <v>2</v>
      </c>
      <c r="I219" s="18" t="n">
        <f aca="false">SUMIFS('05_RUTAS'!$G$2:$G$407,'05_RUTAS'!$A$2:$A$407,B219,'05_RUTAS'!$C$2:$C$407,C219)</f>
        <v>5.3</v>
      </c>
      <c r="J219" s="18" t="n">
        <f aca="false">(ROUNDUP(F219/G219,0)*H219+F219*I219)/60</f>
        <v>1.12666666666667</v>
      </c>
      <c r="K219" s="5" t="n">
        <f aca="false">MONTH(INDEX('08_PEDIDOS'!$F$2:$F$97,MATCH(A219,'08_PEDIDOS'!$A$2:$A$97,0)))</f>
        <v>3</v>
      </c>
      <c r="L219" s="16" t="n">
        <f aca="false">J219*N(INDEX('04_MAQUINAS'!$F$2:$F$18,MATCH(E219,'04_MAQUINAS'!$A$2:$A$18,0)))</f>
        <v>20.28</v>
      </c>
      <c r="M219" s="17" t="n">
        <f aca="false">J219*INDEX('04_MAQUINAS'!$G$2:$G$18,MATCH(E219,'04_MAQUINAS'!$A$2:$A$18,0))*INDEX('04_MAQUINAS'!$H$2:$H$18,MATCH(E219,'04_MAQUINAS'!$A$2:$A$18,0))</f>
        <v>0.1014</v>
      </c>
      <c r="N219" s="2" t="s">
        <v>629</v>
      </c>
    </row>
    <row r="220" customFormat="false" ht="15" hidden="false" customHeight="false" outlineLevel="0" collapsed="false">
      <c r="A220" s="2" t="s">
        <v>543</v>
      </c>
      <c r="B220" s="2" t="s">
        <v>94</v>
      </c>
      <c r="C220" s="4" t="n">
        <v>1</v>
      </c>
      <c r="D220" s="2" t="s">
        <v>437</v>
      </c>
      <c r="E220" s="2" t="s">
        <v>375</v>
      </c>
      <c r="F220" s="5" t="n">
        <f aca="false">INDEX('08_PEDIDOS'!$D$2:$D$97,MATCH(A220,'08_PEDIDOS'!$A$2:$A$97,0))</f>
        <v>6</v>
      </c>
      <c r="G220" s="5" t="n">
        <f aca="false">INDEX('08_PEDIDOS'!$H$2:$H$97,MATCH(A220,'08_PEDIDOS'!$A$2:$A$97,0))</f>
        <v>10</v>
      </c>
      <c r="H220" s="17" t="n">
        <f aca="false">SUMIFS('05_RUTAS'!$F$2:$F$407,'05_RUTAS'!$A$2:$A$407,B220,'05_RUTAS'!$C$2:$C$407,C220)</f>
        <v>8</v>
      </c>
      <c r="I220" s="18" t="n">
        <f aca="false">SUMIFS('05_RUTAS'!$G$2:$G$407,'05_RUTAS'!$A$2:$A$407,B220,'05_RUTAS'!$C$2:$C$407,C220)</f>
        <v>90.38</v>
      </c>
      <c r="J220" s="18" t="n">
        <f aca="false">(ROUNDUP(F220/G220,0)*H220+F220*I220)/60</f>
        <v>9.17133333333333</v>
      </c>
      <c r="K220" s="5" t="n">
        <f aca="false">MONTH(INDEX('08_PEDIDOS'!$F$2:$F$97,MATCH(A220,'08_PEDIDOS'!$A$2:$A$97,0)))</f>
        <v>3</v>
      </c>
      <c r="L220" s="16" t="n">
        <f aca="false">J220*N(INDEX('04_MAQUINAS'!$F$2:$F$18,MATCH(E220,'04_MAQUINAS'!$A$2:$A$18,0)))</f>
        <v>220.112</v>
      </c>
      <c r="M220" s="17" t="n">
        <f aca="false">J220*INDEX('04_MAQUINAS'!$G$2:$G$18,MATCH(E220,'04_MAQUINAS'!$A$2:$A$18,0))*INDEX('04_MAQUINAS'!$H$2:$H$18,MATCH(E220,'04_MAQUINAS'!$A$2:$A$18,0))</f>
        <v>25.2211666666667</v>
      </c>
      <c r="N220" s="2" t="s">
        <v>629</v>
      </c>
    </row>
    <row r="221" customFormat="false" ht="15" hidden="false" customHeight="false" outlineLevel="0" collapsed="false">
      <c r="A221" s="2" t="s">
        <v>543</v>
      </c>
      <c r="B221" s="2" t="s">
        <v>94</v>
      </c>
      <c r="C221" s="4" t="n">
        <v>2</v>
      </c>
      <c r="D221" s="2" t="s">
        <v>441</v>
      </c>
      <c r="E221" s="2" t="s">
        <v>380</v>
      </c>
      <c r="F221" s="5" t="n">
        <f aca="false">INDEX('08_PEDIDOS'!$D$2:$D$97,MATCH(A221,'08_PEDIDOS'!$A$2:$A$97,0))</f>
        <v>6</v>
      </c>
      <c r="G221" s="5" t="n">
        <f aca="false">INDEX('08_PEDIDOS'!$H$2:$H$97,MATCH(A221,'08_PEDIDOS'!$A$2:$A$97,0))</f>
        <v>10</v>
      </c>
      <c r="H221" s="17" t="n">
        <f aca="false">SUMIFS('05_RUTAS'!$F$2:$F$407,'05_RUTAS'!$A$2:$A$407,B221,'05_RUTAS'!$C$2:$C$407,C221)</f>
        <v>8</v>
      </c>
      <c r="I221" s="18" t="n">
        <f aca="false">SUMIFS('05_RUTAS'!$G$2:$G$407,'05_RUTAS'!$A$2:$A$407,B221,'05_RUTAS'!$C$2:$C$407,C221)</f>
        <v>5.98</v>
      </c>
      <c r="J221" s="18" t="n">
        <f aca="false">(ROUNDUP(F221/G221,0)*H221+F221*I221)/60</f>
        <v>0.731333333333333</v>
      </c>
      <c r="K221" s="5" t="n">
        <f aca="false">MONTH(INDEX('08_PEDIDOS'!$F$2:$F$97,MATCH(A221,'08_PEDIDOS'!$A$2:$A$97,0)))</f>
        <v>3</v>
      </c>
      <c r="L221" s="16" t="n">
        <f aca="false">J221*N(INDEX('04_MAQUINAS'!$F$2:$F$18,MATCH(E221,'04_MAQUINAS'!$A$2:$A$18,0)))</f>
        <v>16.0893333333333</v>
      </c>
      <c r="M221" s="17" t="n">
        <f aca="false">J221*INDEX('04_MAQUINAS'!$G$2:$G$18,MATCH(E221,'04_MAQUINAS'!$A$2:$A$18,0))*INDEX('04_MAQUINAS'!$H$2:$H$18,MATCH(E221,'04_MAQUINAS'!$A$2:$A$18,0))</f>
        <v>0.3291</v>
      </c>
      <c r="N221" s="2" t="s">
        <v>629</v>
      </c>
    </row>
    <row r="222" customFormat="false" ht="15" hidden="false" customHeight="false" outlineLevel="0" collapsed="false">
      <c r="A222" s="2" t="s">
        <v>543</v>
      </c>
      <c r="B222" s="2" t="s">
        <v>94</v>
      </c>
      <c r="C222" s="4" t="n">
        <v>3</v>
      </c>
      <c r="D222" s="2" t="s">
        <v>386</v>
      </c>
      <c r="E222" s="2" t="s">
        <v>383</v>
      </c>
      <c r="F222" s="5" t="n">
        <f aca="false">INDEX('08_PEDIDOS'!$D$2:$D$97,MATCH(A222,'08_PEDIDOS'!$A$2:$A$97,0))</f>
        <v>6</v>
      </c>
      <c r="G222" s="5" t="n">
        <f aca="false">INDEX('08_PEDIDOS'!$H$2:$H$97,MATCH(A222,'08_PEDIDOS'!$A$2:$A$97,0))</f>
        <v>10</v>
      </c>
      <c r="H222" s="17" t="n">
        <f aca="false">SUMIFS('05_RUTAS'!$F$2:$F$407,'05_RUTAS'!$A$2:$A$407,B222,'05_RUTAS'!$C$2:$C$407,C222)</f>
        <v>10</v>
      </c>
      <c r="I222" s="18" t="n">
        <f aca="false">SUMIFS('05_RUTAS'!$G$2:$G$407,'05_RUTAS'!$A$2:$A$407,B222,'05_RUTAS'!$C$2:$C$407,C222)</f>
        <v>97</v>
      </c>
      <c r="J222" s="18" t="n">
        <f aca="false">(ROUNDUP(F222/G222,0)*H222+F222*I222)/60</f>
        <v>9.86666666666667</v>
      </c>
      <c r="K222" s="5" t="n">
        <f aca="false">MONTH(INDEX('08_PEDIDOS'!$F$2:$F$97,MATCH(A222,'08_PEDIDOS'!$A$2:$A$97,0)))</f>
        <v>3</v>
      </c>
      <c r="L222" s="16" t="n">
        <f aca="false">J222*N(INDEX('04_MAQUINAS'!$F$2:$F$18,MATCH(E222,'04_MAQUINAS'!$A$2:$A$18,0)))</f>
        <v>217.066666666667</v>
      </c>
      <c r="M222" s="17" t="n">
        <f aca="false">J222*INDEX('04_MAQUINAS'!$G$2:$G$18,MATCH(E222,'04_MAQUINAS'!$A$2:$A$18,0))*INDEX('04_MAQUINAS'!$H$2:$H$18,MATCH(E222,'04_MAQUINAS'!$A$2:$A$18,0))</f>
        <v>2.71333333333333</v>
      </c>
      <c r="N222" s="2" t="s">
        <v>629</v>
      </c>
    </row>
    <row r="223" customFormat="false" ht="15" hidden="false" customHeight="false" outlineLevel="0" collapsed="false">
      <c r="A223" s="2" t="s">
        <v>543</v>
      </c>
      <c r="B223" s="2" t="s">
        <v>94</v>
      </c>
      <c r="C223" s="4" t="n">
        <v>4</v>
      </c>
      <c r="D223" s="2" t="s">
        <v>390</v>
      </c>
      <c r="E223" s="2" t="s">
        <v>387</v>
      </c>
      <c r="F223" s="5" t="n">
        <f aca="false">INDEX('08_PEDIDOS'!$D$2:$D$97,MATCH(A223,'08_PEDIDOS'!$A$2:$A$97,0))</f>
        <v>6</v>
      </c>
      <c r="G223" s="5" t="n">
        <f aca="false">INDEX('08_PEDIDOS'!$H$2:$H$97,MATCH(A223,'08_PEDIDOS'!$A$2:$A$97,0))</f>
        <v>10</v>
      </c>
      <c r="H223" s="17" t="n">
        <f aca="false">SUMIFS('05_RUTAS'!$F$2:$F$407,'05_RUTAS'!$A$2:$A$407,B223,'05_RUTAS'!$C$2:$C$407,C223)</f>
        <v>12</v>
      </c>
      <c r="I223" s="18" t="n">
        <f aca="false">SUMIFS('05_RUTAS'!$G$2:$G$407,'05_RUTAS'!$A$2:$A$407,B223,'05_RUTAS'!$C$2:$C$407,C223)</f>
        <v>196</v>
      </c>
      <c r="J223" s="18" t="n">
        <f aca="false">(ROUNDUP(F223/G223,0)*H223+F223*I223)/60</f>
        <v>19.8</v>
      </c>
      <c r="K223" s="5" t="n">
        <f aca="false">MONTH(INDEX('08_PEDIDOS'!$F$2:$F$97,MATCH(A223,'08_PEDIDOS'!$A$2:$A$97,0)))</f>
        <v>3</v>
      </c>
      <c r="L223" s="16" t="n">
        <f aca="false">J223*N(INDEX('04_MAQUINAS'!$F$2:$F$18,MATCH(E223,'04_MAQUINAS'!$A$2:$A$18,0)))</f>
        <v>554.4</v>
      </c>
      <c r="M223" s="17" t="n">
        <f aca="false">J223*INDEX('04_MAQUINAS'!$G$2:$G$18,MATCH(E223,'04_MAQUINAS'!$A$2:$A$18,0))*INDEX('04_MAQUINAS'!$H$2:$H$18,MATCH(E223,'04_MAQUINAS'!$A$2:$A$18,0))</f>
        <v>49.005</v>
      </c>
      <c r="N223" s="2" t="s">
        <v>629</v>
      </c>
    </row>
    <row r="224" customFormat="false" ht="15" hidden="false" customHeight="false" outlineLevel="0" collapsed="false">
      <c r="A224" s="2" t="s">
        <v>543</v>
      </c>
      <c r="B224" s="2" t="s">
        <v>94</v>
      </c>
      <c r="C224" s="4" t="n">
        <v>5</v>
      </c>
      <c r="D224" s="2" t="s">
        <v>443</v>
      </c>
      <c r="E224" s="2" t="s">
        <v>395</v>
      </c>
      <c r="F224" s="5" t="n">
        <f aca="false">INDEX('08_PEDIDOS'!$D$2:$D$97,MATCH(A224,'08_PEDIDOS'!$A$2:$A$97,0))</f>
        <v>6</v>
      </c>
      <c r="G224" s="5" t="n">
        <f aca="false">INDEX('08_PEDIDOS'!$H$2:$H$97,MATCH(A224,'08_PEDIDOS'!$A$2:$A$97,0))</f>
        <v>10</v>
      </c>
      <c r="H224" s="17" t="n">
        <f aca="false">SUMIFS('05_RUTAS'!$F$2:$F$407,'05_RUTAS'!$A$2:$A$407,B224,'05_RUTAS'!$C$2:$C$407,C224)</f>
        <v>3</v>
      </c>
      <c r="I224" s="18" t="n">
        <f aca="false">SUMIFS('05_RUTAS'!$G$2:$G$407,'05_RUTAS'!$A$2:$A$407,B224,'05_RUTAS'!$C$2:$C$407,C224)</f>
        <v>51</v>
      </c>
      <c r="J224" s="18" t="n">
        <f aca="false">(ROUNDUP(F224/G224,0)*H224+F224*I224)/60</f>
        <v>5.15</v>
      </c>
      <c r="K224" s="5" t="n">
        <f aca="false">MONTH(INDEX('08_PEDIDOS'!$F$2:$F$97,MATCH(A224,'08_PEDIDOS'!$A$2:$A$97,0)))</f>
        <v>3</v>
      </c>
      <c r="L224" s="16" t="n">
        <f aca="false">J224*N(INDEX('04_MAQUINAS'!$F$2:$F$18,MATCH(E224,'04_MAQUINAS'!$A$2:$A$18,0)))</f>
        <v>108.15</v>
      </c>
      <c r="M224" s="17" t="n">
        <f aca="false">J224*INDEX('04_MAQUINAS'!$G$2:$G$18,MATCH(E224,'04_MAQUINAS'!$A$2:$A$18,0))*INDEX('04_MAQUINAS'!$H$2:$H$18,MATCH(E224,'04_MAQUINAS'!$A$2:$A$18,0))</f>
        <v>3.8625</v>
      </c>
      <c r="N224" s="2" t="s">
        <v>629</v>
      </c>
    </row>
    <row r="225" customFormat="false" ht="15" hidden="false" customHeight="false" outlineLevel="0" collapsed="false">
      <c r="A225" s="2" t="s">
        <v>543</v>
      </c>
      <c r="B225" s="2" t="s">
        <v>94</v>
      </c>
      <c r="C225" s="4" t="n">
        <v>6</v>
      </c>
      <c r="D225" s="2" t="s">
        <v>444</v>
      </c>
      <c r="E225" s="2" t="s">
        <v>399</v>
      </c>
      <c r="F225" s="5" t="n">
        <f aca="false">INDEX('08_PEDIDOS'!$D$2:$D$97,MATCH(A225,'08_PEDIDOS'!$A$2:$A$97,0))</f>
        <v>6</v>
      </c>
      <c r="G225" s="5" t="n">
        <f aca="false">INDEX('08_PEDIDOS'!$H$2:$H$97,MATCH(A225,'08_PEDIDOS'!$A$2:$A$97,0))</f>
        <v>10</v>
      </c>
      <c r="H225" s="17" t="n">
        <f aca="false">SUMIFS('05_RUTAS'!$F$2:$F$407,'05_RUTAS'!$A$2:$A$407,B225,'05_RUTAS'!$C$2:$C$407,C225)</f>
        <v>6</v>
      </c>
      <c r="I225" s="18" t="n">
        <f aca="false">SUMIFS('05_RUTAS'!$G$2:$G$407,'05_RUTAS'!$A$2:$A$407,B225,'05_RUTAS'!$C$2:$C$407,C225)</f>
        <v>40.5152</v>
      </c>
      <c r="J225" s="18" t="n">
        <f aca="false">(ROUNDUP(F225/G225,0)*H225+F225*I225)/60</f>
        <v>4.15152</v>
      </c>
      <c r="K225" s="5" t="n">
        <f aca="false">MONTH(INDEX('08_PEDIDOS'!$F$2:$F$97,MATCH(A225,'08_PEDIDOS'!$A$2:$A$97,0)))</f>
        <v>3</v>
      </c>
      <c r="L225" s="16" t="n">
        <f aca="false">J225*N(INDEX('04_MAQUINAS'!$F$2:$F$18,MATCH(E225,'04_MAQUINAS'!$A$2:$A$18,0)))</f>
        <v>78.87888</v>
      </c>
      <c r="M225" s="17" t="n">
        <f aca="false">J225*INDEX('04_MAQUINAS'!$G$2:$G$18,MATCH(E225,'04_MAQUINAS'!$A$2:$A$18,0))*INDEX('04_MAQUINAS'!$H$2:$H$18,MATCH(E225,'04_MAQUINAS'!$A$2:$A$18,0))</f>
        <v>3.6533376</v>
      </c>
      <c r="N225" s="2" t="s">
        <v>629</v>
      </c>
    </row>
    <row r="226" customFormat="false" ht="15" hidden="false" customHeight="false" outlineLevel="0" collapsed="false">
      <c r="A226" s="2" t="s">
        <v>543</v>
      </c>
      <c r="B226" s="2" t="s">
        <v>94</v>
      </c>
      <c r="C226" s="4" t="n">
        <v>7</v>
      </c>
      <c r="D226" s="2" t="s">
        <v>445</v>
      </c>
      <c r="E226" s="2" t="s">
        <v>402</v>
      </c>
      <c r="F226" s="5" t="n">
        <f aca="false">INDEX('08_PEDIDOS'!$D$2:$D$97,MATCH(A226,'08_PEDIDOS'!$A$2:$A$97,0))</f>
        <v>6</v>
      </c>
      <c r="G226" s="5" t="n">
        <f aca="false">INDEX('08_PEDIDOS'!$H$2:$H$97,MATCH(A226,'08_PEDIDOS'!$A$2:$A$97,0))</f>
        <v>10</v>
      </c>
      <c r="H226" s="17" t="n">
        <f aca="false">SUMIFS('05_RUTAS'!$F$2:$F$407,'05_RUTAS'!$A$2:$A$407,B226,'05_RUTAS'!$C$2:$C$407,C226)</f>
        <v>12</v>
      </c>
      <c r="I226" s="18" t="n">
        <f aca="false">SUMIFS('05_RUTAS'!$G$2:$G$407,'05_RUTAS'!$A$2:$A$407,B226,'05_RUTAS'!$C$2:$C$407,C226)</f>
        <v>7.76</v>
      </c>
      <c r="J226" s="18" t="n">
        <f aca="false">(ROUNDUP(F226/G226,0)*H226+F226*I226)/60</f>
        <v>0.976</v>
      </c>
      <c r="K226" s="5" t="n">
        <f aca="false">MONTH(INDEX('08_PEDIDOS'!$F$2:$F$97,MATCH(A226,'08_PEDIDOS'!$A$2:$A$97,0)))</f>
        <v>3</v>
      </c>
      <c r="L226" s="16" t="n">
        <f aca="false">J226*N(INDEX('04_MAQUINAS'!$F$2:$F$18,MATCH(E226,'04_MAQUINAS'!$A$2:$A$18,0)))</f>
        <v>31.232</v>
      </c>
      <c r="M226" s="17" t="n">
        <f aca="false">J226*INDEX('04_MAQUINAS'!$G$2:$G$18,MATCH(E226,'04_MAQUINAS'!$A$2:$A$18,0))*INDEX('04_MAQUINAS'!$H$2:$H$18,MATCH(E226,'04_MAQUINAS'!$A$2:$A$18,0))</f>
        <v>1.0248</v>
      </c>
      <c r="N226" s="2" t="s">
        <v>629</v>
      </c>
    </row>
    <row r="227" customFormat="false" ht="15" hidden="false" customHeight="false" outlineLevel="0" collapsed="false">
      <c r="A227" s="2" t="s">
        <v>543</v>
      </c>
      <c r="B227" s="2" t="s">
        <v>94</v>
      </c>
      <c r="C227" s="4" t="n">
        <v>8</v>
      </c>
      <c r="D227" s="2" t="s">
        <v>447</v>
      </c>
      <c r="E227" s="2" t="s">
        <v>421</v>
      </c>
      <c r="F227" s="5" t="n">
        <f aca="false">INDEX('08_PEDIDOS'!$D$2:$D$97,MATCH(A227,'08_PEDIDOS'!$A$2:$A$97,0))</f>
        <v>6</v>
      </c>
      <c r="G227" s="5" t="n">
        <f aca="false">INDEX('08_PEDIDOS'!$H$2:$H$97,MATCH(A227,'08_PEDIDOS'!$A$2:$A$97,0))</f>
        <v>10</v>
      </c>
      <c r="H227" s="17" t="n">
        <f aca="false">SUMIFS('05_RUTAS'!$F$2:$F$407,'05_RUTAS'!$A$2:$A$407,B227,'05_RUTAS'!$C$2:$C$407,C227)</f>
        <v>45</v>
      </c>
      <c r="I227" s="18" t="n">
        <f aca="false">SUMIFS('05_RUTAS'!$G$2:$G$407,'05_RUTAS'!$A$2:$A$407,B227,'05_RUTAS'!$C$2:$C$407,C227)</f>
        <v>0</v>
      </c>
      <c r="J227" s="18" t="n">
        <f aca="false">(ROUNDUP(F227/G227,0)*H227+F227*I227)/60</f>
        <v>0.75</v>
      </c>
      <c r="K227" s="5" t="n">
        <f aca="false">MONTH(INDEX('08_PEDIDOS'!$F$2:$F$97,MATCH(A227,'08_PEDIDOS'!$A$2:$A$97,0)))</f>
        <v>3</v>
      </c>
      <c r="L227" s="16" t="n">
        <f aca="false">J227*N(INDEX('04_MAQUINAS'!$F$2:$F$18,MATCH(E227,'04_MAQUINAS'!$A$2:$A$18,0)))</f>
        <v>19.5</v>
      </c>
      <c r="M227" s="17" t="n">
        <f aca="false">J227*INDEX('04_MAQUINAS'!$G$2:$G$18,MATCH(E227,'04_MAQUINAS'!$A$2:$A$18,0))*INDEX('04_MAQUINAS'!$H$2:$H$18,MATCH(E227,'04_MAQUINAS'!$A$2:$A$18,0))</f>
        <v>10.8</v>
      </c>
      <c r="N227" s="2" t="s">
        <v>629</v>
      </c>
    </row>
    <row r="228" customFormat="false" ht="15" hidden="false" customHeight="false" outlineLevel="0" collapsed="false">
      <c r="A228" s="2" t="s">
        <v>543</v>
      </c>
      <c r="B228" s="2" t="s">
        <v>94</v>
      </c>
      <c r="C228" s="4" t="n">
        <v>9</v>
      </c>
      <c r="D228" s="2" t="s">
        <v>449</v>
      </c>
      <c r="E228" s="2" t="s">
        <v>423</v>
      </c>
      <c r="F228" s="5" t="n">
        <f aca="false">INDEX('08_PEDIDOS'!$D$2:$D$97,MATCH(A228,'08_PEDIDOS'!$A$2:$A$97,0))</f>
        <v>6</v>
      </c>
      <c r="G228" s="5" t="n">
        <f aca="false">INDEX('08_PEDIDOS'!$H$2:$H$97,MATCH(A228,'08_PEDIDOS'!$A$2:$A$97,0))</f>
        <v>10</v>
      </c>
      <c r="H228" s="17" t="n">
        <f aca="false">SUMIFS('05_RUTAS'!$F$2:$F$407,'05_RUTAS'!$A$2:$A$407,B228,'05_RUTAS'!$C$2:$C$407,C228)</f>
        <v>8</v>
      </c>
      <c r="I228" s="18" t="n">
        <f aca="false">SUMIFS('05_RUTAS'!$G$2:$G$407,'05_RUTAS'!$A$2:$A$407,B228,'05_RUTAS'!$C$2:$C$407,C228)</f>
        <v>2.63</v>
      </c>
      <c r="J228" s="18" t="n">
        <f aca="false">(ROUNDUP(F228/G228,0)*H228+F228*I228)/60</f>
        <v>0.396333333333333</v>
      </c>
      <c r="K228" s="5" t="n">
        <f aca="false">MONTH(INDEX('08_PEDIDOS'!$F$2:$F$97,MATCH(A228,'08_PEDIDOS'!$A$2:$A$97,0)))</f>
        <v>3</v>
      </c>
      <c r="L228" s="16" t="n">
        <f aca="false">J228*N(INDEX('04_MAQUINAS'!$F$2:$F$18,MATCH(E228,'04_MAQUINAS'!$A$2:$A$18,0)))</f>
        <v>6.34133333333333</v>
      </c>
      <c r="M228" s="17" t="n">
        <f aca="false">J228*INDEX('04_MAQUINAS'!$G$2:$G$18,MATCH(E228,'04_MAQUINAS'!$A$2:$A$18,0))*INDEX('04_MAQUINAS'!$H$2:$H$18,MATCH(E228,'04_MAQUINAS'!$A$2:$A$18,0))</f>
        <v>0.0990833333333333</v>
      </c>
      <c r="N228" s="2" t="s">
        <v>629</v>
      </c>
    </row>
    <row r="229" customFormat="false" ht="15" hidden="false" customHeight="false" outlineLevel="0" collapsed="false">
      <c r="A229" s="2" t="s">
        <v>543</v>
      </c>
      <c r="B229" s="2" t="s">
        <v>94</v>
      </c>
      <c r="C229" s="4" t="n">
        <v>10</v>
      </c>
      <c r="D229" s="2" t="s">
        <v>450</v>
      </c>
      <c r="E229" s="2" t="s">
        <v>406</v>
      </c>
      <c r="F229" s="5" t="n">
        <f aca="false">INDEX('08_PEDIDOS'!$D$2:$D$97,MATCH(A229,'08_PEDIDOS'!$A$2:$A$97,0))</f>
        <v>6</v>
      </c>
      <c r="G229" s="5" t="n">
        <f aca="false">INDEX('08_PEDIDOS'!$H$2:$H$97,MATCH(A229,'08_PEDIDOS'!$A$2:$A$97,0))</f>
        <v>10</v>
      </c>
      <c r="H229" s="17" t="n">
        <f aca="false">SUMIFS('05_RUTAS'!$F$2:$F$407,'05_RUTAS'!$A$2:$A$407,B229,'05_RUTAS'!$C$2:$C$407,C229)</f>
        <v>6</v>
      </c>
      <c r="I229" s="18" t="n">
        <f aca="false">SUMIFS('05_RUTAS'!$G$2:$G$407,'05_RUTAS'!$A$2:$A$407,B229,'05_RUTAS'!$C$2:$C$407,C229)</f>
        <v>69</v>
      </c>
      <c r="J229" s="18" t="n">
        <f aca="false">(ROUNDUP(F229/G229,0)*H229+F229*I229)/60</f>
        <v>7</v>
      </c>
      <c r="K229" s="5" t="n">
        <f aca="false">MONTH(INDEX('08_PEDIDOS'!$F$2:$F$97,MATCH(A229,'08_PEDIDOS'!$A$2:$A$97,0)))</f>
        <v>3</v>
      </c>
      <c r="L229" s="16" t="n">
        <f aca="false">J229*N(INDEX('04_MAQUINAS'!$F$2:$F$18,MATCH(E229,'04_MAQUINAS'!$A$2:$A$18,0)))</f>
        <v>133</v>
      </c>
      <c r="M229" s="17" t="n">
        <f aca="false">J229*INDEX('04_MAQUINAS'!$G$2:$G$18,MATCH(E229,'04_MAQUINAS'!$A$2:$A$18,0))*INDEX('04_MAQUINAS'!$H$2:$H$18,MATCH(E229,'04_MAQUINAS'!$A$2:$A$18,0))</f>
        <v>2.1</v>
      </c>
      <c r="N229" s="2" t="s">
        <v>629</v>
      </c>
    </row>
    <row r="230" customFormat="false" ht="15" hidden="false" customHeight="false" outlineLevel="0" collapsed="false">
      <c r="A230" s="2" t="s">
        <v>543</v>
      </c>
      <c r="B230" s="2" t="s">
        <v>94</v>
      </c>
      <c r="C230" s="4" t="n">
        <v>11</v>
      </c>
      <c r="D230" s="2" t="s">
        <v>451</v>
      </c>
      <c r="E230" s="2" t="s">
        <v>408</v>
      </c>
      <c r="F230" s="5" t="n">
        <f aca="false">INDEX('08_PEDIDOS'!$D$2:$D$97,MATCH(A230,'08_PEDIDOS'!$A$2:$A$97,0))</f>
        <v>6</v>
      </c>
      <c r="G230" s="5" t="n">
        <f aca="false">INDEX('08_PEDIDOS'!$H$2:$H$97,MATCH(A230,'08_PEDIDOS'!$A$2:$A$97,0))</f>
        <v>10</v>
      </c>
      <c r="H230" s="17" t="n">
        <f aca="false">SUMIFS('05_RUTAS'!$F$2:$F$407,'05_RUTAS'!$A$2:$A$407,B230,'05_RUTAS'!$C$2:$C$407,C230)</f>
        <v>2</v>
      </c>
      <c r="I230" s="18" t="n">
        <f aca="false">SUMIFS('05_RUTAS'!$G$2:$G$407,'05_RUTAS'!$A$2:$A$407,B230,'05_RUTAS'!$C$2:$C$407,C230)</f>
        <v>3.79</v>
      </c>
      <c r="J230" s="18" t="n">
        <f aca="false">(ROUNDUP(F230/G230,0)*H230+F230*I230)/60</f>
        <v>0.412333333333333</v>
      </c>
      <c r="K230" s="5" t="n">
        <f aca="false">MONTH(INDEX('08_PEDIDOS'!$F$2:$F$97,MATCH(A230,'08_PEDIDOS'!$A$2:$A$97,0)))</f>
        <v>3</v>
      </c>
      <c r="L230" s="16" t="n">
        <f aca="false">J230*N(INDEX('04_MAQUINAS'!$F$2:$F$18,MATCH(E230,'04_MAQUINAS'!$A$2:$A$18,0)))</f>
        <v>8.24666666666667</v>
      </c>
      <c r="M230" s="17" t="n">
        <f aca="false">J230*INDEX('04_MAQUINAS'!$G$2:$G$18,MATCH(E230,'04_MAQUINAS'!$A$2:$A$18,0))*INDEX('04_MAQUINAS'!$H$2:$H$18,MATCH(E230,'04_MAQUINAS'!$A$2:$A$18,0))</f>
        <v>0.0412333333333333</v>
      </c>
      <c r="N230" s="2" t="s">
        <v>629</v>
      </c>
    </row>
    <row r="231" customFormat="false" ht="15" hidden="false" customHeight="false" outlineLevel="0" collapsed="false">
      <c r="A231" s="2" t="s">
        <v>543</v>
      </c>
      <c r="B231" s="2" t="s">
        <v>94</v>
      </c>
      <c r="C231" s="4" t="n">
        <v>12</v>
      </c>
      <c r="D231" s="2" t="s">
        <v>452</v>
      </c>
      <c r="E231" s="2" t="s">
        <v>411</v>
      </c>
      <c r="F231" s="5" t="n">
        <f aca="false">INDEX('08_PEDIDOS'!$D$2:$D$97,MATCH(A231,'08_PEDIDOS'!$A$2:$A$97,0))</f>
        <v>6</v>
      </c>
      <c r="G231" s="5" t="n">
        <f aca="false">INDEX('08_PEDIDOS'!$H$2:$H$97,MATCH(A231,'08_PEDIDOS'!$A$2:$A$97,0))</f>
        <v>10</v>
      </c>
      <c r="H231" s="17" t="n">
        <f aca="false">SUMIFS('05_RUTAS'!$F$2:$F$407,'05_RUTAS'!$A$2:$A$407,B231,'05_RUTAS'!$C$2:$C$407,C231)</f>
        <v>2</v>
      </c>
      <c r="I231" s="18" t="n">
        <f aca="false">SUMIFS('05_RUTAS'!$G$2:$G$407,'05_RUTAS'!$A$2:$A$407,B231,'05_RUTAS'!$C$2:$C$407,C231)</f>
        <v>5.18</v>
      </c>
      <c r="J231" s="18" t="n">
        <f aca="false">(ROUNDUP(F231/G231,0)*H231+F231*I231)/60</f>
        <v>0.551333333333333</v>
      </c>
      <c r="K231" s="5" t="n">
        <f aca="false">MONTH(INDEX('08_PEDIDOS'!$F$2:$F$97,MATCH(A231,'08_PEDIDOS'!$A$2:$A$97,0)))</f>
        <v>3</v>
      </c>
      <c r="L231" s="16" t="n">
        <f aca="false">J231*N(INDEX('04_MAQUINAS'!$F$2:$F$18,MATCH(E231,'04_MAQUINAS'!$A$2:$A$18,0)))</f>
        <v>9.924</v>
      </c>
      <c r="M231" s="17" t="n">
        <f aca="false">J231*INDEX('04_MAQUINAS'!$G$2:$G$18,MATCH(E231,'04_MAQUINAS'!$A$2:$A$18,0))*INDEX('04_MAQUINAS'!$H$2:$H$18,MATCH(E231,'04_MAQUINAS'!$A$2:$A$18,0))</f>
        <v>0.04962</v>
      </c>
      <c r="N231" s="2" t="s">
        <v>629</v>
      </c>
    </row>
    <row r="232" customFormat="false" ht="15" hidden="false" customHeight="false" outlineLevel="0" collapsed="false">
      <c r="A232" s="2" t="s">
        <v>544</v>
      </c>
      <c r="B232" s="2" t="s">
        <v>96</v>
      </c>
      <c r="C232" s="4" t="n">
        <v>1</v>
      </c>
      <c r="D232" s="2" t="s">
        <v>437</v>
      </c>
      <c r="E232" s="2" t="s">
        <v>375</v>
      </c>
      <c r="F232" s="5" t="n">
        <f aca="false">INDEX('08_PEDIDOS'!$D$2:$D$97,MATCH(A232,'08_PEDIDOS'!$A$2:$A$97,0))</f>
        <v>7</v>
      </c>
      <c r="G232" s="5" t="n">
        <f aca="false">INDEX('08_PEDIDOS'!$H$2:$H$97,MATCH(A232,'08_PEDIDOS'!$A$2:$A$97,0))</f>
        <v>10</v>
      </c>
      <c r="H232" s="17" t="n">
        <f aca="false">SUMIFS('05_RUTAS'!$F$2:$F$407,'05_RUTAS'!$A$2:$A$407,B232,'05_RUTAS'!$C$2:$C$407,C232)</f>
        <v>8</v>
      </c>
      <c r="I232" s="18" t="n">
        <f aca="false">SUMIFS('05_RUTAS'!$G$2:$G$407,'05_RUTAS'!$A$2:$A$407,B232,'05_RUTAS'!$C$2:$C$407,C232)</f>
        <v>56.975</v>
      </c>
      <c r="J232" s="18" t="n">
        <f aca="false">(ROUNDUP(F232/G232,0)*H232+F232*I232)/60</f>
        <v>6.78041666666667</v>
      </c>
      <c r="K232" s="5" t="n">
        <f aca="false">MONTH(INDEX('08_PEDIDOS'!$F$2:$F$97,MATCH(A232,'08_PEDIDOS'!$A$2:$A$97,0)))</f>
        <v>3</v>
      </c>
      <c r="L232" s="16" t="n">
        <f aca="false">J232*N(INDEX('04_MAQUINAS'!$F$2:$F$18,MATCH(E232,'04_MAQUINAS'!$A$2:$A$18,0)))</f>
        <v>162.73</v>
      </c>
      <c r="M232" s="17" t="n">
        <f aca="false">J232*INDEX('04_MAQUINAS'!$G$2:$G$18,MATCH(E232,'04_MAQUINAS'!$A$2:$A$18,0))*INDEX('04_MAQUINAS'!$H$2:$H$18,MATCH(E232,'04_MAQUINAS'!$A$2:$A$18,0))</f>
        <v>18.6461458333333</v>
      </c>
      <c r="N232" s="2" t="s">
        <v>629</v>
      </c>
    </row>
    <row r="233" customFormat="false" ht="15" hidden="false" customHeight="false" outlineLevel="0" collapsed="false">
      <c r="A233" s="2" t="s">
        <v>544</v>
      </c>
      <c r="B233" s="2" t="s">
        <v>96</v>
      </c>
      <c r="C233" s="4" t="n">
        <v>2</v>
      </c>
      <c r="D233" s="2" t="s">
        <v>441</v>
      </c>
      <c r="E233" s="2" t="s">
        <v>380</v>
      </c>
      <c r="F233" s="5" t="n">
        <f aca="false">INDEX('08_PEDIDOS'!$D$2:$D$97,MATCH(A233,'08_PEDIDOS'!$A$2:$A$97,0))</f>
        <v>7</v>
      </c>
      <c r="G233" s="5" t="n">
        <f aca="false">INDEX('08_PEDIDOS'!$H$2:$H$97,MATCH(A233,'08_PEDIDOS'!$A$2:$A$97,0))</f>
        <v>10</v>
      </c>
      <c r="H233" s="17" t="n">
        <f aca="false">SUMIFS('05_RUTAS'!$F$2:$F$407,'05_RUTAS'!$A$2:$A$407,B233,'05_RUTAS'!$C$2:$C$407,C233)</f>
        <v>8</v>
      </c>
      <c r="I233" s="18" t="n">
        <f aca="false">SUMIFS('05_RUTAS'!$G$2:$G$407,'05_RUTAS'!$A$2:$A$407,B233,'05_RUTAS'!$C$2:$C$407,C233)</f>
        <v>6.28</v>
      </c>
      <c r="J233" s="18" t="n">
        <f aca="false">(ROUNDUP(F233/G233,0)*H233+F233*I233)/60</f>
        <v>0.866</v>
      </c>
      <c r="K233" s="5" t="n">
        <f aca="false">MONTH(INDEX('08_PEDIDOS'!$F$2:$F$97,MATCH(A233,'08_PEDIDOS'!$A$2:$A$97,0)))</f>
        <v>3</v>
      </c>
      <c r="L233" s="16" t="n">
        <f aca="false">J233*N(INDEX('04_MAQUINAS'!$F$2:$F$18,MATCH(E233,'04_MAQUINAS'!$A$2:$A$18,0)))</f>
        <v>19.052</v>
      </c>
      <c r="M233" s="17" t="n">
        <f aca="false">J233*INDEX('04_MAQUINAS'!$G$2:$G$18,MATCH(E233,'04_MAQUINAS'!$A$2:$A$18,0))*INDEX('04_MAQUINAS'!$H$2:$H$18,MATCH(E233,'04_MAQUINAS'!$A$2:$A$18,0))</f>
        <v>0.3897</v>
      </c>
      <c r="N233" s="2" t="s">
        <v>629</v>
      </c>
    </row>
    <row r="234" customFormat="false" ht="15" hidden="false" customHeight="false" outlineLevel="0" collapsed="false">
      <c r="A234" s="2" t="s">
        <v>544</v>
      </c>
      <c r="B234" s="2" t="s">
        <v>96</v>
      </c>
      <c r="C234" s="4" t="n">
        <v>3</v>
      </c>
      <c r="D234" s="2" t="s">
        <v>386</v>
      </c>
      <c r="E234" s="2" t="s">
        <v>383</v>
      </c>
      <c r="F234" s="5" t="n">
        <f aca="false">INDEX('08_PEDIDOS'!$D$2:$D$97,MATCH(A234,'08_PEDIDOS'!$A$2:$A$97,0))</f>
        <v>7</v>
      </c>
      <c r="G234" s="5" t="n">
        <f aca="false">INDEX('08_PEDIDOS'!$H$2:$H$97,MATCH(A234,'08_PEDIDOS'!$A$2:$A$97,0))</f>
        <v>10</v>
      </c>
      <c r="H234" s="17" t="n">
        <f aca="false">SUMIFS('05_RUTAS'!$F$2:$F$407,'05_RUTAS'!$A$2:$A$407,B234,'05_RUTAS'!$C$2:$C$407,C234)</f>
        <v>10</v>
      </c>
      <c r="I234" s="18" t="n">
        <f aca="false">SUMIFS('05_RUTAS'!$G$2:$G$407,'05_RUTAS'!$A$2:$A$407,B234,'05_RUTAS'!$C$2:$C$407,C234)</f>
        <v>67</v>
      </c>
      <c r="J234" s="18" t="n">
        <f aca="false">(ROUNDUP(F234/G234,0)*H234+F234*I234)/60</f>
        <v>7.98333333333333</v>
      </c>
      <c r="K234" s="5" t="n">
        <f aca="false">MONTH(INDEX('08_PEDIDOS'!$F$2:$F$97,MATCH(A234,'08_PEDIDOS'!$A$2:$A$97,0)))</f>
        <v>3</v>
      </c>
      <c r="L234" s="16" t="n">
        <f aca="false">J234*N(INDEX('04_MAQUINAS'!$F$2:$F$18,MATCH(E234,'04_MAQUINAS'!$A$2:$A$18,0)))</f>
        <v>175.633333333333</v>
      </c>
      <c r="M234" s="17" t="n">
        <f aca="false">J234*INDEX('04_MAQUINAS'!$G$2:$G$18,MATCH(E234,'04_MAQUINAS'!$A$2:$A$18,0))*INDEX('04_MAQUINAS'!$H$2:$H$18,MATCH(E234,'04_MAQUINAS'!$A$2:$A$18,0))</f>
        <v>2.19541666666667</v>
      </c>
      <c r="N234" s="2" t="s">
        <v>629</v>
      </c>
    </row>
    <row r="235" customFormat="false" ht="15" hidden="false" customHeight="false" outlineLevel="0" collapsed="false">
      <c r="A235" s="2" t="s">
        <v>544</v>
      </c>
      <c r="B235" s="2" t="s">
        <v>96</v>
      </c>
      <c r="C235" s="4" t="n">
        <v>4</v>
      </c>
      <c r="D235" s="2" t="s">
        <v>390</v>
      </c>
      <c r="E235" s="2" t="s">
        <v>387</v>
      </c>
      <c r="F235" s="5" t="n">
        <f aca="false">INDEX('08_PEDIDOS'!$D$2:$D$97,MATCH(A235,'08_PEDIDOS'!$A$2:$A$97,0))</f>
        <v>7</v>
      </c>
      <c r="G235" s="5" t="n">
        <f aca="false">INDEX('08_PEDIDOS'!$H$2:$H$97,MATCH(A235,'08_PEDIDOS'!$A$2:$A$97,0))</f>
        <v>10</v>
      </c>
      <c r="H235" s="17" t="n">
        <f aca="false">SUMIFS('05_RUTAS'!$F$2:$F$407,'05_RUTAS'!$A$2:$A$407,B235,'05_RUTAS'!$C$2:$C$407,C235)</f>
        <v>12</v>
      </c>
      <c r="I235" s="18" t="n">
        <f aca="false">SUMIFS('05_RUTAS'!$G$2:$G$407,'05_RUTAS'!$A$2:$A$407,B235,'05_RUTAS'!$C$2:$C$407,C235)</f>
        <v>124</v>
      </c>
      <c r="J235" s="18" t="n">
        <f aca="false">(ROUNDUP(F235/G235,0)*H235+F235*I235)/60</f>
        <v>14.6666666666667</v>
      </c>
      <c r="K235" s="5" t="n">
        <f aca="false">MONTH(INDEX('08_PEDIDOS'!$F$2:$F$97,MATCH(A235,'08_PEDIDOS'!$A$2:$A$97,0)))</f>
        <v>3</v>
      </c>
      <c r="L235" s="16" t="n">
        <f aca="false">J235*N(INDEX('04_MAQUINAS'!$F$2:$F$18,MATCH(E235,'04_MAQUINAS'!$A$2:$A$18,0)))</f>
        <v>410.666666666667</v>
      </c>
      <c r="M235" s="17" t="n">
        <f aca="false">J235*INDEX('04_MAQUINAS'!$G$2:$G$18,MATCH(E235,'04_MAQUINAS'!$A$2:$A$18,0))*INDEX('04_MAQUINAS'!$H$2:$H$18,MATCH(E235,'04_MAQUINAS'!$A$2:$A$18,0))</f>
        <v>36.3</v>
      </c>
      <c r="N235" s="2" t="s">
        <v>629</v>
      </c>
    </row>
    <row r="236" customFormat="false" ht="15" hidden="false" customHeight="false" outlineLevel="0" collapsed="false">
      <c r="A236" s="2" t="s">
        <v>544</v>
      </c>
      <c r="B236" s="2" t="s">
        <v>96</v>
      </c>
      <c r="C236" s="4" t="n">
        <v>5</v>
      </c>
      <c r="D236" s="2" t="s">
        <v>442</v>
      </c>
      <c r="E236" s="2" t="s">
        <v>391</v>
      </c>
      <c r="F236" s="5" t="n">
        <f aca="false">INDEX('08_PEDIDOS'!$D$2:$D$97,MATCH(A236,'08_PEDIDOS'!$A$2:$A$97,0))</f>
        <v>7</v>
      </c>
      <c r="G236" s="5" t="n">
        <f aca="false">INDEX('08_PEDIDOS'!$H$2:$H$97,MATCH(A236,'08_PEDIDOS'!$A$2:$A$97,0))</f>
        <v>10</v>
      </c>
      <c r="H236" s="17" t="n">
        <f aca="false">SUMIFS('05_RUTAS'!$F$2:$F$407,'05_RUTAS'!$A$2:$A$407,B236,'05_RUTAS'!$C$2:$C$407,C236)</f>
        <v>10</v>
      </c>
      <c r="I236" s="18" t="n">
        <f aca="false">SUMIFS('05_RUTAS'!$G$2:$G$407,'05_RUTAS'!$A$2:$A$407,B236,'05_RUTAS'!$C$2:$C$407,C236)</f>
        <v>5.6</v>
      </c>
      <c r="J236" s="18" t="n">
        <f aca="false">(ROUNDUP(F236/G236,0)*H236+F236*I236)/60</f>
        <v>0.82</v>
      </c>
      <c r="K236" s="5" t="n">
        <f aca="false">MONTH(INDEX('08_PEDIDOS'!$F$2:$F$97,MATCH(A236,'08_PEDIDOS'!$A$2:$A$97,0)))</f>
        <v>3</v>
      </c>
      <c r="L236" s="16" t="n">
        <f aca="false">J236*N(INDEX('04_MAQUINAS'!$F$2:$F$18,MATCH(E236,'04_MAQUINAS'!$A$2:$A$18,0)))</f>
        <v>26.24</v>
      </c>
      <c r="M236" s="17" t="n">
        <f aca="false">J236*INDEX('04_MAQUINAS'!$G$2:$G$18,MATCH(E236,'04_MAQUINAS'!$A$2:$A$18,0))*INDEX('04_MAQUINAS'!$H$2:$H$18,MATCH(E236,'04_MAQUINAS'!$A$2:$A$18,0))</f>
        <v>1.435</v>
      </c>
      <c r="N236" s="2" t="s">
        <v>629</v>
      </c>
    </row>
    <row r="237" customFormat="false" ht="15" hidden="false" customHeight="false" outlineLevel="0" collapsed="false">
      <c r="A237" s="2" t="s">
        <v>544</v>
      </c>
      <c r="B237" s="2" t="s">
        <v>96</v>
      </c>
      <c r="C237" s="4" t="n">
        <v>6</v>
      </c>
      <c r="D237" s="2" t="s">
        <v>443</v>
      </c>
      <c r="E237" s="2" t="s">
        <v>395</v>
      </c>
      <c r="F237" s="5" t="n">
        <f aca="false">INDEX('08_PEDIDOS'!$D$2:$D$97,MATCH(A237,'08_PEDIDOS'!$A$2:$A$97,0))</f>
        <v>7</v>
      </c>
      <c r="G237" s="5" t="n">
        <f aca="false">INDEX('08_PEDIDOS'!$H$2:$H$97,MATCH(A237,'08_PEDIDOS'!$A$2:$A$97,0))</f>
        <v>10</v>
      </c>
      <c r="H237" s="17" t="n">
        <f aca="false">SUMIFS('05_RUTAS'!$F$2:$F$407,'05_RUTAS'!$A$2:$A$407,B237,'05_RUTAS'!$C$2:$C$407,C237)</f>
        <v>3</v>
      </c>
      <c r="I237" s="18" t="n">
        <f aca="false">SUMIFS('05_RUTAS'!$G$2:$G$407,'05_RUTAS'!$A$2:$A$407,B237,'05_RUTAS'!$C$2:$C$407,C237)</f>
        <v>33</v>
      </c>
      <c r="J237" s="18" t="n">
        <f aca="false">(ROUNDUP(F237/G237,0)*H237+F237*I237)/60</f>
        <v>3.9</v>
      </c>
      <c r="K237" s="5" t="n">
        <f aca="false">MONTH(INDEX('08_PEDIDOS'!$F$2:$F$97,MATCH(A237,'08_PEDIDOS'!$A$2:$A$97,0)))</f>
        <v>3</v>
      </c>
      <c r="L237" s="16" t="n">
        <f aca="false">J237*N(INDEX('04_MAQUINAS'!$F$2:$F$18,MATCH(E237,'04_MAQUINAS'!$A$2:$A$18,0)))</f>
        <v>81.9</v>
      </c>
      <c r="M237" s="17" t="n">
        <f aca="false">J237*INDEX('04_MAQUINAS'!$G$2:$G$18,MATCH(E237,'04_MAQUINAS'!$A$2:$A$18,0))*INDEX('04_MAQUINAS'!$H$2:$H$18,MATCH(E237,'04_MAQUINAS'!$A$2:$A$18,0))</f>
        <v>2.925</v>
      </c>
      <c r="N237" s="2" t="s">
        <v>629</v>
      </c>
    </row>
    <row r="238" customFormat="false" ht="15" hidden="false" customHeight="false" outlineLevel="0" collapsed="false">
      <c r="A238" s="2" t="s">
        <v>544</v>
      </c>
      <c r="B238" s="2" t="s">
        <v>96</v>
      </c>
      <c r="C238" s="4" t="n">
        <v>7</v>
      </c>
      <c r="D238" s="2" t="s">
        <v>444</v>
      </c>
      <c r="E238" s="2" t="s">
        <v>399</v>
      </c>
      <c r="F238" s="5" t="n">
        <f aca="false">INDEX('08_PEDIDOS'!$D$2:$D$97,MATCH(A238,'08_PEDIDOS'!$A$2:$A$97,0))</f>
        <v>7</v>
      </c>
      <c r="G238" s="5" t="n">
        <f aca="false">INDEX('08_PEDIDOS'!$H$2:$H$97,MATCH(A238,'08_PEDIDOS'!$A$2:$A$97,0))</f>
        <v>10</v>
      </c>
      <c r="H238" s="17" t="n">
        <f aca="false">SUMIFS('05_RUTAS'!$F$2:$F$407,'05_RUTAS'!$A$2:$A$407,B238,'05_RUTAS'!$C$2:$C$407,C238)</f>
        <v>6</v>
      </c>
      <c r="I238" s="18" t="n">
        <f aca="false">SUMIFS('05_RUTAS'!$G$2:$G$407,'05_RUTAS'!$A$2:$A$407,B238,'05_RUTAS'!$C$2:$C$407,C238)</f>
        <v>27.0712</v>
      </c>
      <c r="J238" s="18" t="n">
        <f aca="false">(ROUNDUP(F238/G238,0)*H238+F238*I238)/60</f>
        <v>3.25830666666667</v>
      </c>
      <c r="K238" s="5" t="n">
        <f aca="false">MONTH(INDEX('08_PEDIDOS'!$F$2:$F$97,MATCH(A238,'08_PEDIDOS'!$A$2:$A$97,0)))</f>
        <v>3</v>
      </c>
      <c r="L238" s="16" t="n">
        <f aca="false">J238*N(INDEX('04_MAQUINAS'!$F$2:$F$18,MATCH(E238,'04_MAQUINAS'!$A$2:$A$18,0)))</f>
        <v>61.9078266666667</v>
      </c>
      <c r="M238" s="17" t="n">
        <f aca="false">J238*INDEX('04_MAQUINAS'!$G$2:$G$18,MATCH(E238,'04_MAQUINAS'!$A$2:$A$18,0))*INDEX('04_MAQUINAS'!$H$2:$H$18,MATCH(E238,'04_MAQUINAS'!$A$2:$A$18,0))</f>
        <v>2.86730986666667</v>
      </c>
      <c r="N238" s="2" t="s">
        <v>629</v>
      </c>
    </row>
    <row r="239" customFormat="false" ht="15" hidden="false" customHeight="false" outlineLevel="0" collapsed="false">
      <c r="A239" s="2" t="s">
        <v>544</v>
      </c>
      <c r="B239" s="2" t="s">
        <v>96</v>
      </c>
      <c r="C239" s="4" t="n">
        <v>8</v>
      </c>
      <c r="D239" s="2" t="s">
        <v>445</v>
      </c>
      <c r="E239" s="2" t="s">
        <v>402</v>
      </c>
      <c r="F239" s="5" t="n">
        <f aca="false">INDEX('08_PEDIDOS'!$D$2:$D$97,MATCH(A239,'08_PEDIDOS'!$A$2:$A$97,0))</f>
        <v>7</v>
      </c>
      <c r="G239" s="5" t="n">
        <f aca="false">INDEX('08_PEDIDOS'!$H$2:$H$97,MATCH(A239,'08_PEDIDOS'!$A$2:$A$97,0))</f>
        <v>10</v>
      </c>
      <c r="H239" s="17" t="n">
        <f aca="false">SUMIFS('05_RUTAS'!$F$2:$F$407,'05_RUTAS'!$A$2:$A$407,B239,'05_RUTAS'!$C$2:$C$407,C239)</f>
        <v>12</v>
      </c>
      <c r="I239" s="18" t="n">
        <f aca="false">SUMIFS('05_RUTAS'!$G$2:$G$407,'05_RUTAS'!$A$2:$A$407,B239,'05_RUTAS'!$C$2:$C$407,C239)</f>
        <v>7.34</v>
      </c>
      <c r="J239" s="18" t="n">
        <f aca="false">(ROUNDUP(F239/G239,0)*H239+F239*I239)/60</f>
        <v>1.05633333333333</v>
      </c>
      <c r="K239" s="5" t="n">
        <f aca="false">MONTH(INDEX('08_PEDIDOS'!$F$2:$F$97,MATCH(A239,'08_PEDIDOS'!$A$2:$A$97,0)))</f>
        <v>3</v>
      </c>
      <c r="L239" s="16" t="n">
        <f aca="false">J239*N(INDEX('04_MAQUINAS'!$F$2:$F$18,MATCH(E239,'04_MAQUINAS'!$A$2:$A$18,0)))</f>
        <v>33.8026666666667</v>
      </c>
      <c r="M239" s="17" t="n">
        <f aca="false">J239*INDEX('04_MAQUINAS'!$G$2:$G$18,MATCH(E239,'04_MAQUINAS'!$A$2:$A$18,0))*INDEX('04_MAQUINAS'!$H$2:$H$18,MATCH(E239,'04_MAQUINAS'!$A$2:$A$18,0))</f>
        <v>1.10915</v>
      </c>
      <c r="N239" s="2" t="s">
        <v>629</v>
      </c>
    </row>
    <row r="240" customFormat="false" ht="15" hidden="false" customHeight="false" outlineLevel="0" collapsed="false">
      <c r="A240" s="2" t="s">
        <v>544</v>
      </c>
      <c r="B240" s="2" t="s">
        <v>96</v>
      </c>
      <c r="C240" s="4" t="n">
        <v>9</v>
      </c>
      <c r="D240" s="2" t="s">
        <v>447</v>
      </c>
      <c r="E240" s="2" t="s">
        <v>421</v>
      </c>
      <c r="F240" s="5" t="n">
        <f aca="false">INDEX('08_PEDIDOS'!$D$2:$D$97,MATCH(A240,'08_PEDIDOS'!$A$2:$A$97,0))</f>
        <v>7</v>
      </c>
      <c r="G240" s="5" t="n">
        <f aca="false">INDEX('08_PEDIDOS'!$H$2:$H$97,MATCH(A240,'08_PEDIDOS'!$A$2:$A$97,0))</f>
        <v>10</v>
      </c>
      <c r="H240" s="17" t="n">
        <f aca="false">SUMIFS('05_RUTAS'!$F$2:$F$407,'05_RUTAS'!$A$2:$A$407,B240,'05_RUTAS'!$C$2:$C$407,C240)</f>
        <v>45</v>
      </c>
      <c r="I240" s="18" t="n">
        <f aca="false">SUMIFS('05_RUTAS'!$G$2:$G$407,'05_RUTAS'!$A$2:$A$407,B240,'05_RUTAS'!$C$2:$C$407,C240)</f>
        <v>0</v>
      </c>
      <c r="J240" s="18" t="n">
        <f aca="false">(ROUNDUP(F240/G240,0)*H240+F240*I240)/60</f>
        <v>0.75</v>
      </c>
      <c r="K240" s="5" t="n">
        <f aca="false">MONTH(INDEX('08_PEDIDOS'!$F$2:$F$97,MATCH(A240,'08_PEDIDOS'!$A$2:$A$97,0)))</f>
        <v>3</v>
      </c>
      <c r="L240" s="16" t="n">
        <f aca="false">J240*N(INDEX('04_MAQUINAS'!$F$2:$F$18,MATCH(E240,'04_MAQUINAS'!$A$2:$A$18,0)))</f>
        <v>19.5</v>
      </c>
      <c r="M240" s="17" t="n">
        <f aca="false">J240*INDEX('04_MAQUINAS'!$G$2:$G$18,MATCH(E240,'04_MAQUINAS'!$A$2:$A$18,0))*INDEX('04_MAQUINAS'!$H$2:$H$18,MATCH(E240,'04_MAQUINAS'!$A$2:$A$18,0))</f>
        <v>10.8</v>
      </c>
      <c r="N240" s="2" t="s">
        <v>629</v>
      </c>
    </row>
    <row r="241" customFormat="false" ht="15" hidden="false" customHeight="false" outlineLevel="0" collapsed="false">
      <c r="A241" s="2" t="s">
        <v>544</v>
      </c>
      <c r="B241" s="2" t="s">
        <v>96</v>
      </c>
      <c r="C241" s="4" t="n">
        <v>10</v>
      </c>
      <c r="D241" s="2" t="s">
        <v>449</v>
      </c>
      <c r="E241" s="2" t="s">
        <v>423</v>
      </c>
      <c r="F241" s="5" t="n">
        <f aca="false">INDEX('08_PEDIDOS'!$D$2:$D$97,MATCH(A241,'08_PEDIDOS'!$A$2:$A$97,0))</f>
        <v>7</v>
      </c>
      <c r="G241" s="5" t="n">
        <f aca="false">INDEX('08_PEDIDOS'!$H$2:$H$97,MATCH(A241,'08_PEDIDOS'!$A$2:$A$97,0))</f>
        <v>10</v>
      </c>
      <c r="H241" s="17" t="n">
        <f aca="false">SUMIFS('05_RUTAS'!$F$2:$F$407,'05_RUTAS'!$A$2:$A$407,B241,'05_RUTAS'!$C$2:$C$407,C241)</f>
        <v>8</v>
      </c>
      <c r="I241" s="18" t="n">
        <f aca="false">SUMIFS('05_RUTAS'!$G$2:$G$407,'05_RUTAS'!$A$2:$A$407,B241,'05_RUTAS'!$C$2:$C$407,C241)</f>
        <v>2.54</v>
      </c>
      <c r="J241" s="18" t="n">
        <f aca="false">(ROUNDUP(F241/G241,0)*H241+F241*I241)/60</f>
        <v>0.429666666666667</v>
      </c>
      <c r="K241" s="5" t="n">
        <f aca="false">MONTH(INDEX('08_PEDIDOS'!$F$2:$F$97,MATCH(A241,'08_PEDIDOS'!$A$2:$A$97,0)))</f>
        <v>3</v>
      </c>
      <c r="L241" s="16" t="n">
        <f aca="false">J241*N(INDEX('04_MAQUINAS'!$F$2:$F$18,MATCH(E241,'04_MAQUINAS'!$A$2:$A$18,0)))</f>
        <v>6.87466666666667</v>
      </c>
      <c r="M241" s="17" t="n">
        <f aca="false">J241*INDEX('04_MAQUINAS'!$G$2:$G$18,MATCH(E241,'04_MAQUINAS'!$A$2:$A$18,0))*INDEX('04_MAQUINAS'!$H$2:$H$18,MATCH(E241,'04_MAQUINAS'!$A$2:$A$18,0))</f>
        <v>0.107416666666667</v>
      </c>
      <c r="N241" s="2" t="s">
        <v>629</v>
      </c>
    </row>
    <row r="242" customFormat="false" ht="15" hidden="false" customHeight="false" outlineLevel="0" collapsed="false">
      <c r="A242" s="2" t="s">
        <v>544</v>
      </c>
      <c r="B242" s="2" t="s">
        <v>96</v>
      </c>
      <c r="C242" s="4" t="n">
        <v>11</v>
      </c>
      <c r="D242" s="2" t="s">
        <v>450</v>
      </c>
      <c r="E242" s="2" t="s">
        <v>406</v>
      </c>
      <c r="F242" s="5" t="n">
        <f aca="false">INDEX('08_PEDIDOS'!$D$2:$D$97,MATCH(A242,'08_PEDIDOS'!$A$2:$A$97,0))</f>
        <v>7</v>
      </c>
      <c r="G242" s="5" t="n">
        <f aca="false">INDEX('08_PEDIDOS'!$H$2:$H$97,MATCH(A242,'08_PEDIDOS'!$A$2:$A$97,0))</f>
        <v>10</v>
      </c>
      <c r="H242" s="17" t="n">
        <f aca="false">SUMIFS('05_RUTAS'!$F$2:$F$407,'05_RUTAS'!$A$2:$A$407,B242,'05_RUTAS'!$C$2:$C$407,C242)</f>
        <v>6</v>
      </c>
      <c r="I242" s="18" t="n">
        <f aca="false">SUMIFS('05_RUTAS'!$G$2:$G$407,'05_RUTAS'!$A$2:$A$407,B242,'05_RUTAS'!$C$2:$C$407,C242)</f>
        <v>48.75</v>
      </c>
      <c r="J242" s="18" t="n">
        <f aca="false">(ROUNDUP(F242/G242,0)*H242+F242*I242)/60</f>
        <v>5.7875</v>
      </c>
      <c r="K242" s="5" t="n">
        <f aca="false">MONTH(INDEX('08_PEDIDOS'!$F$2:$F$97,MATCH(A242,'08_PEDIDOS'!$A$2:$A$97,0)))</f>
        <v>3</v>
      </c>
      <c r="L242" s="16" t="n">
        <f aca="false">J242*N(INDEX('04_MAQUINAS'!$F$2:$F$18,MATCH(E242,'04_MAQUINAS'!$A$2:$A$18,0)))</f>
        <v>109.9625</v>
      </c>
      <c r="M242" s="17" t="n">
        <f aca="false">J242*INDEX('04_MAQUINAS'!$G$2:$G$18,MATCH(E242,'04_MAQUINAS'!$A$2:$A$18,0))*INDEX('04_MAQUINAS'!$H$2:$H$18,MATCH(E242,'04_MAQUINAS'!$A$2:$A$18,0))</f>
        <v>1.73625</v>
      </c>
      <c r="N242" s="2" t="s">
        <v>629</v>
      </c>
    </row>
    <row r="243" customFormat="false" ht="15" hidden="false" customHeight="false" outlineLevel="0" collapsed="false">
      <c r="A243" s="2" t="s">
        <v>544</v>
      </c>
      <c r="B243" s="2" t="s">
        <v>96</v>
      </c>
      <c r="C243" s="4" t="n">
        <v>12</v>
      </c>
      <c r="D243" s="2" t="s">
        <v>451</v>
      </c>
      <c r="E243" s="2" t="s">
        <v>408</v>
      </c>
      <c r="F243" s="5" t="n">
        <f aca="false">INDEX('08_PEDIDOS'!$D$2:$D$97,MATCH(A243,'08_PEDIDOS'!$A$2:$A$97,0))</f>
        <v>7</v>
      </c>
      <c r="G243" s="5" t="n">
        <f aca="false">INDEX('08_PEDIDOS'!$H$2:$H$97,MATCH(A243,'08_PEDIDOS'!$A$2:$A$97,0))</f>
        <v>10</v>
      </c>
      <c r="H243" s="17" t="n">
        <f aca="false">SUMIFS('05_RUTAS'!$F$2:$F$407,'05_RUTAS'!$A$2:$A$407,B243,'05_RUTAS'!$C$2:$C$407,C243)</f>
        <v>2</v>
      </c>
      <c r="I243" s="18" t="n">
        <f aca="false">SUMIFS('05_RUTAS'!$G$2:$G$407,'05_RUTAS'!$A$2:$A$407,B243,'05_RUTAS'!$C$2:$C$407,C243)</f>
        <v>3.67</v>
      </c>
      <c r="J243" s="18" t="n">
        <f aca="false">(ROUNDUP(F243/G243,0)*H243+F243*I243)/60</f>
        <v>0.4615</v>
      </c>
      <c r="K243" s="5" t="n">
        <f aca="false">MONTH(INDEX('08_PEDIDOS'!$F$2:$F$97,MATCH(A243,'08_PEDIDOS'!$A$2:$A$97,0)))</f>
        <v>3</v>
      </c>
      <c r="L243" s="16" t="n">
        <f aca="false">J243*N(INDEX('04_MAQUINAS'!$F$2:$F$18,MATCH(E243,'04_MAQUINAS'!$A$2:$A$18,0)))</f>
        <v>9.23</v>
      </c>
      <c r="M243" s="17" t="n">
        <f aca="false">J243*INDEX('04_MAQUINAS'!$G$2:$G$18,MATCH(E243,'04_MAQUINAS'!$A$2:$A$18,0))*INDEX('04_MAQUINAS'!$H$2:$H$18,MATCH(E243,'04_MAQUINAS'!$A$2:$A$18,0))</f>
        <v>0.04615</v>
      </c>
      <c r="N243" s="2" t="s">
        <v>629</v>
      </c>
    </row>
    <row r="244" customFormat="false" ht="15" hidden="false" customHeight="false" outlineLevel="0" collapsed="false">
      <c r="A244" s="2" t="s">
        <v>544</v>
      </c>
      <c r="B244" s="2" t="s">
        <v>96</v>
      </c>
      <c r="C244" s="4" t="n">
        <v>13</v>
      </c>
      <c r="D244" s="2" t="s">
        <v>452</v>
      </c>
      <c r="E244" s="2" t="s">
        <v>411</v>
      </c>
      <c r="F244" s="5" t="n">
        <f aca="false">INDEX('08_PEDIDOS'!$D$2:$D$97,MATCH(A244,'08_PEDIDOS'!$A$2:$A$97,0))</f>
        <v>7</v>
      </c>
      <c r="G244" s="5" t="n">
        <f aca="false">INDEX('08_PEDIDOS'!$H$2:$H$97,MATCH(A244,'08_PEDIDOS'!$A$2:$A$97,0))</f>
        <v>10</v>
      </c>
      <c r="H244" s="17" t="n">
        <f aca="false">SUMIFS('05_RUTAS'!$F$2:$F$407,'05_RUTAS'!$A$2:$A$407,B244,'05_RUTAS'!$C$2:$C$407,C244)</f>
        <v>2</v>
      </c>
      <c r="I244" s="18" t="n">
        <f aca="false">SUMIFS('05_RUTAS'!$G$2:$G$407,'05_RUTAS'!$A$2:$A$407,B244,'05_RUTAS'!$C$2:$C$407,C244)</f>
        <v>5</v>
      </c>
      <c r="J244" s="18" t="n">
        <f aca="false">(ROUNDUP(F244/G244,0)*H244+F244*I244)/60</f>
        <v>0.616666666666667</v>
      </c>
      <c r="K244" s="5" t="n">
        <f aca="false">MONTH(INDEX('08_PEDIDOS'!$F$2:$F$97,MATCH(A244,'08_PEDIDOS'!$A$2:$A$97,0)))</f>
        <v>3</v>
      </c>
      <c r="L244" s="16" t="n">
        <f aca="false">J244*N(INDEX('04_MAQUINAS'!$F$2:$F$18,MATCH(E244,'04_MAQUINAS'!$A$2:$A$18,0)))</f>
        <v>11.1</v>
      </c>
      <c r="M244" s="17" t="n">
        <f aca="false">J244*INDEX('04_MAQUINAS'!$G$2:$G$18,MATCH(E244,'04_MAQUINAS'!$A$2:$A$18,0))*INDEX('04_MAQUINAS'!$H$2:$H$18,MATCH(E244,'04_MAQUINAS'!$A$2:$A$18,0))</f>
        <v>0.0555</v>
      </c>
      <c r="N244" s="2" t="s">
        <v>629</v>
      </c>
    </row>
    <row r="245" customFormat="false" ht="15" hidden="false" customHeight="false" outlineLevel="0" collapsed="false">
      <c r="A245" s="2" t="s">
        <v>545</v>
      </c>
      <c r="B245" s="2" t="s">
        <v>106</v>
      </c>
      <c r="C245" s="4" t="n">
        <v>1</v>
      </c>
      <c r="D245" s="2" t="s">
        <v>437</v>
      </c>
      <c r="E245" s="2" t="s">
        <v>375</v>
      </c>
      <c r="F245" s="5" t="n">
        <f aca="false">INDEX('08_PEDIDOS'!$D$2:$D$97,MATCH(A245,'08_PEDIDOS'!$A$2:$A$97,0))</f>
        <v>5</v>
      </c>
      <c r="G245" s="5" t="n">
        <f aca="false">INDEX('08_PEDIDOS'!$H$2:$H$97,MATCH(A245,'08_PEDIDOS'!$A$2:$A$97,0))</f>
        <v>10</v>
      </c>
      <c r="H245" s="17" t="n">
        <f aca="false">SUMIFS('05_RUTAS'!$F$2:$F$407,'05_RUTAS'!$A$2:$A$407,B245,'05_RUTAS'!$C$2:$C$407,C245)</f>
        <v>8</v>
      </c>
      <c r="I245" s="18" t="n">
        <f aca="false">SUMIFS('05_RUTAS'!$G$2:$G$407,'05_RUTAS'!$A$2:$A$407,B245,'05_RUTAS'!$C$2:$C$407,C245)</f>
        <v>40.245</v>
      </c>
      <c r="J245" s="18" t="n">
        <f aca="false">(ROUNDUP(F245/G245,0)*H245+F245*I245)/60</f>
        <v>3.48708333333333</v>
      </c>
      <c r="K245" s="5" t="n">
        <f aca="false">MONTH(INDEX('08_PEDIDOS'!$F$2:$F$97,MATCH(A245,'08_PEDIDOS'!$A$2:$A$97,0)))</f>
        <v>3</v>
      </c>
      <c r="L245" s="16" t="n">
        <f aca="false">J245*N(INDEX('04_MAQUINAS'!$F$2:$F$18,MATCH(E245,'04_MAQUINAS'!$A$2:$A$18,0)))</f>
        <v>83.69</v>
      </c>
      <c r="M245" s="17" t="n">
        <f aca="false">J245*INDEX('04_MAQUINAS'!$G$2:$G$18,MATCH(E245,'04_MAQUINAS'!$A$2:$A$18,0))*INDEX('04_MAQUINAS'!$H$2:$H$18,MATCH(E245,'04_MAQUINAS'!$A$2:$A$18,0))</f>
        <v>9.58947916666667</v>
      </c>
      <c r="N245" s="2" t="s">
        <v>629</v>
      </c>
    </row>
    <row r="246" customFormat="false" ht="15" hidden="false" customHeight="false" outlineLevel="0" collapsed="false">
      <c r="A246" s="2" t="s">
        <v>545</v>
      </c>
      <c r="B246" s="2" t="s">
        <v>106</v>
      </c>
      <c r="C246" s="4" t="n">
        <v>2</v>
      </c>
      <c r="D246" s="2" t="s">
        <v>386</v>
      </c>
      <c r="E246" s="2" t="s">
        <v>383</v>
      </c>
      <c r="F246" s="5" t="n">
        <f aca="false">INDEX('08_PEDIDOS'!$D$2:$D$97,MATCH(A246,'08_PEDIDOS'!$A$2:$A$97,0))</f>
        <v>5</v>
      </c>
      <c r="G246" s="5" t="n">
        <f aca="false">INDEX('08_PEDIDOS'!$H$2:$H$97,MATCH(A246,'08_PEDIDOS'!$A$2:$A$97,0))</f>
        <v>10</v>
      </c>
      <c r="H246" s="17" t="n">
        <f aca="false">SUMIFS('05_RUTAS'!$F$2:$F$407,'05_RUTAS'!$A$2:$A$407,B246,'05_RUTAS'!$C$2:$C$407,C246)</f>
        <v>10</v>
      </c>
      <c r="I246" s="18" t="n">
        <f aca="false">SUMIFS('05_RUTAS'!$G$2:$G$407,'05_RUTAS'!$A$2:$A$407,B246,'05_RUTAS'!$C$2:$C$407,C246)</f>
        <v>14.8</v>
      </c>
      <c r="J246" s="18" t="n">
        <f aca="false">(ROUNDUP(F246/G246,0)*H246+F246*I246)/60</f>
        <v>1.4</v>
      </c>
      <c r="K246" s="5" t="n">
        <f aca="false">MONTH(INDEX('08_PEDIDOS'!$F$2:$F$97,MATCH(A246,'08_PEDIDOS'!$A$2:$A$97,0)))</f>
        <v>3</v>
      </c>
      <c r="L246" s="16" t="n">
        <f aca="false">J246*N(INDEX('04_MAQUINAS'!$F$2:$F$18,MATCH(E246,'04_MAQUINAS'!$A$2:$A$18,0)))</f>
        <v>30.8</v>
      </c>
      <c r="M246" s="17" t="n">
        <f aca="false">J246*INDEX('04_MAQUINAS'!$G$2:$G$18,MATCH(E246,'04_MAQUINAS'!$A$2:$A$18,0))*INDEX('04_MAQUINAS'!$H$2:$H$18,MATCH(E246,'04_MAQUINAS'!$A$2:$A$18,0))</f>
        <v>0.385</v>
      </c>
      <c r="N246" s="2" t="s">
        <v>629</v>
      </c>
    </row>
    <row r="247" customFormat="false" ht="15" hidden="false" customHeight="false" outlineLevel="0" collapsed="false">
      <c r="A247" s="2" t="s">
        <v>545</v>
      </c>
      <c r="B247" s="2" t="s">
        <v>106</v>
      </c>
      <c r="C247" s="4" t="n">
        <v>3</v>
      </c>
      <c r="D247" s="2" t="s">
        <v>390</v>
      </c>
      <c r="E247" s="2" t="s">
        <v>387</v>
      </c>
      <c r="F247" s="5" t="n">
        <f aca="false">INDEX('08_PEDIDOS'!$D$2:$D$97,MATCH(A247,'08_PEDIDOS'!$A$2:$A$97,0))</f>
        <v>5</v>
      </c>
      <c r="G247" s="5" t="n">
        <f aca="false">INDEX('08_PEDIDOS'!$H$2:$H$97,MATCH(A247,'08_PEDIDOS'!$A$2:$A$97,0))</f>
        <v>10</v>
      </c>
      <c r="H247" s="17" t="n">
        <f aca="false">SUMIFS('05_RUTAS'!$F$2:$F$407,'05_RUTAS'!$A$2:$A$407,B247,'05_RUTAS'!$C$2:$C$407,C247)</f>
        <v>12</v>
      </c>
      <c r="I247" s="18" t="n">
        <f aca="false">SUMIFS('05_RUTAS'!$G$2:$G$407,'05_RUTAS'!$A$2:$A$407,B247,'05_RUTAS'!$C$2:$C$407,C247)</f>
        <v>104</v>
      </c>
      <c r="J247" s="18" t="n">
        <f aca="false">(ROUNDUP(F247/G247,0)*H247+F247*I247)/60</f>
        <v>8.86666666666667</v>
      </c>
      <c r="K247" s="5" t="n">
        <f aca="false">MONTH(INDEX('08_PEDIDOS'!$F$2:$F$97,MATCH(A247,'08_PEDIDOS'!$A$2:$A$97,0)))</f>
        <v>3</v>
      </c>
      <c r="L247" s="16" t="n">
        <f aca="false">J247*N(INDEX('04_MAQUINAS'!$F$2:$F$18,MATCH(E247,'04_MAQUINAS'!$A$2:$A$18,0)))</f>
        <v>248.266666666667</v>
      </c>
      <c r="M247" s="17" t="n">
        <f aca="false">J247*INDEX('04_MAQUINAS'!$G$2:$G$18,MATCH(E247,'04_MAQUINAS'!$A$2:$A$18,0))*INDEX('04_MAQUINAS'!$H$2:$H$18,MATCH(E247,'04_MAQUINAS'!$A$2:$A$18,0))</f>
        <v>21.945</v>
      </c>
      <c r="N247" s="2" t="s">
        <v>629</v>
      </c>
    </row>
    <row r="248" customFormat="false" ht="15" hidden="false" customHeight="false" outlineLevel="0" collapsed="false">
      <c r="A248" s="2" t="s">
        <v>545</v>
      </c>
      <c r="B248" s="2" t="s">
        <v>106</v>
      </c>
      <c r="C248" s="4" t="n">
        <v>4</v>
      </c>
      <c r="D248" s="2" t="s">
        <v>443</v>
      </c>
      <c r="E248" s="2" t="s">
        <v>395</v>
      </c>
      <c r="F248" s="5" t="n">
        <f aca="false">INDEX('08_PEDIDOS'!$D$2:$D$97,MATCH(A248,'08_PEDIDOS'!$A$2:$A$97,0))</f>
        <v>5</v>
      </c>
      <c r="G248" s="5" t="n">
        <f aca="false">INDEX('08_PEDIDOS'!$H$2:$H$97,MATCH(A248,'08_PEDIDOS'!$A$2:$A$97,0))</f>
        <v>10</v>
      </c>
      <c r="H248" s="17" t="n">
        <f aca="false">SUMIFS('05_RUTAS'!$F$2:$F$407,'05_RUTAS'!$A$2:$A$407,B248,'05_RUTAS'!$C$2:$C$407,C248)</f>
        <v>3</v>
      </c>
      <c r="I248" s="18" t="n">
        <f aca="false">SUMIFS('05_RUTAS'!$G$2:$G$407,'05_RUTAS'!$A$2:$A$407,B248,'05_RUTAS'!$C$2:$C$407,C248)</f>
        <v>18</v>
      </c>
      <c r="J248" s="18" t="n">
        <f aca="false">(ROUNDUP(F248/G248,0)*H248+F248*I248)/60</f>
        <v>1.55</v>
      </c>
      <c r="K248" s="5" t="n">
        <f aca="false">MONTH(INDEX('08_PEDIDOS'!$F$2:$F$97,MATCH(A248,'08_PEDIDOS'!$A$2:$A$97,0)))</f>
        <v>3</v>
      </c>
      <c r="L248" s="16" t="n">
        <f aca="false">J248*N(INDEX('04_MAQUINAS'!$F$2:$F$18,MATCH(E248,'04_MAQUINAS'!$A$2:$A$18,0)))</f>
        <v>32.55</v>
      </c>
      <c r="M248" s="17" t="n">
        <f aca="false">J248*INDEX('04_MAQUINAS'!$G$2:$G$18,MATCH(E248,'04_MAQUINAS'!$A$2:$A$18,0))*INDEX('04_MAQUINAS'!$H$2:$H$18,MATCH(E248,'04_MAQUINAS'!$A$2:$A$18,0))</f>
        <v>1.1625</v>
      </c>
      <c r="N248" s="2" t="s">
        <v>629</v>
      </c>
    </row>
    <row r="249" customFormat="false" ht="15" hidden="false" customHeight="false" outlineLevel="0" collapsed="false">
      <c r="A249" s="2" t="s">
        <v>545</v>
      </c>
      <c r="B249" s="2" t="s">
        <v>106</v>
      </c>
      <c r="C249" s="4" t="n">
        <v>5</v>
      </c>
      <c r="D249" s="2" t="s">
        <v>444</v>
      </c>
      <c r="E249" s="2" t="s">
        <v>399</v>
      </c>
      <c r="F249" s="5" t="n">
        <f aca="false">INDEX('08_PEDIDOS'!$D$2:$D$97,MATCH(A249,'08_PEDIDOS'!$A$2:$A$97,0))</f>
        <v>5</v>
      </c>
      <c r="G249" s="5" t="n">
        <f aca="false">INDEX('08_PEDIDOS'!$H$2:$H$97,MATCH(A249,'08_PEDIDOS'!$A$2:$A$97,0))</f>
        <v>10</v>
      </c>
      <c r="H249" s="17" t="n">
        <f aca="false">SUMIFS('05_RUTAS'!$F$2:$F$407,'05_RUTAS'!$A$2:$A$407,B249,'05_RUTAS'!$C$2:$C$407,C249)</f>
        <v>6</v>
      </c>
      <c r="I249" s="18" t="n">
        <f aca="false">SUMIFS('05_RUTAS'!$G$2:$G$407,'05_RUTAS'!$A$2:$A$407,B249,'05_RUTAS'!$C$2:$C$407,C249)</f>
        <v>26.324</v>
      </c>
      <c r="J249" s="18" t="n">
        <f aca="false">(ROUNDUP(F249/G249,0)*H249+F249*I249)/60</f>
        <v>2.29366666666667</v>
      </c>
      <c r="K249" s="5" t="n">
        <f aca="false">MONTH(INDEX('08_PEDIDOS'!$F$2:$F$97,MATCH(A249,'08_PEDIDOS'!$A$2:$A$97,0)))</f>
        <v>3</v>
      </c>
      <c r="L249" s="16" t="n">
        <f aca="false">J249*N(INDEX('04_MAQUINAS'!$F$2:$F$18,MATCH(E249,'04_MAQUINAS'!$A$2:$A$18,0)))</f>
        <v>43.5796666666667</v>
      </c>
      <c r="M249" s="17" t="n">
        <f aca="false">J249*INDEX('04_MAQUINAS'!$G$2:$G$18,MATCH(E249,'04_MAQUINAS'!$A$2:$A$18,0))*INDEX('04_MAQUINAS'!$H$2:$H$18,MATCH(E249,'04_MAQUINAS'!$A$2:$A$18,0))</f>
        <v>2.01842666666667</v>
      </c>
      <c r="N249" s="2" t="s">
        <v>629</v>
      </c>
    </row>
    <row r="250" customFormat="false" ht="15" hidden="false" customHeight="false" outlineLevel="0" collapsed="false">
      <c r="A250" s="2" t="s">
        <v>545</v>
      </c>
      <c r="B250" s="2" t="s">
        <v>106</v>
      </c>
      <c r="C250" s="4" t="n">
        <v>6</v>
      </c>
      <c r="D250" s="2" t="s">
        <v>445</v>
      </c>
      <c r="E250" s="2" t="s">
        <v>402</v>
      </c>
      <c r="F250" s="5" t="n">
        <f aca="false">INDEX('08_PEDIDOS'!$D$2:$D$97,MATCH(A250,'08_PEDIDOS'!$A$2:$A$97,0))</f>
        <v>5</v>
      </c>
      <c r="G250" s="5" t="n">
        <f aca="false">INDEX('08_PEDIDOS'!$H$2:$H$97,MATCH(A250,'08_PEDIDOS'!$A$2:$A$97,0))</f>
        <v>10</v>
      </c>
      <c r="H250" s="17" t="n">
        <f aca="false">SUMIFS('05_RUTAS'!$F$2:$F$407,'05_RUTAS'!$A$2:$A$407,B250,'05_RUTAS'!$C$2:$C$407,C250)</f>
        <v>12</v>
      </c>
      <c r="I250" s="18" t="n">
        <f aca="false">SUMIFS('05_RUTAS'!$G$2:$G$407,'05_RUTAS'!$A$2:$A$407,B250,'05_RUTAS'!$C$2:$C$407,C250)</f>
        <v>6.83</v>
      </c>
      <c r="J250" s="18" t="n">
        <f aca="false">(ROUNDUP(F250/G250,0)*H250+F250*I250)/60</f>
        <v>0.769166666666667</v>
      </c>
      <c r="K250" s="5" t="n">
        <f aca="false">MONTH(INDEX('08_PEDIDOS'!$F$2:$F$97,MATCH(A250,'08_PEDIDOS'!$A$2:$A$97,0)))</f>
        <v>3</v>
      </c>
      <c r="L250" s="16" t="n">
        <f aca="false">J250*N(INDEX('04_MAQUINAS'!$F$2:$F$18,MATCH(E250,'04_MAQUINAS'!$A$2:$A$18,0)))</f>
        <v>24.6133333333333</v>
      </c>
      <c r="M250" s="17" t="n">
        <f aca="false">J250*INDEX('04_MAQUINAS'!$G$2:$G$18,MATCH(E250,'04_MAQUINAS'!$A$2:$A$18,0))*INDEX('04_MAQUINAS'!$H$2:$H$18,MATCH(E250,'04_MAQUINAS'!$A$2:$A$18,0))</f>
        <v>0.807625</v>
      </c>
      <c r="N250" s="2" t="s">
        <v>629</v>
      </c>
    </row>
    <row r="251" customFormat="false" ht="15" hidden="false" customHeight="false" outlineLevel="0" collapsed="false">
      <c r="A251" s="2" t="s">
        <v>545</v>
      </c>
      <c r="B251" s="2" t="s">
        <v>106</v>
      </c>
      <c r="C251" s="4" t="n">
        <v>7</v>
      </c>
      <c r="D251" s="2" t="s">
        <v>447</v>
      </c>
      <c r="E251" s="2" t="s">
        <v>421</v>
      </c>
      <c r="F251" s="5" t="n">
        <f aca="false">INDEX('08_PEDIDOS'!$D$2:$D$97,MATCH(A251,'08_PEDIDOS'!$A$2:$A$97,0))</f>
        <v>5</v>
      </c>
      <c r="G251" s="5" t="n">
        <f aca="false">INDEX('08_PEDIDOS'!$H$2:$H$97,MATCH(A251,'08_PEDIDOS'!$A$2:$A$97,0))</f>
        <v>10</v>
      </c>
      <c r="H251" s="17" t="n">
        <f aca="false">SUMIFS('05_RUTAS'!$F$2:$F$407,'05_RUTAS'!$A$2:$A$407,B251,'05_RUTAS'!$C$2:$C$407,C251)</f>
        <v>45</v>
      </c>
      <c r="I251" s="18" t="n">
        <f aca="false">SUMIFS('05_RUTAS'!$G$2:$G$407,'05_RUTAS'!$A$2:$A$407,B251,'05_RUTAS'!$C$2:$C$407,C251)</f>
        <v>0</v>
      </c>
      <c r="J251" s="18" t="n">
        <f aca="false">(ROUNDUP(F251/G251,0)*H251+F251*I251)/60</f>
        <v>0.75</v>
      </c>
      <c r="K251" s="5" t="n">
        <f aca="false">MONTH(INDEX('08_PEDIDOS'!$F$2:$F$97,MATCH(A251,'08_PEDIDOS'!$A$2:$A$97,0)))</f>
        <v>3</v>
      </c>
      <c r="L251" s="16" t="n">
        <f aca="false">J251*N(INDEX('04_MAQUINAS'!$F$2:$F$18,MATCH(E251,'04_MAQUINAS'!$A$2:$A$18,0)))</f>
        <v>19.5</v>
      </c>
      <c r="M251" s="17" t="n">
        <f aca="false">J251*INDEX('04_MAQUINAS'!$G$2:$G$18,MATCH(E251,'04_MAQUINAS'!$A$2:$A$18,0))*INDEX('04_MAQUINAS'!$H$2:$H$18,MATCH(E251,'04_MAQUINAS'!$A$2:$A$18,0))</f>
        <v>10.8</v>
      </c>
      <c r="N251" s="2" t="s">
        <v>629</v>
      </c>
    </row>
    <row r="252" customFormat="false" ht="15" hidden="false" customHeight="false" outlineLevel="0" collapsed="false">
      <c r="A252" s="2" t="s">
        <v>545</v>
      </c>
      <c r="B252" s="2" t="s">
        <v>106</v>
      </c>
      <c r="C252" s="4" t="n">
        <v>8</v>
      </c>
      <c r="D252" s="2" t="s">
        <v>449</v>
      </c>
      <c r="E252" s="2" t="s">
        <v>423</v>
      </c>
      <c r="F252" s="5" t="n">
        <f aca="false">INDEX('08_PEDIDOS'!$D$2:$D$97,MATCH(A252,'08_PEDIDOS'!$A$2:$A$97,0))</f>
        <v>5</v>
      </c>
      <c r="G252" s="5" t="n">
        <f aca="false">INDEX('08_PEDIDOS'!$H$2:$H$97,MATCH(A252,'08_PEDIDOS'!$A$2:$A$97,0))</f>
        <v>10</v>
      </c>
      <c r="H252" s="17" t="n">
        <f aca="false">SUMIFS('05_RUTAS'!$F$2:$F$407,'05_RUTAS'!$A$2:$A$407,B252,'05_RUTAS'!$C$2:$C$407,C252)</f>
        <v>8</v>
      </c>
      <c r="I252" s="18" t="n">
        <f aca="false">SUMIFS('05_RUTAS'!$G$2:$G$407,'05_RUTAS'!$A$2:$A$407,B252,'05_RUTAS'!$C$2:$C$407,C252)</f>
        <v>2.42</v>
      </c>
      <c r="J252" s="18" t="n">
        <f aca="false">(ROUNDUP(F252/G252,0)*H252+F252*I252)/60</f>
        <v>0.335</v>
      </c>
      <c r="K252" s="5" t="n">
        <f aca="false">MONTH(INDEX('08_PEDIDOS'!$F$2:$F$97,MATCH(A252,'08_PEDIDOS'!$A$2:$A$97,0)))</f>
        <v>3</v>
      </c>
      <c r="L252" s="16" t="n">
        <f aca="false">J252*N(INDEX('04_MAQUINAS'!$F$2:$F$18,MATCH(E252,'04_MAQUINAS'!$A$2:$A$18,0)))</f>
        <v>5.36</v>
      </c>
      <c r="M252" s="17" t="n">
        <f aca="false">J252*INDEX('04_MAQUINAS'!$G$2:$G$18,MATCH(E252,'04_MAQUINAS'!$A$2:$A$18,0))*INDEX('04_MAQUINAS'!$H$2:$H$18,MATCH(E252,'04_MAQUINAS'!$A$2:$A$18,0))</f>
        <v>0.08375</v>
      </c>
      <c r="N252" s="2" t="s">
        <v>629</v>
      </c>
    </row>
    <row r="253" customFormat="false" ht="15" hidden="false" customHeight="false" outlineLevel="0" collapsed="false">
      <c r="A253" s="2" t="s">
        <v>545</v>
      </c>
      <c r="B253" s="2" t="s">
        <v>106</v>
      </c>
      <c r="C253" s="4" t="n">
        <v>9</v>
      </c>
      <c r="D253" s="2" t="s">
        <v>450</v>
      </c>
      <c r="E253" s="2" t="s">
        <v>406</v>
      </c>
      <c r="F253" s="5" t="n">
        <f aca="false">INDEX('08_PEDIDOS'!$D$2:$D$97,MATCH(A253,'08_PEDIDOS'!$A$2:$A$97,0))</f>
        <v>5</v>
      </c>
      <c r="G253" s="5" t="n">
        <f aca="false">INDEX('08_PEDIDOS'!$H$2:$H$97,MATCH(A253,'08_PEDIDOS'!$A$2:$A$97,0))</f>
        <v>10</v>
      </c>
      <c r="H253" s="17" t="n">
        <f aca="false">SUMIFS('05_RUTAS'!$F$2:$F$407,'05_RUTAS'!$A$2:$A$407,B253,'05_RUTAS'!$C$2:$C$407,C253)</f>
        <v>6</v>
      </c>
      <c r="I253" s="18" t="n">
        <f aca="false">SUMIFS('05_RUTAS'!$G$2:$G$407,'05_RUTAS'!$A$2:$A$407,B253,'05_RUTAS'!$C$2:$C$407,C253)</f>
        <v>42</v>
      </c>
      <c r="J253" s="18" t="n">
        <f aca="false">(ROUNDUP(F253/G253,0)*H253+F253*I253)/60</f>
        <v>3.6</v>
      </c>
      <c r="K253" s="5" t="n">
        <f aca="false">MONTH(INDEX('08_PEDIDOS'!$F$2:$F$97,MATCH(A253,'08_PEDIDOS'!$A$2:$A$97,0)))</f>
        <v>3</v>
      </c>
      <c r="L253" s="16" t="n">
        <f aca="false">J253*N(INDEX('04_MAQUINAS'!$F$2:$F$18,MATCH(E253,'04_MAQUINAS'!$A$2:$A$18,0)))</f>
        <v>68.4</v>
      </c>
      <c r="M253" s="17" t="n">
        <f aca="false">J253*INDEX('04_MAQUINAS'!$G$2:$G$18,MATCH(E253,'04_MAQUINAS'!$A$2:$A$18,0))*INDEX('04_MAQUINAS'!$H$2:$H$18,MATCH(E253,'04_MAQUINAS'!$A$2:$A$18,0))</f>
        <v>1.08</v>
      </c>
      <c r="N253" s="2" t="s">
        <v>629</v>
      </c>
    </row>
    <row r="254" customFormat="false" ht="15" hidden="false" customHeight="false" outlineLevel="0" collapsed="false">
      <c r="A254" s="2" t="s">
        <v>545</v>
      </c>
      <c r="B254" s="2" t="s">
        <v>106</v>
      </c>
      <c r="C254" s="4" t="n">
        <v>10</v>
      </c>
      <c r="D254" s="2" t="s">
        <v>451</v>
      </c>
      <c r="E254" s="2" t="s">
        <v>408</v>
      </c>
      <c r="F254" s="5" t="n">
        <f aca="false">INDEX('08_PEDIDOS'!$D$2:$D$97,MATCH(A254,'08_PEDIDOS'!$A$2:$A$97,0))</f>
        <v>5</v>
      </c>
      <c r="G254" s="5" t="n">
        <f aca="false">INDEX('08_PEDIDOS'!$H$2:$H$97,MATCH(A254,'08_PEDIDOS'!$A$2:$A$97,0))</f>
        <v>10</v>
      </c>
      <c r="H254" s="17" t="n">
        <f aca="false">SUMIFS('05_RUTAS'!$F$2:$F$407,'05_RUTAS'!$A$2:$A$407,B254,'05_RUTAS'!$C$2:$C$407,C254)</f>
        <v>2</v>
      </c>
      <c r="I254" s="18" t="n">
        <f aca="false">SUMIFS('05_RUTAS'!$G$2:$G$407,'05_RUTAS'!$A$2:$A$407,B254,'05_RUTAS'!$C$2:$C$407,C254)</f>
        <v>3.52</v>
      </c>
      <c r="J254" s="18" t="n">
        <f aca="false">(ROUNDUP(F254/G254,0)*H254+F254*I254)/60</f>
        <v>0.326666666666667</v>
      </c>
      <c r="K254" s="5" t="n">
        <f aca="false">MONTH(INDEX('08_PEDIDOS'!$F$2:$F$97,MATCH(A254,'08_PEDIDOS'!$A$2:$A$97,0)))</f>
        <v>3</v>
      </c>
      <c r="L254" s="16" t="n">
        <f aca="false">J254*N(INDEX('04_MAQUINAS'!$F$2:$F$18,MATCH(E254,'04_MAQUINAS'!$A$2:$A$18,0)))</f>
        <v>6.53333333333333</v>
      </c>
      <c r="M254" s="17" t="n">
        <f aca="false">J254*INDEX('04_MAQUINAS'!$G$2:$G$18,MATCH(E254,'04_MAQUINAS'!$A$2:$A$18,0))*INDEX('04_MAQUINAS'!$H$2:$H$18,MATCH(E254,'04_MAQUINAS'!$A$2:$A$18,0))</f>
        <v>0.0326666666666667</v>
      </c>
      <c r="N254" s="2" t="s">
        <v>629</v>
      </c>
    </row>
    <row r="255" customFormat="false" ht="15" hidden="false" customHeight="false" outlineLevel="0" collapsed="false">
      <c r="A255" s="2" t="s">
        <v>545</v>
      </c>
      <c r="B255" s="2" t="s">
        <v>106</v>
      </c>
      <c r="C255" s="4" t="n">
        <v>11</v>
      </c>
      <c r="D255" s="2" t="s">
        <v>452</v>
      </c>
      <c r="E255" s="2" t="s">
        <v>411</v>
      </c>
      <c r="F255" s="5" t="n">
        <f aca="false">INDEX('08_PEDIDOS'!$D$2:$D$97,MATCH(A255,'08_PEDIDOS'!$A$2:$A$97,0))</f>
        <v>5</v>
      </c>
      <c r="G255" s="5" t="n">
        <f aca="false">INDEX('08_PEDIDOS'!$H$2:$H$97,MATCH(A255,'08_PEDIDOS'!$A$2:$A$97,0))</f>
        <v>10</v>
      </c>
      <c r="H255" s="17" t="n">
        <f aca="false">SUMIFS('05_RUTAS'!$F$2:$F$407,'05_RUTAS'!$A$2:$A$407,B255,'05_RUTAS'!$C$2:$C$407,C255)</f>
        <v>2</v>
      </c>
      <c r="I255" s="18" t="n">
        <f aca="false">SUMIFS('05_RUTAS'!$G$2:$G$407,'05_RUTAS'!$A$2:$A$407,B255,'05_RUTAS'!$C$2:$C$407,C255)</f>
        <v>4.78</v>
      </c>
      <c r="J255" s="18" t="n">
        <f aca="false">(ROUNDUP(F255/G255,0)*H255+F255*I255)/60</f>
        <v>0.431666666666667</v>
      </c>
      <c r="K255" s="5" t="n">
        <f aca="false">MONTH(INDEX('08_PEDIDOS'!$F$2:$F$97,MATCH(A255,'08_PEDIDOS'!$A$2:$A$97,0)))</f>
        <v>3</v>
      </c>
      <c r="L255" s="16" t="n">
        <f aca="false">J255*N(INDEX('04_MAQUINAS'!$F$2:$F$18,MATCH(E255,'04_MAQUINAS'!$A$2:$A$18,0)))</f>
        <v>7.77</v>
      </c>
      <c r="M255" s="17" t="n">
        <f aca="false">J255*INDEX('04_MAQUINAS'!$G$2:$G$18,MATCH(E255,'04_MAQUINAS'!$A$2:$A$18,0))*INDEX('04_MAQUINAS'!$H$2:$H$18,MATCH(E255,'04_MAQUINAS'!$A$2:$A$18,0))</f>
        <v>0.03885</v>
      </c>
      <c r="N255" s="2" t="s">
        <v>629</v>
      </c>
    </row>
    <row r="256" customFormat="false" ht="15" hidden="false" customHeight="false" outlineLevel="0" collapsed="false">
      <c r="A256" s="2" t="s">
        <v>546</v>
      </c>
      <c r="B256" s="2" t="s">
        <v>108</v>
      </c>
      <c r="C256" s="4" t="n">
        <v>1</v>
      </c>
      <c r="D256" s="2" t="s">
        <v>437</v>
      </c>
      <c r="E256" s="2" t="s">
        <v>375</v>
      </c>
      <c r="F256" s="5" t="n">
        <f aca="false">INDEX('08_PEDIDOS'!$D$2:$D$97,MATCH(A256,'08_PEDIDOS'!$A$2:$A$97,0))</f>
        <v>6</v>
      </c>
      <c r="G256" s="5" t="n">
        <f aca="false">INDEX('08_PEDIDOS'!$H$2:$H$97,MATCH(A256,'08_PEDIDOS'!$A$2:$A$97,0))</f>
        <v>10</v>
      </c>
      <c r="H256" s="17" t="n">
        <f aca="false">SUMIFS('05_RUTAS'!$F$2:$F$407,'05_RUTAS'!$A$2:$A$407,B256,'05_RUTAS'!$C$2:$C$407,C256)</f>
        <v>8</v>
      </c>
      <c r="I256" s="18" t="n">
        <f aca="false">SUMIFS('05_RUTAS'!$G$2:$G$407,'05_RUTAS'!$A$2:$A$407,B256,'05_RUTAS'!$C$2:$C$407,C256)</f>
        <v>57.14</v>
      </c>
      <c r="J256" s="18" t="n">
        <f aca="false">(ROUNDUP(F256/G256,0)*H256+F256*I256)/60</f>
        <v>5.84733333333333</v>
      </c>
      <c r="K256" s="5" t="n">
        <f aca="false">MONTH(INDEX('08_PEDIDOS'!$F$2:$F$97,MATCH(A256,'08_PEDIDOS'!$A$2:$A$97,0)))</f>
        <v>3</v>
      </c>
      <c r="L256" s="16" t="n">
        <f aca="false">J256*N(INDEX('04_MAQUINAS'!$F$2:$F$18,MATCH(E256,'04_MAQUINAS'!$A$2:$A$18,0)))</f>
        <v>140.336</v>
      </c>
      <c r="M256" s="17" t="n">
        <f aca="false">J256*INDEX('04_MAQUINAS'!$G$2:$G$18,MATCH(E256,'04_MAQUINAS'!$A$2:$A$18,0))*INDEX('04_MAQUINAS'!$H$2:$H$18,MATCH(E256,'04_MAQUINAS'!$A$2:$A$18,0))</f>
        <v>16.0801666666667</v>
      </c>
      <c r="N256" s="2" t="s">
        <v>629</v>
      </c>
    </row>
    <row r="257" customFormat="false" ht="15" hidden="false" customHeight="false" outlineLevel="0" collapsed="false">
      <c r="A257" s="2" t="s">
        <v>546</v>
      </c>
      <c r="B257" s="2" t="s">
        <v>108</v>
      </c>
      <c r="C257" s="4" t="n">
        <v>2</v>
      </c>
      <c r="D257" s="2" t="s">
        <v>386</v>
      </c>
      <c r="E257" s="2" t="s">
        <v>383</v>
      </c>
      <c r="F257" s="5" t="n">
        <f aca="false">INDEX('08_PEDIDOS'!$D$2:$D$97,MATCH(A257,'08_PEDIDOS'!$A$2:$A$97,0))</f>
        <v>6</v>
      </c>
      <c r="G257" s="5" t="n">
        <f aca="false">INDEX('08_PEDIDOS'!$H$2:$H$97,MATCH(A257,'08_PEDIDOS'!$A$2:$A$97,0))</f>
        <v>10</v>
      </c>
      <c r="H257" s="17" t="n">
        <f aca="false">SUMIFS('05_RUTAS'!$F$2:$F$407,'05_RUTAS'!$A$2:$A$407,B257,'05_RUTAS'!$C$2:$C$407,C257)</f>
        <v>10</v>
      </c>
      <c r="I257" s="18" t="n">
        <f aca="false">SUMIFS('05_RUTAS'!$G$2:$G$407,'05_RUTAS'!$A$2:$A$407,B257,'05_RUTAS'!$C$2:$C$407,C257)</f>
        <v>27</v>
      </c>
      <c r="J257" s="18" t="n">
        <f aca="false">(ROUNDUP(F257/G257,0)*H257+F257*I257)/60</f>
        <v>2.86666666666667</v>
      </c>
      <c r="K257" s="5" t="n">
        <f aca="false">MONTH(INDEX('08_PEDIDOS'!$F$2:$F$97,MATCH(A257,'08_PEDIDOS'!$A$2:$A$97,0)))</f>
        <v>3</v>
      </c>
      <c r="L257" s="16" t="n">
        <f aca="false">J257*N(INDEX('04_MAQUINAS'!$F$2:$F$18,MATCH(E257,'04_MAQUINAS'!$A$2:$A$18,0)))</f>
        <v>63.0666666666667</v>
      </c>
      <c r="M257" s="17" t="n">
        <f aca="false">J257*INDEX('04_MAQUINAS'!$G$2:$G$18,MATCH(E257,'04_MAQUINAS'!$A$2:$A$18,0))*INDEX('04_MAQUINAS'!$H$2:$H$18,MATCH(E257,'04_MAQUINAS'!$A$2:$A$18,0))</f>
        <v>0.788333333333333</v>
      </c>
      <c r="N257" s="2" t="s">
        <v>629</v>
      </c>
    </row>
    <row r="258" customFormat="false" ht="15" hidden="false" customHeight="false" outlineLevel="0" collapsed="false">
      <c r="A258" s="2" t="s">
        <v>546</v>
      </c>
      <c r="B258" s="2" t="s">
        <v>108</v>
      </c>
      <c r="C258" s="4" t="n">
        <v>3</v>
      </c>
      <c r="D258" s="2" t="s">
        <v>390</v>
      </c>
      <c r="E258" s="2" t="s">
        <v>387</v>
      </c>
      <c r="F258" s="5" t="n">
        <f aca="false">INDEX('08_PEDIDOS'!$D$2:$D$97,MATCH(A258,'08_PEDIDOS'!$A$2:$A$97,0))</f>
        <v>6</v>
      </c>
      <c r="G258" s="5" t="n">
        <f aca="false">INDEX('08_PEDIDOS'!$H$2:$H$97,MATCH(A258,'08_PEDIDOS'!$A$2:$A$97,0))</f>
        <v>10</v>
      </c>
      <c r="H258" s="17" t="n">
        <f aca="false">SUMIFS('05_RUTAS'!$F$2:$F$407,'05_RUTAS'!$A$2:$A$407,B258,'05_RUTAS'!$C$2:$C$407,C258)</f>
        <v>12</v>
      </c>
      <c r="I258" s="18" t="n">
        <f aca="false">SUMIFS('05_RUTAS'!$G$2:$G$407,'05_RUTAS'!$A$2:$A$407,B258,'05_RUTAS'!$C$2:$C$407,C258)</f>
        <v>149</v>
      </c>
      <c r="J258" s="18" t="n">
        <f aca="false">(ROUNDUP(F258/G258,0)*H258+F258*I258)/60</f>
        <v>15.1</v>
      </c>
      <c r="K258" s="5" t="n">
        <f aca="false">MONTH(INDEX('08_PEDIDOS'!$F$2:$F$97,MATCH(A258,'08_PEDIDOS'!$A$2:$A$97,0)))</f>
        <v>3</v>
      </c>
      <c r="L258" s="16" t="n">
        <f aca="false">J258*N(INDEX('04_MAQUINAS'!$F$2:$F$18,MATCH(E258,'04_MAQUINAS'!$A$2:$A$18,0)))</f>
        <v>422.8</v>
      </c>
      <c r="M258" s="17" t="n">
        <f aca="false">J258*INDEX('04_MAQUINAS'!$G$2:$G$18,MATCH(E258,'04_MAQUINAS'!$A$2:$A$18,0))*INDEX('04_MAQUINAS'!$H$2:$H$18,MATCH(E258,'04_MAQUINAS'!$A$2:$A$18,0))</f>
        <v>37.3725</v>
      </c>
      <c r="N258" s="2" t="s">
        <v>629</v>
      </c>
    </row>
    <row r="259" customFormat="false" ht="15" hidden="false" customHeight="false" outlineLevel="0" collapsed="false">
      <c r="A259" s="2" t="s">
        <v>546</v>
      </c>
      <c r="B259" s="2" t="s">
        <v>108</v>
      </c>
      <c r="C259" s="4" t="n">
        <v>4</v>
      </c>
      <c r="D259" s="2" t="s">
        <v>443</v>
      </c>
      <c r="E259" s="2" t="s">
        <v>395</v>
      </c>
      <c r="F259" s="5" t="n">
        <f aca="false">INDEX('08_PEDIDOS'!$D$2:$D$97,MATCH(A259,'08_PEDIDOS'!$A$2:$A$97,0))</f>
        <v>6</v>
      </c>
      <c r="G259" s="5" t="n">
        <f aca="false">INDEX('08_PEDIDOS'!$H$2:$H$97,MATCH(A259,'08_PEDIDOS'!$A$2:$A$97,0))</f>
        <v>10</v>
      </c>
      <c r="H259" s="17" t="n">
        <f aca="false">SUMIFS('05_RUTAS'!$F$2:$F$407,'05_RUTAS'!$A$2:$A$407,B259,'05_RUTAS'!$C$2:$C$407,C259)</f>
        <v>3</v>
      </c>
      <c r="I259" s="18" t="n">
        <f aca="false">SUMIFS('05_RUTAS'!$G$2:$G$407,'05_RUTAS'!$A$2:$A$407,B259,'05_RUTAS'!$C$2:$C$407,C259)</f>
        <v>25.5</v>
      </c>
      <c r="J259" s="18" t="n">
        <f aca="false">(ROUNDUP(F259/G259,0)*H259+F259*I259)/60</f>
        <v>2.6</v>
      </c>
      <c r="K259" s="5" t="n">
        <f aca="false">MONTH(INDEX('08_PEDIDOS'!$F$2:$F$97,MATCH(A259,'08_PEDIDOS'!$A$2:$A$97,0)))</f>
        <v>3</v>
      </c>
      <c r="L259" s="16" t="n">
        <f aca="false">J259*N(INDEX('04_MAQUINAS'!$F$2:$F$18,MATCH(E259,'04_MAQUINAS'!$A$2:$A$18,0)))</f>
        <v>54.6</v>
      </c>
      <c r="M259" s="17" t="n">
        <f aca="false">J259*INDEX('04_MAQUINAS'!$G$2:$G$18,MATCH(E259,'04_MAQUINAS'!$A$2:$A$18,0))*INDEX('04_MAQUINAS'!$H$2:$H$18,MATCH(E259,'04_MAQUINAS'!$A$2:$A$18,0))</f>
        <v>1.95</v>
      </c>
      <c r="N259" s="2" t="s">
        <v>629</v>
      </c>
    </row>
    <row r="260" customFormat="false" ht="15" hidden="false" customHeight="false" outlineLevel="0" collapsed="false">
      <c r="A260" s="2" t="s">
        <v>546</v>
      </c>
      <c r="B260" s="2" t="s">
        <v>108</v>
      </c>
      <c r="C260" s="4" t="n">
        <v>5</v>
      </c>
      <c r="D260" s="2" t="s">
        <v>444</v>
      </c>
      <c r="E260" s="2" t="s">
        <v>399</v>
      </c>
      <c r="F260" s="5" t="n">
        <f aca="false">INDEX('08_PEDIDOS'!$D$2:$D$97,MATCH(A260,'08_PEDIDOS'!$A$2:$A$97,0))</f>
        <v>6</v>
      </c>
      <c r="G260" s="5" t="n">
        <f aca="false">INDEX('08_PEDIDOS'!$H$2:$H$97,MATCH(A260,'08_PEDIDOS'!$A$2:$A$97,0))</f>
        <v>10</v>
      </c>
      <c r="H260" s="17" t="n">
        <f aca="false">SUMIFS('05_RUTAS'!$F$2:$F$407,'05_RUTAS'!$A$2:$A$407,B260,'05_RUTAS'!$C$2:$C$407,C260)</f>
        <v>6</v>
      </c>
      <c r="I260" s="18" t="n">
        <f aca="false">SUMIFS('05_RUTAS'!$G$2:$G$407,'05_RUTAS'!$A$2:$A$407,B260,'05_RUTAS'!$C$2:$C$407,C260)</f>
        <v>37.528</v>
      </c>
      <c r="J260" s="18" t="n">
        <f aca="false">(ROUNDUP(F260/G260,0)*H260+F260*I260)/60</f>
        <v>3.8528</v>
      </c>
      <c r="K260" s="5" t="n">
        <f aca="false">MONTH(INDEX('08_PEDIDOS'!$F$2:$F$97,MATCH(A260,'08_PEDIDOS'!$A$2:$A$97,0)))</f>
        <v>3</v>
      </c>
      <c r="L260" s="16" t="n">
        <f aca="false">J260*N(INDEX('04_MAQUINAS'!$F$2:$F$18,MATCH(E260,'04_MAQUINAS'!$A$2:$A$18,0)))</f>
        <v>73.2032</v>
      </c>
      <c r="M260" s="17" t="n">
        <f aca="false">J260*INDEX('04_MAQUINAS'!$G$2:$G$18,MATCH(E260,'04_MAQUINAS'!$A$2:$A$18,0))*INDEX('04_MAQUINAS'!$H$2:$H$18,MATCH(E260,'04_MAQUINAS'!$A$2:$A$18,0))</f>
        <v>3.390464</v>
      </c>
      <c r="N260" s="2" t="s">
        <v>629</v>
      </c>
    </row>
    <row r="261" customFormat="false" ht="15" hidden="false" customHeight="false" outlineLevel="0" collapsed="false">
      <c r="A261" s="2" t="s">
        <v>546</v>
      </c>
      <c r="B261" s="2" t="s">
        <v>108</v>
      </c>
      <c r="C261" s="4" t="n">
        <v>6</v>
      </c>
      <c r="D261" s="2" t="s">
        <v>445</v>
      </c>
      <c r="E261" s="2" t="s">
        <v>402</v>
      </c>
      <c r="F261" s="5" t="n">
        <f aca="false">INDEX('08_PEDIDOS'!$D$2:$D$97,MATCH(A261,'08_PEDIDOS'!$A$2:$A$97,0))</f>
        <v>6</v>
      </c>
      <c r="G261" s="5" t="n">
        <f aca="false">INDEX('08_PEDIDOS'!$H$2:$H$97,MATCH(A261,'08_PEDIDOS'!$A$2:$A$97,0))</f>
        <v>10</v>
      </c>
      <c r="H261" s="17" t="n">
        <f aca="false">SUMIFS('05_RUTAS'!$F$2:$F$407,'05_RUTAS'!$A$2:$A$407,B261,'05_RUTAS'!$C$2:$C$407,C261)</f>
        <v>12</v>
      </c>
      <c r="I261" s="18" t="n">
        <f aca="false">SUMIFS('05_RUTAS'!$G$2:$G$407,'05_RUTAS'!$A$2:$A$407,B261,'05_RUTAS'!$C$2:$C$407,C261)</f>
        <v>6.83</v>
      </c>
      <c r="J261" s="18" t="n">
        <f aca="false">(ROUNDUP(F261/G261,0)*H261+F261*I261)/60</f>
        <v>0.883</v>
      </c>
      <c r="K261" s="5" t="n">
        <f aca="false">MONTH(INDEX('08_PEDIDOS'!$F$2:$F$97,MATCH(A261,'08_PEDIDOS'!$A$2:$A$97,0)))</f>
        <v>3</v>
      </c>
      <c r="L261" s="16" t="n">
        <f aca="false">J261*N(INDEX('04_MAQUINAS'!$F$2:$F$18,MATCH(E261,'04_MAQUINAS'!$A$2:$A$18,0)))</f>
        <v>28.256</v>
      </c>
      <c r="M261" s="17" t="n">
        <f aca="false">J261*INDEX('04_MAQUINAS'!$G$2:$G$18,MATCH(E261,'04_MAQUINAS'!$A$2:$A$18,0))*INDEX('04_MAQUINAS'!$H$2:$H$18,MATCH(E261,'04_MAQUINAS'!$A$2:$A$18,0))</f>
        <v>0.92715</v>
      </c>
      <c r="N261" s="2" t="s">
        <v>629</v>
      </c>
    </row>
    <row r="262" customFormat="false" ht="15" hidden="false" customHeight="false" outlineLevel="0" collapsed="false">
      <c r="A262" s="2" t="s">
        <v>546</v>
      </c>
      <c r="B262" s="2" t="s">
        <v>108</v>
      </c>
      <c r="C262" s="4" t="n">
        <v>7</v>
      </c>
      <c r="D262" s="2" t="s">
        <v>447</v>
      </c>
      <c r="E262" s="2" t="s">
        <v>421</v>
      </c>
      <c r="F262" s="5" t="n">
        <f aca="false">INDEX('08_PEDIDOS'!$D$2:$D$97,MATCH(A262,'08_PEDIDOS'!$A$2:$A$97,0))</f>
        <v>6</v>
      </c>
      <c r="G262" s="5" t="n">
        <f aca="false">INDEX('08_PEDIDOS'!$H$2:$H$97,MATCH(A262,'08_PEDIDOS'!$A$2:$A$97,0))</f>
        <v>10</v>
      </c>
      <c r="H262" s="17" t="n">
        <f aca="false">SUMIFS('05_RUTAS'!$F$2:$F$407,'05_RUTAS'!$A$2:$A$407,B262,'05_RUTAS'!$C$2:$C$407,C262)</f>
        <v>45</v>
      </c>
      <c r="I262" s="18" t="n">
        <f aca="false">SUMIFS('05_RUTAS'!$G$2:$G$407,'05_RUTAS'!$A$2:$A$407,B262,'05_RUTAS'!$C$2:$C$407,C262)</f>
        <v>0</v>
      </c>
      <c r="J262" s="18" t="n">
        <f aca="false">(ROUNDUP(F262/G262,0)*H262+F262*I262)/60</f>
        <v>0.75</v>
      </c>
      <c r="K262" s="5" t="n">
        <f aca="false">MONTH(INDEX('08_PEDIDOS'!$F$2:$F$97,MATCH(A262,'08_PEDIDOS'!$A$2:$A$97,0)))</f>
        <v>3</v>
      </c>
      <c r="L262" s="16" t="n">
        <f aca="false">J262*N(INDEX('04_MAQUINAS'!$F$2:$F$18,MATCH(E262,'04_MAQUINAS'!$A$2:$A$18,0)))</f>
        <v>19.5</v>
      </c>
      <c r="M262" s="17" t="n">
        <f aca="false">J262*INDEX('04_MAQUINAS'!$G$2:$G$18,MATCH(E262,'04_MAQUINAS'!$A$2:$A$18,0))*INDEX('04_MAQUINAS'!$H$2:$H$18,MATCH(E262,'04_MAQUINAS'!$A$2:$A$18,0))</f>
        <v>10.8</v>
      </c>
      <c r="N262" s="2" t="s">
        <v>629</v>
      </c>
    </row>
    <row r="263" customFormat="false" ht="15" hidden="false" customHeight="false" outlineLevel="0" collapsed="false">
      <c r="A263" s="2" t="s">
        <v>546</v>
      </c>
      <c r="B263" s="2" t="s">
        <v>108</v>
      </c>
      <c r="C263" s="4" t="n">
        <v>8</v>
      </c>
      <c r="D263" s="2" t="s">
        <v>449</v>
      </c>
      <c r="E263" s="2" t="s">
        <v>423</v>
      </c>
      <c r="F263" s="5" t="n">
        <f aca="false">INDEX('08_PEDIDOS'!$D$2:$D$97,MATCH(A263,'08_PEDIDOS'!$A$2:$A$97,0))</f>
        <v>6</v>
      </c>
      <c r="G263" s="5" t="n">
        <f aca="false">INDEX('08_PEDIDOS'!$H$2:$H$97,MATCH(A263,'08_PEDIDOS'!$A$2:$A$97,0))</f>
        <v>10</v>
      </c>
      <c r="H263" s="17" t="n">
        <f aca="false">SUMIFS('05_RUTAS'!$F$2:$F$407,'05_RUTAS'!$A$2:$A$407,B263,'05_RUTAS'!$C$2:$C$407,C263)</f>
        <v>8</v>
      </c>
      <c r="I263" s="18" t="n">
        <f aca="false">SUMIFS('05_RUTAS'!$G$2:$G$407,'05_RUTAS'!$A$2:$A$407,B263,'05_RUTAS'!$C$2:$C$407,C263)</f>
        <v>2.42</v>
      </c>
      <c r="J263" s="18" t="n">
        <f aca="false">(ROUNDUP(F263/G263,0)*H263+F263*I263)/60</f>
        <v>0.375333333333333</v>
      </c>
      <c r="K263" s="5" t="n">
        <f aca="false">MONTH(INDEX('08_PEDIDOS'!$F$2:$F$97,MATCH(A263,'08_PEDIDOS'!$A$2:$A$97,0)))</f>
        <v>3</v>
      </c>
      <c r="L263" s="16" t="n">
        <f aca="false">J263*N(INDEX('04_MAQUINAS'!$F$2:$F$18,MATCH(E263,'04_MAQUINAS'!$A$2:$A$18,0)))</f>
        <v>6.00533333333333</v>
      </c>
      <c r="M263" s="17" t="n">
        <f aca="false">J263*INDEX('04_MAQUINAS'!$G$2:$G$18,MATCH(E263,'04_MAQUINAS'!$A$2:$A$18,0))*INDEX('04_MAQUINAS'!$H$2:$H$18,MATCH(E263,'04_MAQUINAS'!$A$2:$A$18,0))</f>
        <v>0.0938333333333333</v>
      </c>
      <c r="N263" s="2" t="s">
        <v>629</v>
      </c>
    </row>
    <row r="264" customFormat="false" ht="15" hidden="false" customHeight="false" outlineLevel="0" collapsed="false">
      <c r="A264" s="2" t="s">
        <v>546</v>
      </c>
      <c r="B264" s="2" t="s">
        <v>108</v>
      </c>
      <c r="C264" s="4" t="n">
        <v>9</v>
      </c>
      <c r="D264" s="2" t="s">
        <v>450</v>
      </c>
      <c r="E264" s="2" t="s">
        <v>406</v>
      </c>
      <c r="F264" s="5" t="n">
        <f aca="false">INDEX('08_PEDIDOS'!$D$2:$D$97,MATCH(A264,'08_PEDIDOS'!$A$2:$A$97,0))</f>
        <v>6</v>
      </c>
      <c r="G264" s="5" t="n">
        <f aca="false">INDEX('08_PEDIDOS'!$H$2:$H$97,MATCH(A264,'08_PEDIDOS'!$A$2:$A$97,0))</f>
        <v>10</v>
      </c>
      <c r="H264" s="17" t="n">
        <f aca="false">SUMIFS('05_RUTAS'!$F$2:$F$407,'05_RUTAS'!$A$2:$A$407,B264,'05_RUTAS'!$C$2:$C$407,C264)</f>
        <v>6</v>
      </c>
      <c r="I264" s="18" t="n">
        <f aca="false">SUMIFS('05_RUTAS'!$G$2:$G$407,'05_RUTAS'!$A$2:$A$407,B264,'05_RUTAS'!$C$2:$C$407,C264)</f>
        <v>56.25</v>
      </c>
      <c r="J264" s="18" t="n">
        <f aca="false">(ROUNDUP(F264/G264,0)*H264+F264*I264)/60</f>
        <v>5.725</v>
      </c>
      <c r="K264" s="5" t="n">
        <f aca="false">MONTH(INDEX('08_PEDIDOS'!$F$2:$F$97,MATCH(A264,'08_PEDIDOS'!$A$2:$A$97,0)))</f>
        <v>3</v>
      </c>
      <c r="L264" s="16" t="n">
        <f aca="false">J264*N(INDEX('04_MAQUINAS'!$F$2:$F$18,MATCH(E264,'04_MAQUINAS'!$A$2:$A$18,0)))</f>
        <v>108.775</v>
      </c>
      <c r="M264" s="17" t="n">
        <f aca="false">J264*INDEX('04_MAQUINAS'!$G$2:$G$18,MATCH(E264,'04_MAQUINAS'!$A$2:$A$18,0))*INDEX('04_MAQUINAS'!$H$2:$H$18,MATCH(E264,'04_MAQUINAS'!$A$2:$A$18,0))</f>
        <v>1.7175</v>
      </c>
      <c r="N264" s="2" t="s">
        <v>629</v>
      </c>
    </row>
    <row r="265" customFormat="false" ht="15" hidden="false" customHeight="false" outlineLevel="0" collapsed="false">
      <c r="A265" s="2" t="s">
        <v>546</v>
      </c>
      <c r="B265" s="2" t="s">
        <v>108</v>
      </c>
      <c r="C265" s="4" t="n">
        <v>10</v>
      </c>
      <c r="D265" s="2" t="s">
        <v>451</v>
      </c>
      <c r="E265" s="2" t="s">
        <v>408</v>
      </c>
      <c r="F265" s="5" t="n">
        <f aca="false">INDEX('08_PEDIDOS'!$D$2:$D$97,MATCH(A265,'08_PEDIDOS'!$A$2:$A$97,0))</f>
        <v>6</v>
      </c>
      <c r="G265" s="5" t="n">
        <f aca="false">INDEX('08_PEDIDOS'!$H$2:$H$97,MATCH(A265,'08_PEDIDOS'!$A$2:$A$97,0))</f>
        <v>10</v>
      </c>
      <c r="H265" s="17" t="n">
        <f aca="false">SUMIFS('05_RUTAS'!$F$2:$F$407,'05_RUTAS'!$A$2:$A$407,B265,'05_RUTAS'!$C$2:$C$407,C265)</f>
        <v>2</v>
      </c>
      <c r="I265" s="18" t="n">
        <f aca="false">SUMIFS('05_RUTAS'!$G$2:$G$407,'05_RUTAS'!$A$2:$A$407,B265,'05_RUTAS'!$C$2:$C$407,C265)</f>
        <v>3.52</v>
      </c>
      <c r="J265" s="18" t="n">
        <f aca="false">(ROUNDUP(F265/G265,0)*H265+F265*I265)/60</f>
        <v>0.385333333333333</v>
      </c>
      <c r="K265" s="5" t="n">
        <f aca="false">MONTH(INDEX('08_PEDIDOS'!$F$2:$F$97,MATCH(A265,'08_PEDIDOS'!$A$2:$A$97,0)))</f>
        <v>3</v>
      </c>
      <c r="L265" s="16" t="n">
        <f aca="false">J265*N(INDEX('04_MAQUINAS'!$F$2:$F$18,MATCH(E265,'04_MAQUINAS'!$A$2:$A$18,0)))</f>
        <v>7.70666666666667</v>
      </c>
      <c r="M265" s="17" t="n">
        <f aca="false">J265*INDEX('04_MAQUINAS'!$G$2:$G$18,MATCH(E265,'04_MAQUINAS'!$A$2:$A$18,0))*INDEX('04_MAQUINAS'!$H$2:$H$18,MATCH(E265,'04_MAQUINAS'!$A$2:$A$18,0))</f>
        <v>0.0385333333333333</v>
      </c>
      <c r="N265" s="2" t="s">
        <v>629</v>
      </c>
    </row>
    <row r="266" customFormat="false" ht="15" hidden="false" customHeight="false" outlineLevel="0" collapsed="false">
      <c r="A266" s="2" t="s">
        <v>546</v>
      </c>
      <c r="B266" s="2" t="s">
        <v>108</v>
      </c>
      <c r="C266" s="4" t="n">
        <v>11</v>
      </c>
      <c r="D266" s="2" t="s">
        <v>452</v>
      </c>
      <c r="E266" s="2" t="s">
        <v>411</v>
      </c>
      <c r="F266" s="5" t="n">
        <f aca="false">INDEX('08_PEDIDOS'!$D$2:$D$97,MATCH(A266,'08_PEDIDOS'!$A$2:$A$97,0))</f>
        <v>6</v>
      </c>
      <c r="G266" s="5" t="n">
        <f aca="false">INDEX('08_PEDIDOS'!$H$2:$H$97,MATCH(A266,'08_PEDIDOS'!$A$2:$A$97,0))</f>
        <v>10</v>
      </c>
      <c r="H266" s="17" t="n">
        <f aca="false">SUMIFS('05_RUTAS'!$F$2:$F$407,'05_RUTAS'!$A$2:$A$407,B266,'05_RUTAS'!$C$2:$C$407,C266)</f>
        <v>2</v>
      </c>
      <c r="I266" s="18" t="n">
        <f aca="false">SUMIFS('05_RUTAS'!$G$2:$G$407,'05_RUTAS'!$A$2:$A$407,B266,'05_RUTAS'!$C$2:$C$407,C266)</f>
        <v>4.78</v>
      </c>
      <c r="J266" s="18" t="n">
        <f aca="false">(ROUNDUP(F266/G266,0)*H266+F266*I266)/60</f>
        <v>0.511333333333333</v>
      </c>
      <c r="K266" s="5" t="n">
        <f aca="false">MONTH(INDEX('08_PEDIDOS'!$F$2:$F$97,MATCH(A266,'08_PEDIDOS'!$A$2:$A$97,0)))</f>
        <v>3</v>
      </c>
      <c r="L266" s="16" t="n">
        <f aca="false">J266*N(INDEX('04_MAQUINAS'!$F$2:$F$18,MATCH(E266,'04_MAQUINAS'!$A$2:$A$18,0)))</f>
        <v>9.204</v>
      </c>
      <c r="M266" s="17" t="n">
        <f aca="false">J266*INDEX('04_MAQUINAS'!$G$2:$G$18,MATCH(E266,'04_MAQUINAS'!$A$2:$A$18,0))*INDEX('04_MAQUINAS'!$H$2:$H$18,MATCH(E266,'04_MAQUINAS'!$A$2:$A$18,0))</f>
        <v>0.04602</v>
      </c>
      <c r="N266" s="2" t="s">
        <v>629</v>
      </c>
    </row>
    <row r="267" customFormat="false" ht="15" hidden="false" customHeight="false" outlineLevel="0" collapsed="false">
      <c r="A267" s="2" t="s">
        <v>547</v>
      </c>
      <c r="B267" s="2" t="s">
        <v>119</v>
      </c>
      <c r="C267" s="4" t="n">
        <v>1</v>
      </c>
      <c r="D267" s="2" t="s">
        <v>437</v>
      </c>
      <c r="E267" s="2" t="s">
        <v>375</v>
      </c>
      <c r="F267" s="5" t="n">
        <f aca="false">INDEX('08_PEDIDOS'!$D$2:$D$97,MATCH(A267,'08_PEDIDOS'!$A$2:$A$97,0))</f>
        <v>10</v>
      </c>
      <c r="G267" s="5" t="n">
        <f aca="false">INDEX('08_PEDIDOS'!$H$2:$H$97,MATCH(A267,'08_PEDIDOS'!$A$2:$A$97,0))</f>
        <v>10</v>
      </c>
      <c r="H267" s="17" t="n">
        <f aca="false">SUMIFS('05_RUTAS'!$F$2:$F$407,'05_RUTAS'!$A$2:$A$407,B267,'05_RUTAS'!$C$2:$C$407,C267)</f>
        <v>8</v>
      </c>
      <c r="I267" s="18" t="n">
        <f aca="false">SUMIFS('05_RUTAS'!$G$2:$G$407,'05_RUTAS'!$A$2:$A$407,B267,'05_RUTAS'!$C$2:$C$407,C267)</f>
        <v>35.56</v>
      </c>
      <c r="J267" s="18" t="n">
        <f aca="false">(ROUNDUP(F267/G267,0)*H267+F267*I267)/60</f>
        <v>6.06</v>
      </c>
      <c r="K267" s="5" t="n">
        <f aca="false">MONTH(INDEX('08_PEDIDOS'!$F$2:$F$97,MATCH(A267,'08_PEDIDOS'!$A$2:$A$97,0)))</f>
        <v>3</v>
      </c>
      <c r="L267" s="16" t="n">
        <f aca="false">J267*N(INDEX('04_MAQUINAS'!$F$2:$F$18,MATCH(E267,'04_MAQUINAS'!$A$2:$A$18,0)))</f>
        <v>145.44</v>
      </c>
      <c r="M267" s="17" t="n">
        <f aca="false">J267*INDEX('04_MAQUINAS'!$G$2:$G$18,MATCH(E267,'04_MAQUINAS'!$A$2:$A$18,0))*INDEX('04_MAQUINAS'!$H$2:$H$18,MATCH(E267,'04_MAQUINAS'!$A$2:$A$18,0))</f>
        <v>16.665</v>
      </c>
      <c r="N267" s="2" t="s">
        <v>629</v>
      </c>
    </row>
    <row r="268" customFormat="false" ht="15" hidden="false" customHeight="false" outlineLevel="0" collapsed="false">
      <c r="A268" s="2" t="s">
        <v>547</v>
      </c>
      <c r="B268" s="2" t="s">
        <v>119</v>
      </c>
      <c r="C268" s="4" t="n">
        <v>2</v>
      </c>
      <c r="D268" s="2" t="s">
        <v>386</v>
      </c>
      <c r="E268" s="2" t="s">
        <v>383</v>
      </c>
      <c r="F268" s="5" t="n">
        <f aca="false">INDEX('08_PEDIDOS'!$D$2:$D$97,MATCH(A268,'08_PEDIDOS'!$A$2:$A$97,0))</f>
        <v>10</v>
      </c>
      <c r="G268" s="5" t="n">
        <f aca="false">INDEX('08_PEDIDOS'!$H$2:$H$97,MATCH(A268,'08_PEDIDOS'!$A$2:$A$97,0))</f>
        <v>10</v>
      </c>
      <c r="H268" s="17" t="n">
        <f aca="false">SUMIFS('05_RUTAS'!$F$2:$F$407,'05_RUTAS'!$A$2:$A$407,B268,'05_RUTAS'!$C$2:$C$407,C268)</f>
        <v>10</v>
      </c>
      <c r="I268" s="18" t="n">
        <f aca="false">SUMIFS('05_RUTAS'!$G$2:$G$407,'05_RUTAS'!$A$2:$A$407,B268,'05_RUTAS'!$C$2:$C$407,C268)</f>
        <v>5.8</v>
      </c>
      <c r="J268" s="18" t="n">
        <f aca="false">(ROUNDUP(F268/G268,0)*H268+F268*I268)/60</f>
        <v>1.13333333333333</v>
      </c>
      <c r="K268" s="5" t="n">
        <f aca="false">MONTH(INDEX('08_PEDIDOS'!$F$2:$F$97,MATCH(A268,'08_PEDIDOS'!$A$2:$A$97,0)))</f>
        <v>3</v>
      </c>
      <c r="L268" s="16" t="n">
        <f aca="false">J268*N(INDEX('04_MAQUINAS'!$F$2:$F$18,MATCH(E268,'04_MAQUINAS'!$A$2:$A$18,0)))</f>
        <v>24.9333333333333</v>
      </c>
      <c r="M268" s="17" t="n">
        <f aca="false">J268*INDEX('04_MAQUINAS'!$G$2:$G$18,MATCH(E268,'04_MAQUINAS'!$A$2:$A$18,0))*INDEX('04_MAQUINAS'!$H$2:$H$18,MATCH(E268,'04_MAQUINAS'!$A$2:$A$18,0))</f>
        <v>0.311666666666667</v>
      </c>
      <c r="N268" s="2" t="s">
        <v>629</v>
      </c>
    </row>
    <row r="269" customFormat="false" ht="15" hidden="false" customHeight="false" outlineLevel="0" collapsed="false">
      <c r="A269" s="2" t="s">
        <v>547</v>
      </c>
      <c r="B269" s="2" t="s">
        <v>119</v>
      </c>
      <c r="C269" s="4" t="n">
        <v>3</v>
      </c>
      <c r="D269" s="2" t="s">
        <v>390</v>
      </c>
      <c r="E269" s="2" t="s">
        <v>387</v>
      </c>
      <c r="F269" s="5" t="n">
        <f aca="false">INDEX('08_PEDIDOS'!$D$2:$D$97,MATCH(A269,'08_PEDIDOS'!$A$2:$A$97,0))</f>
        <v>10</v>
      </c>
      <c r="G269" s="5" t="n">
        <f aca="false">INDEX('08_PEDIDOS'!$H$2:$H$97,MATCH(A269,'08_PEDIDOS'!$A$2:$A$97,0))</f>
        <v>10</v>
      </c>
      <c r="H269" s="17" t="n">
        <f aca="false">SUMIFS('05_RUTAS'!$F$2:$F$407,'05_RUTAS'!$A$2:$A$407,B269,'05_RUTAS'!$C$2:$C$407,C269)</f>
        <v>12</v>
      </c>
      <c r="I269" s="18" t="n">
        <f aca="false">SUMIFS('05_RUTAS'!$G$2:$G$407,'05_RUTAS'!$A$2:$A$407,B269,'05_RUTAS'!$C$2:$C$407,C269)</f>
        <v>86</v>
      </c>
      <c r="J269" s="18" t="n">
        <f aca="false">(ROUNDUP(F269/G269,0)*H269+F269*I269)/60</f>
        <v>14.5333333333333</v>
      </c>
      <c r="K269" s="5" t="n">
        <f aca="false">MONTH(INDEX('08_PEDIDOS'!$F$2:$F$97,MATCH(A269,'08_PEDIDOS'!$A$2:$A$97,0)))</f>
        <v>3</v>
      </c>
      <c r="L269" s="16" t="n">
        <f aca="false">J269*N(INDEX('04_MAQUINAS'!$F$2:$F$18,MATCH(E269,'04_MAQUINAS'!$A$2:$A$18,0)))</f>
        <v>406.933333333333</v>
      </c>
      <c r="M269" s="17" t="n">
        <f aca="false">J269*INDEX('04_MAQUINAS'!$G$2:$G$18,MATCH(E269,'04_MAQUINAS'!$A$2:$A$18,0))*INDEX('04_MAQUINAS'!$H$2:$H$18,MATCH(E269,'04_MAQUINAS'!$A$2:$A$18,0))</f>
        <v>35.97</v>
      </c>
      <c r="N269" s="2" t="s">
        <v>629</v>
      </c>
    </row>
    <row r="270" customFormat="false" ht="15" hidden="false" customHeight="false" outlineLevel="0" collapsed="false">
      <c r="A270" s="2" t="s">
        <v>547</v>
      </c>
      <c r="B270" s="2" t="s">
        <v>119</v>
      </c>
      <c r="C270" s="4" t="n">
        <v>4</v>
      </c>
      <c r="D270" s="2" t="s">
        <v>443</v>
      </c>
      <c r="E270" s="2" t="s">
        <v>395</v>
      </c>
      <c r="F270" s="5" t="n">
        <f aca="false">INDEX('08_PEDIDOS'!$D$2:$D$97,MATCH(A270,'08_PEDIDOS'!$A$2:$A$97,0))</f>
        <v>10</v>
      </c>
      <c r="G270" s="5" t="n">
        <f aca="false">INDEX('08_PEDIDOS'!$H$2:$H$97,MATCH(A270,'08_PEDIDOS'!$A$2:$A$97,0))</f>
        <v>10</v>
      </c>
      <c r="H270" s="17" t="n">
        <f aca="false">SUMIFS('05_RUTAS'!$F$2:$F$407,'05_RUTAS'!$A$2:$A$407,B270,'05_RUTAS'!$C$2:$C$407,C270)</f>
        <v>3</v>
      </c>
      <c r="I270" s="18" t="n">
        <f aca="false">SUMIFS('05_RUTAS'!$G$2:$G$407,'05_RUTAS'!$A$2:$A$407,B270,'05_RUTAS'!$C$2:$C$407,C270)</f>
        <v>15</v>
      </c>
      <c r="J270" s="18" t="n">
        <f aca="false">(ROUNDUP(F270/G270,0)*H270+F270*I270)/60</f>
        <v>2.55</v>
      </c>
      <c r="K270" s="5" t="n">
        <f aca="false">MONTH(INDEX('08_PEDIDOS'!$F$2:$F$97,MATCH(A270,'08_PEDIDOS'!$A$2:$A$97,0)))</f>
        <v>3</v>
      </c>
      <c r="L270" s="16" t="n">
        <f aca="false">J270*N(INDEX('04_MAQUINAS'!$F$2:$F$18,MATCH(E270,'04_MAQUINAS'!$A$2:$A$18,0)))</f>
        <v>53.55</v>
      </c>
      <c r="M270" s="17" t="n">
        <f aca="false">J270*INDEX('04_MAQUINAS'!$G$2:$G$18,MATCH(E270,'04_MAQUINAS'!$A$2:$A$18,0))*INDEX('04_MAQUINAS'!$H$2:$H$18,MATCH(E270,'04_MAQUINAS'!$A$2:$A$18,0))</f>
        <v>1.9125</v>
      </c>
      <c r="N270" s="2" t="s">
        <v>629</v>
      </c>
    </row>
    <row r="271" customFormat="false" ht="15" hidden="false" customHeight="false" outlineLevel="0" collapsed="false">
      <c r="A271" s="2" t="s">
        <v>547</v>
      </c>
      <c r="B271" s="2" t="s">
        <v>119</v>
      </c>
      <c r="C271" s="4" t="n">
        <v>5</v>
      </c>
      <c r="D271" s="2" t="s">
        <v>444</v>
      </c>
      <c r="E271" s="2" t="s">
        <v>399</v>
      </c>
      <c r="F271" s="5" t="n">
        <f aca="false">INDEX('08_PEDIDOS'!$D$2:$D$97,MATCH(A271,'08_PEDIDOS'!$A$2:$A$97,0))</f>
        <v>10</v>
      </c>
      <c r="G271" s="5" t="n">
        <f aca="false">INDEX('08_PEDIDOS'!$H$2:$H$97,MATCH(A271,'08_PEDIDOS'!$A$2:$A$97,0))</f>
        <v>10</v>
      </c>
      <c r="H271" s="17" t="n">
        <f aca="false">SUMIFS('05_RUTAS'!$F$2:$F$407,'05_RUTAS'!$A$2:$A$407,B271,'05_RUTAS'!$C$2:$C$407,C271)</f>
        <v>6</v>
      </c>
      <c r="I271" s="18" t="n">
        <f aca="false">SUMIFS('05_RUTAS'!$G$2:$G$407,'05_RUTAS'!$A$2:$A$407,B271,'05_RUTAS'!$C$2:$C$407,C271)</f>
        <v>25.712</v>
      </c>
      <c r="J271" s="18" t="n">
        <f aca="false">(ROUNDUP(F271/G271,0)*H271+F271*I271)/60</f>
        <v>4.38533333333333</v>
      </c>
      <c r="K271" s="5" t="n">
        <f aca="false">MONTH(INDEX('08_PEDIDOS'!$F$2:$F$97,MATCH(A271,'08_PEDIDOS'!$A$2:$A$97,0)))</f>
        <v>3</v>
      </c>
      <c r="L271" s="16" t="n">
        <f aca="false">J271*N(INDEX('04_MAQUINAS'!$F$2:$F$18,MATCH(E271,'04_MAQUINAS'!$A$2:$A$18,0)))</f>
        <v>83.3213333333333</v>
      </c>
      <c r="M271" s="17" t="n">
        <f aca="false">J271*INDEX('04_MAQUINAS'!$G$2:$G$18,MATCH(E271,'04_MAQUINAS'!$A$2:$A$18,0))*INDEX('04_MAQUINAS'!$H$2:$H$18,MATCH(E271,'04_MAQUINAS'!$A$2:$A$18,0))</f>
        <v>3.85909333333333</v>
      </c>
      <c r="N271" s="2" t="s">
        <v>629</v>
      </c>
    </row>
    <row r="272" customFormat="false" ht="15" hidden="false" customHeight="false" outlineLevel="0" collapsed="false">
      <c r="A272" s="2" t="s">
        <v>547</v>
      </c>
      <c r="B272" s="2" t="s">
        <v>119</v>
      </c>
      <c r="C272" s="4" t="n">
        <v>6</v>
      </c>
      <c r="D272" s="2" t="s">
        <v>445</v>
      </c>
      <c r="E272" s="2" t="s">
        <v>402</v>
      </c>
      <c r="F272" s="5" t="n">
        <f aca="false">INDEX('08_PEDIDOS'!$D$2:$D$97,MATCH(A272,'08_PEDIDOS'!$A$2:$A$97,0))</f>
        <v>10</v>
      </c>
      <c r="G272" s="5" t="n">
        <f aca="false">INDEX('08_PEDIDOS'!$H$2:$H$97,MATCH(A272,'08_PEDIDOS'!$A$2:$A$97,0))</f>
        <v>10</v>
      </c>
      <c r="H272" s="17" t="n">
        <f aca="false">SUMIFS('05_RUTAS'!$F$2:$F$407,'05_RUTAS'!$A$2:$A$407,B272,'05_RUTAS'!$C$2:$C$407,C272)</f>
        <v>12</v>
      </c>
      <c r="I272" s="18" t="n">
        <f aca="false">SUMIFS('05_RUTAS'!$G$2:$G$407,'05_RUTAS'!$A$2:$A$407,B272,'05_RUTAS'!$C$2:$C$407,C272)</f>
        <v>6.58</v>
      </c>
      <c r="J272" s="18" t="n">
        <f aca="false">(ROUNDUP(F272/G272,0)*H272+F272*I272)/60</f>
        <v>1.29666666666667</v>
      </c>
      <c r="K272" s="5" t="n">
        <f aca="false">MONTH(INDEX('08_PEDIDOS'!$F$2:$F$97,MATCH(A272,'08_PEDIDOS'!$A$2:$A$97,0)))</f>
        <v>3</v>
      </c>
      <c r="L272" s="16" t="n">
        <f aca="false">J272*N(INDEX('04_MAQUINAS'!$F$2:$F$18,MATCH(E272,'04_MAQUINAS'!$A$2:$A$18,0)))</f>
        <v>41.4933333333333</v>
      </c>
      <c r="M272" s="17" t="n">
        <f aca="false">J272*INDEX('04_MAQUINAS'!$G$2:$G$18,MATCH(E272,'04_MAQUINAS'!$A$2:$A$18,0))*INDEX('04_MAQUINAS'!$H$2:$H$18,MATCH(E272,'04_MAQUINAS'!$A$2:$A$18,0))</f>
        <v>1.3615</v>
      </c>
      <c r="N272" s="2" t="s">
        <v>629</v>
      </c>
    </row>
    <row r="273" customFormat="false" ht="15" hidden="false" customHeight="false" outlineLevel="0" collapsed="false">
      <c r="A273" s="2" t="s">
        <v>547</v>
      </c>
      <c r="B273" s="2" t="s">
        <v>119</v>
      </c>
      <c r="C273" s="4" t="n">
        <v>7</v>
      </c>
      <c r="D273" s="2" t="s">
        <v>447</v>
      </c>
      <c r="E273" s="2" t="s">
        <v>421</v>
      </c>
      <c r="F273" s="5" t="n">
        <f aca="false">INDEX('08_PEDIDOS'!$D$2:$D$97,MATCH(A273,'08_PEDIDOS'!$A$2:$A$97,0))</f>
        <v>10</v>
      </c>
      <c r="G273" s="5" t="n">
        <f aca="false">INDEX('08_PEDIDOS'!$H$2:$H$97,MATCH(A273,'08_PEDIDOS'!$A$2:$A$97,0))</f>
        <v>10</v>
      </c>
      <c r="H273" s="17" t="n">
        <f aca="false">SUMIFS('05_RUTAS'!$F$2:$F$407,'05_RUTAS'!$A$2:$A$407,B273,'05_RUTAS'!$C$2:$C$407,C273)</f>
        <v>45</v>
      </c>
      <c r="I273" s="18" t="n">
        <f aca="false">SUMIFS('05_RUTAS'!$G$2:$G$407,'05_RUTAS'!$A$2:$A$407,B273,'05_RUTAS'!$C$2:$C$407,C273)</f>
        <v>0</v>
      </c>
      <c r="J273" s="18" t="n">
        <f aca="false">(ROUNDUP(F273/G273,0)*H273+F273*I273)/60</f>
        <v>0.75</v>
      </c>
      <c r="K273" s="5" t="n">
        <f aca="false">MONTH(INDEX('08_PEDIDOS'!$F$2:$F$97,MATCH(A273,'08_PEDIDOS'!$A$2:$A$97,0)))</f>
        <v>3</v>
      </c>
      <c r="L273" s="16" t="n">
        <f aca="false">J273*N(INDEX('04_MAQUINAS'!$F$2:$F$18,MATCH(E273,'04_MAQUINAS'!$A$2:$A$18,0)))</f>
        <v>19.5</v>
      </c>
      <c r="M273" s="17" t="n">
        <f aca="false">J273*INDEX('04_MAQUINAS'!$G$2:$G$18,MATCH(E273,'04_MAQUINAS'!$A$2:$A$18,0))*INDEX('04_MAQUINAS'!$H$2:$H$18,MATCH(E273,'04_MAQUINAS'!$A$2:$A$18,0))</f>
        <v>10.8</v>
      </c>
      <c r="N273" s="2" t="s">
        <v>629</v>
      </c>
    </row>
    <row r="274" customFormat="false" ht="15" hidden="false" customHeight="false" outlineLevel="0" collapsed="false">
      <c r="A274" s="2" t="s">
        <v>547</v>
      </c>
      <c r="B274" s="2" t="s">
        <v>119</v>
      </c>
      <c r="C274" s="4" t="n">
        <v>8</v>
      </c>
      <c r="D274" s="2" t="s">
        <v>449</v>
      </c>
      <c r="E274" s="2" t="s">
        <v>423</v>
      </c>
      <c r="F274" s="5" t="n">
        <f aca="false">INDEX('08_PEDIDOS'!$D$2:$D$97,MATCH(A274,'08_PEDIDOS'!$A$2:$A$97,0))</f>
        <v>10</v>
      </c>
      <c r="G274" s="5" t="n">
        <f aca="false">INDEX('08_PEDIDOS'!$H$2:$H$97,MATCH(A274,'08_PEDIDOS'!$A$2:$A$97,0))</f>
        <v>10</v>
      </c>
      <c r="H274" s="17" t="n">
        <f aca="false">SUMIFS('05_RUTAS'!$F$2:$F$407,'05_RUTAS'!$A$2:$A$407,B274,'05_RUTAS'!$C$2:$C$407,C274)</f>
        <v>8</v>
      </c>
      <c r="I274" s="18" t="n">
        <f aca="false">SUMIFS('05_RUTAS'!$G$2:$G$407,'05_RUTAS'!$A$2:$A$407,B274,'05_RUTAS'!$C$2:$C$407,C274)</f>
        <v>2.36</v>
      </c>
      <c r="J274" s="18" t="n">
        <f aca="false">(ROUNDUP(F274/G274,0)*H274+F274*I274)/60</f>
        <v>0.526666666666667</v>
      </c>
      <c r="K274" s="5" t="n">
        <f aca="false">MONTH(INDEX('08_PEDIDOS'!$F$2:$F$97,MATCH(A274,'08_PEDIDOS'!$A$2:$A$97,0)))</f>
        <v>3</v>
      </c>
      <c r="L274" s="16" t="n">
        <f aca="false">J274*N(INDEX('04_MAQUINAS'!$F$2:$F$18,MATCH(E274,'04_MAQUINAS'!$A$2:$A$18,0)))</f>
        <v>8.42666666666667</v>
      </c>
      <c r="M274" s="17" t="n">
        <f aca="false">J274*INDEX('04_MAQUINAS'!$G$2:$G$18,MATCH(E274,'04_MAQUINAS'!$A$2:$A$18,0))*INDEX('04_MAQUINAS'!$H$2:$H$18,MATCH(E274,'04_MAQUINAS'!$A$2:$A$18,0))</f>
        <v>0.131666666666667</v>
      </c>
      <c r="N274" s="2" t="s">
        <v>629</v>
      </c>
    </row>
    <row r="275" customFormat="false" ht="15" hidden="false" customHeight="false" outlineLevel="0" collapsed="false">
      <c r="A275" s="2" t="s">
        <v>547</v>
      </c>
      <c r="B275" s="2" t="s">
        <v>119</v>
      </c>
      <c r="C275" s="4" t="n">
        <v>9</v>
      </c>
      <c r="D275" s="2" t="s">
        <v>450</v>
      </c>
      <c r="E275" s="2" t="s">
        <v>406</v>
      </c>
      <c r="F275" s="5" t="n">
        <f aca="false">INDEX('08_PEDIDOS'!$D$2:$D$97,MATCH(A275,'08_PEDIDOS'!$A$2:$A$97,0))</f>
        <v>10</v>
      </c>
      <c r="G275" s="5" t="n">
        <f aca="false">INDEX('08_PEDIDOS'!$H$2:$H$97,MATCH(A275,'08_PEDIDOS'!$A$2:$A$97,0))</f>
        <v>10</v>
      </c>
      <c r="H275" s="17" t="n">
        <f aca="false">SUMIFS('05_RUTAS'!$F$2:$F$407,'05_RUTAS'!$A$2:$A$407,B275,'05_RUTAS'!$C$2:$C$407,C275)</f>
        <v>6</v>
      </c>
      <c r="I275" s="18" t="n">
        <f aca="false">SUMIFS('05_RUTAS'!$G$2:$G$407,'05_RUTAS'!$A$2:$A$407,B275,'05_RUTAS'!$C$2:$C$407,C275)</f>
        <v>27</v>
      </c>
      <c r="J275" s="18" t="n">
        <f aca="false">(ROUNDUP(F275/G275,0)*H275+F275*I275)/60</f>
        <v>4.6</v>
      </c>
      <c r="K275" s="5" t="n">
        <f aca="false">MONTH(INDEX('08_PEDIDOS'!$F$2:$F$97,MATCH(A275,'08_PEDIDOS'!$A$2:$A$97,0)))</f>
        <v>3</v>
      </c>
      <c r="L275" s="16" t="n">
        <f aca="false">J275*N(INDEX('04_MAQUINAS'!$F$2:$F$18,MATCH(E275,'04_MAQUINAS'!$A$2:$A$18,0)))</f>
        <v>87.4</v>
      </c>
      <c r="M275" s="17" t="n">
        <f aca="false">J275*INDEX('04_MAQUINAS'!$G$2:$G$18,MATCH(E275,'04_MAQUINAS'!$A$2:$A$18,0))*INDEX('04_MAQUINAS'!$H$2:$H$18,MATCH(E275,'04_MAQUINAS'!$A$2:$A$18,0))</f>
        <v>1.38</v>
      </c>
      <c r="N275" s="2" t="s">
        <v>629</v>
      </c>
    </row>
    <row r="276" customFormat="false" ht="15" hidden="false" customHeight="false" outlineLevel="0" collapsed="false">
      <c r="A276" s="2" t="s">
        <v>547</v>
      </c>
      <c r="B276" s="2" t="s">
        <v>119</v>
      </c>
      <c r="C276" s="4" t="n">
        <v>10</v>
      </c>
      <c r="D276" s="2" t="s">
        <v>451</v>
      </c>
      <c r="E276" s="2" t="s">
        <v>408</v>
      </c>
      <c r="F276" s="5" t="n">
        <f aca="false">INDEX('08_PEDIDOS'!$D$2:$D$97,MATCH(A276,'08_PEDIDOS'!$A$2:$A$97,0))</f>
        <v>10</v>
      </c>
      <c r="G276" s="5" t="n">
        <f aca="false">INDEX('08_PEDIDOS'!$H$2:$H$97,MATCH(A276,'08_PEDIDOS'!$A$2:$A$97,0))</f>
        <v>10</v>
      </c>
      <c r="H276" s="17" t="n">
        <f aca="false">SUMIFS('05_RUTAS'!$F$2:$F$407,'05_RUTAS'!$A$2:$A$407,B276,'05_RUTAS'!$C$2:$C$407,C276)</f>
        <v>2</v>
      </c>
      <c r="I276" s="18" t="n">
        <f aca="false">SUMIFS('05_RUTAS'!$G$2:$G$407,'05_RUTAS'!$A$2:$A$407,B276,'05_RUTAS'!$C$2:$C$407,C276)</f>
        <v>3.45</v>
      </c>
      <c r="J276" s="18" t="n">
        <f aca="false">(ROUNDUP(F276/G276,0)*H276+F276*I276)/60</f>
        <v>0.608333333333333</v>
      </c>
      <c r="K276" s="5" t="n">
        <f aca="false">MONTH(INDEX('08_PEDIDOS'!$F$2:$F$97,MATCH(A276,'08_PEDIDOS'!$A$2:$A$97,0)))</f>
        <v>3</v>
      </c>
      <c r="L276" s="16" t="n">
        <f aca="false">J276*N(INDEX('04_MAQUINAS'!$F$2:$F$18,MATCH(E276,'04_MAQUINAS'!$A$2:$A$18,0)))</f>
        <v>12.1666666666667</v>
      </c>
      <c r="M276" s="17" t="n">
        <f aca="false">J276*INDEX('04_MAQUINAS'!$G$2:$G$18,MATCH(E276,'04_MAQUINAS'!$A$2:$A$18,0))*INDEX('04_MAQUINAS'!$H$2:$H$18,MATCH(E276,'04_MAQUINAS'!$A$2:$A$18,0))</f>
        <v>0.0608333333333333</v>
      </c>
      <c r="N276" s="2" t="s">
        <v>629</v>
      </c>
    </row>
    <row r="277" customFormat="false" ht="15" hidden="false" customHeight="false" outlineLevel="0" collapsed="false">
      <c r="A277" s="2" t="s">
        <v>547</v>
      </c>
      <c r="B277" s="2" t="s">
        <v>119</v>
      </c>
      <c r="C277" s="4" t="n">
        <v>11</v>
      </c>
      <c r="D277" s="2" t="s">
        <v>452</v>
      </c>
      <c r="E277" s="2" t="s">
        <v>411</v>
      </c>
      <c r="F277" s="5" t="n">
        <f aca="false">INDEX('08_PEDIDOS'!$D$2:$D$97,MATCH(A277,'08_PEDIDOS'!$A$2:$A$97,0))</f>
        <v>10</v>
      </c>
      <c r="G277" s="5" t="n">
        <f aca="false">INDEX('08_PEDIDOS'!$H$2:$H$97,MATCH(A277,'08_PEDIDOS'!$A$2:$A$97,0))</f>
        <v>10</v>
      </c>
      <c r="H277" s="17" t="n">
        <f aca="false">SUMIFS('05_RUTAS'!$F$2:$F$407,'05_RUTAS'!$A$2:$A$407,B277,'05_RUTAS'!$C$2:$C$407,C277)</f>
        <v>2</v>
      </c>
      <c r="I277" s="18" t="n">
        <f aca="false">SUMIFS('05_RUTAS'!$G$2:$G$407,'05_RUTAS'!$A$2:$A$407,B277,'05_RUTAS'!$C$2:$C$407,C277)</f>
        <v>4.67</v>
      </c>
      <c r="J277" s="18" t="n">
        <f aca="false">(ROUNDUP(F277/G277,0)*H277+F277*I277)/60</f>
        <v>0.811666666666667</v>
      </c>
      <c r="K277" s="5" t="n">
        <f aca="false">MONTH(INDEX('08_PEDIDOS'!$F$2:$F$97,MATCH(A277,'08_PEDIDOS'!$A$2:$A$97,0)))</f>
        <v>3</v>
      </c>
      <c r="L277" s="16" t="n">
        <f aca="false">J277*N(INDEX('04_MAQUINAS'!$F$2:$F$18,MATCH(E277,'04_MAQUINAS'!$A$2:$A$18,0)))</f>
        <v>14.61</v>
      </c>
      <c r="M277" s="17" t="n">
        <f aca="false">J277*INDEX('04_MAQUINAS'!$G$2:$G$18,MATCH(E277,'04_MAQUINAS'!$A$2:$A$18,0))*INDEX('04_MAQUINAS'!$H$2:$H$18,MATCH(E277,'04_MAQUINAS'!$A$2:$A$18,0))</f>
        <v>0.07305</v>
      </c>
      <c r="N277" s="2" t="s">
        <v>629</v>
      </c>
    </row>
    <row r="278" customFormat="false" ht="15" hidden="false" customHeight="false" outlineLevel="0" collapsed="false">
      <c r="A278" s="2" t="s">
        <v>548</v>
      </c>
      <c r="B278" s="2" t="s">
        <v>121</v>
      </c>
      <c r="C278" s="4" t="n">
        <v>1</v>
      </c>
      <c r="D278" s="2" t="s">
        <v>437</v>
      </c>
      <c r="E278" s="2" t="s">
        <v>375</v>
      </c>
      <c r="F278" s="5" t="n">
        <f aca="false">INDEX('08_PEDIDOS'!$D$2:$D$97,MATCH(A278,'08_PEDIDOS'!$A$2:$A$97,0))</f>
        <v>10</v>
      </c>
      <c r="G278" s="5" t="n">
        <f aca="false">INDEX('08_PEDIDOS'!$H$2:$H$97,MATCH(A278,'08_PEDIDOS'!$A$2:$A$97,0))</f>
        <v>10</v>
      </c>
      <c r="H278" s="17" t="n">
        <f aca="false">SUMIFS('05_RUTAS'!$F$2:$F$407,'05_RUTAS'!$A$2:$A$407,B278,'05_RUTAS'!$C$2:$C$407,C278)</f>
        <v>8</v>
      </c>
      <c r="I278" s="18" t="n">
        <f aca="false">SUMIFS('05_RUTAS'!$G$2:$G$407,'05_RUTAS'!$A$2:$A$407,B278,'05_RUTAS'!$C$2:$C$407,C278)</f>
        <v>35.92</v>
      </c>
      <c r="J278" s="18" t="n">
        <f aca="false">(ROUNDUP(F278/G278,0)*H278+F278*I278)/60</f>
        <v>6.12</v>
      </c>
      <c r="K278" s="5" t="n">
        <f aca="false">MONTH(INDEX('08_PEDIDOS'!$F$2:$F$97,MATCH(A278,'08_PEDIDOS'!$A$2:$A$97,0)))</f>
        <v>3</v>
      </c>
      <c r="L278" s="16" t="n">
        <f aca="false">J278*N(INDEX('04_MAQUINAS'!$F$2:$F$18,MATCH(E278,'04_MAQUINAS'!$A$2:$A$18,0)))</f>
        <v>146.88</v>
      </c>
      <c r="M278" s="17" t="n">
        <f aca="false">J278*INDEX('04_MAQUINAS'!$G$2:$G$18,MATCH(E278,'04_MAQUINAS'!$A$2:$A$18,0))*INDEX('04_MAQUINAS'!$H$2:$H$18,MATCH(E278,'04_MAQUINAS'!$A$2:$A$18,0))</f>
        <v>16.83</v>
      </c>
      <c r="N278" s="2" t="s">
        <v>629</v>
      </c>
    </row>
    <row r="279" customFormat="false" ht="15" hidden="false" customHeight="false" outlineLevel="0" collapsed="false">
      <c r="A279" s="2" t="s">
        <v>548</v>
      </c>
      <c r="B279" s="2" t="s">
        <v>121</v>
      </c>
      <c r="C279" s="4" t="n">
        <v>2</v>
      </c>
      <c r="D279" s="2" t="s">
        <v>441</v>
      </c>
      <c r="E279" s="2" t="s">
        <v>380</v>
      </c>
      <c r="F279" s="5" t="n">
        <f aca="false">INDEX('08_PEDIDOS'!$D$2:$D$97,MATCH(A279,'08_PEDIDOS'!$A$2:$A$97,0))</f>
        <v>10</v>
      </c>
      <c r="G279" s="5" t="n">
        <f aca="false">INDEX('08_PEDIDOS'!$H$2:$H$97,MATCH(A279,'08_PEDIDOS'!$A$2:$A$97,0))</f>
        <v>10</v>
      </c>
      <c r="H279" s="17" t="n">
        <f aca="false">SUMIFS('05_RUTAS'!$F$2:$F$407,'05_RUTAS'!$A$2:$A$407,B279,'05_RUTAS'!$C$2:$C$407,C279)</f>
        <v>8</v>
      </c>
      <c r="I279" s="18" t="n">
        <f aca="false">SUMIFS('05_RUTAS'!$G$2:$G$407,'05_RUTAS'!$A$2:$A$407,B279,'05_RUTAS'!$C$2:$C$407,C279)</f>
        <v>32.28</v>
      </c>
      <c r="J279" s="18" t="n">
        <f aca="false">(ROUNDUP(F279/G279,0)*H279+F279*I279)/60</f>
        <v>5.51333333333333</v>
      </c>
      <c r="K279" s="5" t="n">
        <f aca="false">MONTH(INDEX('08_PEDIDOS'!$F$2:$F$97,MATCH(A279,'08_PEDIDOS'!$A$2:$A$97,0)))</f>
        <v>3</v>
      </c>
      <c r="L279" s="16" t="n">
        <f aca="false">J279*N(INDEX('04_MAQUINAS'!$F$2:$F$18,MATCH(E279,'04_MAQUINAS'!$A$2:$A$18,0)))</f>
        <v>121.293333333333</v>
      </c>
      <c r="M279" s="17" t="n">
        <f aca="false">J279*INDEX('04_MAQUINAS'!$G$2:$G$18,MATCH(E279,'04_MAQUINAS'!$A$2:$A$18,0))*INDEX('04_MAQUINAS'!$H$2:$H$18,MATCH(E279,'04_MAQUINAS'!$A$2:$A$18,0))</f>
        <v>2.481</v>
      </c>
      <c r="N279" s="2" t="s">
        <v>629</v>
      </c>
    </row>
    <row r="280" customFormat="false" ht="15" hidden="false" customHeight="false" outlineLevel="0" collapsed="false">
      <c r="A280" s="2" t="s">
        <v>548</v>
      </c>
      <c r="B280" s="2" t="s">
        <v>121</v>
      </c>
      <c r="C280" s="4" t="n">
        <v>3</v>
      </c>
      <c r="D280" s="2" t="s">
        <v>386</v>
      </c>
      <c r="E280" s="2" t="s">
        <v>383</v>
      </c>
      <c r="F280" s="5" t="n">
        <f aca="false">INDEX('08_PEDIDOS'!$D$2:$D$97,MATCH(A280,'08_PEDIDOS'!$A$2:$A$97,0))</f>
        <v>10</v>
      </c>
      <c r="G280" s="5" t="n">
        <f aca="false">INDEX('08_PEDIDOS'!$H$2:$H$97,MATCH(A280,'08_PEDIDOS'!$A$2:$A$97,0))</f>
        <v>10</v>
      </c>
      <c r="H280" s="17" t="n">
        <f aca="false">SUMIFS('05_RUTAS'!$F$2:$F$407,'05_RUTAS'!$A$2:$A$407,B280,'05_RUTAS'!$C$2:$C$407,C280)</f>
        <v>10</v>
      </c>
      <c r="I280" s="18" t="n">
        <f aca="false">SUMIFS('05_RUTAS'!$G$2:$G$407,'05_RUTAS'!$A$2:$A$407,B280,'05_RUTAS'!$C$2:$C$407,C280)</f>
        <v>54.8</v>
      </c>
      <c r="J280" s="18" t="n">
        <f aca="false">(ROUNDUP(F280/G280,0)*H280+F280*I280)/60</f>
        <v>9.3</v>
      </c>
      <c r="K280" s="5" t="n">
        <f aca="false">MONTH(INDEX('08_PEDIDOS'!$F$2:$F$97,MATCH(A280,'08_PEDIDOS'!$A$2:$A$97,0)))</f>
        <v>3</v>
      </c>
      <c r="L280" s="16" t="n">
        <f aca="false">J280*N(INDEX('04_MAQUINAS'!$F$2:$F$18,MATCH(E280,'04_MAQUINAS'!$A$2:$A$18,0)))</f>
        <v>204.6</v>
      </c>
      <c r="M280" s="17" t="n">
        <f aca="false">J280*INDEX('04_MAQUINAS'!$G$2:$G$18,MATCH(E280,'04_MAQUINAS'!$A$2:$A$18,0))*INDEX('04_MAQUINAS'!$H$2:$H$18,MATCH(E280,'04_MAQUINAS'!$A$2:$A$18,0))</f>
        <v>2.5575</v>
      </c>
      <c r="N280" s="2" t="s">
        <v>629</v>
      </c>
    </row>
    <row r="281" customFormat="false" ht="15" hidden="false" customHeight="false" outlineLevel="0" collapsed="false">
      <c r="A281" s="2" t="s">
        <v>548</v>
      </c>
      <c r="B281" s="2" t="s">
        <v>121</v>
      </c>
      <c r="C281" s="4" t="n">
        <v>4</v>
      </c>
      <c r="D281" s="2" t="s">
        <v>390</v>
      </c>
      <c r="E281" s="2" t="s">
        <v>387</v>
      </c>
      <c r="F281" s="5" t="n">
        <f aca="false">INDEX('08_PEDIDOS'!$D$2:$D$97,MATCH(A281,'08_PEDIDOS'!$A$2:$A$97,0))</f>
        <v>10</v>
      </c>
      <c r="G281" s="5" t="n">
        <f aca="false">INDEX('08_PEDIDOS'!$H$2:$H$97,MATCH(A281,'08_PEDIDOS'!$A$2:$A$97,0))</f>
        <v>10</v>
      </c>
      <c r="H281" s="17" t="n">
        <f aca="false">SUMIFS('05_RUTAS'!$F$2:$F$407,'05_RUTAS'!$A$2:$A$407,B281,'05_RUTAS'!$C$2:$C$407,C281)</f>
        <v>12</v>
      </c>
      <c r="I281" s="18" t="n">
        <f aca="false">SUMIFS('05_RUTAS'!$G$2:$G$407,'05_RUTAS'!$A$2:$A$407,B281,'05_RUTAS'!$C$2:$C$407,C281)</f>
        <v>85</v>
      </c>
      <c r="J281" s="18" t="n">
        <f aca="false">(ROUNDUP(F281/G281,0)*H281+F281*I281)/60</f>
        <v>14.3666666666667</v>
      </c>
      <c r="K281" s="5" t="n">
        <f aca="false">MONTH(INDEX('08_PEDIDOS'!$F$2:$F$97,MATCH(A281,'08_PEDIDOS'!$A$2:$A$97,0)))</f>
        <v>3</v>
      </c>
      <c r="L281" s="16" t="n">
        <f aca="false">J281*N(INDEX('04_MAQUINAS'!$F$2:$F$18,MATCH(E281,'04_MAQUINAS'!$A$2:$A$18,0)))</f>
        <v>402.266666666667</v>
      </c>
      <c r="M281" s="17" t="n">
        <f aca="false">J281*INDEX('04_MAQUINAS'!$G$2:$G$18,MATCH(E281,'04_MAQUINAS'!$A$2:$A$18,0))*INDEX('04_MAQUINAS'!$H$2:$H$18,MATCH(E281,'04_MAQUINAS'!$A$2:$A$18,0))</f>
        <v>35.5575</v>
      </c>
      <c r="N281" s="2" t="s">
        <v>629</v>
      </c>
    </row>
    <row r="282" customFormat="false" ht="15" hidden="false" customHeight="false" outlineLevel="0" collapsed="false">
      <c r="A282" s="2" t="s">
        <v>548</v>
      </c>
      <c r="B282" s="2" t="s">
        <v>121</v>
      </c>
      <c r="C282" s="4" t="n">
        <v>5</v>
      </c>
      <c r="D282" s="2" t="s">
        <v>443</v>
      </c>
      <c r="E282" s="2" t="s">
        <v>395</v>
      </c>
      <c r="F282" s="5" t="n">
        <f aca="false">INDEX('08_PEDIDOS'!$D$2:$D$97,MATCH(A282,'08_PEDIDOS'!$A$2:$A$97,0))</f>
        <v>10</v>
      </c>
      <c r="G282" s="5" t="n">
        <f aca="false">INDEX('08_PEDIDOS'!$H$2:$H$97,MATCH(A282,'08_PEDIDOS'!$A$2:$A$97,0))</f>
        <v>10</v>
      </c>
      <c r="H282" s="17" t="n">
        <f aca="false">SUMIFS('05_RUTAS'!$F$2:$F$407,'05_RUTAS'!$A$2:$A$407,B282,'05_RUTAS'!$C$2:$C$407,C282)</f>
        <v>3</v>
      </c>
      <c r="I282" s="18" t="n">
        <f aca="false">SUMIFS('05_RUTAS'!$G$2:$G$407,'05_RUTAS'!$A$2:$A$407,B282,'05_RUTAS'!$C$2:$C$407,C282)</f>
        <v>37.5</v>
      </c>
      <c r="J282" s="18" t="n">
        <f aca="false">(ROUNDUP(F282/G282,0)*H282+F282*I282)/60</f>
        <v>6.3</v>
      </c>
      <c r="K282" s="5" t="n">
        <f aca="false">MONTH(INDEX('08_PEDIDOS'!$F$2:$F$97,MATCH(A282,'08_PEDIDOS'!$A$2:$A$97,0)))</f>
        <v>3</v>
      </c>
      <c r="L282" s="16" t="n">
        <f aca="false">J282*N(INDEX('04_MAQUINAS'!$F$2:$F$18,MATCH(E282,'04_MAQUINAS'!$A$2:$A$18,0)))</f>
        <v>132.3</v>
      </c>
      <c r="M282" s="17" t="n">
        <f aca="false">J282*INDEX('04_MAQUINAS'!$G$2:$G$18,MATCH(E282,'04_MAQUINAS'!$A$2:$A$18,0))*INDEX('04_MAQUINAS'!$H$2:$H$18,MATCH(E282,'04_MAQUINAS'!$A$2:$A$18,0))</f>
        <v>4.725</v>
      </c>
      <c r="N282" s="2" t="s">
        <v>629</v>
      </c>
    </row>
    <row r="283" customFormat="false" ht="15" hidden="false" customHeight="false" outlineLevel="0" collapsed="false">
      <c r="A283" s="2" t="s">
        <v>548</v>
      </c>
      <c r="B283" s="2" t="s">
        <v>121</v>
      </c>
      <c r="C283" s="4" t="n">
        <v>6</v>
      </c>
      <c r="D283" s="2" t="s">
        <v>444</v>
      </c>
      <c r="E283" s="2" t="s">
        <v>399</v>
      </c>
      <c r="F283" s="5" t="n">
        <f aca="false">INDEX('08_PEDIDOS'!$D$2:$D$97,MATCH(A283,'08_PEDIDOS'!$A$2:$A$97,0))</f>
        <v>10</v>
      </c>
      <c r="G283" s="5" t="n">
        <f aca="false">INDEX('08_PEDIDOS'!$H$2:$H$97,MATCH(A283,'08_PEDIDOS'!$A$2:$A$97,0))</f>
        <v>10</v>
      </c>
      <c r="H283" s="17" t="n">
        <f aca="false">SUMIFS('05_RUTAS'!$F$2:$F$407,'05_RUTAS'!$A$2:$A$407,B283,'05_RUTAS'!$C$2:$C$407,C283)</f>
        <v>6</v>
      </c>
      <c r="I283" s="18" t="n">
        <f aca="false">SUMIFS('05_RUTAS'!$G$2:$G$407,'05_RUTAS'!$A$2:$A$407,B283,'05_RUTAS'!$C$2:$C$407,C283)</f>
        <v>24.4752</v>
      </c>
      <c r="J283" s="18" t="n">
        <f aca="false">(ROUNDUP(F283/G283,0)*H283+F283*I283)/60</f>
        <v>4.1792</v>
      </c>
      <c r="K283" s="5" t="n">
        <f aca="false">MONTH(INDEX('08_PEDIDOS'!$F$2:$F$97,MATCH(A283,'08_PEDIDOS'!$A$2:$A$97,0)))</f>
        <v>3</v>
      </c>
      <c r="L283" s="16" t="n">
        <f aca="false">J283*N(INDEX('04_MAQUINAS'!$F$2:$F$18,MATCH(E283,'04_MAQUINAS'!$A$2:$A$18,0)))</f>
        <v>79.4048</v>
      </c>
      <c r="M283" s="17" t="n">
        <f aca="false">J283*INDEX('04_MAQUINAS'!$G$2:$G$18,MATCH(E283,'04_MAQUINAS'!$A$2:$A$18,0))*INDEX('04_MAQUINAS'!$H$2:$H$18,MATCH(E283,'04_MAQUINAS'!$A$2:$A$18,0))</f>
        <v>3.677696</v>
      </c>
      <c r="N283" s="2" t="s">
        <v>629</v>
      </c>
    </row>
    <row r="284" customFormat="false" ht="15" hidden="false" customHeight="false" outlineLevel="0" collapsed="false">
      <c r="A284" s="2" t="s">
        <v>548</v>
      </c>
      <c r="B284" s="2" t="s">
        <v>121</v>
      </c>
      <c r="C284" s="4" t="n">
        <v>7</v>
      </c>
      <c r="D284" s="2" t="s">
        <v>445</v>
      </c>
      <c r="E284" s="2" t="s">
        <v>402</v>
      </c>
      <c r="F284" s="5" t="n">
        <f aca="false">INDEX('08_PEDIDOS'!$D$2:$D$97,MATCH(A284,'08_PEDIDOS'!$A$2:$A$97,0))</f>
        <v>10</v>
      </c>
      <c r="G284" s="5" t="n">
        <f aca="false">INDEX('08_PEDIDOS'!$H$2:$H$97,MATCH(A284,'08_PEDIDOS'!$A$2:$A$97,0))</f>
        <v>10</v>
      </c>
      <c r="H284" s="17" t="n">
        <f aca="false">SUMIFS('05_RUTAS'!$F$2:$F$407,'05_RUTAS'!$A$2:$A$407,B284,'05_RUTAS'!$C$2:$C$407,C284)</f>
        <v>12</v>
      </c>
      <c r="I284" s="18" t="n">
        <f aca="false">SUMIFS('05_RUTAS'!$G$2:$G$407,'05_RUTAS'!$A$2:$A$407,B284,'05_RUTAS'!$C$2:$C$407,C284)</f>
        <v>6.58</v>
      </c>
      <c r="J284" s="18" t="n">
        <f aca="false">(ROUNDUP(F284/G284,0)*H284+F284*I284)/60</f>
        <v>1.29666666666667</v>
      </c>
      <c r="K284" s="5" t="n">
        <f aca="false">MONTH(INDEX('08_PEDIDOS'!$F$2:$F$97,MATCH(A284,'08_PEDIDOS'!$A$2:$A$97,0)))</f>
        <v>3</v>
      </c>
      <c r="L284" s="16" t="n">
        <f aca="false">J284*N(INDEX('04_MAQUINAS'!$F$2:$F$18,MATCH(E284,'04_MAQUINAS'!$A$2:$A$18,0)))</f>
        <v>41.4933333333333</v>
      </c>
      <c r="M284" s="17" t="n">
        <f aca="false">J284*INDEX('04_MAQUINAS'!$G$2:$G$18,MATCH(E284,'04_MAQUINAS'!$A$2:$A$18,0))*INDEX('04_MAQUINAS'!$H$2:$H$18,MATCH(E284,'04_MAQUINAS'!$A$2:$A$18,0))</f>
        <v>1.3615</v>
      </c>
      <c r="N284" s="2" t="s">
        <v>629</v>
      </c>
    </row>
    <row r="285" customFormat="false" ht="15" hidden="false" customHeight="false" outlineLevel="0" collapsed="false">
      <c r="A285" s="2" t="s">
        <v>548</v>
      </c>
      <c r="B285" s="2" t="s">
        <v>121</v>
      </c>
      <c r="C285" s="4" t="n">
        <v>8</v>
      </c>
      <c r="D285" s="2" t="s">
        <v>447</v>
      </c>
      <c r="E285" s="2" t="s">
        <v>421</v>
      </c>
      <c r="F285" s="5" t="n">
        <f aca="false">INDEX('08_PEDIDOS'!$D$2:$D$97,MATCH(A285,'08_PEDIDOS'!$A$2:$A$97,0))</f>
        <v>10</v>
      </c>
      <c r="G285" s="5" t="n">
        <f aca="false">INDEX('08_PEDIDOS'!$H$2:$H$97,MATCH(A285,'08_PEDIDOS'!$A$2:$A$97,0))</f>
        <v>10</v>
      </c>
      <c r="H285" s="17" t="n">
        <f aca="false">SUMIFS('05_RUTAS'!$F$2:$F$407,'05_RUTAS'!$A$2:$A$407,B285,'05_RUTAS'!$C$2:$C$407,C285)</f>
        <v>45</v>
      </c>
      <c r="I285" s="18" t="n">
        <f aca="false">SUMIFS('05_RUTAS'!$G$2:$G$407,'05_RUTAS'!$A$2:$A$407,B285,'05_RUTAS'!$C$2:$C$407,C285)</f>
        <v>0</v>
      </c>
      <c r="J285" s="18" t="n">
        <f aca="false">(ROUNDUP(F285/G285,0)*H285+F285*I285)/60</f>
        <v>0.75</v>
      </c>
      <c r="K285" s="5" t="n">
        <f aca="false">MONTH(INDEX('08_PEDIDOS'!$F$2:$F$97,MATCH(A285,'08_PEDIDOS'!$A$2:$A$97,0)))</f>
        <v>3</v>
      </c>
      <c r="L285" s="16" t="n">
        <f aca="false">J285*N(INDEX('04_MAQUINAS'!$F$2:$F$18,MATCH(E285,'04_MAQUINAS'!$A$2:$A$18,0)))</f>
        <v>19.5</v>
      </c>
      <c r="M285" s="17" t="n">
        <f aca="false">J285*INDEX('04_MAQUINAS'!$G$2:$G$18,MATCH(E285,'04_MAQUINAS'!$A$2:$A$18,0))*INDEX('04_MAQUINAS'!$H$2:$H$18,MATCH(E285,'04_MAQUINAS'!$A$2:$A$18,0))</f>
        <v>10.8</v>
      </c>
      <c r="N285" s="2" t="s">
        <v>629</v>
      </c>
    </row>
    <row r="286" customFormat="false" ht="15" hidden="false" customHeight="false" outlineLevel="0" collapsed="false">
      <c r="A286" s="2" t="s">
        <v>548</v>
      </c>
      <c r="B286" s="2" t="s">
        <v>121</v>
      </c>
      <c r="C286" s="4" t="n">
        <v>9</v>
      </c>
      <c r="D286" s="2" t="s">
        <v>449</v>
      </c>
      <c r="E286" s="2" t="s">
        <v>423</v>
      </c>
      <c r="F286" s="5" t="n">
        <f aca="false">INDEX('08_PEDIDOS'!$D$2:$D$97,MATCH(A286,'08_PEDIDOS'!$A$2:$A$97,0))</f>
        <v>10</v>
      </c>
      <c r="G286" s="5" t="n">
        <f aca="false">INDEX('08_PEDIDOS'!$H$2:$H$97,MATCH(A286,'08_PEDIDOS'!$A$2:$A$97,0))</f>
        <v>10</v>
      </c>
      <c r="H286" s="17" t="n">
        <f aca="false">SUMIFS('05_RUTAS'!$F$2:$F$407,'05_RUTAS'!$A$2:$A$407,B286,'05_RUTAS'!$C$2:$C$407,C286)</f>
        <v>8</v>
      </c>
      <c r="I286" s="18" t="n">
        <f aca="false">SUMIFS('05_RUTAS'!$G$2:$G$407,'05_RUTAS'!$A$2:$A$407,B286,'05_RUTAS'!$C$2:$C$407,C286)</f>
        <v>2.36</v>
      </c>
      <c r="J286" s="18" t="n">
        <f aca="false">(ROUNDUP(F286/G286,0)*H286+F286*I286)/60</f>
        <v>0.526666666666667</v>
      </c>
      <c r="K286" s="5" t="n">
        <f aca="false">MONTH(INDEX('08_PEDIDOS'!$F$2:$F$97,MATCH(A286,'08_PEDIDOS'!$A$2:$A$97,0)))</f>
        <v>3</v>
      </c>
      <c r="L286" s="16" t="n">
        <f aca="false">J286*N(INDEX('04_MAQUINAS'!$F$2:$F$18,MATCH(E286,'04_MAQUINAS'!$A$2:$A$18,0)))</f>
        <v>8.42666666666667</v>
      </c>
      <c r="M286" s="17" t="n">
        <f aca="false">J286*INDEX('04_MAQUINAS'!$G$2:$G$18,MATCH(E286,'04_MAQUINAS'!$A$2:$A$18,0))*INDEX('04_MAQUINAS'!$H$2:$H$18,MATCH(E286,'04_MAQUINAS'!$A$2:$A$18,0))</f>
        <v>0.131666666666667</v>
      </c>
      <c r="N286" s="2" t="s">
        <v>629</v>
      </c>
    </row>
    <row r="287" customFormat="false" ht="15" hidden="false" customHeight="false" outlineLevel="0" collapsed="false">
      <c r="A287" s="2" t="s">
        <v>548</v>
      </c>
      <c r="B287" s="2" t="s">
        <v>121</v>
      </c>
      <c r="C287" s="4" t="n">
        <v>10</v>
      </c>
      <c r="D287" s="2" t="s">
        <v>450</v>
      </c>
      <c r="E287" s="2" t="s">
        <v>406</v>
      </c>
      <c r="F287" s="5" t="n">
        <f aca="false">INDEX('08_PEDIDOS'!$D$2:$D$97,MATCH(A287,'08_PEDIDOS'!$A$2:$A$97,0))</f>
        <v>10</v>
      </c>
      <c r="G287" s="5" t="n">
        <f aca="false">INDEX('08_PEDIDOS'!$H$2:$H$97,MATCH(A287,'08_PEDIDOS'!$A$2:$A$97,0))</f>
        <v>10</v>
      </c>
      <c r="H287" s="17" t="n">
        <f aca="false">SUMIFS('05_RUTAS'!$F$2:$F$407,'05_RUTAS'!$A$2:$A$407,B287,'05_RUTAS'!$C$2:$C$407,C287)</f>
        <v>6</v>
      </c>
      <c r="I287" s="18" t="n">
        <f aca="false">SUMIFS('05_RUTAS'!$G$2:$G$407,'05_RUTAS'!$A$2:$A$407,B287,'05_RUTAS'!$C$2:$C$407,C287)</f>
        <v>61.5</v>
      </c>
      <c r="J287" s="18" t="n">
        <f aca="false">(ROUNDUP(F287/G287,0)*H287+F287*I287)/60</f>
        <v>10.35</v>
      </c>
      <c r="K287" s="5" t="n">
        <f aca="false">MONTH(INDEX('08_PEDIDOS'!$F$2:$F$97,MATCH(A287,'08_PEDIDOS'!$A$2:$A$97,0)))</f>
        <v>3</v>
      </c>
      <c r="L287" s="16" t="n">
        <f aca="false">J287*N(INDEX('04_MAQUINAS'!$F$2:$F$18,MATCH(E287,'04_MAQUINAS'!$A$2:$A$18,0)))</f>
        <v>196.65</v>
      </c>
      <c r="M287" s="17" t="n">
        <f aca="false">J287*INDEX('04_MAQUINAS'!$G$2:$G$18,MATCH(E287,'04_MAQUINAS'!$A$2:$A$18,0))*INDEX('04_MAQUINAS'!$H$2:$H$18,MATCH(E287,'04_MAQUINAS'!$A$2:$A$18,0))</f>
        <v>3.105</v>
      </c>
      <c r="N287" s="2" t="s">
        <v>629</v>
      </c>
    </row>
    <row r="288" customFormat="false" ht="15" hidden="false" customHeight="false" outlineLevel="0" collapsed="false">
      <c r="A288" s="2" t="s">
        <v>548</v>
      </c>
      <c r="B288" s="2" t="s">
        <v>121</v>
      </c>
      <c r="C288" s="4" t="n">
        <v>11</v>
      </c>
      <c r="D288" s="2" t="s">
        <v>451</v>
      </c>
      <c r="E288" s="2" t="s">
        <v>408</v>
      </c>
      <c r="F288" s="5" t="n">
        <f aca="false">INDEX('08_PEDIDOS'!$D$2:$D$97,MATCH(A288,'08_PEDIDOS'!$A$2:$A$97,0))</f>
        <v>10</v>
      </c>
      <c r="G288" s="5" t="n">
        <f aca="false">INDEX('08_PEDIDOS'!$H$2:$H$97,MATCH(A288,'08_PEDIDOS'!$A$2:$A$97,0))</f>
        <v>10</v>
      </c>
      <c r="H288" s="17" t="n">
        <f aca="false">SUMIFS('05_RUTAS'!$F$2:$F$407,'05_RUTAS'!$A$2:$A$407,B288,'05_RUTAS'!$C$2:$C$407,C288)</f>
        <v>2</v>
      </c>
      <c r="I288" s="18" t="n">
        <f aca="false">SUMIFS('05_RUTAS'!$G$2:$G$407,'05_RUTAS'!$A$2:$A$407,B288,'05_RUTAS'!$C$2:$C$407,C288)</f>
        <v>3.45</v>
      </c>
      <c r="J288" s="18" t="n">
        <f aca="false">(ROUNDUP(F288/G288,0)*H288+F288*I288)/60</f>
        <v>0.608333333333333</v>
      </c>
      <c r="K288" s="5" t="n">
        <f aca="false">MONTH(INDEX('08_PEDIDOS'!$F$2:$F$97,MATCH(A288,'08_PEDIDOS'!$A$2:$A$97,0)))</f>
        <v>3</v>
      </c>
      <c r="L288" s="16" t="n">
        <f aca="false">J288*N(INDEX('04_MAQUINAS'!$F$2:$F$18,MATCH(E288,'04_MAQUINAS'!$A$2:$A$18,0)))</f>
        <v>12.1666666666667</v>
      </c>
      <c r="M288" s="17" t="n">
        <f aca="false">J288*INDEX('04_MAQUINAS'!$G$2:$G$18,MATCH(E288,'04_MAQUINAS'!$A$2:$A$18,0))*INDEX('04_MAQUINAS'!$H$2:$H$18,MATCH(E288,'04_MAQUINAS'!$A$2:$A$18,0))</f>
        <v>0.0608333333333333</v>
      </c>
      <c r="N288" s="2" t="s">
        <v>629</v>
      </c>
    </row>
    <row r="289" customFormat="false" ht="15" hidden="false" customHeight="false" outlineLevel="0" collapsed="false">
      <c r="A289" s="2" t="s">
        <v>548</v>
      </c>
      <c r="B289" s="2" t="s">
        <v>121</v>
      </c>
      <c r="C289" s="4" t="n">
        <v>12</v>
      </c>
      <c r="D289" s="2" t="s">
        <v>452</v>
      </c>
      <c r="E289" s="2" t="s">
        <v>411</v>
      </c>
      <c r="F289" s="5" t="n">
        <f aca="false">INDEX('08_PEDIDOS'!$D$2:$D$97,MATCH(A289,'08_PEDIDOS'!$A$2:$A$97,0))</f>
        <v>10</v>
      </c>
      <c r="G289" s="5" t="n">
        <f aca="false">INDEX('08_PEDIDOS'!$H$2:$H$97,MATCH(A289,'08_PEDIDOS'!$A$2:$A$97,0))</f>
        <v>10</v>
      </c>
      <c r="H289" s="17" t="n">
        <f aca="false">SUMIFS('05_RUTAS'!$F$2:$F$407,'05_RUTAS'!$A$2:$A$407,B289,'05_RUTAS'!$C$2:$C$407,C289)</f>
        <v>2</v>
      </c>
      <c r="I289" s="18" t="n">
        <f aca="false">SUMIFS('05_RUTAS'!$G$2:$G$407,'05_RUTAS'!$A$2:$A$407,B289,'05_RUTAS'!$C$2:$C$407,C289)</f>
        <v>4.67</v>
      </c>
      <c r="J289" s="18" t="n">
        <f aca="false">(ROUNDUP(F289/G289,0)*H289+F289*I289)/60</f>
        <v>0.811666666666667</v>
      </c>
      <c r="K289" s="5" t="n">
        <f aca="false">MONTH(INDEX('08_PEDIDOS'!$F$2:$F$97,MATCH(A289,'08_PEDIDOS'!$A$2:$A$97,0)))</f>
        <v>3</v>
      </c>
      <c r="L289" s="16" t="n">
        <f aca="false">J289*N(INDEX('04_MAQUINAS'!$F$2:$F$18,MATCH(E289,'04_MAQUINAS'!$A$2:$A$18,0)))</f>
        <v>14.61</v>
      </c>
      <c r="M289" s="17" t="n">
        <f aca="false">J289*INDEX('04_MAQUINAS'!$G$2:$G$18,MATCH(E289,'04_MAQUINAS'!$A$2:$A$18,0))*INDEX('04_MAQUINAS'!$H$2:$H$18,MATCH(E289,'04_MAQUINAS'!$A$2:$A$18,0))</f>
        <v>0.07305</v>
      </c>
      <c r="N289" s="2" t="s">
        <v>629</v>
      </c>
    </row>
    <row r="290" customFormat="false" ht="15" hidden="false" customHeight="false" outlineLevel="0" collapsed="false">
      <c r="A290" s="2" t="s">
        <v>549</v>
      </c>
      <c r="B290" s="2" t="s">
        <v>80</v>
      </c>
      <c r="C290" s="4" t="n">
        <v>1</v>
      </c>
      <c r="D290" s="2" t="s">
        <v>437</v>
      </c>
      <c r="E290" s="2" t="s">
        <v>375</v>
      </c>
      <c r="F290" s="5" t="n">
        <f aca="false">INDEX('08_PEDIDOS'!$D$2:$D$97,MATCH(A290,'08_PEDIDOS'!$A$2:$A$97,0))</f>
        <v>12</v>
      </c>
      <c r="G290" s="5" t="n">
        <f aca="false">INDEX('08_PEDIDOS'!$H$2:$H$97,MATCH(A290,'08_PEDIDOS'!$A$2:$A$97,0))</f>
        <v>10</v>
      </c>
      <c r="H290" s="17" t="n">
        <f aca="false">SUMIFS('05_RUTAS'!$F$2:$F$407,'05_RUTAS'!$A$2:$A$407,B290,'05_RUTAS'!$C$2:$C$407,C290)</f>
        <v>8</v>
      </c>
      <c r="I290" s="18" t="n">
        <f aca="false">SUMIFS('05_RUTAS'!$G$2:$G$407,'05_RUTAS'!$A$2:$A$407,B290,'05_RUTAS'!$C$2:$C$407,C290)</f>
        <v>34.62</v>
      </c>
      <c r="J290" s="18" t="n">
        <f aca="false">(ROUNDUP(F290/G290,0)*H290+F290*I290)/60</f>
        <v>7.19066666666667</v>
      </c>
      <c r="K290" s="5" t="n">
        <f aca="false">MONTH(INDEX('08_PEDIDOS'!$F$2:$F$97,MATCH(A290,'08_PEDIDOS'!$A$2:$A$97,0)))</f>
        <v>4</v>
      </c>
      <c r="L290" s="16" t="n">
        <f aca="false">J290*N(INDEX('04_MAQUINAS'!$F$2:$F$18,MATCH(E290,'04_MAQUINAS'!$A$2:$A$18,0)))</f>
        <v>172.576</v>
      </c>
      <c r="M290" s="17" t="n">
        <f aca="false">J290*INDEX('04_MAQUINAS'!$G$2:$G$18,MATCH(E290,'04_MAQUINAS'!$A$2:$A$18,0))*INDEX('04_MAQUINAS'!$H$2:$H$18,MATCH(E290,'04_MAQUINAS'!$A$2:$A$18,0))</f>
        <v>19.7743333333333</v>
      </c>
      <c r="N290" s="2" t="s">
        <v>629</v>
      </c>
    </row>
    <row r="291" customFormat="false" ht="15" hidden="false" customHeight="false" outlineLevel="0" collapsed="false">
      <c r="A291" s="2" t="s">
        <v>549</v>
      </c>
      <c r="B291" s="2" t="s">
        <v>80</v>
      </c>
      <c r="C291" s="4" t="n">
        <v>2</v>
      </c>
      <c r="D291" s="2" t="s">
        <v>441</v>
      </c>
      <c r="E291" s="2" t="s">
        <v>380</v>
      </c>
      <c r="F291" s="5" t="n">
        <f aca="false">INDEX('08_PEDIDOS'!$D$2:$D$97,MATCH(A291,'08_PEDIDOS'!$A$2:$A$97,0))</f>
        <v>12</v>
      </c>
      <c r="G291" s="5" t="n">
        <f aca="false">INDEX('08_PEDIDOS'!$H$2:$H$97,MATCH(A291,'08_PEDIDOS'!$A$2:$A$97,0))</f>
        <v>10</v>
      </c>
      <c r="H291" s="17" t="n">
        <f aca="false">SUMIFS('05_RUTAS'!$F$2:$F$407,'05_RUTAS'!$A$2:$A$407,B291,'05_RUTAS'!$C$2:$C$407,C291)</f>
        <v>8</v>
      </c>
      <c r="I291" s="18" t="n">
        <f aca="false">SUMIFS('05_RUTAS'!$G$2:$G$407,'05_RUTAS'!$A$2:$A$407,B291,'05_RUTAS'!$C$2:$C$407,C291)</f>
        <v>43.52</v>
      </c>
      <c r="J291" s="18" t="n">
        <f aca="false">(ROUNDUP(F291/G291,0)*H291+F291*I291)/60</f>
        <v>8.97066666666667</v>
      </c>
      <c r="K291" s="5" t="n">
        <f aca="false">MONTH(INDEX('08_PEDIDOS'!$F$2:$F$97,MATCH(A291,'08_PEDIDOS'!$A$2:$A$97,0)))</f>
        <v>4</v>
      </c>
      <c r="L291" s="16" t="n">
        <f aca="false">J291*N(INDEX('04_MAQUINAS'!$F$2:$F$18,MATCH(E291,'04_MAQUINAS'!$A$2:$A$18,0)))</f>
        <v>197.354666666667</v>
      </c>
      <c r="M291" s="17" t="n">
        <f aca="false">J291*INDEX('04_MAQUINAS'!$G$2:$G$18,MATCH(E291,'04_MAQUINAS'!$A$2:$A$18,0))*INDEX('04_MAQUINAS'!$H$2:$H$18,MATCH(E291,'04_MAQUINAS'!$A$2:$A$18,0))</f>
        <v>4.0368</v>
      </c>
      <c r="N291" s="2" t="s">
        <v>629</v>
      </c>
    </row>
    <row r="292" customFormat="false" ht="15" hidden="false" customHeight="false" outlineLevel="0" collapsed="false">
      <c r="A292" s="2" t="s">
        <v>549</v>
      </c>
      <c r="B292" s="2" t="s">
        <v>80</v>
      </c>
      <c r="C292" s="4" t="n">
        <v>3</v>
      </c>
      <c r="D292" s="2" t="s">
        <v>386</v>
      </c>
      <c r="E292" s="2" t="s">
        <v>383</v>
      </c>
      <c r="F292" s="5" t="n">
        <f aca="false">INDEX('08_PEDIDOS'!$D$2:$D$97,MATCH(A292,'08_PEDIDOS'!$A$2:$A$97,0))</f>
        <v>12</v>
      </c>
      <c r="G292" s="5" t="n">
        <f aca="false">INDEX('08_PEDIDOS'!$H$2:$H$97,MATCH(A292,'08_PEDIDOS'!$A$2:$A$97,0))</f>
        <v>10</v>
      </c>
      <c r="H292" s="17" t="n">
        <f aca="false">SUMIFS('05_RUTAS'!$F$2:$F$407,'05_RUTAS'!$A$2:$A$407,B292,'05_RUTAS'!$C$2:$C$407,C292)</f>
        <v>10</v>
      </c>
      <c r="I292" s="18" t="n">
        <f aca="false">SUMIFS('05_RUTAS'!$G$2:$G$407,'05_RUTAS'!$A$2:$A$407,B292,'05_RUTAS'!$C$2:$C$407,C292)</f>
        <v>63.2</v>
      </c>
      <c r="J292" s="18" t="n">
        <f aca="false">(ROUNDUP(F292/G292,0)*H292+F292*I292)/60</f>
        <v>12.9733333333333</v>
      </c>
      <c r="K292" s="5" t="n">
        <f aca="false">MONTH(INDEX('08_PEDIDOS'!$F$2:$F$97,MATCH(A292,'08_PEDIDOS'!$A$2:$A$97,0)))</f>
        <v>4</v>
      </c>
      <c r="L292" s="16" t="n">
        <f aca="false">J292*N(INDEX('04_MAQUINAS'!$F$2:$F$18,MATCH(E292,'04_MAQUINAS'!$A$2:$A$18,0)))</f>
        <v>285.413333333333</v>
      </c>
      <c r="M292" s="17" t="n">
        <f aca="false">J292*INDEX('04_MAQUINAS'!$G$2:$G$18,MATCH(E292,'04_MAQUINAS'!$A$2:$A$18,0))*INDEX('04_MAQUINAS'!$H$2:$H$18,MATCH(E292,'04_MAQUINAS'!$A$2:$A$18,0))</f>
        <v>3.56766666666667</v>
      </c>
      <c r="N292" s="2" t="s">
        <v>629</v>
      </c>
    </row>
    <row r="293" customFormat="false" ht="15" hidden="false" customHeight="false" outlineLevel="0" collapsed="false">
      <c r="A293" s="2" t="s">
        <v>549</v>
      </c>
      <c r="B293" s="2" t="s">
        <v>80</v>
      </c>
      <c r="C293" s="4" t="n">
        <v>4</v>
      </c>
      <c r="D293" s="2" t="s">
        <v>390</v>
      </c>
      <c r="E293" s="2" t="s">
        <v>387</v>
      </c>
      <c r="F293" s="5" t="n">
        <f aca="false">INDEX('08_PEDIDOS'!$D$2:$D$97,MATCH(A293,'08_PEDIDOS'!$A$2:$A$97,0))</f>
        <v>12</v>
      </c>
      <c r="G293" s="5" t="n">
        <f aca="false">INDEX('08_PEDIDOS'!$H$2:$H$97,MATCH(A293,'08_PEDIDOS'!$A$2:$A$97,0))</f>
        <v>10</v>
      </c>
      <c r="H293" s="17" t="n">
        <f aca="false">SUMIFS('05_RUTAS'!$F$2:$F$407,'05_RUTAS'!$A$2:$A$407,B293,'05_RUTAS'!$C$2:$C$407,C293)</f>
        <v>12</v>
      </c>
      <c r="I293" s="18" t="n">
        <f aca="false">SUMIFS('05_RUTAS'!$G$2:$G$407,'05_RUTAS'!$A$2:$A$407,B293,'05_RUTAS'!$C$2:$C$407,C293)</f>
        <v>60</v>
      </c>
      <c r="J293" s="18" t="n">
        <f aca="false">(ROUNDUP(F293/G293,0)*H293+F293*I293)/60</f>
        <v>12.4</v>
      </c>
      <c r="K293" s="5" t="n">
        <f aca="false">MONTH(INDEX('08_PEDIDOS'!$F$2:$F$97,MATCH(A293,'08_PEDIDOS'!$A$2:$A$97,0)))</f>
        <v>4</v>
      </c>
      <c r="L293" s="16" t="n">
        <f aca="false">J293*N(INDEX('04_MAQUINAS'!$F$2:$F$18,MATCH(E293,'04_MAQUINAS'!$A$2:$A$18,0)))</f>
        <v>347.2</v>
      </c>
      <c r="M293" s="17" t="n">
        <f aca="false">J293*INDEX('04_MAQUINAS'!$G$2:$G$18,MATCH(E293,'04_MAQUINAS'!$A$2:$A$18,0))*INDEX('04_MAQUINAS'!$H$2:$H$18,MATCH(E293,'04_MAQUINAS'!$A$2:$A$18,0))</f>
        <v>30.69</v>
      </c>
      <c r="N293" s="2" t="s">
        <v>629</v>
      </c>
    </row>
    <row r="294" customFormat="false" ht="15" hidden="false" customHeight="false" outlineLevel="0" collapsed="false">
      <c r="A294" s="2" t="s">
        <v>549</v>
      </c>
      <c r="B294" s="2" t="s">
        <v>80</v>
      </c>
      <c r="C294" s="4" t="n">
        <v>5</v>
      </c>
      <c r="D294" s="2" t="s">
        <v>442</v>
      </c>
      <c r="E294" s="2" t="s">
        <v>391</v>
      </c>
      <c r="F294" s="5" t="n">
        <f aca="false">INDEX('08_PEDIDOS'!$D$2:$D$97,MATCH(A294,'08_PEDIDOS'!$A$2:$A$97,0))</f>
        <v>12</v>
      </c>
      <c r="G294" s="5" t="n">
        <f aca="false">INDEX('08_PEDIDOS'!$H$2:$H$97,MATCH(A294,'08_PEDIDOS'!$A$2:$A$97,0))</f>
        <v>10</v>
      </c>
      <c r="H294" s="17" t="n">
        <f aca="false">SUMIFS('05_RUTAS'!$F$2:$F$407,'05_RUTAS'!$A$2:$A$407,B294,'05_RUTAS'!$C$2:$C$407,C294)</f>
        <v>10</v>
      </c>
      <c r="I294" s="18" t="n">
        <f aca="false">SUMIFS('05_RUTAS'!$G$2:$G$407,'05_RUTAS'!$A$2:$A$407,B294,'05_RUTAS'!$C$2:$C$407,C294)</f>
        <v>78.4</v>
      </c>
      <c r="J294" s="18" t="n">
        <f aca="false">(ROUNDUP(F294/G294,0)*H294+F294*I294)/60</f>
        <v>16.0133333333333</v>
      </c>
      <c r="K294" s="5" t="n">
        <f aca="false">MONTH(INDEX('08_PEDIDOS'!$F$2:$F$97,MATCH(A294,'08_PEDIDOS'!$A$2:$A$97,0)))</f>
        <v>4</v>
      </c>
      <c r="L294" s="16" t="n">
        <f aca="false">J294*N(INDEX('04_MAQUINAS'!$F$2:$F$18,MATCH(E294,'04_MAQUINAS'!$A$2:$A$18,0)))</f>
        <v>512.426666666667</v>
      </c>
      <c r="M294" s="17" t="n">
        <f aca="false">J294*INDEX('04_MAQUINAS'!$G$2:$G$18,MATCH(E294,'04_MAQUINAS'!$A$2:$A$18,0))*INDEX('04_MAQUINAS'!$H$2:$H$18,MATCH(E294,'04_MAQUINAS'!$A$2:$A$18,0))</f>
        <v>28.0233333333333</v>
      </c>
      <c r="N294" s="2" t="s">
        <v>629</v>
      </c>
    </row>
    <row r="295" customFormat="false" ht="15" hidden="false" customHeight="false" outlineLevel="0" collapsed="false">
      <c r="A295" s="2" t="s">
        <v>549</v>
      </c>
      <c r="B295" s="2" t="s">
        <v>80</v>
      </c>
      <c r="C295" s="4" t="n">
        <v>6</v>
      </c>
      <c r="D295" s="2" t="s">
        <v>443</v>
      </c>
      <c r="E295" s="2" t="s">
        <v>395</v>
      </c>
      <c r="F295" s="5" t="n">
        <f aca="false">INDEX('08_PEDIDOS'!$D$2:$D$97,MATCH(A295,'08_PEDIDOS'!$A$2:$A$97,0))</f>
        <v>12</v>
      </c>
      <c r="G295" s="5" t="n">
        <f aca="false">INDEX('08_PEDIDOS'!$H$2:$H$97,MATCH(A295,'08_PEDIDOS'!$A$2:$A$97,0))</f>
        <v>10</v>
      </c>
      <c r="H295" s="17" t="n">
        <f aca="false">SUMIFS('05_RUTAS'!$F$2:$F$407,'05_RUTAS'!$A$2:$A$407,B295,'05_RUTAS'!$C$2:$C$407,C295)</f>
        <v>3</v>
      </c>
      <c r="I295" s="18" t="n">
        <f aca="false">SUMIFS('05_RUTAS'!$G$2:$G$407,'05_RUTAS'!$A$2:$A$407,B295,'05_RUTAS'!$C$2:$C$407,C295)</f>
        <v>42</v>
      </c>
      <c r="J295" s="18" t="n">
        <f aca="false">(ROUNDUP(F295/G295,0)*H295+F295*I295)/60</f>
        <v>8.5</v>
      </c>
      <c r="K295" s="5" t="n">
        <f aca="false">MONTH(INDEX('08_PEDIDOS'!$F$2:$F$97,MATCH(A295,'08_PEDIDOS'!$A$2:$A$97,0)))</f>
        <v>4</v>
      </c>
      <c r="L295" s="16" t="n">
        <f aca="false">J295*N(INDEX('04_MAQUINAS'!$F$2:$F$18,MATCH(E295,'04_MAQUINAS'!$A$2:$A$18,0)))</f>
        <v>178.5</v>
      </c>
      <c r="M295" s="17" t="n">
        <f aca="false">J295*INDEX('04_MAQUINAS'!$G$2:$G$18,MATCH(E295,'04_MAQUINAS'!$A$2:$A$18,0))*INDEX('04_MAQUINAS'!$H$2:$H$18,MATCH(E295,'04_MAQUINAS'!$A$2:$A$18,0))</f>
        <v>6.375</v>
      </c>
      <c r="N295" s="2" t="s">
        <v>629</v>
      </c>
    </row>
    <row r="296" customFormat="false" ht="15" hidden="false" customHeight="false" outlineLevel="0" collapsed="false">
      <c r="A296" s="2" t="s">
        <v>549</v>
      </c>
      <c r="B296" s="2" t="s">
        <v>80</v>
      </c>
      <c r="C296" s="4" t="n">
        <v>7</v>
      </c>
      <c r="D296" s="2" t="s">
        <v>444</v>
      </c>
      <c r="E296" s="2" t="s">
        <v>399</v>
      </c>
      <c r="F296" s="5" t="n">
        <f aca="false">INDEX('08_PEDIDOS'!$D$2:$D$97,MATCH(A296,'08_PEDIDOS'!$A$2:$A$97,0))</f>
        <v>12</v>
      </c>
      <c r="G296" s="5" t="n">
        <f aca="false">INDEX('08_PEDIDOS'!$H$2:$H$97,MATCH(A296,'08_PEDIDOS'!$A$2:$A$97,0))</f>
        <v>10</v>
      </c>
      <c r="H296" s="17" t="n">
        <f aca="false">SUMIFS('05_RUTAS'!$F$2:$F$407,'05_RUTAS'!$A$2:$A$407,B296,'05_RUTAS'!$C$2:$C$407,C296)</f>
        <v>6</v>
      </c>
      <c r="I296" s="18" t="n">
        <f aca="false">SUMIFS('05_RUTAS'!$G$2:$G$407,'05_RUTAS'!$A$2:$A$407,B296,'05_RUTAS'!$C$2:$C$407,C296)</f>
        <v>29.7248</v>
      </c>
      <c r="J296" s="18" t="n">
        <f aca="false">(ROUNDUP(F296/G296,0)*H296+F296*I296)/60</f>
        <v>6.14496</v>
      </c>
      <c r="K296" s="5" t="n">
        <f aca="false">MONTH(INDEX('08_PEDIDOS'!$F$2:$F$97,MATCH(A296,'08_PEDIDOS'!$A$2:$A$97,0)))</f>
        <v>4</v>
      </c>
      <c r="L296" s="16" t="n">
        <f aca="false">J296*N(INDEX('04_MAQUINAS'!$F$2:$F$18,MATCH(E296,'04_MAQUINAS'!$A$2:$A$18,0)))</f>
        <v>116.75424</v>
      </c>
      <c r="M296" s="17" t="n">
        <f aca="false">J296*INDEX('04_MAQUINAS'!$G$2:$G$18,MATCH(E296,'04_MAQUINAS'!$A$2:$A$18,0))*INDEX('04_MAQUINAS'!$H$2:$H$18,MATCH(E296,'04_MAQUINAS'!$A$2:$A$18,0))</f>
        <v>5.4075648</v>
      </c>
      <c r="N296" s="2" t="s">
        <v>629</v>
      </c>
    </row>
    <row r="297" customFormat="false" ht="15" hidden="false" customHeight="false" outlineLevel="0" collapsed="false">
      <c r="A297" s="2" t="s">
        <v>549</v>
      </c>
      <c r="B297" s="2" t="s">
        <v>80</v>
      </c>
      <c r="C297" s="4" t="n">
        <v>8</v>
      </c>
      <c r="D297" s="2" t="s">
        <v>445</v>
      </c>
      <c r="E297" s="2" t="s">
        <v>402</v>
      </c>
      <c r="F297" s="5" t="n">
        <f aca="false">INDEX('08_PEDIDOS'!$D$2:$D$97,MATCH(A297,'08_PEDIDOS'!$A$2:$A$97,0))</f>
        <v>12</v>
      </c>
      <c r="G297" s="5" t="n">
        <f aca="false">INDEX('08_PEDIDOS'!$H$2:$H$97,MATCH(A297,'08_PEDIDOS'!$A$2:$A$97,0))</f>
        <v>10</v>
      </c>
      <c r="H297" s="17" t="n">
        <f aca="false">SUMIFS('05_RUTAS'!$F$2:$F$407,'05_RUTAS'!$A$2:$A$407,B297,'05_RUTAS'!$C$2:$C$407,C297)</f>
        <v>12</v>
      </c>
      <c r="I297" s="18" t="n">
        <f aca="false">SUMIFS('05_RUTAS'!$G$2:$G$407,'05_RUTAS'!$A$2:$A$407,B297,'05_RUTAS'!$C$2:$C$407,C297)</f>
        <v>8.02</v>
      </c>
      <c r="J297" s="18" t="n">
        <f aca="false">(ROUNDUP(F297/G297,0)*H297+F297*I297)/60</f>
        <v>2.004</v>
      </c>
      <c r="K297" s="5" t="n">
        <f aca="false">MONTH(INDEX('08_PEDIDOS'!$F$2:$F$97,MATCH(A297,'08_PEDIDOS'!$A$2:$A$97,0)))</f>
        <v>4</v>
      </c>
      <c r="L297" s="16" t="n">
        <f aca="false">J297*N(INDEX('04_MAQUINAS'!$F$2:$F$18,MATCH(E297,'04_MAQUINAS'!$A$2:$A$18,0)))</f>
        <v>64.128</v>
      </c>
      <c r="M297" s="17" t="n">
        <f aca="false">J297*INDEX('04_MAQUINAS'!$G$2:$G$18,MATCH(E297,'04_MAQUINAS'!$A$2:$A$18,0))*INDEX('04_MAQUINAS'!$H$2:$H$18,MATCH(E297,'04_MAQUINAS'!$A$2:$A$18,0))</f>
        <v>2.1042</v>
      </c>
      <c r="N297" s="2" t="s">
        <v>629</v>
      </c>
    </row>
    <row r="298" customFormat="false" ht="15" hidden="false" customHeight="false" outlineLevel="0" collapsed="false">
      <c r="A298" s="2" t="s">
        <v>549</v>
      </c>
      <c r="B298" s="2" t="s">
        <v>80</v>
      </c>
      <c r="C298" s="4" t="n">
        <v>9</v>
      </c>
      <c r="D298" s="2" t="s">
        <v>447</v>
      </c>
      <c r="E298" s="2" t="s">
        <v>421</v>
      </c>
      <c r="F298" s="5" t="n">
        <f aca="false">INDEX('08_PEDIDOS'!$D$2:$D$97,MATCH(A298,'08_PEDIDOS'!$A$2:$A$97,0))</f>
        <v>12</v>
      </c>
      <c r="G298" s="5" t="n">
        <f aca="false">INDEX('08_PEDIDOS'!$H$2:$H$97,MATCH(A298,'08_PEDIDOS'!$A$2:$A$97,0))</f>
        <v>10</v>
      </c>
      <c r="H298" s="17" t="n">
        <f aca="false">SUMIFS('05_RUTAS'!$F$2:$F$407,'05_RUTAS'!$A$2:$A$407,B298,'05_RUTAS'!$C$2:$C$407,C298)</f>
        <v>45</v>
      </c>
      <c r="I298" s="18" t="n">
        <f aca="false">SUMIFS('05_RUTAS'!$G$2:$G$407,'05_RUTAS'!$A$2:$A$407,B298,'05_RUTAS'!$C$2:$C$407,C298)</f>
        <v>0</v>
      </c>
      <c r="J298" s="18" t="n">
        <f aca="false">(ROUNDUP(F298/G298,0)*H298+F298*I298)/60</f>
        <v>1.5</v>
      </c>
      <c r="K298" s="5" t="n">
        <f aca="false">MONTH(INDEX('08_PEDIDOS'!$F$2:$F$97,MATCH(A298,'08_PEDIDOS'!$A$2:$A$97,0)))</f>
        <v>4</v>
      </c>
      <c r="L298" s="16" t="n">
        <f aca="false">J298*N(INDEX('04_MAQUINAS'!$F$2:$F$18,MATCH(E298,'04_MAQUINAS'!$A$2:$A$18,0)))</f>
        <v>39</v>
      </c>
      <c r="M298" s="17" t="n">
        <f aca="false">J298*INDEX('04_MAQUINAS'!$G$2:$G$18,MATCH(E298,'04_MAQUINAS'!$A$2:$A$18,0))*INDEX('04_MAQUINAS'!$H$2:$H$18,MATCH(E298,'04_MAQUINAS'!$A$2:$A$18,0))</f>
        <v>21.6</v>
      </c>
      <c r="N298" s="2" t="s">
        <v>629</v>
      </c>
    </row>
    <row r="299" customFormat="false" ht="15" hidden="false" customHeight="false" outlineLevel="0" collapsed="false">
      <c r="A299" s="2" t="s">
        <v>549</v>
      </c>
      <c r="B299" s="2" t="s">
        <v>80</v>
      </c>
      <c r="C299" s="4" t="n">
        <v>10</v>
      </c>
      <c r="D299" s="2" t="s">
        <v>449</v>
      </c>
      <c r="E299" s="2" t="s">
        <v>423</v>
      </c>
      <c r="F299" s="5" t="n">
        <f aca="false">INDEX('08_PEDIDOS'!$D$2:$D$97,MATCH(A299,'08_PEDIDOS'!$A$2:$A$97,0))</f>
        <v>12</v>
      </c>
      <c r="G299" s="5" t="n">
        <f aca="false">INDEX('08_PEDIDOS'!$H$2:$H$97,MATCH(A299,'08_PEDIDOS'!$A$2:$A$97,0))</f>
        <v>10</v>
      </c>
      <c r="H299" s="17" t="n">
        <f aca="false">SUMIFS('05_RUTAS'!$F$2:$F$407,'05_RUTAS'!$A$2:$A$407,B299,'05_RUTAS'!$C$2:$C$407,C299)</f>
        <v>8</v>
      </c>
      <c r="I299" s="18" t="n">
        <f aca="false">SUMIFS('05_RUTAS'!$G$2:$G$407,'05_RUTAS'!$A$2:$A$407,B299,'05_RUTAS'!$C$2:$C$407,C299)</f>
        <v>2.69</v>
      </c>
      <c r="J299" s="18" t="n">
        <f aca="false">(ROUNDUP(F299/G299,0)*H299+F299*I299)/60</f>
        <v>0.804666666666667</v>
      </c>
      <c r="K299" s="5" t="n">
        <f aca="false">MONTH(INDEX('08_PEDIDOS'!$F$2:$F$97,MATCH(A299,'08_PEDIDOS'!$A$2:$A$97,0)))</f>
        <v>4</v>
      </c>
      <c r="L299" s="16" t="n">
        <f aca="false">J299*N(INDEX('04_MAQUINAS'!$F$2:$F$18,MATCH(E299,'04_MAQUINAS'!$A$2:$A$18,0)))</f>
        <v>12.8746666666667</v>
      </c>
      <c r="M299" s="17" t="n">
        <f aca="false">J299*INDEX('04_MAQUINAS'!$G$2:$G$18,MATCH(E299,'04_MAQUINAS'!$A$2:$A$18,0))*INDEX('04_MAQUINAS'!$H$2:$H$18,MATCH(E299,'04_MAQUINAS'!$A$2:$A$18,0))</f>
        <v>0.201166666666667</v>
      </c>
      <c r="N299" s="2" t="s">
        <v>629</v>
      </c>
    </row>
    <row r="300" customFormat="false" ht="15" hidden="false" customHeight="false" outlineLevel="0" collapsed="false">
      <c r="A300" s="2" t="s">
        <v>549</v>
      </c>
      <c r="B300" s="2" t="s">
        <v>80</v>
      </c>
      <c r="C300" s="4" t="n">
        <v>11</v>
      </c>
      <c r="D300" s="2" t="s">
        <v>450</v>
      </c>
      <c r="E300" s="2" t="s">
        <v>406</v>
      </c>
      <c r="F300" s="5" t="n">
        <f aca="false">INDEX('08_PEDIDOS'!$D$2:$D$97,MATCH(A300,'08_PEDIDOS'!$A$2:$A$97,0))</f>
        <v>12</v>
      </c>
      <c r="G300" s="5" t="n">
        <f aca="false">INDEX('08_PEDIDOS'!$H$2:$H$97,MATCH(A300,'08_PEDIDOS'!$A$2:$A$97,0))</f>
        <v>10</v>
      </c>
      <c r="H300" s="17" t="n">
        <f aca="false">SUMIFS('05_RUTAS'!$F$2:$F$407,'05_RUTAS'!$A$2:$A$407,B300,'05_RUTAS'!$C$2:$C$407,C300)</f>
        <v>6</v>
      </c>
      <c r="I300" s="18" t="n">
        <f aca="false">SUMIFS('05_RUTAS'!$G$2:$G$407,'05_RUTAS'!$A$2:$A$407,B300,'05_RUTAS'!$C$2:$C$407,C300)</f>
        <v>60</v>
      </c>
      <c r="J300" s="18" t="n">
        <f aca="false">(ROUNDUP(F300/G300,0)*H300+F300*I300)/60</f>
        <v>12.2</v>
      </c>
      <c r="K300" s="5" t="n">
        <f aca="false">MONTH(INDEX('08_PEDIDOS'!$F$2:$F$97,MATCH(A300,'08_PEDIDOS'!$A$2:$A$97,0)))</f>
        <v>4</v>
      </c>
      <c r="L300" s="16" t="n">
        <f aca="false">J300*N(INDEX('04_MAQUINAS'!$F$2:$F$18,MATCH(E300,'04_MAQUINAS'!$A$2:$A$18,0)))</f>
        <v>231.8</v>
      </c>
      <c r="M300" s="17" t="n">
        <f aca="false">J300*INDEX('04_MAQUINAS'!$G$2:$G$18,MATCH(E300,'04_MAQUINAS'!$A$2:$A$18,0))*INDEX('04_MAQUINAS'!$H$2:$H$18,MATCH(E300,'04_MAQUINAS'!$A$2:$A$18,0))</f>
        <v>3.66</v>
      </c>
      <c r="N300" s="2" t="s">
        <v>629</v>
      </c>
    </row>
    <row r="301" customFormat="false" ht="15" hidden="false" customHeight="false" outlineLevel="0" collapsed="false">
      <c r="A301" s="2" t="s">
        <v>549</v>
      </c>
      <c r="B301" s="2" t="s">
        <v>80</v>
      </c>
      <c r="C301" s="4" t="n">
        <v>12</v>
      </c>
      <c r="D301" s="2" t="s">
        <v>451</v>
      </c>
      <c r="E301" s="2" t="s">
        <v>408</v>
      </c>
      <c r="F301" s="5" t="n">
        <f aca="false">INDEX('08_PEDIDOS'!$D$2:$D$97,MATCH(A301,'08_PEDIDOS'!$A$2:$A$97,0))</f>
        <v>12</v>
      </c>
      <c r="G301" s="5" t="n">
        <f aca="false">INDEX('08_PEDIDOS'!$H$2:$H$97,MATCH(A301,'08_PEDIDOS'!$A$2:$A$97,0))</f>
        <v>10</v>
      </c>
      <c r="H301" s="17" t="n">
        <f aca="false">SUMIFS('05_RUTAS'!$F$2:$F$407,'05_RUTAS'!$A$2:$A$407,B301,'05_RUTAS'!$C$2:$C$407,C301)</f>
        <v>2</v>
      </c>
      <c r="I301" s="18" t="n">
        <f aca="false">SUMIFS('05_RUTAS'!$G$2:$G$407,'05_RUTAS'!$A$2:$A$407,B301,'05_RUTAS'!$C$2:$C$407,C301)</f>
        <v>3.86</v>
      </c>
      <c r="J301" s="18" t="n">
        <f aca="false">(ROUNDUP(F301/G301,0)*H301+F301*I301)/60</f>
        <v>0.838666666666667</v>
      </c>
      <c r="K301" s="5" t="n">
        <f aca="false">MONTH(INDEX('08_PEDIDOS'!$F$2:$F$97,MATCH(A301,'08_PEDIDOS'!$A$2:$A$97,0)))</f>
        <v>4</v>
      </c>
      <c r="L301" s="16" t="n">
        <f aca="false">J301*N(INDEX('04_MAQUINAS'!$F$2:$F$18,MATCH(E301,'04_MAQUINAS'!$A$2:$A$18,0)))</f>
        <v>16.7733333333333</v>
      </c>
      <c r="M301" s="17" t="n">
        <f aca="false">J301*INDEX('04_MAQUINAS'!$G$2:$G$18,MATCH(E301,'04_MAQUINAS'!$A$2:$A$18,0))*INDEX('04_MAQUINAS'!$H$2:$H$18,MATCH(E301,'04_MAQUINAS'!$A$2:$A$18,0))</f>
        <v>0.0838666666666667</v>
      </c>
      <c r="N301" s="2" t="s">
        <v>629</v>
      </c>
    </row>
    <row r="302" customFormat="false" ht="15" hidden="false" customHeight="false" outlineLevel="0" collapsed="false">
      <c r="A302" s="2" t="s">
        <v>549</v>
      </c>
      <c r="B302" s="2" t="s">
        <v>80</v>
      </c>
      <c r="C302" s="4" t="n">
        <v>13</v>
      </c>
      <c r="D302" s="2" t="s">
        <v>452</v>
      </c>
      <c r="E302" s="2" t="s">
        <v>411</v>
      </c>
      <c r="F302" s="5" t="n">
        <f aca="false">INDEX('08_PEDIDOS'!$D$2:$D$97,MATCH(A302,'08_PEDIDOS'!$A$2:$A$97,0))</f>
        <v>12</v>
      </c>
      <c r="G302" s="5" t="n">
        <f aca="false">INDEX('08_PEDIDOS'!$H$2:$H$97,MATCH(A302,'08_PEDIDOS'!$A$2:$A$97,0))</f>
        <v>10</v>
      </c>
      <c r="H302" s="17" t="n">
        <f aca="false">SUMIFS('05_RUTAS'!$F$2:$F$407,'05_RUTAS'!$A$2:$A$407,B302,'05_RUTAS'!$C$2:$C$407,C302)</f>
        <v>2</v>
      </c>
      <c r="I302" s="18" t="n">
        <f aca="false">SUMIFS('05_RUTAS'!$G$2:$G$407,'05_RUTAS'!$A$2:$A$407,B302,'05_RUTAS'!$C$2:$C$407,C302)</f>
        <v>5.3</v>
      </c>
      <c r="J302" s="18" t="n">
        <f aca="false">(ROUNDUP(F302/G302,0)*H302+F302*I302)/60</f>
        <v>1.12666666666667</v>
      </c>
      <c r="K302" s="5" t="n">
        <f aca="false">MONTH(INDEX('08_PEDIDOS'!$F$2:$F$97,MATCH(A302,'08_PEDIDOS'!$A$2:$A$97,0)))</f>
        <v>4</v>
      </c>
      <c r="L302" s="16" t="n">
        <f aca="false">J302*N(INDEX('04_MAQUINAS'!$F$2:$F$18,MATCH(E302,'04_MAQUINAS'!$A$2:$A$18,0)))</f>
        <v>20.28</v>
      </c>
      <c r="M302" s="17" t="n">
        <f aca="false">J302*INDEX('04_MAQUINAS'!$G$2:$G$18,MATCH(E302,'04_MAQUINAS'!$A$2:$A$18,0))*INDEX('04_MAQUINAS'!$H$2:$H$18,MATCH(E302,'04_MAQUINAS'!$A$2:$A$18,0))</f>
        <v>0.1014</v>
      </c>
      <c r="N302" s="2" t="s">
        <v>629</v>
      </c>
    </row>
    <row r="303" customFormat="false" ht="15" hidden="false" customHeight="false" outlineLevel="0" collapsed="false">
      <c r="A303" s="2" t="s">
        <v>550</v>
      </c>
      <c r="B303" s="2" t="s">
        <v>83</v>
      </c>
      <c r="C303" s="4" t="n">
        <v>1</v>
      </c>
      <c r="D303" s="2" t="s">
        <v>437</v>
      </c>
      <c r="E303" s="2" t="s">
        <v>375</v>
      </c>
      <c r="F303" s="5" t="n">
        <f aca="false">INDEX('08_PEDIDOS'!$D$2:$D$97,MATCH(A303,'08_PEDIDOS'!$A$2:$A$97,0))</f>
        <v>12</v>
      </c>
      <c r="G303" s="5" t="n">
        <f aca="false">INDEX('08_PEDIDOS'!$H$2:$H$97,MATCH(A303,'08_PEDIDOS'!$A$2:$A$97,0))</f>
        <v>10</v>
      </c>
      <c r="H303" s="17" t="n">
        <f aca="false">SUMIFS('05_RUTAS'!$F$2:$F$407,'05_RUTAS'!$A$2:$A$407,B303,'05_RUTAS'!$C$2:$C$407,C303)</f>
        <v>8</v>
      </c>
      <c r="I303" s="18" t="n">
        <f aca="false">SUMIFS('05_RUTAS'!$G$2:$G$407,'05_RUTAS'!$A$2:$A$407,B303,'05_RUTAS'!$C$2:$C$407,C303)</f>
        <v>36.67</v>
      </c>
      <c r="J303" s="18" t="n">
        <f aca="false">(ROUNDUP(F303/G303,0)*H303+F303*I303)/60</f>
        <v>7.60066666666667</v>
      </c>
      <c r="K303" s="5" t="n">
        <f aca="false">MONTH(INDEX('08_PEDIDOS'!$F$2:$F$97,MATCH(A303,'08_PEDIDOS'!$A$2:$A$97,0)))</f>
        <v>4</v>
      </c>
      <c r="L303" s="16" t="n">
        <f aca="false">J303*N(INDEX('04_MAQUINAS'!$F$2:$F$18,MATCH(E303,'04_MAQUINAS'!$A$2:$A$18,0)))</f>
        <v>182.416</v>
      </c>
      <c r="M303" s="17" t="n">
        <f aca="false">J303*INDEX('04_MAQUINAS'!$G$2:$G$18,MATCH(E303,'04_MAQUINAS'!$A$2:$A$18,0))*INDEX('04_MAQUINAS'!$H$2:$H$18,MATCH(E303,'04_MAQUINAS'!$A$2:$A$18,0))</f>
        <v>20.9018333333333</v>
      </c>
      <c r="N303" s="2" t="s">
        <v>629</v>
      </c>
    </row>
    <row r="304" customFormat="false" ht="15" hidden="false" customHeight="false" outlineLevel="0" collapsed="false">
      <c r="A304" s="2" t="s">
        <v>550</v>
      </c>
      <c r="B304" s="2" t="s">
        <v>83</v>
      </c>
      <c r="C304" s="4" t="n">
        <v>2</v>
      </c>
      <c r="D304" s="2" t="s">
        <v>441</v>
      </c>
      <c r="E304" s="2" t="s">
        <v>380</v>
      </c>
      <c r="F304" s="5" t="n">
        <f aca="false">INDEX('08_PEDIDOS'!$D$2:$D$97,MATCH(A304,'08_PEDIDOS'!$A$2:$A$97,0))</f>
        <v>12</v>
      </c>
      <c r="G304" s="5" t="n">
        <f aca="false">INDEX('08_PEDIDOS'!$H$2:$H$97,MATCH(A304,'08_PEDIDOS'!$A$2:$A$97,0))</f>
        <v>10</v>
      </c>
      <c r="H304" s="17" t="n">
        <f aca="false">SUMIFS('05_RUTAS'!$F$2:$F$407,'05_RUTAS'!$A$2:$A$407,B304,'05_RUTAS'!$C$2:$C$407,C304)</f>
        <v>8</v>
      </c>
      <c r="I304" s="18" t="n">
        <f aca="false">SUMIFS('05_RUTAS'!$G$2:$G$407,'05_RUTAS'!$A$2:$A$407,B304,'05_RUTAS'!$C$2:$C$407,C304)</f>
        <v>52</v>
      </c>
      <c r="J304" s="18" t="n">
        <f aca="false">(ROUNDUP(F304/G304,0)*H304+F304*I304)/60</f>
        <v>10.6666666666667</v>
      </c>
      <c r="K304" s="5" t="n">
        <f aca="false">MONTH(INDEX('08_PEDIDOS'!$F$2:$F$97,MATCH(A304,'08_PEDIDOS'!$A$2:$A$97,0)))</f>
        <v>4</v>
      </c>
      <c r="L304" s="16" t="n">
        <f aca="false">J304*N(INDEX('04_MAQUINAS'!$F$2:$F$18,MATCH(E304,'04_MAQUINAS'!$A$2:$A$18,0)))</f>
        <v>234.666666666667</v>
      </c>
      <c r="M304" s="17" t="n">
        <f aca="false">J304*INDEX('04_MAQUINAS'!$G$2:$G$18,MATCH(E304,'04_MAQUINAS'!$A$2:$A$18,0))*INDEX('04_MAQUINAS'!$H$2:$H$18,MATCH(E304,'04_MAQUINAS'!$A$2:$A$18,0))</f>
        <v>4.8</v>
      </c>
      <c r="N304" s="2" t="s">
        <v>629</v>
      </c>
    </row>
    <row r="305" customFormat="false" ht="15" hidden="false" customHeight="false" outlineLevel="0" collapsed="false">
      <c r="A305" s="2" t="s">
        <v>550</v>
      </c>
      <c r="B305" s="2" t="s">
        <v>83</v>
      </c>
      <c r="C305" s="4" t="n">
        <v>3</v>
      </c>
      <c r="D305" s="2" t="s">
        <v>386</v>
      </c>
      <c r="E305" s="2" t="s">
        <v>383</v>
      </c>
      <c r="F305" s="5" t="n">
        <f aca="false">INDEX('08_PEDIDOS'!$D$2:$D$97,MATCH(A305,'08_PEDIDOS'!$A$2:$A$97,0))</f>
        <v>12</v>
      </c>
      <c r="G305" s="5" t="n">
        <f aca="false">INDEX('08_PEDIDOS'!$H$2:$H$97,MATCH(A305,'08_PEDIDOS'!$A$2:$A$97,0))</f>
        <v>10</v>
      </c>
      <c r="H305" s="17" t="n">
        <f aca="false">SUMIFS('05_RUTAS'!$F$2:$F$407,'05_RUTAS'!$A$2:$A$407,B305,'05_RUTAS'!$C$2:$C$407,C305)</f>
        <v>10</v>
      </c>
      <c r="I305" s="18" t="n">
        <f aca="false">SUMIFS('05_RUTAS'!$G$2:$G$407,'05_RUTAS'!$A$2:$A$407,B305,'05_RUTAS'!$C$2:$C$407,C305)</f>
        <v>82.1</v>
      </c>
      <c r="J305" s="18" t="n">
        <f aca="false">(ROUNDUP(F305/G305,0)*H305+F305*I305)/60</f>
        <v>16.7533333333333</v>
      </c>
      <c r="K305" s="5" t="n">
        <f aca="false">MONTH(INDEX('08_PEDIDOS'!$F$2:$F$97,MATCH(A305,'08_PEDIDOS'!$A$2:$A$97,0)))</f>
        <v>4</v>
      </c>
      <c r="L305" s="16" t="n">
        <f aca="false">J305*N(INDEX('04_MAQUINAS'!$F$2:$F$18,MATCH(E305,'04_MAQUINAS'!$A$2:$A$18,0)))</f>
        <v>368.573333333333</v>
      </c>
      <c r="M305" s="17" t="n">
        <f aca="false">J305*INDEX('04_MAQUINAS'!$G$2:$G$18,MATCH(E305,'04_MAQUINAS'!$A$2:$A$18,0))*INDEX('04_MAQUINAS'!$H$2:$H$18,MATCH(E305,'04_MAQUINAS'!$A$2:$A$18,0))</f>
        <v>4.60716666666667</v>
      </c>
      <c r="N305" s="2" t="s">
        <v>629</v>
      </c>
    </row>
    <row r="306" customFormat="false" ht="15" hidden="false" customHeight="false" outlineLevel="0" collapsed="false">
      <c r="A306" s="2" t="s">
        <v>550</v>
      </c>
      <c r="B306" s="2" t="s">
        <v>83</v>
      </c>
      <c r="C306" s="4" t="n">
        <v>4</v>
      </c>
      <c r="D306" s="2" t="s">
        <v>390</v>
      </c>
      <c r="E306" s="2" t="s">
        <v>387</v>
      </c>
      <c r="F306" s="5" t="n">
        <f aca="false">INDEX('08_PEDIDOS'!$D$2:$D$97,MATCH(A306,'08_PEDIDOS'!$A$2:$A$97,0))</f>
        <v>12</v>
      </c>
      <c r="G306" s="5" t="n">
        <f aca="false">INDEX('08_PEDIDOS'!$H$2:$H$97,MATCH(A306,'08_PEDIDOS'!$A$2:$A$97,0))</f>
        <v>10</v>
      </c>
      <c r="H306" s="17" t="n">
        <f aca="false">SUMIFS('05_RUTAS'!$F$2:$F$407,'05_RUTAS'!$A$2:$A$407,B306,'05_RUTAS'!$C$2:$C$407,C306)</f>
        <v>12</v>
      </c>
      <c r="I306" s="18" t="n">
        <f aca="false">SUMIFS('05_RUTAS'!$G$2:$G$407,'05_RUTAS'!$A$2:$A$407,B306,'05_RUTAS'!$C$2:$C$407,C306)</f>
        <v>69</v>
      </c>
      <c r="J306" s="18" t="n">
        <f aca="false">(ROUNDUP(F306/G306,0)*H306+F306*I306)/60</f>
        <v>14.2</v>
      </c>
      <c r="K306" s="5" t="n">
        <f aca="false">MONTH(INDEX('08_PEDIDOS'!$F$2:$F$97,MATCH(A306,'08_PEDIDOS'!$A$2:$A$97,0)))</f>
        <v>4</v>
      </c>
      <c r="L306" s="16" t="n">
        <f aca="false">J306*N(INDEX('04_MAQUINAS'!$F$2:$F$18,MATCH(E306,'04_MAQUINAS'!$A$2:$A$18,0)))</f>
        <v>397.6</v>
      </c>
      <c r="M306" s="17" t="n">
        <f aca="false">J306*INDEX('04_MAQUINAS'!$G$2:$G$18,MATCH(E306,'04_MAQUINAS'!$A$2:$A$18,0))*INDEX('04_MAQUINAS'!$H$2:$H$18,MATCH(E306,'04_MAQUINAS'!$A$2:$A$18,0))</f>
        <v>35.145</v>
      </c>
      <c r="N306" s="2" t="s">
        <v>629</v>
      </c>
    </row>
    <row r="307" customFormat="false" ht="15" hidden="false" customHeight="false" outlineLevel="0" collapsed="false">
      <c r="A307" s="2" t="s">
        <v>550</v>
      </c>
      <c r="B307" s="2" t="s">
        <v>83</v>
      </c>
      <c r="C307" s="4" t="n">
        <v>5</v>
      </c>
      <c r="D307" s="2" t="s">
        <v>442</v>
      </c>
      <c r="E307" s="2" t="s">
        <v>391</v>
      </c>
      <c r="F307" s="5" t="n">
        <f aca="false">INDEX('08_PEDIDOS'!$D$2:$D$97,MATCH(A307,'08_PEDIDOS'!$A$2:$A$97,0))</f>
        <v>12</v>
      </c>
      <c r="G307" s="5" t="n">
        <f aca="false">INDEX('08_PEDIDOS'!$H$2:$H$97,MATCH(A307,'08_PEDIDOS'!$A$2:$A$97,0))</f>
        <v>10</v>
      </c>
      <c r="H307" s="17" t="n">
        <f aca="false">SUMIFS('05_RUTAS'!$F$2:$F$407,'05_RUTAS'!$A$2:$A$407,B307,'05_RUTAS'!$C$2:$C$407,C307)</f>
        <v>10</v>
      </c>
      <c r="I307" s="18" t="n">
        <f aca="false">SUMIFS('05_RUTAS'!$G$2:$G$407,'05_RUTAS'!$A$2:$A$407,B307,'05_RUTAS'!$C$2:$C$407,C307)</f>
        <v>78.4</v>
      </c>
      <c r="J307" s="18" t="n">
        <f aca="false">(ROUNDUP(F307/G307,0)*H307+F307*I307)/60</f>
        <v>16.0133333333333</v>
      </c>
      <c r="K307" s="5" t="n">
        <f aca="false">MONTH(INDEX('08_PEDIDOS'!$F$2:$F$97,MATCH(A307,'08_PEDIDOS'!$A$2:$A$97,0)))</f>
        <v>4</v>
      </c>
      <c r="L307" s="16" t="n">
        <f aca="false">J307*N(INDEX('04_MAQUINAS'!$F$2:$F$18,MATCH(E307,'04_MAQUINAS'!$A$2:$A$18,0)))</f>
        <v>512.426666666667</v>
      </c>
      <c r="M307" s="17" t="n">
        <f aca="false">J307*INDEX('04_MAQUINAS'!$G$2:$G$18,MATCH(E307,'04_MAQUINAS'!$A$2:$A$18,0))*INDEX('04_MAQUINAS'!$H$2:$H$18,MATCH(E307,'04_MAQUINAS'!$A$2:$A$18,0))</f>
        <v>28.0233333333333</v>
      </c>
      <c r="N307" s="2" t="s">
        <v>629</v>
      </c>
    </row>
    <row r="308" customFormat="false" ht="15" hidden="false" customHeight="false" outlineLevel="0" collapsed="false">
      <c r="A308" s="2" t="s">
        <v>550</v>
      </c>
      <c r="B308" s="2" t="s">
        <v>83</v>
      </c>
      <c r="C308" s="4" t="n">
        <v>6</v>
      </c>
      <c r="D308" s="2" t="s">
        <v>443</v>
      </c>
      <c r="E308" s="2" t="s">
        <v>395</v>
      </c>
      <c r="F308" s="5" t="n">
        <f aca="false">INDEX('08_PEDIDOS'!$D$2:$D$97,MATCH(A308,'08_PEDIDOS'!$A$2:$A$97,0))</f>
        <v>12</v>
      </c>
      <c r="G308" s="5" t="n">
        <f aca="false">INDEX('08_PEDIDOS'!$H$2:$H$97,MATCH(A308,'08_PEDIDOS'!$A$2:$A$97,0))</f>
        <v>10</v>
      </c>
      <c r="H308" s="17" t="n">
        <f aca="false">SUMIFS('05_RUTAS'!$F$2:$F$407,'05_RUTAS'!$A$2:$A$407,B308,'05_RUTAS'!$C$2:$C$407,C308)</f>
        <v>3</v>
      </c>
      <c r="I308" s="18" t="n">
        <f aca="false">SUMIFS('05_RUTAS'!$G$2:$G$407,'05_RUTAS'!$A$2:$A$407,B308,'05_RUTAS'!$C$2:$C$407,C308)</f>
        <v>49.5</v>
      </c>
      <c r="J308" s="18" t="n">
        <f aca="false">(ROUNDUP(F308/G308,0)*H308+F308*I308)/60</f>
        <v>10</v>
      </c>
      <c r="K308" s="5" t="n">
        <f aca="false">MONTH(INDEX('08_PEDIDOS'!$F$2:$F$97,MATCH(A308,'08_PEDIDOS'!$A$2:$A$97,0)))</f>
        <v>4</v>
      </c>
      <c r="L308" s="16" t="n">
        <f aca="false">J308*N(INDEX('04_MAQUINAS'!$F$2:$F$18,MATCH(E308,'04_MAQUINAS'!$A$2:$A$18,0)))</f>
        <v>210</v>
      </c>
      <c r="M308" s="17" t="n">
        <f aca="false">J308*INDEX('04_MAQUINAS'!$G$2:$G$18,MATCH(E308,'04_MAQUINAS'!$A$2:$A$18,0))*INDEX('04_MAQUINAS'!$H$2:$H$18,MATCH(E308,'04_MAQUINAS'!$A$2:$A$18,0))</f>
        <v>7.5</v>
      </c>
      <c r="N308" s="2" t="s">
        <v>629</v>
      </c>
    </row>
    <row r="309" customFormat="false" ht="15" hidden="false" customHeight="false" outlineLevel="0" collapsed="false">
      <c r="A309" s="2" t="s">
        <v>550</v>
      </c>
      <c r="B309" s="2" t="s">
        <v>83</v>
      </c>
      <c r="C309" s="4" t="n">
        <v>7</v>
      </c>
      <c r="D309" s="2" t="s">
        <v>444</v>
      </c>
      <c r="E309" s="2" t="s">
        <v>399</v>
      </c>
      <c r="F309" s="5" t="n">
        <f aca="false">INDEX('08_PEDIDOS'!$D$2:$D$97,MATCH(A309,'08_PEDIDOS'!$A$2:$A$97,0))</f>
        <v>12</v>
      </c>
      <c r="G309" s="5" t="n">
        <f aca="false">INDEX('08_PEDIDOS'!$H$2:$H$97,MATCH(A309,'08_PEDIDOS'!$A$2:$A$97,0))</f>
        <v>10</v>
      </c>
      <c r="H309" s="17" t="n">
        <f aca="false">SUMIFS('05_RUTAS'!$F$2:$F$407,'05_RUTAS'!$A$2:$A$407,B309,'05_RUTAS'!$C$2:$C$407,C309)</f>
        <v>6</v>
      </c>
      <c r="I309" s="18" t="n">
        <f aca="false">SUMIFS('05_RUTAS'!$G$2:$G$407,'05_RUTAS'!$A$2:$A$407,B309,'05_RUTAS'!$C$2:$C$407,C309)</f>
        <v>32.064</v>
      </c>
      <c r="J309" s="18" t="n">
        <f aca="false">(ROUNDUP(F309/G309,0)*H309+F309*I309)/60</f>
        <v>6.6128</v>
      </c>
      <c r="K309" s="5" t="n">
        <f aca="false">MONTH(INDEX('08_PEDIDOS'!$F$2:$F$97,MATCH(A309,'08_PEDIDOS'!$A$2:$A$97,0)))</f>
        <v>4</v>
      </c>
      <c r="L309" s="16" t="n">
        <f aca="false">J309*N(INDEX('04_MAQUINAS'!$F$2:$F$18,MATCH(E309,'04_MAQUINAS'!$A$2:$A$18,0)))</f>
        <v>125.6432</v>
      </c>
      <c r="M309" s="17" t="n">
        <f aca="false">J309*INDEX('04_MAQUINAS'!$G$2:$G$18,MATCH(E309,'04_MAQUINAS'!$A$2:$A$18,0))*INDEX('04_MAQUINAS'!$H$2:$H$18,MATCH(E309,'04_MAQUINAS'!$A$2:$A$18,0))</f>
        <v>5.819264</v>
      </c>
      <c r="N309" s="2" t="s">
        <v>629</v>
      </c>
    </row>
    <row r="310" customFormat="false" ht="15" hidden="false" customHeight="false" outlineLevel="0" collapsed="false">
      <c r="A310" s="2" t="s">
        <v>550</v>
      </c>
      <c r="B310" s="2" t="s">
        <v>83</v>
      </c>
      <c r="C310" s="4" t="n">
        <v>8</v>
      </c>
      <c r="D310" s="2" t="s">
        <v>445</v>
      </c>
      <c r="E310" s="2" t="s">
        <v>402</v>
      </c>
      <c r="F310" s="5" t="n">
        <f aca="false">INDEX('08_PEDIDOS'!$D$2:$D$97,MATCH(A310,'08_PEDIDOS'!$A$2:$A$97,0))</f>
        <v>12</v>
      </c>
      <c r="G310" s="5" t="n">
        <f aca="false">INDEX('08_PEDIDOS'!$H$2:$H$97,MATCH(A310,'08_PEDIDOS'!$A$2:$A$97,0))</f>
        <v>10</v>
      </c>
      <c r="H310" s="17" t="n">
        <f aca="false">SUMIFS('05_RUTAS'!$F$2:$F$407,'05_RUTAS'!$A$2:$A$407,B310,'05_RUTAS'!$C$2:$C$407,C310)</f>
        <v>12</v>
      </c>
      <c r="I310" s="18" t="n">
        <f aca="false">SUMIFS('05_RUTAS'!$G$2:$G$407,'05_RUTAS'!$A$2:$A$407,B310,'05_RUTAS'!$C$2:$C$407,C310)</f>
        <v>8.02</v>
      </c>
      <c r="J310" s="18" t="n">
        <f aca="false">(ROUNDUP(F310/G310,0)*H310+F310*I310)/60</f>
        <v>2.004</v>
      </c>
      <c r="K310" s="5" t="n">
        <f aca="false">MONTH(INDEX('08_PEDIDOS'!$F$2:$F$97,MATCH(A310,'08_PEDIDOS'!$A$2:$A$97,0)))</f>
        <v>4</v>
      </c>
      <c r="L310" s="16" t="n">
        <f aca="false">J310*N(INDEX('04_MAQUINAS'!$F$2:$F$18,MATCH(E310,'04_MAQUINAS'!$A$2:$A$18,0)))</f>
        <v>64.128</v>
      </c>
      <c r="M310" s="17" t="n">
        <f aca="false">J310*INDEX('04_MAQUINAS'!$G$2:$G$18,MATCH(E310,'04_MAQUINAS'!$A$2:$A$18,0))*INDEX('04_MAQUINAS'!$H$2:$H$18,MATCH(E310,'04_MAQUINAS'!$A$2:$A$18,0))</f>
        <v>2.1042</v>
      </c>
      <c r="N310" s="2" t="s">
        <v>629</v>
      </c>
    </row>
    <row r="311" customFormat="false" ht="15" hidden="false" customHeight="false" outlineLevel="0" collapsed="false">
      <c r="A311" s="2" t="s">
        <v>550</v>
      </c>
      <c r="B311" s="2" t="s">
        <v>83</v>
      </c>
      <c r="C311" s="4" t="n">
        <v>9</v>
      </c>
      <c r="D311" s="2" t="s">
        <v>447</v>
      </c>
      <c r="E311" s="2" t="s">
        <v>421</v>
      </c>
      <c r="F311" s="5" t="n">
        <f aca="false">INDEX('08_PEDIDOS'!$D$2:$D$97,MATCH(A311,'08_PEDIDOS'!$A$2:$A$97,0))</f>
        <v>12</v>
      </c>
      <c r="G311" s="5" t="n">
        <f aca="false">INDEX('08_PEDIDOS'!$H$2:$H$97,MATCH(A311,'08_PEDIDOS'!$A$2:$A$97,0))</f>
        <v>10</v>
      </c>
      <c r="H311" s="17" t="n">
        <f aca="false">SUMIFS('05_RUTAS'!$F$2:$F$407,'05_RUTAS'!$A$2:$A$407,B311,'05_RUTAS'!$C$2:$C$407,C311)</f>
        <v>45</v>
      </c>
      <c r="I311" s="18" t="n">
        <f aca="false">SUMIFS('05_RUTAS'!$G$2:$G$407,'05_RUTAS'!$A$2:$A$407,B311,'05_RUTAS'!$C$2:$C$407,C311)</f>
        <v>0</v>
      </c>
      <c r="J311" s="18" t="n">
        <f aca="false">(ROUNDUP(F311/G311,0)*H311+F311*I311)/60</f>
        <v>1.5</v>
      </c>
      <c r="K311" s="5" t="n">
        <f aca="false">MONTH(INDEX('08_PEDIDOS'!$F$2:$F$97,MATCH(A311,'08_PEDIDOS'!$A$2:$A$97,0)))</f>
        <v>4</v>
      </c>
      <c r="L311" s="16" t="n">
        <f aca="false">J311*N(INDEX('04_MAQUINAS'!$F$2:$F$18,MATCH(E311,'04_MAQUINAS'!$A$2:$A$18,0)))</f>
        <v>39</v>
      </c>
      <c r="M311" s="17" t="n">
        <f aca="false">J311*INDEX('04_MAQUINAS'!$G$2:$G$18,MATCH(E311,'04_MAQUINAS'!$A$2:$A$18,0))*INDEX('04_MAQUINAS'!$H$2:$H$18,MATCH(E311,'04_MAQUINAS'!$A$2:$A$18,0))</f>
        <v>21.6</v>
      </c>
      <c r="N311" s="2" t="s">
        <v>629</v>
      </c>
    </row>
    <row r="312" customFormat="false" ht="15" hidden="false" customHeight="false" outlineLevel="0" collapsed="false">
      <c r="A312" s="2" t="s">
        <v>550</v>
      </c>
      <c r="B312" s="2" t="s">
        <v>83</v>
      </c>
      <c r="C312" s="4" t="n">
        <v>10</v>
      </c>
      <c r="D312" s="2" t="s">
        <v>449</v>
      </c>
      <c r="E312" s="2" t="s">
        <v>423</v>
      </c>
      <c r="F312" s="5" t="n">
        <f aca="false">INDEX('08_PEDIDOS'!$D$2:$D$97,MATCH(A312,'08_PEDIDOS'!$A$2:$A$97,0))</f>
        <v>12</v>
      </c>
      <c r="G312" s="5" t="n">
        <f aca="false">INDEX('08_PEDIDOS'!$H$2:$H$97,MATCH(A312,'08_PEDIDOS'!$A$2:$A$97,0))</f>
        <v>10</v>
      </c>
      <c r="H312" s="17" t="n">
        <f aca="false">SUMIFS('05_RUTAS'!$F$2:$F$407,'05_RUTAS'!$A$2:$A$407,B312,'05_RUTAS'!$C$2:$C$407,C312)</f>
        <v>8</v>
      </c>
      <c r="I312" s="18" t="n">
        <f aca="false">SUMIFS('05_RUTAS'!$G$2:$G$407,'05_RUTAS'!$A$2:$A$407,B312,'05_RUTAS'!$C$2:$C$407,C312)</f>
        <v>2.69</v>
      </c>
      <c r="J312" s="18" t="n">
        <f aca="false">(ROUNDUP(F312/G312,0)*H312+F312*I312)/60</f>
        <v>0.804666666666667</v>
      </c>
      <c r="K312" s="5" t="n">
        <f aca="false">MONTH(INDEX('08_PEDIDOS'!$F$2:$F$97,MATCH(A312,'08_PEDIDOS'!$A$2:$A$97,0)))</f>
        <v>4</v>
      </c>
      <c r="L312" s="16" t="n">
        <f aca="false">J312*N(INDEX('04_MAQUINAS'!$F$2:$F$18,MATCH(E312,'04_MAQUINAS'!$A$2:$A$18,0)))</f>
        <v>12.8746666666667</v>
      </c>
      <c r="M312" s="17" t="n">
        <f aca="false">J312*INDEX('04_MAQUINAS'!$G$2:$G$18,MATCH(E312,'04_MAQUINAS'!$A$2:$A$18,0))*INDEX('04_MAQUINAS'!$H$2:$H$18,MATCH(E312,'04_MAQUINAS'!$A$2:$A$18,0))</f>
        <v>0.201166666666667</v>
      </c>
      <c r="N312" s="2" t="s">
        <v>629</v>
      </c>
    </row>
    <row r="313" customFormat="false" ht="15" hidden="false" customHeight="false" outlineLevel="0" collapsed="false">
      <c r="A313" s="2" t="s">
        <v>550</v>
      </c>
      <c r="B313" s="2" t="s">
        <v>83</v>
      </c>
      <c r="C313" s="4" t="n">
        <v>11</v>
      </c>
      <c r="D313" s="2" t="s">
        <v>450</v>
      </c>
      <c r="E313" s="2" t="s">
        <v>406</v>
      </c>
      <c r="F313" s="5" t="n">
        <f aca="false">INDEX('08_PEDIDOS'!$D$2:$D$97,MATCH(A313,'08_PEDIDOS'!$A$2:$A$97,0))</f>
        <v>12</v>
      </c>
      <c r="G313" s="5" t="n">
        <f aca="false">INDEX('08_PEDIDOS'!$H$2:$H$97,MATCH(A313,'08_PEDIDOS'!$A$2:$A$97,0))</f>
        <v>10</v>
      </c>
      <c r="H313" s="17" t="n">
        <f aca="false">SUMIFS('05_RUTAS'!$F$2:$F$407,'05_RUTAS'!$A$2:$A$407,B313,'05_RUTAS'!$C$2:$C$407,C313)</f>
        <v>6</v>
      </c>
      <c r="I313" s="18" t="n">
        <f aca="false">SUMIFS('05_RUTAS'!$G$2:$G$407,'05_RUTAS'!$A$2:$A$407,B313,'05_RUTAS'!$C$2:$C$407,C313)</f>
        <v>62.25</v>
      </c>
      <c r="J313" s="18" t="n">
        <f aca="false">(ROUNDUP(F313/G313,0)*H313+F313*I313)/60</f>
        <v>12.65</v>
      </c>
      <c r="K313" s="5" t="n">
        <f aca="false">MONTH(INDEX('08_PEDIDOS'!$F$2:$F$97,MATCH(A313,'08_PEDIDOS'!$A$2:$A$97,0)))</f>
        <v>4</v>
      </c>
      <c r="L313" s="16" t="n">
        <f aca="false">J313*N(INDEX('04_MAQUINAS'!$F$2:$F$18,MATCH(E313,'04_MAQUINAS'!$A$2:$A$18,0)))</f>
        <v>240.35</v>
      </c>
      <c r="M313" s="17" t="n">
        <f aca="false">J313*INDEX('04_MAQUINAS'!$G$2:$G$18,MATCH(E313,'04_MAQUINAS'!$A$2:$A$18,0))*INDEX('04_MAQUINAS'!$H$2:$H$18,MATCH(E313,'04_MAQUINAS'!$A$2:$A$18,0))</f>
        <v>3.795</v>
      </c>
      <c r="N313" s="2" t="s">
        <v>629</v>
      </c>
    </row>
    <row r="314" customFormat="false" ht="15" hidden="false" customHeight="false" outlineLevel="0" collapsed="false">
      <c r="A314" s="2" t="s">
        <v>550</v>
      </c>
      <c r="B314" s="2" t="s">
        <v>83</v>
      </c>
      <c r="C314" s="4" t="n">
        <v>12</v>
      </c>
      <c r="D314" s="2" t="s">
        <v>451</v>
      </c>
      <c r="E314" s="2" t="s">
        <v>408</v>
      </c>
      <c r="F314" s="5" t="n">
        <f aca="false">INDEX('08_PEDIDOS'!$D$2:$D$97,MATCH(A314,'08_PEDIDOS'!$A$2:$A$97,0))</f>
        <v>12</v>
      </c>
      <c r="G314" s="5" t="n">
        <f aca="false">INDEX('08_PEDIDOS'!$H$2:$H$97,MATCH(A314,'08_PEDIDOS'!$A$2:$A$97,0))</f>
        <v>10</v>
      </c>
      <c r="H314" s="17" t="n">
        <f aca="false">SUMIFS('05_RUTAS'!$F$2:$F$407,'05_RUTAS'!$A$2:$A$407,B314,'05_RUTAS'!$C$2:$C$407,C314)</f>
        <v>2</v>
      </c>
      <c r="I314" s="18" t="n">
        <f aca="false">SUMIFS('05_RUTAS'!$G$2:$G$407,'05_RUTAS'!$A$2:$A$407,B314,'05_RUTAS'!$C$2:$C$407,C314)</f>
        <v>3.86</v>
      </c>
      <c r="J314" s="18" t="n">
        <f aca="false">(ROUNDUP(F314/G314,0)*H314+F314*I314)/60</f>
        <v>0.838666666666667</v>
      </c>
      <c r="K314" s="5" t="n">
        <f aca="false">MONTH(INDEX('08_PEDIDOS'!$F$2:$F$97,MATCH(A314,'08_PEDIDOS'!$A$2:$A$97,0)))</f>
        <v>4</v>
      </c>
      <c r="L314" s="16" t="n">
        <f aca="false">J314*N(INDEX('04_MAQUINAS'!$F$2:$F$18,MATCH(E314,'04_MAQUINAS'!$A$2:$A$18,0)))</f>
        <v>16.7733333333333</v>
      </c>
      <c r="M314" s="17" t="n">
        <f aca="false">J314*INDEX('04_MAQUINAS'!$G$2:$G$18,MATCH(E314,'04_MAQUINAS'!$A$2:$A$18,0))*INDEX('04_MAQUINAS'!$H$2:$H$18,MATCH(E314,'04_MAQUINAS'!$A$2:$A$18,0))</f>
        <v>0.0838666666666667</v>
      </c>
      <c r="N314" s="2" t="s">
        <v>629</v>
      </c>
    </row>
    <row r="315" customFormat="false" ht="15" hidden="false" customHeight="false" outlineLevel="0" collapsed="false">
      <c r="A315" s="2" t="s">
        <v>550</v>
      </c>
      <c r="B315" s="2" t="s">
        <v>83</v>
      </c>
      <c r="C315" s="4" t="n">
        <v>13</v>
      </c>
      <c r="D315" s="2" t="s">
        <v>452</v>
      </c>
      <c r="E315" s="2" t="s">
        <v>411</v>
      </c>
      <c r="F315" s="5" t="n">
        <f aca="false">INDEX('08_PEDIDOS'!$D$2:$D$97,MATCH(A315,'08_PEDIDOS'!$A$2:$A$97,0))</f>
        <v>12</v>
      </c>
      <c r="G315" s="5" t="n">
        <f aca="false">INDEX('08_PEDIDOS'!$H$2:$H$97,MATCH(A315,'08_PEDIDOS'!$A$2:$A$97,0))</f>
        <v>10</v>
      </c>
      <c r="H315" s="17" t="n">
        <f aca="false">SUMIFS('05_RUTAS'!$F$2:$F$407,'05_RUTAS'!$A$2:$A$407,B315,'05_RUTAS'!$C$2:$C$407,C315)</f>
        <v>2</v>
      </c>
      <c r="I315" s="18" t="n">
        <f aca="false">SUMIFS('05_RUTAS'!$G$2:$G$407,'05_RUTAS'!$A$2:$A$407,B315,'05_RUTAS'!$C$2:$C$407,C315)</f>
        <v>5.3</v>
      </c>
      <c r="J315" s="18" t="n">
        <f aca="false">(ROUNDUP(F315/G315,0)*H315+F315*I315)/60</f>
        <v>1.12666666666667</v>
      </c>
      <c r="K315" s="5" t="n">
        <f aca="false">MONTH(INDEX('08_PEDIDOS'!$F$2:$F$97,MATCH(A315,'08_PEDIDOS'!$A$2:$A$97,0)))</f>
        <v>4</v>
      </c>
      <c r="L315" s="16" t="n">
        <f aca="false">J315*N(INDEX('04_MAQUINAS'!$F$2:$F$18,MATCH(E315,'04_MAQUINAS'!$A$2:$A$18,0)))</f>
        <v>20.28</v>
      </c>
      <c r="M315" s="17" t="n">
        <f aca="false">J315*INDEX('04_MAQUINAS'!$G$2:$G$18,MATCH(E315,'04_MAQUINAS'!$A$2:$A$18,0))*INDEX('04_MAQUINAS'!$H$2:$H$18,MATCH(E315,'04_MAQUINAS'!$A$2:$A$18,0))</f>
        <v>0.1014</v>
      </c>
      <c r="N315" s="2" t="s">
        <v>629</v>
      </c>
    </row>
    <row r="316" customFormat="false" ht="15" hidden="false" customHeight="false" outlineLevel="0" collapsed="false">
      <c r="A316" s="2" t="s">
        <v>551</v>
      </c>
      <c r="B316" s="2" t="s">
        <v>94</v>
      </c>
      <c r="C316" s="4" t="n">
        <v>1</v>
      </c>
      <c r="D316" s="2" t="s">
        <v>437</v>
      </c>
      <c r="E316" s="2" t="s">
        <v>375</v>
      </c>
      <c r="F316" s="5" t="n">
        <f aca="false">INDEX('08_PEDIDOS'!$D$2:$D$97,MATCH(A316,'08_PEDIDOS'!$A$2:$A$97,0))</f>
        <v>6</v>
      </c>
      <c r="G316" s="5" t="n">
        <f aca="false">INDEX('08_PEDIDOS'!$H$2:$H$97,MATCH(A316,'08_PEDIDOS'!$A$2:$A$97,0))</f>
        <v>10</v>
      </c>
      <c r="H316" s="17" t="n">
        <f aca="false">SUMIFS('05_RUTAS'!$F$2:$F$407,'05_RUTAS'!$A$2:$A$407,B316,'05_RUTAS'!$C$2:$C$407,C316)</f>
        <v>8</v>
      </c>
      <c r="I316" s="18" t="n">
        <f aca="false">SUMIFS('05_RUTAS'!$G$2:$G$407,'05_RUTAS'!$A$2:$A$407,B316,'05_RUTAS'!$C$2:$C$407,C316)</f>
        <v>90.38</v>
      </c>
      <c r="J316" s="18" t="n">
        <f aca="false">(ROUNDUP(F316/G316,0)*H316+F316*I316)/60</f>
        <v>9.17133333333333</v>
      </c>
      <c r="K316" s="5" t="n">
        <f aca="false">MONTH(INDEX('08_PEDIDOS'!$F$2:$F$97,MATCH(A316,'08_PEDIDOS'!$A$2:$A$97,0)))</f>
        <v>4</v>
      </c>
      <c r="L316" s="16" t="n">
        <f aca="false">J316*N(INDEX('04_MAQUINAS'!$F$2:$F$18,MATCH(E316,'04_MAQUINAS'!$A$2:$A$18,0)))</f>
        <v>220.112</v>
      </c>
      <c r="M316" s="17" t="n">
        <f aca="false">J316*INDEX('04_MAQUINAS'!$G$2:$G$18,MATCH(E316,'04_MAQUINAS'!$A$2:$A$18,0))*INDEX('04_MAQUINAS'!$H$2:$H$18,MATCH(E316,'04_MAQUINAS'!$A$2:$A$18,0))</f>
        <v>25.2211666666667</v>
      </c>
      <c r="N316" s="2" t="s">
        <v>629</v>
      </c>
    </row>
    <row r="317" customFormat="false" ht="15" hidden="false" customHeight="false" outlineLevel="0" collapsed="false">
      <c r="A317" s="2" t="s">
        <v>551</v>
      </c>
      <c r="B317" s="2" t="s">
        <v>94</v>
      </c>
      <c r="C317" s="4" t="n">
        <v>2</v>
      </c>
      <c r="D317" s="2" t="s">
        <v>441</v>
      </c>
      <c r="E317" s="2" t="s">
        <v>380</v>
      </c>
      <c r="F317" s="5" t="n">
        <f aca="false">INDEX('08_PEDIDOS'!$D$2:$D$97,MATCH(A317,'08_PEDIDOS'!$A$2:$A$97,0))</f>
        <v>6</v>
      </c>
      <c r="G317" s="5" t="n">
        <f aca="false">INDEX('08_PEDIDOS'!$H$2:$H$97,MATCH(A317,'08_PEDIDOS'!$A$2:$A$97,0))</f>
        <v>10</v>
      </c>
      <c r="H317" s="17" t="n">
        <f aca="false">SUMIFS('05_RUTAS'!$F$2:$F$407,'05_RUTAS'!$A$2:$A$407,B317,'05_RUTAS'!$C$2:$C$407,C317)</f>
        <v>8</v>
      </c>
      <c r="I317" s="18" t="n">
        <f aca="false">SUMIFS('05_RUTAS'!$G$2:$G$407,'05_RUTAS'!$A$2:$A$407,B317,'05_RUTAS'!$C$2:$C$407,C317)</f>
        <v>5.98</v>
      </c>
      <c r="J317" s="18" t="n">
        <f aca="false">(ROUNDUP(F317/G317,0)*H317+F317*I317)/60</f>
        <v>0.731333333333333</v>
      </c>
      <c r="K317" s="5" t="n">
        <f aca="false">MONTH(INDEX('08_PEDIDOS'!$F$2:$F$97,MATCH(A317,'08_PEDIDOS'!$A$2:$A$97,0)))</f>
        <v>4</v>
      </c>
      <c r="L317" s="16" t="n">
        <f aca="false">J317*N(INDEX('04_MAQUINAS'!$F$2:$F$18,MATCH(E317,'04_MAQUINAS'!$A$2:$A$18,0)))</f>
        <v>16.0893333333333</v>
      </c>
      <c r="M317" s="17" t="n">
        <f aca="false">J317*INDEX('04_MAQUINAS'!$G$2:$G$18,MATCH(E317,'04_MAQUINAS'!$A$2:$A$18,0))*INDEX('04_MAQUINAS'!$H$2:$H$18,MATCH(E317,'04_MAQUINAS'!$A$2:$A$18,0))</f>
        <v>0.3291</v>
      </c>
      <c r="N317" s="2" t="s">
        <v>629</v>
      </c>
    </row>
    <row r="318" customFormat="false" ht="15" hidden="false" customHeight="false" outlineLevel="0" collapsed="false">
      <c r="A318" s="2" t="s">
        <v>551</v>
      </c>
      <c r="B318" s="2" t="s">
        <v>94</v>
      </c>
      <c r="C318" s="4" t="n">
        <v>3</v>
      </c>
      <c r="D318" s="2" t="s">
        <v>386</v>
      </c>
      <c r="E318" s="2" t="s">
        <v>383</v>
      </c>
      <c r="F318" s="5" t="n">
        <f aca="false">INDEX('08_PEDIDOS'!$D$2:$D$97,MATCH(A318,'08_PEDIDOS'!$A$2:$A$97,0))</f>
        <v>6</v>
      </c>
      <c r="G318" s="5" t="n">
        <f aca="false">INDEX('08_PEDIDOS'!$H$2:$H$97,MATCH(A318,'08_PEDIDOS'!$A$2:$A$97,0))</f>
        <v>10</v>
      </c>
      <c r="H318" s="17" t="n">
        <f aca="false">SUMIFS('05_RUTAS'!$F$2:$F$407,'05_RUTAS'!$A$2:$A$407,B318,'05_RUTAS'!$C$2:$C$407,C318)</f>
        <v>10</v>
      </c>
      <c r="I318" s="18" t="n">
        <f aca="false">SUMIFS('05_RUTAS'!$G$2:$G$407,'05_RUTAS'!$A$2:$A$407,B318,'05_RUTAS'!$C$2:$C$407,C318)</f>
        <v>97</v>
      </c>
      <c r="J318" s="18" t="n">
        <f aca="false">(ROUNDUP(F318/G318,0)*H318+F318*I318)/60</f>
        <v>9.86666666666667</v>
      </c>
      <c r="K318" s="5" t="n">
        <f aca="false">MONTH(INDEX('08_PEDIDOS'!$F$2:$F$97,MATCH(A318,'08_PEDIDOS'!$A$2:$A$97,0)))</f>
        <v>4</v>
      </c>
      <c r="L318" s="16" t="n">
        <f aca="false">J318*N(INDEX('04_MAQUINAS'!$F$2:$F$18,MATCH(E318,'04_MAQUINAS'!$A$2:$A$18,0)))</f>
        <v>217.066666666667</v>
      </c>
      <c r="M318" s="17" t="n">
        <f aca="false">J318*INDEX('04_MAQUINAS'!$G$2:$G$18,MATCH(E318,'04_MAQUINAS'!$A$2:$A$18,0))*INDEX('04_MAQUINAS'!$H$2:$H$18,MATCH(E318,'04_MAQUINAS'!$A$2:$A$18,0))</f>
        <v>2.71333333333333</v>
      </c>
      <c r="N318" s="2" t="s">
        <v>629</v>
      </c>
    </row>
    <row r="319" customFormat="false" ht="15" hidden="false" customHeight="false" outlineLevel="0" collapsed="false">
      <c r="A319" s="2" t="s">
        <v>551</v>
      </c>
      <c r="B319" s="2" t="s">
        <v>94</v>
      </c>
      <c r="C319" s="4" t="n">
        <v>4</v>
      </c>
      <c r="D319" s="2" t="s">
        <v>390</v>
      </c>
      <c r="E319" s="2" t="s">
        <v>387</v>
      </c>
      <c r="F319" s="5" t="n">
        <f aca="false">INDEX('08_PEDIDOS'!$D$2:$D$97,MATCH(A319,'08_PEDIDOS'!$A$2:$A$97,0))</f>
        <v>6</v>
      </c>
      <c r="G319" s="5" t="n">
        <f aca="false">INDEX('08_PEDIDOS'!$H$2:$H$97,MATCH(A319,'08_PEDIDOS'!$A$2:$A$97,0))</f>
        <v>10</v>
      </c>
      <c r="H319" s="17" t="n">
        <f aca="false">SUMIFS('05_RUTAS'!$F$2:$F$407,'05_RUTAS'!$A$2:$A$407,B319,'05_RUTAS'!$C$2:$C$407,C319)</f>
        <v>12</v>
      </c>
      <c r="I319" s="18" t="n">
        <f aca="false">SUMIFS('05_RUTAS'!$G$2:$G$407,'05_RUTAS'!$A$2:$A$407,B319,'05_RUTAS'!$C$2:$C$407,C319)</f>
        <v>196</v>
      </c>
      <c r="J319" s="18" t="n">
        <f aca="false">(ROUNDUP(F319/G319,0)*H319+F319*I319)/60</f>
        <v>19.8</v>
      </c>
      <c r="K319" s="5" t="n">
        <f aca="false">MONTH(INDEX('08_PEDIDOS'!$F$2:$F$97,MATCH(A319,'08_PEDIDOS'!$A$2:$A$97,0)))</f>
        <v>4</v>
      </c>
      <c r="L319" s="16" t="n">
        <f aca="false">J319*N(INDEX('04_MAQUINAS'!$F$2:$F$18,MATCH(E319,'04_MAQUINAS'!$A$2:$A$18,0)))</f>
        <v>554.4</v>
      </c>
      <c r="M319" s="17" t="n">
        <f aca="false">J319*INDEX('04_MAQUINAS'!$G$2:$G$18,MATCH(E319,'04_MAQUINAS'!$A$2:$A$18,0))*INDEX('04_MAQUINAS'!$H$2:$H$18,MATCH(E319,'04_MAQUINAS'!$A$2:$A$18,0))</f>
        <v>49.005</v>
      </c>
      <c r="N319" s="2" t="s">
        <v>629</v>
      </c>
    </row>
    <row r="320" customFormat="false" ht="15" hidden="false" customHeight="false" outlineLevel="0" collapsed="false">
      <c r="A320" s="2" t="s">
        <v>551</v>
      </c>
      <c r="B320" s="2" t="s">
        <v>94</v>
      </c>
      <c r="C320" s="4" t="n">
        <v>5</v>
      </c>
      <c r="D320" s="2" t="s">
        <v>443</v>
      </c>
      <c r="E320" s="2" t="s">
        <v>395</v>
      </c>
      <c r="F320" s="5" t="n">
        <f aca="false">INDEX('08_PEDIDOS'!$D$2:$D$97,MATCH(A320,'08_PEDIDOS'!$A$2:$A$97,0))</f>
        <v>6</v>
      </c>
      <c r="G320" s="5" t="n">
        <f aca="false">INDEX('08_PEDIDOS'!$H$2:$H$97,MATCH(A320,'08_PEDIDOS'!$A$2:$A$97,0))</f>
        <v>10</v>
      </c>
      <c r="H320" s="17" t="n">
        <f aca="false">SUMIFS('05_RUTAS'!$F$2:$F$407,'05_RUTAS'!$A$2:$A$407,B320,'05_RUTAS'!$C$2:$C$407,C320)</f>
        <v>3</v>
      </c>
      <c r="I320" s="18" t="n">
        <f aca="false">SUMIFS('05_RUTAS'!$G$2:$G$407,'05_RUTAS'!$A$2:$A$407,B320,'05_RUTAS'!$C$2:$C$407,C320)</f>
        <v>51</v>
      </c>
      <c r="J320" s="18" t="n">
        <f aca="false">(ROUNDUP(F320/G320,0)*H320+F320*I320)/60</f>
        <v>5.15</v>
      </c>
      <c r="K320" s="5" t="n">
        <f aca="false">MONTH(INDEX('08_PEDIDOS'!$F$2:$F$97,MATCH(A320,'08_PEDIDOS'!$A$2:$A$97,0)))</f>
        <v>4</v>
      </c>
      <c r="L320" s="16" t="n">
        <f aca="false">J320*N(INDEX('04_MAQUINAS'!$F$2:$F$18,MATCH(E320,'04_MAQUINAS'!$A$2:$A$18,0)))</f>
        <v>108.15</v>
      </c>
      <c r="M320" s="17" t="n">
        <f aca="false">J320*INDEX('04_MAQUINAS'!$G$2:$G$18,MATCH(E320,'04_MAQUINAS'!$A$2:$A$18,0))*INDEX('04_MAQUINAS'!$H$2:$H$18,MATCH(E320,'04_MAQUINAS'!$A$2:$A$18,0))</f>
        <v>3.8625</v>
      </c>
      <c r="N320" s="2" t="s">
        <v>629</v>
      </c>
    </row>
    <row r="321" customFormat="false" ht="15" hidden="false" customHeight="false" outlineLevel="0" collapsed="false">
      <c r="A321" s="2" t="s">
        <v>551</v>
      </c>
      <c r="B321" s="2" t="s">
        <v>94</v>
      </c>
      <c r="C321" s="4" t="n">
        <v>6</v>
      </c>
      <c r="D321" s="2" t="s">
        <v>444</v>
      </c>
      <c r="E321" s="2" t="s">
        <v>399</v>
      </c>
      <c r="F321" s="5" t="n">
        <f aca="false">INDEX('08_PEDIDOS'!$D$2:$D$97,MATCH(A321,'08_PEDIDOS'!$A$2:$A$97,0))</f>
        <v>6</v>
      </c>
      <c r="G321" s="5" t="n">
        <f aca="false">INDEX('08_PEDIDOS'!$H$2:$H$97,MATCH(A321,'08_PEDIDOS'!$A$2:$A$97,0))</f>
        <v>10</v>
      </c>
      <c r="H321" s="17" t="n">
        <f aca="false">SUMIFS('05_RUTAS'!$F$2:$F$407,'05_RUTAS'!$A$2:$A$407,B321,'05_RUTAS'!$C$2:$C$407,C321)</f>
        <v>6</v>
      </c>
      <c r="I321" s="18" t="n">
        <f aca="false">SUMIFS('05_RUTAS'!$G$2:$G$407,'05_RUTAS'!$A$2:$A$407,B321,'05_RUTAS'!$C$2:$C$407,C321)</f>
        <v>40.5152</v>
      </c>
      <c r="J321" s="18" t="n">
        <f aca="false">(ROUNDUP(F321/G321,0)*H321+F321*I321)/60</f>
        <v>4.15152</v>
      </c>
      <c r="K321" s="5" t="n">
        <f aca="false">MONTH(INDEX('08_PEDIDOS'!$F$2:$F$97,MATCH(A321,'08_PEDIDOS'!$A$2:$A$97,0)))</f>
        <v>4</v>
      </c>
      <c r="L321" s="16" t="n">
        <f aca="false">J321*N(INDEX('04_MAQUINAS'!$F$2:$F$18,MATCH(E321,'04_MAQUINAS'!$A$2:$A$18,0)))</f>
        <v>78.87888</v>
      </c>
      <c r="M321" s="17" t="n">
        <f aca="false">J321*INDEX('04_MAQUINAS'!$G$2:$G$18,MATCH(E321,'04_MAQUINAS'!$A$2:$A$18,0))*INDEX('04_MAQUINAS'!$H$2:$H$18,MATCH(E321,'04_MAQUINAS'!$A$2:$A$18,0))</f>
        <v>3.6533376</v>
      </c>
      <c r="N321" s="2" t="s">
        <v>629</v>
      </c>
    </row>
    <row r="322" customFormat="false" ht="15" hidden="false" customHeight="false" outlineLevel="0" collapsed="false">
      <c r="A322" s="2" t="s">
        <v>551</v>
      </c>
      <c r="B322" s="2" t="s">
        <v>94</v>
      </c>
      <c r="C322" s="4" t="n">
        <v>7</v>
      </c>
      <c r="D322" s="2" t="s">
        <v>445</v>
      </c>
      <c r="E322" s="2" t="s">
        <v>402</v>
      </c>
      <c r="F322" s="5" t="n">
        <f aca="false">INDEX('08_PEDIDOS'!$D$2:$D$97,MATCH(A322,'08_PEDIDOS'!$A$2:$A$97,0))</f>
        <v>6</v>
      </c>
      <c r="G322" s="5" t="n">
        <f aca="false">INDEX('08_PEDIDOS'!$H$2:$H$97,MATCH(A322,'08_PEDIDOS'!$A$2:$A$97,0))</f>
        <v>10</v>
      </c>
      <c r="H322" s="17" t="n">
        <f aca="false">SUMIFS('05_RUTAS'!$F$2:$F$407,'05_RUTAS'!$A$2:$A$407,B322,'05_RUTAS'!$C$2:$C$407,C322)</f>
        <v>12</v>
      </c>
      <c r="I322" s="18" t="n">
        <f aca="false">SUMIFS('05_RUTAS'!$G$2:$G$407,'05_RUTAS'!$A$2:$A$407,B322,'05_RUTAS'!$C$2:$C$407,C322)</f>
        <v>7.76</v>
      </c>
      <c r="J322" s="18" t="n">
        <f aca="false">(ROUNDUP(F322/G322,0)*H322+F322*I322)/60</f>
        <v>0.976</v>
      </c>
      <c r="K322" s="5" t="n">
        <f aca="false">MONTH(INDEX('08_PEDIDOS'!$F$2:$F$97,MATCH(A322,'08_PEDIDOS'!$A$2:$A$97,0)))</f>
        <v>4</v>
      </c>
      <c r="L322" s="16" t="n">
        <f aca="false">J322*N(INDEX('04_MAQUINAS'!$F$2:$F$18,MATCH(E322,'04_MAQUINAS'!$A$2:$A$18,0)))</f>
        <v>31.232</v>
      </c>
      <c r="M322" s="17" t="n">
        <f aca="false">J322*INDEX('04_MAQUINAS'!$G$2:$G$18,MATCH(E322,'04_MAQUINAS'!$A$2:$A$18,0))*INDEX('04_MAQUINAS'!$H$2:$H$18,MATCH(E322,'04_MAQUINAS'!$A$2:$A$18,0))</f>
        <v>1.0248</v>
      </c>
      <c r="N322" s="2" t="s">
        <v>629</v>
      </c>
    </row>
    <row r="323" customFormat="false" ht="15" hidden="false" customHeight="false" outlineLevel="0" collapsed="false">
      <c r="A323" s="2" t="s">
        <v>551</v>
      </c>
      <c r="B323" s="2" t="s">
        <v>94</v>
      </c>
      <c r="C323" s="4" t="n">
        <v>8</v>
      </c>
      <c r="D323" s="2" t="s">
        <v>447</v>
      </c>
      <c r="E323" s="2" t="s">
        <v>421</v>
      </c>
      <c r="F323" s="5" t="n">
        <f aca="false">INDEX('08_PEDIDOS'!$D$2:$D$97,MATCH(A323,'08_PEDIDOS'!$A$2:$A$97,0))</f>
        <v>6</v>
      </c>
      <c r="G323" s="5" t="n">
        <f aca="false">INDEX('08_PEDIDOS'!$H$2:$H$97,MATCH(A323,'08_PEDIDOS'!$A$2:$A$97,0))</f>
        <v>10</v>
      </c>
      <c r="H323" s="17" t="n">
        <f aca="false">SUMIFS('05_RUTAS'!$F$2:$F$407,'05_RUTAS'!$A$2:$A$407,B323,'05_RUTAS'!$C$2:$C$407,C323)</f>
        <v>45</v>
      </c>
      <c r="I323" s="18" t="n">
        <f aca="false">SUMIFS('05_RUTAS'!$G$2:$G$407,'05_RUTAS'!$A$2:$A$407,B323,'05_RUTAS'!$C$2:$C$407,C323)</f>
        <v>0</v>
      </c>
      <c r="J323" s="18" t="n">
        <f aca="false">(ROUNDUP(F323/G323,0)*H323+F323*I323)/60</f>
        <v>0.75</v>
      </c>
      <c r="K323" s="5" t="n">
        <f aca="false">MONTH(INDEX('08_PEDIDOS'!$F$2:$F$97,MATCH(A323,'08_PEDIDOS'!$A$2:$A$97,0)))</f>
        <v>4</v>
      </c>
      <c r="L323" s="16" t="n">
        <f aca="false">J323*N(INDEX('04_MAQUINAS'!$F$2:$F$18,MATCH(E323,'04_MAQUINAS'!$A$2:$A$18,0)))</f>
        <v>19.5</v>
      </c>
      <c r="M323" s="17" t="n">
        <f aca="false">J323*INDEX('04_MAQUINAS'!$G$2:$G$18,MATCH(E323,'04_MAQUINAS'!$A$2:$A$18,0))*INDEX('04_MAQUINAS'!$H$2:$H$18,MATCH(E323,'04_MAQUINAS'!$A$2:$A$18,0))</f>
        <v>10.8</v>
      </c>
      <c r="N323" s="2" t="s">
        <v>629</v>
      </c>
    </row>
    <row r="324" customFormat="false" ht="15" hidden="false" customHeight="false" outlineLevel="0" collapsed="false">
      <c r="A324" s="2" t="s">
        <v>551</v>
      </c>
      <c r="B324" s="2" t="s">
        <v>94</v>
      </c>
      <c r="C324" s="4" t="n">
        <v>9</v>
      </c>
      <c r="D324" s="2" t="s">
        <v>449</v>
      </c>
      <c r="E324" s="2" t="s">
        <v>423</v>
      </c>
      <c r="F324" s="5" t="n">
        <f aca="false">INDEX('08_PEDIDOS'!$D$2:$D$97,MATCH(A324,'08_PEDIDOS'!$A$2:$A$97,0))</f>
        <v>6</v>
      </c>
      <c r="G324" s="5" t="n">
        <f aca="false">INDEX('08_PEDIDOS'!$H$2:$H$97,MATCH(A324,'08_PEDIDOS'!$A$2:$A$97,0))</f>
        <v>10</v>
      </c>
      <c r="H324" s="17" t="n">
        <f aca="false">SUMIFS('05_RUTAS'!$F$2:$F$407,'05_RUTAS'!$A$2:$A$407,B324,'05_RUTAS'!$C$2:$C$407,C324)</f>
        <v>8</v>
      </c>
      <c r="I324" s="18" t="n">
        <f aca="false">SUMIFS('05_RUTAS'!$G$2:$G$407,'05_RUTAS'!$A$2:$A$407,B324,'05_RUTAS'!$C$2:$C$407,C324)</f>
        <v>2.63</v>
      </c>
      <c r="J324" s="18" t="n">
        <f aca="false">(ROUNDUP(F324/G324,0)*H324+F324*I324)/60</f>
        <v>0.396333333333333</v>
      </c>
      <c r="K324" s="5" t="n">
        <f aca="false">MONTH(INDEX('08_PEDIDOS'!$F$2:$F$97,MATCH(A324,'08_PEDIDOS'!$A$2:$A$97,0)))</f>
        <v>4</v>
      </c>
      <c r="L324" s="16" t="n">
        <f aca="false">J324*N(INDEX('04_MAQUINAS'!$F$2:$F$18,MATCH(E324,'04_MAQUINAS'!$A$2:$A$18,0)))</f>
        <v>6.34133333333333</v>
      </c>
      <c r="M324" s="17" t="n">
        <f aca="false">J324*INDEX('04_MAQUINAS'!$G$2:$G$18,MATCH(E324,'04_MAQUINAS'!$A$2:$A$18,0))*INDEX('04_MAQUINAS'!$H$2:$H$18,MATCH(E324,'04_MAQUINAS'!$A$2:$A$18,0))</f>
        <v>0.0990833333333333</v>
      </c>
      <c r="N324" s="2" t="s">
        <v>629</v>
      </c>
    </row>
    <row r="325" customFormat="false" ht="15" hidden="false" customHeight="false" outlineLevel="0" collapsed="false">
      <c r="A325" s="2" t="s">
        <v>551</v>
      </c>
      <c r="B325" s="2" t="s">
        <v>94</v>
      </c>
      <c r="C325" s="4" t="n">
        <v>10</v>
      </c>
      <c r="D325" s="2" t="s">
        <v>450</v>
      </c>
      <c r="E325" s="2" t="s">
        <v>406</v>
      </c>
      <c r="F325" s="5" t="n">
        <f aca="false">INDEX('08_PEDIDOS'!$D$2:$D$97,MATCH(A325,'08_PEDIDOS'!$A$2:$A$97,0))</f>
        <v>6</v>
      </c>
      <c r="G325" s="5" t="n">
        <f aca="false">INDEX('08_PEDIDOS'!$H$2:$H$97,MATCH(A325,'08_PEDIDOS'!$A$2:$A$97,0))</f>
        <v>10</v>
      </c>
      <c r="H325" s="17" t="n">
        <f aca="false">SUMIFS('05_RUTAS'!$F$2:$F$407,'05_RUTAS'!$A$2:$A$407,B325,'05_RUTAS'!$C$2:$C$407,C325)</f>
        <v>6</v>
      </c>
      <c r="I325" s="18" t="n">
        <f aca="false">SUMIFS('05_RUTAS'!$G$2:$G$407,'05_RUTAS'!$A$2:$A$407,B325,'05_RUTAS'!$C$2:$C$407,C325)</f>
        <v>69</v>
      </c>
      <c r="J325" s="18" t="n">
        <f aca="false">(ROUNDUP(F325/G325,0)*H325+F325*I325)/60</f>
        <v>7</v>
      </c>
      <c r="K325" s="5" t="n">
        <f aca="false">MONTH(INDEX('08_PEDIDOS'!$F$2:$F$97,MATCH(A325,'08_PEDIDOS'!$A$2:$A$97,0)))</f>
        <v>4</v>
      </c>
      <c r="L325" s="16" t="n">
        <f aca="false">J325*N(INDEX('04_MAQUINAS'!$F$2:$F$18,MATCH(E325,'04_MAQUINAS'!$A$2:$A$18,0)))</f>
        <v>133</v>
      </c>
      <c r="M325" s="17" t="n">
        <f aca="false">J325*INDEX('04_MAQUINAS'!$G$2:$G$18,MATCH(E325,'04_MAQUINAS'!$A$2:$A$18,0))*INDEX('04_MAQUINAS'!$H$2:$H$18,MATCH(E325,'04_MAQUINAS'!$A$2:$A$18,0))</f>
        <v>2.1</v>
      </c>
      <c r="N325" s="2" t="s">
        <v>629</v>
      </c>
    </row>
    <row r="326" customFormat="false" ht="15" hidden="false" customHeight="false" outlineLevel="0" collapsed="false">
      <c r="A326" s="2" t="s">
        <v>551</v>
      </c>
      <c r="B326" s="2" t="s">
        <v>94</v>
      </c>
      <c r="C326" s="4" t="n">
        <v>11</v>
      </c>
      <c r="D326" s="2" t="s">
        <v>451</v>
      </c>
      <c r="E326" s="2" t="s">
        <v>408</v>
      </c>
      <c r="F326" s="5" t="n">
        <f aca="false">INDEX('08_PEDIDOS'!$D$2:$D$97,MATCH(A326,'08_PEDIDOS'!$A$2:$A$97,0))</f>
        <v>6</v>
      </c>
      <c r="G326" s="5" t="n">
        <f aca="false">INDEX('08_PEDIDOS'!$H$2:$H$97,MATCH(A326,'08_PEDIDOS'!$A$2:$A$97,0))</f>
        <v>10</v>
      </c>
      <c r="H326" s="17" t="n">
        <f aca="false">SUMIFS('05_RUTAS'!$F$2:$F$407,'05_RUTAS'!$A$2:$A$407,B326,'05_RUTAS'!$C$2:$C$407,C326)</f>
        <v>2</v>
      </c>
      <c r="I326" s="18" t="n">
        <f aca="false">SUMIFS('05_RUTAS'!$G$2:$G$407,'05_RUTAS'!$A$2:$A$407,B326,'05_RUTAS'!$C$2:$C$407,C326)</f>
        <v>3.79</v>
      </c>
      <c r="J326" s="18" t="n">
        <f aca="false">(ROUNDUP(F326/G326,0)*H326+F326*I326)/60</f>
        <v>0.412333333333333</v>
      </c>
      <c r="K326" s="5" t="n">
        <f aca="false">MONTH(INDEX('08_PEDIDOS'!$F$2:$F$97,MATCH(A326,'08_PEDIDOS'!$A$2:$A$97,0)))</f>
        <v>4</v>
      </c>
      <c r="L326" s="16" t="n">
        <f aca="false">J326*N(INDEX('04_MAQUINAS'!$F$2:$F$18,MATCH(E326,'04_MAQUINAS'!$A$2:$A$18,0)))</f>
        <v>8.24666666666667</v>
      </c>
      <c r="M326" s="17" t="n">
        <f aca="false">J326*INDEX('04_MAQUINAS'!$G$2:$G$18,MATCH(E326,'04_MAQUINAS'!$A$2:$A$18,0))*INDEX('04_MAQUINAS'!$H$2:$H$18,MATCH(E326,'04_MAQUINAS'!$A$2:$A$18,0))</f>
        <v>0.0412333333333333</v>
      </c>
      <c r="N326" s="2" t="s">
        <v>629</v>
      </c>
    </row>
    <row r="327" customFormat="false" ht="15" hidden="false" customHeight="false" outlineLevel="0" collapsed="false">
      <c r="A327" s="2" t="s">
        <v>551</v>
      </c>
      <c r="B327" s="2" t="s">
        <v>94</v>
      </c>
      <c r="C327" s="4" t="n">
        <v>12</v>
      </c>
      <c r="D327" s="2" t="s">
        <v>452</v>
      </c>
      <c r="E327" s="2" t="s">
        <v>411</v>
      </c>
      <c r="F327" s="5" t="n">
        <f aca="false">INDEX('08_PEDIDOS'!$D$2:$D$97,MATCH(A327,'08_PEDIDOS'!$A$2:$A$97,0))</f>
        <v>6</v>
      </c>
      <c r="G327" s="5" t="n">
        <f aca="false">INDEX('08_PEDIDOS'!$H$2:$H$97,MATCH(A327,'08_PEDIDOS'!$A$2:$A$97,0))</f>
        <v>10</v>
      </c>
      <c r="H327" s="17" t="n">
        <f aca="false">SUMIFS('05_RUTAS'!$F$2:$F$407,'05_RUTAS'!$A$2:$A$407,B327,'05_RUTAS'!$C$2:$C$407,C327)</f>
        <v>2</v>
      </c>
      <c r="I327" s="18" t="n">
        <f aca="false">SUMIFS('05_RUTAS'!$G$2:$G$407,'05_RUTAS'!$A$2:$A$407,B327,'05_RUTAS'!$C$2:$C$407,C327)</f>
        <v>5.18</v>
      </c>
      <c r="J327" s="18" t="n">
        <f aca="false">(ROUNDUP(F327/G327,0)*H327+F327*I327)/60</f>
        <v>0.551333333333333</v>
      </c>
      <c r="K327" s="5" t="n">
        <f aca="false">MONTH(INDEX('08_PEDIDOS'!$F$2:$F$97,MATCH(A327,'08_PEDIDOS'!$A$2:$A$97,0)))</f>
        <v>4</v>
      </c>
      <c r="L327" s="16" t="n">
        <f aca="false">J327*N(INDEX('04_MAQUINAS'!$F$2:$F$18,MATCH(E327,'04_MAQUINAS'!$A$2:$A$18,0)))</f>
        <v>9.924</v>
      </c>
      <c r="M327" s="17" t="n">
        <f aca="false">J327*INDEX('04_MAQUINAS'!$G$2:$G$18,MATCH(E327,'04_MAQUINAS'!$A$2:$A$18,0))*INDEX('04_MAQUINAS'!$H$2:$H$18,MATCH(E327,'04_MAQUINAS'!$A$2:$A$18,0))</f>
        <v>0.04962</v>
      </c>
      <c r="N327" s="2" t="s">
        <v>629</v>
      </c>
    </row>
    <row r="328" customFormat="false" ht="15" hidden="false" customHeight="false" outlineLevel="0" collapsed="false">
      <c r="A328" s="2" t="s">
        <v>552</v>
      </c>
      <c r="B328" s="2" t="s">
        <v>96</v>
      </c>
      <c r="C328" s="4" t="n">
        <v>1</v>
      </c>
      <c r="D328" s="2" t="s">
        <v>437</v>
      </c>
      <c r="E328" s="2" t="s">
        <v>375</v>
      </c>
      <c r="F328" s="5" t="n">
        <f aca="false">INDEX('08_PEDIDOS'!$D$2:$D$97,MATCH(A328,'08_PEDIDOS'!$A$2:$A$97,0))</f>
        <v>7</v>
      </c>
      <c r="G328" s="5" t="n">
        <f aca="false">INDEX('08_PEDIDOS'!$H$2:$H$97,MATCH(A328,'08_PEDIDOS'!$A$2:$A$97,0))</f>
        <v>10</v>
      </c>
      <c r="H328" s="17" t="n">
        <f aca="false">SUMIFS('05_RUTAS'!$F$2:$F$407,'05_RUTAS'!$A$2:$A$407,B328,'05_RUTAS'!$C$2:$C$407,C328)</f>
        <v>8</v>
      </c>
      <c r="I328" s="18" t="n">
        <f aca="false">SUMIFS('05_RUTAS'!$G$2:$G$407,'05_RUTAS'!$A$2:$A$407,B328,'05_RUTAS'!$C$2:$C$407,C328)</f>
        <v>56.975</v>
      </c>
      <c r="J328" s="18" t="n">
        <f aca="false">(ROUNDUP(F328/G328,0)*H328+F328*I328)/60</f>
        <v>6.78041666666667</v>
      </c>
      <c r="K328" s="5" t="n">
        <f aca="false">MONTH(INDEX('08_PEDIDOS'!$F$2:$F$97,MATCH(A328,'08_PEDIDOS'!$A$2:$A$97,0)))</f>
        <v>4</v>
      </c>
      <c r="L328" s="16" t="n">
        <f aca="false">J328*N(INDEX('04_MAQUINAS'!$F$2:$F$18,MATCH(E328,'04_MAQUINAS'!$A$2:$A$18,0)))</f>
        <v>162.73</v>
      </c>
      <c r="M328" s="17" t="n">
        <f aca="false">J328*INDEX('04_MAQUINAS'!$G$2:$G$18,MATCH(E328,'04_MAQUINAS'!$A$2:$A$18,0))*INDEX('04_MAQUINAS'!$H$2:$H$18,MATCH(E328,'04_MAQUINAS'!$A$2:$A$18,0))</f>
        <v>18.6461458333333</v>
      </c>
      <c r="N328" s="2" t="s">
        <v>629</v>
      </c>
    </row>
    <row r="329" customFormat="false" ht="15" hidden="false" customHeight="false" outlineLevel="0" collapsed="false">
      <c r="A329" s="2" t="s">
        <v>552</v>
      </c>
      <c r="B329" s="2" t="s">
        <v>96</v>
      </c>
      <c r="C329" s="4" t="n">
        <v>2</v>
      </c>
      <c r="D329" s="2" t="s">
        <v>441</v>
      </c>
      <c r="E329" s="2" t="s">
        <v>380</v>
      </c>
      <c r="F329" s="5" t="n">
        <f aca="false">INDEX('08_PEDIDOS'!$D$2:$D$97,MATCH(A329,'08_PEDIDOS'!$A$2:$A$97,0))</f>
        <v>7</v>
      </c>
      <c r="G329" s="5" t="n">
        <f aca="false">INDEX('08_PEDIDOS'!$H$2:$H$97,MATCH(A329,'08_PEDIDOS'!$A$2:$A$97,0))</f>
        <v>10</v>
      </c>
      <c r="H329" s="17" t="n">
        <f aca="false">SUMIFS('05_RUTAS'!$F$2:$F$407,'05_RUTAS'!$A$2:$A$407,B329,'05_RUTAS'!$C$2:$C$407,C329)</f>
        <v>8</v>
      </c>
      <c r="I329" s="18" t="n">
        <f aca="false">SUMIFS('05_RUTAS'!$G$2:$G$407,'05_RUTAS'!$A$2:$A$407,B329,'05_RUTAS'!$C$2:$C$407,C329)</f>
        <v>6.28</v>
      </c>
      <c r="J329" s="18" t="n">
        <f aca="false">(ROUNDUP(F329/G329,0)*H329+F329*I329)/60</f>
        <v>0.866</v>
      </c>
      <c r="K329" s="5" t="n">
        <f aca="false">MONTH(INDEX('08_PEDIDOS'!$F$2:$F$97,MATCH(A329,'08_PEDIDOS'!$A$2:$A$97,0)))</f>
        <v>4</v>
      </c>
      <c r="L329" s="16" t="n">
        <f aca="false">J329*N(INDEX('04_MAQUINAS'!$F$2:$F$18,MATCH(E329,'04_MAQUINAS'!$A$2:$A$18,0)))</f>
        <v>19.052</v>
      </c>
      <c r="M329" s="17" t="n">
        <f aca="false">J329*INDEX('04_MAQUINAS'!$G$2:$G$18,MATCH(E329,'04_MAQUINAS'!$A$2:$A$18,0))*INDEX('04_MAQUINAS'!$H$2:$H$18,MATCH(E329,'04_MAQUINAS'!$A$2:$A$18,0))</f>
        <v>0.3897</v>
      </c>
      <c r="N329" s="2" t="s">
        <v>629</v>
      </c>
    </row>
    <row r="330" customFormat="false" ht="15" hidden="false" customHeight="false" outlineLevel="0" collapsed="false">
      <c r="A330" s="2" t="s">
        <v>552</v>
      </c>
      <c r="B330" s="2" t="s">
        <v>96</v>
      </c>
      <c r="C330" s="4" t="n">
        <v>3</v>
      </c>
      <c r="D330" s="2" t="s">
        <v>386</v>
      </c>
      <c r="E330" s="2" t="s">
        <v>383</v>
      </c>
      <c r="F330" s="5" t="n">
        <f aca="false">INDEX('08_PEDIDOS'!$D$2:$D$97,MATCH(A330,'08_PEDIDOS'!$A$2:$A$97,0))</f>
        <v>7</v>
      </c>
      <c r="G330" s="5" t="n">
        <f aca="false">INDEX('08_PEDIDOS'!$H$2:$H$97,MATCH(A330,'08_PEDIDOS'!$A$2:$A$97,0))</f>
        <v>10</v>
      </c>
      <c r="H330" s="17" t="n">
        <f aca="false">SUMIFS('05_RUTAS'!$F$2:$F$407,'05_RUTAS'!$A$2:$A$407,B330,'05_RUTAS'!$C$2:$C$407,C330)</f>
        <v>10</v>
      </c>
      <c r="I330" s="18" t="n">
        <f aca="false">SUMIFS('05_RUTAS'!$G$2:$G$407,'05_RUTAS'!$A$2:$A$407,B330,'05_RUTAS'!$C$2:$C$407,C330)</f>
        <v>67</v>
      </c>
      <c r="J330" s="18" t="n">
        <f aca="false">(ROUNDUP(F330/G330,0)*H330+F330*I330)/60</f>
        <v>7.98333333333333</v>
      </c>
      <c r="K330" s="5" t="n">
        <f aca="false">MONTH(INDEX('08_PEDIDOS'!$F$2:$F$97,MATCH(A330,'08_PEDIDOS'!$A$2:$A$97,0)))</f>
        <v>4</v>
      </c>
      <c r="L330" s="16" t="n">
        <f aca="false">J330*N(INDEX('04_MAQUINAS'!$F$2:$F$18,MATCH(E330,'04_MAQUINAS'!$A$2:$A$18,0)))</f>
        <v>175.633333333333</v>
      </c>
      <c r="M330" s="17" t="n">
        <f aca="false">J330*INDEX('04_MAQUINAS'!$G$2:$G$18,MATCH(E330,'04_MAQUINAS'!$A$2:$A$18,0))*INDEX('04_MAQUINAS'!$H$2:$H$18,MATCH(E330,'04_MAQUINAS'!$A$2:$A$18,0))</f>
        <v>2.19541666666667</v>
      </c>
      <c r="N330" s="2" t="s">
        <v>629</v>
      </c>
    </row>
    <row r="331" customFormat="false" ht="15" hidden="false" customHeight="false" outlineLevel="0" collapsed="false">
      <c r="A331" s="2" t="s">
        <v>552</v>
      </c>
      <c r="B331" s="2" t="s">
        <v>96</v>
      </c>
      <c r="C331" s="4" t="n">
        <v>4</v>
      </c>
      <c r="D331" s="2" t="s">
        <v>390</v>
      </c>
      <c r="E331" s="2" t="s">
        <v>387</v>
      </c>
      <c r="F331" s="5" t="n">
        <f aca="false">INDEX('08_PEDIDOS'!$D$2:$D$97,MATCH(A331,'08_PEDIDOS'!$A$2:$A$97,0))</f>
        <v>7</v>
      </c>
      <c r="G331" s="5" t="n">
        <f aca="false">INDEX('08_PEDIDOS'!$H$2:$H$97,MATCH(A331,'08_PEDIDOS'!$A$2:$A$97,0))</f>
        <v>10</v>
      </c>
      <c r="H331" s="17" t="n">
        <f aca="false">SUMIFS('05_RUTAS'!$F$2:$F$407,'05_RUTAS'!$A$2:$A$407,B331,'05_RUTAS'!$C$2:$C$407,C331)</f>
        <v>12</v>
      </c>
      <c r="I331" s="18" t="n">
        <f aca="false">SUMIFS('05_RUTAS'!$G$2:$G$407,'05_RUTAS'!$A$2:$A$407,B331,'05_RUTAS'!$C$2:$C$407,C331)</f>
        <v>124</v>
      </c>
      <c r="J331" s="18" t="n">
        <f aca="false">(ROUNDUP(F331/G331,0)*H331+F331*I331)/60</f>
        <v>14.6666666666667</v>
      </c>
      <c r="K331" s="5" t="n">
        <f aca="false">MONTH(INDEX('08_PEDIDOS'!$F$2:$F$97,MATCH(A331,'08_PEDIDOS'!$A$2:$A$97,0)))</f>
        <v>4</v>
      </c>
      <c r="L331" s="16" t="n">
        <f aca="false">J331*N(INDEX('04_MAQUINAS'!$F$2:$F$18,MATCH(E331,'04_MAQUINAS'!$A$2:$A$18,0)))</f>
        <v>410.666666666667</v>
      </c>
      <c r="M331" s="17" t="n">
        <f aca="false">J331*INDEX('04_MAQUINAS'!$G$2:$G$18,MATCH(E331,'04_MAQUINAS'!$A$2:$A$18,0))*INDEX('04_MAQUINAS'!$H$2:$H$18,MATCH(E331,'04_MAQUINAS'!$A$2:$A$18,0))</f>
        <v>36.3</v>
      </c>
      <c r="N331" s="2" t="s">
        <v>629</v>
      </c>
    </row>
    <row r="332" customFormat="false" ht="15" hidden="false" customHeight="false" outlineLevel="0" collapsed="false">
      <c r="A332" s="2" t="s">
        <v>552</v>
      </c>
      <c r="B332" s="2" t="s">
        <v>96</v>
      </c>
      <c r="C332" s="4" t="n">
        <v>5</v>
      </c>
      <c r="D332" s="2" t="s">
        <v>442</v>
      </c>
      <c r="E332" s="2" t="s">
        <v>391</v>
      </c>
      <c r="F332" s="5" t="n">
        <f aca="false">INDEX('08_PEDIDOS'!$D$2:$D$97,MATCH(A332,'08_PEDIDOS'!$A$2:$A$97,0))</f>
        <v>7</v>
      </c>
      <c r="G332" s="5" t="n">
        <f aca="false">INDEX('08_PEDIDOS'!$H$2:$H$97,MATCH(A332,'08_PEDIDOS'!$A$2:$A$97,0))</f>
        <v>10</v>
      </c>
      <c r="H332" s="17" t="n">
        <f aca="false">SUMIFS('05_RUTAS'!$F$2:$F$407,'05_RUTAS'!$A$2:$A$407,B332,'05_RUTAS'!$C$2:$C$407,C332)</f>
        <v>10</v>
      </c>
      <c r="I332" s="18" t="n">
        <f aca="false">SUMIFS('05_RUTAS'!$G$2:$G$407,'05_RUTAS'!$A$2:$A$407,B332,'05_RUTAS'!$C$2:$C$407,C332)</f>
        <v>5.6</v>
      </c>
      <c r="J332" s="18" t="n">
        <f aca="false">(ROUNDUP(F332/G332,0)*H332+F332*I332)/60</f>
        <v>0.82</v>
      </c>
      <c r="K332" s="5" t="n">
        <f aca="false">MONTH(INDEX('08_PEDIDOS'!$F$2:$F$97,MATCH(A332,'08_PEDIDOS'!$A$2:$A$97,0)))</f>
        <v>4</v>
      </c>
      <c r="L332" s="16" t="n">
        <f aca="false">J332*N(INDEX('04_MAQUINAS'!$F$2:$F$18,MATCH(E332,'04_MAQUINAS'!$A$2:$A$18,0)))</f>
        <v>26.24</v>
      </c>
      <c r="M332" s="17" t="n">
        <f aca="false">J332*INDEX('04_MAQUINAS'!$G$2:$G$18,MATCH(E332,'04_MAQUINAS'!$A$2:$A$18,0))*INDEX('04_MAQUINAS'!$H$2:$H$18,MATCH(E332,'04_MAQUINAS'!$A$2:$A$18,0))</f>
        <v>1.435</v>
      </c>
      <c r="N332" s="2" t="s">
        <v>629</v>
      </c>
    </row>
    <row r="333" customFormat="false" ht="15" hidden="false" customHeight="false" outlineLevel="0" collapsed="false">
      <c r="A333" s="2" t="s">
        <v>552</v>
      </c>
      <c r="B333" s="2" t="s">
        <v>96</v>
      </c>
      <c r="C333" s="4" t="n">
        <v>6</v>
      </c>
      <c r="D333" s="2" t="s">
        <v>443</v>
      </c>
      <c r="E333" s="2" t="s">
        <v>395</v>
      </c>
      <c r="F333" s="5" t="n">
        <f aca="false">INDEX('08_PEDIDOS'!$D$2:$D$97,MATCH(A333,'08_PEDIDOS'!$A$2:$A$97,0))</f>
        <v>7</v>
      </c>
      <c r="G333" s="5" t="n">
        <f aca="false">INDEX('08_PEDIDOS'!$H$2:$H$97,MATCH(A333,'08_PEDIDOS'!$A$2:$A$97,0))</f>
        <v>10</v>
      </c>
      <c r="H333" s="17" t="n">
        <f aca="false">SUMIFS('05_RUTAS'!$F$2:$F$407,'05_RUTAS'!$A$2:$A$407,B333,'05_RUTAS'!$C$2:$C$407,C333)</f>
        <v>3</v>
      </c>
      <c r="I333" s="18" t="n">
        <f aca="false">SUMIFS('05_RUTAS'!$G$2:$G$407,'05_RUTAS'!$A$2:$A$407,B333,'05_RUTAS'!$C$2:$C$407,C333)</f>
        <v>33</v>
      </c>
      <c r="J333" s="18" t="n">
        <f aca="false">(ROUNDUP(F333/G333,0)*H333+F333*I333)/60</f>
        <v>3.9</v>
      </c>
      <c r="K333" s="5" t="n">
        <f aca="false">MONTH(INDEX('08_PEDIDOS'!$F$2:$F$97,MATCH(A333,'08_PEDIDOS'!$A$2:$A$97,0)))</f>
        <v>4</v>
      </c>
      <c r="L333" s="16" t="n">
        <f aca="false">J333*N(INDEX('04_MAQUINAS'!$F$2:$F$18,MATCH(E333,'04_MAQUINAS'!$A$2:$A$18,0)))</f>
        <v>81.9</v>
      </c>
      <c r="M333" s="17" t="n">
        <f aca="false">J333*INDEX('04_MAQUINAS'!$G$2:$G$18,MATCH(E333,'04_MAQUINAS'!$A$2:$A$18,0))*INDEX('04_MAQUINAS'!$H$2:$H$18,MATCH(E333,'04_MAQUINAS'!$A$2:$A$18,0))</f>
        <v>2.925</v>
      </c>
      <c r="N333" s="2" t="s">
        <v>629</v>
      </c>
    </row>
    <row r="334" customFormat="false" ht="15" hidden="false" customHeight="false" outlineLevel="0" collapsed="false">
      <c r="A334" s="2" t="s">
        <v>552</v>
      </c>
      <c r="B334" s="2" t="s">
        <v>96</v>
      </c>
      <c r="C334" s="4" t="n">
        <v>7</v>
      </c>
      <c r="D334" s="2" t="s">
        <v>444</v>
      </c>
      <c r="E334" s="2" t="s">
        <v>399</v>
      </c>
      <c r="F334" s="5" t="n">
        <f aca="false">INDEX('08_PEDIDOS'!$D$2:$D$97,MATCH(A334,'08_PEDIDOS'!$A$2:$A$97,0))</f>
        <v>7</v>
      </c>
      <c r="G334" s="5" t="n">
        <f aca="false">INDEX('08_PEDIDOS'!$H$2:$H$97,MATCH(A334,'08_PEDIDOS'!$A$2:$A$97,0))</f>
        <v>10</v>
      </c>
      <c r="H334" s="17" t="n">
        <f aca="false">SUMIFS('05_RUTAS'!$F$2:$F$407,'05_RUTAS'!$A$2:$A$407,B334,'05_RUTAS'!$C$2:$C$407,C334)</f>
        <v>6</v>
      </c>
      <c r="I334" s="18" t="n">
        <f aca="false">SUMIFS('05_RUTAS'!$G$2:$G$407,'05_RUTAS'!$A$2:$A$407,B334,'05_RUTAS'!$C$2:$C$407,C334)</f>
        <v>27.0712</v>
      </c>
      <c r="J334" s="18" t="n">
        <f aca="false">(ROUNDUP(F334/G334,0)*H334+F334*I334)/60</f>
        <v>3.25830666666667</v>
      </c>
      <c r="K334" s="5" t="n">
        <f aca="false">MONTH(INDEX('08_PEDIDOS'!$F$2:$F$97,MATCH(A334,'08_PEDIDOS'!$A$2:$A$97,0)))</f>
        <v>4</v>
      </c>
      <c r="L334" s="16" t="n">
        <f aca="false">J334*N(INDEX('04_MAQUINAS'!$F$2:$F$18,MATCH(E334,'04_MAQUINAS'!$A$2:$A$18,0)))</f>
        <v>61.9078266666667</v>
      </c>
      <c r="M334" s="17" t="n">
        <f aca="false">J334*INDEX('04_MAQUINAS'!$G$2:$G$18,MATCH(E334,'04_MAQUINAS'!$A$2:$A$18,0))*INDEX('04_MAQUINAS'!$H$2:$H$18,MATCH(E334,'04_MAQUINAS'!$A$2:$A$18,0))</f>
        <v>2.86730986666667</v>
      </c>
      <c r="N334" s="2" t="s">
        <v>629</v>
      </c>
    </row>
    <row r="335" customFormat="false" ht="15" hidden="false" customHeight="false" outlineLevel="0" collapsed="false">
      <c r="A335" s="2" t="s">
        <v>552</v>
      </c>
      <c r="B335" s="2" t="s">
        <v>96</v>
      </c>
      <c r="C335" s="4" t="n">
        <v>8</v>
      </c>
      <c r="D335" s="2" t="s">
        <v>445</v>
      </c>
      <c r="E335" s="2" t="s">
        <v>402</v>
      </c>
      <c r="F335" s="5" t="n">
        <f aca="false">INDEX('08_PEDIDOS'!$D$2:$D$97,MATCH(A335,'08_PEDIDOS'!$A$2:$A$97,0))</f>
        <v>7</v>
      </c>
      <c r="G335" s="5" t="n">
        <f aca="false">INDEX('08_PEDIDOS'!$H$2:$H$97,MATCH(A335,'08_PEDIDOS'!$A$2:$A$97,0))</f>
        <v>10</v>
      </c>
      <c r="H335" s="17" t="n">
        <f aca="false">SUMIFS('05_RUTAS'!$F$2:$F$407,'05_RUTAS'!$A$2:$A$407,B335,'05_RUTAS'!$C$2:$C$407,C335)</f>
        <v>12</v>
      </c>
      <c r="I335" s="18" t="n">
        <f aca="false">SUMIFS('05_RUTAS'!$G$2:$G$407,'05_RUTAS'!$A$2:$A$407,B335,'05_RUTAS'!$C$2:$C$407,C335)</f>
        <v>7.34</v>
      </c>
      <c r="J335" s="18" t="n">
        <f aca="false">(ROUNDUP(F335/G335,0)*H335+F335*I335)/60</f>
        <v>1.05633333333333</v>
      </c>
      <c r="K335" s="5" t="n">
        <f aca="false">MONTH(INDEX('08_PEDIDOS'!$F$2:$F$97,MATCH(A335,'08_PEDIDOS'!$A$2:$A$97,0)))</f>
        <v>4</v>
      </c>
      <c r="L335" s="16" t="n">
        <f aca="false">J335*N(INDEX('04_MAQUINAS'!$F$2:$F$18,MATCH(E335,'04_MAQUINAS'!$A$2:$A$18,0)))</f>
        <v>33.8026666666667</v>
      </c>
      <c r="M335" s="17" t="n">
        <f aca="false">J335*INDEX('04_MAQUINAS'!$G$2:$G$18,MATCH(E335,'04_MAQUINAS'!$A$2:$A$18,0))*INDEX('04_MAQUINAS'!$H$2:$H$18,MATCH(E335,'04_MAQUINAS'!$A$2:$A$18,0))</f>
        <v>1.10915</v>
      </c>
      <c r="N335" s="2" t="s">
        <v>629</v>
      </c>
    </row>
    <row r="336" customFormat="false" ht="15" hidden="false" customHeight="false" outlineLevel="0" collapsed="false">
      <c r="A336" s="2" t="s">
        <v>552</v>
      </c>
      <c r="B336" s="2" t="s">
        <v>96</v>
      </c>
      <c r="C336" s="4" t="n">
        <v>9</v>
      </c>
      <c r="D336" s="2" t="s">
        <v>447</v>
      </c>
      <c r="E336" s="2" t="s">
        <v>421</v>
      </c>
      <c r="F336" s="5" t="n">
        <f aca="false">INDEX('08_PEDIDOS'!$D$2:$D$97,MATCH(A336,'08_PEDIDOS'!$A$2:$A$97,0))</f>
        <v>7</v>
      </c>
      <c r="G336" s="5" t="n">
        <f aca="false">INDEX('08_PEDIDOS'!$H$2:$H$97,MATCH(A336,'08_PEDIDOS'!$A$2:$A$97,0))</f>
        <v>10</v>
      </c>
      <c r="H336" s="17" t="n">
        <f aca="false">SUMIFS('05_RUTAS'!$F$2:$F$407,'05_RUTAS'!$A$2:$A$407,B336,'05_RUTAS'!$C$2:$C$407,C336)</f>
        <v>45</v>
      </c>
      <c r="I336" s="18" t="n">
        <f aca="false">SUMIFS('05_RUTAS'!$G$2:$G$407,'05_RUTAS'!$A$2:$A$407,B336,'05_RUTAS'!$C$2:$C$407,C336)</f>
        <v>0</v>
      </c>
      <c r="J336" s="18" t="n">
        <f aca="false">(ROUNDUP(F336/G336,0)*H336+F336*I336)/60</f>
        <v>0.75</v>
      </c>
      <c r="K336" s="5" t="n">
        <f aca="false">MONTH(INDEX('08_PEDIDOS'!$F$2:$F$97,MATCH(A336,'08_PEDIDOS'!$A$2:$A$97,0)))</f>
        <v>4</v>
      </c>
      <c r="L336" s="16" t="n">
        <f aca="false">J336*N(INDEX('04_MAQUINAS'!$F$2:$F$18,MATCH(E336,'04_MAQUINAS'!$A$2:$A$18,0)))</f>
        <v>19.5</v>
      </c>
      <c r="M336" s="17" t="n">
        <f aca="false">J336*INDEX('04_MAQUINAS'!$G$2:$G$18,MATCH(E336,'04_MAQUINAS'!$A$2:$A$18,0))*INDEX('04_MAQUINAS'!$H$2:$H$18,MATCH(E336,'04_MAQUINAS'!$A$2:$A$18,0))</f>
        <v>10.8</v>
      </c>
      <c r="N336" s="2" t="s">
        <v>629</v>
      </c>
    </row>
    <row r="337" customFormat="false" ht="15" hidden="false" customHeight="false" outlineLevel="0" collapsed="false">
      <c r="A337" s="2" t="s">
        <v>552</v>
      </c>
      <c r="B337" s="2" t="s">
        <v>96</v>
      </c>
      <c r="C337" s="4" t="n">
        <v>10</v>
      </c>
      <c r="D337" s="2" t="s">
        <v>449</v>
      </c>
      <c r="E337" s="2" t="s">
        <v>423</v>
      </c>
      <c r="F337" s="5" t="n">
        <f aca="false">INDEX('08_PEDIDOS'!$D$2:$D$97,MATCH(A337,'08_PEDIDOS'!$A$2:$A$97,0))</f>
        <v>7</v>
      </c>
      <c r="G337" s="5" t="n">
        <f aca="false">INDEX('08_PEDIDOS'!$H$2:$H$97,MATCH(A337,'08_PEDIDOS'!$A$2:$A$97,0))</f>
        <v>10</v>
      </c>
      <c r="H337" s="17" t="n">
        <f aca="false">SUMIFS('05_RUTAS'!$F$2:$F$407,'05_RUTAS'!$A$2:$A$407,B337,'05_RUTAS'!$C$2:$C$407,C337)</f>
        <v>8</v>
      </c>
      <c r="I337" s="18" t="n">
        <f aca="false">SUMIFS('05_RUTAS'!$G$2:$G$407,'05_RUTAS'!$A$2:$A$407,B337,'05_RUTAS'!$C$2:$C$407,C337)</f>
        <v>2.54</v>
      </c>
      <c r="J337" s="18" t="n">
        <f aca="false">(ROUNDUP(F337/G337,0)*H337+F337*I337)/60</f>
        <v>0.429666666666667</v>
      </c>
      <c r="K337" s="5" t="n">
        <f aca="false">MONTH(INDEX('08_PEDIDOS'!$F$2:$F$97,MATCH(A337,'08_PEDIDOS'!$A$2:$A$97,0)))</f>
        <v>4</v>
      </c>
      <c r="L337" s="16" t="n">
        <f aca="false">J337*N(INDEX('04_MAQUINAS'!$F$2:$F$18,MATCH(E337,'04_MAQUINAS'!$A$2:$A$18,0)))</f>
        <v>6.87466666666667</v>
      </c>
      <c r="M337" s="17" t="n">
        <f aca="false">J337*INDEX('04_MAQUINAS'!$G$2:$G$18,MATCH(E337,'04_MAQUINAS'!$A$2:$A$18,0))*INDEX('04_MAQUINAS'!$H$2:$H$18,MATCH(E337,'04_MAQUINAS'!$A$2:$A$18,0))</f>
        <v>0.107416666666667</v>
      </c>
      <c r="N337" s="2" t="s">
        <v>629</v>
      </c>
    </row>
    <row r="338" customFormat="false" ht="15" hidden="false" customHeight="false" outlineLevel="0" collapsed="false">
      <c r="A338" s="2" t="s">
        <v>552</v>
      </c>
      <c r="B338" s="2" t="s">
        <v>96</v>
      </c>
      <c r="C338" s="4" t="n">
        <v>11</v>
      </c>
      <c r="D338" s="2" t="s">
        <v>450</v>
      </c>
      <c r="E338" s="2" t="s">
        <v>406</v>
      </c>
      <c r="F338" s="5" t="n">
        <f aca="false">INDEX('08_PEDIDOS'!$D$2:$D$97,MATCH(A338,'08_PEDIDOS'!$A$2:$A$97,0))</f>
        <v>7</v>
      </c>
      <c r="G338" s="5" t="n">
        <f aca="false">INDEX('08_PEDIDOS'!$H$2:$H$97,MATCH(A338,'08_PEDIDOS'!$A$2:$A$97,0))</f>
        <v>10</v>
      </c>
      <c r="H338" s="17" t="n">
        <f aca="false">SUMIFS('05_RUTAS'!$F$2:$F$407,'05_RUTAS'!$A$2:$A$407,B338,'05_RUTAS'!$C$2:$C$407,C338)</f>
        <v>6</v>
      </c>
      <c r="I338" s="18" t="n">
        <f aca="false">SUMIFS('05_RUTAS'!$G$2:$G$407,'05_RUTAS'!$A$2:$A$407,B338,'05_RUTAS'!$C$2:$C$407,C338)</f>
        <v>48.75</v>
      </c>
      <c r="J338" s="18" t="n">
        <f aca="false">(ROUNDUP(F338/G338,0)*H338+F338*I338)/60</f>
        <v>5.7875</v>
      </c>
      <c r="K338" s="5" t="n">
        <f aca="false">MONTH(INDEX('08_PEDIDOS'!$F$2:$F$97,MATCH(A338,'08_PEDIDOS'!$A$2:$A$97,0)))</f>
        <v>4</v>
      </c>
      <c r="L338" s="16" t="n">
        <f aca="false">J338*N(INDEX('04_MAQUINAS'!$F$2:$F$18,MATCH(E338,'04_MAQUINAS'!$A$2:$A$18,0)))</f>
        <v>109.9625</v>
      </c>
      <c r="M338" s="17" t="n">
        <f aca="false">J338*INDEX('04_MAQUINAS'!$G$2:$G$18,MATCH(E338,'04_MAQUINAS'!$A$2:$A$18,0))*INDEX('04_MAQUINAS'!$H$2:$H$18,MATCH(E338,'04_MAQUINAS'!$A$2:$A$18,0))</f>
        <v>1.73625</v>
      </c>
      <c r="N338" s="2" t="s">
        <v>629</v>
      </c>
    </row>
    <row r="339" customFormat="false" ht="15" hidden="false" customHeight="false" outlineLevel="0" collapsed="false">
      <c r="A339" s="2" t="s">
        <v>552</v>
      </c>
      <c r="B339" s="2" t="s">
        <v>96</v>
      </c>
      <c r="C339" s="4" t="n">
        <v>12</v>
      </c>
      <c r="D339" s="2" t="s">
        <v>451</v>
      </c>
      <c r="E339" s="2" t="s">
        <v>408</v>
      </c>
      <c r="F339" s="5" t="n">
        <f aca="false">INDEX('08_PEDIDOS'!$D$2:$D$97,MATCH(A339,'08_PEDIDOS'!$A$2:$A$97,0))</f>
        <v>7</v>
      </c>
      <c r="G339" s="5" t="n">
        <f aca="false">INDEX('08_PEDIDOS'!$H$2:$H$97,MATCH(A339,'08_PEDIDOS'!$A$2:$A$97,0))</f>
        <v>10</v>
      </c>
      <c r="H339" s="17" t="n">
        <f aca="false">SUMIFS('05_RUTAS'!$F$2:$F$407,'05_RUTAS'!$A$2:$A$407,B339,'05_RUTAS'!$C$2:$C$407,C339)</f>
        <v>2</v>
      </c>
      <c r="I339" s="18" t="n">
        <f aca="false">SUMIFS('05_RUTAS'!$G$2:$G$407,'05_RUTAS'!$A$2:$A$407,B339,'05_RUTAS'!$C$2:$C$407,C339)</f>
        <v>3.67</v>
      </c>
      <c r="J339" s="18" t="n">
        <f aca="false">(ROUNDUP(F339/G339,0)*H339+F339*I339)/60</f>
        <v>0.4615</v>
      </c>
      <c r="K339" s="5" t="n">
        <f aca="false">MONTH(INDEX('08_PEDIDOS'!$F$2:$F$97,MATCH(A339,'08_PEDIDOS'!$A$2:$A$97,0)))</f>
        <v>4</v>
      </c>
      <c r="L339" s="16" t="n">
        <f aca="false">J339*N(INDEX('04_MAQUINAS'!$F$2:$F$18,MATCH(E339,'04_MAQUINAS'!$A$2:$A$18,0)))</f>
        <v>9.23</v>
      </c>
      <c r="M339" s="17" t="n">
        <f aca="false">J339*INDEX('04_MAQUINAS'!$G$2:$G$18,MATCH(E339,'04_MAQUINAS'!$A$2:$A$18,0))*INDEX('04_MAQUINAS'!$H$2:$H$18,MATCH(E339,'04_MAQUINAS'!$A$2:$A$18,0))</f>
        <v>0.04615</v>
      </c>
      <c r="N339" s="2" t="s">
        <v>629</v>
      </c>
    </row>
    <row r="340" customFormat="false" ht="15" hidden="false" customHeight="false" outlineLevel="0" collapsed="false">
      <c r="A340" s="2" t="s">
        <v>552</v>
      </c>
      <c r="B340" s="2" t="s">
        <v>96</v>
      </c>
      <c r="C340" s="4" t="n">
        <v>13</v>
      </c>
      <c r="D340" s="2" t="s">
        <v>452</v>
      </c>
      <c r="E340" s="2" t="s">
        <v>411</v>
      </c>
      <c r="F340" s="5" t="n">
        <f aca="false">INDEX('08_PEDIDOS'!$D$2:$D$97,MATCH(A340,'08_PEDIDOS'!$A$2:$A$97,0))</f>
        <v>7</v>
      </c>
      <c r="G340" s="5" t="n">
        <f aca="false">INDEX('08_PEDIDOS'!$H$2:$H$97,MATCH(A340,'08_PEDIDOS'!$A$2:$A$97,0))</f>
        <v>10</v>
      </c>
      <c r="H340" s="17" t="n">
        <f aca="false">SUMIFS('05_RUTAS'!$F$2:$F$407,'05_RUTAS'!$A$2:$A$407,B340,'05_RUTAS'!$C$2:$C$407,C340)</f>
        <v>2</v>
      </c>
      <c r="I340" s="18" t="n">
        <f aca="false">SUMIFS('05_RUTAS'!$G$2:$G$407,'05_RUTAS'!$A$2:$A$407,B340,'05_RUTAS'!$C$2:$C$407,C340)</f>
        <v>5</v>
      </c>
      <c r="J340" s="18" t="n">
        <f aca="false">(ROUNDUP(F340/G340,0)*H340+F340*I340)/60</f>
        <v>0.616666666666667</v>
      </c>
      <c r="K340" s="5" t="n">
        <f aca="false">MONTH(INDEX('08_PEDIDOS'!$F$2:$F$97,MATCH(A340,'08_PEDIDOS'!$A$2:$A$97,0)))</f>
        <v>4</v>
      </c>
      <c r="L340" s="16" t="n">
        <f aca="false">J340*N(INDEX('04_MAQUINAS'!$F$2:$F$18,MATCH(E340,'04_MAQUINAS'!$A$2:$A$18,0)))</f>
        <v>11.1</v>
      </c>
      <c r="M340" s="17" t="n">
        <f aca="false">J340*INDEX('04_MAQUINAS'!$G$2:$G$18,MATCH(E340,'04_MAQUINAS'!$A$2:$A$18,0))*INDEX('04_MAQUINAS'!$H$2:$H$18,MATCH(E340,'04_MAQUINAS'!$A$2:$A$18,0))</f>
        <v>0.0555</v>
      </c>
      <c r="N340" s="2" t="s">
        <v>629</v>
      </c>
    </row>
    <row r="341" customFormat="false" ht="15" hidden="false" customHeight="false" outlineLevel="0" collapsed="false">
      <c r="A341" s="2" t="s">
        <v>553</v>
      </c>
      <c r="B341" s="2" t="s">
        <v>106</v>
      </c>
      <c r="C341" s="4" t="n">
        <v>1</v>
      </c>
      <c r="D341" s="2" t="s">
        <v>437</v>
      </c>
      <c r="E341" s="2" t="s">
        <v>375</v>
      </c>
      <c r="F341" s="5" t="n">
        <f aca="false">INDEX('08_PEDIDOS'!$D$2:$D$97,MATCH(A341,'08_PEDIDOS'!$A$2:$A$97,0))</f>
        <v>5</v>
      </c>
      <c r="G341" s="5" t="n">
        <f aca="false">INDEX('08_PEDIDOS'!$H$2:$H$97,MATCH(A341,'08_PEDIDOS'!$A$2:$A$97,0))</f>
        <v>10</v>
      </c>
      <c r="H341" s="17" t="n">
        <f aca="false">SUMIFS('05_RUTAS'!$F$2:$F$407,'05_RUTAS'!$A$2:$A$407,B341,'05_RUTAS'!$C$2:$C$407,C341)</f>
        <v>8</v>
      </c>
      <c r="I341" s="18" t="n">
        <f aca="false">SUMIFS('05_RUTAS'!$G$2:$G$407,'05_RUTAS'!$A$2:$A$407,B341,'05_RUTAS'!$C$2:$C$407,C341)</f>
        <v>40.245</v>
      </c>
      <c r="J341" s="18" t="n">
        <f aca="false">(ROUNDUP(F341/G341,0)*H341+F341*I341)/60</f>
        <v>3.48708333333333</v>
      </c>
      <c r="K341" s="5" t="n">
        <f aca="false">MONTH(INDEX('08_PEDIDOS'!$F$2:$F$97,MATCH(A341,'08_PEDIDOS'!$A$2:$A$97,0)))</f>
        <v>4</v>
      </c>
      <c r="L341" s="16" t="n">
        <f aca="false">J341*N(INDEX('04_MAQUINAS'!$F$2:$F$18,MATCH(E341,'04_MAQUINAS'!$A$2:$A$18,0)))</f>
        <v>83.69</v>
      </c>
      <c r="M341" s="17" t="n">
        <f aca="false">J341*INDEX('04_MAQUINAS'!$G$2:$G$18,MATCH(E341,'04_MAQUINAS'!$A$2:$A$18,0))*INDEX('04_MAQUINAS'!$H$2:$H$18,MATCH(E341,'04_MAQUINAS'!$A$2:$A$18,0))</f>
        <v>9.58947916666667</v>
      </c>
      <c r="N341" s="2" t="s">
        <v>629</v>
      </c>
    </row>
    <row r="342" customFormat="false" ht="15" hidden="false" customHeight="false" outlineLevel="0" collapsed="false">
      <c r="A342" s="2" t="s">
        <v>553</v>
      </c>
      <c r="B342" s="2" t="s">
        <v>106</v>
      </c>
      <c r="C342" s="4" t="n">
        <v>2</v>
      </c>
      <c r="D342" s="2" t="s">
        <v>386</v>
      </c>
      <c r="E342" s="2" t="s">
        <v>383</v>
      </c>
      <c r="F342" s="5" t="n">
        <f aca="false">INDEX('08_PEDIDOS'!$D$2:$D$97,MATCH(A342,'08_PEDIDOS'!$A$2:$A$97,0))</f>
        <v>5</v>
      </c>
      <c r="G342" s="5" t="n">
        <f aca="false">INDEX('08_PEDIDOS'!$H$2:$H$97,MATCH(A342,'08_PEDIDOS'!$A$2:$A$97,0))</f>
        <v>10</v>
      </c>
      <c r="H342" s="17" t="n">
        <f aca="false">SUMIFS('05_RUTAS'!$F$2:$F$407,'05_RUTAS'!$A$2:$A$407,B342,'05_RUTAS'!$C$2:$C$407,C342)</f>
        <v>10</v>
      </c>
      <c r="I342" s="18" t="n">
        <f aca="false">SUMIFS('05_RUTAS'!$G$2:$G$407,'05_RUTAS'!$A$2:$A$407,B342,'05_RUTAS'!$C$2:$C$407,C342)</f>
        <v>14.8</v>
      </c>
      <c r="J342" s="18" t="n">
        <f aca="false">(ROUNDUP(F342/G342,0)*H342+F342*I342)/60</f>
        <v>1.4</v>
      </c>
      <c r="K342" s="5" t="n">
        <f aca="false">MONTH(INDEX('08_PEDIDOS'!$F$2:$F$97,MATCH(A342,'08_PEDIDOS'!$A$2:$A$97,0)))</f>
        <v>4</v>
      </c>
      <c r="L342" s="16" t="n">
        <f aca="false">J342*N(INDEX('04_MAQUINAS'!$F$2:$F$18,MATCH(E342,'04_MAQUINAS'!$A$2:$A$18,0)))</f>
        <v>30.8</v>
      </c>
      <c r="M342" s="17" t="n">
        <f aca="false">J342*INDEX('04_MAQUINAS'!$G$2:$G$18,MATCH(E342,'04_MAQUINAS'!$A$2:$A$18,0))*INDEX('04_MAQUINAS'!$H$2:$H$18,MATCH(E342,'04_MAQUINAS'!$A$2:$A$18,0))</f>
        <v>0.385</v>
      </c>
      <c r="N342" s="2" t="s">
        <v>629</v>
      </c>
    </row>
    <row r="343" customFormat="false" ht="15" hidden="false" customHeight="false" outlineLevel="0" collapsed="false">
      <c r="A343" s="2" t="s">
        <v>553</v>
      </c>
      <c r="B343" s="2" t="s">
        <v>106</v>
      </c>
      <c r="C343" s="4" t="n">
        <v>3</v>
      </c>
      <c r="D343" s="2" t="s">
        <v>390</v>
      </c>
      <c r="E343" s="2" t="s">
        <v>387</v>
      </c>
      <c r="F343" s="5" t="n">
        <f aca="false">INDEX('08_PEDIDOS'!$D$2:$D$97,MATCH(A343,'08_PEDIDOS'!$A$2:$A$97,0))</f>
        <v>5</v>
      </c>
      <c r="G343" s="5" t="n">
        <f aca="false">INDEX('08_PEDIDOS'!$H$2:$H$97,MATCH(A343,'08_PEDIDOS'!$A$2:$A$97,0))</f>
        <v>10</v>
      </c>
      <c r="H343" s="17" t="n">
        <f aca="false">SUMIFS('05_RUTAS'!$F$2:$F$407,'05_RUTAS'!$A$2:$A$407,B343,'05_RUTAS'!$C$2:$C$407,C343)</f>
        <v>12</v>
      </c>
      <c r="I343" s="18" t="n">
        <f aca="false">SUMIFS('05_RUTAS'!$G$2:$G$407,'05_RUTAS'!$A$2:$A$407,B343,'05_RUTAS'!$C$2:$C$407,C343)</f>
        <v>104</v>
      </c>
      <c r="J343" s="18" t="n">
        <f aca="false">(ROUNDUP(F343/G343,0)*H343+F343*I343)/60</f>
        <v>8.86666666666667</v>
      </c>
      <c r="K343" s="5" t="n">
        <f aca="false">MONTH(INDEX('08_PEDIDOS'!$F$2:$F$97,MATCH(A343,'08_PEDIDOS'!$A$2:$A$97,0)))</f>
        <v>4</v>
      </c>
      <c r="L343" s="16" t="n">
        <f aca="false">J343*N(INDEX('04_MAQUINAS'!$F$2:$F$18,MATCH(E343,'04_MAQUINAS'!$A$2:$A$18,0)))</f>
        <v>248.266666666667</v>
      </c>
      <c r="M343" s="17" t="n">
        <f aca="false">J343*INDEX('04_MAQUINAS'!$G$2:$G$18,MATCH(E343,'04_MAQUINAS'!$A$2:$A$18,0))*INDEX('04_MAQUINAS'!$H$2:$H$18,MATCH(E343,'04_MAQUINAS'!$A$2:$A$18,0))</f>
        <v>21.945</v>
      </c>
      <c r="N343" s="2" t="s">
        <v>629</v>
      </c>
    </row>
    <row r="344" customFormat="false" ht="15" hidden="false" customHeight="false" outlineLevel="0" collapsed="false">
      <c r="A344" s="2" t="s">
        <v>553</v>
      </c>
      <c r="B344" s="2" t="s">
        <v>106</v>
      </c>
      <c r="C344" s="4" t="n">
        <v>4</v>
      </c>
      <c r="D344" s="2" t="s">
        <v>443</v>
      </c>
      <c r="E344" s="2" t="s">
        <v>395</v>
      </c>
      <c r="F344" s="5" t="n">
        <f aca="false">INDEX('08_PEDIDOS'!$D$2:$D$97,MATCH(A344,'08_PEDIDOS'!$A$2:$A$97,0))</f>
        <v>5</v>
      </c>
      <c r="G344" s="5" t="n">
        <f aca="false">INDEX('08_PEDIDOS'!$H$2:$H$97,MATCH(A344,'08_PEDIDOS'!$A$2:$A$97,0))</f>
        <v>10</v>
      </c>
      <c r="H344" s="17" t="n">
        <f aca="false">SUMIFS('05_RUTAS'!$F$2:$F$407,'05_RUTAS'!$A$2:$A$407,B344,'05_RUTAS'!$C$2:$C$407,C344)</f>
        <v>3</v>
      </c>
      <c r="I344" s="18" t="n">
        <f aca="false">SUMIFS('05_RUTAS'!$G$2:$G$407,'05_RUTAS'!$A$2:$A$407,B344,'05_RUTAS'!$C$2:$C$407,C344)</f>
        <v>18</v>
      </c>
      <c r="J344" s="18" t="n">
        <f aca="false">(ROUNDUP(F344/G344,0)*H344+F344*I344)/60</f>
        <v>1.55</v>
      </c>
      <c r="K344" s="5" t="n">
        <f aca="false">MONTH(INDEX('08_PEDIDOS'!$F$2:$F$97,MATCH(A344,'08_PEDIDOS'!$A$2:$A$97,0)))</f>
        <v>4</v>
      </c>
      <c r="L344" s="16" t="n">
        <f aca="false">J344*N(INDEX('04_MAQUINAS'!$F$2:$F$18,MATCH(E344,'04_MAQUINAS'!$A$2:$A$18,0)))</f>
        <v>32.55</v>
      </c>
      <c r="M344" s="17" t="n">
        <f aca="false">J344*INDEX('04_MAQUINAS'!$G$2:$G$18,MATCH(E344,'04_MAQUINAS'!$A$2:$A$18,0))*INDEX('04_MAQUINAS'!$H$2:$H$18,MATCH(E344,'04_MAQUINAS'!$A$2:$A$18,0))</f>
        <v>1.1625</v>
      </c>
      <c r="N344" s="2" t="s">
        <v>629</v>
      </c>
    </row>
    <row r="345" customFormat="false" ht="15" hidden="false" customHeight="false" outlineLevel="0" collapsed="false">
      <c r="A345" s="2" t="s">
        <v>553</v>
      </c>
      <c r="B345" s="2" t="s">
        <v>106</v>
      </c>
      <c r="C345" s="4" t="n">
        <v>5</v>
      </c>
      <c r="D345" s="2" t="s">
        <v>444</v>
      </c>
      <c r="E345" s="2" t="s">
        <v>399</v>
      </c>
      <c r="F345" s="5" t="n">
        <f aca="false">INDEX('08_PEDIDOS'!$D$2:$D$97,MATCH(A345,'08_PEDIDOS'!$A$2:$A$97,0))</f>
        <v>5</v>
      </c>
      <c r="G345" s="5" t="n">
        <f aca="false">INDEX('08_PEDIDOS'!$H$2:$H$97,MATCH(A345,'08_PEDIDOS'!$A$2:$A$97,0))</f>
        <v>10</v>
      </c>
      <c r="H345" s="17" t="n">
        <f aca="false">SUMIFS('05_RUTAS'!$F$2:$F$407,'05_RUTAS'!$A$2:$A$407,B345,'05_RUTAS'!$C$2:$C$407,C345)</f>
        <v>6</v>
      </c>
      <c r="I345" s="18" t="n">
        <f aca="false">SUMIFS('05_RUTAS'!$G$2:$G$407,'05_RUTAS'!$A$2:$A$407,B345,'05_RUTAS'!$C$2:$C$407,C345)</f>
        <v>26.324</v>
      </c>
      <c r="J345" s="18" t="n">
        <f aca="false">(ROUNDUP(F345/G345,0)*H345+F345*I345)/60</f>
        <v>2.29366666666667</v>
      </c>
      <c r="K345" s="5" t="n">
        <f aca="false">MONTH(INDEX('08_PEDIDOS'!$F$2:$F$97,MATCH(A345,'08_PEDIDOS'!$A$2:$A$97,0)))</f>
        <v>4</v>
      </c>
      <c r="L345" s="16" t="n">
        <f aca="false">J345*N(INDEX('04_MAQUINAS'!$F$2:$F$18,MATCH(E345,'04_MAQUINAS'!$A$2:$A$18,0)))</f>
        <v>43.5796666666667</v>
      </c>
      <c r="M345" s="17" t="n">
        <f aca="false">J345*INDEX('04_MAQUINAS'!$G$2:$G$18,MATCH(E345,'04_MAQUINAS'!$A$2:$A$18,0))*INDEX('04_MAQUINAS'!$H$2:$H$18,MATCH(E345,'04_MAQUINAS'!$A$2:$A$18,0))</f>
        <v>2.01842666666667</v>
      </c>
      <c r="N345" s="2" t="s">
        <v>629</v>
      </c>
    </row>
    <row r="346" customFormat="false" ht="15" hidden="false" customHeight="false" outlineLevel="0" collapsed="false">
      <c r="A346" s="2" t="s">
        <v>553</v>
      </c>
      <c r="B346" s="2" t="s">
        <v>106</v>
      </c>
      <c r="C346" s="4" t="n">
        <v>6</v>
      </c>
      <c r="D346" s="2" t="s">
        <v>445</v>
      </c>
      <c r="E346" s="2" t="s">
        <v>402</v>
      </c>
      <c r="F346" s="5" t="n">
        <f aca="false">INDEX('08_PEDIDOS'!$D$2:$D$97,MATCH(A346,'08_PEDIDOS'!$A$2:$A$97,0))</f>
        <v>5</v>
      </c>
      <c r="G346" s="5" t="n">
        <f aca="false">INDEX('08_PEDIDOS'!$H$2:$H$97,MATCH(A346,'08_PEDIDOS'!$A$2:$A$97,0))</f>
        <v>10</v>
      </c>
      <c r="H346" s="17" t="n">
        <f aca="false">SUMIFS('05_RUTAS'!$F$2:$F$407,'05_RUTAS'!$A$2:$A$407,B346,'05_RUTAS'!$C$2:$C$407,C346)</f>
        <v>12</v>
      </c>
      <c r="I346" s="18" t="n">
        <f aca="false">SUMIFS('05_RUTAS'!$G$2:$G$407,'05_RUTAS'!$A$2:$A$407,B346,'05_RUTAS'!$C$2:$C$407,C346)</f>
        <v>6.83</v>
      </c>
      <c r="J346" s="18" t="n">
        <f aca="false">(ROUNDUP(F346/G346,0)*H346+F346*I346)/60</f>
        <v>0.769166666666667</v>
      </c>
      <c r="K346" s="5" t="n">
        <f aca="false">MONTH(INDEX('08_PEDIDOS'!$F$2:$F$97,MATCH(A346,'08_PEDIDOS'!$A$2:$A$97,0)))</f>
        <v>4</v>
      </c>
      <c r="L346" s="16" t="n">
        <f aca="false">J346*N(INDEX('04_MAQUINAS'!$F$2:$F$18,MATCH(E346,'04_MAQUINAS'!$A$2:$A$18,0)))</f>
        <v>24.6133333333333</v>
      </c>
      <c r="M346" s="17" t="n">
        <f aca="false">J346*INDEX('04_MAQUINAS'!$G$2:$G$18,MATCH(E346,'04_MAQUINAS'!$A$2:$A$18,0))*INDEX('04_MAQUINAS'!$H$2:$H$18,MATCH(E346,'04_MAQUINAS'!$A$2:$A$18,0))</f>
        <v>0.807625</v>
      </c>
      <c r="N346" s="2" t="s">
        <v>629</v>
      </c>
    </row>
    <row r="347" customFormat="false" ht="15" hidden="false" customHeight="false" outlineLevel="0" collapsed="false">
      <c r="A347" s="2" t="s">
        <v>553</v>
      </c>
      <c r="B347" s="2" t="s">
        <v>106</v>
      </c>
      <c r="C347" s="4" t="n">
        <v>7</v>
      </c>
      <c r="D347" s="2" t="s">
        <v>447</v>
      </c>
      <c r="E347" s="2" t="s">
        <v>421</v>
      </c>
      <c r="F347" s="5" t="n">
        <f aca="false">INDEX('08_PEDIDOS'!$D$2:$D$97,MATCH(A347,'08_PEDIDOS'!$A$2:$A$97,0))</f>
        <v>5</v>
      </c>
      <c r="G347" s="5" t="n">
        <f aca="false">INDEX('08_PEDIDOS'!$H$2:$H$97,MATCH(A347,'08_PEDIDOS'!$A$2:$A$97,0))</f>
        <v>10</v>
      </c>
      <c r="H347" s="17" t="n">
        <f aca="false">SUMIFS('05_RUTAS'!$F$2:$F$407,'05_RUTAS'!$A$2:$A$407,B347,'05_RUTAS'!$C$2:$C$407,C347)</f>
        <v>45</v>
      </c>
      <c r="I347" s="18" t="n">
        <f aca="false">SUMIFS('05_RUTAS'!$G$2:$G$407,'05_RUTAS'!$A$2:$A$407,B347,'05_RUTAS'!$C$2:$C$407,C347)</f>
        <v>0</v>
      </c>
      <c r="J347" s="18" t="n">
        <f aca="false">(ROUNDUP(F347/G347,0)*H347+F347*I347)/60</f>
        <v>0.75</v>
      </c>
      <c r="K347" s="5" t="n">
        <f aca="false">MONTH(INDEX('08_PEDIDOS'!$F$2:$F$97,MATCH(A347,'08_PEDIDOS'!$A$2:$A$97,0)))</f>
        <v>4</v>
      </c>
      <c r="L347" s="16" t="n">
        <f aca="false">J347*N(INDEX('04_MAQUINAS'!$F$2:$F$18,MATCH(E347,'04_MAQUINAS'!$A$2:$A$18,0)))</f>
        <v>19.5</v>
      </c>
      <c r="M347" s="17" t="n">
        <f aca="false">J347*INDEX('04_MAQUINAS'!$G$2:$G$18,MATCH(E347,'04_MAQUINAS'!$A$2:$A$18,0))*INDEX('04_MAQUINAS'!$H$2:$H$18,MATCH(E347,'04_MAQUINAS'!$A$2:$A$18,0))</f>
        <v>10.8</v>
      </c>
      <c r="N347" s="2" t="s">
        <v>629</v>
      </c>
    </row>
    <row r="348" customFormat="false" ht="15" hidden="false" customHeight="false" outlineLevel="0" collapsed="false">
      <c r="A348" s="2" t="s">
        <v>553</v>
      </c>
      <c r="B348" s="2" t="s">
        <v>106</v>
      </c>
      <c r="C348" s="4" t="n">
        <v>8</v>
      </c>
      <c r="D348" s="2" t="s">
        <v>449</v>
      </c>
      <c r="E348" s="2" t="s">
        <v>423</v>
      </c>
      <c r="F348" s="5" t="n">
        <f aca="false">INDEX('08_PEDIDOS'!$D$2:$D$97,MATCH(A348,'08_PEDIDOS'!$A$2:$A$97,0))</f>
        <v>5</v>
      </c>
      <c r="G348" s="5" t="n">
        <f aca="false">INDEX('08_PEDIDOS'!$H$2:$H$97,MATCH(A348,'08_PEDIDOS'!$A$2:$A$97,0))</f>
        <v>10</v>
      </c>
      <c r="H348" s="17" t="n">
        <f aca="false">SUMIFS('05_RUTAS'!$F$2:$F$407,'05_RUTAS'!$A$2:$A$407,B348,'05_RUTAS'!$C$2:$C$407,C348)</f>
        <v>8</v>
      </c>
      <c r="I348" s="18" t="n">
        <f aca="false">SUMIFS('05_RUTAS'!$G$2:$G$407,'05_RUTAS'!$A$2:$A$407,B348,'05_RUTAS'!$C$2:$C$407,C348)</f>
        <v>2.42</v>
      </c>
      <c r="J348" s="18" t="n">
        <f aca="false">(ROUNDUP(F348/G348,0)*H348+F348*I348)/60</f>
        <v>0.335</v>
      </c>
      <c r="K348" s="5" t="n">
        <f aca="false">MONTH(INDEX('08_PEDIDOS'!$F$2:$F$97,MATCH(A348,'08_PEDIDOS'!$A$2:$A$97,0)))</f>
        <v>4</v>
      </c>
      <c r="L348" s="16" t="n">
        <f aca="false">J348*N(INDEX('04_MAQUINAS'!$F$2:$F$18,MATCH(E348,'04_MAQUINAS'!$A$2:$A$18,0)))</f>
        <v>5.36</v>
      </c>
      <c r="M348" s="17" t="n">
        <f aca="false">J348*INDEX('04_MAQUINAS'!$G$2:$G$18,MATCH(E348,'04_MAQUINAS'!$A$2:$A$18,0))*INDEX('04_MAQUINAS'!$H$2:$H$18,MATCH(E348,'04_MAQUINAS'!$A$2:$A$18,0))</f>
        <v>0.08375</v>
      </c>
      <c r="N348" s="2" t="s">
        <v>629</v>
      </c>
    </row>
    <row r="349" customFormat="false" ht="15" hidden="false" customHeight="false" outlineLevel="0" collapsed="false">
      <c r="A349" s="2" t="s">
        <v>553</v>
      </c>
      <c r="B349" s="2" t="s">
        <v>106</v>
      </c>
      <c r="C349" s="4" t="n">
        <v>9</v>
      </c>
      <c r="D349" s="2" t="s">
        <v>450</v>
      </c>
      <c r="E349" s="2" t="s">
        <v>406</v>
      </c>
      <c r="F349" s="5" t="n">
        <f aca="false">INDEX('08_PEDIDOS'!$D$2:$D$97,MATCH(A349,'08_PEDIDOS'!$A$2:$A$97,0))</f>
        <v>5</v>
      </c>
      <c r="G349" s="5" t="n">
        <f aca="false">INDEX('08_PEDIDOS'!$H$2:$H$97,MATCH(A349,'08_PEDIDOS'!$A$2:$A$97,0))</f>
        <v>10</v>
      </c>
      <c r="H349" s="17" t="n">
        <f aca="false">SUMIFS('05_RUTAS'!$F$2:$F$407,'05_RUTAS'!$A$2:$A$407,B349,'05_RUTAS'!$C$2:$C$407,C349)</f>
        <v>6</v>
      </c>
      <c r="I349" s="18" t="n">
        <f aca="false">SUMIFS('05_RUTAS'!$G$2:$G$407,'05_RUTAS'!$A$2:$A$407,B349,'05_RUTAS'!$C$2:$C$407,C349)</f>
        <v>42</v>
      </c>
      <c r="J349" s="18" t="n">
        <f aca="false">(ROUNDUP(F349/G349,0)*H349+F349*I349)/60</f>
        <v>3.6</v>
      </c>
      <c r="K349" s="5" t="n">
        <f aca="false">MONTH(INDEX('08_PEDIDOS'!$F$2:$F$97,MATCH(A349,'08_PEDIDOS'!$A$2:$A$97,0)))</f>
        <v>4</v>
      </c>
      <c r="L349" s="16" t="n">
        <f aca="false">J349*N(INDEX('04_MAQUINAS'!$F$2:$F$18,MATCH(E349,'04_MAQUINAS'!$A$2:$A$18,0)))</f>
        <v>68.4</v>
      </c>
      <c r="M349" s="17" t="n">
        <f aca="false">J349*INDEX('04_MAQUINAS'!$G$2:$G$18,MATCH(E349,'04_MAQUINAS'!$A$2:$A$18,0))*INDEX('04_MAQUINAS'!$H$2:$H$18,MATCH(E349,'04_MAQUINAS'!$A$2:$A$18,0))</f>
        <v>1.08</v>
      </c>
      <c r="N349" s="2" t="s">
        <v>629</v>
      </c>
    </row>
    <row r="350" customFormat="false" ht="15" hidden="false" customHeight="false" outlineLevel="0" collapsed="false">
      <c r="A350" s="2" t="s">
        <v>553</v>
      </c>
      <c r="B350" s="2" t="s">
        <v>106</v>
      </c>
      <c r="C350" s="4" t="n">
        <v>10</v>
      </c>
      <c r="D350" s="2" t="s">
        <v>451</v>
      </c>
      <c r="E350" s="2" t="s">
        <v>408</v>
      </c>
      <c r="F350" s="5" t="n">
        <f aca="false">INDEX('08_PEDIDOS'!$D$2:$D$97,MATCH(A350,'08_PEDIDOS'!$A$2:$A$97,0))</f>
        <v>5</v>
      </c>
      <c r="G350" s="5" t="n">
        <f aca="false">INDEX('08_PEDIDOS'!$H$2:$H$97,MATCH(A350,'08_PEDIDOS'!$A$2:$A$97,0))</f>
        <v>10</v>
      </c>
      <c r="H350" s="17" t="n">
        <f aca="false">SUMIFS('05_RUTAS'!$F$2:$F$407,'05_RUTAS'!$A$2:$A$407,B350,'05_RUTAS'!$C$2:$C$407,C350)</f>
        <v>2</v>
      </c>
      <c r="I350" s="18" t="n">
        <f aca="false">SUMIFS('05_RUTAS'!$G$2:$G$407,'05_RUTAS'!$A$2:$A$407,B350,'05_RUTAS'!$C$2:$C$407,C350)</f>
        <v>3.52</v>
      </c>
      <c r="J350" s="18" t="n">
        <f aca="false">(ROUNDUP(F350/G350,0)*H350+F350*I350)/60</f>
        <v>0.326666666666667</v>
      </c>
      <c r="K350" s="5" t="n">
        <f aca="false">MONTH(INDEX('08_PEDIDOS'!$F$2:$F$97,MATCH(A350,'08_PEDIDOS'!$A$2:$A$97,0)))</f>
        <v>4</v>
      </c>
      <c r="L350" s="16" t="n">
        <f aca="false">J350*N(INDEX('04_MAQUINAS'!$F$2:$F$18,MATCH(E350,'04_MAQUINAS'!$A$2:$A$18,0)))</f>
        <v>6.53333333333333</v>
      </c>
      <c r="M350" s="17" t="n">
        <f aca="false">J350*INDEX('04_MAQUINAS'!$G$2:$G$18,MATCH(E350,'04_MAQUINAS'!$A$2:$A$18,0))*INDEX('04_MAQUINAS'!$H$2:$H$18,MATCH(E350,'04_MAQUINAS'!$A$2:$A$18,0))</f>
        <v>0.0326666666666667</v>
      </c>
      <c r="N350" s="2" t="s">
        <v>629</v>
      </c>
    </row>
    <row r="351" customFormat="false" ht="15" hidden="false" customHeight="false" outlineLevel="0" collapsed="false">
      <c r="A351" s="2" t="s">
        <v>553</v>
      </c>
      <c r="B351" s="2" t="s">
        <v>106</v>
      </c>
      <c r="C351" s="4" t="n">
        <v>11</v>
      </c>
      <c r="D351" s="2" t="s">
        <v>452</v>
      </c>
      <c r="E351" s="2" t="s">
        <v>411</v>
      </c>
      <c r="F351" s="5" t="n">
        <f aca="false">INDEX('08_PEDIDOS'!$D$2:$D$97,MATCH(A351,'08_PEDIDOS'!$A$2:$A$97,0))</f>
        <v>5</v>
      </c>
      <c r="G351" s="5" t="n">
        <f aca="false">INDEX('08_PEDIDOS'!$H$2:$H$97,MATCH(A351,'08_PEDIDOS'!$A$2:$A$97,0))</f>
        <v>10</v>
      </c>
      <c r="H351" s="17" t="n">
        <f aca="false">SUMIFS('05_RUTAS'!$F$2:$F$407,'05_RUTAS'!$A$2:$A$407,B351,'05_RUTAS'!$C$2:$C$407,C351)</f>
        <v>2</v>
      </c>
      <c r="I351" s="18" t="n">
        <f aca="false">SUMIFS('05_RUTAS'!$G$2:$G$407,'05_RUTAS'!$A$2:$A$407,B351,'05_RUTAS'!$C$2:$C$407,C351)</f>
        <v>4.78</v>
      </c>
      <c r="J351" s="18" t="n">
        <f aca="false">(ROUNDUP(F351/G351,0)*H351+F351*I351)/60</f>
        <v>0.431666666666667</v>
      </c>
      <c r="K351" s="5" t="n">
        <f aca="false">MONTH(INDEX('08_PEDIDOS'!$F$2:$F$97,MATCH(A351,'08_PEDIDOS'!$A$2:$A$97,0)))</f>
        <v>4</v>
      </c>
      <c r="L351" s="16" t="n">
        <f aca="false">J351*N(INDEX('04_MAQUINAS'!$F$2:$F$18,MATCH(E351,'04_MAQUINAS'!$A$2:$A$18,0)))</f>
        <v>7.77</v>
      </c>
      <c r="M351" s="17" t="n">
        <f aca="false">J351*INDEX('04_MAQUINAS'!$G$2:$G$18,MATCH(E351,'04_MAQUINAS'!$A$2:$A$18,0))*INDEX('04_MAQUINAS'!$H$2:$H$18,MATCH(E351,'04_MAQUINAS'!$A$2:$A$18,0))</f>
        <v>0.03885</v>
      </c>
      <c r="N351" s="2" t="s">
        <v>629</v>
      </c>
    </row>
    <row r="352" customFormat="false" ht="15" hidden="false" customHeight="false" outlineLevel="0" collapsed="false">
      <c r="A352" s="2" t="s">
        <v>554</v>
      </c>
      <c r="B352" s="2" t="s">
        <v>108</v>
      </c>
      <c r="C352" s="4" t="n">
        <v>1</v>
      </c>
      <c r="D352" s="2" t="s">
        <v>437</v>
      </c>
      <c r="E352" s="2" t="s">
        <v>375</v>
      </c>
      <c r="F352" s="5" t="n">
        <f aca="false">INDEX('08_PEDIDOS'!$D$2:$D$97,MATCH(A352,'08_PEDIDOS'!$A$2:$A$97,0))</f>
        <v>6</v>
      </c>
      <c r="G352" s="5" t="n">
        <f aca="false">INDEX('08_PEDIDOS'!$H$2:$H$97,MATCH(A352,'08_PEDIDOS'!$A$2:$A$97,0))</f>
        <v>10</v>
      </c>
      <c r="H352" s="17" t="n">
        <f aca="false">SUMIFS('05_RUTAS'!$F$2:$F$407,'05_RUTAS'!$A$2:$A$407,B352,'05_RUTAS'!$C$2:$C$407,C352)</f>
        <v>8</v>
      </c>
      <c r="I352" s="18" t="n">
        <f aca="false">SUMIFS('05_RUTAS'!$G$2:$G$407,'05_RUTAS'!$A$2:$A$407,B352,'05_RUTAS'!$C$2:$C$407,C352)</f>
        <v>57.14</v>
      </c>
      <c r="J352" s="18" t="n">
        <f aca="false">(ROUNDUP(F352/G352,0)*H352+F352*I352)/60</f>
        <v>5.84733333333333</v>
      </c>
      <c r="K352" s="5" t="n">
        <f aca="false">MONTH(INDEX('08_PEDIDOS'!$F$2:$F$97,MATCH(A352,'08_PEDIDOS'!$A$2:$A$97,0)))</f>
        <v>4</v>
      </c>
      <c r="L352" s="16" t="n">
        <f aca="false">J352*N(INDEX('04_MAQUINAS'!$F$2:$F$18,MATCH(E352,'04_MAQUINAS'!$A$2:$A$18,0)))</f>
        <v>140.336</v>
      </c>
      <c r="M352" s="17" t="n">
        <f aca="false">J352*INDEX('04_MAQUINAS'!$G$2:$G$18,MATCH(E352,'04_MAQUINAS'!$A$2:$A$18,0))*INDEX('04_MAQUINAS'!$H$2:$H$18,MATCH(E352,'04_MAQUINAS'!$A$2:$A$18,0))</f>
        <v>16.0801666666667</v>
      </c>
      <c r="N352" s="2" t="s">
        <v>629</v>
      </c>
    </row>
    <row r="353" customFormat="false" ht="15" hidden="false" customHeight="false" outlineLevel="0" collapsed="false">
      <c r="A353" s="2" t="s">
        <v>554</v>
      </c>
      <c r="B353" s="2" t="s">
        <v>108</v>
      </c>
      <c r="C353" s="4" t="n">
        <v>2</v>
      </c>
      <c r="D353" s="2" t="s">
        <v>386</v>
      </c>
      <c r="E353" s="2" t="s">
        <v>383</v>
      </c>
      <c r="F353" s="5" t="n">
        <f aca="false">INDEX('08_PEDIDOS'!$D$2:$D$97,MATCH(A353,'08_PEDIDOS'!$A$2:$A$97,0))</f>
        <v>6</v>
      </c>
      <c r="G353" s="5" t="n">
        <f aca="false">INDEX('08_PEDIDOS'!$H$2:$H$97,MATCH(A353,'08_PEDIDOS'!$A$2:$A$97,0))</f>
        <v>10</v>
      </c>
      <c r="H353" s="17" t="n">
        <f aca="false">SUMIFS('05_RUTAS'!$F$2:$F$407,'05_RUTAS'!$A$2:$A$407,B353,'05_RUTAS'!$C$2:$C$407,C353)</f>
        <v>10</v>
      </c>
      <c r="I353" s="18" t="n">
        <f aca="false">SUMIFS('05_RUTAS'!$G$2:$G$407,'05_RUTAS'!$A$2:$A$407,B353,'05_RUTAS'!$C$2:$C$407,C353)</f>
        <v>27</v>
      </c>
      <c r="J353" s="18" t="n">
        <f aca="false">(ROUNDUP(F353/G353,0)*H353+F353*I353)/60</f>
        <v>2.86666666666667</v>
      </c>
      <c r="K353" s="5" t="n">
        <f aca="false">MONTH(INDEX('08_PEDIDOS'!$F$2:$F$97,MATCH(A353,'08_PEDIDOS'!$A$2:$A$97,0)))</f>
        <v>4</v>
      </c>
      <c r="L353" s="16" t="n">
        <f aca="false">J353*N(INDEX('04_MAQUINAS'!$F$2:$F$18,MATCH(E353,'04_MAQUINAS'!$A$2:$A$18,0)))</f>
        <v>63.0666666666667</v>
      </c>
      <c r="M353" s="17" t="n">
        <f aca="false">J353*INDEX('04_MAQUINAS'!$G$2:$G$18,MATCH(E353,'04_MAQUINAS'!$A$2:$A$18,0))*INDEX('04_MAQUINAS'!$H$2:$H$18,MATCH(E353,'04_MAQUINAS'!$A$2:$A$18,0))</f>
        <v>0.788333333333333</v>
      </c>
      <c r="N353" s="2" t="s">
        <v>629</v>
      </c>
    </row>
    <row r="354" customFormat="false" ht="15" hidden="false" customHeight="false" outlineLevel="0" collapsed="false">
      <c r="A354" s="2" t="s">
        <v>554</v>
      </c>
      <c r="B354" s="2" t="s">
        <v>108</v>
      </c>
      <c r="C354" s="4" t="n">
        <v>3</v>
      </c>
      <c r="D354" s="2" t="s">
        <v>390</v>
      </c>
      <c r="E354" s="2" t="s">
        <v>387</v>
      </c>
      <c r="F354" s="5" t="n">
        <f aca="false">INDEX('08_PEDIDOS'!$D$2:$D$97,MATCH(A354,'08_PEDIDOS'!$A$2:$A$97,0))</f>
        <v>6</v>
      </c>
      <c r="G354" s="5" t="n">
        <f aca="false">INDEX('08_PEDIDOS'!$H$2:$H$97,MATCH(A354,'08_PEDIDOS'!$A$2:$A$97,0))</f>
        <v>10</v>
      </c>
      <c r="H354" s="17" t="n">
        <f aca="false">SUMIFS('05_RUTAS'!$F$2:$F$407,'05_RUTAS'!$A$2:$A$407,B354,'05_RUTAS'!$C$2:$C$407,C354)</f>
        <v>12</v>
      </c>
      <c r="I354" s="18" t="n">
        <f aca="false">SUMIFS('05_RUTAS'!$G$2:$G$407,'05_RUTAS'!$A$2:$A$407,B354,'05_RUTAS'!$C$2:$C$407,C354)</f>
        <v>149</v>
      </c>
      <c r="J354" s="18" t="n">
        <f aca="false">(ROUNDUP(F354/G354,0)*H354+F354*I354)/60</f>
        <v>15.1</v>
      </c>
      <c r="K354" s="5" t="n">
        <f aca="false">MONTH(INDEX('08_PEDIDOS'!$F$2:$F$97,MATCH(A354,'08_PEDIDOS'!$A$2:$A$97,0)))</f>
        <v>4</v>
      </c>
      <c r="L354" s="16" t="n">
        <f aca="false">J354*N(INDEX('04_MAQUINAS'!$F$2:$F$18,MATCH(E354,'04_MAQUINAS'!$A$2:$A$18,0)))</f>
        <v>422.8</v>
      </c>
      <c r="M354" s="17" t="n">
        <f aca="false">J354*INDEX('04_MAQUINAS'!$G$2:$G$18,MATCH(E354,'04_MAQUINAS'!$A$2:$A$18,0))*INDEX('04_MAQUINAS'!$H$2:$H$18,MATCH(E354,'04_MAQUINAS'!$A$2:$A$18,0))</f>
        <v>37.3725</v>
      </c>
      <c r="N354" s="2" t="s">
        <v>629</v>
      </c>
    </row>
    <row r="355" customFormat="false" ht="15" hidden="false" customHeight="false" outlineLevel="0" collapsed="false">
      <c r="A355" s="2" t="s">
        <v>554</v>
      </c>
      <c r="B355" s="2" t="s">
        <v>108</v>
      </c>
      <c r="C355" s="4" t="n">
        <v>4</v>
      </c>
      <c r="D355" s="2" t="s">
        <v>443</v>
      </c>
      <c r="E355" s="2" t="s">
        <v>395</v>
      </c>
      <c r="F355" s="5" t="n">
        <f aca="false">INDEX('08_PEDIDOS'!$D$2:$D$97,MATCH(A355,'08_PEDIDOS'!$A$2:$A$97,0))</f>
        <v>6</v>
      </c>
      <c r="G355" s="5" t="n">
        <f aca="false">INDEX('08_PEDIDOS'!$H$2:$H$97,MATCH(A355,'08_PEDIDOS'!$A$2:$A$97,0))</f>
        <v>10</v>
      </c>
      <c r="H355" s="17" t="n">
        <f aca="false">SUMIFS('05_RUTAS'!$F$2:$F$407,'05_RUTAS'!$A$2:$A$407,B355,'05_RUTAS'!$C$2:$C$407,C355)</f>
        <v>3</v>
      </c>
      <c r="I355" s="18" t="n">
        <f aca="false">SUMIFS('05_RUTAS'!$G$2:$G$407,'05_RUTAS'!$A$2:$A$407,B355,'05_RUTAS'!$C$2:$C$407,C355)</f>
        <v>25.5</v>
      </c>
      <c r="J355" s="18" t="n">
        <f aca="false">(ROUNDUP(F355/G355,0)*H355+F355*I355)/60</f>
        <v>2.6</v>
      </c>
      <c r="K355" s="5" t="n">
        <f aca="false">MONTH(INDEX('08_PEDIDOS'!$F$2:$F$97,MATCH(A355,'08_PEDIDOS'!$A$2:$A$97,0)))</f>
        <v>4</v>
      </c>
      <c r="L355" s="16" t="n">
        <f aca="false">J355*N(INDEX('04_MAQUINAS'!$F$2:$F$18,MATCH(E355,'04_MAQUINAS'!$A$2:$A$18,0)))</f>
        <v>54.6</v>
      </c>
      <c r="M355" s="17" t="n">
        <f aca="false">J355*INDEX('04_MAQUINAS'!$G$2:$G$18,MATCH(E355,'04_MAQUINAS'!$A$2:$A$18,0))*INDEX('04_MAQUINAS'!$H$2:$H$18,MATCH(E355,'04_MAQUINAS'!$A$2:$A$18,0))</f>
        <v>1.95</v>
      </c>
      <c r="N355" s="2" t="s">
        <v>629</v>
      </c>
    </row>
    <row r="356" customFormat="false" ht="15" hidden="false" customHeight="false" outlineLevel="0" collapsed="false">
      <c r="A356" s="2" t="s">
        <v>554</v>
      </c>
      <c r="B356" s="2" t="s">
        <v>108</v>
      </c>
      <c r="C356" s="4" t="n">
        <v>5</v>
      </c>
      <c r="D356" s="2" t="s">
        <v>444</v>
      </c>
      <c r="E356" s="2" t="s">
        <v>399</v>
      </c>
      <c r="F356" s="5" t="n">
        <f aca="false">INDEX('08_PEDIDOS'!$D$2:$D$97,MATCH(A356,'08_PEDIDOS'!$A$2:$A$97,0))</f>
        <v>6</v>
      </c>
      <c r="G356" s="5" t="n">
        <f aca="false">INDEX('08_PEDIDOS'!$H$2:$H$97,MATCH(A356,'08_PEDIDOS'!$A$2:$A$97,0))</f>
        <v>10</v>
      </c>
      <c r="H356" s="17" t="n">
        <f aca="false">SUMIFS('05_RUTAS'!$F$2:$F$407,'05_RUTAS'!$A$2:$A$407,B356,'05_RUTAS'!$C$2:$C$407,C356)</f>
        <v>6</v>
      </c>
      <c r="I356" s="18" t="n">
        <f aca="false">SUMIFS('05_RUTAS'!$G$2:$G$407,'05_RUTAS'!$A$2:$A$407,B356,'05_RUTAS'!$C$2:$C$407,C356)</f>
        <v>37.528</v>
      </c>
      <c r="J356" s="18" t="n">
        <f aca="false">(ROUNDUP(F356/G356,0)*H356+F356*I356)/60</f>
        <v>3.8528</v>
      </c>
      <c r="K356" s="5" t="n">
        <f aca="false">MONTH(INDEX('08_PEDIDOS'!$F$2:$F$97,MATCH(A356,'08_PEDIDOS'!$A$2:$A$97,0)))</f>
        <v>4</v>
      </c>
      <c r="L356" s="16" t="n">
        <f aca="false">J356*N(INDEX('04_MAQUINAS'!$F$2:$F$18,MATCH(E356,'04_MAQUINAS'!$A$2:$A$18,0)))</f>
        <v>73.2032</v>
      </c>
      <c r="M356" s="17" t="n">
        <f aca="false">J356*INDEX('04_MAQUINAS'!$G$2:$G$18,MATCH(E356,'04_MAQUINAS'!$A$2:$A$18,0))*INDEX('04_MAQUINAS'!$H$2:$H$18,MATCH(E356,'04_MAQUINAS'!$A$2:$A$18,0))</f>
        <v>3.390464</v>
      </c>
      <c r="N356" s="2" t="s">
        <v>629</v>
      </c>
    </row>
    <row r="357" customFormat="false" ht="15" hidden="false" customHeight="false" outlineLevel="0" collapsed="false">
      <c r="A357" s="2" t="s">
        <v>554</v>
      </c>
      <c r="B357" s="2" t="s">
        <v>108</v>
      </c>
      <c r="C357" s="4" t="n">
        <v>6</v>
      </c>
      <c r="D357" s="2" t="s">
        <v>445</v>
      </c>
      <c r="E357" s="2" t="s">
        <v>402</v>
      </c>
      <c r="F357" s="5" t="n">
        <f aca="false">INDEX('08_PEDIDOS'!$D$2:$D$97,MATCH(A357,'08_PEDIDOS'!$A$2:$A$97,0))</f>
        <v>6</v>
      </c>
      <c r="G357" s="5" t="n">
        <f aca="false">INDEX('08_PEDIDOS'!$H$2:$H$97,MATCH(A357,'08_PEDIDOS'!$A$2:$A$97,0))</f>
        <v>10</v>
      </c>
      <c r="H357" s="17" t="n">
        <f aca="false">SUMIFS('05_RUTAS'!$F$2:$F$407,'05_RUTAS'!$A$2:$A$407,B357,'05_RUTAS'!$C$2:$C$407,C357)</f>
        <v>12</v>
      </c>
      <c r="I357" s="18" t="n">
        <f aca="false">SUMIFS('05_RUTAS'!$G$2:$G$407,'05_RUTAS'!$A$2:$A$407,B357,'05_RUTAS'!$C$2:$C$407,C357)</f>
        <v>6.83</v>
      </c>
      <c r="J357" s="18" t="n">
        <f aca="false">(ROUNDUP(F357/G357,0)*H357+F357*I357)/60</f>
        <v>0.883</v>
      </c>
      <c r="K357" s="5" t="n">
        <f aca="false">MONTH(INDEX('08_PEDIDOS'!$F$2:$F$97,MATCH(A357,'08_PEDIDOS'!$A$2:$A$97,0)))</f>
        <v>4</v>
      </c>
      <c r="L357" s="16" t="n">
        <f aca="false">J357*N(INDEX('04_MAQUINAS'!$F$2:$F$18,MATCH(E357,'04_MAQUINAS'!$A$2:$A$18,0)))</f>
        <v>28.256</v>
      </c>
      <c r="M357" s="17" t="n">
        <f aca="false">J357*INDEX('04_MAQUINAS'!$G$2:$G$18,MATCH(E357,'04_MAQUINAS'!$A$2:$A$18,0))*INDEX('04_MAQUINAS'!$H$2:$H$18,MATCH(E357,'04_MAQUINAS'!$A$2:$A$18,0))</f>
        <v>0.92715</v>
      </c>
      <c r="N357" s="2" t="s">
        <v>629</v>
      </c>
    </row>
    <row r="358" customFormat="false" ht="15" hidden="false" customHeight="false" outlineLevel="0" collapsed="false">
      <c r="A358" s="2" t="s">
        <v>554</v>
      </c>
      <c r="B358" s="2" t="s">
        <v>108</v>
      </c>
      <c r="C358" s="4" t="n">
        <v>7</v>
      </c>
      <c r="D358" s="2" t="s">
        <v>447</v>
      </c>
      <c r="E358" s="2" t="s">
        <v>421</v>
      </c>
      <c r="F358" s="5" t="n">
        <f aca="false">INDEX('08_PEDIDOS'!$D$2:$D$97,MATCH(A358,'08_PEDIDOS'!$A$2:$A$97,0))</f>
        <v>6</v>
      </c>
      <c r="G358" s="5" t="n">
        <f aca="false">INDEX('08_PEDIDOS'!$H$2:$H$97,MATCH(A358,'08_PEDIDOS'!$A$2:$A$97,0))</f>
        <v>10</v>
      </c>
      <c r="H358" s="17" t="n">
        <f aca="false">SUMIFS('05_RUTAS'!$F$2:$F$407,'05_RUTAS'!$A$2:$A$407,B358,'05_RUTAS'!$C$2:$C$407,C358)</f>
        <v>45</v>
      </c>
      <c r="I358" s="18" t="n">
        <f aca="false">SUMIFS('05_RUTAS'!$G$2:$G$407,'05_RUTAS'!$A$2:$A$407,B358,'05_RUTAS'!$C$2:$C$407,C358)</f>
        <v>0</v>
      </c>
      <c r="J358" s="18" t="n">
        <f aca="false">(ROUNDUP(F358/G358,0)*H358+F358*I358)/60</f>
        <v>0.75</v>
      </c>
      <c r="K358" s="5" t="n">
        <f aca="false">MONTH(INDEX('08_PEDIDOS'!$F$2:$F$97,MATCH(A358,'08_PEDIDOS'!$A$2:$A$97,0)))</f>
        <v>4</v>
      </c>
      <c r="L358" s="16" t="n">
        <f aca="false">J358*N(INDEX('04_MAQUINAS'!$F$2:$F$18,MATCH(E358,'04_MAQUINAS'!$A$2:$A$18,0)))</f>
        <v>19.5</v>
      </c>
      <c r="M358" s="17" t="n">
        <f aca="false">J358*INDEX('04_MAQUINAS'!$G$2:$G$18,MATCH(E358,'04_MAQUINAS'!$A$2:$A$18,0))*INDEX('04_MAQUINAS'!$H$2:$H$18,MATCH(E358,'04_MAQUINAS'!$A$2:$A$18,0))</f>
        <v>10.8</v>
      </c>
      <c r="N358" s="2" t="s">
        <v>629</v>
      </c>
    </row>
    <row r="359" customFormat="false" ht="15" hidden="false" customHeight="false" outlineLevel="0" collapsed="false">
      <c r="A359" s="2" t="s">
        <v>554</v>
      </c>
      <c r="B359" s="2" t="s">
        <v>108</v>
      </c>
      <c r="C359" s="4" t="n">
        <v>8</v>
      </c>
      <c r="D359" s="2" t="s">
        <v>449</v>
      </c>
      <c r="E359" s="2" t="s">
        <v>423</v>
      </c>
      <c r="F359" s="5" t="n">
        <f aca="false">INDEX('08_PEDIDOS'!$D$2:$D$97,MATCH(A359,'08_PEDIDOS'!$A$2:$A$97,0))</f>
        <v>6</v>
      </c>
      <c r="G359" s="5" t="n">
        <f aca="false">INDEX('08_PEDIDOS'!$H$2:$H$97,MATCH(A359,'08_PEDIDOS'!$A$2:$A$97,0))</f>
        <v>10</v>
      </c>
      <c r="H359" s="17" t="n">
        <f aca="false">SUMIFS('05_RUTAS'!$F$2:$F$407,'05_RUTAS'!$A$2:$A$407,B359,'05_RUTAS'!$C$2:$C$407,C359)</f>
        <v>8</v>
      </c>
      <c r="I359" s="18" t="n">
        <f aca="false">SUMIFS('05_RUTAS'!$G$2:$G$407,'05_RUTAS'!$A$2:$A$407,B359,'05_RUTAS'!$C$2:$C$407,C359)</f>
        <v>2.42</v>
      </c>
      <c r="J359" s="18" t="n">
        <f aca="false">(ROUNDUP(F359/G359,0)*H359+F359*I359)/60</f>
        <v>0.375333333333333</v>
      </c>
      <c r="K359" s="5" t="n">
        <f aca="false">MONTH(INDEX('08_PEDIDOS'!$F$2:$F$97,MATCH(A359,'08_PEDIDOS'!$A$2:$A$97,0)))</f>
        <v>4</v>
      </c>
      <c r="L359" s="16" t="n">
        <f aca="false">J359*N(INDEX('04_MAQUINAS'!$F$2:$F$18,MATCH(E359,'04_MAQUINAS'!$A$2:$A$18,0)))</f>
        <v>6.00533333333333</v>
      </c>
      <c r="M359" s="17" t="n">
        <f aca="false">J359*INDEX('04_MAQUINAS'!$G$2:$G$18,MATCH(E359,'04_MAQUINAS'!$A$2:$A$18,0))*INDEX('04_MAQUINAS'!$H$2:$H$18,MATCH(E359,'04_MAQUINAS'!$A$2:$A$18,0))</f>
        <v>0.0938333333333333</v>
      </c>
      <c r="N359" s="2" t="s">
        <v>629</v>
      </c>
    </row>
    <row r="360" customFormat="false" ht="15" hidden="false" customHeight="false" outlineLevel="0" collapsed="false">
      <c r="A360" s="2" t="s">
        <v>554</v>
      </c>
      <c r="B360" s="2" t="s">
        <v>108</v>
      </c>
      <c r="C360" s="4" t="n">
        <v>9</v>
      </c>
      <c r="D360" s="2" t="s">
        <v>450</v>
      </c>
      <c r="E360" s="2" t="s">
        <v>406</v>
      </c>
      <c r="F360" s="5" t="n">
        <f aca="false">INDEX('08_PEDIDOS'!$D$2:$D$97,MATCH(A360,'08_PEDIDOS'!$A$2:$A$97,0))</f>
        <v>6</v>
      </c>
      <c r="G360" s="5" t="n">
        <f aca="false">INDEX('08_PEDIDOS'!$H$2:$H$97,MATCH(A360,'08_PEDIDOS'!$A$2:$A$97,0))</f>
        <v>10</v>
      </c>
      <c r="H360" s="17" t="n">
        <f aca="false">SUMIFS('05_RUTAS'!$F$2:$F$407,'05_RUTAS'!$A$2:$A$407,B360,'05_RUTAS'!$C$2:$C$407,C360)</f>
        <v>6</v>
      </c>
      <c r="I360" s="18" t="n">
        <f aca="false">SUMIFS('05_RUTAS'!$G$2:$G$407,'05_RUTAS'!$A$2:$A$407,B360,'05_RUTAS'!$C$2:$C$407,C360)</f>
        <v>56.25</v>
      </c>
      <c r="J360" s="18" t="n">
        <f aca="false">(ROUNDUP(F360/G360,0)*H360+F360*I360)/60</f>
        <v>5.725</v>
      </c>
      <c r="K360" s="5" t="n">
        <f aca="false">MONTH(INDEX('08_PEDIDOS'!$F$2:$F$97,MATCH(A360,'08_PEDIDOS'!$A$2:$A$97,0)))</f>
        <v>4</v>
      </c>
      <c r="L360" s="16" t="n">
        <f aca="false">J360*N(INDEX('04_MAQUINAS'!$F$2:$F$18,MATCH(E360,'04_MAQUINAS'!$A$2:$A$18,0)))</f>
        <v>108.775</v>
      </c>
      <c r="M360" s="17" t="n">
        <f aca="false">J360*INDEX('04_MAQUINAS'!$G$2:$G$18,MATCH(E360,'04_MAQUINAS'!$A$2:$A$18,0))*INDEX('04_MAQUINAS'!$H$2:$H$18,MATCH(E360,'04_MAQUINAS'!$A$2:$A$18,0))</f>
        <v>1.7175</v>
      </c>
      <c r="N360" s="2" t="s">
        <v>629</v>
      </c>
    </row>
    <row r="361" customFormat="false" ht="15" hidden="false" customHeight="false" outlineLevel="0" collapsed="false">
      <c r="A361" s="2" t="s">
        <v>554</v>
      </c>
      <c r="B361" s="2" t="s">
        <v>108</v>
      </c>
      <c r="C361" s="4" t="n">
        <v>10</v>
      </c>
      <c r="D361" s="2" t="s">
        <v>451</v>
      </c>
      <c r="E361" s="2" t="s">
        <v>408</v>
      </c>
      <c r="F361" s="5" t="n">
        <f aca="false">INDEX('08_PEDIDOS'!$D$2:$D$97,MATCH(A361,'08_PEDIDOS'!$A$2:$A$97,0))</f>
        <v>6</v>
      </c>
      <c r="G361" s="5" t="n">
        <f aca="false">INDEX('08_PEDIDOS'!$H$2:$H$97,MATCH(A361,'08_PEDIDOS'!$A$2:$A$97,0))</f>
        <v>10</v>
      </c>
      <c r="H361" s="17" t="n">
        <f aca="false">SUMIFS('05_RUTAS'!$F$2:$F$407,'05_RUTAS'!$A$2:$A$407,B361,'05_RUTAS'!$C$2:$C$407,C361)</f>
        <v>2</v>
      </c>
      <c r="I361" s="18" t="n">
        <f aca="false">SUMIFS('05_RUTAS'!$G$2:$G$407,'05_RUTAS'!$A$2:$A$407,B361,'05_RUTAS'!$C$2:$C$407,C361)</f>
        <v>3.52</v>
      </c>
      <c r="J361" s="18" t="n">
        <f aca="false">(ROUNDUP(F361/G361,0)*H361+F361*I361)/60</f>
        <v>0.385333333333333</v>
      </c>
      <c r="K361" s="5" t="n">
        <f aca="false">MONTH(INDEX('08_PEDIDOS'!$F$2:$F$97,MATCH(A361,'08_PEDIDOS'!$A$2:$A$97,0)))</f>
        <v>4</v>
      </c>
      <c r="L361" s="16" t="n">
        <f aca="false">J361*N(INDEX('04_MAQUINAS'!$F$2:$F$18,MATCH(E361,'04_MAQUINAS'!$A$2:$A$18,0)))</f>
        <v>7.70666666666667</v>
      </c>
      <c r="M361" s="17" t="n">
        <f aca="false">J361*INDEX('04_MAQUINAS'!$G$2:$G$18,MATCH(E361,'04_MAQUINAS'!$A$2:$A$18,0))*INDEX('04_MAQUINAS'!$H$2:$H$18,MATCH(E361,'04_MAQUINAS'!$A$2:$A$18,0))</f>
        <v>0.0385333333333333</v>
      </c>
      <c r="N361" s="2" t="s">
        <v>629</v>
      </c>
    </row>
    <row r="362" customFormat="false" ht="15" hidden="false" customHeight="false" outlineLevel="0" collapsed="false">
      <c r="A362" s="2" t="s">
        <v>554</v>
      </c>
      <c r="B362" s="2" t="s">
        <v>108</v>
      </c>
      <c r="C362" s="4" t="n">
        <v>11</v>
      </c>
      <c r="D362" s="2" t="s">
        <v>452</v>
      </c>
      <c r="E362" s="2" t="s">
        <v>411</v>
      </c>
      <c r="F362" s="5" t="n">
        <f aca="false">INDEX('08_PEDIDOS'!$D$2:$D$97,MATCH(A362,'08_PEDIDOS'!$A$2:$A$97,0))</f>
        <v>6</v>
      </c>
      <c r="G362" s="5" t="n">
        <f aca="false">INDEX('08_PEDIDOS'!$H$2:$H$97,MATCH(A362,'08_PEDIDOS'!$A$2:$A$97,0))</f>
        <v>10</v>
      </c>
      <c r="H362" s="17" t="n">
        <f aca="false">SUMIFS('05_RUTAS'!$F$2:$F$407,'05_RUTAS'!$A$2:$A$407,B362,'05_RUTAS'!$C$2:$C$407,C362)</f>
        <v>2</v>
      </c>
      <c r="I362" s="18" t="n">
        <f aca="false">SUMIFS('05_RUTAS'!$G$2:$G$407,'05_RUTAS'!$A$2:$A$407,B362,'05_RUTAS'!$C$2:$C$407,C362)</f>
        <v>4.78</v>
      </c>
      <c r="J362" s="18" t="n">
        <f aca="false">(ROUNDUP(F362/G362,0)*H362+F362*I362)/60</f>
        <v>0.511333333333333</v>
      </c>
      <c r="K362" s="5" t="n">
        <f aca="false">MONTH(INDEX('08_PEDIDOS'!$F$2:$F$97,MATCH(A362,'08_PEDIDOS'!$A$2:$A$97,0)))</f>
        <v>4</v>
      </c>
      <c r="L362" s="16" t="n">
        <f aca="false">J362*N(INDEX('04_MAQUINAS'!$F$2:$F$18,MATCH(E362,'04_MAQUINAS'!$A$2:$A$18,0)))</f>
        <v>9.204</v>
      </c>
      <c r="M362" s="17" t="n">
        <f aca="false">J362*INDEX('04_MAQUINAS'!$G$2:$G$18,MATCH(E362,'04_MAQUINAS'!$A$2:$A$18,0))*INDEX('04_MAQUINAS'!$H$2:$H$18,MATCH(E362,'04_MAQUINAS'!$A$2:$A$18,0))</f>
        <v>0.04602</v>
      </c>
      <c r="N362" s="2" t="s">
        <v>629</v>
      </c>
    </row>
    <row r="363" customFormat="false" ht="15" hidden="false" customHeight="false" outlineLevel="0" collapsed="false">
      <c r="A363" s="2" t="s">
        <v>555</v>
      </c>
      <c r="B363" s="2" t="s">
        <v>119</v>
      </c>
      <c r="C363" s="4" t="n">
        <v>1</v>
      </c>
      <c r="D363" s="2" t="s">
        <v>437</v>
      </c>
      <c r="E363" s="2" t="s">
        <v>375</v>
      </c>
      <c r="F363" s="5" t="n">
        <f aca="false">INDEX('08_PEDIDOS'!$D$2:$D$97,MATCH(A363,'08_PEDIDOS'!$A$2:$A$97,0))</f>
        <v>10</v>
      </c>
      <c r="G363" s="5" t="n">
        <f aca="false">INDEX('08_PEDIDOS'!$H$2:$H$97,MATCH(A363,'08_PEDIDOS'!$A$2:$A$97,0))</f>
        <v>10</v>
      </c>
      <c r="H363" s="17" t="n">
        <f aca="false">SUMIFS('05_RUTAS'!$F$2:$F$407,'05_RUTAS'!$A$2:$A$407,B363,'05_RUTAS'!$C$2:$C$407,C363)</f>
        <v>8</v>
      </c>
      <c r="I363" s="18" t="n">
        <f aca="false">SUMIFS('05_RUTAS'!$G$2:$G$407,'05_RUTAS'!$A$2:$A$407,B363,'05_RUTAS'!$C$2:$C$407,C363)</f>
        <v>35.56</v>
      </c>
      <c r="J363" s="18" t="n">
        <f aca="false">(ROUNDUP(F363/G363,0)*H363+F363*I363)/60</f>
        <v>6.06</v>
      </c>
      <c r="K363" s="5" t="n">
        <f aca="false">MONTH(INDEX('08_PEDIDOS'!$F$2:$F$97,MATCH(A363,'08_PEDIDOS'!$A$2:$A$97,0)))</f>
        <v>4</v>
      </c>
      <c r="L363" s="16" t="n">
        <f aca="false">J363*N(INDEX('04_MAQUINAS'!$F$2:$F$18,MATCH(E363,'04_MAQUINAS'!$A$2:$A$18,0)))</f>
        <v>145.44</v>
      </c>
      <c r="M363" s="17" t="n">
        <f aca="false">J363*INDEX('04_MAQUINAS'!$G$2:$G$18,MATCH(E363,'04_MAQUINAS'!$A$2:$A$18,0))*INDEX('04_MAQUINAS'!$H$2:$H$18,MATCH(E363,'04_MAQUINAS'!$A$2:$A$18,0))</f>
        <v>16.665</v>
      </c>
      <c r="N363" s="2" t="s">
        <v>629</v>
      </c>
    </row>
    <row r="364" customFormat="false" ht="15" hidden="false" customHeight="false" outlineLevel="0" collapsed="false">
      <c r="A364" s="2" t="s">
        <v>555</v>
      </c>
      <c r="B364" s="2" t="s">
        <v>119</v>
      </c>
      <c r="C364" s="4" t="n">
        <v>2</v>
      </c>
      <c r="D364" s="2" t="s">
        <v>386</v>
      </c>
      <c r="E364" s="2" t="s">
        <v>383</v>
      </c>
      <c r="F364" s="5" t="n">
        <f aca="false">INDEX('08_PEDIDOS'!$D$2:$D$97,MATCH(A364,'08_PEDIDOS'!$A$2:$A$97,0))</f>
        <v>10</v>
      </c>
      <c r="G364" s="5" t="n">
        <f aca="false">INDEX('08_PEDIDOS'!$H$2:$H$97,MATCH(A364,'08_PEDIDOS'!$A$2:$A$97,0))</f>
        <v>10</v>
      </c>
      <c r="H364" s="17" t="n">
        <f aca="false">SUMIFS('05_RUTAS'!$F$2:$F$407,'05_RUTAS'!$A$2:$A$407,B364,'05_RUTAS'!$C$2:$C$407,C364)</f>
        <v>10</v>
      </c>
      <c r="I364" s="18" t="n">
        <f aca="false">SUMIFS('05_RUTAS'!$G$2:$G$407,'05_RUTAS'!$A$2:$A$407,B364,'05_RUTAS'!$C$2:$C$407,C364)</f>
        <v>5.8</v>
      </c>
      <c r="J364" s="18" t="n">
        <f aca="false">(ROUNDUP(F364/G364,0)*H364+F364*I364)/60</f>
        <v>1.13333333333333</v>
      </c>
      <c r="K364" s="5" t="n">
        <f aca="false">MONTH(INDEX('08_PEDIDOS'!$F$2:$F$97,MATCH(A364,'08_PEDIDOS'!$A$2:$A$97,0)))</f>
        <v>4</v>
      </c>
      <c r="L364" s="16" t="n">
        <f aca="false">J364*N(INDEX('04_MAQUINAS'!$F$2:$F$18,MATCH(E364,'04_MAQUINAS'!$A$2:$A$18,0)))</f>
        <v>24.9333333333333</v>
      </c>
      <c r="M364" s="17" t="n">
        <f aca="false">J364*INDEX('04_MAQUINAS'!$G$2:$G$18,MATCH(E364,'04_MAQUINAS'!$A$2:$A$18,0))*INDEX('04_MAQUINAS'!$H$2:$H$18,MATCH(E364,'04_MAQUINAS'!$A$2:$A$18,0))</f>
        <v>0.311666666666667</v>
      </c>
      <c r="N364" s="2" t="s">
        <v>629</v>
      </c>
    </row>
    <row r="365" customFormat="false" ht="15" hidden="false" customHeight="false" outlineLevel="0" collapsed="false">
      <c r="A365" s="2" t="s">
        <v>555</v>
      </c>
      <c r="B365" s="2" t="s">
        <v>119</v>
      </c>
      <c r="C365" s="4" t="n">
        <v>3</v>
      </c>
      <c r="D365" s="2" t="s">
        <v>390</v>
      </c>
      <c r="E365" s="2" t="s">
        <v>387</v>
      </c>
      <c r="F365" s="5" t="n">
        <f aca="false">INDEX('08_PEDIDOS'!$D$2:$D$97,MATCH(A365,'08_PEDIDOS'!$A$2:$A$97,0))</f>
        <v>10</v>
      </c>
      <c r="G365" s="5" t="n">
        <f aca="false">INDEX('08_PEDIDOS'!$H$2:$H$97,MATCH(A365,'08_PEDIDOS'!$A$2:$A$97,0))</f>
        <v>10</v>
      </c>
      <c r="H365" s="17" t="n">
        <f aca="false">SUMIFS('05_RUTAS'!$F$2:$F$407,'05_RUTAS'!$A$2:$A$407,B365,'05_RUTAS'!$C$2:$C$407,C365)</f>
        <v>12</v>
      </c>
      <c r="I365" s="18" t="n">
        <f aca="false">SUMIFS('05_RUTAS'!$G$2:$G$407,'05_RUTAS'!$A$2:$A$407,B365,'05_RUTAS'!$C$2:$C$407,C365)</f>
        <v>86</v>
      </c>
      <c r="J365" s="18" t="n">
        <f aca="false">(ROUNDUP(F365/G365,0)*H365+F365*I365)/60</f>
        <v>14.5333333333333</v>
      </c>
      <c r="K365" s="5" t="n">
        <f aca="false">MONTH(INDEX('08_PEDIDOS'!$F$2:$F$97,MATCH(A365,'08_PEDIDOS'!$A$2:$A$97,0)))</f>
        <v>4</v>
      </c>
      <c r="L365" s="16" t="n">
        <f aca="false">J365*N(INDEX('04_MAQUINAS'!$F$2:$F$18,MATCH(E365,'04_MAQUINAS'!$A$2:$A$18,0)))</f>
        <v>406.933333333333</v>
      </c>
      <c r="M365" s="17" t="n">
        <f aca="false">J365*INDEX('04_MAQUINAS'!$G$2:$G$18,MATCH(E365,'04_MAQUINAS'!$A$2:$A$18,0))*INDEX('04_MAQUINAS'!$H$2:$H$18,MATCH(E365,'04_MAQUINAS'!$A$2:$A$18,0))</f>
        <v>35.97</v>
      </c>
      <c r="N365" s="2" t="s">
        <v>629</v>
      </c>
    </row>
    <row r="366" customFormat="false" ht="15" hidden="false" customHeight="false" outlineLevel="0" collapsed="false">
      <c r="A366" s="2" t="s">
        <v>555</v>
      </c>
      <c r="B366" s="2" t="s">
        <v>119</v>
      </c>
      <c r="C366" s="4" t="n">
        <v>4</v>
      </c>
      <c r="D366" s="2" t="s">
        <v>443</v>
      </c>
      <c r="E366" s="2" t="s">
        <v>395</v>
      </c>
      <c r="F366" s="5" t="n">
        <f aca="false">INDEX('08_PEDIDOS'!$D$2:$D$97,MATCH(A366,'08_PEDIDOS'!$A$2:$A$97,0))</f>
        <v>10</v>
      </c>
      <c r="G366" s="5" t="n">
        <f aca="false">INDEX('08_PEDIDOS'!$H$2:$H$97,MATCH(A366,'08_PEDIDOS'!$A$2:$A$97,0))</f>
        <v>10</v>
      </c>
      <c r="H366" s="17" t="n">
        <f aca="false">SUMIFS('05_RUTAS'!$F$2:$F$407,'05_RUTAS'!$A$2:$A$407,B366,'05_RUTAS'!$C$2:$C$407,C366)</f>
        <v>3</v>
      </c>
      <c r="I366" s="18" t="n">
        <f aca="false">SUMIFS('05_RUTAS'!$G$2:$G$407,'05_RUTAS'!$A$2:$A$407,B366,'05_RUTAS'!$C$2:$C$407,C366)</f>
        <v>15</v>
      </c>
      <c r="J366" s="18" t="n">
        <f aca="false">(ROUNDUP(F366/G366,0)*H366+F366*I366)/60</f>
        <v>2.55</v>
      </c>
      <c r="K366" s="5" t="n">
        <f aca="false">MONTH(INDEX('08_PEDIDOS'!$F$2:$F$97,MATCH(A366,'08_PEDIDOS'!$A$2:$A$97,0)))</f>
        <v>4</v>
      </c>
      <c r="L366" s="16" t="n">
        <f aca="false">J366*N(INDEX('04_MAQUINAS'!$F$2:$F$18,MATCH(E366,'04_MAQUINAS'!$A$2:$A$18,0)))</f>
        <v>53.55</v>
      </c>
      <c r="M366" s="17" t="n">
        <f aca="false">J366*INDEX('04_MAQUINAS'!$G$2:$G$18,MATCH(E366,'04_MAQUINAS'!$A$2:$A$18,0))*INDEX('04_MAQUINAS'!$H$2:$H$18,MATCH(E366,'04_MAQUINAS'!$A$2:$A$18,0))</f>
        <v>1.9125</v>
      </c>
      <c r="N366" s="2" t="s">
        <v>629</v>
      </c>
    </row>
    <row r="367" customFormat="false" ht="15" hidden="false" customHeight="false" outlineLevel="0" collapsed="false">
      <c r="A367" s="2" t="s">
        <v>555</v>
      </c>
      <c r="B367" s="2" t="s">
        <v>119</v>
      </c>
      <c r="C367" s="4" t="n">
        <v>5</v>
      </c>
      <c r="D367" s="2" t="s">
        <v>444</v>
      </c>
      <c r="E367" s="2" t="s">
        <v>399</v>
      </c>
      <c r="F367" s="5" t="n">
        <f aca="false">INDEX('08_PEDIDOS'!$D$2:$D$97,MATCH(A367,'08_PEDIDOS'!$A$2:$A$97,0))</f>
        <v>10</v>
      </c>
      <c r="G367" s="5" t="n">
        <f aca="false">INDEX('08_PEDIDOS'!$H$2:$H$97,MATCH(A367,'08_PEDIDOS'!$A$2:$A$97,0))</f>
        <v>10</v>
      </c>
      <c r="H367" s="17" t="n">
        <f aca="false">SUMIFS('05_RUTAS'!$F$2:$F$407,'05_RUTAS'!$A$2:$A$407,B367,'05_RUTAS'!$C$2:$C$407,C367)</f>
        <v>6</v>
      </c>
      <c r="I367" s="18" t="n">
        <f aca="false">SUMIFS('05_RUTAS'!$G$2:$G$407,'05_RUTAS'!$A$2:$A$407,B367,'05_RUTAS'!$C$2:$C$407,C367)</f>
        <v>25.712</v>
      </c>
      <c r="J367" s="18" t="n">
        <f aca="false">(ROUNDUP(F367/G367,0)*H367+F367*I367)/60</f>
        <v>4.38533333333333</v>
      </c>
      <c r="K367" s="5" t="n">
        <f aca="false">MONTH(INDEX('08_PEDIDOS'!$F$2:$F$97,MATCH(A367,'08_PEDIDOS'!$A$2:$A$97,0)))</f>
        <v>4</v>
      </c>
      <c r="L367" s="16" t="n">
        <f aca="false">J367*N(INDEX('04_MAQUINAS'!$F$2:$F$18,MATCH(E367,'04_MAQUINAS'!$A$2:$A$18,0)))</f>
        <v>83.3213333333333</v>
      </c>
      <c r="M367" s="17" t="n">
        <f aca="false">J367*INDEX('04_MAQUINAS'!$G$2:$G$18,MATCH(E367,'04_MAQUINAS'!$A$2:$A$18,0))*INDEX('04_MAQUINAS'!$H$2:$H$18,MATCH(E367,'04_MAQUINAS'!$A$2:$A$18,0))</f>
        <v>3.85909333333333</v>
      </c>
      <c r="N367" s="2" t="s">
        <v>629</v>
      </c>
    </row>
    <row r="368" customFormat="false" ht="15" hidden="false" customHeight="false" outlineLevel="0" collapsed="false">
      <c r="A368" s="2" t="s">
        <v>555</v>
      </c>
      <c r="B368" s="2" t="s">
        <v>119</v>
      </c>
      <c r="C368" s="4" t="n">
        <v>6</v>
      </c>
      <c r="D368" s="2" t="s">
        <v>445</v>
      </c>
      <c r="E368" s="2" t="s">
        <v>402</v>
      </c>
      <c r="F368" s="5" t="n">
        <f aca="false">INDEX('08_PEDIDOS'!$D$2:$D$97,MATCH(A368,'08_PEDIDOS'!$A$2:$A$97,0))</f>
        <v>10</v>
      </c>
      <c r="G368" s="5" t="n">
        <f aca="false">INDEX('08_PEDIDOS'!$H$2:$H$97,MATCH(A368,'08_PEDIDOS'!$A$2:$A$97,0))</f>
        <v>10</v>
      </c>
      <c r="H368" s="17" t="n">
        <f aca="false">SUMIFS('05_RUTAS'!$F$2:$F$407,'05_RUTAS'!$A$2:$A$407,B368,'05_RUTAS'!$C$2:$C$407,C368)</f>
        <v>12</v>
      </c>
      <c r="I368" s="18" t="n">
        <f aca="false">SUMIFS('05_RUTAS'!$G$2:$G$407,'05_RUTAS'!$A$2:$A$407,B368,'05_RUTAS'!$C$2:$C$407,C368)</f>
        <v>6.58</v>
      </c>
      <c r="J368" s="18" t="n">
        <f aca="false">(ROUNDUP(F368/G368,0)*H368+F368*I368)/60</f>
        <v>1.29666666666667</v>
      </c>
      <c r="K368" s="5" t="n">
        <f aca="false">MONTH(INDEX('08_PEDIDOS'!$F$2:$F$97,MATCH(A368,'08_PEDIDOS'!$A$2:$A$97,0)))</f>
        <v>4</v>
      </c>
      <c r="L368" s="16" t="n">
        <f aca="false">J368*N(INDEX('04_MAQUINAS'!$F$2:$F$18,MATCH(E368,'04_MAQUINAS'!$A$2:$A$18,0)))</f>
        <v>41.4933333333333</v>
      </c>
      <c r="M368" s="17" t="n">
        <f aca="false">J368*INDEX('04_MAQUINAS'!$G$2:$G$18,MATCH(E368,'04_MAQUINAS'!$A$2:$A$18,0))*INDEX('04_MAQUINAS'!$H$2:$H$18,MATCH(E368,'04_MAQUINAS'!$A$2:$A$18,0))</f>
        <v>1.3615</v>
      </c>
      <c r="N368" s="2" t="s">
        <v>629</v>
      </c>
    </row>
    <row r="369" customFormat="false" ht="15" hidden="false" customHeight="false" outlineLevel="0" collapsed="false">
      <c r="A369" s="2" t="s">
        <v>555</v>
      </c>
      <c r="B369" s="2" t="s">
        <v>119</v>
      </c>
      <c r="C369" s="4" t="n">
        <v>7</v>
      </c>
      <c r="D369" s="2" t="s">
        <v>447</v>
      </c>
      <c r="E369" s="2" t="s">
        <v>421</v>
      </c>
      <c r="F369" s="5" t="n">
        <f aca="false">INDEX('08_PEDIDOS'!$D$2:$D$97,MATCH(A369,'08_PEDIDOS'!$A$2:$A$97,0))</f>
        <v>10</v>
      </c>
      <c r="G369" s="5" t="n">
        <f aca="false">INDEX('08_PEDIDOS'!$H$2:$H$97,MATCH(A369,'08_PEDIDOS'!$A$2:$A$97,0))</f>
        <v>10</v>
      </c>
      <c r="H369" s="17" t="n">
        <f aca="false">SUMIFS('05_RUTAS'!$F$2:$F$407,'05_RUTAS'!$A$2:$A$407,B369,'05_RUTAS'!$C$2:$C$407,C369)</f>
        <v>45</v>
      </c>
      <c r="I369" s="18" t="n">
        <f aca="false">SUMIFS('05_RUTAS'!$G$2:$G$407,'05_RUTAS'!$A$2:$A$407,B369,'05_RUTAS'!$C$2:$C$407,C369)</f>
        <v>0</v>
      </c>
      <c r="J369" s="18" t="n">
        <f aca="false">(ROUNDUP(F369/G369,0)*H369+F369*I369)/60</f>
        <v>0.75</v>
      </c>
      <c r="K369" s="5" t="n">
        <f aca="false">MONTH(INDEX('08_PEDIDOS'!$F$2:$F$97,MATCH(A369,'08_PEDIDOS'!$A$2:$A$97,0)))</f>
        <v>4</v>
      </c>
      <c r="L369" s="16" t="n">
        <f aca="false">J369*N(INDEX('04_MAQUINAS'!$F$2:$F$18,MATCH(E369,'04_MAQUINAS'!$A$2:$A$18,0)))</f>
        <v>19.5</v>
      </c>
      <c r="M369" s="17" t="n">
        <f aca="false">J369*INDEX('04_MAQUINAS'!$G$2:$G$18,MATCH(E369,'04_MAQUINAS'!$A$2:$A$18,0))*INDEX('04_MAQUINAS'!$H$2:$H$18,MATCH(E369,'04_MAQUINAS'!$A$2:$A$18,0))</f>
        <v>10.8</v>
      </c>
      <c r="N369" s="2" t="s">
        <v>629</v>
      </c>
    </row>
    <row r="370" customFormat="false" ht="15" hidden="false" customHeight="false" outlineLevel="0" collapsed="false">
      <c r="A370" s="2" t="s">
        <v>555</v>
      </c>
      <c r="B370" s="2" t="s">
        <v>119</v>
      </c>
      <c r="C370" s="4" t="n">
        <v>8</v>
      </c>
      <c r="D370" s="2" t="s">
        <v>449</v>
      </c>
      <c r="E370" s="2" t="s">
        <v>423</v>
      </c>
      <c r="F370" s="5" t="n">
        <f aca="false">INDEX('08_PEDIDOS'!$D$2:$D$97,MATCH(A370,'08_PEDIDOS'!$A$2:$A$97,0))</f>
        <v>10</v>
      </c>
      <c r="G370" s="5" t="n">
        <f aca="false">INDEX('08_PEDIDOS'!$H$2:$H$97,MATCH(A370,'08_PEDIDOS'!$A$2:$A$97,0))</f>
        <v>10</v>
      </c>
      <c r="H370" s="17" t="n">
        <f aca="false">SUMIFS('05_RUTAS'!$F$2:$F$407,'05_RUTAS'!$A$2:$A$407,B370,'05_RUTAS'!$C$2:$C$407,C370)</f>
        <v>8</v>
      </c>
      <c r="I370" s="18" t="n">
        <f aca="false">SUMIFS('05_RUTAS'!$G$2:$G$407,'05_RUTAS'!$A$2:$A$407,B370,'05_RUTAS'!$C$2:$C$407,C370)</f>
        <v>2.36</v>
      </c>
      <c r="J370" s="18" t="n">
        <f aca="false">(ROUNDUP(F370/G370,0)*H370+F370*I370)/60</f>
        <v>0.526666666666667</v>
      </c>
      <c r="K370" s="5" t="n">
        <f aca="false">MONTH(INDEX('08_PEDIDOS'!$F$2:$F$97,MATCH(A370,'08_PEDIDOS'!$A$2:$A$97,0)))</f>
        <v>4</v>
      </c>
      <c r="L370" s="16" t="n">
        <f aca="false">J370*N(INDEX('04_MAQUINAS'!$F$2:$F$18,MATCH(E370,'04_MAQUINAS'!$A$2:$A$18,0)))</f>
        <v>8.42666666666667</v>
      </c>
      <c r="M370" s="17" t="n">
        <f aca="false">J370*INDEX('04_MAQUINAS'!$G$2:$G$18,MATCH(E370,'04_MAQUINAS'!$A$2:$A$18,0))*INDEX('04_MAQUINAS'!$H$2:$H$18,MATCH(E370,'04_MAQUINAS'!$A$2:$A$18,0))</f>
        <v>0.131666666666667</v>
      </c>
      <c r="N370" s="2" t="s">
        <v>629</v>
      </c>
    </row>
    <row r="371" customFormat="false" ht="15" hidden="false" customHeight="false" outlineLevel="0" collapsed="false">
      <c r="A371" s="2" t="s">
        <v>555</v>
      </c>
      <c r="B371" s="2" t="s">
        <v>119</v>
      </c>
      <c r="C371" s="4" t="n">
        <v>9</v>
      </c>
      <c r="D371" s="2" t="s">
        <v>450</v>
      </c>
      <c r="E371" s="2" t="s">
        <v>406</v>
      </c>
      <c r="F371" s="5" t="n">
        <f aca="false">INDEX('08_PEDIDOS'!$D$2:$D$97,MATCH(A371,'08_PEDIDOS'!$A$2:$A$97,0))</f>
        <v>10</v>
      </c>
      <c r="G371" s="5" t="n">
        <f aca="false">INDEX('08_PEDIDOS'!$H$2:$H$97,MATCH(A371,'08_PEDIDOS'!$A$2:$A$97,0))</f>
        <v>10</v>
      </c>
      <c r="H371" s="17" t="n">
        <f aca="false">SUMIFS('05_RUTAS'!$F$2:$F$407,'05_RUTAS'!$A$2:$A$407,B371,'05_RUTAS'!$C$2:$C$407,C371)</f>
        <v>6</v>
      </c>
      <c r="I371" s="18" t="n">
        <f aca="false">SUMIFS('05_RUTAS'!$G$2:$G$407,'05_RUTAS'!$A$2:$A$407,B371,'05_RUTAS'!$C$2:$C$407,C371)</f>
        <v>27</v>
      </c>
      <c r="J371" s="18" t="n">
        <f aca="false">(ROUNDUP(F371/G371,0)*H371+F371*I371)/60</f>
        <v>4.6</v>
      </c>
      <c r="K371" s="5" t="n">
        <f aca="false">MONTH(INDEX('08_PEDIDOS'!$F$2:$F$97,MATCH(A371,'08_PEDIDOS'!$A$2:$A$97,0)))</f>
        <v>4</v>
      </c>
      <c r="L371" s="16" t="n">
        <f aca="false">J371*N(INDEX('04_MAQUINAS'!$F$2:$F$18,MATCH(E371,'04_MAQUINAS'!$A$2:$A$18,0)))</f>
        <v>87.4</v>
      </c>
      <c r="M371" s="17" t="n">
        <f aca="false">J371*INDEX('04_MAQUINAS'!$G$2:$G$18,MATCH(E371,'04_MAQUINAS'!$A$2:$A$18,0))*INDEX('04_MAQUINAS'!$H$2:$H$18,MATCH(E371,'04_MAQUINAS'!$A$2:$A$18,0))</f>
        <v>1.38</v>
      </c>
      <c r="N371" s="2" t="s">
        <v>629</v>
      </c>
    </row>
    <row r="372" customFormat="false" ht="15" hidden="false" customHeight="false" outlineLevel="0" collapsed="false">
      <c r="A372" s="2" t="s">
        <v>555</v>
      </c>
      <c r="B372" s="2" t="s">
        <v>119</v>
      </c>
      <c r="C372" s="4" t="n">
        <v>10</v>
      </c>
      <c r="D372" s="2" t="s">
        <v>451</v>
      </c>
      <c r="E372" s="2" t="s">
        <v>408</v>
      </c>
      <c r="F372" s="5" t="n">
        <f aca="false">INDEX('08_PEDIDOS'!$D$2:$D$97,MATCH(A372,'08_PEDIDOS'!$A$2:$A$97,0))</f>
        <v>10</v>
      </c>
      <c r="G372" s="5" t="n">
        <f aca="false">INDEX('08_PEDIDOS'!$H$2:$H$97,MATCH(A372,'08_PEDIDOS'!$A$2:$A$97,0))</f>
        <v>10</v>
      </c>
      <c r="H372" s="17" t="n">
        <f aca="false">SUMIFS('05_RUTAS'!$F$2:$F$407,'05_RUTAS'!$A$2:$A$407,B372,'05_RUTAS'!$C$2:$C$407,C372)</f>
        <v>2</v>
      </c>
      <c r="I372" s="18" t="n">
        <f aca="false">SUMIFS('05_RUTAS'!$G$2:$G$407,'05_RUTAS'!$A$2:$A$407,B372,'05_RUTAS'!$C$2:$C$407,C372)</f>
        <v>3.45</v>
      </c>
      <c r="J372" s="18" t="n">
        <f aca="false">(ROUNDUP(F372/G372,0)*H372+F372*I372)/60</f>
        <v>0.608333333333333</v>
      </c>
      <c r="K372" s="5" t="n">
        <f aca="false">MONTH(INDEX('08_PEDIDOS'!$F$2:$F$97,MATCH(A372,'08_PEDIDOS'!$A$2:$A$97,0)))</f>
        <v>4</v>
      </c>
      <c r="L372" s="16" t="n">
        <f aca="false">J372*N(INDEX('04_MAQUINAS'!$F$2:$F$18,MATCH(E372,'04_MAQUINAS'!$A$2:$A$18,0)))</f>
        <v>12.1666666666667</v>
      </c>
      <c r="M372" s="17" t="n">
        <f aca="false">J372*INDEX('04_MAQUINAS'!$G$2:$G$18,MATCH(E372,'04_MAQUINAS'!$A$2:$A$18,0))*INDEX('04_MAQUINAS'!$H$2:$H$18,MATCH(E372,'04_MAQUINAS'!$A$2:$A$18,0))</f>
        <v>0.0608333333333333</v>
      </c>
      <c r="N372" s="2" t="s">
        <v>629</v>
      </c>
    </row>
    <row r="373" customFormat="false" ht="15" hidden="false" customHeight="false" outlineLevel="0" collapsed="false">
      <c r="A373" s="2" t="s">
        <v>555</v>
      </c>
      <c r="B373" s="2" t="s">
        <v>119</v>
      </c>
      <c r="C373" s="4" t="n">
        <v>11</v>
      </c>
      <c r="D373" s="2" t="s">
        <v>452</v>
      </c>
      <c r="E373" s="2" t="s">
        <v>411</v>
      </c>
      <c r="F373" s="5" t="n">
        <f aca="false">INDEX('08_PEDIDOS'!$D$2:$D$97,MATCH(A373,'08_PEDIDOS'!$A$2:$A$97,0))</f>
        <v>10</v>
      </c>
      <c r="G373" s="5" t="n">
        <f aca="false">INDEX('08_PEDIDOS'!$H$2:$H$97,MATCH(A373,'08_PEDIDOS'!$A$2:$A$97,0))</f>
        <v>10</v>
      </c>
      <c r="H373" s="17" t="n">
        <f aca="false">SUMIFS('05_RUTAS'!$F$2:$F$407,'05_RUTAS'!$A$2:$A$407,B373,'05_RUTAS'!$C$2:$C$407,C373)</f>
        <v>2</v>
      </c>
      <c r="I373" s="18" t="n">
        <f aca="false">SUMIFS('05_RUTAS'!$G$2:$G$407,'05_RUTAS'!$A$2:$A$407,B373,'05_RUTAS'!$C$2:$C$407,C373)</f>
        <v>4.67</v>
      </c>
      <c r="J373" s="18" t="n">
        <f aca="false">(ROUNDUP(F373/G373,0)*H373+F373*I373)/60</f>
        <v>0.811666666666667</v>
      </c>
      <c r="K373" s="5" t="n">
        <f aca="false">MONTH(INDEX('08_PEDIDOS'!$F$2:$F$97,MATCH(A373,'08_PEDIDOS'!$A$2:$A$97,0)))</f>
        <v>4</v>
      </c>
      <c r="L373" s="16" t="n">
        <f aca="false">J373*N(INDEX('04_MAQUINAS'!$F$2:$F$18,MATCH(E373,'04_MAQUINAS'!$A$2:$A$18,0)))</f>
        <v>14.61</v>
      </c>
      <c r="M373" s="17" t="n">
        <f aca="false">J373*INDEX('04_MAQUINAS'!$G$2:$G$18,MATCH(E373,'04_MAQUINAS'!$A$2:$A$18,0))*INDEX('04_MAQUINAS'!$H$2:$H$18,MATCH(E373,'04_MAQUINAS'!$A$2:$A$18,0))</f>
        <v>0.07305</v>
      </c>
      <c r="N373" s="2" t="s">
        <v>629</v>
      </c>
    </row>
    <row r="374" customFormat="false" ht="15" hidden="false" customHeight="false" outlineLevel="0" collapsed="false">
      <c r="A374" s="2" t="s">
        <v>556</v>
      </c>
      <c r="B374" s="2" t="s">
        <v>121</v>
      </c>
      <c r="C374" s="4" t="n">
        <v>1</v>
      </c>
      <c r="D374" s="2" t="s">
        <v>437</v>
      </c>
      <c r="E374" s="2" t="s">
        <v>375</v>
      </c>
      <c r="F374" s="5" t="n">
        <f aca="false">INDEX('08_PEDIDOS'!$D$2:$D$97,MATCH(A374,'08_PEDIDOS'!$A$2:$A$97,0))</f>
        <v>10</v>
      </c>
      <c r="G374" s="5" t="n">
        <f aca="false">INDEX('08_PEDIDOS'!$H$2:$H$97,MATCH(A374,'08_PEDIDOS'!$A$2:$A$97,0))</f>
        <v>10</v>
      </c>
      <c r="H374" s="17" t="n">
        <f aca="false">SUMIFS('05_RUTAS'!$F$2:$F$407,'05_RUTAS'!$A$2:$A$407,B374,'05_RUTAS'!$C$2:$C$407,C374)</f>
        <v>8</v>
      </c>
      <c r="I374" s="18" t="n">
        <f aca="false">SUMIFS('05_RUTAS'!$G$2:$G$407,'05_RUTAS'!$A$2:$A$407,B374,'05_RUTAS'!$C$2:$C$407,C374)</f>
        <v>35.92</v>
      </c>
      <c r="J374" s="18" t="n">
        <f aca="false">(ROUNDUP(F374/G374,0)*H374+F374*I374)/60</f>
        <v>6.12</v>
      </c>
      <c r="K374" s="5" t="n">
        <f aca="false">MONTH(INDEX('08_PEDIDOS'!$F$2:$F$97,MATCH(A374,'08_PEDIDOS'!$A$2:$A$97,0)))</f>
        <v>4</v>
      </c>
      <c r="L374" s="16" t="n">
        <f aca="false">J374*N(INDEX('04_MAQUINAS'!$F$2:$F$18,MATCH(E374,'04_MAQUINAS'!$A$2:$A$18,0)))</f>
        <v>146.88</v>
      </c>
      <c r="M374" s="17" t="n">
        <f aca="false">J374*INDEX('04_MAQUINAS'!$G$2:$G$18,MATCH(E374,'04_MAQUINAS'!$A$2:$A$18,0))*INDEX('04_MAQUINAS'!$H$2:$H$18,MATCH(E374,'04_MAQUINAS'!$A$2:$A$18,0))</f>
        <v>16.83</v>
      </c>
      <c r="N374" s="2" t="s">
        <v>629</v>
      </c>
    </row>
    <row r="375" customFormat="false" ht="15" hidden="false" customHeight="false" outlineLevel="0" collapsed="false">
      <c r="A375" s="2" t="s">
        <v>556</v>
      </c>
      <c r="B375" s="2" t="s">
        <v>121</v>
      </c>
      <c r="C375" s="4" t="n">
        <v>2</v>
      </c>
      <c r="D375" s="2" t="s">
        <v>441</v>
      </c>
      <c r="E375" s="2" t="s">
        <v>380</v>
      </c>
      <c r="F375" s="5" t="n">
        <f aca="false">INDEX('08_PEDIDOS'!$D$2:$D$97,MATCH(A375,'08_PEDIDOS'!$A$2:$A$97,0))</f>
        <v>10</v>
      </c>
      <c r="G375" s="5" t="n">
        <f aca="false">INDEX('08_PEDIDOS'!$H$2:$H$97,MATCH(A375,'08_PEDIDOS'!$A$2:$A$97,0))</f>
        <v>10</v>
      </c>
      <c r="H375" s="17" t="n">
        <f aca="false">SUMIFS('05_RUTAS'!$F$2:$F$407,'05_RUTAS'!$A$2:$A$407,B375,'05_RUTAS'!$C$2:$C$407,C375)</f>
        <v>8</v>
      </c>
      <c r="I375" s="18" t="n">
        <f aca="false">SUMIFS('05_RUTAS'!$G$2:$G$407,'05_RUTAS'!$A$2:$A$407,B375,'05_RUTAS'!$C$2:$C$407,C375)</f>
        <v>32.28</v>
      </c>
      <c r="J375" s="18" t="n">
        <f aca="false">(ROUNDUP(F375/G375,0)*H375+F375*I375)/60</f>
        <v>5.51333333333333</v>
      </c>
      <c r="K375" s="5" t="n">
        <f aca="false">MONTH(INDEX('08_PEDIDOS'!$F$2:$F$97,MATCH(A375,'08_PEDIDOS'!$A$2:$A$97,0)))</f>
        <v>4</v>
      </c>
      <c r="L375" s="16" t="n">
        <f aca="false">J375*N(INDEX('04_MAQUINAS'!$F$2:$F$18,MATCH(E375,'04_MAQUINAS'!$A$2:$A$18,0)))</f>
        <v>121.293333333333</v>
      </c>
      <c r="M375" s="17" t="n">
        <f aca="false">J375*INDEX('04_MAQUINAS'!$G$2:$G$18,MATCH(E375,'04_MAQUINAS'!$A$2:$A$18,0))*INDEX('04_MAQUINAS'!$H$2:$H$18,MATCH(E375,'04_MAQUINAS'!$A$2:$A$18,0))</f>
        <v>2.481</v>
      </c>
      <c r="N375" s="2" t="s">
        <v>629</v>
      </c>
    </row>
    <row r="376" customFormat="false" ht="15" hidden="false" customHeight="false" outlineLevel="0" collapsed="false">
      <c r="A376" s="2" t="s">
        <v>556</v>
      </c>
      <c r="B376" s="2" t="s">
        <v>121</v>
      </c>
      <c r="C376" s="4" t="n">
        <v>3</v>
      </c>
      <c r="D376" s="2" t="s">
        <v>386</v>
      </c>
      <c r="E376" s="2" t="s">
        <v>383</v>
      </c>
      <c r="F376" s="5" t="n">
        <f aca="false">INDEX('08_PEDIDOS'!$D$2:$D$97,MATCH(A376,'08_PEDIDOS'!$A$2:$A$97,0))</f>
        <v>10</v>
      </c>
      <c r="G376" s="5" t="n">
        <f aca="false">INDEX('08_PEDIDOS'!$H$2:$H$97,MATCH(A376,'08_PEDIDOS'!$A$2:$A$97,0))</f>
        <v>10</v>
      </c>
      <c r="H376" s="17" t="n">
        <f aca="false">SUMIFS('05_RUTAS'!$F$2:$F$407,'05_RUTAS'!$A$2:$A$407,B376,'05_RUTAS'!$C$2:$C$407,C376)</f>
        <v>10</v>
      </c>
      <c r="I376" s="18" t="n">
        <f aca="false">SUMIFS('05_RUTAS'!$G$2:$G$407,'05_RUTAS'!$A$2:$A$407,B376,'05_RUTAS'!$C$2:$C$407,C376)</f>
        <v>54.8</v>
      </c>
      <c r="J376" s="18" t="n">
        <f aca="false">(ROUNDUP(F376/G376,0)*H376+F376*I376)/60</f>
        <v>9.3</v>
      </c>
      <c r="K376" s="5" t="n">
        <f aca="false">MONTH(INDEX('08_PEDIDOS'!$F$2:$F$97,MATCH(A376,'08_PEDIDOS'!$A$2:$A$97,0)))</f>
        <v>4</v>
      </c>
      <c r="L376" s="16" t="n">
        <f aca="false">J376*N(INDEX('04_MAQUINAS'!$F$2:$F$18,MATCH(E376,'04_MAQUINAS'!$A$2:$A$18,0)))</f>
        <v>204.6</v>
      </c>
      <c r="M376" s="17" t="n">
        <f aca="false">J376*INDEX('04_MAQUINAS'!$G$2:$G$18,MATCH(E376,'04_MAQUINAS'!$A$2:$A$18,0))*INDEX('04_MAQUINAS'!$H$2:$H$18,MATCH(E376,'04_MAQUINAS'!$A$2:$A$18,0))</f>
        <v>2.5575</v>
      </c>
      <c r="N376" s="2" t="s">
        <v>629</v>
      </c>
    </row>
    <row r="377" customFormat="false" ht="15" hidden="false" customHeight="false" outlineLevel="0" collapsed="false">
      <c r="A377" s="2" t="s">
        <v>556</v>
      </c>
      <c r="B377" s="2" t="s">
        <v>121</v>
      </c>
      <c r="C377" s="4" t="n">
        <v>4</v>
      </c>
      <c r="D377" s="2" t="s">
        <v>390</v>
      </c>
      <c r="E377" s="2" t="s">
        <v>387</v>
      </c>
      <c r="F377" s="5" t="n">
        <f aca="false">INDEX('08_PEDIDOS'!$D$2:$D$97,MATCH(A377,'08_PEDIDOS'!$A$2:$A$97,0))</f>
        <v>10</v>
      </c>
      <c r="G377" s="5" t="n">
        <f aca="false">INDEX('08_PEDIDOS'!$H$2:$H$97,MATCH(A377,'08_PEDIDOS'!$A$2:$A$97,0))</f>
        <v>10</v>
      </c>
      <c r="H377" s="17" t="n">
        <f aca="false">SUMIFS('05_RUTAS'!$F$2:$F$407,'05_RUTAS'!$A$2:$A$407,B377,'05_RUTAS'!$C$2:$C$407,C377)</f>
        <v>12</v>
      </c>
      <c r="I377" s="18" t="n">
        <f aca="false">SUMIFS('05_RUTAS'!$G$2:$G$407,'05_RUTAS'!$A$2:$A$407,B377,'05_RUTAS'!$C$2:$C$407,C377)</f>
        <v>85</v>
      </c>
      <c r="J377" s="18" t="n">
        <f aca="false">(ROUNDUP(F377/G377,0)*H377+F377*I377)/60</f>
        <v>14.3666666666667</v>
      </c>
      <c r="K377" s="5" t="n">
        <f aca="false">MONTH(INDEX('08_PEDIDOS'!$F$2:$F$97,MATCH(A377,'08_PEDIDOS'!$A$2:$A$97,0)))</f>
        <v>4</v>
      </c>
      <c r="L377" s="16" t="n">
        <f aca="false">J377*N(INDEX('04_MAQUINAS'!$F$2:$F$18,MATCH(E377,'04_MAQUINAS'!$A$2:$A$18,0)))</f>
        <v>402.266666666667</v>
      </c>
      <c r="M377" s="17" t="n">
        <f aca="false">J377*INDEX('04_MAQUINAS'!$G$2:$G$18,MATCH(E377,'04_MAQUINAS'!$A$2:$A$18,0))*INDEX('04_MAQUINAS'!$H$2:$H$18,MATCH(E377,'04_MAQUINAS'!$A$2:$A$18,0))</f>
        <v>35.5575</v>
      </c>
      <c r="N377" s="2" t="s">
        <v>629</v>
      </c>
    </row>
    <row r="378" customFormat="false" ht="15" hidden="false" customHeight="false" outlineLevel="0" collapsed="false">
      <c r="A378" s="2" t="s">
        <v>556</v>
      </c>
      <c r="B378" s="2" t="s">
        <v>121</v>
      </c>
      <c r="C378" s="4" t="n">
        <v>5</v>
      </c>
      <c r="D378" s="2" t="s">
        <v>443</v>
      </c>
      <c r="E378" s="2" t="s">
        <v>395</v>
      </c>
      <c r="F378" s="5" t="n">
        <f aca="false">INDEX('08_PEDIDOS'!$D$2:$D$97,MATCH(A378,'08_PEDIDOS'!$A$2:$A$97,0))</f>
        <v>10</v>
      </c>
      <c r="G378" s="5" t="n">
        <f aca="false">INDEX('08_PEDIDOS'!$H$2:$H$97,MATCH(A378,'08_PEDIDOS'!$A$2:$A$97,0))</f>
        <v>10</v>
      </c>
      <c r="H378" s="17" t="n">
        <f aca="false">SUMIFS('05_RUTAS'!$F$2:$F$407,'05_RUTAS'!$A$2:$A$407,B378,'05_RUTAS'!$C$2:$C$407,C378)</f>
        <v>3</v>
      </c>
      <c r="I378" s="18" t="n">
        <f aca="false">SUMIFS('05_RUTAS'!$G$2:$G$407,'05_RUTAS'!$A$2:$A$407,B378,'05_RUTAS'!$C$2:$C$407,C378)</f>
        <v>37.5</v>
      </c>
      <c r="J378" s="18" t="n">
        <f aca="false">(ROUNDUP(F378/G378,0)*H378+F378*I378)/60</f>
        <v>6.3</v>
      </c>
      <c r="K378" s="5" t="n">
        <f aca="false">MONTH(INDEX('08_PEDIDOS'!$F$2:$F$97,MATCH(A378,'08_PEDIDOS'!$A$2:$A$97,0)))</f>
        <v>4</v>
      </c>
      <c r="L378" s="16" t="n">
        <f aca="false">J378*N(INDEX('04_MAQUINAS'!$F$2:$F$18,MATCH(E378,'04_MAQUINAS'!$A$2:$A$18,0)))</f>
        <v>132.3</v>
      </c>
      <c r="M378" s="17" t="n">
        <f aca="false">J378*INDEX('04_MAQUINAS'!$G$2:$G$18,MATCH(E378,'04_MAQUINAS'!$A$2:$A$18,0))*INDEX('04_MAQUINAS'!$H$2:$H$18,MATCH(E378,'04_MAQUINAS'!$A$2:$A$18,0))</f>
        <v>4.725</v>
      </c>
      <c r="N378" s="2" t="s">
        <v>629</v>
      </c>
    </row>
    <row r="379" customFormat="false" ht="15" hidden="false" customHeight="false" outlineLevel="0" collapsed="false">
      <c r="A379" s="2" t="s">
        <v>556</v>
      </c>
      <c r="B379" s="2" t="s">
        <v>121</v>
      </c>
      <c r="C379" s="4" t="n">
        <v>6</v>
      </c>
      <c r="D379" s="2" t="s">
        <v>444</v>
      </c>
      <c r="E379" s="2" t="s">
        <v>399</v>
      </c>
      <c r="F379" s="5" t="n">
        <f aca="false">INDEX('08_PEDIDOS'!$D$2:$D$97,MATCH(A379,'08_PEDIDOS'!$A$2:$A$97,0))</f>
        <v>10</v>
      </c>
      <c r="G379" s="5" t="n">
        <f aca="false">INDEX('08_PEDIDOS'!$H$2:$H$97,MATCH(A379,'08_PEDIDOS'!$A$2:$A$97,0))</f>
        <v>10</v>
      </c>
      <c r="H379" s="17" t="n">
        <f aca="false">SUMIFS('05_RUTAS'!$F$2:$F$407,'05_RUTAS'!$A$2:$A$407,B379,'05_RUTAS'!$C$2:$C$407,C379)</f>
        <v>6</v>
      </c>
      <c r="I379" s="18" t="n">
        <f aca="false">SUMIFS('05_RUTAS'!$G$2:$G$407,'05_RUTAS'!$A$2:$A$407,B379,'05_RUTAS'!$C$2:$C$407,C379)</f>
        <v>24.4752</v>
      </c>
      <c r="J379" s="18" t="n">
        <f aca="false">(ROUNDUP(F379/G379,0)*H379+F379*I379)/60</f>
        <v>4.1792</v>
      </c>
      <c r="K379" s="5" t="n">
        <f aca="false">MONTH(INDEX('08_PEDIDOS'!$F$2:$F$97,MATCH(A379,'08_PEDIDOS'!$A$2:$A$97,0)))</f>
        <v>4</v>
      </c>
      <c r="L379" s="16" t="n">
        <f aca="false">J379*N(INDEX('04_MAQUINAS'!$F$2:$F$18,MATCH(E379,'04_MAQUINAS'!$A$2:$A$18,0)))</f>
        <v>79.4048</v>
      </c>
      <c r="M379" s="17" t="n">
        <f aca="false">J379*INDEX('04_MAQUINAS'!$G$2:$G$18,MATCH(E379,'04_MAQUINAS'!$A$2:$A$18,0))*INDEX('04_MAQUINAS'!$H$2:$H$18,MATCH(E379,'04_MAQUINAS'!$A$2:$A$18,0))</f>
        <v>3.677696</v>
      </c>
      <c r="N379" s="2" t="s">
        <v>629</v>
      </c>
    </row>
    <row r="380" customFormat="false" ht="15" hidden="false" customHeight="false" outlineLevel="0" collapsed="false">
      <c r="A380" s="2" t="s">
        <v>556</v>
      </c>
      <c r="B380" s="2" t="s">
        <v>121</v>
      </c>
      <c r="C380" s="4" t="n">
        <v>7</v>
      </c>
      <c r="D380" s="2" t="s">
        <v>445</v>
      </c>
      <c r="E380" s="2" t="s">
        <v>402</v>
      </c>
      <c r="F380" s="5" t="n">
        <f aca="false">INDEX('08_PEDIDOS'!$D$2:$D$97,MATCH(A380,'08_PEDIDOS'!$A$2:$A$97,0))</f>
        <v>10</v>
      </c>
      <c r="G380" s="5" t="n">
        <f aca="false">INDEX('08_PEDIDOS'!$H$2:$H$97,MATCH(A380,'08_PEDIDOS'!$A$2:$A$97,0))</f>
        <v>10</v>
      </c>
      <c r="H380" s="17" t="n">
        <f aca="false">SUMIFS('05_RUTAS'!$F$2:$F$407,'05_RUTAS'!$A$2:$A$407,B380,'05_RUTAS'!$C$2:$C$407,C380)</f>
        <v>12</v>
      </c>
      <c r="I380" s="18" t="n">
        <f aca="false">SUMIFS('05_RUTAS'!$G$2:$G$407,'05_RUTAS'!$A$2:$A$407,B380,'05_RUTAS'!$C$2:$C$407,C380)</f>
        <v>6.58</v>
      </c>
      <c r="J380" s="18" t="n">
        <f aca="false">(ROUNDUP(F380/G380,0)*H380+F380*I380)/60</f>
        <v>1.29666666666667</v>
      </c>
      <c r="K380" s="5" t="n">
        <f aca="false">MONTH(INDEX('08_PEDIDOS'!$F$2:$F$97,MATCH(A380,'08_PEDIDOS'!$A$2:$A$97,0)))</f>
        <v>4</v>
      </c>
      <c r="L380" s="16" t="n">
        <f aca="false">J380*N(INDEX('04_MAQUINAS'!$F$2:$F$18,MATCH(E380,'04_MAQUINAS'!$A$2:$A$18,0)))</f>
        <v>41.4933333333333</v>
      </c>
      <c r="M380" s="17" t="n">
        <f aca="false">J380*INDEX('04_MAQUINAS'!$G$2:$G$18,MATCH(E380,'04_MAQUINAS'!$A$2:$A$18,0))*INDEX('04_MAQUINAS'!$H$2:$H$18,MATCH(E380,'04_MAQUINAS'!$A$2:$A$18,0))</f>
        <v>1.3615</v>
      </c>
      <c r="N380" s="2" t="s">
        <v>629</v>
      </c>
    </row>
    <row r="381" customFormat="false" ht="15" hidden="false" customHeight="false" outlineLevel="0" collapsed="false">
      <c r="A381" s="2" t="s">
        <v>556</v>
      </c>
      <c r="B381" s="2" t="s">
        <v>121</v>
      </c>
      <c r="C381" s="4" t="n">
        <v>8</v>
      </c>
      <c r="D381" s="2" t="s">
        <v>447</v>
      </c>
      <c r="E381" s="2" t="s">
        <v>421</v>
      </c>
      <c r="F381" s="5" t="n">
        <f aca="false">INDEX('08_PEDIDOS'!$D$2:$D$97,MATCH(A381,'08_PEDIDOS'!$A$2:$A$97,0))</f>
        <v>10</v>
      </c>
      <c r="G381" s="5" t="n">
        <f aca="false">INDEX('08_PEDIDOS'!$H$2:$H$97,MATCH(A381,'08_PEDIDOS'!$A$2:$A$97,0))</f>
        <v>10</v>
      </c>
      <c r="H381" s="17" t="n">
        <f aca="false">SUMIFS('05_RUTAS'!$F$2:$F$407,'05_RUTAS'!$A$2:$A$407,B381,'05_RUTAS'!$C$2:$C$407,C381)</f>
        <v>45</v>
      </c>
      <c r="I381" s="18" t="n">
        <f aca="false">SUMIFS('05_RUTAS'!$G$2:$G$407,'05_RUTAS'!$A$2:$A$407,B381,'05_RUTAS'!$C$2:$C$407,C381)</f>
        <v>0</v>
      </c>
      <c r="J381" s="18" t="n">
        <f aca="false">(ROUNDUP(F381/G381,0)*H381+F381*I381)/60</f>
        <v>0.75</v>
      </c>
      <c r="K381" s="5" t="n">
        <f aca="false">MONTH(INDEX('08_PEDIDOS'!$F$2:$F$97,MATCH(A381,'08_PEDIDOS'!$A$2:$A$97,0)))</f>
        <v>4</v>
      </c>
      <c r="L381" s="16" t="n">
        <f aca="false">J381*N(INDEX('04_MAQUINAS'!$F$2:$F$18,MATCH(E381,'04_MAQUINAS'!$A$2:$A$18,0)))</f>
        <v>19.5</v>
      </c>
      <c r="M381" s="17" t="n">
        <f aca="false">J381*INDEX('04_MAQUINAS'!$G$2:$G$18,MATCH(E381,'04_MAQUINAS'!$A$2:$A$18,0))*INDEX('04_MAQUINAS'!$H$2:$H$18,MATCH(E381,'04_MAQUINAS'!$A$2:$A$18,0))</f>
        <v>10.8</v>
      </c>
      <c r="N381" s="2" t="s">
        <v>629</v>
      </c>
    </row>
    <row r="382" customFormat="false" ht="15" hidden="false" customHeight="false" outlineLevel="0" collapsed="false">
      <c r="A382" s="2" t="s">
        <v>556</v>
      </c>
      <c r="B382" s="2" t="s">
        <v>121</v>
      </c>
      <c r="C382" s="4" t="n">
        <v>9</v>
      </c>
      <c r="D382" s="2" t="s">
        <v>449</v>
      </c>
      <c r="E382" s="2" t="s">
        <v>423</v>
      </c>
      <c r="F382" s="5" t="n">
        <f aca="false">INDEX('08_PEDIDOS'!$D$2:$D$97,MATCH(A382,'08_PEDIDOS'!$A$2:$A$97,0))</f>
        <v>10</v>
      </c>
      <c r="G382" s="5" t="n">
        <f aca="false">INDEX('08_PEDIDOS'!$H$2:$H$97,MATCH(A382,'08_PEDIDOS'!$A$2:$A$97,0))</f>
        <v>10</v>
      </c>
      <c r="H382" s="17" t="n">
        <f aca="false">SUMIFS('05_RUTAS'!$F$2:$F$407,'05_RUTAS'!$A$2:$A$407,B382,'05_RUTAS'!$C$2:$C$407,C382)</f>
        <v>8</v>
      </c>
      <c r="I382" s="18" t="n">
        <f aca="false">SUMIFS('05_RUTAS'!$G$2:$G$407,'05_RUTAS'!$A$2:$A$407,B382,'05_RUTAS'!$C$2:$C$407,C382)</f>
        <v>2.36</v>
      </c>
      <c r="J382" s="18" t="n">
        <f aca="false">(ROUNDUP(F382/G382,0)*H382+F382*I382)/60</f>
        <v>0.526666666666667</v>
      </c>
      <c r="K382" s="5" t="n">
        <f aca="false">MONTH(INDEX('08_PEDIDOS'!$F$2:$F$97,MATCH(A382,'08_PEDIDOS'!$A$2:$A$97,0)))</f>
        <v>4</v>
      </c>
      <c r="L382" s="16" t="n">
        <f aca="false">J382*N(INDEX('04_MAQUINAS'!$F$2:$F$18,MATCH(E382,'04_MAQUINAS'!$A$2:$A$18,0)))</f>
        <v>8.42666666666667</v>
      </c>
      <c r="M382" s="17" t="n">
        <f aca="false">J382*INDEX('04_MAQUINAS'!$G$2:$G$18,MATCH(E382,'04_MAQUINAS'!$A$2:$A$18,0))*INDEX('04_MAQUINAS'!$H$2:$H$18,MATCH(E382,'04_MAQUINAS'!$A$2:$A$18,0))</f>
        <v>0.131666666666667</v>
      </c>
      <c r="N382" s="2" t="s">
        <v>629</v>
      </c>
    </row>
    <row r="383" customFormat="false" ht="15" hidden="false" customHeight="false" outlineLevel="0" collapsed="false">
      <c r="A383" s="2" t="s">
        <v>556</v>
      </c>
      <c r="B383" s="2" t="s">
        <v>121</v>
      </c>
      <c r="C383" s="4" t="n">
        <v>10</v>
      </c>
      <c r="D383" s="2" t="s">
        <v>450</v>
      </c>
      <c r="E383" s="2" t="s">
        <v>406</v>
      </c>
      <c r="F383" s="5" t="n">
        <f aca="false">INDEX('08_PEDIDOS'!$D$2:$D$97,MATCH(A383,'08_PEDIDOS'!$A$2:$A$97,0))</f>
        <v>10</v>
      </c>
      <c r="G383" s="5" t="n">
        <f aca="false">INDEX('08_PEDIDOS'!$H$2:$H$97,MATCH(A383,'08_PEDIDOS'!$A$2:$A$97,0))</f>
        <v>10</v>
      </c>
      <c r="H383" s="17" t="n">
        <f aca="false">SUMIFS('05_RUTAS'!$F$2:$F$407,'05_RUTAS'!$A$2:$A$407,B383,'05_RUTAS'!$C$2:$C$407,C383)</f>
        <v>6</v>
      </c>
      <c r="I383" s="18" t="n">
        <f aca="false">SUMIFS('05_RUTAS'!$G$2:$G$407,'05_RUTAS'!$A$2:$A$407,B383,'05_RUTAS'!$C$2:$C$407,C383)</f>
        <v>61.5</v>
      </c>
      <c r="J383" s="18" t="n">
        <f aca="false">(ROUNDUP(F383/G383,0)*H383+F383*I383)/60</f>
        <v>10.35</v>
      </c>
      <c r="K383" s="5" t="n">
        <f aca="false">MONTH(INDEX('08_PEDIDOS'!$F$2:$F$97,MATCH(A383,'08_PEDIDOS'!$A$2:$A$97,0)))</f>
        <v>4</v>
      </c>
      <c r="L383" s="16" t="n">
        <f aca="false">J383*N(INDEX('04_MAQUINAS'!$F$2:$F$18,MATCH(E383,'04_MAQUINAS'!$A$2:$A$18,0)))</f>
        <v>196.65</v>
      </c>
      <c r="M383" s="17" t="n">
        <f aca="false">J383*INDEX('04_MAQUINAS'!$G$2:$G$18,MATCH(E383,'04_MAQUINAS'!$A$2:$A$18,0))*INDEX('04_MAQUINAS'!$H$2:$H$18,MATCH(E383,'04_MAQUINAS'!$A$2:$A$18,0))</f>
        <v>3.105</v>
      </c>
      <c r="N383" s="2" t="s">
        <v>629</v>
      </c>
    </row>
    <row r="384" customFormat="false" ht="15" hidden="false" customHeight="false" outlineLevel="0" collapsed="false">
      <c r="A384" s="2" t="s">
        <v>556</v>
      </c>
      <c r="B384" s="2" t="s">
        <v>121</v>
      </c>
      <c r="C384" s="4" t="n">
        <v>11</v>
      </c>
      <c r="D384" s="2" t="s">
        <v>451</v>
      </c>
      <c r="E384" s="2" t="s">
        <v>408</v>
      </c>
      <c r="F384" s="5" t="n">
        <f aca="false">INDEX('08_PEDIDOS'!$D$2:$D$97,MATCH(A384,'08_PEDIDOS'!$A$2:$A$97,0))</f>
        <v>10</v>
      </c>
      <c r="G384" s="5" t="n">
        <f aca="false">INDEX('08_PEDIDOS'!$H$2:$H$97,MATCH(A384,'08_PEDIDOS'!$A$2:$A$97,0))</f>
        <v>10</v>
      </c>
      <c r="H384" s="17" t="n">
        <f aca="false">SUMIFS('05_RUTAS'!$F$2:$F$407,'05_RUTAS'!$A$2:$A$407,B384,'05_RUTAS'!$C$2:$C$407,C384)</f>
        <v>2</v>
      </c>
      <c r="I384" s="18" t="n">
        <f aca="false">SUMIFS('05_RUTAS'!$G$2:$G$407,'05_RUTAS'!$A$2:$A$407,B384,'05_RUTAS'!$C$2:$C$407,C384)</f>
        <v>3.45</v>
      </c>
      <c r="J384" s="18" t="n">
        <f aca="false">(ROUNDUP(F384/G384,0)*H384+F384*I384)/60</f>
        <v>0.608333333333333</v>
      </c>
      <c r="K384" s="5" t="n">
        <f aca="false">MONTH(INDEX('08_PEDIDOS'!$F$2:$F$97,MATCH(A384,'08_PEDIDOS'!$A$2:$A$97,0)))</f>
        <v>4</v>
      </c>
      <c r="L384" s="16" t="n">
        <f aca="false">J384*N(INDEX('04_MAQUINAS'!$F$2:$F$18,MATCH(E384,'04_MAQUINAS'!$A$2:$A$18,0)))</f>
        <v>12.1666666666667</v>
      </c>
      <c r="M384" s="17" t="n">
        <f aca="false">J384*INDEX('04_MAQUINAS'!$G$2:$G$18,MATCH(E384,'04_MAQUINAS'!$A$2:$A$18,0))*INDEX('04_MAQUINAS'!$H$2:$H$18,MATCH(E384,'04_MAQUINAS'!$A$2:$A$18,0))</f>
        <v>0.0608333333333333</v>
      </c>
      <c r="N384" s="2" t="s">
        <v>629</v>
      </c>
    </row>
    <row r="385" customFormat="false" ht="15" hidden="false" customHeight="false" outlineLevel="0" collapsed="false">
      <c r="A385" s="2" t="s">
        <v>556</v>
      </c>
      <c r="B385" s="2" t="s">
        <v>121</v>
      </c>
      <c r="C385" s="4" t="n">
        <v>12</v>
      </c>
      <c r="D385" s="2" t="s">
        <v>452</v>
      </c>
      <c r="E385" s="2" t="s">
        <v>411</v>
      </c>
      <c r="F385" s="5" t="n">
        <f aca="false">INDEX('08_PEDIDOS'!$D$2:$D$97,MATCH(A385,'08_PEDIDOS'!$A$2:$A$97,0))</f>
        <v>10</v>
      </c>
      <c r="G385" s="5" t="n">
        <f aca="false">INDEX('08_PEDIDOS'!$H$2:$H$97,MATCH(A385,'08_PEDIDOS'!$A$2:$A$97,0))</f>
        <v>10</v>
      </c>
      <c r="H385" s="17" t="n">
        <f aca="false">SUMIFS('05_RUTAS'!$F$2:$F$407,'05_RUTAS'!$A$2:$A$407,B385,'05_RUTAS'!$C$2:$C$407,C385)</f>
        <v>2</v>
      </c>
      <c r="I385" s="18" t="n">
        <f aca="false">SUMIFS('05_RUTAS'!$G$2:$G$407,'05_RUTAS'!$A$2:$A$407,B385,'05_RUTAS'!$C$2:$C$407,C385)</f>
        <v>4.67</v>
      </c>
      <c r="J385" s="18" t="n">
        <f aca="false">(ROUNDUP(F385/G385,0)*H385+F385*I385)/60</f>
        <v>0.811666666666667</v>
      </c>
      <c r="K385" s="5" t="n">
        <f aca="false">MONTH(INDEX('08_PEDIDOS'!$F$2:$F$97,MATCH(A385,'08_PEDIDOS'!$A$2:$A$97,0)))</f>
        <v>4</v>
      </c>
      <c r="L385" s="16" t="n">
        <f aca="false">J385*N(INDEX('04_MAQUINAS'!$F$2:$F$18,MATCH(E385,'04_MAQUINAS'!$A$2:$A$18,0)))</f>
        <v>14.61</v>
      </c>
      <c r="M385" s="17" t="n">
        <f aca="false">J385*INDEX('04_MAQUINAS'!$G$2:$G$18,MATCH(E385,'04_MAQUINAS'!$A$2:$A$18,0))*INDEX('04_MAQUINAS'!$H$2:$H$18,MATCH(E385,'04_MAQUINAS'!$A$2:$A$18,0))</f>
        <v>0.07305</v>
      </c>
      <c r="N385" s="2" t="s">
        <v>629</v>
      </c>
    </row>
    <row r="386" customFormat="false" ht="15" hidden="false" customHeight="false" outlineLevel="0" collapsed="false">
      <c r="A386" s="2" t="s">
        <v>557</v>
      </c>
      <c r="B386" s="2" t="s">
        <v>80</v>
      </c>
      <c r="C386" s="4" t="n">
        <v>1</v>
      </c>
      <c r="D386" s="2" t="s">
        <v>437</v>
      </c>
      <c r="E386" s="2" t="s">
        <v>375</v>
      </c>
      <c r="F386" s="5" t="n">
        <f aca="false">INDEX('08_PEDIDOS'!$D$2:$D$97,MATCH(A386,'08_PEDIDOS'!$A$2:$A$97,0))</f>
        <v>12</v>
      </c>
      <c r="G386" s="5" t="n">
        <f aca="false">INDEX('08_PEDIDOS'!$H$2:$H$97,MATCH(A386,'08_PEDIDOS'!$A$2:$A$97,0))</f>
        <v>10</v>
      </c>
      <c r="H386" s="17" t="n">
        <f aca="false">SUMIFS('05_RUTAS'!$F$2:$F$407,'05_RUTAS'!$A$2:$A$407,B386,'05_RUTAS'!$C$2:$C$407,C386)</f>
        <v>8</v>
      </c>
      <c r="I386" s="18" t="n">
        <f aca="false">SUMIFS('05_RUTAS'!$G$2:$G$407,'05_RUTAS'!$A$2:$A$407,B386,'05_RUTAS'!$C$2:$C$407,C386)</f>
        <v>34.62</v>
      </c>
      <c r="J386" s="18" t="n">
        <f aca="false">(ROUNDUP(F386/G386,0)*H386+F386*I386)/60</f>
        <v>7.19066666666667</v>
      </c>
      <c r="K386" s="5" t="n">
        <f aca="false">MONTH(INDEX('08_PEDIDOS'!$F$2:$F$97,MATCH(A386,'08_PEDIDOS'!$A$2:$A$97,0)))</f>
        <v>5</v>
      </c>
      <c r="L386" s="16" t="n">
        <f aca="false">J386*N(INDEX('04_MAQUINAS'!$F$2:$F$18,MATCH(E386,'04_MAQUINAS'!$A$2:$A$18,0)))</f>
        <v>172.576</v>
      </c>
      <c r="M386" s="17" t="n">
        <f aca="false">J386*INDEX('04_MAQUINAS'!$G$2:$G$18,MATCH(E386,'04_MAQUINAS'!$A$2:$A$18,0))*INDEX('04_MAQUINAS'!$H$2:$H$18,MATCH(E386,'04_MAQUINAS'!$A$2:$A$18,0))</f>
        <v>19.7743333333333</v>
      </c>
      <c r="N386" s="2" t="s">
        <v>629</v>
      </c>
    </row>
    <row r="387" customFormat="false" ht="15" hidden="false" customHeight="false" outlineLevel="0" collapsed="false">
      <c r="A387" s="2" t="s">
        <v>557</v>
      </c>
      <c r="B387" s="2" t="s">
        <v>80</v>
      </c>
      <c r="C387" s="4" t="n">
        <v>2</v>
      </c>
      <c r="D387" s="2" t="s">
        <v>441</v>
      </c>
      <c r="E387" s="2" t="s">
        <v>380</v>
      </c>
      <c r="F387" s="5" t="n">
        <f aca="false">INDEX('08_PEDIDOS'!$D$2:$D$97,MATCH(A387,'08_PEDIDOS'!$A$2:$A$97,0))</f>
        <v>12</v>
      </c>
      <c r="G387" s="5" t="n">
        <f aca="false">INDEX('08_PEDIDOS'!$H$2:$H$97,MATCH(A387,'08_PEDIDOS'!$A$2:$A$97,0))</f>
        <v>10</v>
      </c>
      <c r="H387" s="17" t="n">
        <f aca="false">SUMIFS('05_RUTAS'!$F$2:$F$407,'05_RUTAS'!$A$2:$A$407,B387,'05_RUTAS'!$C$2:$C$407,C387)</f>
        <v>8</v>
      </c>
      <c r="I387" s="18" t="n">
        <f aca="false">SUMIFS('05_RUTAS'!$G$2:$G$407,'05_RUTAS'!$A$2:$A$407,B387,'05_RUTAS'!$C$2:$C$407,C387)</f>
        <v>43.52</v>
      </c>
      <c r="J387" s="18" t="n">
        <f aca="false">(ROUNDUP(F387/G387,0)*H387+F387*I387)/60</f>
        <v>8.97066666666667</v>
      </c>
      <c r="K387" s="5" t="n">
        <f aca="false">MONTH(INDEX('08_PEDIDOS'!$F$2:$F$97,MATCH(A387,'08_PEDIDOS'!$A$2:$A$97,0)))</f>
        <v>5</v>
      </c>
      <c r="L387" s="16" t="n">
        <f aca="false">J387*N(INDEX('04_MAQUINAS'!$F$2:$F$18,MATCH(E387,'04_MAQUINAS'!$A$2:$A$18,0)))</f>
        <v>197.354666666667</v>
      </c>
      <c r="M387" s="17" t="n">
        <f aca="false">J387*INDEX('04_MAQUINAS'!$G$2:$G$18,MATCH(E387,'04_MAQUINAS'!$A$2:$A$18,0))*INDEX('04_MAQUINAS'!$H$2:$H$18,MATCH(E387,'04_MAQUINAS'!$A$2:$A$18,0))</f>
        <v>4.0368</v>
      </c>
      <c r="N387" s="2" t="s">
        <v>629</v>
      </c>
    </row>
    <row r="388" customFormat="false" ht="15" hidden="false" customHeight="false" outlineLevel="0" collapsed="false">
      <c r="A388" s="2" t="s">
        <v>557</v>
      </c>
      <c r="B388" s="2" t="s">
        <v>80</v>
      </c>
      <c r="C388" s="4" t="n">
        <v>3</v>
      </c>
      <c r="D388" s="2" t="s">
        <v>386</v>
      </c>
      <c r="E388" s="2" t="s">
        <v>383</v>
      </c>
      <c r="F388" s="5" t="n">
        <f aca="false">INDEX('08_PEDIDOS'!$D$2:$D$97,MATCH(A388,'08_PEDIDOS'!$A$2:$A$97,0))</f>
        <v>12</v>
      </c>
      <c r="G388" s="5" t="n">
        <f aca="false">INDEX('08_PEDIDOS'!$H$2:$H$97,MATCH(A388,'08_PEDIDOS'!$A$2:$A$97,0))</f>
        <v>10</v>
      </c>
      <c r="H388" s="17" t="n">
        <f aca="false">SUMIFS('05_RUTAS'!$F$2:$F$407,'05_RUTAS'!$A$2:$A$407,B388,'05_RUTAS'!$C$2:$C$407,C388)</f>
        <v>10</v>
      </c>
      <c r="I388" s="18" t="n">
        <f aca="false">SUMIFS('05_RUTAS'!$G$2:$G$407,'05_RUTAS'!$A$2:$A$407,B388,'05_RUTAS'!$C$2:$C$407,C388)</f>
        <v>63.2</v>
      </c>
      <c r="J388" s="18" t="n">
        <f aca="false">(ROUNDUP(F388/G388,0)*H388+F388*I388)/60</f>
        <v>12.9733333333333</v>
      </c>
      <c r="K388" s="5" t="n">
        <f aca="false">MONTH(INDEX('08_PEDIDOS'!$F$2:$F$97,MATCH(A388,'08_PEDIDOS'!$A$2:$A$97,0)))</f>
        <v>5</v>
      </c>
      <c r="L388" s="16" t="n">
        <f aca="false">J388*N(INDEX('04_MAQUINAS'!$F$2:$F$18,MATCH(E388,'04_MAQUINAS'!$A$2:$A$18,0)))</f>
        <v>285.413333333333</v>
      </c>
      <c r="M388" s="17" t="n">
        <f aca="false">J388*INDEX('04_MAQUINAS'!$G$2:$G$18,MATCH(E388,'04_MAQUINAS'!$A$2:$A$18,0))*INDEX('04_MAQUINAS'!$H$2:$H$18,MATCH(E388,'04_MAQUINAS'!$A$2:$A$18,0))</f>
        <v>3.56766666666667</v>
      </c>
      <c r="N388" s="2" t="s">
        <v>629</v>
      </c>
    </row>
    <row r="389" customFormat="false" ht="15" hidden="false" customHeight="false" outlineLevel="0" collapsed="false">
      <c r="A389" s="2" t="s">
        <v>557</v>
      </c>
      <c r="B389" s="2" t="s">
        <v>80</v>
      </c>
      <c r="C389" s="4" t="n">
        <v>4</v>
      </c>
      <c r="D389" s="2" t="s">
        <v>390</v>
      </c>
      <c r="E389" s="2" t="s">
        <v>387</v>
      </c>
      <c r="F389" s="5" t="n">
        <f aca="false">INDEX('08_PEDIDOS'!$D$2:$D$97,MATCH(A389,'08_PEDIDOS'!$A$2:$A$97,0))</f>
        <v>12</v>
      </c>
      <c r="G389" s="5" t="n">
        <f aca="false">INDEX('08_PEDIDOS'!$H$2:$H$97,MATCH(A389,'08_PEDIDOS'!$A$2:$A$97,0))</f>
        <v>10</v>
      </c>
      <c r="H389" s="17" t="n">
        <f aca="false">SUMIFS('05_RUTAS'!$F$2:$F$407,'05_RUTAS'!$A$2:$A$407,B389,'05_RUTAS'!$C$2:$C$407,C389)</f>
        <v>12</v>
      </c>
      <c r="I389" s="18" t="n">
        <f aca="false">SUMIFS('05_RUTAS'!$G$2:$G$407,'05_RUTAS'!$A$2:$A$407,B389,'05_RUTAS'!$C$2:$C$407,C389)</f>
        <v>60</v>
      </c>
      <c r="J389" s="18" t="n">
        <f aca="false">(ROUNDUP(F389/G389,0)*H389+F389*I389)/60</f>
        <v>12.4</v>
      </c>
      <c r="K389" s="5" t="n">
        <f aca="false">MONTH(INDEX('08_PEDIDOS'!$F$2:$F$97,MATCH(A389,'08_PEDIDOS'!$A$2:$A$97,0)))</f>
        <v>5</v>
      </c>
      <c r="L389" s="16" t="n">
        <f aca="false">J389*N(INDEX('04_MAQUINAS'!$F$2:$F$18,MATCH(E389,'04_MAQUINAS'!$A$2:$A$18,0)))</f>
        <v>347.2</v>
      </c>
      <c r="M389" s="17" t="n">
        <f aca="false">J389*INDEX('04_MAQUINAS'!$G$2:$G$18,MATCH(E389,'04_MAQUINAS'!$A$2:$A$18,0))*INDEX('04_MAQUINAS'!$H$2:$H$18,MATCH(E389,'04_MAQUINAS'!$A$2:$A$18,0))</f>
        <v>30.69</v>
      </c>
      <c r="N389" s="2" t="s">
        <v>629</v>
      </c>
    </row>
    <row r="390" customFormat="false" ht="15" hidden="false" customHeight="false" outlineLevel="0" collapsed="false">
      <c r="A390" s="2" t="s">
        <v>557</v>
      </c>
      <c r="B390" s="2" t="s">
        <v>80</v>
      </c>
      <c r="C390" s="4" t="n">
        <v>5</v>
      </c>
      <c r="D390" s="2" t="s">
        <v>442</v>
      </c>
      <c r="E390" s="2" t="s">
        <v>391</v>
      </c>
      <c r="F390" s="5" t="n">
        <f aca="false">INDEX('08_PEDIDOS'!$D$2:$D$97,MATCH(A390,'08_PEDIDOS'!$A$2:$A$97,0))</f>
        <v>12</v>
      </c>
      <c r="G390" s="5" t="n">
        <f aca="false">INDEX('08_PEDIDOS'!$H$2:$H$97,MATCH(A390,'08_PEDIDOS'!$A$2:$A$97,0))</f>
        <v>10</v>
      </c>
      <c r="H390" s="17" t="n">
        <f aca="false">SUMIFS('05_RUTAS'!$F$2:$F$407,'05_RUTAS'!$A$2:$A$407,B390,'05_RUTAS'!$C$2:$C$407,C390)</f>
        <v>10</v>
      </c>
      <c r="I390" s="18" t="n">
        <f aca="false">SUMIFS('05_RUTAS'!$G$2:$G$407,'05_RUTAS'!$A$2:$A$407,B390,'05_RUTAS'!$C$2:$C$407,C390)</f>
        <v>78.4</v>
      </c>
      <c r="J390" s="18" t="n">
        <f aca="false">(ROUNDUP(F390/G390,0)*H390+F390*I390)/60</f>
        <v>16.0133333333333</v>
      </c>
      <c r="K390" s="5" t="n">
        <f aca="false">MONTH(INDEX('08_PEDIDOS'!$F$2:$F$97,MATCH(A390,'08_PEDIDOS'!$A$2:$A$97,0)))</f>
        <v>5</v>
      </c>
      <c r="L390" s="16" t="n">
        <f aca="false">J390*N(INDEX('04_MAQUINAS'!$F$2:$F$18,MATCH(E390,'04_MAQUINAS'!$A$2:$A$18,0)))</f>
        <v>512.426666666667</v>
      </c>
      <c r="M390" s="17" t="n">
        <f aca="false">J390*INDEX('04_MAQUINAS'!$G$2:$G$18,MATCH(E390,'04_MAQUINAS'!$A$2:$A$18,0))*INDEX('04_MAQUINAS'!$H$2:$H$18,MATCH(E390,'04_MAQUINAS'!$A$2:$A$18,0))</f>
        <v>28.0233333333333</v>
      </c>
      <c r="N390" s="2" t="s">
        <v>629</v>
      </c>
    </row>
    <row r="391" customFormat="false" ht="15" hidden="false" customHeight="false" outlineLevel="0" collapsed="false">
      <c r="A391" s="2" t="s">
        <v>557</v>
      </c>
      <c r="B391" s="2" t="s">
        <v>80</v>
      </c>
      <c r="C391" s="4" t="n">
        <v>6</v>
      </c>
      <c r="D391" s="2" t="s">
        <v>443</v>
      </c>
      <c r="E391" s="2" t="s">
        <v>395</v>
      </c>
      <c r="F391" s="5" t="n">
        <f aca="false">INDEX('08_PEDIDOS'!$D$2:$D$97,MATCH(A391,'08_PEDIDOS'!$A$2:$A$97,0))</f>
        <v>12</v>
      </c>
      <c r="G391" s="5" t="n">
        <f aca="false">INDEX('08_PEDIDOS'!$H$2:$H$97,MATCH(A391,'08_PEDIDOS'!$A$2:$A$97,0))</f>
        <v>10</v>
      </c>
      <c r="H391" s="17" t="n">
        <f aca="false">SUMIFS('05_RUTAS'!$F$2:$F$407,'05_RUTAS'!$A$2:$A$407,B391,'05_RUTAS'!$C$2:$C$407,C391)</f>
        <v>3</v>
      </c>
      <c r="I391" s="18" t="n">
        <f aca="false">SUMIFS('05_RUTAS'!$G$2:$G$407,'05_RUTAS'!$A$2:$A$407,B391,'05_RUTAS'!$C$2:$C$407,C391)</f>
        <v>42</v>
      </c>
      <c r="J391" s="18" t="n">
        <f aca="false">(ROUNDUP(F391/G391,0)*H391+F391*I391)/60</f>
        <v>8.5</v>
      </c>
      <c r="K391" s="5" t="n">
        <f aca="false">MONTH(INDEX('08_PEDIDOS'!$F$2:$F$97,MATCH(A391,'08_PEDIDOS'!$A$2:$A$97,0)))</f>
        <v>5</v>
      </c>
      <c r="L391" s="16" t="n">
        <f aca="false">J391*N(INDEX('04_MAQUINAS'!$F$2:$F$18,MATCH(E391,'04_MAQUINAS'!$A$2:$A$18,0)))</f>
        <v>178.5</v>
      </c>
      <c r="M391" s="17" t="n">
        <f aca="false">J391*INDEX('04_MAQUINAS'!$G$2:$G$18,MATCH(E391,'04_MAQUINAS'!$A$2:$A$18,0))*INDEX('04_MAQUINAS'!$H$2:$H$18,MATCH(E391,'04_MAQUINAS'!$A$2:$A$18,0))</f>
        <v>6.375</v>
      </c>
      <c r="N391" s="2" t="s">
        <v>629</v>
      </c>
    </row>
    <row r="392" customFormat="false" ht="15" hidden="false" customHeight="false" outlineLevel="0" collapsed="false">
      <c r="A392" s="2" t="s">
        <v>557</v>
      </c>
      <c r="B392" s="2" t="s">
        <v>80</v>
      </c>
      <c r="C392" s="4" t="n">
        <v>7</v>
      </c>
      <c r="D392" s="2" t="s">
        <v>444</v>
      </c>
      <c r="E392" s="2" t="s">
        <v>399</v>
      </c>
      <c r="F392" s="5" t="n">
        <f aca="false">INDEX('08_PEDIDOS'!$D$2:$D$97,MATCH(A392,'08_PEDIDOS'!$A$2:$A$97,0))</f>
        <v>12</v>
      </c>
      <c r="G392" s="5" t="n">
        <f aca="false">INDEX('08_PEDIDOS'!$H$2:$H$97,MATCH(A392,'08_PEDIDOS'!$A$2:$A$97,0))</f>
        <v>10</v>
      </c>
      <c r="H392" s="17" t="n">
        <f aca="false">SUMIFS('05_RUTAS'!$F$2:$F$407,'05_RUTAS'!$A$2:$A$407,B392,'05_RUTAS'!$C$2:$C$407,C392)</f>
        <v>6</v>
      </c>
      <c r="I392" s="18" t="n">
        <f aca="false">SUMIFS('05_RUTAS'!$G$2:$G$407,'05_RUTAS'!$A$2:$A$407,B392,'05_RUTAS'!$C$2:$C$407,C392)</f>
        <v>29.7248</v>
      </c>
      <c r="J392" s="18" t="n">
        <f aca="false">(ROUNDUP(F392/G392,0)*H392+F392*I392)/60</f>
        <v>6.14496</v>
      </c>
      <c r="K392" s="5" t="n">
        <f aca="false">MONTH(INDEX('08_PEDIDOS'!$F$2:$F$97,MATCH(A392,'08_PEDIDOS'!$A$2:$A$97,0)))</f>
        <v>5</v>
      </c>
      <c r="L392" s="16" t="n">
        <f aca="false">J392*N(INDEX('04_MAQUINAS'!$F$2:$F$18,MATCH(E392,'04_MAQUINAS'!$A$2:$A$18,0)))</f>
        <v>116.75424</v>
      </c>
      <c r="M392" s="17" t="n">
        <f aca="false">J392*INDEX('04_MAQUINAS'!$G$2:$G$18,MATCH(E392,'04_MAQUINAS'!$A$2:$A$18,0))*INDEX('04_MAQUINAS'!$H$2:$H$18,MATCH(E392,'04_MAQUINAS'!$A$2:$A$18,0))</f>
        <v>5.4075648</v>
      </c>
      <c r="N392" s="2" t="s">
        <v>629</v>
      </c>
    </row>
    <row r="393" customFormat="false" ht="15" hidden="false" customHeight="false" outlineLevel="0" collapsed="false">
      <c r="A393" s="2" t="s">
        <v>557</v>
      </c>
      <c r="B393" s="2" t="s">
        <v>80</v>
      </c>
      <c r="C393" s="4" t="n">
        <v>8</v>
      </c>
      <c r="D393" s="2" t="s">
        <v>445</v>
      </c>
      <c r="E393" s="2" t="s">
        <v>402</v>
      </c>
      <c r="F393" s="5" t="n">
        <f aca="false">INDEX('08_PEDIDOS'!$D$2:$D$97,MATCH(A393,'08_PEDIDOS'!$A$2:$A$97,0))</f>
        <v>12</v>
      </c>
      <c r="G393" s="5" t="n">
        <f aca="false">INDEX('08_PEDIDOS'!$H$2:$H$97,MATCH(A393,'08_PEDIDOS'!$A$2:$A$97,0))</f>
        <v>10</v>
      </c>
      <c r="H393" s="17" t="n">
        <f aca="false">SUMIFS('05_RUTAS'!$F$2:$F$407,'05_RUTAS'!$A$2:$A$407,B393,'05_RUTAS'!$C$2:$C$407,C393)</f>
        <v>12</v>
      </c>
      <c r="I393" s="18" t="n">
        <f aca="false">SUMIFS('05_RUTAS'!$G$2:$G$407,'05_RUTAS'!$A$2:$A$407,B393,'05_RUTAS'!$C$2:$C$407,C393)</f>
        <v>8.02</v>
      </c>
      <c r="J393" s="18" t="n">
        <f aca="false">(ROUNDUP(F393/G393,0)*H393+F393*I393)/60</f>
        <v>2.004</v>
      </c>
      <c r="K393" s="5" t="n">
        <f aca="false">MONTH(INDEX('08_PEDIDOS'!$F$2:$F$97,MATCH(A393,'08_PEDIDOS'!$A$2:$A$97,0)))</f>
        <v>5</v>
      </c>
      <c r="L393" s="16" t="n">
        <f aca="false">J393*N(INDEX('04_MAQUINAS'!$F$2:$F$18,MATCH(E393,'04_MAQUINAS'!$A$2:$A$18,0)))</f>
        <v>64.128</v>
      </c>
      <c r="M393" s="17" t="n">
        <f aca="false">J393*INDEX('04_MAQUINAS'!$G$2:$G$18,MATCH(E393,'04_MAQUINAS'!$A$2:$A$18,0))*INDEX('04_MAQUINAS'!$H$2:$H$18,MATCH(E393,'04_MAQUINAS'!$A$2:$A$18,0))</f>
        <v>2.1042</v>
      </c>
      <c r="N393" s="2" t="s">
        <v>629</v>
      </c>
    </row>
    <row r="394" customFormat="false" ht="15" hidden="false" customHeight="false" outlineLevel="0" collapsed="false">
      <c r="A394" s="2" t="s">
        <v>557</v>
      </c>
      <c r="B394" s="2" t="s">
        <v>80</v>
      </c>
      <c r="C394" s="4" t="n">
        <v>9</v>
      </c>
      <c r="D394" s="2" t="s">
        <v>447</v>
      </c>
      <c r="E394" s="2" t="s">
        <v>421</v>
      </c>
      <c r="F394" s="5" t="n">
        <f aca="false">INDEX('08_PEDIDOS'!$D$2:$D$97,MATCH(A394,'08_PEDIDOS'!$A$2:$A$97,0))</f>
        <v>12</v>
      </c>
      <c r="G394" s="5" t="n">
        <f aca="false">INDEX('08_PEDIDOS'!$H$2:$H$97,MATCH(A394,'08_PEDIDOS'!$A$2:$A$97,0))</f>
        <v>10</v>
      </c>
      <c r="H394" s="17" t="n">
        <f aca="false">SUMIFS('05_RUTAS'!$F$2:$F$407,'05_RUTAS'!$A$2:$A$407,B394,'05_RUTAS'!$C$2:$C$407,C394)</f>
        <v>45</v>
      </c>
      <c r="I394" s="18" t="n">
        <f aca="false">SUMIFS('05_RUTAS'!$G$2:$G$407,'05_RUTAS'!$A$2:$A$407,B394,'05_RUTAS'!$C$2:$C$407,C394)</f>
        <v>0</v>
      </c>
      <c r="J394" s="18" t="n">
        <f aca="false">(ROUNDUP(F394/G394,0)*H394+F394*I394)/60</f>
        <v>1.5</v>
      </c>
      <c r="K394" s="5" t="n">
        <f aca="false">MONTH(INDEX('08_PEDIDOS'!$F$2:$F$97,MATCH(A394,'08_PEDIDOS'!$A$2:$A$97,0)))</f>
        <v>5</v>
      </c>
      <c r="L394" s="16" t="n">
        <f aca="false">J394*N(INDEX('04_MAQUINAS'!$F$2:$F$18,MATCH(E394,'04_MAQUINAS'!$A$2:$A$18,0)))</f>
        <v>39</v>
      </c>
      <c r="M394" s="17" t="n">
        <f aca="false">J394*INDEX('04_MAQUINAS'!$G$2:$G$18,MATCH(E394,'04_MAQUINAS'!$A$2:$A$18,0))*INDEX('04_MAQUINAS'!$H$2:$H$18,MATCH(E394,'04_MAQUINAS'!$A$2:$A$18,0))</f>
        <v>21.6</v>
      </c>
      <c r="N394" s="2" t="s">
        <v>629</v>
      </c>
    </row>
    <row r="395" customFormat="false" ht="15" hidden="false" customHeight="false" outlineLevel="0" collapsed="false">
      <c r="A395" s="2" t="s">
        <v>557</v>
      </c>
      <c r="B395" s="2" t="s">
        <v>80</v>
      </c>
      <c r="C395" s="4" t="n">
        <v>10</v>
      </c>
      <c r="D395" s="2" t="s">
        <v>449</v>
      </c>
      <c r="E395" s="2" t="s">
        <v>423</v>
      </c>
      <c r="F395" s="5" t="n">
        <f aca="false">INDEX('08_PEDIDOS'!$D$2:$D$97,MATCH(A395,'08_PEDIDOS'!$A$2:$A$97,0))</f>
        <v>12</v>
      </c>
      <c r="G395" s="5" t="n">
        <f aca="false">INDEX('08_PEDIDOS'!$H$2:$H$97,MATCH(A395,'08_PEDIDOS'!$A$2:$A$97,0))</f>
        <v>10</v>
      </c>
      <c r="H395" s="17" t="n">
        <f aca="false">SUMIFS('05_RUTAS'!$F$2:$F$407,'05_RUTAS'!$A$2:$A$407,B395,'05_RUTAS'!$C$2:$C$407,C395)</f>
        <v>8</v>
      </c>
      <c r="I395" s="18" t="n">
        <f aca="false">SUMIFS('05_RUTAS'!$G$2:$G$407,'05_RUTAS'!$A$2:$A$407,B395,'05_RUTAS'!$C$2:$C$407,C395)</f>
        <v>2.69</v>
      </c>
      <c r="J395" s="18" t="n">
        <f aca="false">(ROUNDUP(F395/G395,0)*H395+F395*I395)/60</f>
        <v>0.804666666666667</v>
      </c>
      <c r="K395" s="5" t="n">
        <f aca="false">MONTH(INDEX('08_PEDIDOS'!$F$2:$F$97,MATCH(A395,'08_PEDIDOS'!$A$2:$A$97,0)))</f>
        <v>5</v>
      </c>
      <c r="L395" s="16" t="n">
        <f aca="false">J395*N(INDEX('04_MAQUINAS'!$F$2:$F$18,MATCH(E395,'04_MAQUINAS'!$A$2:$A$18,0)))</f>
        <v>12.8746666666667</v>
      </c>
      <c r="M395" s="17" t="n">
        <f aca="false">J395*INDEX('04_MAQUINAS'!$G$2:$G$18,MATCH(E395,'04_MAQUINAS'!$A$2:$A$18,0))*INDEX('04_MAQUINAS'!$H$2:$H$18,MATCH(E395,'04_MAQUINAS'!$A$2:$A$18,0))</f>
        <v>0.201166666666667</v>
      </c>
      <c r="N395" s="2" t="s">
        <v>629</v>
      </c>
    </row>
    <row r="396" customFormat="false" ht="15" hidden="false" customHeight="false" outlineLevel="0" collapsed="false">
      <c r="A396" s="2" t="s">
        <v>557</v>
      </c>
      <c r="B396" s="2" t="s">
        <v>80</v>
      </c>
      <c r="C396" s="4" t="n">
        <v>11</v>
      </c>
      <c r="D396" s="2" t="s">
        <v>450</v>
      </c>
      <c r="E396" s="2" t="s">
        <v>406</v>
      </c>
      <c r="F396" s="5" t="n">
        <f aca="false">INDEX('08_PEDIDOS'!$D$2:$D$97,MATCH(A396,'08_PEDIDOS'!$A$2:$A$97,0))</f>
        <v>12</v>
      </c>
      <c r="G396" s="5" t="n">
        <f aca="false">INDEX('08_PEDIDOS'!$H$2:$H$97,MATCH(A396,'08_PEDIDOS'!$A$2:$A$97,0))</f>
        <v>10</v>
      </c>
      <c r="H396" s="17" t="n">
        <f aca="false">SUMIFS('05_RUTAS'!$F$2:$F$407,'05_RUTAS'!$A$2:$A$407,B396,'05_RUTAS'!$C$2:$C$407,C396)</f>
        <v>6</v>
      </c>
      <c r="I396" s="18" t="n">
        <f aca="false">SUMIFS('05_RUTAS'!$G$2:$G$407,'05_RUTAS'!$A$2:$A$407,B396,'05_RUTAS'!$C$2:$C$407,C396)</f>
        <v>60</v>
      </c>
      <c r="J396" s="18" t="n">
        <f aca="false">(ROUNDUP(F396/G396,0)*H396+F396*I396)/60</f>
        <v>12.2</v>
      </c>
      <c r="K396" s="5" t="n">
        <f aca="false">MONTH(INDEX('08_PEDIDOS'!$F$2:$F$97,MATCH(A396,'08_PEDIDOS'!$A$2:$A$97,0)))</f>
        <v>5</v>
      </c>
      <c r="L396" s="16" t="n">
        <f aca="false">J396*N(INDEX('04_MAQUINAS'!$F$2:$F$18,MATCH(E396,'04_MAQUINAS'!$A$2:$A$18,0)))</f>
        <v>231.8</v>
      </c>
      <c r="M396" s="17" t="n">
        <f aca="false">J396*INDEX('04_MAQUINAS'!$G$2:$G$18,MATCH(E396,'04_MAQUINAS'!$A$2:$A$18,0))*INDEX('04_MAQUINAS'!$H$2:$H$18,MATCH(E396,'04_MAQUINAS'!$A$2:$A$18,0))</f>
        <v>3.66</v>
      </c>
      <c r="N396" s="2" t="s">
        <v>629</v>
      </c>
    </row>
    <row r="397" customFormat="false" ht="15" hidden="false" customHeight="false" outlineLevel="0" collapsed="false">
      <c r="A397" s="2" t="s">
        <v>557</v>
      </c>
      <c r="B397" s="2" t="s">
        <v>80</v>
      </c>
      <c r="C397" s="4" t="n">
        <v>12</v>
      </c>
      <c r="D397" s="2" t="s">
        <v>451</v>
      </c>
      <c r="E397" s="2" t="s">
        <v>408</v>
      </c>
      <c r="F397" s="5" t="n">
        <f aca="false">INDEX('08_PEDIDOS'!$D$2:$D$97,MATCH(A397,'08_PEDIDOS'!$A$2:$A$97,0))</f>
        <v>12</v>
      </c>
      <c r="G397" s="5" t="n">
        <f aca="false">INDEX('08_PEDIDOS'!$H$2:$H$97,MATCH(A397,'08_PEDIDOS'!$A$2:$A$97,0))</f>
        <v>10</v>
      </c>
      <c r="H397" s="17" t="n">
        <f aca="false">SUMIFS('05_RUTAS'!$F$2:$F$407,'05_RUTAS'!$A$2:$A$407,B397,'05_RUTAS'!$C$2:$C$407,C397)</f>
        <v>2</v>
      </c>
      <c r="I397" s="18" t="n">
        <f aca="false">SUMIFS('05_RUTAS'!$G$2:$G$407,'05_RUTAS'!$A$2:$A$407,B397,'05_RUTAS'!$C$2:$C$407,C397)</f>
        <v>3.86</v>
      </c>
      <c r="J397" s="18" t="n">
        <f aca="false">(ROUNDUP(F397/G397,0)*H397+F397*I397)/60</f>
        <v>0.838666666666667</v>
      </c>
      <c r="K397" s="5" t="n">
        <f aca="false">MONTH(INDEX('08_PEDIDOS'!$F$2:$F$97,MATCH(A397,'08_PEDIDOS'!$A$2:$A$97,0)))</f>
        <v>5</v>
      </c>
      <c r="L397" s="16" t="n">
        <f aca="false">J397*N(INDEX('04_MAQUINAS'!$F$2:$F$18,MATCH(E397,'04_MAQUINAS'!$A$2:$A$18,0)))</f>
        <v>16.7733333333333</v>
      </c>
      <c r="M397" s="17" t="n">
        <f aca="false">J397*INDEX('04_MAQUINAS'!$G$2:$G$18,MATCH(E397,'04_MAQUINAS'!$A$2:$A$18,0))*INDEX('04_MAQUINAS'!$H$2:$H$18,MATCH(E397,'04_MAQUINAS'!$A$2:$A$18,0))</f>
        <v>0.0838666666666667</v>
      </c>
      <c r="N397" s="2" t="s">
        <v>629</v>
      </c>
    </row>
    <row r="398" customFormat="false" ht="15" hidden="false" customHeight="false" outlineLevel="0" collapsed="false">
      <c r="A398" s="2" t="s">
        <v>557</v>
      </c>
      <c r="B398" s="2" t="s">
        <v>80</v>
      </c>
      <c r="C398" s="4" t="n">
        <v>13</v>
      </c>
      <c r="D398" s="2" t="s">
        <v>452</v>
      </c>
      <c r="E398" s="2" t="s">
        <v>411</v>
      </c>
      <c r="F398" s="5" t="n">
        <f aca="false">INDEX('08_PEDIDOS'!$D$2:$D$97,MATCH(A398,'08_PEDIDOS'!$A$2:$A$97,0))</f>
        <v>12</v>
      </c>
      <c r="G398" s="5" t="n">
        <f aca="false">INDEX('08_PEDIDOS'!$H$2:$H$97,MATCH(A398,'08_PEDIDOS'!$A$2:$A$97,0))</f>
        <v>10</v>
      </c>
      <c r="H398" s="17" t="n">
        <f aca="false">SUMIFS('05_RUTAS'!$F$2:$F$407,'05_RUTAS'!$A$2:$A$407,B398,'05_RUTAS'!$C$2:$C$407,C398)</f>
        <v>2</v>
      </c>
      <c r="I398" s="18" t="n">
        <f aca="false">SUMIFS('05_RUTAS'!$G$2:$G$407,'05_RUTAS'!$A$2:$A$407,B398,'05_RUTAS'!$C$2:$C$407,C398)</f>
        <v>5.3</v>
      </c>
      <c r="J398" s="18" t="n">
        <f aca="false">(ROUNDUP(F398/G398,0)*H398+F398*I398)/60</f>
        <v>1.12666666666667</v>
      </c>
      <c r="K398" s="5" t="n">
        <f aca="false">MONTH(INDEX('08_PEDIDOS'!$F$2:$F$97,MATCH(A398,'08_PEDIDOS'!$A$2:$A$97,0)))</f>
        <v>5</v>
      </c>
      <c r="L398" s="16" t="n">
        <f aca="false">J398*N(INDEX('04_MAQUINAS'!$F$2:$F$18,MATCH(E398,'04_MAQUINAS'!$A$2:$A$18,0)))</f>
        <v>20.28</v>
      </c>
      <c r="M398" s="17" t="n">
        <f aca="false">J398*INDEX('04_MAQUINAS'!$G$2:$G$18,MATCH(E398,'04_MAQUINAS'!$A$2:$A$18,0))*INDEX('04_MAQUINAS'!$H$2:$H$18,MATCH(E398,'04_MAQUINAS'!$A$2:$A$18,0))</f>
        <v>0.1014</v>
      </c>
      <c r="N398" s="2" t="s">
        <v>629</v>
      </c>
    </row>
    <row r="399" customFormat="false" ht="15" hidden="false" customHeight="false" outlineLevel="0" collapsed="false">
      <c r="A399" s="2" t="s">
        <v>558</v>
      </c>
      <c r="B399" s="2" t="s">
        <v>83</v>
      </c>
      <c r="C399" s="4" t="n">
        <v>1</v>
      </c>
      <c r="D399" s="2" t="s">
        <v>437</v>
      </c>
      <c r="E399" s="2" t="s">
        <v>375</v>
      </c>
      <c r="F399" s="5" t="n">
        <f aca="false">INDEX('08_PEDIDOS'!$D$2:$D$97,MATCH(A399,'08_PEDIDOS'!$A$2:$A$97,0))</f>
        <v>12</v>
      </c>
      <c r="G399" s="5" t="n">
        <f aca="false">INDEX('08_PEDIDOS'!$H$2:$H$97,MATCH(A399,'08_PEDIDOS'!$A$2:$A$97,0))</f>
        <v>10</v>
      </c>
      <c r="H399" s="17" t="n">
        <f aca="false">SUMIFS('05_RUTAS'!$F$2:$F$407,'05_RUTAS'!$A$2:$A$407,B399,'05_RUTAS'!$C$2:$C$407,C399)</f>
        <v>8</v>
      </c>
      <c r="I399" s="18" t="n">
        <f aca="false">SUMIFS('05_RUTAS'!$G$2:$G$407,'05_RUTAS'!$A$2:$A$407,B399,'05_RUTAS'!$C$2:$C$407,C399)</f>
        <v>36.67</v>
      </c>
      <c r="J399" s="18" t="n">
        <f aca="false">(ROUNDUP(F399/G399,0)*H399+F399*I399)/60</f>
        <v>7.60066666666667</v>
      </c>
      <c r="K399" s="5" t="n">
        <f aca="false">MONTH(INDEX('08_PEDIDOS'!$F$2:$F$97,MATCH(A399,'08_PEDIDOS'!$A$2:$A$97,0)))</f>
        <v>5</v>
      </c>
      <c r="L399" s="16" t="n">
        <f aca="false">J399*N(INDEX('04_MAQUINAS'!$F$2:$F$18,MATCH(E399,'04_MAQUINAS'!$A$2:$A$18,0)))</f>
        <v>182.416</v>
      </c>
      <c r="M399" s="17" t="n">
        <f aca="false">J399*INDEX('04_MAQUINAS'!$G$2:$G$18,MATCH(E399,'04_MAQUINAS'!$A$2:$A$18,0))*INDEX('04_MAQUINAS'!$H$2:$H$18,MATCH(E399,'04_MAQUINAS'!$A$2:$A$18,0))</f>
        <v>20.9018333333333</v>
      </c>
      <c r="N399" s="2" t="s">
        <v>629</v>
      </c>
    </row>
    <row r="400" customFormat="false" ht="15" hidden="false" customHeight="false" outlineLevel="0" collapsed="false">
      <c r="A400" s="2" t="s">
        <v>558</v>
      </c>
      <c r="B400" s="2" t="s">
        <v>83</v>
      </c>
      <c r="C400" s="4" t="n">
        <v>2</v>
      </c>
      <c r="D400" s="2" t="s">
        <v>441</v>
      </c>
      <c r="E400" s="2" t="s">
        <v>380</v>
      </c>
      <c r="F400" s="5" t="n">
        <f aca="false">INDEX('08_PEDIDOS'!$D$2:$D$97,MATCH(A400,'08_PEDIDOS'!$A$2:$A$97,0))</f>
        <v>12</v>
      </c>
      <c r="G400" s="5" t="n">
        <f aca="false">INDEX('08_PEDIDOS'!$H$2:$H$97,MATCH(A400,'08_PEDIDOS'!$A$2:$A$97,0))</f>
        <v>10</v>
      </c>
      <c r="H400" s="17" t="n">
        <f aca="false">SUMIFS('05_RUTAS'!$F$2:$F$407,'05_RUTAS'!$A$2:$A$407,B400,'05_RUTAS'!$C$2:$C$407,C400)</f>
        <v>8</v>
      </c>
      <c r="I400" s="18" t="n">
        <f aca="false">SUMIFS('05_RUTAS'!$G$2:$G$407,'05_RUTAS'!$A$2:$A$407,B400,'05_RUTAS'!$C$2:$C$407,C400)</f>
        <v>52</v>
      </c>
      <c r="J400" s="18" t="n">
        <f aca="false">(ROUNDUP(F400/G400,0)*H400+F400*I400)/60</f>
        <v>10.6666666666667</v>
      </c>
      <c r="K400" s="5" t="n">
        <f aca="false">MONTH(INDEX('08_PEDIDOS'!$F$2:$F$97,MATCH(A400,'08_PEDIDOS'!$A$2:$A$97,0)))</f>
        <v>5</v>
      </c>
      <c r="L400" s="16" t="n">
        <f aca="false">J400*N(INDEX('04_MAQUINAS'!$F$2:$F$18,MATCH(E400,'04_MAQUINAS'!$A$2:$A$18,0)))</f>
        <v>234.666666666667</v>
      </c>
      <c r="M400" s="17" t="n">
        <f aca="false">J400*INDEX('04_MAQUINAS'!$G$2:$G$18,MATCH(E400,'04_MAQUINAS'!$A$2:$A$18,0))*INDEX('04_MAQUINAS'!$H$2:$H$18,MATCH(E400,'04_MAQUINAS'!$A$2:$A$18,0))</f>
        <v>4.8</v>
      </c>
      <c r="N400" s="2" t="s">
        <v>629</v>
      </c>
    </row>
    <row r="401" customFormat="false" ht="15" hidden="false" customHeight="false" outlineLevel="0" collapsed="false">
      <c r="A401" s="2" t="s">
        <v>558</v>
      </c>
      <c r="B401" s="2" t="s">
        <v>83</v>
      </c>
      <c r="C401" s="4" t="n">
        <v>3</v>
      </c>
      <c r="D401" s="2" t="s">
        <v>386</v>
      </c>
      <c r="E401" s="2" t="s">
        <v>383</v>
      </c>
      <c r="F401" s="5" t="n">
        <f aca="false">INDEX('08_PEDIDOS'!$D$2:$D$97,MATCH(A401,'08_PEDIDOS'!$A$2:$A$97,0))</f>
        <v>12</v>
      </c>
      <c r="G401" s="5" t="n">
        <f aca="false">INDEX('08_PEDIDOS'!$H$2:$H$97,MATCH(A401,'08_PEDIDOS'!$A$2:$A$97,0))</f>
        <v>10</v>
      </c>
      <c r="H401" s="17" t="n">
        <f aca="false">SUMIFS('05_RUTAS'!$F$2:$F$407,'05_RUTAS'!$A$2:$A$407,B401,'05_RUTAS'!$C$2:$C$407,C401)</f>
        <v>10</v>
      </c>
      <c r="I401" s="18" t="n">
        <f aca="false">SUMIFS('05_RUTAS'!$G$2:$G$407,'05_RUTAS'!$A$2:$A$407,B401,'05_RUTAS'!$C$2:$C$407,C401)</f>
        <v>82.1</v>
      </c>
      <c r="J401" s="18" t="n">
        <f aca="false">(ROUNDUP(F401/G401,0)*H401+F401*I401)/60</f>
        <v>16.7533333333333</v>
      </c>
      <c r="K401" s="5" t="n">
        <f aca="false">MONTH(INDEX('08_PEDIDOS'!$F$2:$F$97,MATCH(A401,'08_PEDIDOS'!$A$2:$A$97,0)))</f>
        <v>5</v>
      </c>
      <c r="L401" s="16" t="n">
        <f aca="false">J401*N(INDEX('04_MAQUINAS'!$F$2:$F$18,MATCH(E401,'04_MAQUINAS'!$A$2:$A$18,0)))</f>
        <v>368.573333333333</v>
      </c>
      <c r="M401" s="17" t="n">
        <f aca="false">J401*INDEX('04_MAQUINAS'!$G$2:$G$18,MATCH(E401,'04_MAQUINAS'!$A$2:$A$18,0))*INDEX('04_MAQUINAS'!$H$2:$H$18,MATCH(E401,'04_MAQUINAS'!$A$2:$A$18,0))</f>
        <v>4.60716666666667</v>
      </c>
      <c r="N401" s="2" t="s">
        <v>629</v>
      </c>
    </row>
    <row r="402" customFormat="false" ht="15" hidden="false" customHeight="false" outlineLevel="0" collapsed="false">
      <c r="A402" s="2" t="s">
        <v>558</v>
      </c>
      <c r="B402" s="2" t="s">
        <v>83</v>
      </c>
      <c r="C402" s="4" t="n">
        <v>4</v>
      </c>
      <c r="D402" s="2" t="s">
        <v>390</v>
      </c>
      <c r="E402" s="2" t="s">
        <v>387</v>
      </c>
      <c r="F402" s="5" t="n">
        <f aca="false">INDEX('08_PEDIDOS'!$D$2:$D$97,MATCH(A402,'08_PEDIDOS'!$A$2:$A$97,0))</f>
        <v>12</v>
      </c>
      <c r="G402" s="5" t="n">
        <f aca="false">INDEX('08_PEDIDOS'!$H$2:$H$97,MATCH(A402,'08_PEDIDOS'!$A$2:$A$97,0))</f>
        <v>10</v>
      </c>
      <c r="H402" s="17" t="n">
        <f aca="false">SUMIFS('05_RUTAS'!$F$2:$F$407,'05_RUTAS'!$A$2:$A$407,B402,'05_RUTAS'!$C$2:$C$407,C402)</f>
        <v>12</v>
      </c>
      <c r="I402" s="18" t="n">
        <f aca="false">SUMIFS('05_RUTAS'!$G$2:$G$407,'05_RUTAS'!$A$2:$A$407,B402,'05_RUTAS'!$C$2:$C$407,C402)</f>
        <v>69</v>
      </c>
      <c r="J402" s="18" t="n">
        <f aca="false">(ROUNDUP(F402/G402,0)*H402+F402*I402)/60</f>
        <v>14.2</v>
      </c>
      <c r="K402" s="5" t="n">
        <f aca="false">MONTH(INDEX('08_PEDIDOS'!$F$2:$F$97,MATCH(A402,'08_PEDIDOS'!$A$2:$A$97,0)))</f>
        <v>5</v>
      </c>
      <c r="L402" s="16" t="n">
        <f aca="false">J402*N(INDEX('04_MAQUINAS'!$F$2:$F$18,MATCH(E402,'04_MAQUINAS'!$A$2:$A$18,0)))</f>
        <v>397.6</v>
      </c>
      <c r="M402" s="17" t="n">
        <f aca="false">J402*INDEX('04_MAQUINAS'!$G$2:$G$18,MATCH(E402,'04_MAQUINAS'!$A$2:$A$18,0))*INDEX('04_MAQUINAS'!$H$2:$H$18,MATCH(E402,'04_MAQUINAS'!$A$2:$A$18,0))</f>
        <v>35.145</v>
      </c>
      <c r="N402" s="2" t="s">
        <v>629</v>
      </c>
    </row>
    <row r="403" customFormat="false" ht="15" hidden="false" customHeight="false" outlineLevel="0" collapsed="false">
      <c r="A403" s="2" t="s">
        <v>558</v>
      </c>
      <c r="B403" s="2" t="s">
        <v>83</v>
      </c>
      <c r="C403" s="4" t="n">
        <v>5</v>
      </c>
      <c r="D403" s="2" t="s">
        <v>442</v>
      </c>
      <c r="E403" s="2" t="s">
        <v>391</v>
      </c>
      <c r="F403" s="5" t="n">
        <f aca="false">INDEX('08_PEDIDOS'!$D$2:$D$97,MATCH(A403,'08_PEDIDOS'!$A$2:$A$97,0))</f>
        <v>12</v>
      </c>
      <c r="G403" s="5" t="n">
        <f aca="false">INDEX('08_PEDIDOS'!$H$2:$H$97,MATCH(A403,'08_PEDIDOS'!$A$2:$A$97,0))</f>
        <v>10</v>
      </c>
      <c r="H403" s="17" t="n">
        <f aca="false">SUMIFS('05_RUTAS'!$F$2:$F$407,'05_RUTAS'!$A$2:$A$407,B403,'05_RUTAS'!$C$2:$C$407,C403)</f>
        <v>10</v>
      </c>
      <c r="I403" s="18" t="n">
        <f aca="false">SUMIFS('05_RUTAS'!$G$2:$G$407,'05_RUTAS'!$A$2:$A$407,B403,'05_RUTAS'!$C$2:$C$407,C403)</f>
        <v>78.4</v>
      </c>
      <c r="J403" s="18" t="n">
        <f aca="false">(ROUNDUP(F403/G403,0)*H403+F403*I403)/60</f>
        <v>16.0133333333333</v>
      </c>
      <c r="K403" s="5" t="n">
        <f aca="false">MONTH(INDEX('08_PEDIDOS'!$F$2:$F$97,MATCH(A403,'08_PEDIDOS'!$A$2:$A$97,0)))</f>
        <v>5</v>
      </c>
      <c r="L403" s="16" t="n">
        <f aca="false">J403*N(INDEX('04_MAQUINAS'!$F$2:$F$18,MATCH(E403,'04_MAQUINAS'!$A$2:$A$18,0)))</f>
        <v>512.426666666667</v>
      </c>
      <c r="M403" s="17" t="n">
        <f aca="false">J403*INDEX('04_MAQUINAS'!$G$2:$G$18,MATCH(E403,'04_MAQUINAS'!$A$2:$A$18,0))*INDEX('04_MAQUINAS'!$H$2:$H$18,MATCH(E403,'04_MAQUINAS'!$A$2:$A$18,0))</f>
        <v>28.0233333333333</v>
      </c>
      <c r="N403" s="2" t="s">
        <v>629</v>
      </c>
    </row>
    <row r="404" customFormat="false" ht="15" hidden="false" customHeight="false" outlineLevel="0" collapsed="false">
      <c r="A404" s="2" t="s">
        <v>558</v>
      </c>
      <c r="B404" s="2" t="s">
        <v>83</v>
      </c>
      <c r="C404" s="4" t="n">
        <v>6</v>
      </c>
      <c r="D404" s="2" t="s">
        <v>443</v>
      </c>
      <c r="E404" s="2" t="s">
        <v>395</v>
      </c>
      <c r="F404" s="5" t="n">
        <f aca="false">INDEX('08_PEDIDOS'!$D$2:$D$97,MATCH(A404,'08_PEDIDOS'!$A$2:$A$97,0))</f>
        <v>12</v>
      </c>
      <c r="G404" s="5" t="n">
        <f aca="false">INDEX('08_PEDIDOS'!$H$2:$H$97,MATCH(A404,'08_PEDIDOS'!$A$2:$A$97,0))</f>
        <v>10</v>
      </c>
      <c r="H404" s="17" t="n">
        <f aca="false">SUMIFS('05_RUTAS'!$F$2:$F$407,'05_RUTAS'!$A$2:$A$407,B404,'05_RUTAS'!$C$2:$C$407,C404)</f>
        <v>3</v>
      </c>
      <c r="I404" s="18" t="n">
        <f aca="false">SUMIFS('05_RUTAS'!$G$2:$G$407,'05_RUTAS'!$A$2:$A$407,B404,'05_RUTAS'!$C$2:$C$407,C404)</f>
        <v>49.5</v>
      </c>
      <c r="J404" s="18" t="n">
        <f aca="false">(ROUNDUP(F404/G404,0)*H404+F404*I404)/60</f>
        <v>10</v>
      </c>
      <c r="K404" s="5" t="n">
        <f aca="false">MONTH(INDEX('08_PEDIDOS'!$F$2:$F$97,MATCH(A404,'08_PEDIDOS'!$A$2:$A$97,0)))</f>
        <v>5</v>
      </c>
      <c r="L404" s="16" t="n">
        <f aca="false">J404*N(INDEX('04_MAQUINAS'!$F$2:$F$18,MATCH(E404,'04_MAQUINAS'!$A$2:$A$18,0)))</f>
        <v>210</v>
      </c>
      <c r="M404" s="17" t="n">
        <f aca="false">J404*INDEX('04_MAQUINAS'!$G$2:$G$18,MATCH(E404,'04_MAQUINAS'!$A$2:$A$18,0))*INDEX('04_MAQUINAS'!$H$2:$H$18,MATCH(E404,'04_MAQUINAS'!$A$2:$A$18,0))</f>
        <v>7.5</v>
      </c>
      <c r="N404" s="2" t="s">
        <v>629</v>
      </c>
    </row>
    <row r="405" customFormat="false" ht="15" hidden="false" customHeight="false" outlineLevel="0" collapsed="false">
      <c r="A405" s="2" t="s">
        <v>558</v>
      </c>
      <c r="B405" s="2" t="s">
        <v>83</v>
      </c>
      <c r="C405" s="4" t="n">
        <v>7</v>
      </c>
      <c r="D405" s="2" t="s">
        <v>444</v>
      </c>
      <c r="E405" s="2" t="s">
        <v>399</v>
      </c>
      <c r="F405" s="5" t="n">
        <f aca="false">INDEX('08_PEDIDOS'!$D$2:$D$97,MATCH(A405,'08_PEDIDOS'!$A$2:$A$97,0))</f>
        <v>12</v>
      </c>
      <c r="G405" s="5" t="n">
        <f aca="false">INDEX('08_PEDIDOS'!$H$2:$H$97,MATCH(A405,'08_PEDIDOS'!$A$2:$A$97,0))</f>
        <v>10</v>
      </c>
      <c r="H405" s="17" t="n">
        <f aca="false">SUMIFS('05_RUTAS'!$F$2:$F$407,'05_RUTAS'!$A$2:$A$407,B405,'05_RUTAS'!$C$2:$C$407,C405)</f>
        <v>6</v>
      </c>
      <c r="I405" s="18" t="n">
        <f aca="false">SUMIFS('05_RUTAS'!$G$2:$G$407,'05_RUTAS'!$A$2:$A$407,B405,'05_RUTAS'!$C$2:$C$407,C405)</f>
        <v>32.064</v>
      </c>
      <c r="J405" s="18" t="n">
        <f aca="false">(ROUNDUP(F405/G405,0)*H405+F405*I405)/60</f>
        <v>6.6128</v>
      </c>
      <c r="K405" s="5" t="n">
        <f aca="false">MONTH(INDEX('08_PEDIDOS'!$F$2:$F$97,MATCH(A405,'08_PEDIDOS'!$A$2:$A$97,0)))</f>
        <v>5</v>
      </c>
      <c r="L405" s="16" t="n">
        <f aca="false">J405*N(INDEX('04_MAQUINAS'!$F$2:$F$18,MATCH(E405,'04_MAQUINAS'!$A$2:$A$18,0)))</f>
        <v>125.6432</v>
      </c>
      <c r="M405" s="17" t="n">
        <f aca="false">J405*INDEX('04_MAQUINAS'!$G$2:$G$18,MATCH(E405,'04_MAQUINAS'!$A$2:$A$18,0))*INDEX('04_MAQUINAS'!$H$2:$H$18,MATCH(E405,'04_MAQUINAS'!$A$2:$A$18,0))</f>
        <v>5.819264</v>
      </c>
      <c r="N405" s="2" t="s">
        <v>629</v>
      </c>
    </row>
    <row r="406" customFormat="false" ht="15" hidden="false" customHeight="false" outlineLevel="0" collapsed="false">
      <c r="A406" s="2" t="s">
        <v>558</v>
      </c>
      <c r="B406" s="2" t="s">
        <v>83</v>
      </c>
      <c r="C406" s="4" t="n">
        <v>8</v>
      </c>
      <c r="D406" s="2" t="s">
        <v>445</v>
      </c>
      <c r="E406" s="2" t="s">
        <v>402</v>
      </c>
      <c r="F406" s="5" t="n">
        <f aca="false">INDEX('08_PEDIDOS'!$D$2:$D$97,MATCH(A406,'08_PEDIDOS'!$A$2:$A$97,0))</f>
        <v>12</v>
      </c>
      <c r="G406" s="5" t="n">
        <f aca="false">INDEX('08_PEDIDOS'!$H$2:$H$97,MATCH(A406,'08_PEDIDOS'!$A$2:$A$97,0))</f>
        <v>10</v>
      </c>
      <c r="H406" s="17" t="n">
        <f aca="false">SUMIFS('05_RUTAS'!$F$2:$F$407,'05_RUTAS'!$A$2:$A$407,B406,'05_RUTAS'!$C$2:$C$407,C406)</f>
        <v>12</v>
      </c>
      <c r="I406" s="18" t="n">
        <f aca="false">SUMIFS('05_RUTAS'!$G$2:$G$407,'05_RUTAS'!$A$2:$A$407,B406,'05_RUTAS'!$C$2:$C$407,C406)</f>
        <v>8.02</v>
      </c>
      <c r="J406" s="18" t="n">
        <f aca="false">(ROUNDUP(F406/G406,0)*H406+F406*I406)/60</f>
        <v>2.004</v>
      </c>
      <c r="K406" s="5" t="n">
        <f aca="false">MONTH(INDEX('08_PEDIDOS'!$F$2:$F$97,MATCH(A406,'08_PEDIDOS'!$A$2:$A$97,0)))</f>
        <v>5</v>
      </c>
      <c r="L406" s="16" t="n">
        <f aca="false">J406*N(INDEX('04_MAQUINAS'!$F$2:$F$18,MATCH(E406,'04_MAQUINAS'!$A$2:$A$18,0)))</f>
        <v>64.128</v>
      </c>
      <c r="M406" s="17" t="n">
        <f aca="false">J406*INDEX('04_MAQUINAS'!$G$2:$G$18,MATCH(E406,'04_MAQUINAS'!$A$2:$A$18,0))*INDEX('04_MAQUINAS'!$H$2:$H$18,MATCH(E406,'04_MAQUINAS'!$A$2:$A$18,0))</f>
        <v>2.1042</v>
      </c>
      <c r="N406" s="2" t="s">
        <v>629</v>
      </c>
    </row>
    <row r="407" customFormat="false" ht="15" hidden="false" customHeight="false" outlineLevel="0" collapsed="false">
      <c r="A407" s="2" t="s">
        <v>558</v>
      </c>
      <c r="B407" s="2" t="s">
        <v>83</v>
      </c>
      <c r="C407" s="4" t="n">
        <v>9</v>
      </c>
      <c r="D407" s="2" t="s">
        <v>447</v>
      </c>
      <c r="E407" s="2" t="s">
        <v>421</v>
      </c>
      <c r="F407" s="5" t="n">
        <f aca="false">INDEX('08_PEDIDOS'!$D$2:$D$97,MATCH(A407,'08_PEDIDOS'!$A$2:$A$97,0))</f>
        <v>12</v>
      </c>
      <c r="G407" s="5" t="n">
        <f aca="false">INDEX('08_PEDIDOS'!$H$2:$H$97,MATCH(A407,'08_PEDIDOS'!$A$2:$A$97,0))</f>
        <v>10</v>
      </c>
      <c r="H407" s="17" t="n">
        <f aca="false">SUMIFS('05_RUTAS'!$F$2:$F$407,'05_RUTAS'!$A$2:$A$407,B407,'05_RUTAS'!$C$2:$C$407,C407)</f>
        <v>45</v>
      </c>
      <c r="I407" s="18" t="n">
        <f aca="false">SUMIFS('05_RUTAS'!$G$2:$G$407,'05_RUTAS'!$A$2:$A$407,B407,'05_RUTAS'!$C$2:$C$407,C407)</f>
        <v>0</v>
      </c>
      <c r="J407" s="18" t="n">
        <f aca="false">(ROUNDUP(F407/G407,0)*H407+F407*I407)/60</f>
        <v>1.5</v>
      </c>
      <c r="K407" s="5" t="n">
        <f aca="false">MONTH(INDEX('08_PEDIDOS'!$F$2:$F$97,MATCH(A407,'08_PEDIDOS'!$A$2:$A$97,0)))</f>
        <v>5</v>
      </c>
      <c r="L407" s="16" t="n">
        <f aca="false">J407*N(INDEX('04_MAQUINAS'!$F$2:$F$18,MATCH(E407,'04_MAQUINAS'!$A$2:$A$18,0)))</f>
        <v>39</v>
      </c>
      <c r="M407" s="17" t="n">
        <f aca="false">J407*INDEX('04_MAQUINAS'!$G$2:$G$18,MATCH(E407,'04_MAQUINAS'!$A$2:$A$18,0))*INDEX('04_MAQUINAS'!$H$2:$H$18,MATCH(E407,'04_MAQUINAS'!$A$2:$A$18,0))</f>
        <v>21.6</v>
      </c>
      <c r="N407" s="2" t="s">
        <v>629</v>
      </c>
    </row>
    <row r="408" customFormat="false" ht="15" hidden="false" customHeight="false" outlineLevel="0" collapsed="false">
      <c r="A408" s="2" t="s">
        <v>558</v>
      </c>
      <c r="B408" s="2" t="s">
        <v>83</v>
      </c>
      <c r="C408" s="4" t="n">
        <v>10</v>
      </c>
      <c r="D408" s="2" t="s">
        <v>449</v>
      </c>
      <c r="E408" s="2" t="s">
        <v>423</v>
      </c>
      <c r="F408" s="5" t="n">
        <f aca="false">INDEX('08_PEDIDOS'!$D$2:$D$97,MATCH(A408,'08_PEDIDOS'!$A$2:$A$97,0))</f>
        <v>12</v>
      </c>
      <c r="G408" s="5" t="n">
        <f aca="false">INDEX('08_PEDIDOS'!$H$2:$H$97,MATCH(A408,'08_PEDIDOS'!$A$2:$A$97,0))</f>
        <v>10</v>
      </c>
      <c r="H408" s="17" t="n">
        <f aca="false">SUMIFS('05_RUTAS'!$F$2:$F$407,'05_RUTAS'!$A$2:$A$407,B408,'05_RUTAS'!$C$2:$C$407,C408)</f>
        <v>8</v>
      </c>
      <c r="I408" s="18" t="n">
        <f aca="false">SUMIFS('05_RUTAS'!$G$2:$G$407,'05_RUTAS'!$A$2:$A$407,B408,'05_RUTAS'!$C$2:$C$407,C408)</f>
        <v>2.69</v>
      </c>
      <c r="J408" s="18" t="n">
        <f aca="false">(ROUNDUP(F408/G408,0)*H408+F408*I408)/60</f>
        <v>0.804666666666667</v>
      </c>
      <c r="K408" s="5" t="n">
        <f aca="false">MONTH(INDEX('08_PEDIDOS'!$F$2:$F$97,MATCH(A408,'08_PEDIDOS'!$A$2:$A$97,0)))</f>
        <v>5</v>
      </c>
      <c r="L408" s="16" t="n">
        <f aca="false">J408*N(INDEX('04_MAQUINAS'!$F$2:$F$18,MATCH(E408,'04_MAQUINAS'!$A$2:$A$18,0)))</f>
        <v>12.8746666666667</v>
      </c>
      <c r="M408" s="17" t="n">
        <f aca="false">J408*INDEX('04_MAQUINAS'!$G$2:$G$18,MATCH(E408,'04_MAQUINAS'!$A$2:$A$18,0))*INDEX('04_MAQUINAS'!$H$2:$H$18,MATCH(E408,'04_MAQUINAS'!$A$2:$A$18,0))</f>
        <v>0.201166666666667</v>
      </c>
      <c r="N408" s="2" t="s">
        <v>629</v>
      </c>
    </row>
    <row r="409" customFormat="false" ht="15" hidden="false" customHeight="false" outlineLevel="0" collapsed="false">
      <c r="A409" s="2" t="s">
        <v>558</v>
      </c>
      <c r="B409" s="2" t="s">
        <v>83</v>
      </c>
      <c r="C409" s="4" t="n">
        <v>11</v>
      </c>
      <c r="D409" s="2" t="s">
        <v>450</v>
      </c>
      <c r="E409" s="2" t="s">
        <v>406</v>
      </c>
      <c r="F409" s="5" t="n">
        <f aca="false">INDEX('08_PEDIDOS'!$D$2:$D$97,MATCH(A409,'08_PEDIDOS'!$A$2:$A$97,0))</f>
        <v>12</v>
      </c>
      <c r="G409" s="5" t="n">
        <f aca="false">INDEX('08_PEDIDOS'!$H$2:$H$97,MATCH(A409,'08_PEDIDOS'!$A$2:$A$97,0))</f>
        <v>10</v>
      </c>
      <c r="H409" s="17" t="n">
        <f aca="false">SUMIFS('05_RUTAS'!$F$2:$F$407,'05_RUTAS'!$A$2:$A$407,B409,'05_RUTAS'!$C$2:$C$407,C409)</f>
        <v>6</v>
      </c>
      <c r="I409" s="18" t="n">
        <f aca="false">SUMIFS('05_RUTAS'!$G$2:$G$407,'05_RUTAS'!$A$2:$A$407,B409,'05_RUTAS'!$C$2:$C$407,C409)</f>
        <v>62.25</v>
      </c>
      <c r="J409" s="18" t="n">
        <f aca="false">(ROUNDUP(F409/G409,0)*H409+F409*I409)/60</f>
        <v>12.65</v>
      </c>
      <c r="K409" s="5" t="n">
        <f aca="false">MONTH(INDEX('08_PEDIDOS'!$F$2:$F$97,MATCH(A409,'08_PEDIDOS'!$A$2:$A$97,0)))</f>
        <v>5</v>
      </c>
      <c r="L409" s="16" t="n">
        <f aca="false">J409*N(INDEX('04_MAQUINAS'!$F$2:$F$18,MATCH(E409,'04_MAQUINAS'!$A$2:$A$18,0)))</f>
        <v>240.35</v>
      </c>
      <c r="M409" s="17" t="n">
        <f aca="false">J409*INDEX('04_MAQUINAS'!$G$2:$G$18,MATCH(E409,'04_MAQUINAS'!$A$2:$A$18,0))*INDEX('04_MAQUINAS'!$H$2:$H$18,MATCH(E409,'04_MAQUINAS'!$A$2:$A$18,0))</f>
        <v>3.795</v>
      </c>
      <c r="N409" s="2" t="s">
        <v>629</v>
      </c>
    </row>
    <row r="410" customFormat="false" ht="15" hidden="false" customHeight="false" outlineLevel="0" collapsed="false">
      <c r="A410" s="2" t="s">
        <v>558</v>
      </c>
      <c r="B410" s="2" t="s">
        <v>83</v>
      </c>
      <c r="C410" s="4" t="n">
        <v>12</v>
      </c>
      <c r="D410" s="2" t="s">
        <v>451</v>
      </c>
      <c r="E410" s="2" t="s">
        <v>408</v>
      </c>
      <c r="F410" s="5" t="n">
        <f aca="false">INDEX('08_PEDIDOS'!$D$2:$D$97,MATCH(A410,'08_PEDIDOS'!$A$2:$A$97,0))</f>
        <v>12</v>
      </c>
      <c r="G410" s="5" t="n">
        <f aca="false">INDEX('08_PEDIDOS'!$H$2:$H$97,MATCH(A410,'08_PEDIDOS'!$A$2:$A$97,0))</f>
        <v>10</v>
      </c>
      <c r="H410" s="17" t="n">
        <f aca="false">SUMIFS('05_RUTAS'!$F$2:$F$407,'05_RUTAS'!$A$2:$A$407,B410,'05_RUTAS'!$C$2:$C$407,C410)</f>
        <v>2</v>
      </c>
      <c r="I410" s="18" t="n">
        <f aca="false">SUMIFS('05_RUTAS'!$G$2:$G$407,'05_RUTAS'!$A$2:$A$407,B410,'05_RUTAS'!$C$2:$C$407,C410)</f>
        <v>3.86</v>
      </c>
      <c r="J410" s="18" t="n">
        <f aca="false">(ROUNDUP(F410/G410,0)*H410+F410*I410)/60</f>
        <v>0.838666666666667</v>
      </c>
      <c r="K410" s="5" t="n">
        <f aca="false">MONTH(INDEX('08_PEDIDOS'!$F$2:$F$97,MATCH(A410,'08_PEDIDOS'!$A$2:$A$97,0)))</f>
        <v>5</v>
      </c>
      <c r="L410" s="16" t="n">
        <f aca="false">J410*N(INDEX('04_MAQUINAS'!$F$2:$F$18,MATCH(E410,'04_MAQUINAS'!$A$2:$A$18,0)))</f>
        <v>16.7733333333333</v>
      </c>
      <c r="M410" s="17" t="n">
        <f aca="false">J410*INDEX('04_MAQUINAS'!$G$2:$G$18,MATCH(E410,'04_MAQUINAS'!$A$2:$A$18,0))*INDEX('04_MAQUINAS'!$H$2:$H$18,MATCH(E410,'04_MAQUINAS'!$A$2:$A$18,0))</f>
        <v>0.0838666666666667</v>
      </c>
      <c r="N410" s="2" t="s">
        <v>629</v>
      </c>
    </row>
    <row r="411" customFormat="false" ht="15" hidden="false" customHeight="false" outlineLevel="0" collapsed="false">
      <c r="A411" s="2" t="s">
        <v>558</v>
      </c>
      <c r="B411" s="2" t="s">
        <v>83</v>
      </c>
      <c r="C411" s="4" t="n">
        <v>13</v>
      </c>
      <c r="D411" s="2" t="s">
        <v>452</v>
      </c>
      <c r="E411" s="2" t="s">
        <v>411</v>
      </c>
      <c r="F411" s="5" t="n">
        <f aca="false">INDEX('08_PEDIDOS'!$D$2:$D$97,MATCH(A411,'08_PEDIDOS'!$A$2:$A$97,0))</f>
        <v>12</v>
      </c>
      <c r="G411" s="5" t="n">
        <f aca="false">INDEX('08_PEDIDOS'!$H$2:$H$97,MATCH(A411,'08_PEDIDOS'!$A$2:$A$97,0))</f>
        <v>10</v>
      </c>
      <c r="H411" s="17" t="n">
        <f aca="false">SUMIFS('05_RUTAS'!$F$2:$F$407,'05_RUTAS'!$A$2:$A$407,B411,'05_RUTAS'!$C$2:$C$407,C411)</f>
        <v>2</v>
      </c>
      <c r="I411" s="18" t="n">
        <f aca="false">SUMIFS('05_RUTAS'!$G$2:$G$407,'05_RUTAS'!$A$2:$A$407,B411,'05_RUTAS'!$C$2:$C$407,C411)</f>
        <v>5.3</v>
      </c>
      <c r="J411" s="18" t="n">
        <f aca="false">(ROUNDUP(F411/G411,0)*H411+F411*I411)/60</f>
        <v>1.12666666666667</v>
      </c>
      <c r="K411" s="5" t="n">
        <f aca="false">MONTH(INDEX('08_PEDIDOS'!$F$2:$F$97,MATCH(A411,'08_PEDIDOS'!$A$2:$A$97,0)))</f>
        <v>5</v>
      </c>
      <c r="L411" s="16" t="n">
        <f aca="false">J411*N(INDEX('04_MAQUINAS'!$F$2:$F$18,MATCH(E411,'04_MAQUINAS'!$A$2:$A$18,0)))</f>
        <v>20.28</v>
      </c>
      <c r="M411" s="17" t="n">
        <f aca="false">J411*INDEX('04_MAQUINAS'!$G$2:$G$18,MATCH(E411,'04_MAQUINAS'!$A$2:$A$18,0))*INDEX('04_MAQUINAS'!$H$2:$H$18,MATCH(E411,'04_MAQUINAS'!$A$2:$A$18,0))</f>
        <v>0.1014</v>
      </c>
      <c r="N411" s="2" t="s">
        <v>629</v>
      </c>
    </row>
    <row r="412" customFormat="false" ht="15" hidden="false" customHeight="false" outlineLevel="0" collapsed="false">
      <c r="A412" s="2" t="s">
        <v>559</v>
      </c>
      <c r="B412" s="2" t="s">
        <v>94</v>
      </c>
      <c r="C412" s="4" t="n">
        <v>1</v>
      </c>
      <c r="D412" s="2" t="s">
        <v>437</v>
      </c>
      <c r="E412" s="2" t="s">
        <v>375</v>
      </c>
      <c r="F412" s="5" t="n">
        <f aca="false">INDEX('08_PEDIDOS'!$D$2:$D$97,MATCH(A412,'08_PEDIDOS'!$A$2:$A$97,0))</f>
        <v>6</v>
      </c>
      <c r="G412" s="5" t="n">
        <f aca="false">INDEX('08_PEDIDOS'!$H$2:$H$97,MATCH(A412,'08_PEDIDOS'!$A$2:$A$97,0))</f>
        <v>10</v>
      </c>
      <c r="H412" s="17" t="n">
        <f aca="false">SUMIFS('05_RUTAS'!$F$2:$F$407,'05_RUTAS'!$A$2:$A$407,B412,'05_RUTAS'!$C$2:$C$407,C412)</f>
        <v>8</v>
      </c>
      <c r="I412" s="18" t="n">
        <f aca="false">SUMIFS('05_RUTAS'!$G$2:$G$407,'05_RUTAS'!$A$2:$A$407,B412,'05_RUTAS'!$C$2:$C$407,C412)</f>
        <v>90.38</v>
      </c>
      <c r="J412" s="18" t="n">
        <f aca="false">(ROUNDUP(F412/G412,0)*H412+F412*I412)/60</f>
        <v>9.17133333333333</v>
      </c>
      <c r="K412" s="5" t="n">
        <f aca="false">MONTH(INDEX('08_PEDIDOS'!$F$2:$F$97,MATCH(A412,'08_PEDIDOS'!$A$2:$A$97,0)))</f>
        <v>5</v>
      </c>
      <c r="L412" s="16" t="n">
        <f aca="false">J412*N(INDEX('04_MAQUINAS'!$F$2:$F$18,MATCH(E412,'04_MAQUINAS'!$A$2:$A$18,0)))</f>
        <v>220.112</v>
      </c>
      <c r="M412" s="17" t="n">
        <f aca="false">J412*INDEX('04_MAQUINAS'!$G$2:$G$18,MATCH(E412,'04_MAQUINAS'!$A$2:$A$18,0))*INDEX('04_MAQUINAS'!$H$2:$H$18,MATCH(E412,'04_MAQUINAS'!$A$2:$A$18,0))</f>
        <v>25.2211666666667</v>
      </c>
      <c r="N412" s="2" t="s">
        <v>629</v>
      </c>
    </row>
    <row r="413" customFormat="false" ht="15" hidden="false" customHeight="false" outlineLevel="0" collapsed="false">
      <c r="A413" s="2" t="s">
        <v>559</v>
      </c>
      <c r="B413" s="2" t="s">
        <v>94</v>
      </c>
      <c r="C413" s="4" t="n">
        <v>2</v>
      </c>
      <c r="D413" s="2" t="s">
        <v>441</v>
      </c>
      <c r="E413" s="2" t="s">
        <v>380</v>
      </c>
      <c r="F413" s="5" t="n">
        <f aca="false">INDEX('08_PEDIDOS'!$D$2:$D$97,MATCH(A413,'08_PEDIDOS'!$A$2:$A$97,0))</f>
        <v>6</v>
      </c>
      <c r="G413" s="5" t="n">
        <f aca="false">INDEX('08_PEDIDOS'!$H$2:$H$97,MATCH(A413,'08_PEDIDOS'!$A$2:$A$97,0))</f>
        <v>10</v>
      </c>
      <c r="H413" s="17" t="n">
        <f aca="false">SUMIFS('05_RUTAS'!$F$2:$F$407,'05_RUTAS'!$A$2:$A$407,B413,'05_RUTAS'!$C$2:$C$407,C413)</f>
        <v>8</v>
      </c>
      <c r="I413" s="18" t="n">
        <f aca="false">SUMIFS('05_RUTAS'!$G$2:$G$407,'05_RUTAS'!$A$2:$A$407,B413,'05_RUTAS'!$C$2:$C$407,C413)</f>
        <v>5.98</v>
      </c>
      <c r="J413" s="18" t="n">
        <f aca="false">(ROUNDUP(F413/G413,0)*H413+F413*I413)/60</f>
        <v>0.731333333333333</v>
      </c>
      <c r="K413" s="5" t="n">
        <f aca="false">MONTH(INDEX('08_PEDIDOS'!$F$2:$F$97,MATCH(A413,'08_PEDIDOS'!$A$2:$A$97,0)))</f>
        <v>5</v>
      </c>
      <c r="L413" s="16" t="n">
        <f aca="false">J413*N(INDEX('04_MAQUINAS'!$F$2:$F$18,MATCH(E413,'04_MAQUINAS'!$A$2:$A$18,0)))</f>
        <v>16.0893333333333</v>
      </c>
      <c r="M413" s="17" t="n">
        <f aca="false">J413*INDEX('04_MAQUINAS'!$G$2:$G$18,MATCH(E413,'04_MAQUINAS'!$A$2:$A$18,0))*INDEX('04_MAQUINAS'!$H$2:$H$18,MATCH(E413,'04_MAQUINAS'!$A$2:$A$18,0))</f>
        <v>0.3291</v>
      </c>
      <c r="N413" s="2" t="s">
        <v>629</v>
      </c>
    </row>
    <row r="414" customFormat="false" ht="15" hidden="false" customHeight="false" outlineLevel="0" collapsed="false">
      <c r="A414" s="2" t="s">
        <v>559</v>
      </c>
      <c r="B414" s="2" t="s">
        <v>94</v>
      </c>
      <c r="C414" s="4" t="n">
        <v>3</v>
      </c>
      <c r="D414" s="2" t="s">
        <v>386</v>
      </c>
      <c r="E414" s="2" t="s">
        <v>383</v>
      </c>
      <c r="F414" s="5" t="n">
        <f aca="false">INDEX('08_PEDIDOS'!$D$2:$D$97,MATCH(A414,'08_PEDIDOS'!$A$2:$A$97,0))</f>
        <v>6</v>
      </c>
      <c r="G414" s="5" t="n">
        <f aca="false">INDEX('08_PEDIDOS'!$H$2:$H$97,MATCH(A414,'08_PEDIDOS'!$A$2:$A$97,0))</f>
        <v>10</v>
      </c>
      <c r="H414" s="17" t="n">
        <f aca="false">SUMIFS('05_RUTAS'!$F$2:$F$407,'05_RUTAS'!$A$2:$A$407,B414,'05_RUTAS'!$C$2:$C$407,C414)</f>
        <v>10</v>
      </c>
      <c r="I414" s="18" t="n">
        <f aca="false">SUMIFS('05_RUTAS'!$G$2:$G$407,'05_RUTAS'!$A$2:$A$407,B414,'05_RUTAS'!$C$2:$C$407,C414)</f>
        <v>97</v>
      </c>
      <c r="J414" s="18" t="n">
        <f aca="false">(ROUNDUP(F414/G414,0)*H414+F414*I414)/60</f>
        <v>9.86666666666667</v>
      </c>
      <c r="K414" s="5" t="n">
        <f aca="false">MONTH(INDEX('08_PEDIDOS'!$F$2:$F$97,MATCH(A414,'08_PEDIDOS'!$A$2:$A$97,0)))</f>
        <v>5</v>
      </c>
      <c r="L414" s="16" t="n">
        <f aca="false">J414*N(INDEX('04_MAQUINAS'!$F$2:$F$18,MATCH(E414,'04_MAQUINAS'!$A$2:$A$18,0)))</f>
        <v>217.066666666667</v>
      </c>
      <c r="M414" s="17" t="n">
        <f aca="false">J414*INDEX('04_MAQUINAS'!$G$2:$G$18,MATCH(E414,'04_MAQUINAS'!$A$2:$A$18,0))*INDEX('04_MAQUINAS'!$H$2:$H$18,MATCH(E414,'04_MAQUINAS'!$A$2:$A$18,0))</f>
        <v>2.71333333333333</v>
      </c>
      <c r="N414" s="2" t="s">
        <v>629</v>
      </c>
    </row>
    <row r="415" customFormat="false" ht="15" hidden="false" customHeight="false" outlineLevel="0" collapsed="false">
      <c r="A415" s="2" t="s">
        <v>559</v>
      </c>
      <c r="B415" s="2" t="s">
        <v>94</v>
      </c>
      <c r="C415" s="4" t="n">
        <v>4</v>
      </c>
      <c r="D415" s="2" t="s">
        <v>390</v>
      </c>
      <c r="E415" s="2" t="s">
        <v>387</v>
      </c>
      <c r="F415" s="5" t="n">
        <f aca="false">INDEX('08_PEDIDOS'!$D$2:$D$97,MATCH(A415,'08_PEDIDOS'!$A$2:$A$97,0))</f>
        <v>6</v>
      </c>
      <c r="G415" s="5" t="n">
        <f aca="false">INDEX('08_PEDIDOS'!$H$2:$H$97,MATCH(A415,'08_PEDIDOS'!$A$2:$A$97,0))</f>
        <v>10</v>
      </c>
      <c r="H415" s="17" t="n">
        <f aca="false">SUMIFS('05_RUTAS'!$F$2:$F$407,'05_RUTAS'!$A$2:$A$407,B415,'05_RUTAS'!$C$2:$C$407,C415)</f>
        <v>12</v>
      </c>
      <c r="I415" s="18" t="n">
        <f aca="false">SUMIFS('05_RUTAS'!$G$2:$G$407,'05_RUTAS'!$A$2:$A$407,B415,'05_RUTAS'!$C$2:$C$407,C415)</f>
        <v>196</v>
      </c>
      <c r="J415" s="18" t="n">
        <f aca="false">(ROUNDUP(F415/G415,0)*H415+F415*I415)/60</f>
        <v>19.8</v>
      </c>
      <c r="K415" s="5" t="n">
        <f aca="false">MONTH(INDEX('08_PEDIDOS'!$F$2:$F$97,MATCH(A415,'08_PEDIDOS'!$A$2:$A$97,0)))</f>
        <v>5</v>
      </c>
      <c r="L415" s="16" t="n">
        <f aca="false">J415*N(INDEX('04_MAQUINAS'!$F$2:$F$18,MATCH(E415,'04_MAQUINAS'!$A$2:$A$18,0)))</f>
        <v>554.4</v>
      </c>
      <c r="M415" s="17" t="n">
        <f aca="false">J415*INDEX('04_MAQUINAS'!$G$2:$G$18,MATCH(E415,'04_MAQUINAS'!$A$2:$A$18,0))*INDEX('04_MAQUINAS'!$H$2:$H$18,MATCH(E415,'04_MAQUINAS'!$A$2:$A$18,0))</f>
        <v>49.005</v>
      </c>
      <c r="N415" s="2" t="s">
        <v>629</v>
      </c>
    </row>
    <row r="416" customFormat="false" ht="15" hidden="false" customHeight="false" outlineLevel="0" collapsed="false">
      <c r="A416" s="2" t="s">
        <v>559</v>
      </c>
      <c r="B416" s="2" t="s">
        <v>94</v>
      </c>
      <c r="C416" s="4" t="n">
        <v>5</v>
      </c>
      <c r="D416" s="2" t="s">
        <v>443</v>
      </c>
      <c r="E416" s="2" t="s">
        <v>395</v>
      </c>
      <c r="F416" s="5" t="n">
        <f aca="false">INDEX('08_PEDIDOS'!$D$2:$D$97,MATCH(A416,'08_PEDIDOS'!$A$2:$A$97,0))</f>
        <v>6</v>
      </c>
      <c r="G416" s="5" t="n">
        <f aca="false">INDEX('08_PEDIDOS'!$H$2:$H$97,MATCH(A416,'08_PEDIDOS'!$A$2:$A$97,0))</f>
        <v>10</v>
      </c>
      <c r="H416" s="17" t="n">
        <f aca="false">SUMIFS('05_RUTAS'!$F$2:$F$407,'05_RUTAS'!$A$2:$A$407,B416,'05_RUTAS'!$C$2:$C$407,C416)</f>
        <v>3</v>
      </c>
      <c r="I416" s="18" t="n">
        <f aca="false">SUMIFS('05_RUTAS'!$G$2:$G$407,'05_RUTAS'!$A$2:$A$407,B416,'05_RUTAS'!$C$2:$C$407,C416)</f>
        <v>51</v>
      </c>
      <c r="J416" s="18" t="n">
        <f aca="false">(ROUNDUP(F416/G416,0)*H416+F416*I416)/60</f>
        <v>5.15</v>
      </c>
      <c r="K416" s="5" t="n">
        <f aca="false">MONTH(INDEX('08_PEDIDOS'!$F$2:$F$97,MATCH(A416,'08_PEDIDOS'!$A$2:$A$97,0)))</f>
        <v>5</v>
      </c>
      <c r="L416" s="16" t="n">
        <f aca="false">J416*N(INDEX('04_MAQUINAS'!$F$2:$F$18,MATCH(E416,'04_MAQUINAS'!$A$2:$A$18,0)))</f>
        <v>108.15</v>
      </c>
      <c r="M416" s="17" t="n">
        <f aca="false">J416*INDEX('04_MAQUINAS'!$G$2:$G$18,MATCH(E416,'04_MAQUINAS'!$A$2:$A$18,0))*INDEX('04_MAQUINAS'!$H$2:$H$18,MATCH(E416,'04_MAQUINAS'!$A$2:$A$18,0))</f>
        <v>3.8625</v>
      </c>
      <c r="N416" s="2" t="s">
        <v>629</v>
      </c>
    </row>
    <row r="417" customFormat="false" ht="15" hidden="false" customHeight="false" outlineLevel="0" collapsed="false">
      <c r="A417" s="2" t="s">
        <v>559</v>
      </c>
      <c r="B417" s="2" t="s">
        <v>94</v>
      </c>
      <c r="C417" s="4" t="n">
        <v>6</v>
      </c>
      <c r="D417" s="2" t="s">
        <v>444</v>
      </c>
      <c r="E417" s="2" t="s">
        <v>399</v>
      </c>
      <c r="F417" s="5" t="n">
        <f aca="false">INDEX('08_PEDIDOS'!$D$2:$D$97,MATCH(A417,'08_PEDIDOS'!$A$2:$A$97,0))</f>
        <v>6</v>
      </c>
      <c r="G417" s="5" t="n">
        <f aca="false">INDEX('08_PEDIDOS'!$H$2:$H$97,MATCH(A417,'08_PEDIDOS'!$A$2:$A$97,0))</f>
        <v>10</v>
      </c>
      <c r="H417" s="17" t="n">
        <f aca="false">SUMIFS('05_RUTAS'!$F$2:$F$407,'05_RUTAS'!$A$2:$A$407,B417,'05_RUTAS'!$C$2:$C$407,C417)</f>
        <v>6</v>
      </c>
      <c r="I417" s="18" t="n">
        <f aca="false">SUMIFS('05_RUTAS'!$G$2:$G$407,'05_RUTAS'!$A$2:$A$407,B417,'05_RUTAS'!$C$2:$C$407,C417)</f>
        <v>40.5152</v>
      </c>
      <c r="J417" s="18" t="n">
        <f aca="false">(ROUNDUP(F417/G417,0)*H417+F417*I417)/60</f>
        <v>4.15152</v>
      </c>
      <c r="K417" s="5" t="n">
        <f aca="false">MONTH(INDEX('08_PEDIDOS'!$F$2:$F$97,MATCH(A417,'08_PEDIDOS'!$A$2:$A$97,0)))</f>
        <v>5</v>
      </c>
      <c r="L417" s="16" t="n">
        <f aca="false">J417*N(INDEX('04_MAQUINAS'!$F$2:$F$18,MATCH(E417,'04_MAQUINAS'!$A$2:$A$18,0)))</f>
        <v>78.87888</v>
      </c>
      <c r="M417" s="17" t="n">
        <f aca="false">J417*INDEX('04_MAQUINAS'!$G$2:$G$18,MATCH(E417,'04_MAQUINAS'!$A$2:$A$18,0))*INDEX('04_MAQUINAS'!$H$2:$H$18,MATCH(E417,'04_MAQUINAS'!$A$2:$A$18,0))</f>
        <v>3.6533376</v>
      </c>
      <c r="N417" s="2" t="s">
        <v>629</v>
      </c>
    </row>
    <row r="418" customFormat="false" ht="15" hidden="false" customHeight="false" outlineLevel="0" collapsed="false">
      <c r="A418" s="2" t="s">
        <v>559</v>
      </c>
      <c r="B418" s="2" t="s">
        <v>94</v>
      </c>
      <c r="C418" s="4" t="n">
        <v>7</v>
      </c>
      <c r="D418" s="2" t="s">
        <v>445</v>
      </c>
      <c r="E418" s="2" t="s">
        <v>402</v>
      </c>
      <c r="F418" s="5" t="n">
        <f aca="false">INDEX('08_PEDIDOS'!$D$2:$D$97,MATCH(A418,'08_PEDIDOS'!$A$2:$A$97,0))</f>
        <v>6</v>
      </c>
      <c r="G418" s="5" t="n">
        <f aca="false">INDEX('08_PEDIDOS'!$H$2:$H$97,MATCH(A418,'08_PEDIDOS'!$A$2:$A$97,0))</f>
        <v>10</v>
      </c>
      <c r="H418" s="17" t="n">
        <f aca="false">SUMIFS('05_RUTAS'!$F$2:$F$407,'05_RUTAS'!$A$2:$A$407,B418,'05_RUTAS'!$C$2:$C$407,C418)</f>
        <v>12</v>
      </c>
      <c r="I418" s="18" t="n">
        <f aca="false">SUMIFS('05_RUTAS'!$G$2:$G$407,'05_RUTAS'!$A$2:$A$407,B418,'05_RUTAS'!$C$2:$C$407,C418)</f>
        <v>7.76</v>
      </c>
      <c r="J418" s="18" t="n">
        <f aca="false">(ROUNDUP(F418/G418,0)*H418+F418*I418)/60</f>
        <v>0.976</v>
      </c>
      <c r="K418" s="5" t="n">
        <f aca="false">MONTH(INDEX('08_PEDIDOS'!$F$2:$F$97,MATCH(A418,'08_PEDIDOS'!$A$2:$A$97,0)))</f>
        <v>5</v>
      </c>
      <c r="L418" s="16" t="n">
        <f aca="false">J418*N(INDEX('04_MAQUINAS'!$F$2:$F$18,MATCH(E418,'04_MAQUINAS'!$A$2:$A$18,0)))</f>
        <v>31.232</v>
      </c>
      <c r="M418" s="17" t="n">
        <f aca="false">J418*INDEX('04_MAQUINAS'!$G$2:$G$18,MATCH(E418,'04_MAQUINAS'!$A$2:$A$18,0))*INDEX('04_MAQUINAS'!$H$2:$H$18,MATCH(E418,'04_MAQUINAS'!$A$2:$A$18,0))</f>
        <v>1.0248</v>
      </c>
      <c r="N418" s="2" t="s">
        <v>629</v>
      </c>
    </row>
    <row r="419" customFormat="false" ht="15" hidden="false" customHeight="false" outlineLevel="0" collapsed="false">
      <c r="A419" s="2" t="s">
        <v>559</v>
      </c>
      <c r="B419" s="2" t="s">
        <v>94</v>
      </c>
      <c r="C419" s="4" t="n">
        <v>8</v>
      </c>
      <c r="D419" s="2" t="s">
        <v>447</v>
      </c>
      <c r="E419" s="2" t="s">
        <v>421</v>
      </c>
      <c r="F419" s="5" t="n">
        <f aca="false">INDEX('08_PEDIDOS'!$D$2:$D$97,MATCH(A419,'08_PEDIDOS'!$A$2:$A$97,0))</f>
        <v>6</v>
      </c>
      <c r="G419" s="5" t="n">
        <f aca="false">INDEX('08_PEDIDOS'!$H$2:$H$97,MATCH(A419,'08_PEDIDOS'!$A$2:$A$97,0))</f>
        <v>10</v>
      </c>
      <c r="H419" s="17" t="n">
        <f aca="false">SUMIFS('05_RUTAS'!$F$2:$F$407,'05_RUTAS'!$A$2:$A$407,B419,'05_RUTAS'!$C$2:$C$407,C419)</f>
        <v>45</v>
      </c>
      <c r="I419" s="18" t="n">
        <f aca="false">SUMIFS('05_RUTAS'!$G$2:$G$407,'05_RUTAS'!$A$2:$A$407,B419,'05_RUTAS'!$C$2:$C$407,C419)</f>
        <v>0</v>
      </c>
      <c r="J419" s="18" t="n">
        <f aca="false">(ROUNDUP(F419/G419,0)*H419+F419*I419)/60</f>
        <v>0.75</v>
      </c>
      <c r="K419" s="5" t="n">
        <f aca="false">MONTH(INDEX('08_PEDIDOS'!$F$2:$F$97,MATCH(A419,'08_PEDIDOS'!$A$2:$A$97,0)))</f>
        <v>5</v>
      </c>
      <c r="L419" s="16" t="n">
        <f aca="false">J419*N(INDEX('04_MAQUINAS'!$F$2:$F$18,MATCH(E419,'04_MAQUINAS'!$A$2:$A$18,0)))</f>
        <v>19.5</v>
      </c>
      <c r="M419" s="17" t="n">
        <f aca="false">J419*INDEX('04_MAQUINAS'!$G$2:$G$18,MATCH(E419,'04_MAQUINAS'!$A$2:$A$18,0))*INDEX('04_MAQUINAS'!$H$2:$H$18,MATCH(E419,'04_MAQUINAS'!$A$2:$A$18,0))</f>
        <v>10.8</v>
      </c>
      <c r="N419" s="2" t="s">
        <v>629</v>
      </c>
    </row>
    <row r="420" customFormat="false" ht="15" hidden="false" customHeight="false" outlineLevel="0" collapsed="false">
      <c r="A420" s="2" t="s">
        <v>559</v>
      </c>
      <c r="B420" s="2" t="s">
        <v>94</v>
      </c>
      <c r="C420" s="4" t="n">
        <v>9</v>
      </c>
      <c r="D420" s="2" t="s">
        <v>449</v>
      </c>
      <c r="E420" s="2" t="s">
        <v>423</v>
      </c>
      <c r="F420" s="5" t="n">
        <f aca="false">INDEX('08_PEDIDOS'!$D$2:$D$97,MATCH(A420,'08_PEDIDOS'!$A$2:$A$97,0))</f>
        <v>6</v>
      </c>
      <c r="G420" s="5" t="n">
        <f aca="false">INDEX('08_PEDIDOS'!$H$2:$H$97,MATCH(A420,'08_PEDIDOS'!$A$2:$A$97,0))</f>
        <v>10</v>
      </c>
      <c r="H420" s="17" t="n">
        <f aca="false">SUMIFS('05_RUTAS'!$F$2:$F$407,'05_RUTAS'!$A$2:$A$407,B420,'05_RUTAS'!$C$2:$C$407,C420)</f>
        <v>8</v>
      </c>
      <c r="I420" s="18" t="n">
        <f aca="false">SUMIFS('05_RUTAS'!$G$2:$G$407,'05_RUTAS'!$A$2:$A$407,B420,'05_RUTAS'!$C$2:$C$407,C420)</f>
        <v>2.63</v>
      </c>
      <c r="J420" s="18" t="n">
        <f aca="false">(ROUNDUP(F420/G420,0)*H420+F420*I420)/60</f>
        <v>0.396333333333333</v>
      </c>
      <c r="K420" s="5" t="n">
        <f aca="false">MONTH(INDEX('08_PEDIDOS'!$F$2:$F$97,MATCH(A420,'08_PEDIDOS'!$A$2:$A$97,0)))</f>
        <v>5</v>
      </c>
      <c r="L420" s="16" t="n">
        <f aca="false">J420*N(INDEX('04_MAQUINAS'!$F$2:$F$18,MATCH(E420,'04_MAQUINAS'!$A$2:$A$18,0)))</f>
        <v>6.34133333333333</v>
      </c>
      <c r="M420" s="17" t="n">
        <f aca="false">J420*INDEX('04_MAQUINAS'!$G$2:$G$18,MATCH(E420,'04_MAQUINAS'!$A$2:$A$18,0))*INDEX('04_MAQUINAS'!$H$2:$H$18,MATCH(E420,'04_MAQUINAS'!$A$2:$A$18,0))</f>
        <v>0.0990833333333333</v>
      </c>
      <c r="N420" s="2" t="s">
        <v>629</v>
      </c>
    </row>
    <row r="421" customFormat="false" ht="15" hidden="false" customHeight="false" outlineLevel="0" collapsed="false">
      <c r="A421" s="2" t="s">
        <v>559</v>
      </c>
      <c r="B421" s="2" t="s">
        <v>94</v>
      </c>
      <c r="C421" s="4" t="n">
        <v>10</v>
      </c>
      <c r="D421" s="2" t="s">
        <v>450</v>
      </c>
      <c r="E421" s="2" t="s">
        <v>406</v>
      </c>
      <c r="F421" s="5" t="n">
        <f aca="false">INDEX('08_PEDIDOS'!$D$2:$D$97,MATCH(A421,'08_PEDIDOS'!$A$2:$A$97,0))</f>
        <v>6</v>
      </c>
      <c r="G421" s="5" t="n">
        <f aca="false">INDEX('08_PEDIDOS'!$H$2:$H$97,MATCH(A421,'08_PEDIDOS'!$A$2:$A$97,0))</f>
        <v>10</v>
      </c>
      <c r="H421" s="17" t="n">
        <f aca="false">SUMIFS('05_RUTAS'!$F$2:$F$407,'05_RUTAS'!$A$2:$A$407,B421,'05_RUTAS'!$C$2:$C$407,C421)</f>
        <v>6</v>
      </c>
      <c r="I421" s="18" t="n">
        <f aca="false">SUMIFS('05_RUTAS'!$G$2:$G$407,'05_RUTAS'!$A$2:$A$407,B421,'05_RUTAS'!$C$2:$C$407,C421)</f>
        <v>69</v>
      </c>
      <c r="J421" s="18" t="n">
        <f aca="false">(ROUNDUP(F421/G421,0)*H421+F421*I421)/60</f>
        <v>7</v>
      </c>
      <c r="K421" s="5" t="n">
        <f aca="false">MONTH(INDEX('08_PEDIDOS'!$F$2:$F$97,MATCH(A421,'08_PEDIDOS'!$A$2:$A$97,0)))</f>
        <v>5</v>
      </c>
      <c r="L421" s="16" t="n">
        <f aca="false">J421*N(INDEX('04_MAQUINAS'!$F$2:$F$18,MATCH(E421,'04_MAQUINAS'!$A$2:$A$18,0)))</f>
        <v>133</v>
      </c>
      <c r="M421" s="17" t="n">
        <f aca="false">J421*INDEX('04_MAQUINAS'!$G$2:$G$18,MATCH(E421,'04_MAQUINAS'!$A$2:$A$18,0))*INDEX('04_MAQUINAS'!$H$2:$H$18,MATCH(E421,'04_MAQUINAS'!$A$2:$A$18,0))</f>
        <v>2.1</v>
      </c>
      <c r="N421" s="2" t="s">
        <v>629</v>
      </c>
    </row>
    <row r="422" customFormat="false" ht="15" hidden="false" customHeight="false" outlineLevel="0" collapsed="false">
      <c r="A422" s="2" t="s">
        <v>559</v>
      </c>
      <c r="B422" s="2" t="s">
        <v>94</v>
      </c>
      <c r="C422" s="4" t="n">
        <v>11</v>
      </c>
      <c r="D422" s="2" t="s">
        <v>451</v>
      </c>
      <c r="E422" s="2" t="s">
        <v>408</v>
      </c>
      <c r="F422" s="5" t="n">
        <f aca="false">INDEX('08_PEDIDOS'!$D$2:$D$97,MATCH(A422,'08_PEDIDOS'!$A$2:$A$97,0))</f>
        <v>6</v>
      </c>
      <c r="G422" s="5" t="n">
        <f aca="false">INDEX('08_PEDIDOS'!$H$2:$H$97,MATCH(A422,'08_PEDIDOS'!$A$2:$A$97,0))</f>
        <v>10</v>
      </c>
      <c r="H422" s="17" t="n">
        <f aca="false">SUMIFS('05_RUTAS'!$F$2:$F$407,'05_RUTAS'!$A$2:$A$407,B422,'05_RUTAS'!$C$2:$C$407,C422)</f>
        <v>2</v>
      </c>
      <c r="I422" s="18" t="n">
        <f aca="false">SUMIFS('05_RUTAS'!$G$2:$G$407,'05_RUTAS'!$A$2:$A$407,B422,'05_RUTAS'!$C$2:$C$407,C422)</f>
        <v>3.79</v>
      </c>
      <c r="J422" s="18" t="n">
        <f aca="false">(ROUNDUP(F422/G422,0)*H422+F422*I422)/60</f>
        <v>0.412333333333333</v>
      </c>
      <c r="K422" s="5" t="n">
        <f aca="false">MONTH(INDEX('08_PEDIDOS'!$F$2:$F$97,MATCH(A422,'08_PEDIDOS'!$A$2:$A$97,0)))</f>
        <v>5</v>
      </c>
      <c r="L422" s="16" t="n">
        <f aca="false">J422*N(INDEX('04_MAQUINAS'!$F$2:$F$18,MATCH(E422,'04_MAQUINAS'!$A$2:$A$18,0)))</f>
        <v>8.24666666666667</v>
      </c>
      <c r="M422" s="17" t="n">
        <f aca="false">J422*INDEX('04_MAQUINAS'!$G$2:$G$18,MATCH(E422,'04_MAQUINAS'!$A$2:$A$18,0))*INDEX('04_MAQUINAS'!$H$2:$H$18,MATCH(E422,'04_MAQUINAS'!$A$2:$A$18,0))</f>
        <v>0.0412333333333333</v>
      </c>
      <c r="N422" s="2" t="s">
        <v>629</v>
      </c>
    </row>
    <row r="423" customFormat="false" ht="15" hidden="false" customHeight="false" outlineLevel="0" collapsed="false">
      <c r="A423" s="2" t="s">
        <v>559</v>
      </c>
      <c r="B423" s="2" t="s">
        <v>94</v>
      </c>
      <c r="C423" s="4" t="n">
        <v>12</v>
      </c>
      <c r="D423" s="2" t="s">
        <v>452</v>
      </c>
      <c r="E423" s="2" t="s">
        <v>411</v>
      </c>
      <c r="F423" s="5" t="n">
        <f aca="false">INDEX('08_PEDIDOS'!$D$2:$D$97,MATCH(A423,'08_PEDIDOS'!$A$2:$A$97,0))</f>
        <v>6</v>
      </c>
      <c r="G423" s="5" t="n">
        <f aca="false">INDEX('08_PEDIDOS'!$H$2:$H$97,MATCH(A423,'08_PEDIDOS'!$A$2:$A$97,0))</f>
        <v>10</v>
      </c>
      <c r="H423" s="17" t="n">
        <f aca="false">SUMIFS('05_RUTAS'!$F$2:$F$407,'05_RUTAS'!$A$2:$A$407,B423,'05_RUTAS'!$C$2:$C$407,C423)</f>
        <v>2</v>
      </c>
      <c r="I423" s="18" t="n">
        <f aca="false">SUMIFS('05_RUTAS'!$G$2:$G$407,'05_RUTAS'!$A$2:$A$407,B423,'05_RUTAS'!$C$2:$C$407,C423)</f>
        <v>5.18</v>
      </c>
      <c r="J423" s="18" t="n">
        <f aca="false">(ROUNDUP(F423/G423,0)*H423+F423*I423)/60</f>
        <v>0.551333333333333</v>
      </c>
      <c r="K423" s="5" t="n">
        <f aca="false">MONTH(INDEX('08_PEDIDOS'!$F$2:$F$97,MATCH(A423,'08_PEDIDOS'!$A$2:$A$97,0)))</f>
        <v>5</v>
      </c>
      <c r="L423" s="16" t="n">
        <f aca="false">J423*N(INDEX('04_MAQUINAS'!$F$2:$F$18,MATCH(E423,'04_MAQUINAS'!$A$2:$A$18,0)))</f>
        <v>9.924</v>
      </c>
      <c r="M423" s="17" t="n">
        <f aca="false">J423*INDEX('04_MAQUINAS'!$G$2:$G$18,MATCH(E423,'04_MAQUINAS'!$A$2:$A$18,0))*INDEX('04_MAQUINAS'!$H$2:$H$18,MATCH(E423,'04_MAQUINAS'!$A$2:$A$18,0))</f>
        <v>0.04962</v>
      </c>
      <c r="N423" s="2" t="s">
        <v>629</v>
      </c>
    </row>
    <row r="424" customFormat="false" ht="15" hidden="false" customHeight="false" outlineLevel="0" collapsed="false">
      <c r="A424" s="2" t="s">
        <v>560</v>
      </c>
      <c r="B424" s="2" t="s">
        <v>96</v>
      </c>
      <c r="C424" s="4" t="n">
        <v>1</v>
      </c>
      <c r="D424" s="2" t="s">
        <v>437</v>
      </c>
      <c r="E424" s="2" t="s">
        <v>375</v>
      </c>
      <c r="F424" s="5" t="n">
        <f aca="false">INDEX('08_PEDIDOS'!$D$2:$D$97,MATCH(A424,'08_PEDIDOS'!$A$2:$A$97,0))</f>
        <v>7</v>
      </c>
      <c r="G424" s="5" t="n">
        <f aca="false">INDEX('08_PEDIDOS'!$H$2:$H$97,MATCH(A424,'08_PEDIDOS'!$A$2:$A$97,0))</f>
        <v>10</v>
      </c>
      <c r="H424" s="17" t="n">
        <f aca="false">SUMIFS('05_RUTAS'!$F$2:$F$407,'05_RUTAS'!$A$2:$A$407,B424,'05_RUTAS'!$C$2:$C$407,C424)</f>
        <v>8</v>
      </c>
      <c r="I424" s="18" t="n">
        <f aca="false">SUMIFS('05_RUTAS'!$G$2:$G$407,'05_RUTAS'!$A$2:$A$407,B424,'05_RUTAS'!$C$2:$C$407,C424)</f>
        <v>56.975</v>
      </c>
      <c r="J424" s="18" t="n">
        <f aca="false">(ROUNDUP(F424/G424,0)*H424+F424*I424)/60</f>
        <v>6.78041666666667</v>
      </c>
      <c r="K424" s="5" t="n">
        <f aca="false">MONTH(INDEX('08_PEDIDOS'!$F$2:$F$97,MATCH(A424,'08_PEDIDOS'!$A$2:$A$97,0)))</f>
        <v>5</v>
      </c>
      <c r="L424" s="16" t="n">
        <f aca="false">J424*N(INDEX('04_MAQUINAS'!$F$2:$F$18,MATCH(E424,'04_MAQUINAS'!$A$2:$A$18,0)))</f>
        <v>162.73</v>
      </c>
      <c r="M424" s="17" t="n">
        <f aca="false">J424*INDEX('04_MAQUINAS'!$G$2:$G$18,MATCH(E424,'04_MAQUINAS'!$A$2:$A$18,0))*INDEX('04_MAQUINAS'!$H$2:$H$18,MATCH(E424,'04_MAQUINAS'!$A$2:$A$18,0))</f>
        <v>18.6461458333333</v>
      </c>
      <c r="N424" s="2" t="s">
        <v>629</v>
      </c>
    </row>
    <row r="425" customFormat="false" ht="15" hidden="false" customHeight="false" outlineLevel="0" collapsed="false">
      <c r="A425" s="2" t="s">
        <v>560</v>
      </c>
      <c r="B425" s="2" t="s">
        <v>96</v>
      </c>
      <c r="C425" s="4" t="n">
        <v>2</v>
      </c>
      <c r="D425" s="2" t="s">
        <v>441</v>
      </c>
      <c r="E425" s="2" t="s">
        <v>380</v>
      </c>
      <c r="F425" s="5" t="n">
        <f aca="false">INDEX('08_PEDIDOS'!$D$2:$D$97,MATCH(A425,'08_PEDIDOS'!$A$2:$A$97,0))</f>
        <v>7</v>
      </c>
      <c r="G425" s="5" t="n">
        <f aca="false">INDEX('08_PEDIDOS'!$H$2:$H$97,MATCH(A425,'08_PEDIDOS'!$A$2:$A$97,0))</f>
        <v>10</v>
      </c>
      <c r="H425" s="17" t="n">
        <f aca="false">SUMIFS('05_RUTAS'!$F$2:$F$407,'05_RUTAS'!$A$2:$A$407,B425,'05_RUTAS'!$C$2:$C$407,C425)</f>
        <v>8</v>
      </c>
      <c r="I425" s="18" t="n">
        <f aca="false">SUMIFS('05_RUTAS'!$G$2:$G$407,'05_RUTAS'!$A$2:$A$407,B425,'05_RUTAS'!$C$2:$C$407,C425)</f>
        <v>6.28</v>
      </c>
      <c r="J425" s="18" t="n">
        <f aca="false">(ROUNDUP(F425/G425,0)*H425+F425*I425)/60</f>
        <v>0.866</v>
      </c>
      <c r="K425" s="5" t="n">
        <f aca="false">MONTH(INDEX('08_PEDIDOS'!$F$2:$F$97,MATCH(A425,'08_PEDIDOS'!$A$2:$A$97,0)))</f>
        <v>5</v>
      </c>
      <c r="L425" s="16" t="n">
        <f aca="false">J425*N(INDEX('04_MAQUINAS'!$F$2:$F$18,MATCH(E425,'04_MAQUINAS'!$A$2:$A$18,0)))</f>
        <v>19.052</v>
      </c>
      <c r="M425" s="17" t="n">
        <f aca="false">J425*INDEX('04_MAQUINAS'!$G$2:$G$18,MATCH(E425,'04_MAQUINAS'!$A$2:$A$18,0))*INDEX('04_MAQUINAS'!$H$2:$H$18,MATCH(E425,'04_MAQUINAS'!$A$2:$A$18,0))</f>
        <v>0.3897</v>
      </c>
      <c r="N425" s="2" t="s">
        <v>629</v>
      </c>
    </row>
    <row r="426" customFormat="false" ht="15" hidden="false" customHeight="false" outlineLevel="0" collapsed="false">
      <c r="A426" s="2" t="s">
        <v>560</v>
      </c>
      <c r="B426" s="2" t="s">
        <v>96</v>
      </c>
      <c r="C426" s="4" t="n">
        <v>3</v>
      </c>
      <c r="D426" s="2" t="s">
        <v>386</v>
      </c>
      <c r="E426" s="2" t="s">
        <v>383</v>
      </c>
      <c r="F426" s="5" t="n">
        <f aca="false">INDEX('08_PEDIDOS'!$D$2:$D$97,MATCH(A426,'08_PEDIDOS'!$A$2:$A$97,0))</f>
        <v>7</v>
      </c>
      <c r="G426" s="5" t="n">
        <f aca="false">INDEX('08_PEDIDOS'!$H$2:$H$97,MATCH(A426,'08_PEDIDOS'!$A$2:$A$97,0))</f>
        <v>10</v>
      </c>
      <c r="H426" s="17" t="n">
        <f aca="false">SUMIFS('05_RUTAS'!$F$2:$F$407,'05_RUTAS'!$A$2:$A$407,B426,'05_RUTAS'!$C$2:$C$407,C426)</f>
        <v>10</v>
      </c>
      <c r="I426" s="18" t="n">
        <f aca="false">SUMIFS('05_RUTAS'!$G$2:$G$407,'05_RUTAS'!$A$2:$A$407,B426,'05_RUTAS'!$C$2:$C$407,C426)</f>
        <v>67</v>
      </c>
      <c r="J426" s="18" t="n">
        <f aca="false">(ROUNDUP(F426/G426,0)*H426+F426*I426)/60</f>
        <v>7.98333333333333</v>
      </c>
      <c r="K426" s="5" t="n">
        <f aca="false">MONTH(INDEX('08_PEDIDOS'!$F$2:$F$97,MATCH(A426,'08_PEDIDOS'!$A$2:$A$97,0)))</f>
        <v>5</v>
      </c>
      <c r="L426" s="16" t="n">
        <f aca="false">J426*N(INDEX('04_MAQUINAS'!$F$2:$F$18,MATCH(E426,'04_MAQUINAS'!$A$2:$A$18,0)))</f>
        <v>175.633333333333</v>
      </c>
      <c r="M426" s="17" t="n">
        <f aca="false">J426*INDEX('04_MAQUINAS'!$G$2:$G$18,MATCH(E426,'04_MAQUINAS'!$A$2:$A$18,0))*INDEX('04_MAQUINAS'!$H$2:$H$18,MATCH(E426,'04_MAQUINAS'!$A$2:$A$18,0))</f>
        <v>2.19541666666667</v>
      </c>
      <c r="N426" s="2" t="s">
        <v>629</v>
      </c>
    </row>
    <row r="427" customFormat="false" ht="15" hidden="false" customHeight="false" outlineLevel="0" collapsed="false">
      <c r="A427" s="2" t="s">
        <v>560</v>
      </c>
      <c r="B427" s="2" t="s">
        <v>96</v>
      </c>
      <c r="C427" s="4" t="n">
        <v>4</v>
      </c>
      <c r="D427" s="2" t="s">
        <v>390</v>
      </c>
      <c r="E427" s="2" t="s">
        <v>387</v>
      </c>
      <c r="F427" s="5" t="n">
        <f aca="false">INDEX('08_PEDIDOS'!$D$2:$D$97,MATCH(A427,'08_PEDIDOS'!$A$2:$A$97,0))</f>
        <v>7</v>
      </c>
      <c r="G427" s="5" t="n">
        <f aca="false">INDEX('08_PEDIDOS'!$H$2:$H$97,MATCH(A427,'08_PEDIDOS'!$A$2:$A$97,0))</f>
        <v>10</v>
      </c>
      <c r="H427" s="17" t="n">
        <f aca="false">SUMIFS('05_RUTAS'!$F$2:$F$407,'05_RUTAS'!$A$2:$A$407,B427,'05_RUTAS'!$C$2:$C$407,C427)</f>
        <v>12</v>
      </c>
      <c r="I427" s="18" t="n">
        <f aca="false">SUMIFS('05_RUTAS'!$G$2:$G$407,'05_RUTAS'!$A$2:$A$407,B427,'05_RUTAS'!$C$2:$C$407,C427)</f>
        <v>124</v>
      </c>
      <c r="J427" s="18" t="n">
        <f aca="false">(ROUNDUP(F427/G427,0)*H427+F427*I427)/60</f>
        <v>14.6666666666667</v>
      </c>
      <c r="K427" s="5" t="n">
        <f aca="false">MONTH(INDEX('08_PEDIDOS'!$F$2:$F$97,MATCH(A427,'08_PEDIDOS'!$A$2:$A$97,0)))</f>
        <v>5</v>
      </c>
      <c r="L427" s="16" t="n">
        <f aca="false">J427*N(INDEX('04_MAQUINAS'!$F$2:$F$18,MATCH(E427,'04_MAQUINAS'!$A$2:$A$18,0)))</f>
        <v>410.666666666667</v>
      </c>
      <c r="M427" s="17" t="n">
        <f aca="false">J427*INDEX('04_MAQUINAS'!$G$2:$G$18,MATCH(E427,'04_MAQUINAS'!$A$2:$A$18,0))*INDEX('04_MAQUINAS'!$H$2:$H$18,MATCH(E427,'04_MAQUINAS'!$A$2:$A$18,0))</f>
        <v>36.3</v>
      </c>
      <c r="N427" s="2" t="s">
        <v>629</v>
      </c>
    </row>
    <row r="428" customFormat="false" ht="15" hidden="false" customHeight="false" outlineLevel="0" collapsed="false">
      <c r="A428" s="2" t="s">
        <v>560</v>
      </c>
      <c r="B428" s="2" t="s">
        <v>96</v>
      </c>
      <c r="C428" s="4" t="n">
        <v>5</v>
      </c>
      <c r="D428" s="2" t="s">
        <v>442</v>
      </c>
      <c r="E428" s="2" t="s">
        <v>391</v>
      </c>
      <c r="F428" s="5" t="n">
        <f aca="false">INDEX('08_PEDIDOS'!$D$2:$D$97,MATCH(A428,'08_PEDIDOS'!$A$2:$A$97,0))</f>
        <v>7</v>
      </c>
      <c r="G428" s="5" t="n">
        <f aca="false">INDEX('08_PEDIDOS'!$H$2:$H$97,MATCH(A428,'08_PEDIDOS'!$A$2:$A$97,0))</f>
        <v>10</v>
      </c>
      <c r="H428" s="17" t="n">
        <f aca="false">SUMIFS('05_RUTAS'!$F$2:$F$407,'05_RUTAS'!$A$2:$A$407,B428,'05_RUTAS'!$C$2:$C$407,C428)</f>
        <v>10</v>
      </c>
      <c r="I428" s="18" t="n">
        <f aca="false">SUMIFS('05_RUTAS'!$G$2:$G$407,'05_RUTAS'!$A$2:$A$407,B428,'05_RUTAS'!$C$2:$C$407,C428)</f>
        <v>5.6</v>
      </c>
      <c r="J428" s="18" t="n">
        <f aca="false">(ROUNDUP(F428/G428,0)*H428+F428*I428)/60</f>
        <v>0.82</v>
      </c>
      <c r="K428" s="5" t="n">
        <f aca="false">MONTH(INDEX('08_PEDIDOS'!$F$2:$F$97,MATCH(A428,'08_PEDIDOS'!$A$2:$A$97,0)))</f>
        <v>5</v>
      </c>
      <c r="L428" s="16" t="n">
        <f aca="false">J428*N(INDEX('04_MAQUINAS'!$F$2:$F$18,MATCH(E428,'04_MAQUINAS'!$A$2:$A$18,0)))</f>
        <v>26.24</v>
      </c>
      <c r="M428" s="17" t="n">
        <f aca="false">J428*INDEX('04_MAQUINAS'!$G$2:$G$18,MATCH(E428,'04_MAQUINAS'!$A$2:$A$18,0))*INDEX('04_MAQUINAS'!$H$2:$H$18,MATCH(E428,'04_MAQUINAS'!$A$2:$A$18,0))</f>
        <v>1.435</v>
      </c>
      <c r="N428" s="2" t="s">
        <v>629</v>
      </c>
    </row>
    <row r="429" customFormat="false" ht="15" hidden="false" customHeight="false" outlineLevel="0" collapsed="false">
      <c r="A429" s="2" t="s">
        <v>560</v>
      </c>
      <c r="B429" s="2" t="s">
        <v>96</v>
      </c>
      <c r="C429" s="4" t="n">
        <v>6</v>
      </c>
      <c r="D429" s="2" t="s">
        <v>443</v>
      </c>
      <c r="E429" s="2" t="s">
        <v>395</v>
      </c>
      <c r="F429" s="5" t="n">
        <f aca="false">INDEX('08_PEDIDOS'!$D$2:$D$97,MATCH(A429,'08_PEDIDOS'!$A$2:$A$97,0))</f>
        <v>7</v>
      </c>
      <c r="G429" s="5" t="n">
        <f aca="false">INDEX('08_PEDIDOS'!$H$2:$H$97,MATCH(A429,'08_PEDIDOS'!$A$2:$A$97,0))</f>
        <v>10</v>
      </c>
      <c r="H429" s="17" t="n">
        <f aca="false">SUMIFS('05_RUTAS'!$F$2:$F$407,'05_RUTAS'!$A$2:$A$407,B429,'05_RUTAS'!$C$2:$C$407,C429)</f>
        <v>3</v>
      </c>
      <c r="I429" s="18" t="n">
        <f aca="false">SUMIFS('05_RUTAS'!$G$2:$G$407,'05_RUTAS'!$A$2:$A$407,B429,'05_RUTAS'!$C$2:$C$407,C429)</f>
        <v>33</v>
      </c>
      <c r="J429" s="18" t="n">
        <f aca="false">(ROUNDUP(F429/G429,0)*H429+F429*I429)/60</f>
        <v>3.9</v>
      </c>
      <c r="K429" s="5" t="n">
        <f aca="false">MONTH(INDEX('08_PEDIDOS'!$F$2:$F$97,MATCH(A429,'08_PEDIDOS'!$A$2:$A$97,0)))</f>
        <v>5</v>
      </c>
      <c r="L429" s="16" t="n">
        <f aca="false">J429*N(INDEX('04_MAQUINAS'!$F$2:$F$18,MATCH(E429,'04_MAQUINAS'!$A$2:$A$18,0)))</f>
        <v>81.9</v>
      </c>
      <c r="M429" s="17" t="n">
        <f aca="false">J429*INDEX('04_MAQUINAS'!$G$2:$G$18,MATCH(E429,'04_MAQUINAS'!$A$2:$A$18,0))*INDEX('04_MAQUINAS'!$H$2:$H$18,MATCH(E429,'04_MAQUINAS'!$A$2:$A$18,0))</f>
        <v>2.925</v>
      </c>
      <c r="N429" s="2" t="s">
        <v>629</v>
      </c>
    </row>
    <row r="430" customFormat="false" ht="15" hidden="false" customHeight="false" outlineLevel="0" collapsed="false">
      <c r="A430" s="2" t="s">
        <v>560</v>
      </c>
      <c r="B430" s="2" t="s">
        <v>96</v>
      </c>
      <c r="C430" s="4" t="n">
        <v>7</v>
      </c>
      <c r="D430" s="2" t="s">
        <v>444</v>
      </c>
      <c r="E430" s="2" t="s">
        <v>399</v>
      </c>
      <c r="F430" s="5" t="n">
        <f aca="false">INDEX('08_PEDIDOS'!$D$2:$D$97,MATCH(A430,'08_PEDIDOS'!$A$2:$A$97,0))</f>
        <v>7</v>
      </c>
      <c r="G430" s="5" t="n">
        <f aca="false">INDEX('08_PEDIDOS'!$H$2:$H$97,MATCH(A430,'08_PEDIDOS'!$A$2:$A$97,0))</f>
        <v>10</v>
      </c>
      <c r="H430" s="17" t="n">
        <f aca="false">SUMIFS('05_RUTAS'!$F$2:$F$407,'05_RUTAS'!$A$2:$A$407,B430,'05_RUTAS'!$C$2:$C$407,C430)</f>
        <v>6</v>
      </c>
      <c r="I430" s="18" t="n">
        <f aca="false">SUMIFS('05_RUTAS'!$G$2:$G$407,'05_RUTAS'!$A$2:$A$407,B430,'05_RUTAS'!$C$2:$C$407,C430)</f>
        <v>27.0712</v>
      </c>
      <c r="J430" s="18" t="n">
        <f aca="false">(ROUNDUP(F430/G430,0)*H430+F430*I430)/60</f>
        <v>3.25830666666667</v>
      </c>
      <c r="K430" s="5" t="n">
        <f aca="false">MONTH(INDEX('08_PEDIDOS'!$F$2:$F$97,MATCH(A430,'08_PEDIDOS'!$A$2:$A$97,0)))</f>
        <v>5</v>
      </c>
      <c r="L430" s="16" t="n">
        <f aca="false">J430*N(INDEX('04_MAQUINAS'!$F$2:$F$18,MATCH(E430,'04_MAQUINAS'!$A$2:$A$18,0)))</f>
        <v>61.9078266666667</v>
      </c>
      <c r="M430" s="17" t="n">
        <f aca="false">J430*INDEX('04_MAQUINAS'!$G$2:$G$18,MATCH(E430,'04_MAQUINAS'!$A$2:$A$18,0))*INDEX('04_MAQUINAS'!$H$2:$H$18,MATCH(E430,'04_MAQUINAS'!$A$2:$A$18,0))</f>
        <v>2.86730986666667</v>
      </c>
      <c r="N430" s="2" t="s">
        <v>629</v>
      </c>
    </row>
    <row r="431" customFormat="false" ht="15" hidden="false" customHeight="false" outlineLevel="0" collapsed="false">
      <c r="A431" s="2" t="s">
        <v>560</v>
      </c>
      <c r="B431" s="2" t="s">
        <v>96</v>
      </c>
      <c r="C431" s="4" t="n">
        <v>8</v>
      </c>
      <c r="D431" s="2" t="s">
        <v>445</v>
      </c>
      <c r="E431" s="2" t="s">
        <v>402</v>
      </c>
      <c r="F431" s="5" t="n">
        <f aca="false">INDEX('08_PEDIDOS'!$D$2:$D$97,MATCH(A431,'08_PEDIDOS'!$A$2:$A$97,0))</f>
        <v>7</v>
      </c>
      <c r="G431" s="5" t="n">
        <f aca="false">INDEX('08_PEDIDOS'!$H$2:$H$97,MATCH(A431,'08_PEDIDOS'!$A$2:$A$97,0))</f>
        <v>10</v>
      </c>
      <c r="H431" s="17" t="n">
        <f aca="false">SUMIFS('05_RUTAS'!$F$2:$F$407,'05_RUTAS'!$A$2:$A$407,B431,'05_RUTAS'!$C$2:$C$407,C431)</f>
        <v>12</v>
      </c>
      <c r="I431" s="18" t="n">
        <f aca="false">SUMIFS('05_RUTAS'!$G$2:$G$407,'05_RUTAS'!$A$2:$A$407,B431,'05_RUTAS'!$C$2:$C$407,C431)</f>
        <v>7.34</v>
      </c>
      <c r="J431" s="18" t="n">
        <f aca="false">(ROUNDUP(F431/G431,0)*H431+F431*I431)/60</f>
        <v>1.05633333333333</v>
      </c>
      <c r="K431" s="5" t="n">
        <f aca="false">MONTH(INDEX('08_PEDIDOS'!$F$2:$F$97,MATCH(A431,'08_PEDIDOS'!$A$2:$A$97,0)))</f>
        <v>5</v>
      </c>
      <c r="L431" s="16" t="n">
        <f aca="false">J431*N(INDEX('04_MAQUINAS'!$F$2:$F$18,MATCH(E431,'04_MAQUINAS'!$A$2:$A$18,0)))</f>
        <v>33.8026666666667</v>
      </c>
      <c r="M431" s="17" t="n">
        <f aca="false">J431*INDEX('04_MAQUINAS'!$G$2:$G$18,MATCH(E431,'04_MAQUINAS'!$A$2:$A$18,0))*INDEX('04_MAQUINAS'!$H$2:$H$18,MATCH(E431,'04_MAQUINAS'!$A$2:$A$18,0))</f>
        <v>1.10915</v>
      </c>
      <c r="N431" s="2" t="s">
        <v>629</v>
      </c>
    </row>
    <row r="432" customFormat="false" ht="15" hidden="false" customHeight="false" outlineLevel="0" collapsed="false">
      <c r="A432" s="2" t="s">
        <v>560</v>
      </c>
      <c r="B432" s="2" t="s">
        <v>96</v>
      </c>
      <c r="C432" s="4" t="n">
        <v>9</v>
      </c>
      <c r="D432" s="2" t="s">
        <v>447</v>
      </c>
      <c r="E432" s="2" t="s">
        <v>421</v>
      </c>
      <c r="F432" s="5" t="n">
        <f aca="false">INDEX('08_PEDIDOS'!$D$2:$D$97,MATCH(A432,'08_PEDIDOS'!$A$2:$A$97,0))</f>
        <v>7</v>
      </c>
      <c r="G432" s="5" t="n">
        <f aca="false">INDEX('08_PEDIDOS'!$H$2:$H$97,MATCH(A432,'08_PEDIDOS'!$A$2:$A$97,0))</f>
        <v>10</v>
      </c>
      <c r="H432" s="17" t="n">
        <f aca="false">SUMIFS('05_RUTAS'!$F$2:$F$407,'05_RUTAS'!$A$2:$A$407,B432,'05_RUTAS'!$C$2:$C$407,C432)</f>
        <v>45</v>
      </c>
      <c r="I432" s="18" t="n">
        <f aca="false">SUMIFS('05_RUTAS'!$G$2:$G$407,'05_RUTAS'!$A$2:$A$407,B432,'05_RUTAS'!$C$2:$C$407,C432)</f>
        <v>0</v>
      </c>
      <c r="J432" s="18" t="n">
        <f aca="false">(ROUNDUP(F432/G432,0)*H432+F432*I432)/60</f>
        <v>0.75</v>
      </c>
      <c r="K432" s="5" t="n">
        <f aca="false">MONTH(INDEX('08_PEDIDOS'!$F$2:$F$97,MATCH(A432,'08_PEDIDOS'!$A$2:$A$97,0)))</f>
        <v>5</v>
      </c>
      <c r="L432" s="16" t="n">
        <f aca="false">J432*N(INDEX('04_MAQUINAS'!$F$2:$F$18,MATCH(E432,'04_MAQUINAS'!$A$2:$A$18,0)))</f>
        <v>19.5</v>
      </c>
      <c r="M432" s="17" t="n">
        <f aca="false">J432*INDEX('04_MAQUINAS'!$G$2:$G$18,MATCH(E432,'04_MAQUINAS'!$A$2:$A$18,0))*INDEX('04_MAQUINAS'!$H$2:$H$18,MATCH(E432,'04_MAQUINAS'!$A$2:$A$18,0))</f>
        <v>10.8</v>
      </c>
      <c r="N432" s="2" t="s">
        <v>629</v>
      </c>
    </row>
    <row r="433" customFormat="false" ht="15" hidden="false" customHeight="false" outlineLevel="0" collapsed="false">
      <c r="A433" s="2" t="s">
        <v>560</v>
      </c>
      <c r="B433" s="2" t="s">
        <v>96</v>
      </c>
      <c r="C433" s="4" t="n">
        <v>10</v>
      </c>
      <c r="D433" s="2" t="s">
        <v>449</v>
      </c>
      <c r="E433" s="2" t="s">
        <v>423</v>
      </c>
      <c r="F433" s="5" t="n">
        <f aca="false">INDEX('08_PEDIDOS'!$D$2:$D$97,MATCH(A433,'08_PEDIDOS'!$A$2:$A$97,0))</f>
        <v>7</v>
      </c>
      <c r="G433" s="5" t="n">
        <f aca="false">INDEX('08_PEDIDOS'!$H$2:$H$97,MATCH(A433,'08_PEDIDOS'!$A$2:$A$97,0))</f>
        <v>10</v>
      </c>
      <c r="H433" s="17" t="n">
        <f aca="false">SUMIFS('05_RUTAS'!$F$2:$F$407,'05_RUTAS'!$A$2:$A$407,B433,'05_RUTAS'!$C$2:$C$407,C433)</f>
        <v>8</v>
      </c>
      <c r="I433" s="18" t="n">
        <f aca="false">SUMIFS('05_RUTAS'!$G$2:$G$407,'05_RUTAS'!$A$2:$A$407,B433,'05_RUTAS'!$C$2:$C$407,C433)</f>
        <v>2.54</v>
      </c>
      <c r="J433" s="18" t="n">
        <f aca="false">(ROUNDUP(F433/G433,0)*H433+F433*I433)/60</f>
        <v>0.429666666666667</v>
      </c>
      <c r="K433" s="5" t="n">
        <f aca="false">MONTH(INDEX('08_PEDIDOS'!$F$2:$F$97,MATCH(A433,'08_PEDIDOS'!$A$2:$A$97,0)))</f>
        <v>5</v>
      </c>
      <c r="L433" s="16" t="n">
        <f aca="false">J433*N(INDEX('04_MAQUINAS'!$F$2:$F$18,MATCH(E433,'04_MAQUINAS'!$A$2:$A$18,0)))</f>
        <v>6.87466666666667</v>
      </c>
      <c r="M433" s="17" t="n">
        <f aca="false">J433*INDEX('04_MAQUINAS'!$G$2:$G$18,MATCH(E433,'04_MAQUINAS'!$A$2:$A$18,0))*INDEX('04_MAQUINAS'!$H$2:$H$18,MATCH(E433,'04_MAQUINAS'!$A$2:$A$18,0))</f>
        <v>0.107416666666667</v>
      </c>
      <c r="N433" s="2" t="s">
        <v>629</v>
      </c>
    </row>
    <row r="434" customFormat="false" ht="15" hidden="false" customHeight="false" outlineLevel="0" collapsed="false">
      <c r="A434" s="2" t="s">
        <v>560</v>
      </c>
      <c r="B434" s="2" t="s">
        <v>96</v>
      </c>
      <c r="C434" s="4" t="n">
        <v>11</v>
      </c>
      <c r="D434" s="2" t="s">
        <v>450</v>
      </c>
      <c r="E434" s="2" t="s">
        <v>406</v>
      </c>
      <c r="F434" s="5" t="n">
        <f aca="false">INDEX('08_PEDIDOS'!$D$2:$D$97,MATCH(A434,'08_PEDIDOS'!$A$2:$A$97,0))</f>
        <v>7</v>
      </c>
      <c r="G434" s="5" t="n">
        <f aca="false">INDEX('08_PEDIDOS'!$H$2:$H$97,MATCH(A434,'08_PEDIDOS'!$A$2:$A$97,0))</f>
        <v>10</v>
      </c>
      <c r="H434" s="17" t="n">
        <f aca="false">SUMIFS('05_RUTAS'!$F$2:$F$407,'05_RUTAS'!$A$2:$A$407,B434,'05_RUTAS'!$C$2:$C$407,C434)</f>
        <v>6</v>
      </c>
      <c r="I434" s="18" t="n">
        <f aca="false">SUMIFS('05_RUTAS'!$G$2:$G$407,'05_RUTAS'!$A$2:$A$407,B434,'05_RUTAS'!$C$2:$C$407,C434)</f>
        <v>48.75</v>
      </c>
      <c r="J434" s="18" t="n">
        <f aca="false">(ROUNDUP(F434/G434,0)*H434+F434*I434)/60</f>
        <v>5.7875</v>
      </c>
      <c r="K434" s="5" t="n">
        <f aca="false">MONTH(INDEX('08_PEDIDOS'!$F$2:$F$97,MATCH(A434,'08_PEDIDOS'!$A$2:$A$97,0)))</f>
        <v>5</v>
      </c>
      <c r="L434" s="16" t="n">
        <f aca="false">J434*N(INDEX('04_MAQUINAS'!$F$2:$F$18,MATCH(E434,'04_MAQUINAS'!$A$2:$A$18,0)))</f>
        <v>109.9625</v>
      </c>
      <c r="M434" s="17" t="n">
        <f aca="false">J434*INDEX('04_MAQUINAS'!$G$2:$G$18,MATCH(E434,'04_MAQUINAS'!$A$2:$A$18,0))*INDEX('04_MAQUINAS'!$H$2:$H$18,MATCH(E434,'04_MAQUINAS'!$A$2:$A$18,0))</f>
        <v>1.73625</v>
      </c>
      <c r="N434" s="2" t="s">
        <v>629</v>
      </c>
    </row>
    <row r="435" customFormat="false" ht="15" hidden="false" customHeight="false" outlineLevel="0" collapsed="false">
      <c r="A435" s="2" t="s">
        <v>560</v>
      </c>
      <c r="B435" s="2" t="s">
        <v>96</v>
      </c>
      <c r="C435" s="4" t="n">
        <v>12</v>
      </c>
      <c r="D435" s="2" t="s">
        <v>451</v>
      </c>
      <c r="E435" s="2" t="s">
        <v>408</v>
      </c>
      <c r="F435" s="5" t="n">
        <f aca="false">INDEX('08_PEDIDOS'!$D$2:$D$97,MATCH(A435,'08_PEDIDOS'!$A$2:$A$97,0))</f>
        <v>7</v>
      </c>
      <c r="G435" s="5" t="n">
        <f aca="false">INDEX('08_PEDIDOS'!$H$2:$H$97,MATCH(A435,'08_PEDIDOS'!$A$2:$A$97,0))</f>
        <v>10</v>
      </c>
      <c r="H435" s="17" t="n">
        <f aca="false">SUMIFS('05_RUTAS'!$F$2:$F$407,'05_RUTAS'!$A$2:$A$407,B435,'05_RUTAS'!$C$2:$C$407,C435)</f>
        <v>2</v>
      </c>
      <c r="I435" s="18" t="n">
        <f aca="false">SUMIFS('05_RUTAS'!$G$2:$G$407,'05_RUTAS'!$A$2:$A$407,B435,'05_RUTAS'!$C$2:$C$407,C435)</f>
        <v>3.67</v>
      </c>
      <c r="J435" s="18" t="n">
        <f aca="false">(ROUNDUP(F435/G435,0)*H435+F435*I435)/60</f>
        <v>0.4615</v>
      </c>
      <c r="K435" s="5" t="n">
        <f aca="false">MONTH(INDEX('08_PEDIDOS'!$F$2:$F$97,MATCH(A435,'08_PEDIDOS'!$A$2:$A$97,0)))</f>
        <v>5</v>
      </c>
      <c r="L435" s="16" t="n">
        <f aca="false">J435*N(INDEX('04_MAQUINAS'!$F$2:$F$18,MATCH(E435,'04_MAQUINAS'!$A$2:$A$18,0)))</f>
        <v>9.23</v>
      </c>
      <c r="M435" s="17" t="n">
        <f aca="false">J435*INDEX('04_MAQUINAS'!$G$2:$G$18,MATCH(E435,'04_MAQUINAS'!$A$2:$A$18,0))*INDEX('04_MAQUINAS'!$H$2:$H$18,MATCH(E435,'04_MAQUINAS'!$A$2:$A$18,0))</f>
        <v>0.04615</v>
      </c>
      <c r="N435" s="2" t="s">
        <v>629</v>
      </c>
    </row>
    <row r="436" customFormat="false" ht="15" hidden="false" customHeight="false" outlineLevel="0" collapsed="false">
      <c r="A436" s="2" t="s">
        <v>560</v>
      </c>
      <c r="B436" s="2" t="s">
        <v>96</v>
      </c>
      <c r="C436" s="4" t="n">
        <v>13</v>
      </c>
      <c r="D436" s="2" t="s">
        <v>452</v>
      </c>
      <c r="E436" s="2" t="s">
        <v>411</v>
      </c>
      <c r="F436" s="5" t="n">
        <f aca="false">INDEX('08_PEDIDOS'!$D$2:$D$97,MATCH(A436,'08_PEDIDOS'!$A$2:$A$97,0))</f>
        <v>7</v>
      </c>
      <c r="G436" s="5" t="n">
        <f aca="false">INDEX('08_PEDIDOS'!$H$2:$H$97,MATCH(A436,'08_PEDIDOS'!$A$2:$A$97,0))</f>
        <v>10</v>
      </c>
      <c r="H436" s="17" t="n">
        <f aca="false">SUMIFS('05_RUTAS'!$F$2:$F$407,'05_RUTAS'!$A$2:$A$407,B436,'05_RUTAS'!$C$2:$C$407,C436)</f>
        <v>2</v>
      </c>
      <c r="I436" s="18" t="n">
        <f aca="false">SUMIFS('05_RUTAS'!$G$2:$G$407,'05_RUTAS'!$A$2:$A$407,B436,'05_RUTAS'!$C$2:$C$407,C436)</f>
        <v>5</v>
      </c>
      <c r="J436" s="18" t="n">
        <f aca="false">(ROUNDUP(F436/G436,0)*H436+F436*I436)/60</f>
        <v>0.616666666666667</v>
      </c>
      <c r="K436" s="5" t="n">
        <f aca="false">MONTH(INDEX('08_PEDIDOS'!$F$2:$F$97,MATCH(A436,'08_PEDIDOS'!$A$2:$A$97,0)))</f>
        <v>5</v>
      </c>
      <c r="L436" s="16" t="n">
        <f aca="false">J436*N(INDEX('04_MAQUINAS'!$F$2:$F$18,MATCH(E436,'04_MAQUINAS'!$A$2:$A$18,0)))</f>
        <v>11.1</v>
      </c>
      <c r="M436" s="17" t="n">
        <f aca="false">J436*INDEX('04_MAQUINAS'!$G$2:$G$18,MATCH(E436,'04_MAQUINAS'!$A$2:$A$18,0))*INDEX('04_MAQUINAS'!$H$2:$H$18,MATCH(E436,'04_MAQUINAS'!$A$2:$A$18,0))</f>
        <v>0.0555</v>
      </c>
      <c r="N436" s="2" t="s">
        <v>629</v>
      </c>
    </row>
    <row r="437" customFormat="false" ht="15" hidden="false" customHeight="false" outlineLevel="0" collapsed="false">
      <c r="A437" s="2" t="s">
        <v>561</v>
      </c>
      <c r="B437" s="2" t="s">
        <v>106</v>
      </c>
      <c r="C437" s="4" t="n">
        <v>1</v>
      </c>
      <c r="D437" s="2" t="s">
        <v>437</v>
      </c>
      <c r="E437" s="2" t="s">
        <v>375</v>
      </c>
      <c r="F437" s="5" t="n">
        <f aca="false">INDEX('08_PEDIDOS'!$D$2:$D$97,MATCH(A437,'08_PEDIDOS'!$A$2:$A$97,0))</f>
        <v>5</v>
      </c>
      <c r="G437" s="5" t="n">
        <f aca="false">INDEX('08_PEDIDOS'!$H$2:$H$97,MATCH(A437,'08_PEDIDOS'!$A$2:$A$97,0))</f>
        <v>10</v>
      </c>
      <c r="H437" s="17" t="n">
        <f aca="false">SUMIFS('05_RUTAS'!$F$2:$F$407,'05_RUTAS'!$A$2:$A$407,B437,'05_RUTAS'!$C$2:$C$407,C437)</f>
        <v>8</v>
      </c>
      <c r="I437" s="18" t="n">
        <f aca="false">SUMIFS('05_RUTAS'!$G$2:$G$407,'05_RUTAS'!$A$2:$A$407,B437,'05_RUTAS'!$C$2:$C$407,C437)</f>
        <v>40.245</v>
      </c>
      <c r="J437" s="18" t="n">
        <f aca="false">(ROUNDUP(F437/G437,0)*H437+F437*I437)/60</f>
        <v>3.48708333333333</v>
      </c>
      <c r="K437" s="5" t="n">
        <f aca="false">MONTH(INDEX('08_PEDIDOS'!$F$2:$F$97,MATCH(A437,'08_PEDIDOS'!$A$2:$A$97,0)))</f>
        <v>5</v>
      </c>
      <c r="L437" s="16" t="n">
        <f aca="false">J437*N(INDEX('04_MAQUINAS'!$F$2:$F$18,MATCH(E437,'04_MAQUINAS'!$A$2:$A$18,0)))</f>
        <v>83.69</v>
      </c>
      <c r="M437" s="17" t="n">
        <f aca="false">J437*INDEX('04_MAQUINAS'!$G$2:$G$18,MATCH(E437,'04_MAQUINAS'!$A$2:$A$18,0))*INDEX('04_MAQUINAS'!$H$2:$H$18,MATCH(E437,'04_MAQUINAS'!$A$2:$A$18,0))</f>
        <v>9.58947916666667</v>
      </c>
      <c r="N437" s="2" t="s">
        <v>629</v>
      </c>
    </row>
    <row r="438" customFormat="false" ht="15" hidden="false" customHeight="false" outlineLevel="0" collapsed="false">
      <c r="A438" s="2" t="s">
        <v>561</v>
      </c>
      <c r="B438" s="2" t="s">
        <v>106</v>
      </c>
      <c r="C438" s="4" t="n">
        <v>2</v>
      </c>
      <c r="D438" s="2" t="s">
        <v>386</v>
      </c>
      <c r="E438" s="2" t="s">
        <v>383</v>
      </c>
      <c r="F438" s="5" t="n">
        <f aca="false">INDEX('08_PEDIDOS'!$D$2:$D$97,MATCH(A438,'08_PEDIDOS'!$A$2:$A$97,0))</f>
        <v>5</v>
      </c>
      <c r="G438" s="5" t="n">
        <f aca="false">INDEX('08_PEDIDOS'!$H$2:$H$97,MATCH(A438,'08_PEDIDOS'!$A$2:$A$97,0))</f>
        <v>10</v>
      </c>
      <c r="H438" s="17" t="n">
        <f aca="false">SUMIFS('05_RUTAS'!$F$2:$F$407,'05_RUTAS'!$A$2:$A$407,B438,'05_RUTAS'!$C$2:$C$407,C438)</f>
        <v>10</v>
      </c>
      <c r="I438" s="18" t="n">
        <f aca="false">SUMIFS('05_RUTAS'!$G$2:$G$407,'05_RUTAS'!$A$2:$A$407,B438,'05_RUTAS'!$C$2:$C$407,C438)</f>
        <v>14.8</v>
      </c>
      <c r="J438" s="18" t="n">
        <f aca="false">(ROUNDUP(F438/G438,0)*H438+F438*I438)/60</f>
        <v>1.4</v>
      </c>
      <c r="K438" s="5" t="n">
        <f aca="false">MONTH(INDEX('08_PEDIDOS'!$F$2:$F$97,MATCH(A438,'08_PEDIDOS'!$A$2:$A$97,0)))</f>
        <v>5</v>
      </c>
      <c r="L438" s="16" t="n">
        <f aca="false">J438*N(INDEX('04_MAQUINAS'!$F$2:$F$18,MATCH(E438,'04_MAQUINAS'!$A$2:$A$18,0)))</f>
        <v>30.8</v>
      </c>
      <c r="M438" s="17" t="n">
        <f aca="false">J438*INDEX('04_MAQUINAS'!$G$2:$G$18,MATCH(E438,'04_MAQUINAS'!$A$2:$A$18,0))*INDEX('04_MAQUINAS'!$H$2:$H$18,MATCH(E438,'04_MAQUINAS'!$A$2:$A$18,0))</f>
        <v>0.385</v>
      </c>
      <c r="N438" s="2" t="s">
        <v>629</v>
      </c>
    </row>
    <row r="439" customFormat="false" ht="15" hidden="false" customHeight="false" outlineLevel="0" collapsed="false">
      <c r="A439" s="2" t="s">
        <v>561</v>
      </c>
      <c r="B439" s="2" t="s">
        <v>106</v>
      </c>
      <c r="C439" s="4" t="n">
        <v>3</v>
      </c>
      <c r="D439" s="2" t="s">
        <v>390</v>
      </c>
      <c r="E439" s="2" t="s">
        <v>387</v>
      </c>
      <c r="F439" s="5" t="n">
        <f aca="false">INDEX('08_PEDIDOS'!$D$2:$D$97,MATCH(A439,'08_PEDIDOS'!$A$2:$A$97,0))</f>
        <v>5</v>
      </c>
      <c r="G439" s="5" t="n">
        <f aca="false">INDEX('08_PEDIDOS'!$H$2:$H$97,MATCH(A439,'08_PEDIDOS'!$A$2:$A$97,0))</f>
        <v>10</v>
      </c>
      <c r="H439" s="17" t="n">
        <f aca="false">SUMIFS('05_RUTAS'!$F$2:$F$407,'05_RUTAS'!$A$2:$A$407,B439,'05_RUTAS'!$C$2:$C$407,C439)</f>
        <v>12</v>
      </c>
      <c r="I439" s="18" t="n">
        <f aca="false">SUMIFS('05_RUTAS'!$G$2:$G$407,'05_RUTAS'!$A$2:$A$407,B439,'05_RUTAS'!$C$2:$C$407,C439)</f>
        <v>104</v>
      </c>
      <c r="J439" s="18" t="n">
        <f aca="false">(ROUNDUP(F439/G439,0)*H439+F439*I439)/60</f>
        <v>8.86666666666667</v>
      </c>
      <c r="K439" s="5" t="n">
        <f aca="false">MONTH(INDEX('08_PEDIDOS'!$F$2:$F$97,MATCH(A439,'08_PEDIDOS'!$A$2:$A$97,0)))</f>
        <v>5</v>
      </c>
      <c r="L439" s="16" t="n">
        <f aca="false">J439*N(INDEX('04_MAQUINAS'!$F$2:$F$18,MATCH(E439,'04_MAQUINAS'!$A$2:$A$18,0)))</f>
        <v>248.266666666667</v>
      </c>
      <c r="M439" s="17" t="n">
        <f aca="false">J439*INDEX('04_MAQUINAS'!$G$2:$G$18,MATCH(E439,'04_MAQUINAS'!$A$2:$A$18,0))*INDEX('04_MAQUINAS'!$H$2:$H$18,MATCH(E439,'04_MAQUINAS'!$A$2:$A$18,0))</f>
        <v>21.945</v>
      </c>
      <c r="N439" s="2" t="s">
        <v>629</v>
      </c>
    </row>
    <row r="440" customFormat="false" ht="15" hidden="false" customHeight="false" outlineLevel="0" collapsed="false">
      <c r="A440" s="2" t="s">
        <v>561</v>
      </c>
      <c r="B440" s="2" t="s">
        <v>106</v>
      </c>
      <c r="C440" s="4" t="n">
        <v>4</v>
      </c>
      <c r="D440" s="2" t="s">
        <v>443</v>
      </c>
      <c r="E440" s="2" t="s">
        <v>395</v>
      </c>
      <c r="F440" s="5" t="n">
        <f aca="false">INDEX('08_PEDIDOS'!$D$2:$D$97,MATCH(A440,'08_PEDIDOS'!$A$2:$A$97,0))</f>
        <v>5</v>
      </c>
      <c r="G440" s="5" t="n">
        <f aca="false">INDEX('08_PEDIDOS'!$H$2:$H$97,MATCH(A440,'08_PEDIDOS'!$A$2:$A$97,0))</f>
        <v>10</v>
      </c>
      <c r="H440" s="17" t="n">
        <f aca="false">SUMIFS('05_RUTAS'!$F$2:$F$407,'05_RUTAS'!$A$2:$A$407,B440,'05_RUTAS'!$C$2:$C$407,C440)</f>
        <v>3</v>
      </c>
      <c r="I440" s="18" t="n">
        <f aca="false">SUMIFS('05_RUTAS'!$G$2:$G$407,'05_RUTAS'!$A$2:$A$407,B440,'05_RUTAS'!$C$2:$C$407,C440)</f>
        <v>18</v>
      </c>
      <c r="J440" s="18" t="n">
        <f aca="false">(ROUNDUP(F440/G440,0)*H440+F440*I440)/60</f>
        <v>1.55</v>
      </c>
      <c r="K440" s="5" t="n">
        <f aca="false">MONTH(INDEX('08_PEDIDOS'!$F$2:$F$97,MATCH(A440,'08_PEDIDOS'!$A$2:$A$97,0)))</f>
        <v>5</v>
      </c>
      <c r="L440" s="16" t="n">
        <f aca="false">J440*N(INDEX('04_MAQUINAS'!$F$2:$F$18,MATCH(E440,'04_MAQUINAS'!$A$2:$A$18,0)))</f>
        <v>32.55</v>
      </c>
      <c r="M440" s="17" t="n">
        <f aca="false">J440*INDEX('04_MAQUINAS'!$G$2:$G$18,MATCH(E440,'04_MAQUINAS'!$A$2:$A$18,0))*INDEX('04_MAQUINAS'!$H$2:$H$18,MATCH(E440,'04_MAQUINAS'!$A$2:$A$18,0))</f>
        <v>1.1625</v>
      </c>
      <c r="N440" s="2" t="s">
        <v>629</v>
      </c>
    </row>
    <row r="441" customFormat="false" ht="15" hidden="false" customHeight="false" outlineLevel="0" collapsed="false">
      <c r="A441" s="2" t="s">
        <v>561</v>
      </c>
      <c r="B441" s="2" t="s">
        <v>106</v>
      </c>
      <c r="C441" s="4" t="n">
        <v>5</v>
      </c>
      <c r="D441" s="2" t="s">
        <v>444</v>
      </c>
      <c r="E441" s="2" t="s">
        <v>399</v>
      </c>
      <c r="F441" s="5" t="n">
        <f aca="false">INDEX('08_PEDIDOS'!$D$2:$D$97,MATCH(A441,'08_PEDIDOS'!$A$2:$A$97,0))</f>
        <v>5</v>
      </c>
      <c r="G441" s="5" t="n">
        <f aca="false">INDEX('08_PEDIDOS'!$H$2:$H$97,MATCH(A441,'08_PEDIDOS'!$A$2:$A$97,0))</f>
        <v>10</v>
      </c>
      <c r="H441" s="17" t="n">
        <f aca="false">SUMIFS('05_RUTAS'!$F$2:$F$407,'05_RUTAS'!$A$2:$A$407,B441,'05_RUTAS'!$C$2:$C$407,C441)</f>
        <v>6</v>
      </c>
      <c r="I441" s="18" t="n">
        <f aca="false">SUMIFS('05_RUTAS'!$G$2:$G$407,'05_RUTAS'!$A$2:$A$407,B441,'05_RUTAS'!$C$2:$C$407,C441)</f>
        <v>26.324</v>
      </c>
      <c r="J441" s="18" t="n">
        <f aca="false">(ROUNDUP(F441/G441,0)*H441+F441*I441)/60</f>
        <v>2.29366666666667</v>
      </c>
      <c r="K441" s="5" t="n">
        <f aca="false">MONTH(INDEX('08_PEDIDOS'!$F$2:$F$97,MATCH(A441,'08_PEDIDOS'!$A$2:$A$97,0)))</f>
        <v>5</v>
      </c>
      <c r="L441" s="16" t="n">
        <f aca="false">J441*N(INDEX('04_MAQUINAS'!$F$2:$F$18,MATCH(E441,'04_MAQUINAS'!$A$2:$A$18,0)))</f>
        <v>43.5796666666667</v>
      </c>
      <c r="M441" s="17" t="n">
        <f aca="false">J441*INDEX('04_MAQUINAS'!$G$2:$G$18,MATCH(E441,'04_MAQUINAS'!$A$2:$A$18,0))*INDEX('04_MAQUINAS'!$H$2:$H$18,MATCH(E441,'04_MAQUINAS'!$A$2:$A$18,0))</f>
        <v>2.01842666666667</v>
      </c>
      <c r="N441" s="2" t="s">
        <v>629</v>
      </c>
    </row>
    <row r="442" customFormat="false" ht="15" hidden="false" customHeight="false" outlineLevel="0" collapsed="false">
      <c r="A442" s="2" t="s">
        <v>561</v>
      </c>
      <c r="B442" s="2" t="s">
        <v>106</v>
      </c>
      <c r="C442" s="4" t="n">
        <v>6</v>
      </c>
      <c r="D442" s="2" t="s">
        <v>445</v>
      </c>
      <c r="E442" s="2" t="s">
        <v>402</v>
      </c>
      <c r="F442" s="5" t="n">
        <f aca="false">INDEX('08_PEDIDOS'!$D$2:$D$97,MATCH(A442,'08_PEDIDOS'!$A$2:$A$97,0))</f>
        <v>5</v>
      </c>
      <c r="G442" s="5" t="n">
        <f aca="false">INDEX('08_PEDIDOS'!$H$2:$H$97,MATCH(A442,'08_PEDIDOS'!$A$2:$A$97,0))</f>
        <v>10</v>
      </c>
      <c r="H442" s="17" t="n">
        <f aca="false">SUMIFS('05_RUTAS'!$F$2:$F$407,'05_RUTAS'!$A$2:$A$407,B442,'05_RUTAS'!$C$2:$C$407,C442)</f>
        <v>12</v>
      </c>
      <c r="I442" s="18" t="n">
        <f aca="false">SUMIFS('05_RUTAS'!$G$2:$G$407,'05_RUTAS'!$A$2:$A$407,B442,'05_RUTAS'!$C$2:$C$407,C442)</f>
        <v>6.83</v>
      </c>
      <c r="J442" s="18" t="n">
        <f aca="false">(ROUNDUP(F442/G442,0)*H442+F442*I442)/60</f>
        <v>0.769166666666667</v>
      </c>
      <c r="K442" s="5" t="n">
        <f aca="false">MONTH(INDEX('08_PEDIDOS'!$F$2:$F$97,MATCH(A442,'08_PEDIDOS'!$A$2:$A$97,0)))</f>
        <v>5</v>
      </c>
      <c r="L442" s="16" t="n">
        <f aca="false">J442*N(INDEX('04_MAQUINAS'!$F$2:$F$18,MATCH(E442,'04_MAQUINAS'!$A$2:$A$18,0)))</f>
        <v>24.6133333333333</v>
      </c>
      <c r="M442" s="17" t="n">
        <f aca="false">J442*INDEX('04_MAQUINAS'!$G$2:$G$18,MATCH(E442,'04_MAQUINAS'!$A$2:$A$18,0))*INDEX('04_MAQUINAS'!$H$2:$H$18,MATCH(E442,'04_MAQUINAS'!$A$2:$A$18,0))</f>
        <v>0.807625</v>
      </c>
      <c r="N442" s="2" t="s">
        <v>629</v>
      </c>
    </row>
    <row r="443" customFormat="false" ht="15" hidden="false" customHeight="false" outlineLevel="0" collapsed="false">
      <c r="A443" s="2" t="s">
        <v>561</v>
      </c>
      <c r="B443" s="2" t="s">
        <v>106</v>
      </c>
      <c r="C443" s="4" t="n">
        <v>7</v>
      </c>
      <c r="D443" s="2" t="s">
        <v>447</v>
      </c>
      <c r="E443" s="2" t="s">
        <v>421</v>
      </c>
      <c r="F443" s="5" t="n">
        <f aca="false">INDEX('08_PEDIDOS'!$D$2:$D$97,MATCH(A443,'08_PEDIDOS'!$A$2:$A$97,0))</f>
        <v>5</v>
      </c>
      <c r="G443" s="5" t="n">
        <f aca="false">INDEX('08_PEDIDOS'!$H$2:$H$97,MATCH(A443,'08_PEDIDOS'!$A$2:$A$97,0))</f>
        <v>10</v>
      </c>
      <c r="H443" s="17" t="n">
        <f aca="false">SUMIFS('05_RUTAS'!$F$2:$F$407,'05_RUTAS'!$A$2:$A$407,B443,'05_RUTAS'!$C$2:$C$407,C443)</f>
        <v>45</v>
      </c>
      <c r="I443" s="18" t="n">
        <f aca="false">SUMIFS('05_RUTAS'!$G$2:$G$407,'05_RUTAS'!$A$2:$A$407,B443,'05_RUTAS'!$C$2:$C$407,C443)</f>
        <v>0</v>
      </c>
      <c r="J443" s="18" t="n">
        <f aca="false">(ROUNDUP(F443/G443,0)*H443+F443*I443)/60</f>
        <v>0.75</v>
      </c>
      <c r="K443" s="5" t="n">
        <f aca="false">MONTH(INDEX('08_PEDIDOS'!$F$2:$F$97,MATCH(A443,'08_PEDIDOS'!$A$2:$A$97,0)))</f>
        <v>5</v>
      </c>
      <c r="L443" s="16" t="n">
        <f aca="false">J443*N(INDEX('04_MAQUINAS'!$F$2:$F$18,MATCH(E443,'04_MAQUINAS'!$A$2:$A$18,0)))</f>
        <v>19.5</v>
      </c>
      <c r="M443" s="17" t="n">
        <f aca="false">J443*INDEX('04_MAQUINAS'!$G$2:$G$18,MATCH(E443,'04_MAQUINAS'!$A$2:$A$18,0))*INDEX('04_MAQUINAS'!$H$2:$H$18,MATCH(E443,'04_MAQUINAS'!$A$2:$A$18,0))</f>
        <v>10.8</v>
      </c>
      <c r="N443" s="2" t="s">
        <v>629</v>
      </c>
    </row>
    <row r="444" customFormat="false" ht="15" hidden="false" customHeight="false" outlineLevel="0" collapsed="false">
      <c r="A444" s="2" t="s">
        <v>561</v>
      </c>
      <c r="B444" s="2" t="s">
        <v>106</v>
      </c>
      <c r="C444" s="4" t="n">
        <v>8</v>
      </c>
      <c r="D444" s="2" t="s">
        <v>449</v>
      </c>
      <c r="E444" s="2" t="s">
        <v>423</v>
      </c>
      <c r="F444" s="5" t="n">
        <f aca="false">INDEX('08_PEDIDOS'!$D$2:$D$97,MATCH(A444,'08_PEDIDOS'!$A$2:$A$97,0))</f>
        <v>5</v>
      </c>
      <c r="G444" s="5" t="n">
        <f aca="false">INDEX('08_PEDIDOS'!$H$2:$H$97,MATCH(A444,'08_PEDIDOS'!$A$2:$A$97,0))</f>
        <v>10</v>
      </c>
      <c r="H444" s="17" t="n">
        <f aca="false">SUMIFS('05_RUTAS'!$F$2:$F$407,'05_RUTAS'!$A$2:$A$407,B444,'05_RUTAS'!$C$2:$C$407,C444)</f>
        <v>8</v>
      </c>
      <c r="I444" s="18" t="n">
        <f aca="false">SUMIFS('05_RUTAS'!$G$2:$G$407,'05_RUTAS'!$A$2:$A$407,B444,'05_RUTAS'!$C$2:$C$407,C444)</f>
        <v>2.42</v>
      </c>
      <c r="J444" s="18" t="n">
        <f aca="false">(ROUNDUP(F444/G444,0)*H444+F444*I444)/60</f>
        <v>0.335</v>
      </c>
      <c r="K444" s="5" t="n">
        <f aca="false">MONTH(INDEX('08_PEDIDOS'!$F$2:$F$97,MATCH(A444,'08_PEDIDOS'!$A$2:$A$97,0)))</f>
        <v>5</v>
      </c>
      <c r="L444" s="16" t="n">
        <f aca="false">J444*N(INDEX('04_MAQUINAS'!$F$2:$F$18,MATCH(E444,'04_MAQUINAS'!$A$2:$A$18,0)))</f>
        <v>5.36</v>
      </c>
      <c r="M444" s="17" t="n">
        <f aca="false">J444*INDEX('04_MAQUINAS'!$G$2:$G$18,MATCH(E444,'04_MAQUINAS'!$A$2:$A$18,0))*INDEX('04_MAQUINAS'!$H$2:$H$18,MATCH(E444,'04_MAQUINAS'!$A$2:$A$18,0))</f>
        <v>0.08375</v>
      </c>
      <c r="N444" s="2" t="s">
        <v>629</v>
      </c>
    </row>
    <row r="445" customFormat="false" ht="15" hidden="false" customHeight="false" outlineLevel="0" collapsed="false">
      <c r="A445" s="2" t="s">
        <v>561</v>
      </c>
      <c r="B445" s="2" t="s">
        <v>106</v>
      </c>
      <c r="C445" s="4" t="n">
        <v>9</v>
      </c>
      <c r="D445" s="2" t="s">
        <v>450</v>
      </c>
      <c r="E445" s="2" t="s">
        <v>406</v>
      </c>
      <c r="F445" s="5" t="n">
        <f aca="false">INDEX('08_PEDIDOS'!$D$2:$D$97,MATCH(A445,'08_PEDIDOS'!$A$2:$A$97,0))</f>
        <v>5</v>
      </c>
      <c r="G445" s="5" t="n">
        <f aca="false">INDEX('08_PEDIDOS'!$H$2:$H$97,MATCH(A445,'08_PEDIDOS'!$A$2:$A$97,0))</f>
        <v>10</v>
      </c>
      <c r="H445" s="17" t="n">
        <f aca="false">SUMIFS('05_RUTAS'!$F$2:$F$407,'05_RUTAS'!$A$2:$A$407,B445,'05_RUTAS'!$C$2:$C$407,C445)</f>
        <v>6</v>
      </c>
      <c r="I445" s="18" t="n">
        <f aca="false">SUMIFS('05_RUTAS'!$G$2:$G$407,'05_RUTAS'!$A$2:$A$407,B445,'05_RUTAS'!$C$2:$C$407,C445)</f>
        <v>42</v>
      </c>
      <c r="J445" s="18" t="n">
        <f aca="false">(ROUNDUP(F445/G445,0)*H445+F445*I445)/60</f>
        <v>3.6</v>
      </c>
      <c r="K445" s="5" t="n">
        <f aca="false">MONTH(INDEX('08_PEDIDOS'!$F$2:$F$97,MATCH(A445,'08_PEDIDOS'!$A$2:$A$97,0)))</f>
        <v>5</v>
      </c>
      <c r="L445" s="16" t="n">
        <f aca="false">J445*N(INDEX('04_MAQUINAS'!$F$2:$F$18,MATCH(E445,'04_MAQUINAS'!$A$2:$A$18,0)))</f>
        <v>68.4</v>
      </c>
      <c r="M445" s="17" t="n">
        <f aca="false">J445*INDEX('04_MAQUINAS'!$G$2:$G$18,MATCH(E445,'04_MAQUINAS'!$A$2:$A$18,0))*INDEX('04_MAQUINAS'!$H$2:$H$18,MATCH(E445,'04_MAQUINAS'!$A$2:$A$18,0))</f>
        <v>1.08</v>
      </c>
      <c r="N445" s="2" t="s">
        <v>629</v>
      </c>
    </row>
    <row r="446" customFormat="false" ht="15" hidden="false" customHeight="false" outlineLevel="0" collapsed="false">
      <c r="A446" s="2" t="s">
        <v>561</v>
      </c>
      <c r="B446" s="2" t="s">
        <v>106</v>
      </c>
      <c r="C446" s="4" t="n">
        <v>10</v>
      </c>
      <c r="D446" s="2" t="s">
        <v>451</v>
      </c>
      <c r="E446" s="2" t="s">
        <v>408</v>
      </c>
      <c r="F446" s="5" t="n">
        <f aca="false">INDEX('08_PEDIDOS'!$D$2:$D$97,MATCH(A446,'08_PEDIDOS'!$A$2:$A$97,0))</f>
        <v>5</v>
      </c>
      <c r="G446" s="5" t="n">
        <f aca="false">INDEX('08_PEDIDOS'!$H$2:$H$97,MATCH(A446,'08_PEDIDOS'!$A$2:$A$97,0))</f>
        <v>10</v>
      </c>
      <c r="H446" s="17" t="n">
        <f aca="false">SUMIFS('05_RUTAS'!$F$2:$F$407,'05_RUTAS'!$A$2:$A$407,B446,'05_RUTAS'!$C$2:$C$407,C446)</f>
        <v>2</v>
      </c>
      <c r="I446" s="18" t="n">
        <f aca="false">SUMIFS('05_RUTAS'!$G$2:$G$407,'05_RUTAS'!$A$2:$A$407,B446,'05_RUTAS'!$C$2:$C$407,C446)</f>
        <v>3.52</v>
      </c>
      <c r="J446" s="18" t="n">
        <f aca="false">(ROUNDUP(F446/G446,0)*H446+F446*I446)/60</f>
        <v>0.326666666666667</v>
      </c>
      <c r="K446" s="5" t="n">
        <f aca="false">MONTH(INDEX('08_PEDIDOS'!$F$2:$F$97,MATCH(A446,'08_PEDIDOS'!$A$2:$A$97,0)))</f>
        <v>5</v>
      </c>
      <c r="L446" s="16" t="n">
        <f aca="false">J446*N(INDEX('04_MAQUINAS'!$F$2:$F$18,MATCH(E446,'04_MAQUINAS'!$A$2:$A$18,0)))</f>
        <v>6.53333333333333</v>
      </c>
      <c r="M446" s="17" t="n">
        <f aca="false">J446*INDEX('04_MAQUINAS'!$G$2:$G$18,MATCH(E446,'04_MAQUINAS'!$A$2:$A$18,0))*INDEX('04_MAQUINAS'!$H$2:$H$18,MATCH(E446,'04_MAQUINAS'!$A$2:$A$18,0))</f>
        <v>0.0326666666666667</v>
      </c>
      <c r="N446" s="2" t="s">
        <v>629</v>
      </c>
    </row>
    <row r="447" customFormat="false" ht="15" hidden="false" customHeight="false" outlineLevel="0" collapsed="false">
      <c r="A447" s="2" t="s">
        <v>561</v>
      </c>
      <c r="B447" s="2" t="s">
        <v>106</v>
      </c>
      <c r="C447" s="4" t="n">
        <v>11</v>
      </c>
      <c r="D447" s="2" t="s">
        <v>452</v>
      </c>
      <c r="E447" s="2" t="s">
        <v>411</v>
      </c>
      <c r="F447" s="5" t="n">
        <f aca="false">INDEX('08_PEDIDOS'!$D$2:$D$97,MATCH(A447,'08_PEDIDOS'!$A$2:$A$97,0))</f>
        <v>5</v>
      </c>
      <c r="G447" s="5" t="n">
        <f aca="false">INDEX('08_PEDIDOS'!$H$2:$H$97,MATCH(A447,'08_PEDIDOS'!$A$2:$A$97,0))</f>
        <v>10</v>
      </c>
      <c r="H447" s="17" t="n">
        <f aca="false">SUMIFS('05_RUTAS'!$F$2:$F$407,'05_RUTAS'!$A$2:$A$407,B447,'05_RUTAS'!$C$2:$C$407,C447)</f>
        <v>2</v>
      </c>
      <c r="I447" s="18" t="n">
        <f aca="false">SUMIFS('05_RUTAS'!$G$2:$G$407,'05_RUTAS'!$A$2:$A$407,B447,'05_RUTAS'!$C$2:$C$407,C447)</f>
        <v>4.78</v>
      </c>
      <c r="J447" s="18" t="n">
        <f aca="false">(ROUNDUP(F447/G447,0)*H447+F447*I447)/60</f>
        <v>0.431666666666667</v>
      </c>
      <c r="K447" s="5" t="n">
        <f aca="false">MONTH(INDEX('08_PEDIDOS'!$F$2:$F$97,MATCH(A447,'08_PEDIDOS'!$A$2:$A$97,0)))</f>
        <v>5</v>
      </c>
      <c r="L447" s="16" t="n">
        <f aca="false">J447*N(INDEX('04_MAQUINAS'!$F$2:$F$18,MATCH(E447,'04_MAQUINAS'!$A$2:$A$18,0)))</f>
        <v>7.77</v>
      </c>
      <c r="M447" s="17" t="n">
        <f aca="false">J447*INDEX('04_MAQUINAS'!$G$2:$G$18,MATCH(E447,'04_MAQUINAS'!$A$2:$A$18,0))*INDEX('04_MAQUINAS'!$H$2:$H$18,MATCH(E447,'04_MAQUINAS'!$A$2:$A$18,0))</f>
        <v>0.03885</v>
      </c>
      <c r="N447" s="2" t="s">
        <v>629</v>
      </c>
    </row>
    <row r="448" customFormat="false" ht="15" hidden="false" customHeight="false" outlineLevel="0" collapsed="false">
      <c r="A448" s="2" t="s">
        <v>562</v>
      </c>
      <c r="B448" s="2" t="s">
        <v>108</v>
      </c>
      <c r="C448" s="4" t="n">
        <v>1</v>
      </c>
      <c r="D448" s="2" t="s">
        <v>437</v>
      </c>
      <c r="E448" s="2" t="s">
        <v>375</v>
      </c>
      <c r="F448" s="5" t="n">
        <f aca="false">INDEX('08_PEDIDOS'!$D$2:$D$97,MATCH(A448,'08_PEDIDOS'!$A$2:$A$97,0))</f>
        <v>6</v>
      </c>
      <c r="G448" s="5" t="n">
        <f aca="false">INDEX('08_PEDIDOS'!$H$2:$H$97,MATCH(A448,'08_PEDIDOS'!$A$2:$A$97,0))</f>
        <v>10</v>
      </c>
      <c r="H448" s="17" t="n">
        <f aca="false">SUMIFS('05_RUTAS'!$F$2:$F$407,'05_RUTAS'!$A$2:$A$407,B448,'05_RUTAS'!$C$2:$C$407,C448)</f>
        <v>8</v>
      </c>
      <c r="I448" s="18" t="n">
        <f aca="false">SUMIFS('05_RUTAS'!$G$2:$G$407,'05_RUTAS'!$A$2:$A$407,B448,'05_RUTAS'!$C$2:$C$407,C448)</f>
        <v>57.14</v>
      </c>
      <c r="J448" s="18" t="n">
        <f aca="false">(ROUNDUP(F448/G448,0)*H448+F448*I448)/60</f>
        <v>5.84733333333333</v>
      </c>
      <c r="K448" s="5" t="n">
        <f aca="false">MONTH(INDEX('08_PEDIDOS'!$F$2:$F$97,MATCH(A448,'08_PEDIDOS'!$A$2:$A$97,0)))</f>
        <v>5</v>
      </c>
      <c r="L448" s="16" t="n">
        <f aca="false">J448*N(INDEX('04_MAQUINAS'!$F$2:$F$18,MATCH(E448,'04_MAQUINAS'!$A$2:$A$18,0)))</f>
        <v>140.336</v>
      </c>
      <c r="M448" s="17" t="n">
        <f aca="false">J448*INDEX('04_MAQUINAS'!$G$2:$G$18,MATCH(E448,'04_MAQUINAS'!$A$2:$A$18,0))*INDEX('04_MAQUINAS'!$H$2:$H$18,MATCH(E448,'04_MAQUINAS'!$A$2:$A$18,0))</f>
        <v>16.0801666666667</v>
      </c>
      <c r="N448" s="2" t="s">
        <v>629</v>
      </c>
    </row>
    <row r="449" customFormat="false" ht="15" hidden="false" customHeight="false" outlineLevel="0" collapsed="false">
      <c r="A449" s="2" t="s">
        <v>562</v>
      </c>
      <c r="B449" s="2" t="s">
        <v>108</v>
      </c>
      <c r="C449" s="4" t="n">
        <v>2</v>
      </c>
      <c r="D449" s="2" t="s">
        <v>386</v>
      </c>
      <c r="E449" s="2" t="s">
        <v>383</v>
      </c>
      <c r="F449" s="5" t="n">
        <f aca="false">INDEX('08_PEDIDOS'!$D$2:$D$97,MATCH(A449,'08_PEDIDOS'!$A$2:$A$97,0))</f>
        <v>6</v>
      </c>
      <c r="G449" s="5" t="n">
        <f aca="false">INDEX('08_PEDIDOS'!$H$2:$H$97,MATCH(A449,'08_PEDIDOS'!$A$2:$A$97,0))</f>
        <v>10</v>
      </c>
      <c r="H449" s="17" t="n">
        <f aca="false">SUMIFS('05_RUTAS'!$F$2:$F$407,'05_RUTAS'!$A$2:$A$407,B449,'05_RUTAS'!$C$2:$C$407,C449)</f>
        <v>10</v>
      </c>
      <c r="I449" s="18" t="n">
        <f aca="false">SUMIFS('05_RUTAS'!$G$2:$G$407,'05_RUTAS'!$A$2:$A$407,B449,'05_RUTAS'!$C$2:$C$407,C449)</f>
        <v>27</v>
      </c>
      <c r="J449" s="18" t="n">
        <f aca="false">(ROUNDUP(F449/G449,0)*H449+F449*I449)/60</f>
        <v>2.86666666666667</v>
      </c>
      <c r="K449" s="5" t="n">
        <f aca="false">MONTH(INDEX('08_PEDIDOS'!$F$2:$F$97,MATCH(A449,'08_PEDIDOS'!$A$2:$A$97,0)))</f>
        <v>5</v>
      </c>
      <c r="L449" s="16" t="n">
        <f aca="false">J449*N(INDEX('04_MAQUINAS'!$F$2:$F$18,MATCH(E449,'04_MAQUINAS'!$A$2:$A$18,0)))</f>
        <v>63.0666666666667</v>
      </c>
      <c r="M449" s="17" t="n">
        <f aca="false">J449*INDEX('04_MAQUINAS'!$G$2:$G$18,MATCH(E449,'04_MAQUINAS'!$A$2:$A$18,0))*INDEX('04_MAQUINAS'!$H$2:$H$18,MATCH(E449,'04_MAQUINAS'!$A$2:$A$18,0))</f>
        <v>0.788333333333333</v>
      </c>
      <c r="N449" s="2" t="s">
        <v>629</v>
      </c>
    </row>
    <row r="450" customFormat="false" ht="15" hidden="false" customHeight="false" outlineLevel="0" collapsed="false">
      <c r="A450" s="2" t="s">
        <v>562</v>
      </c>
      <c r="B450" s="2" t="s">
        <v>108</v>
      </c>
      <c r="C450" s="4" t="n">
        <v>3</v>
      </c>
      <c r="D450" s="2" t="s">
        <v>390</v>
      </c>
      <c r="E450" s="2" t="s">
        <v>387</v>
      </c>
      <c r="F450" s="5" t="n">
        <f aca="false">INDEX('08_PEDIDOS'!$D$2:$D$97,MATCH(A450,'08_PEDIDOS'!$A$2:$A$97,0))</f>
        <v>6</v>
      </c>
      <c r="G450" s="5" t="n">
        <f aca="false">INDEX('08_PEDIDOS'!$H$2:$H$97,MATCH(A450,'08_PEDIDOS'!$A$2:$A$97,0))</f>
        <v>10</v>
      </c>
      <c r="H450" s="17" t="n">
        <f aca="false">SUMIFS('05_RUTAS'!$F$2:$F$407,'05_RUTAS'!$A$2:$A$407,B450,'05_RUTAS'!$C$2:$C$407,C450)</f>
        <v>12</v>
      </c>
      <c r="I450" s="18" t="n">
        <f aca="false">SUMIFS('05_RUTAS'!$G$2:$G$407,'05_RUTAS'!$A$2:$A$407,B450,'05_RUTAS'!$C$2:$C$407,C450)</f>
        <v>149</v>
      </c>
      <c r="J450" s="18" t="n">
        <f aca="false">(ROUNDUP(F450/G450,0)*H450+F450*I450)/60</f>
        <v>15.1</v>
      </c>
      <c r="K450" s="5" t="n">
        <f aca="false">MONTH(INDEX('08_PEDIDOS'!$F$2:$F$97,MATCH(A450,'08_PEDIDOS'!$A$2:$A$97,0)))</f>
        <v>5</v>
      </c>
      <c r="L450" s="16" t="n">
        <f aca="false">J450*N(INDEX('04_MAQUINAS'!$F$2:$F$18,MATCH(E450,'04_MAQUINAS'!$A$2:$A$18,0)))</f>
        <v>422.8</v>
      </c>
      <c r="M450" s="17" t="n">
        <f aca="false">J450*INDEX('04_MAQUINAS'!$G$2:$G$18,MATCH(E450,'04_MAQUINAS'!$A$2:$A$18,0))*INDEX('04_MAQUINAS'!$H$2:$H$18,MATCH(E450,'04_MAQUINAS'!$A$2:$A$18,0))</f>
        <v>37.3725</v>
      </c>
      <c r="N450" s="2" t="s">
        <v>629</v>
      </c>
    </row>
    <row r="451" customFormat="false" ht="15" hidden="false" customHeight="false" outlineLevel="0" collapsed="false">
      <c r="A451" s="2" t="s">
        <v>562</v>
      </c>
      <c r="B451" s="2" t="s">
        <v>108</v>
      </c>
      <c r="C451" s="4" t="n">
        <v>4</v>
      </c>
      <c r="D451" s="2" t="s">
        <v>443</v>
      </c>
      <c r="E451" s="2" t="s">
        <v>395</v>
      </c>
      <c r="F451" s="5" t="n">
        <f aca="false">INDEX('08_PEDIDOS'!$D$2:$D$97,MATCH(A451,'08_PEDIDOS'!$A$2:$A$97,0))</f>
        <v>6</v>
      </c>
      <c r="G451" s="5" t="n">
        <f aca="false">INDEX('08_PEDIDOS'!$H$2:$H$97,MATCH(A451,'08_PEDIDOS'!$A$2:$A$97,0))</f>
        <v>10</v>
      </c>
      <c r="H451" s="17" t="n">
        <f aca="false">SUMIFS('05_RUTAS'!$F$2:$F$407,'05_RUTAS'!$A$2:$A$407,B451,'05_RUTAS'!$C$2:$C$407,C451)</f>
        <v>3</v>
      </c>
      <c r="I451" s="18" t="n">
        <f aca="false">SUMIFS('05_RUTAS'!$G$2:$G$407,'05_RUTAS'!$A$2:$A$407,B451,'05_RUTAS'!$C$2:$C$407,C451)</f>
        <v>25.5</v>
      </c>
      <c r="J451" s="18" t="n">
        <f aca="false">(ROUNDUP(F451/G451,0)*H451+F451*I451)/60</f>
        <v>2.6</v>
      </c>
      <c r="K451" s="5" t="n">
        <f aca="false">MONTH(INDEX('08_PEDIDOS'!$F$2:$F$97,MATCH(A451,'08_PEDIDOS'!$A$2:$A$97,0)))</f>
        <v>5</v>
      </c>
      <c r="L451" s="16" t="n">
        <f aca="false">J451*N(INDEX('04_MAQUINAS'!$F$2:$F$18,MATCH(E451,'04_MAQUINAS'!$A$2:$A$18,0)))</f>
        <v>54.6</v>
      </c>
      <c r="M451" s="17" t="n">
        <f aca="false">J451*INDEX('04_MAQUINAS'!$G$2:$G$18,MATCH(E451,'04_MAQUINAS'!$A$2:$A$18,0))*INDEX('04_MAQUINAS'!$H$2:$H$18,MATCH(E451,'04_MAQUINAS'!$A$2:$A$18,0))</f>
        <v>1.95</v>
      </c>
      <c r="N451" s="2" t="s">
        <v>629</v>
      </c>
    </row>
    <row r="452" customFormat="false" ht="15" hidden="false" customHeight="false" outlineLevel="0" collapsed="false">
      <c r="A452" s="2" t="s">
        <v>562</v>
      </c>
      <c r="B452" s="2" t="s">
        <v>108</v>
      </c>
      <c r="C452" s="4" t="n">
        <v>5</v>
      </c>
      <c r="D452" s="2" t="s">
        <v>444</v>
      </c>
      <c r="E452" s="2" t="s">
        <v>399</v>
      </c>
      <c r="F452" s="5" t="n">
        <f aca="false">INDEX('08_PEDIDOS'!$D$2:$D$97,MATCH(A452,'08_PEDIDOS'!$A$2:$A$97,0))</f>
        <v>6</v>
      </c>
      <c r="G452" s="5" t="n">
        <f aca="false">INDEX('08_PEDIDOS'!$H$2:$H$97,MATCH(A452,'08_PEDIDOS'!$A$2:$A$97,0))</f>
        <v>10</v>
      </c>
      <c r="H452" s="17" t="n">
        <f aca="false">SUMIFS('05_RUTAS'!$F$2:$F$407,'05_RUTAS'!$A$2:$A$407,B452,'05_RUTAS'!$C$2:$C$407,C452)</f>
        <v>6</v>
      </c>
      <c r="I452" s="18" t="n">
        <f aca="false">SUMIFS('05_RUTAS'!$G$2:$G$407,'05_RUTAS'!$A$2:$A$407,B452,'05_RUTAS'!$C$2:$C$407,C452)</f>
        <v>37.528</v>
      </c>
      <c r="J452" s="18" t="n">
        <f aca="false">(ROUNDUP(F452/G452,0)*H452+F452*I452)/60</f>
        <v>3.8528</v>
      </c>
      <c r="K452" s="5" t="n">
        <f aca="false">MONTH(INDEX('08_PEDIDOS'!$F$2:$F$97,MATCH(A452,'08_PEDIDOS'!$A$2:$A$97,0)))</f>
        <v>5</v>
      </c>
      <c r="L452" s="16" t="n">
        <f aca="false">J452*N(INDEX('04_MAQUINAS'!$F$2:$F$18,MATCH(E452,'04_MAQUINAS'!$A$2:$A$18,0)))</f>
        <v>73.2032</v>
      </c>
      <c r="M452" s="17" t="n">
        <f aca="false">J452*INDEX('04_MAQUINAS'!$G$2:$G$18,MATCH(E452,'04_MAQUINAS'!$A$2:$A$18,0))*INDEX('04_MAQUINAS'!$H$2:$H$18,MATCH(E452,'04_MAQUINAS'!$A$2:$A$18,0))</f>
        <v>3.390464</v>
      </c>
      <c r="N452" s="2" t="s">
        <v>629</v>
      </c>
    </row>
    <row r="453" customFormat="false" ht="15" hidden="false" customHeight="false" outlineLevel="0" collapsed="false">
      <c r="A453" s="2" t="s">
        <v>562</v>
      </c>
      <c r="B453" s="2" t="s">
        <v>108</v>
      </c>
      <c r="C453" s="4" t="n">
        <v>6</v>
      </c>
      <c r="D453" s="2" t="s">
        <v>445</v>
      </c>
      <c r="E453" s="2" t="s">
        <v>402</v>
      </c>
      <c r="F453" s="5" t="n">
        <f aca="false">INDEX('08_PEDIDOS'!$D$2:$D$97,MATCH(A453,'08_PEDIDOS'!$A$2:$A$97,0))</f>
        <v>6</v>
      </c>
      <c r="G453" s="5" t="n">
        <f aca="false">INDEX('08_PEDIDOS'!$H$2:$H$97,MATCH(A453,'08_PEDIDOS'!$A$2:$A$97,0))</f>
        <v>10</v>
      </c>
      <c r="H453" s="17" t="n">
        <f aca="false">SUMIFS('05_RUTAS'!$F$2:$F$407,'05_RUTAS'!$A$2:$A$407,B453,'05_RUTAS'!$C$2:$C$407,C453)</f>
        <v>12</v>
      </c>
      <c r="I453" s="18" t="n">
        <f aca="false">SUMIFS('05_RUTAS'!$G$2:$G$407,'05_RUTAS'!$A$2:$A$407,B453,'05_RUTAS'!$C$2:$C$407,C453)</f>
        <v>6.83</v>
      </c>
      <c r="J453" s="18" t="n">
        <f aca="false">(ROUNDUP(F453/G453,0)*H453+F453*I453)/60</f>
        <v>0.883</v>
      </c>
      <c r="K453" s="5" t="n">
        <f aca="false">MONTH(INDEX('08_PEDIDOS'!$F$2:$F$97,MATCH(A453,'08_PEDIDOS'!$A$2:$A$97,0)))</f>
        <v>5</v>
      </c>
      <c r="L453" s="16" t="n">
        <f aca="false">J453*N(INDEX('04_MAQUINAS'!$F$2:$F$18,MATCH(E453,'04_MAQUINAS'!$A$2:$A$18,0)))</f>
        <v>28.256</v>
      </c>
      <c r="M453" s="17" t="n">
        <f aca="false">J453*INDEX('04_MAQUINAS'!$G$2:$G$18,MATCH(E453,'04_MAQUINAS'!$A$2:$A$18,0))*INDEX('04_MAQUINAS'!$H$2:$H$18,MATCH(E453,'04_MAQUINAS'!$A$2:$A$18,0))</f>
        <v>0.92715</v>
      </c>
      <c r="N453" s="2" t="s">
        <v>629</v>
      </c>
    </row>
    <row r="454" customFormat="false" ht="15" hidden="false" customHeight="false" outlineLevel="0" collapsed="false">
      <c r="A454" s="2" t="s">
        <v>562</v>
      </c>
      <c r="B454" s="2" t="s">
        <v>108</v>
      </c>
      <c r="C454" s="4" t="n">
        <v>7</v>
      </c>
      <c r="D454" s="2" t="s">
        <v>447</v>
      </c>
      <c r="E454" s="2" t="s">
        <v>421</v>
      </c>
      <c r="F454" s="5" t="n">
        <f aca="false">INDEX('08_PEDIDOS'!$D$2:$D$97,MATCH(A454,'08_PEDIDOS'!$A$2:$A$97,0))</f>
        <v>6</v>
      </c>
      <c r="G454" s="5" t="n">
        <f aca="false">INDEX('08_PEDIDOS'!$H$2:$H$97,MATCH(A454,'08_PEDIDOS'!$A$2:$A$97,0))</f>
        <v>10</v>
      </c>
      <c r="H454" s="17" t="n">
        <f aca="false">SUMIFS('05_RUTAS'!$F$2:$F$407,'05_RUTAS'!$A$2:$A$407,B454,'05_RUTAS'!$C$2:$C$407,C454)</f>
        <v>45</v>
      </c>
      <c r="I454" s="18" t="n">
        <f aca="false">SUMIFS('05_RUTAS'!$G$2:$G$407,'05_RUTAS'!$A$2:$A$407,B454,'05_RUTAS'!$C$2:$C$407,C454)</f>
        <v>0</v>
      </c>
      <c r="J454" s="18" t="n">
        <f aca="false">(ROUNDUP(F454/G454,0)*H454+F454*I454)/60</f>
        <v>0.75</v>
      </c>
      <c r="K454" s="5" t="n">
        <f aca="false">MONTH(INDEX('08_PEDIDOS'!$F$2:$F$97,MATCH(A454,'08_PEDIDOS'!$A$2:$A$97,0)))</f>
        <v>5</v>
      </c>
      <c r="L454" s="16" t="n">
        <f aca="false">J454*N(INDEX('04_MAQUINAS'!$F$2:$F$18,MATCH(E454,'04_MAQUINAS'!$A$2:$A$18,0)))</f>
        <v>19.5</v>
      </c>
      <c r="M454" s="17" t="n">
        <f aca="false">J454*INDEX('04_MAQUINAS'!$G$2:$G$18,MATCH(E454,'04_MAQUINAS'!$A$2:$A$18,0))*INDEX('04_MAQUINAS'!$H$2:$H$18,MATCH(E454,'04_MAQUINAS'!$A$2:$A$18,0))</f>
        <v>10.8</v>
      </c>
      <c r="N454" s="2" t="s">
        <v>629</v>
      </c>
    </row>
    <row r="455" customFormat="false" ht="15" hidden="false" customHeight="false" outlineLevel="0" collapsed="false">
      <c r="A455" s="2" t="s">
        <v>562</v>
      </c>
      <c r="B455" s="2" t="s">
        <v>108</v>
      </c>
      <c r="C455" s="4" t="n">
        <v>8</v>
      </c>
      <c r="D455" s="2" t="s">
        <v>449</v>
      </c>
      <c r="E455" s="2" t="s">
        <v>423</v>
      </c>
      <c r="F455" s="5" t="n">
        <f aca="false">INDEX('08_PEDIDOS'!$D$2:$D$97,MATCH(A455,'08_PEDIDOS'!$A$2:$A$97,0))</f>
        <v>6</v>
      </c>
      <c r="G455" s="5" t="n">
        <f aca="false">INDEX('08_PEDIDOS'!$H$2:$H$97,MATCH(A455,'08_PEDIDOS'!$A$2:$A$97,0))</f>
        <v>10</v>
      </c>
      <c r="H455" s="17" t="n">
        <f aca="false">SUMIFS('05_RUTAS'!$F$2:$F$407,'05_RUTAS'!$A$2:$A$407,B455,'05_RUTAS'!$C$2:$C$407,C455)</f>
        <v>8</v>
      </c>
      <c r="I455" s="18" t="n">
        <f aca="false">SUMIFS('05_RUTAS'!$G$2:$G$407,'05_RUTAS'!$A$2:$A$407,B455,'05_RUTAS'!$C$2:$C$407,C455)</f>
        <v>2.42</v>
      </c>
      <c r="J455" s="18" t="n">
        <f aca="false">(ROUNDUP(F455/G455,0)*H455+F455*I455)/60</f>
        <v>0.375333333333333</v>
      </c>
      <c r="K455" s="5" t="n">
        <f aca="false">MONTH(INDEX('08_PEDIDOS'!$F$2:$F$97,MATCH(A455,'08_PEDIDOS'!$A$2:$A$97,0)))</f>
        <v>5</v>
      </c>
      <c r="L455" s="16" t="n">
        <f aca="false">J455*N(INDEX('04_MAQUINAS'!$F$2:$F$18,MATCH(E455,'04_MAQUINAS'!$A$2:$A$18,0)))</f>
        <v>6.00533333333333</v>
      </c>
      <c r="M455" s="17" t="n">
        <f aca="false">J455*INDEX('04_MAQUINAS'!$G$2:$G$18,MATCH(E455,'04_MAQUINAS'!$A$2:$A$18,0))*INDEX('04_MAQUINAS'!$H$2:$H$18,MATCH(E455,'04_MAQUINAS'!$A$2:$A$18,0))</f>
        <v>0.0938333333333333</v>
      </c>
      <c r="N455" s="2" t="s">
        <v>629</v>
      </c>
    </row>
    <row r="456" customFormat="false" ht="15" hidden="false" customHeight="false" outlineLevel="0" collapsed="false">
      <c r="A456" s="2" t="s">
        <v>562</v>
      </c>
      <c r="B456" s="2" t="s">
        <v>108</v>
      </c>
      <c r="C456" s="4" t="n">
        <v>9</v>
      </c>
      <c r="D456" s="2" t="s">
        <v>450</v>
      </c>
      <c r="E456" s="2" t="s">
        <v>406</v>
      </c>
      <c r="F456" s="5" t="n">
        <f aca="false">INDEX('08_PEDIDOS'!$D$2:$D$97,MATCH(A456,'08_PEDIDOS'!$A$2:$A$97,0))</f>
        <v>6</v>
      </c>
      <c r="G456" s="5" t="n">
        <f aca="false">INDEX('08_PEDIDOS'!$H$2:$H$97,MATCH(A456,'08_PEDIDOS'!$A$2:$A$97,0))</f>
        <v>10</v>
      </c>
      <c r="H456" s="17" t="n">
        <f aca="false">SUMIFS('05_RUTAS'!$F$2:$F$407,'05_RUTAS'!$A$2:$A$407,B456,'05_RUTAS'!$C$2:$C$407,C456)</f>
        <v>6</v>
      </c>
      <c r="I456" s="18" t="n">
        <f aca="false">SUMIFS('05_RUTAS'!$G$2:$G$407,'05_RUTAS'!$A$2:$A$407,B456,'05_RUTAS'!$C$2:$C$407,C456)</f>
        <v>56.25</v>
      </c>
      <c r="J456" s="18" t="n">
        <f aca="false">(ROUNDUP(F456/G456,0)*H456+F456*I456)/60</f>
        <v>5.725</v>
      </c>
      <c r="K456" s="5" t="n">
        <f aca="false">MONTH(INDEX('08_PEDIDOS'!$F$2:$F$97,MATCH(A456,'08_PEDIDOS'!$A$2:$A$97,0)))</f>
        <v>5</v>
      </c>
      <c r="L456" s="16" t="n">
        <f aca="false">J456*N(INDEX('04_MAQUINAS'!$F$2:$F$18,MATCH(E456,'04_MAQUINAS'!$A$2:$A$18,0)))</f>
        <v>108.775</v>
      </c>
      <c r="M456" s="17" t="n">
        <f aca="false">J456*INDEX('04_MAQUINAS'!$G$2:$G$18,MATCH(E456,'04_MAQUINAS'!$A$2:$A$18,0))*INDEX('04_MAQUINAS'!$H$2:$H$18,MATCH(E456,'04_MAQUINAS'!$A$2:$A$18,0))</f>
        <v>1.7175</v>
      </c>
      <c r="N456" s="2" t="s">
        <v>629</v>
      </c>
    </row>
    <row r="457" customFormat="false" ht="15" hidden="false" customHeight="false" outlineLevel="0" collapsed="false">
      <c r="A457" s="2" t="s">
        <v>562</v>
      </c>
      <c r="B457" s="2" t="s">
        <v>108</v>
      </c>
      <c r="C457" s="4" t="n">
        <v>10</v>
      </c>
      <c r="D457" s="2" t="s">
        <v>451</v>
      </c>
      <c r="E457" s="2" t="s">
        <v>408</v>
      </c>
      <c r="F457" s="5" t="n">
        <f aca="false">INDEX('08_PEDIDOS'!$D$2:$D$97,MATCH(A457,'08_PEDIDOS'!$A$2:$A$97,0))</f>
        <v>6</v>
      </c>
      <c r="G457" s="5" t="n">
        <f aca="false">INDEX('08_PEDIDOS'!$H$2:$H$97,MATCH(A457,'08_PEDIDOS'!$A$2:$A$97,0))</f>
        <v>10</v>
      </c>
      <c r="H457" s="17" t="n">
        <f aca="false">SUMIFS('05_RUTAS'!$F$2:$F$407,'05_RUTAS'!$A$2:$A$407,B457,'05_RUTAS'!$C$2:$C$407,C457)</f>
        <v>2</v>
      </c>
      <c r="I457" s="18" t="n">
        <f aca="false">SUMIFS('05_RUTAS'!$G$2:$G$407,'05_RUTAS'!$A$2:$A$407,B457,'05_RUTAS'!$C$2:$C$407,C457)</f>
        <v>3.52</v>
      </c>
      <c r="J457" s="18" t="n">
        <f aca="false">(ROUNDUP(F457/G457,0)*H457+F457*I457)/60</f>
        <v>0.385333333333333</v>
      </c>
      <c r="K457" s="5" t="n">
        <f aca="false">MONTH(INDEX('08_PEDIDOS'!$F$2:$F$97,MATCH(A457,'08_PEDIDOS'!$A$2:$A$97,0)))</f>
        <v>5</v>
      </c>
      <c r="L457" s="16" t="n">
        <f aca="false">J457*N(INDEX('04_MAQUINAS'!$F$2:$F$18,MATCH(E457,'04_MAQUINAS'!$A$2:$A$18,0)))</f>
        <v>7.70666666666667</v>
      </c>
      <c r="M457" s="17" t="n">
        <f aca="false">J457*INDEX('04_MAQUINAS'!$G$2:$G$18,MATCH(E457,'04_MAQUINAS'!$A$2:$A$18,0))*INDEX('04_MAQUINAS'!$H$2:$H$18,MATCH(E457,'04_MAQUINAS'!$A$2:$A$18,0))</f>
        <v>0.0385333333333333</v>
      </c>
      <c r="N457" s="2" t="s">
        <v>629</v>
      </c>
    </row>
    <row r="458" customFormat="false" ht="15" hidden="false" customHeight="false" outlineLevel="0" collapsed="false">
      <c r="A458" s="2" t="s">
        <v>562</v>
      </c>
      <c r="B458" s="2" t="s">
        <v>108</v>
      </c>
      <c r="C458" s="4" t="n">
        <v>11</v>
      </c>
      <c r="D458" s="2" t="s">
        <v>452</v>
      </c>
      <c r="E458" s="2" t="s">
        <v>411</v>
      </c>
      <c r="F458" s="5" t="n">
        <f aca="false">INDEX('08_PEDIDOS'!$D$2:$D$97,MATCH(A458,'08_PEDIDOS'!$A$2:$A$97,0))</f>
        <v>6</v>
      </c>
      <c r="G458" s="5" t="n">
        <f aca="false">INDEX('08_PEDIDOS'!$H$2:$H$97,MATCH(A458,'08_PEDIDOS'!$A$2:$A$97,0))</f>
        <v>10</v>
      </c>
      <c r="H458" s="17" t="n">
        <f aca="false">SUMIFS('05_RUTAS'!$F$2:$F$407,'05_RUTAS'!$A$2:$A$407,B458,'05_RUTAS'!$C$2:$C$407,C458)</f>
        <v>2</v>
      </c>
      <c r="I458" s="18" t="n">
        <f aca="false">SUMIFS('05_RUTAS'!$G$2:$G$407,'05_RUTAS'!$A$2:$A$407,B458,'05_RUTAS'!$C$2:$C$407,C458)</f>
        <v>4.78</v>
      </c>
      <c r="J458" s="18" t="n">
        <f aca="false">(ROUNDUP(F458/G458,0)*H458+F458*I458)/60</f>
        <v>0.511333333333333</v>
      </c>
      <c r="K458" s="5" t="n">
        <f aca="false">MONTH(INDEX('08_PEDIDOS'!$F$2:$F$97,MATCH(A458,'08_PEDIDOS'!$A$2:$A$97,0)))</f>
        <v>5</v>
      </c>
      <c r="L458" s="16" t="n">
        <f aca="false">J458*N(INDEX('04_MAQUINAS'!$F$2:$F$18,MATCH(E458,'04_MAQUINAS'!$A$2:$A$18,0)))</f>
        <v>9.204</v>
      </c>
      <c r="M458" s="17" t="n">
        <f aca="false">J458*INDEX('04_MAQUINAS'!$G$2:$G$18,MATCH(E458,'04_MAQUINAS'!$A$2:$A$18,0))*INDEX('04_MAQUINAS'!$H$2:$H$18,MATCH(E458,'04_MAQUINAS'!$A$2:$A$18,0))</f>
        <v>0.04602</v>
      </c>
      <c r="N458" s="2" t="s">
        <v>629</v>
      </c>
    </row>
    <row r="459" customFormat="false" ht="15" hidden="false" customHeight="false" outlineLevel="0" collapsed="false">
      <c r="A459" s="2" t="s">
        <v>563</v>
      </c>
      <c r="B459" s="2" t="s">
        <v>119</v>
      </c>
      <c r="C459" s="4" t="n">
        <v>1</v>
      </c>
      <c r="D459" s="2" t="s">
        <v>437</v>
      </c>
      <c r="E459" s="2" t="s">
        <v>375</v>
      </c>
      <c r="F459" s="5" t="n">
        <f aca="false">INDEX('08_PEDIDOS'!$D$2:$D$97,MATCH(A459,'08_PEDIDOS'!$A$2:$A$97,0))</f>
        <v>10</v>
      </c>
      <c r="G459" s="5" t="n">
        <f aca="false">INDEX('08_PEDIDOS'!$H$2:$H$97,MATCH(A459,'08_PEDIDOS'!$A$2:$A$97,0))</f>
        <v>10</v>
      </c>
      <c r="H459" s="17" t="n">
        <f aca="false">SUMIFS('05_RUTAS'!$F$2:$F$407,'05_RUTAS'!$A$2:$A$407,B459,'05_RUTAS'!$C$2:$C$407,C459)</f>
        <v>8</v>
      </c>
      <c r="I459" s="18" t="n">
        <f aca="false">SUMIFS('05_RUTAS'!$G$2:$G$407,'05_RUTAS'!$A$2:$A$407,B459,'05_RUTAS'!$C$2:$C$407,C459)</f>
        <v>35.56</v>
      </c>
      <c r="J459" s="18" t="n">
        <f aca="false">(ROUNDUP(F459/G459,0)*H459+F459*I459)/60</f>
        <v>6.06</v>
      </c>
      <c r="K459" s="5" t="n">
        <f aca="false">MONTH(INDEX('08_PEDIDOS'!$F$2:$F$97,MATCH(A459,'08_PEDIDOS'!$A$2:$A$97,0)))</f>
        <v>5</v>
      </c>
      <c r="L459" s="16" t="n">
        <f aca="false">J459*N(INDEX('04_MAQUINAS'!$F$2:$F$18,MATCH(E459,'04_MAQUINAS'!$A$2:$A$18,0)))</f>
        <v>145.44</v>
      </c>
      <c r="M459" s="17" t="n">
        <f aca="false">J459*INDEX('04_MAQUINAS'!$G$2:$G$18,MATCH(E459,'04_MAQUINAS'!$A$2:$A$18,0))*INDEX('04_MAQUINAS'!$H$2:$H$18,MATCH(E459,'04_MAQUINAS'!$A$2:$A$18,0))</f>
        <v>16.665</v>
      </c>
      <c r="N459" s="2" t="s">
        <v>629</v>
      </c>
    </row>
    <row r="460" customFormat="false" ht="15" hidden="false" customHeight="false" outlineLevel="0" collapsed="false">
      <c r="A460" s="2" t="s">
        <v>563</v>
      </c>
      <c r="B460" s="2" t="s">
        <v>119</v>
      </c>
      <c r="C460" s="4" t="n">
        <v>2</v>
      </c>
      <c r="D460" s="2" t="s">
        <v>386</v>
      </c>
      <c r="E460" s="2" t="s">
        <v>383</v>
      </c>
      <c r="F460" s="5" t="n">
        <f aca="false">INDEX('08_PEDIDOS'!$D$2:$D$97,MATCH(A460,'08_PEDIDOS'!$A$2:$A$97,0))</f>
        <v>10</v>
      </c>
      <c r="G460" s="5" t="n">
        <f aca="false">INDEX('08_PEDIDOS'!$H$2:$H$97,MATCH(A460,'08_PEDIDOS'!$A$2:$A$97,0))</f>
        <v>10</v>
      </c>
      <c r="H460" s="17" t="n">
        <f aca="false">SUMIFS('05_RUTAS'!$F$2:$F$407,'05_RUTAS'!$A$2:$A$407,B460,'05_RUTAS'!$C$2:$C$407,C460)</f>
        <v>10</v>
      </c>
      <c r="I460" s="18" t="n">
        <f aca="false">SUMIFS('05_RUTAS'!$G$2:$G$407,'05_RUTAS'!$A$2:$A$407,B460,'05_RUTAS'!$C$2:$C$407,C460)</f>
        <v>5.8</v>
      </c>
      <c r="J460" s="18" t="n">
        <f aca="false">(ROUNDUP(F460/G460,0)*H460+F460*I460)/60</f>
        <v>1.13333333333333</v>
      </c>
      <c r="K460" s="5" t="n">
        <f aca="false">MONTH(INDEX('08_PEDIDOS'!$F$2:$F$97,MATCH(A460,'08_PEDIDOS'!$A$2:$A$97,0)))</f>
        <v>5</v>
      </c>
      <c r="L460" s="16" t="n">
        <f aca="false">J460*N(INDEX('04_MAQUINAS'!$F$2:$F$18,MATCH(E460,'04_MAQUINAS'!$A$2:$A$18,0)))</f>
        <v>24.9333333333333</v>
      </c>
      <c r="M460" s="17" t="n">
        <f aca="false">J460*INDEX('04_MAQUINAS'!$G$2:$G$18,MATCH(E460,'04_MAQUINAS'!$A$2:$A$18,0))*INDEX('04_MAQUINAS'!$H$2:$H$18,MATCH(E460,'04_MAQUINAS'!$A$2:$A$18,0))</f>
        <v>0.311666666666667</v>
      </c>
      <c r="N460" s="2" t="s">
        <v>629</v>
      </c>
    </row>
    <row r="461" customFormat="false" ht="15" hidden="false" customHeight="false" outlineLevel="0" collapsed="false">
      <c r="A461" s="2" t="s">
        <v>563</v>
      </c>
      <c r="B461" s="2" t="s">
        <v>119</v>
      </c>
      <c r="C461" s="4" t="n">
        <v>3</v>
      </c>
      <c r="D461" s="2" t="s">
        <v>390</v>
      </c>
      <c r="E461" s="2" t="s">
        <v>387</v>
      </c>
      <c r="F461" s="5" t="n">
        <f aca="false">INDEX('08_PEDIDOS'!$D$2:$D$97,MATCH(A461,'08_PEDIDOS'!$A$2:$A$97,0))</f>
        <v>10</v>
      </c>
      <c r="G461" s="5" t="n">
        <f aca="false">INDEX('08_PEDIDOS'!$H$2:$H$97,MATCH(A461,'08_PEDIDOS'!$A$2:$A$97,0))</f>
        <v>10</v>
      </c>
      <c r="H461" s="17" t="n">
        <f aca="false">SUMIFS('05_RUTAS'!$F$2:$F$407,'05_RUTAS'!$A$2:$A$407,B461,'05_RUTAS'!$C$2:$C$407,C461)</f>
        <v>12</v>
      </c>
      <c r="I461" s="18" t="n">
        <f aca="false">SUMIFS('05_RUTAS'!$G$2:$G$407,'05_RUTAS'!$A$2:$A$407,B461,'05_RUTAS'!$C$2:$C$407,C461)</f>
        <v>86</v>
      </c>
      <c r="J461" s="18" t="n">
        <f aca="false">(ROUNDUP(F461/G461,0)*H461+F461*I461)/60</f>
        <v>14.5333333333333</v>
      </c>
      <c r="K461" s="5" t="n">
        <f aca="false">MONTH(INDEX('08_PEDIDOS'!$F$2:$F$97,MATCH(A461,'08_PEDIDOS'!$A$2:$A$97,0)))</f>
        <v>5</v>
      </c>
      <c r="L461" s="16" t="n">
        <f aca="false">J461*N(INDEX('04_MAQUINAS'!$F$2:$F$18,MATCH(E461,'04_MAQUINAS'!$A$2:$A$18,0)))</f>
        <v>406.933333333333</v>
      </c>
      <c r="M461" s="17" t="n">
        <f aca="false">J461*INDEX('04_MAQUINAS'!$G$2:$G$18,MATCH(E461,'04_MAQUINAS'!$A$2:$A$18,0))*INDEX('04_MAQUINAS'!$H$2:$H$18,MATCH(E461,'04_MAQUINAS'!$A$2:$A$18,0))</f>
        <v>35.97</v>
      </c>
      <c r="N461" s="2" t="s">
        <v>629</v>
      </c>
    </row>
    <row r="462" customFormat="false" ht="15" hidden="false" customHeight="false" outlineLevel="0" collapsed="false">
      <c r="A462" s="2" t="s">
        <v>563</v>
      </c>
      <c r="B462" s="2" t="s">
        <v>119</v>
      </c>
      <c r="C462" s="4" t="n">
        <v>4</v>
      </c>
      <c r="D462" s="2" t="s">
        <v>443</v>
      </c>
      <c r="E462" s="2" t="s">
        <v>395</v>
      </c>
      <c r="F462" s="5" t="n">
        <f aca="false">INDEX('08_PEDIDOS'!$D$2:$D$97,MATCH(A462,'08_PEDIDOS'!$A$2:$A$97,0))</f>
        <v>10</v>
      </c>
      <c r="G462" s="5" t="n">
        <f aca="false">INDEX('08_PEDIDOS'!$H$2:$H$97,MATCH(A462,'08_PEDIDOS'!$A$2:$A$97,0))</f>
        <v>10</v>
      </c>
      <c r="H462" s="17" t="n">
        <f aca="false">SUMIFS('05_RUTAS'!$F$2:$F$407,'05_RUTAS'!$A$2:$A$407,B462,'05_RUTAS'!$C$2:$C$407,C462)</f>
        <v>3</v>
      </c>
      <c r="I462" s="18" t="n">
        <f aca="false">SUMIFS('05_RUTAS'!$G$2:$G$407,'05_RUTAS'!$A$2:$A$407,B462,'05_RUTAS'!$C$2:$C$407,C462)</f>
        <v>15</v>
      </c>
      <c r="J462" s="18" t="n">
        <f aca="false">(ROUNDUP(F462/G462,0)*H462+F462*I462)/60</f>
        <v>2.55</v>
      </c>
      <c r="K462" s="5" t="n">
        <f aca="false">MONTH(INDEX('08_PEDIDOS'!$F$2:$F$97,MATCH(A462,'08_PEDIDOS'!$A$2:$A$97,0)))</f>
        <v>5</v>
      </c>
      <c r="L462" s="16" t="n">
        <f aca="false">J462*N(INDEX('04_MAQUINAS'!$F$2:$F$18,MATCH(E462,'04_MAQUINAS'!$A$2:$A$18,0)))</f>
        <v>53.55</v>
      </c>
      <c r="M462" s="17" t="n">
        <f aca="false">J462*INDEX('04_MAQUINAS'!$G$2:$G$18,MATCH(E462,'04_MAQUINAS'!$A$2:$A$18,0))*INDEX('04_MAQUINAS'!$H$2:$H$18,MATCH(E462,'04_MAQUINAS'!$A$2:$A$18,0))</f>
        <v>1.9125</v>
      </c>
      <c r="N462" s="2" t="s">
        <v>629</v>
      </c>
    </row>
    <row r="463" customFormat="false" ht="15" hidden="false" customHeight="false" outlineLevel="0" collapsed="false">
      <c r="A463" s="2" t="s">
        <v>563</v>
      </c>
      <c r="B463" s="2" t="s">
        <v>119</v>
      </c>
      <c r="C463" s="4" t="n">
        <v>5</v>
      </c>
      <c r="D463" s="2" t="s">
        <v>444</v>
      </c>
      <c r="E463" s="2" t="s">
        <v>399</v>
      </c>
      <c r="F463" s="5" t="n">
        <f aca="false">INDEX('08_PEDIDOS'!$D$2:$D$97,MATCH(A463,'08_PEDIDOS'!$A$2:$A$97,0))</f>
        <v>10</v>
      </c>
      <c r="G463" s="5" t="n">
        <f aca="false">INDEX('08_PEDIDOS'!$H$2:$H$97,MATCH(A463,'08_PEDIDOS'!$A$2:$A$97,0))</f>
        <v>10</v>
      </c>
      <c r="H463" s="17" t="n">
        <f aca="false">SUMIFS('05_RUTAS'!$F$2:$F$407,'05_RUTAS'!$A$2:$A$407,B463,'05_RUTAS'!$C$2:$C$407,C463)</f>
        <v>6</v>
      </c>
      <c r="I463" s="18" t="n">
        <f aca="false">SUMIFS('05_RUTAS'!$G$2:$G$407,'05_RUTAS'!$A$2:$A$407,B463,'05_RUTAS'!$C$2:$C$407,C463)</f>
        <v>25.712</v>
      </c>
      <c r="J463" s="18" t="n">
        <f aca="false">(ROUNDUP(F463/G463,0)*H463+F463*I463)/60</f>
        <v>4.38533333333333</v>
      </c>
      <c r="K463" s="5" t="n">
        <f aca="false">MONTH(INDEX('08_PEDIDOS'!$F$2:$F$97,MATCH(A463,'08_PEDIDOS'!$A$2:$A$97,0)))</f>
        <v>5</v>
      </c>
      <c r="L463" s="16" t="n">
        <f aca="false">J463*N(INDEX('04_MAQUINAS'!$F$2:$F$18,MATCH(E463,'04_MAQUINAS'!$A$2:$A$18,0)))</f>
        <v>83.3213333333333</v>
      </c>
      <c r="M463" s="17" t="n">
        <f aca="false">J463*INDEX('04_MAQUINAS'!$G$2:$G$18,MATCH(E463,'04_MAQUINAS'!$A$2:$A$18,0))*INDEX('04_MAQUINAS'!$H$2:$H$18,MATCH(E463,'04_MAQUINAS'!$A$2:$A$18,0))</f>
        <v>3.85909333333333</v>
      </c>
      <c r="N463" s="2" t="s">
        <v>629</v>
      </c>
    </row>
    <row r="464" customFormat="false" ht="15" hidden="false" customHeight="false" outlineLevel="0" collapsed="false">
      <c r="A464" s="2" t="s">
        <v>563</v>
      </c>
      <c r="B464" s="2" t="s">
        <v>119</v>
      </c>
      <c r="C464" s="4" t="n">
        <v>6</v>
      </c>
      <c r="D464" s="2" t="s">
        <v>445</v>
      </c>
      <c r="E464" s="2" t="s">
        <v>402</v>
      </c>
      <c r="F464" s="5" t="n">
        <f aca="false">INDEX('08_PEDIDOS'!$D$2:$D$97,MATCH(A464,'08_PEDIDOS'!$A$2:$A$97,0))</f>
        <v>10</v>
      </c>
      <c r="G464" s="5" t="n">
        <f aca="false">INDEX('08_PEDIDOS'!$H$2:$H$97,MATCH(A464,'08_PEDIDOS'!$A$2:$A$97,0))</f>
        <v>10</v>
      </c>
      <c r="H464" s="17" t="n">
        <f aca="false">SUMIFS('05_RUTAS'!$F$2:$F$407,'05_RUTAS'!$A$2:$A$407,B464,'05_RUTAS'!$C$2:$C$407,C464)</f>
        <v>12</v>
      </c>
      <c r="I464" s="18" t="n">
        <f aca="false">SUMIFS('05_RUTAS'!$G$2:$G$407,'05_RUTAS'!$A$2:$A$407,B464,'05_RUTAS'!$C$2:$C$407,C464)</f>
        <v>6.58</v>
      </c>
      <c r="J464" s="18" t="n">
        <f aca="false">(ROUNDUP(F464/G464,0)*H464+F464*I464)/60</f>
        <v>1.29666666666667</v>
      </c>
      <c r="K464" s="5" t="n">
        <f aca="false">MONTH(INDEX('08_PEDIDOS'!$F$2:$F$97,MATCH(A464,'08_PEDIDOS'!$A$2:$A$97,0)))</f>
        <v>5</v>
      </c>
      <c r="L464" s="16" t="n">
        <f aca="false">J464*N(INDEX('04_MAQUINAS'!$F$2:$F$18,MATCH(E464,'04_MAQUINAS'!$A$2:$A$18,0)))</f>
        <v>41.4933333333333</v>
      </c>
      <c r="M464" s="17" t="n">
        <f aca="false">J464*INDEX('04_MAQUINAS'!$G$2:$G$18,MATCH(E464,'04_MAQUINAS'!$A$2:$A$18,0))*INDEX('04_MAQUINAS'!$H$2:$H$18,MATCH(E464,'04_MAQUINAS'!$A$2:$A$18,0))</f>
        <v>1.3615</v>
      </c>
      <c r="N464" s="2" t="s">
        <v>629</v>
      </c>
    </row>
    <row r="465" customFormat="false" ht="15" hidden="false" customHeight="false" outlineLevel="0" collapsed="false">
      <c r="A465" s="2" t="s">
        <v>563</v>
      </c>
      <c r="B465" s="2" t="s">
        <v>119</v>
      </c>
      <c r="C465" s="4" t="n">
        <v>7</v>
      </c>
      <c r="D465" s="2" t="s">
        <v>447</v>
      </c>
      <c r="E465" s="2" t="s">
        <v>421</v>
      </c>
      <c r="F465" s="5" t="n">
        <f aca="false">INDEX('08_PEDIDOS'!$D$2:$D$97,MATCH(A465,'08_PEDIDOS'!$A$2:$A$97,0))</f>
        <v>10</v>
      </c>
      <c r="G465" s="5" t="n">
        <f aca="false">INDEX('08_PEDIDOS'!$H$2:$H$97,MATCH(A465,'08_PEDIDOS'!$A$2:$A$97,0))</f>
        <v>10</v>
      </c>
      <c r="H465" s="17" t="n">
        <f aca="false">SUMIFS('05_RUTAS'!$F$2:$F$407,'05_RUTAS'!$A$2:$A$407,B465,'05_RUTAS'!$C$2:$C$407,C465)</f>
        <v>45</v>
      </c>
      <c r="I465" s="18" t="n">
        <f aca="false">SUMIFS('05_RUTAS'!$G$2:$G$407,'05_RUTAS'!$A$2:$A$407,B465,'05_RUTAS'!$C$2:$C$407,C465)</f>
        <v>0</v>
      </c>
      <c r="J465" s="18" t="n">
        <f aca="false">(ROUNDUP(F465/G465,0)*H465+F465*I465)/60</f>
        <v>0.75</v>
      </c>
      <c r="K465" s="5" t="n">
        <f aca="false">MONTH(INDEX('08_PEDIDOS'!$F$2:$F$97,MATCH(A465,'08_PEDIDOS'!$A$2:$A$97,0)))</f>
        <v>5</v>
      </c>
      <c r="L465" s="16" t="n">
        <f aca="false">J465*N(INDEX('04_MAQUINAS'!$F$2:$F$18,MATCH(E465,'04_MAQUINAS'!$A$2:$A$18,0)))</f>
        <v>19.5</v>
      </c>
      <c r="M465" s="17" t="n">
        <f aca="false">J465*INDEX('04_MAQUINAS'!$G$2:$G$18,MATCH(E465,'04_MAQUINAS'!$A$2:$A$18,0))*INDEX('04_MAQUINAS'!$H$2:$H$18,MATCH(E465,'04_MAQUINAS'!$A$2:$A$18,0))</f>
        <v>10.8</v>
      </c>
      <c r="N465" s="2" t="s">
        <v>629</v>
      </c>
    </row>
    <row r="466" customFormat="false" ht="15" hidden="false" customHeight="false" outlineLevel="0" collapsed="false">
      <c r="A466" s="2" t="s">
        <v>563</v>
      </c>
      <c r="B466" s="2" t="s">
        <v>119</v>
      </c>
      <c r="C466" s="4" t="n">
        <v>8</v>
      </c>
      <c r="D466" s="2" t="s">
        <v>449</v>
      </c>
      <c r="E466" s="2" t="s">
        <v>423</v>
      </c>
      <c r="F466" s="5" t="n">
        <f aca="false">INDEX('08_PEDIDOS'!$D$2:$D$97,MATCH(A466,'08_PEDIDOS'!$A$2:$A$97,0))</f>
        <v>10</v>
      </c>
      <c r="G466" s="5" t="n">
        <f aca="false">INDEX('08_PEDIDOS'!$H$2:$H$97,MATCH(A466,'08_PEDIDOS'!$A$2:$A$97,0))</f>
        <v>10</v>
      </c>
      <c r="H466" s="17" t="n">
        <f aca="false">SUMIFS('05_RUTAS'!$F$2:$F$407,'05_RUTAS'!$A$2:$A$407,B466,'05_RUTAS'!$C$2:$C$407,C466)</f>
        <v>8</v>
      </c>
      <c r="I466" s="18" t="n">
        <f aca="false">SUMIFS('05_RUTAS'!$G$2:$G$407,'05_RUTAS'!$A$2:$A$407,B466,'05_RUTAS'!$C$2:$C$407,C466)</f>
        <v>2.36</v>
      </c>
      <c r="J466" s="18" t="n">
        <f aca="false">(ROUNDUP(F466/G466,0)*H466+F466*I466)/60</f>
        <v>0.526666666666667</v>
      </c>
      <c r="K466" s="5" t="n">
        <f aca="false">MONTH(INDEX('08_PEDIDOS'!$F$2:$F$97,MATCH(A466,'08_PEDIDOS'!$A$2:$A$97,0)))</f>
        <v>5</v>
      </c>
      <c r="L466" s="16" t="n">
        <f aca="false">J466*N(INDEX('04_MAQUINAS'!$F$2:$F$18,MATCH(E466,'04_MAQUINAS'!$A$2:$A$18,0)))</f>
        <v>8.42666666666667</v>
      </c>
      <c r="M466" s="17" t="n">
        <f aca="false">J466*INDEX('04_MAQUINAS'!$G$2:$G$18,MATCH(E466,'04_MAQUINAS'!$A$2:$A$18,0))*INDEX('04_MAQUINAS'!$H$2:$H$18,MATCH(E466,'04_MAQUINAS'!$A$2:$A$18,0))</f>
        <v>0.131666666666667</v>
      </c>
      <c r="N466" s="2" t="s">
        <v>629</v>
      </c>
    </row>
    <row r="467" customFormat="false" ht="15" hidden="false" customHeight="false" outlineLevel="0" collapsed="false">
      <c r="A467" s="2" t="s">
        <v>563</v>
      </c>
      <c r="B467" s="2" t="s">
        <v>119</v>
      </c>
      <c r="C467" s="4" t="n">
        <v>9</v>
      </c>
      <c r="D467" s="2" t="s">
        <v>450</v>
      </c>
      <c r="E467" s="2" t="s">
        <v>406</v>
      </c>
      <c r="F467" s="5" t="n">
        <f aca="false">INDEX('08_PEDIDOS'!$D$2:$D$97,MATCH(A467,'08_PEDIDOS'!$A$2:$A$97,0))</f>
        <v>10</v>
      </c>
      <c r="G467" s="5" t="n">
        <f aca="false">INDEX('08_PEDIDOS'!$H$2:$H$97,MATCH(A467,'08_PEDIDOS'!$A$2:$A$97,0))</f>
        <v>10</v>
      </c>
      <c r="H467" s="17" t="n">
        <f aca="false">SUMIFS('05_RUTAS'!$F$2:$F$407,'05_RUTAS'!$A$2:$A$407,B467,'05_RUTAS'!$C$2:$C$407,C467)</f>
        <v>6</v>
      </c>
      <c r="I467" s="18" t="n">
        <f aca="false">SUMIFS('05_RUTAS'!$G$2:$G$407,'05_RUTAS'!$A$2:$A$407,B467,'05_RUTAS'!$C$2:$C$407,C467)</f>
        <v>27</v>
      </c>
      <c r="J467" s="18" t="n">
        <f aca="false">(ROUNDUP(F467/G467,0)*H467+F467*I467)/60</f>
        <v>4.6</v>
      </c>
      <c r="K467" s="5" t="n">
        <f aca="false">MONTH(INDEX('08_PEDIDOS'!$F$2:$F$97,MATCH(A467,'08_PEDIDOS'!$A$2:$A$97,0)))</f>
        <v>5</v>
      </c>
      <c r="L467" s="16" t="n">
        <f aca="false">J467*N(INDEX('04_MAQUINAS'!$F$2:$F$18,MATCH(E467,'04_MAQUINAS'!$A$2:$A$18,0)))</f>
        <v>87.4</v>
      </c>
      <c r="M467" s="17" t="n">
        <f aca="false">J467*INDEX('04_MAQUINAS'!$G$2:$G$18,MATCH(E467,'04_MAQUINAS'!$A$2:$A$18,0))*INDEX('04_MAQUINAS'!$H$2:$H$18,MATCH(E467,'04_MAQUINAS'!$A$2:$A$18,0))</f>
        <v>1.38</v>
      </c>
      <c r="N467" s="2" t="s">
        <v>629</v>
      </c>
    </row>
    <row r="468" customFormat="false" ht="15" hidden="false" customHeight="false" outlineLevel="0" collapsed="false">
      <c r="A468" s="2" t="s">
        <v>563</v>
      </c>
      <c r="B468" s="2" t="s">
        <v>119</v>
      </c>
      <c r="C468" s="4" t="n">
        <v>10</v>
      </c>
      <c r="D468" s="2" t="s">
        <v>451</v>
      </c>
      <c r="E468" s="2" t="s">
        <v>408</v>
      </c>
      <c r="F468" s="5" t="n">
        <f aca="false">INDEX('08_PEDIDOS'!$D$2:$D$97,MATCH(A468,'08_PEDIDOS'!$A$2:$A$97,0))</f>
        <v>10</v>
      </c>
      <c r="G468" s="5" t="n">
        <f aca="false">INDEX('08_PEDIDOS'!$H$2:$H$97,MATCH(A468,'08_PEDIDOS'!$A$2:$A$97,0))</f>
        <v>10</v>
      </c>
      <c r="H468" s="17" t="n">
        <f aca="false">SUMIFS('05_RUTAS'!$F$2:$F$407,'05_RUTAS'!$A$2:$A$407,B468,'05_RUTAS'!$C$2:$C$407,C468)</f>
        <v>2</v>
      </c>
      <c r="I468" s="18" t="n">
        <f aca="false">SUMIFS('05_RUTAS'!$G$2:$G$407,'05_RUTAS'!$A$2:$A$407,B468,'05_RUTAS'!$C$2:$C$407,C468)</f>
        <v>3.45</v>
      </c>
      <c r="J468" s="18" t="n">
        <f aca="false">(ROUNDUP(F468/G468,0)*H468+F468*I468)/60</f>
        <v>0.608333333333333</v>
      </c>
      <c r="K468" s="5" t="n">
        <f aca="false">MONTH(INDEX('08_PEDIDOS'!$F$2:$F$97,MATCH(A468,'08_PEDIDOS'!$A$2:$A$97,0)))</f>
        <v>5</v>
      </c>
      <c r="L468" s="16" t="n">
        <f aca="false">J468*N(INDEX('04_MAQUINAS'!$F$2:$F$18,MATCH(E468,'04_MAQUINAS'!$A$2:$A$18,0)))</f>
        <v>12.1666666666667</v>
      </c>
      <c r="M468" s="17" t="n">
        <f aca="false">J468*INDEX('04_MAQUINAS'!$G$2:$G$18,MATCH(E468,'04_MAQUINAS'!$A$2:$A$18,0))*INDEX('04_MAQUINAS'!$H$2:$H$18,MATCH(E468,'04_MAQUINAS'!$A$2:$A$18,0))</f>
        <v>0.0608333333333333</v>
      </c>
      <c r="N468" s="2" t="s">
        <v>629</v>
      </c>
    </row>
    <row r="469" customFormat="false" ht="15" hidden="false" customHeight="false" outlineLevel="0" collapsed="false">
      <c r="A469" s="2" t="s">
        <v>563</v>
      </c>
      <c r="B469" s="2" t="s">
        <v>119</v>
      </c>
      <c r="C469" s="4" t="n">
        <v>11</v>
      </c>
      <c r="D469" s="2" t="s">
        <v>452</v>
      </c>
      <c r="E469" s="2" t="s">
        <v>411</v>
      </c>
      <c r="F469" s="5" t="n">
        <f aca="false">INDEX('08_PEDIDOS'!$D$2:$D$97,MATCH(A469,'08_PEDIDOS'!$A$2:$A$97,0))</f>
        <v>10</v>
      </c>
      <c r="G469" s="5" t="n">
        <f aca="false">INDEX('08_PEDIDOS'!$H$2:$H$97,MATCH(A469,'08_PEDIDOS'!$A$2:$A$97,0))</f>
        <v>10</v>
      </c>
      <c r="H469" s="17" t="n">
        <f aca="false">SUMIFS('05_RUTAS'!$F$2:$F$407,'05_RUTAS'!$A$2:$A$407,B469,'05_RUTAS'!$C$2:$C$407,C469)</f>
        <v>2</v>
      </c>
      <c r="I469" s="18" t="n">
        <f aca="false">SUMIFS('05_RUTAS'!$G$2:$G$407,'05_RUTAS'!$A$2:$A$407,B469,'05_RUTAS'!$C$2:$C$407,C469)</f>
        <v>4.67</v>
      </c>
      <c r="J469" s="18" t="n">
        <f aca="false">(ROUNDUP(F469/G469,0)*H469+F469*I469)/60</f>
        <v>0.811666666666667</v>
      </c>
      <c r="K469" s="5" t="n">
        <f aca="false">MONTH(INDEX('08_PEDIDOS'!$F$2:$F$97,MATCH(A469,'08_PEDIDOS'!$A$2:$A$97,0)))</f>
        <v>5</v>
      </c>
      <c r="L469" s="16" t="n">
        <f aca="false">J469*N(INDEX('04_MAQUINAS'!$F$2:$F$18,MATCH(E469,'04_MAQUINAS'!$A$2:$A$18,0)))</f>
        <v>14.61</v>
      </c>
      <c r="M469" s="17" t="n">
        <f aca="false">J469*INDEX('04_MAQUINAS'!$G$2:$G$18,MATCH(E469,'04_MAQUINAS'!$A$2:$A$18,0))*INDEX('04_MAQUINAS'!$H$2:$H$18,MATCH(E469,'04_MAQUINAS'!$A$2:$A$18,0))</f>
        <v>0.07305</v>
      </c>
      <c r="N469" s="2" t="s">
        <v>629</v>
      </c>
    </row>
    <row r="470" customFormat="false" ht="15" hidden="false" customHeight="false" outlineLevel="0" collapsed="false">
      <c r="A470" s="2" t="s">
        <v>564</v>
      </c>
      <c r="B470" s="2" t="s">
        <v>121</v>
      </c>
      <c r="C470" s="4" t="n">
        <v>1</v>
      </c>
      <c r="D470" s="2" t="s">
        <v>437</v>
      </c>
      <c r="E470" s="2" t="s">
        <v>375</v>
      </c>
      <c r="F470" s="5" t="n">
        <f aca="false">INDEX('08_PEDIDOS'!$D$2:$D$97,MATCH(A470,'08_PEDIDOS'!$A$2:$A$97,0))</f>
        <v>10</v>
      </c>
      <c r="G470" s="5" t="n">
        <f aca="false">INDEX('08_PEDIDOS'!$H$2:$H$97,MATCH(A470,'08_PEDIDOS'!$A$2:$A$97,0))</f>
        <v>10</v>
      </c>
      <c r="H470" s="17" t="n">
        <f aca="false">SUMIFS('05_RUTAS'!$F$2:$F$407,'05_RUTAS'!$A$2:$A$407,B470,'05_RUTAS'!$C$2:$C$407,C470)</f>
        <v>8</v>
      </c>
      <c r="I470" s="18" t="n">
        <f aca="false">SUMIFS('05_RUTAS'!$G$2:$G$407,'05_RUTAS'!$A$2:$A$407,B470,'05_RUTAS'!$C$2:$C$407,C470)</f>
        <v>35.92</v>
      </c>
      <c r="J470" s="18" t="n">
        <f aca="false">(ROUNDUP(F470/G470,0)*H470+F470*I470)/60</f>
        <v>6.12</v>
      </c>
      <c r="K470" s="5" t="n">
        <f aca="false">MONTH(INDEX('08_PEDIDOS'!$F$2:$F$97,MATCH(A470,'08_PEDIDOS'!$A$2:$A$97,0)))</f>
        <v>5</v>
      </c>
      <c r="L470" s="16" t="n">
        <f aca="false">J470*N(INDEX('04_MAQUINAS'!$F$2:$F$18,MATCH(E470,'04_MAQUINAS'!$A$2:$A$18,0)))</f>
        <v>146.88</v>
      </c>
      <c r="M470" s="17" t="n">
        <f aca="false">J470*INDEX('04_MAQUINAS'!$G$2:$G$18,MATCH(E470,'04_MAQUINAS'!$A$2:$A$18,0))*INDEX('04_MAQUINAS'!$H$2:$H$18,MATCH(E470,'04_MAQUINAS'!$A$2:$A$18,0))</f>
        <v>16.83</v>
      </c>
      <c r="N470" s="2" t="s">
        <v>629</v>
      </c>
    </row>
    <row r="471" customFormat="false" ht="15" hidden="false" customHeight="false" outlineLevel="0" collapsed="false">
      <c r="A471" s="2" t="s">
        <v>564</v>
      </c>
      <c r="B471" s="2" t="s">
        <v>121</v>
      </c>
      <c r="C471" s="4" t="n">
        <v>2</v>
      </c>
      <c r="D471" s="2" t="s">
        <v>441</v>
      </c>
      <c r="E471" s="2" t="s">
        <v>380</v>
      </c>
      <c r="F471" s="5" t="n">
        <f aca="false">INDEX('08_PEDIDOS'!$D$2:$D$97,MATCH(A471,'08_PEDIDOS'!$A$2:$A$97,0))</f>
        <v>10</v>
      </c>
      <c r="G471" s="5" t="n">
        <f aca="false">INDEX('08_PEDIDOS'!$H$2:$H$97,MATCH(A471,'08_PEDIDOS'!$A$2:$A$97,0))</f>
        <v>10</v>
      </c>
      <c r="H471" s="17" t="n">
        <f aca="false">SUMIFS('05_RUTAS'!$F$2:$F$407,'05_RUTAS'!$A$2:$A$407,B471,'05_RUTAS'!$C$2:$C$407,C471)</f>
        <v>8</v>
      </c>
      <c r="I471" s="18" t="n">
        <f aca="false">SUMIFS('05_RUTAS'!$G$2:$G$407,'05_RUTAS'!$A$2:$A$407,B471,'05_RUTAS'!$C$2:$C$407,C471)</f>
        <v>32.28</v>
      </c>
      <c r="J471" s="18" t="n">
        <f aca="false">(ROUNDUP(F471/G471,0)*H471+F471*I471)/60</f>
        <v>5.51333333333333</v>
      </c>
      <c r="K471" s="5" t="n">
        <f aca="false">MONTH(INDEX('08_PEDIDOS'!$F$2:$F$97,MATCH(A471,'08_PEDIDOS'!$A$2:$A$97,0)))</f>
        <v>5</v>
      </c>
      <c r="L471" s="16" t="n">
        <f aca="false">J471*N(INDEX('04_MAQUINAS'!$F$2:$F$18,MATCH(E471,'04_MAQUINAS'!$A$2:$A$18,0)))</f>
        <v>121.293333333333</v>
      </c>
      <c r="M471" s="17" t="n">
        <f aca="false">J471*INDEX('04_MAQUINAS'!$G$2:$G$18,MATCH(E471,'04_MAQUINAS'!$A$2:$A$18,0))*INDEX('04_MAQUINAS'!$H$2:$H$18,MATCH(E471,'04_MAQUINAS'!$A$2:$A$18,0))</f>
        <v>2.481</v>
      </c>
      <c r="N471" s="2" t="s">
        <v>629</v>
      </c>
    </row>
    <row r="472" customFormat="false" ht="15" hidden="false" customHeight="false" outlineLevel="0" collapsed="false">
      <c r="A472" s="2" t="s">
        <v>564</v>
      </c>
      <c r="B472" s="2" t="s">
        <v>121</v>
      </c>
      <c r="C472" s="4" t="n">
        <v>3</v>
      </c>
      <c r="D472" s="2" t="s">
        <v>386</v>
      </c>
      <c r="E472" s="2" t="s">
        <v>383</v>
      </c>
      <c r="F472" s="5" t="n">
        <f aca="false">INDEX('08_PEDIDOS'!$D$2:$D$97,MATCH(A472,'08_PEDIDOS'!$A$2:$A$97,0))</f>
        <v>10</v>
      </c>
      <c r="G472" s="5" t="n">
        <f aca="false">INDEX('08_PEDIDOS'!$H$2:$H$97,MATCH(A472,'08_PEDIDOS'!$A$2:$A$97,0))</f>
        <v>10</v>
      </c>
      <c r="H472" s="17" t="n">
        <f aca="false">SUMIFS('05_RUTAS'!$F$2:$F$407,'05_RUTAS'!$A$2:$A$407,B472,'05_RUTAS'!$C$2:$C$407,C472)</f>
        <v>10</v>
      </c>
      <c r="I472" s="18" t="n">
        <f aca="false">SUMIFS('05_RUTAS'!$G$2:$G$407,'05_RUTAS'!$A$2:$A$407,B472,'05_RUTAS'!$C$2:$C$407,C472)</f>
        <v>54.8</v>
      </c>
      <c r="J472" s="18" t="n">
        <f aca="false">(ROUNDUP(F472/G472,0)*H472+F472*I472)/60</f>
        <v>9.3</v>
      </c>
      <c r="K472" s="5" t="n">
        <f aca="false">MONTH(INDEX('08_PEDIDOS'!$F$2:$F$97,MATCH(A472,'08_PEDIDOS'!$A$2:$A$97,0)))</f>
        <v>5</v>
      </c>
      <c r="L472" s="16" t="n">
        <f aca="false">J472*N(INDEX('04_MAQUINAS'!$F$2:$F$18,MATCH(E472,'04_MAQUINAS'!$A$2:$A$18,0)))</f>
        <v>204.6</v>
      </c>
      <c r="M472" s="17" t="n">
        <f aca="false">J472*INDEX('04_MAQUINAS'!$G$2:$G$18,MATCH(E472,'04_MAQUINAS'!$A$2:$A$18,0))*INDEX('04_MAQUINAS'!$H$2:$H$18,MATCH(E472,'04_MAQUINAS'!$A$2:$A$18,0))</f>
        <v>2.5575</v>
      </c>
      <c r="N472" s="2" t="s">
        <v>629</v>
      </c>
    </row>
    <row r="473" customFormat="false" ht="15" hidden="false" customHeight="false" outlineLevel="0" collapsed="false">
      <c r="A473" s="2" t="s">
        <v>564</v>
      </c>
      <c r="B473" s="2" t="s">
        <v>121</v>
      </c>
      <c r="C473" s="4" t="n">
        <v>4</v>
      </c>
      <c r="D473" s="2" t="s">
        <v>390</v>
      </c>
      <c r="E473" s="2" t="s">
        <v>387</v>
      </c>
      <c r="F473" s="5" t="n">
        <f aca="false">INDEX('08_PEDIDOS'!$D$2:$D$97,MATCH(A473,'08_PEDIDOS'!$A$2:$A$97,0))</f>
        <v>10</v>
      </c>
      <c r="G473" s="5" t="n">
        <f aca="false">INDEX('08_PEDIDOS'!$H$2:$H$97,MATCH(A473,'08_PEDIDOS'!$A$2:$A$97,0))</f>
        <v>10</v>
      </c>
      <c r="H473" s="17" t="n">
        <f aca="false">SUMIFS('05_RUTAS'!$F$2:$F$407,'05_RUTAS'!$A$2:$A$407,B473,'05_RUTAS'!$C$2:$C$407,C473)</f>
        <v>12</v>
      </c>
      <c r="I473" s="18" t="n">
        <f aca="false">SUMIFS('05_RUTAS'!$G$2:$G$407,'05_RUTAS'!$A$2:$A$407,B473,'05_RUTAS'!$C$2:$C$407,C473)</f>
        <v>85</v>
      </c>
      <c r="J473" s="18" t="n">
        <f aca="false">(ROUNDUP(F473/G473,0)*H473+F473*I473)/60</f>
        <v>14.3666666666667</v>
      </c>
      <c r="K473" s="5" t="n">
        <f aca="false">MONTH(INDEX('08_PEDIDOS'!$F$2:$F$97,MATCH(A473,'08_PEDIDOS'!$A$2:$A$97,0)))</f>
        <v>5</v>
      </c>
      <c r="L473" s="16" t="n">
        <f aca="false">J473*N(INDEX('04_MAQUINAS'!$F$2:$F$18,MATCH(E473,'04_MAQUINAS'!$A$2:$A$18,0)))</f>
        <v>402.266666666667</v>
      </c>
      <c r="M473" s="17" t="n">
        <f aca="false">J473*INDEX('04_MAQUINAS'!$G$2:$G$18,MATCH(E473,'04_MAQUINAS'!$A$2:$A$18,0))*INDEX('04_MAQUINAS'!$H$2:$H$18,MATCH(E473,'04_MAQUINAS'!$A$2:$A$18,0))</f>
        <v>35.5575</v>
      </c>
      <c r="N473" s="2" t="s">
        <v>629</v>
      </c>
    </row>
    <row r="474" customFormat="false" ht="15" hidden="false" customHeight="false" outlineLevel="0" collapsed="false">
      <c r="A474" s="2" t="s">
        <v>564</v>
      </c>
      <c r="B474" s="2" t="s">
        <v>121</v>
      </c>
      <c r="C474" s="4" t="n">
        <v>5</v>
      </c>
      <c r="D474" s="2" t="s">
        <v>443</v>
      </c>
      <c r="E474" s="2" t="s">
        <v>395</v>
      </c>
      <c r="F474" s="5" t="n">
        <f aca="false">INDEX('08_PEDIDOS'!$D$2:$D$97,MATCH(A474,'08_PEDIDOS'!$A$2:$A$97,0))</f>
        <v>10</v>
      </c>
      <c r="G474" s="5" t="n">
        <f aca="false">INDEX('08_PEDIDOS'!$H$2:$H$97,MATCH(A474,'08_PEDIDOS'!$A$2:$A$97,0))</f>
        <v>10</v>
      </c>
      <c r="H474" s="17" t="n">
        <f aca="false">SUMIFS('05_RUTAS'!$F$2:$F$407,'05_RUTAS'!$A$2:$A$407,B474,'05_RUTAS'!$C$2:$C$407,C474)</f>
        <v>3</v>
      </c>
      <c r="I474" s="18" t="n">
        <f aca="false">SUMIFS('05_RUTAS'!$G$2:$G$407,'05_RUTAS'!$A$2:$A$407,B474,'05_RUTAS'!$C$2:$C$407,C474)</f>
        <v>37.5</v>
      </c>
      <c r="J474" s="18" t="n">
        <f aca="false">(ROUNDUP(F474/G474,0)*H474+F474*I474)/60</f>
        <v>6.3</v>
      </c>
      <c r="K474" s="5" t="n">
        <f aca="false">MONTH(INDEX('08_PEDIDOS'!$F$2:$F$97,MATCH(A474,'08_PEDIDOS'!$A$2:$A$97,0)))</f>
        <v>5</v>
      </c>
      <c r="L474" s="16" t="n">
        <f aca="false">J474*N(INDEX('04_MAQUINAS'!$F$2:$F$18,MATCH(E474,'04_MAQUINAS'!$A$2:$A$18,0)))</f>
        <v>132.3</v>
      </c>
      <c r="M474" s="17" t="n">
        <f aca="false">J474*INDEX('04_MAQUINAS'!$G$2:$G$18,MATCH(E474,'04_MAQUINAS'!$A$2:$A$18,0))*INDEX('04_MAQUINAS'!$H$2:$H$18,MATCH(E474,'04_MAQUINAS'!$A$2:$A$18,0))</f>
        <v>4.725</v>
      </c>
      <c r="N474" s="2" t="s">
        <v>629</v>
      </c>
    </row>
    <row r="475" customFormat="false" ht="15" hidden="false" customHeight="false" outlineLevel="0" collapsed="false">
      <c r="A475" s="2" t="s">
        <v>564</v>
      </c>
      <c r="B475" s="2" t="s">
        <v>121</v>
      </c>
      <c r="C475" s="4" t="n">
        <v>6</v>
      </c>
      <c r="D475" s="2" t="s">
        <v>444</v>
      </c>
      <c r="E475" s="2" t="s">
        <v>399</v>
      </c>
      <c r="F475" s="5" t="n">
        <f aca="false">INDEX('08_PEDIDOS'!$D$2:$D$97,MATCH(A475,'08_PEDIDOS'!$A$2:$A$97,0))</f>
        <v>10</v>
      </c>
      <c r="G475" s="5" t="n">
        <f aca="false">INDEX('08_PEDIDOS'!$H$2:$H$97,MATCH(A475,'08_PEDIDOS'!$A$2:$A$97,0))</f>
        <v>10</v>
      </c>
      <c r="H475" s="17" t="n">
        <f aca="false">SUMIFS('05_RUTAS'!$F$2:$F$407,'05_RUTAS'!$A$2:$A$407,B475,'05_RUTAS'!$C$2:$C$407,C475)</f>
        <v>6</v>
      </c>
      <c r="I475" s="18" t="n">
        <f aca="false">SUMIFS('05_RUTAS'!$G$2:$G$407,'05_RUTAS'!$A$2:$A$407,B475,'05_RUTAS'!$C$2:$C$407,C475)</f>
        <v>24.4752</v>
      </c>
      <c r="J475" s="18" t="n">
        <f aca="false">(ROUNDUP(F475/G475,0)*H475+F475*I475)/60</f>
        <v>4.1792</v>
      </c>
      <c r="K475" s="5" t="n">
        <f aca="false">MONTH(INDEX('08_PEDIDOS'!$F$2:$F$97,MATCH(A475,'08_PEDIDOS'!$A$2:$A$97,0)))</f>
        <v>5</v>
      </c>
      <c r="L475" s="16" t="n">
        <f aca="false">J475*N(INDEX('04_MAQUINAS'!$F$2:$F$18,MATCH(E475,'04_MAQUINAS'!$A$2:$A$18,0)))</f>
        <v>79.4048</v>
      </c>
      <c r="M475" s="17" t="n">
        <f aca="false">J475*INDEX('04_MAQUINAS'!$G$2:$G$18,MATCH(E475,'04_MAQUINAS'!$A$2:$A$18,0))*INDEX('04_MAQUINAS'!$H$2:$H$18,MATCH(E475,'04_MAQUINAS'!$A$2:$A$18,0))</f>
        <v>3.677696</v>
      </c>
      <c r="N475" s="2" t="s">
        <v>629</v>
      </c>
    </row>
    <row r="476" customFormat="false" ht="15" hidden="false" customHeight="false" outlineLevel="0" collapsed="false">
      <c r="A476" s="2" t="s">
        <v>564</v>
      </c>
      <c r="B476" s="2" t="s">
        <v>121</v>
      </c>
      <c r="C476" s="4" t="n">
        <v>7</v>
      </c>
      <c r="D476" s="2" t="s">
        <v>445</v>
      </c>
      <c r="E476" s="2" t="s">
        <v>402</v>
      </c>
      <c r="F476" s="5" t="n">
        <f aca="false">INDEX('08_PEDIDOS'!$D$2:$D$97,MATCH(A476,'08_PEDIDOS'!$A$2:$A$97,0))</f>
        <v>10</v>
      </c>
      <c r="G476" s="5" t="n">
        <f aca="false">INDEX('08_PEDIDOS'!$H$2:$H$97,MATCH(A476,'08_PEDIDOS'!$A$2:$A$97,0))</f>
        <v>10</v>
      </c>
      <c r="H476" s="17" t="n">
        <f aca="false">SUMIFS('05_RUTAS'!$F$2:$F$407,'05_RUTAS'!$A$2:$A$407,B476,'05_RUTAS'!$C$2:$C$407,C476)</f>
        <v>12</v>
      </c>
      <c r="I476" s="18" t="n">
        <f aca="false">SUMIFS('05_RUTAS'!$G$2:$G$407,'05_RUTAS'!$A$2:$A$407,B476,'05_RUTAS'!$C$2:$C$407,C476)</f>
        <v>6.58</v>
      </c>
      <c r="J476" s="18" t="n">
        <f aca="false">(ROUNDUP(F476/G476,0)*H476+F476*I476)/60</f>
        <v>1.29666666666667</v>
      </c>
      <c r="K476" s="5" t="n">
        <f aca="false">MONTH(INDEX('08_PEDIDOS'!$F$2:$F$97,MATCH(A476,'08_PEDIDOS'!$A$2:$A$97,0)))</f>
        <v>5</v>
      </c>
      <c r="L476" s="16" t="n">
        <f aca="false">J476*N(INDEX('04_MAQUINAS'!$F$2:$F$18,MATCH(E476,'04_MAQUINAS'!$A$2:$A$18,0)))</f>
        <v>41.4933333333333</v>
      </c>
      <c r="M476" s="17" t="n">
        <f aca="false">J476*INDEX('04_MAQUINAS'!$G$2:$G$18,MATCH(E476,'04_MAQUINAS'!$A$2:$A$18,0))*INDEX('04_MAQUINAS'!$H$2:$H$18,MATCH(E476,'04_MAQUINAS'!$A$2:$A$18,0))</f>
        <v>1.3615</v>
      </c>
      <c r="N476" s="2" t="s">
        <v>629</v>
      </c>
    </row>
    <row r="477" customFormat="false" ht="15" hidden="false" customHeight="false" outlineLevel="0" collapsed="false">
      <c r="A477" s="2" t="s">
        <v>564</v>
      </c>
      <c r="B477" s="2" t="s">
        <v>121</v>
      </c>
      <c r="C477" s="4" t="n">
        <v>8</v>
      </c>
      <c r="D477" s="2" t="s">
        <v>447</v>
      </c>
      <c r="E477" s="2" t="s">
        <v>421</v>
      </c>
      <c r="F477" s="5" t="n">
        <f aca="false">INDEX('08_PEDIDOS'!$D$2:$D$97,MATCH(A477,'08_PEDIDOS'!$A$2:$A$97,0))</f>
        <v>10</v>
      </c>
      <c r="G477" s="5" t="n">
        <f aca="false">INDEX('08_PEDIDOS'!$H$2:$H$97,MATCH(A477,'08_PEDIDOS'!$A$2:$A$97,0))</f>
        <v>10</v>
      </c>
      <c r="H477" s="17" t="n">
        <f aca="false">SUMIFS('05_RUTAS'!$F$2:$F$407,'05_RUTAS'!$A$2:$A$407,B477,'05_RUTAS'!$C$2:$C$407,C477)</f>
        <v>45</v>
      </c>
      <c r="I477" s="18" t="n">
        <f aca="false">SUMIFS('05_RUTAS'!$G$2:$G$407,'05_RUTAS'!$A$2:$A$407,B477,'05_RUTAS'!$C$2:$C$407,C477)</f>
        <v>0</v>
      </c>
      <c r="J477" s="18" t="n">
        <f aca="false">(ROUNDUP(F477/G477,0)*H477+F477*I477)/60</f>
        <v>0.75</v>
      </c>
      <c r="K477" s="5" t="n">
        <f aca="false">MONTH(INDEX('08_PEDIDOS'!$F$2:$F$97,MATCH(A477,'08_PEDIDOS'!$A$2:$A$97,0)))</f>
        <v>5</v>
      </c>
      <c r="L477" s="16" t="n">
        <f aca="false">J477*N(INDEX('04_MAQUINAS'!$F$2:$F$18,MATCH(E477,'04_MAQUINAS'!$A$2:$A$18,0)))</f>
        <v>19.5</v>
      </c>
      <c r="M477" s="17" t="n">
        <f aca="false">J477*INDEX('04_MAQUINAS'!$G$2:$G$18,MATCH(E477,'04_MAQUINAS'!$A$2:$A$18,0))*INDEX('04_MAQUINAS'!$H$2:$H$18,MATCH(E477,'04_MAQUINAS'!$A$2:$A$18,0))</f>
        <v>10.8</v>
      </c>
      <c r="N477" s="2" t="s">
        <v>629</v>
      </c>
    </row>
    <row r="478" customFormat="false" ht="15" hidden="false" customHeight="false" outlineLevel="0" collapsed="false">
      <c r="A478" s="2" t="s">
        <v>564</v>
      </c>
      <c r="B478" s="2" t="s">
        <v>121</v>
      </c>
      <c r="C478" s="4" t="n">
        <v>9</v>
      </c>
      <c r="D478" s="2" t="s">
        <v>449</v>
      </c>
      <c r="E478" s="2" t="s">
        <v>423</v>
      </c>
      <c r="F478" s="5" t="n">
        <f aca="false">INDEX('08_PEDIDOS'!$D$2:$D$97,MATCH(A478,'08_PEDIDOS'!$A$2:$A$97,0))</f>
        <v>10</v>
      </c>
      <c r="G478" s="5" t="n">
        <f aca="false">INDEX('08_PEDIDOS'!$H$2:$H$97,MATCH(A478,'08_PEDIDOS'!$A$2:$A$97,0))</f>
        <v>10</v>
      </c>
      <c r="H478" s="17" t="n">
        <f aca="false">SUMIFS('05_RUTAS'!$F$2:$F$407,'05_RUTAS'!$A$2:$A$407,B478,'05_RUTAS'!$C$2:$C$407,C478)</f>
        <v>8</v>
      </c>
      <c r="I478" s="18" t="n">
        <f aca="false">SUMIFS('05_RUTAS'!$G$2:$G$407,'05_RUTAS'!$A$2:$A$407,B478,'05_RUTAS'!$C$2:$C$407,C478)</f>
        <v>2.36</v>
      </c>
      <c r="J478" s="18" t="n">
        <f aca="false">(ROUNDUP(F478/G478,0)*H478+F478*I478)/60</f>
        <v>0.526666666666667</v>
      </c>
      <c r="K478" s="5" t="n">
        <f aca="false">MONTH(INDEX('08_PEDIDOS'!$F$2:$F$97,MATCH(A478,'08_PEDIDOS'!$A$2:$A$97,0)))</f>
        <v>5</v>
      </c>
      <c r="L478" s="16" t="n">
        <f aca="false">J478*N(INDEX('04_MAQUINAS'!$F$2:$F$18,MATCH(E478,'04_MAQUINAS'!$A$2:$A$18,0)))</f>
        <v>8.42666666666667</v>
      </c>
      <c r="M478" s="17" t="n">
        <f aca="false">J478*INDEX('04_MAQUINAS'!$G$2:$G$18,MATCH(E478,'04_MAQUINAS'!$A$2:$A$18,0))*INDEX('04_MAQUINAS'!$H$2:$H$18,MATCH(E478,'04_MAQUINAS'!$A$2:$A$18,0))</f>
        <v>0.131666666666667</v>
      </c>
      <c r="N478" s="2" t="s">
        <v>629</v>
      </c>
    </row>
    <row r="479" customFormat="false" ht="15" hidden="false" customHeight="false" outlineLevel="0" collapsed="false">
      <c r="A479" s="2" t="s">
        <v>564</v>
      </c>
      <c r="B479" s="2" t="s">
        <v>121</v>
      </c>
      <c r="C479" s="4" t="n">
        <v>10</v>
      </c>
      <c r="D479" s="2" t="s">
        <v>450</v>
      </c>
      <c r="E479" s="2" t="s">
        <v>406</v>
      </c>
      <c r="F479" s="5" t="n">
        <f aca="false">INDEX('08_PEDIDOS'!$D$2:$D$97,MATCH(A479,'08_PEDIDOS'!$A$2:$A$97,0))</f>
        <v>10</v>
      </c>
      <c r="G479" s="5" t="n">
        <f aca="false">INDEX('08_PEDIDOS'!$H$2:$H$97,MATCH(A479,'08_PEDIDOS'!$A$2:$A$97,0))</f>
        <v>10</v>
      </c>
      <c r="H479" s="17" t="n">
        <f aca="false">SUMIFS('05_RUTAS'!$F$2:$F$407,'05_RUTAS'!$A$2:$A$407,B479,'05_RUTAS'!$C$2:$C$407,C479)</f>
        <v>6</v>
      </c>
      <c r="I479" s="18" t="n">
        <f aca="false">SUMIFS('05_RUTAS'!$G$2:$G$407,'05_RUTAS'!$A$2:$A$407,B479,'05_RUTAS'!$C$2:$C$407,C479)</f>
        <v>61.5</v>
      </c>
      <c r="J479" s="18" t="n">
        <f aca="false">(ROUNDUP(F479/G479,0)*H479+F479*I479)/60</f>
        <v>10.35</v>
      </c>
      <c r="K479" s="5" t="n">
        <f aca="false">MONTH(INDEX('08_PEDIDOS'!$F$2:$F$97,MATCH(A479,'08_PEDIDOS'!$A$2:$A$97,0)))</f>
        <v>5</v>
      </c>
      <c r="L479" s="16" t="n">
        <f aca="false">J479*N(INDEX('04_MAQUINAS'!$F$2:$F$18,MATCH(E479,'04_MAQUINAS'!$A$2:$A$18,0)))</f>
        <v>196.65</v>
      </c>
      <c r="M479" s="17" t="n">
        <f aca="false">J479*INDEX('04_MAQUINAS'!$G$2:$G$18,MATCH(E479,'04_MAQUINAS'!$A$2:$A$18,0))*INDEX('04_MAQUINAS'!$H$2:$H$18,MATCH(E479,'04_MAQUINAS'!$A$2:$A$18,0))</f>
        <v>3.105</v>
      </c>
      <c r="N479" s="2" t="s">
        <v>629</v>
      </c>
    </row>
    <row r="480" customFormat="false" ht="15" hidden="false" customHeight="false" outlineLevel="0" collapsed="false">
      <c r="A480" s="2" t="s">
        <v>564</v>
      </c>
      <c r="B480" s="2" t="s">
        <v>121</v>
      </c>
      <c r="C480" s="4" t="n">
        <v>11</v>
      </c>
      <c r="D480" s="2" t="s">
        <v>451</v>
      </c>
      <c r="E480" s="2" t="s">
        <v>408</v>
      </c>
      <c r="F480" s="5" t="n">
        <f aca="false">INDEX('08_PEDIDOS'!$D$2:$D$97,MATCH(A480,'08_PEDIDOS'!$A$2:$A$97,0))</f>
        <v>10</v>
      </c>
      <c r="G480" s="5" t="n">
        <f aca="false">INDEX('08_PEDIDOS'!$H$2:$H$97,MATCH(A480,'08_PEDIDOS'!$A$2:$A$97,0))</f>
        <v>10</v>
      </c>
      <c r="H480" s="17" t="n">
        <f aca="false">SUMIFS('05_RUTAS'!$F$2:$F$407,'05_RUTAS'!$A$2:$A$407,B480,'05_RUTAS'!$C$2:$C$407,C480)</f>
        <v>2</v>
      </c>
      <c r="I480" s="18" t="n">
        <f aca="false">SUMIFS('05_RUTAS'!$G$2:$G$407,'05_RUTAS'!$A$2:$A$407,B480,'05_RUTAS'!$C$2:$C$407,C480)</f>
        <v>3.45</v>
      </c>
      <c r="J480" s="18" t="n">
        <f aca="false">(ROUNDUP(F480/G480,0)*H480+F480*I480)/60</f>
        <v>0.608333333333333</v>
      </c>
      <c r="K480" s="5" t="n">
        <f aca="false">MONTH(INDEX('08_PEDIDOS'!$F$2:$F$97,MATCH(A480,'08_PEDIDOS'!$A$2:$A$97,0)))</f>
        <v>5</v>
      </c>
      <c r="L480" s="16" t="n">
        <f aca="false">J480*N(INDEX('04_MAQUINAS'!$F$2:$F$18,MATCH(E480,'04_MAQUINAS'!$A$2:$A$18,0)))</f>
        <v>12.1666666666667</v>
      </c>
      <c r="M480" s="17" t="n">
        <f aca="false">J480*INDEX('04_MAQUINAS'!$G$2:$G$18,MATCH(E480,'04_MAQUINAS'!$A$2:$A$18,0))*INDEX('04_MAQUINAS'!$H$2:$H$18,MATCH(E480,'04_MAQUINAS'!$A$2:$A$18,0))</f>
        <v>0.0608333333333333</v>
      </c>
      <c r="N480" s="2" t="s">
        <v>629</v>
      </c>
    </row>
    <row r="481" customFormat="false" ht="15" hidden="false" customHeight="false" outlineLevel="0" collapsed="false">
      <c r="A481" s="2" t="s">
        <v>564</v>
      </c>
      <c r="B481" s="2" t="s">
        <v>121</v>
      </c>
      <c r="C481" s="4" t="n">
        <v>12</v>
      </c>
      <c r="D481" s="2" t="s">
        <v>452</v>
      </c>
      <c r="E481" s="2" t="s">
        <v>411</v>
      </c>
      <c r="F481" s="5" t="n">
        <f aca="false">INDEX('08_PEDIDOS'!$D$2:$D$97,MATCH(A481,'08_PEDIDOS'!$A$2:$A$97,0))</f>
        <v>10</v>
      </c>
      <c r="G481" s="5" t="n">
        <f aca="false">INDEX('08_PEDIDOS'!$H$2:$H$97,MATCH(A481,'08_PEDIDOS'!$A$2:$A$97,0))</f>
        <v>10</v>
      </c>
      <c r="H481" s="17" t="n">
        <f aca="false">SUMIFS('05_RUTAS'!$F$2:$F$407,'05_RUTAS'!$A$2:$A$407,B481,'05_RUTAS'!$C$2:$C$407,C481)</f>
        <v>2</v>
      </c>
      <c r="I481" s="18" t="n">
        <f aca="false">SUMIFS('05_RUTAS'!$G$2:$G$407,'05_RUTAS'!$A$2:$A$407,B481,'05_RUTAS'!$C$2:$C$407,C481)</f>
        <v>4.67</v>
      </c>
      <c r="J481" s="18" t="n">
        <f aca="false">(ROUNDUP(F481/G481,0)*H481+F481*I481)/60</f>
        <v>0.811666666666667</v>
      </c>
      <c r="K481" s="5" t="n">
        <f aca="false">MONTH(INDEX('08_PEDIDOS'!$F$2:$F$97,MATCH(A481,'08_PEDIDOS'!$A$2:$A$97,0)))</f>
        <v>5</v>
      </c>
      <c r="L481" s="16" t="n">
        <f aca="false">J481*N(INDEX('04_MAQUINAS'!$F$2:$F$18,MATCH(E481,'04_MAQUINAS'!$A$2:$A$18,0)))</f>
        <v>14.61</v>
      </c>
      <c r="M481" s="17" t="n">
        <f aca="false">J481*INDEX('04_MAQUINAS'!$G$2:$G$18,MATCH(E481,'04_MAQUINAS'!$A$2:$A$18,0))*INDEX('04_MAQUINAS'!$H$2:$H$18,MATCH(E481,'04_MAQUINAS'!$A$2:$A$18,0))</f>
        <v>0.07305</v>
      </c>
      <c r="N481" s="2" t="s">
        <v>629</v>
      </c>
    </row>
    <row r="482" customFormat="false" ht="15" hidden="false" customHeight="false" outlineLevel="0" collapsed="false">
      <c r="A482" s="2" t="s">
        <v>565</v>
      </c>
      <c r="B482" s="2" t="s">
        <v>80</v>
      </c>
      <c r="C482" s="4" t="n">
        <v>1</v>
      </c>
      <c r="D482" s="2" t="s">
        <v>437</v>
      </c>
      <c r="E482" s="2" t="s">
        <v>375</v>
      </c>
      <c r="F482" s="5" t="n">
        <f aca="false">INDEX('08_PEDIDOS'!$D$2:$D$97,MATCH(A482,'08_PEDIDOS'!$A$2:$A$97,0))</f>
        <v>13</v>
      </c>
      <c r="G482" s="5" t="n">
        <f aca="false">INDEX('08_PEDIDOS'!$H$2:$H$97,MATCH(A482,'08_PEDIDOS'!$A$2:$A$97,0))</f>
        <v>10</v>
      </c>
      <c r="H482" s="17" t="n">
        <f aca="false">SUMIFS('05_RUTAS'!$F$2:$F$407,'05_RUTAS'!$A$2:$A$407,B482,'05_RUTAS'!$C$2:$C$407,C482)</f>
        <v>8</v>
      </c>
      <c r="I482" s="18" t="n">
        <f aca="false">SUMIFS('05_RUTAS'!$G$2:$G$407,'05_RUTAS'!$A$2:$A$407,B482,'05_RUTAS'!$C$2:$C$407,C482)</f>
        <v>34.62</v>
      </c>
      <c r="J482" s="18" t="n">
        <f aca="false">(ROUNDUP(F482/G482,0)*H482+F482*I482)/60</f>
        <v>7.76766666666667</v>
      </c>
      <c r="K482" s="5" t="n">
        <f aca="false">MONTH(INDEX('08_PEDIDOS'!$F$2:$F$97,MATCH(A482,'08_PEDIDOS'!$A$2:$A$97,0)))</f>
        <v>6</v>
      </c>
      <c r="L482" s="16" t="n">
        <f aca="false">J482*N(INDEX('04_MAQUINAS'!$F$2:$F$18,MATCH(E482,'04_MAQUINAS'!$A$2:$A$18,0)))</f>
        <v>186.424</v>
      </c>
      <c r="M482" s="17" t="n">
        <f aca="false">J482*INDEX('04_MAQUINAS'!$G$2:$G$18,MATCH(E482,'04_MAQUINAS'!$A$2:$A$18,0))*INDEX('04_MAQUINAS'!$H$2:$H$18,MATCH(E482,'04_MAQUINAS'!$A$2:$A$18,0))</f>
        <v>21.3610833333333</v>
      </c>
      <c r="N482" s="2" t="s">
        <v>629</v>
      </c>
    </row>
    <row r="483" customFormat="false" ht="15" hidden="false" customHeight="false" outlineLevel="0" collapsed="false">
      <c r="A483" s="2" t="s">
        <v>565</v>
      </c>
      <c r="B483" s="2" t="s">
        <v>80</v>
      </c>
      <c r="C483" s="4" t="n">
        <v>2</v>
      </c>
      <c r="D483" s="2" t="s">
        <v>441</v>
      </c>
      <c r="E483" s="2" t="s">
        <v>380</v>
      </c>
      <c r="F483" s="5" t="n">
        <f aca="false">INDEX('08_PEDIDOS'!$D$2:$D$97,MATCH(A483,'08_PEDIDOS'!$A$2:$A$97,0))</f>
        <v>13</v>
      </c>
      <c r="G483" s="5" t="n">
        <f aca="false">INDEX('08_PEDIDOS'!$H$2:$H$97,MATCH(A483,'08_PEDIDOS'!$A$2:$A$97,0))</f>
        <v>10</v>
      </c>
      <c r="H483" s="17" t="n">
        <f aca="false">SUMIFS('05_RUTAS'!$F$2:$F$407,'05_RUTAS'!$A$2:$A$407,B483,'05_RUTAS'!$C$2:$C$407,C483)</f>
        <v>8</v>
      </c>
      <c r="I483" s="18" t="n">
        <f aca="false">SUMIFS('05_RUTAS'!$G$2:$G$407,'05_RUTAS'!$A$2:$A$407,B483,'05_RUTAS'!$C$2:$C$407,C483)</f>
        <v>43.52</v>
      </c>
      <c r="J483" s="18" t="n">
        <f aca="false">(ROUNDUP(F483/G483,0)*H483+F483*I483)/60</f>
        <v>9.696</v>
      </c>
      <c r="K483" s="5" t="n">
        <f aca="false">MONTH(INDEX('08_PEDIDOS'!$F$2:$F$97,MATCH(A483,'08_PEDIDOS'!$A$2:$A$97,0)))</f>
        <v>6</v>
      </c>
      <c r="L483" s="16" t="n">
        <f aca="false">J483*N(INDEX('04_MAQUINAS'!$F$2:$F$18,MATCH(E483,'04_MAQUINAS'!$A$2:$A$18,0)))</f>
        <v>213.312</v>
      </c>
      <c r="M483" s="17" t="n">
        <f aca="false">J483*INDEX('04_MAQUINAS'!$G$2:$G$18,MATCH(E483,'04_MAQUINAS'!$A$2:$A$18,0))*INDEX('04_MAQUINAS'!$H$2:$H$18,MATCH(E483,'04_MAQUINAS'!$A$2:$A$18,0))</f>
        <v>4.3632</v>
      </c>
      <c r="N483" s="2" t="s">
        <v>629</v>
      </c>
    </row>
    <row r="484" customFormat="false" ht="15" hidden="false" customHeight="false" outlineLevel="0" collapsed="false">
      <c r="A484" s="2" t="s">
        <v>565</v>
      </c>
      <c r="B484" s="2" t="s">
        <v>80</v>
      </c>
      <c r="C484" s="4" t="n">
        <v>3</v>
      </c>
      <c r="D484" s="2" t="s">
        <v>386</v>
      </c>
      <c r="E484" s="2" t="s">
        <v>383</v>
      </c>
      <c r="F484" s="5" t="n">
        <f aca="false">INDEX('08_PEDIDOS'!$D$2:$D$97,MATCH(A484,'08_PEDIDOS'!$A$2:$A$97,0))</f>
        <v>13</v>
      </c>
      <c r="G484" s="5" t="n">
        <f aca="false">INDEX('08_PEDIDOS'!$H$2:$H$97,MATCH(A484,'08_PEDIDOS'!$A$2:$A$97,0))</f>
        <v>10</v>
      </c>
      <c r="H484" s="17" t="n">
        <f aca="false">SUMIFS('05_RUTAS'!$F$2:$F$407,'05_RUTAS'!$A$2:$A$407,B484,'05_RUTAS'!$C$2:$C$407,C484)</f>
        <v>10</v>
      </c>
      <c r="I484" s="18" t="n">
        <f aca="false">SUMIFS('05_RUTAS'!$G$2:$G$407,'05_RUTAS'!$A$2:$A$407,B484,'05_RUTAS'!$C$2:$C$407,C484)</f>
        <v>63.2</v>
      </c>
      <c r="J484" s="18" t="n">
        <f aca="false">(ROUNDUP(F484/G484,0)*H484+F484*I484)/60</f>
        <v>14.0266666666667</v>
      </c>
      <c r="K484" s="5" t="n">
        <f aca="false">MONTH(INDEX('08_PEDIDOS'!$F$2:$F$97,MATCH(A484,'08_PEDIDOS'!$A$2:$A$97,0)))</f>
        <v>6</v>
      </c>
      <c r="L484" s="16" t="n">
        <f aca="false">J484*N(INDEX('04_MAQUINAS'!$F$2:$F$18,MATCH(E484,'04_MAQUINAS'!$A$2:$A$18,0)))</f>
        <v>308.586666666667</v>
      </c>
      <c r="M484" s="17" t="n">
        <f aca="false">J484*INDEX('04_MAQUINAS'!$G$2:$G$18,MATCH(E484,'04_MAQUINAS'!$A$2:$A$18,0))*INDEX('04_MAQUINAS'!$H$2:$H$18,MATCH(E484,'04_MAQUINAS'!$A$2:$A$18,0))</f>
        <v>3.85733333333333</v>
      </c>
      <c r="N484" s="2" t="s">
        <v>629</v>
      </c>
    </row>
    <row r="485" customFormat="false" ht="15" hidden="false" customHeight="false" outlineLevel="0" collapsed="false">
      <c r="A485" s="2" t="s">
        <v>565</v>
      </c>
      <c r="B485" s="2" t="s">
        <v>80</v>
      </c>
      <c r="C485" s="4" t="n">
        <v>4</v>
      </c>
      <c r="D485" s="2" t="s">
        <v>390</v>
      </c>
      <c r="E485" s="2" t="s">
        <v>387</v>
      </c>
      <c r="F485" s="5" t="n">
        <f aca="false">INDEX('08_PEDIDOS'!$D$2:$D$97,MATCH(A485,'08_PEDIDOS'!$A$2:$A$97,0))</f>
        <v>13</v>
      </c>
      <c r="G485" s="5" t="n">
        <f aca="false">INDEX('08_PEDIDOS'!$H$2:$H$97,MATCH(A485,'08_PEDIDOS'!$A$2:$A$97,0))</f>
        <v>10</v>
      </c>
      <c r="H485" s="17" t="n">
        <f aca="false">SUMIFS('05_RUTAS'!$F$2:$F$407,'05_RUTAS'!$A$2:$A$407,B485,'05_RUTAS'!$C$2:$C$407,C485)</f>
        <v>12</v>
      </c>
      <c r="I485" s="18" t="n">
        <f aca="false">SUMIFS('05_RUTAS'!$G$2:$G$407,'05_RUTAS'!$A$2:$A$407,B485,'05_RUTAS'!$C$2:$C$407,C485)</f>
        <v>60</v>
      </c>
      <c r="J485" s="18" t="n">
        <f aca="false">(ROUNDUP(F485/G485,0)*H485+F485*I485)/60</f>
        <v>13.4</v>
      </c>
      <c r="K485" s="5" t="n">
        <f aca="false">MONTH(INDEX('08_PEDIDOS'!$F$2:$F$97,MATCH(A485,'08_PEDIDOS'!$A$2:$A$97,0)))</f>
        <v>6</v>
      </c>
      <c r="L485" s="16" t="n">
        <f aca="false">J485*N(INDEX('04_MAQUINAS'!$F$2:$F$18,MATCH(E485,'04_MAQUINAS'!$A$2:$A$18,0)))</f>
        <v>375.2</v>
      </c>
      <c r="M485" s="17" t="n">
        <f aca="false">J485*INDEX('04_MAQUINAS'!$G$2:$G$18,MATCH(E485,'04_MAQUINAS'!$A$2:$A$18,0))*INDEX('04_MAQUINAS'!$H$2:$H$18,MATCH(E485,'04_MAQUINAS'!$A$2:$A$18,0))</f>
        <v>33.165</v>
      </c>
      <c r="N485" s="2" t="s">
        <v>629</v>
      </c>
    </row>
    <row r="486" customFormat="false" ht="15" hidden="false" customHeight="false" outlineLevel="0" collapsed="false">
      <c r="A486" s="2" t="s">
        <v>565</v>
      </c>
      <c r="B486" s="2" t="s">
        <v>80</v>
      </c>
      <c r="C486" s="4" t="n">
        <v>5</v>
      </c>
      <c r="D486" s="2" t="s">
        <v>442</v>
      </c>
      <c r="E486" s="2" t="s">
        <v>391</v>
      </c>
      <c r="F486" s="5" t="n">
        <f aca="false">INDEX('08_PEDIDOS'!$D$2:$D$97,MATCH(A486,'08_PEDIDOS'!$A$2:$A$97,0))</f>
        <v>13</v>
      </c>
      <c r="G486" s="5" t="n">
        <f aca="false">INDEX('08_PEDIDOS'!$H$2:$H$97,MATCH(A486,'08_PEDIDOS'!$A$2:$A$97,0))</f>
        <v>10</v>
      </c>
      <c r="H486" s="17" t="n">
        <f aca="false">SUMIFS('05_RUTAS'!$F$2:$F$407,'05_RUTAS'!$A$2:$A$407,B486,'05_RUTAS'!$C$2:$C$407,C486)</f>
        <v>10</v>
      </c>
      <c r="I486" s="18" t="n">
        <f aca="false">SUMIFS('05_RUTAS'!$G$2:$G$407,'05_RUTAS'!$A$2:$A$407,B486,'05_RUTAS'!$C$2:$C$407,C486)</f>
        <v>78.4</v>
      </c>
      <c r="J486" s="18" t="n">
        <f aca="false">(ROUNDUP(F486/G486,0)*H486+F486*I486)/60</f>
        <v>17.32</v>
      </c>
      <c r="K486" s="5" t="n">
        <f aca="false">MONTH(INDEX('08_PEDIDOS'!$F$2:$F$97,MATCH(A486,'08_PEDIDOS'!$A$2:$A$97,0)))</f>
        <v>6</v>
      </c>
      <c r="L486" s="16" t="n">
        <f aca="false">J486*N(INDEX('04_MAQUINAS'!$F$2:$F$18,MATCH(E486,'04_MAQUINAS'!$A$2:$A$18,0)))</f>
        <v>554.24</v>
      </c>
      <c r="M486" s="17" t="n">
        <f aca="false">J486*INDEX('04_MAQUINAS'!$G$2:$G$18,MATCH(E486,'04_MAQUINAS'!$A$2:$A$18,0))*INDEX('04_MAQUINAS'!$H$2:$H$18,MATCH(E486,'04_MAQUINAS'!$A$2:$A$18,0))</f>
        <v>30.31</v>
      </c>
      <c r="N486" s="2" t="s">
        <v>629</v>
      </c>
    </row>
    <row r="487" customFormat="false" ht="15" hidden="false" customHeight="false" outlineLevel="0" collapsed="false">
      <c r="A487" s="2" t="s">
        <v>565</v>
      </c>
      <c r="B487" s="2" t="s">
        <v>80</v>
      </c>
      <c r="C487" s="4" t="n">
        <v>6</v>
      </c>
      <c r="D487" s="2" t="s">
        <v>443</v>
      </c>
      <c r="E487" s="2" t="s">
        <v>395</v>
      </c>
      <c r="F487" s="5" t="n">
        <f aca="false">INDEX('08_PEDIDOS'!$D$2:$D$97,MATCH(A487,'08_PEDIDOS'!$A$2:$A$97,0))</f>
        <v>13</v>
      </c>
      <c r="G487" s="5" t="n">
        <f aca="false">INDEX('08_PEDIDOS'!$H$2:$H$97,MATCH(A487,'08_PEDIDOS'!$A$2:$A$97,0))</f>
        <v>10</v>
      </c>
      <c r="H487" s="17" t="n">
        <f aca="false">SUMIFS('05_RUTAS'!$F$2:$F$407,'05_RUTAS'!$A$2:$A$407,B487,'05_RUTAS'!$C$2:$C$407,C487)</f>
        <v>3</v>
      </c>
      <c r="I487" s="18" t="n">
        <f aca="false">SUMIFS('05_RUTAS'!$G$2:$G$407,'05_RUTAS'!$A$2:$A$407,B487,'05_RUTAS'!$C$2:$C$407,C487)</f>
        <v>42</v>
      </c>
      <c r="J487" s="18" t="n">
        <f aca="false">(ROUNDUP(F487/G487,0)*H487+F487*I487)/60</f>
        <v>9.2</v>
      </c>
      <c r="K487" s="5" t="n">
        <f aca="false">MONTH(INDEX('08_PEDIDOS'!$F$2:$F$97,MATCH(A487,'08_PEDIDOS'!$A$2:$A$97,0)))</f>
        <v>6</v>
      </c>
      <c r="L487" s="16" t="n">
        <f aca="false">J487*N(INDEX('04_MAQUINAS'!$F$2:$F$18,MATCH(E487,'04_MAQUINAS'!$A$2:$A$18,0)))</f>
        <v>193.2</v>
      </c>
      <c r="M487" s="17" t="n">
        <f aca="false">J487*INDEX('04_MAQUINAS'!$G$2:$G$18,MATCH(E487,'04_MAQUINAS'!$A$2:$A$18,0))*INDEX('04_MAQUINAS'!$H$2:$H$18,MATCH(E487,'04_MAQUINAS'!$A$2:$A$18,0))</f>
        <v>6.9</v>
      </c>
      <c r="N487" s="2" t="s">
        <v>629</v>
      </c>
    </row>
    <row r="488" customFormat="false" ht="15" hidden="false" customHeight="false" outlineLevel="0" collapsed="false">
      <c r="A488" s="2" t="s">
        <v>565</v>
      </c>
      <c r="B488" s="2" t="s">
        <v>80</v>
      </c>
      <c r="C488" s="4" t="n">
        <v>7</v>
      </c>
      <c r="D488" s="2" t="s">
        <v>444</v>
      </c>
      <c r="E488" s="2" t="s">
        <v>399</v>
      </c>
      <c r="F488" s="5" t="n">
        <f aca="false">INDEX('08_PEDIDOS'!$D$2:$D$97,MATCH(A488,'08_PEDIDOS'!$A$2:$A$97,0))</f>
        <v>13</v>
      </c>
      <c r="G488" s="5" t="n">
        <f aca="false">INDEX('08_PEDIDOS'!$H$2:$H$97,MATCH(A488,'08_PEDIDOS'!$A$2:$A$97,0))</f>
        <v>10</v>
      </c>
      <c r="H488" s="17" t="n">
        <f aca="false">SUMIFS('05_RUTAS'!$F$2:$F$407,'05_RUTAS'!$A$2:$A$407,B488,'05_RUTAS'!$C$2:$C$407,C488)</f>
        <v>6</v>
      </c>
      <c r="I488" s="18" t="n">
        <f aca="false">SUMIFS('05_RUTAS'!$G$2:$G$407,'05_RUTAS'!$A$2:$A$407,B488,'05_RUTAS'!$C$2:$C$407,C488)</f>
        <v>29.7248</v>
      </c>
      <c r="J488" s="18" t="n">
        <f aca="false">(ROUNDUP(F488/G488,0)*H488+F488*I488)/60</f>
        <v>6.64037333333333</v>
      </c>
      <c r="K488" s="5" t="n">
        <f aca="false">MONTH(INDEX('08_PEDIDOS'!$F$2:$F$97,MATCH(A488,'08_PEDIDOS'!$A$2:$A$97,0)))</f>
        <v>6</v>
      </c>
      <c r="L488" s="16" t="n">
        <f aca="false">J488*N(INDEX('04_MAQUINAS'!$F$2:$F$18,MATCH(E488,'04_MAQUINAS'!$A$2:$A$18,0)))</f>
        <v>126.167093333333</v>
      </c>
      <c r="M488" s="17" t="n">
        <f aca="false">J488*INDEX('04_MAQUINAS'!$G$2:$G$18,MATCH(E488,'04_MAQUINAS'!$A$2:$A$18,0))*INDEX('04_MAQUINAS'!$H$2:$H$18,MATCH(E488,'04_MAQUINAS'!$A$2:$A$18,0))</f>
        <v>5.84352853333333</v>
      </c>
      <c r="N488" s="2" t="s">
        <v>629</v>
      </c>
    </row>
    <row r="489" customFormat="false" ht="15" hidden="false" customHeight="false" outlineLevel="0" collapsed="false">
      <c r="A489" s="2" t="s">
        <v>565</v>
      </c>
      <c r="B489" s="2" t="s">
        <v>80</v>
      </c>
      <c r="C489" s="4" t="n">
        <v>8</v>
      </c>
      <c r="D489" s="2" t="s">
        <v>445</v>
      </c>
      <c r="E489" s="2" t="s">
        <v>402</v>
      </c>
      <c r="F489" s="5" t="n">
        <f aca="false">INDEX('08_PEDIDOS'!$D$2:$D$97,MATCH(A489,'08_PEDIDOS'!$A$2:$A$97,0))</f>
        <v>13</v>
      </c>
      <c r="G489" s="5" t="n">
        <f aca="false">INDEX('08_PEDIDOS'!$H$2:$H$97,MATCH(A489,'08_PEDIDOS'!$A$2:$A$97,0))</f>
        <v>10</v>
      </c>
      <c r="H489" s="17" t="n">
        <f aca="false">SUMIFS('05_RUTAS'!$F$2:$F$407,'05_RUTAS'!$A$2:$A$407,B489,'05_RUTAS'!$C$2:$C$407,C489)</f>
        <v>12</v>
      </c>
      <c r="I489" s="18" t="n">
        <f aca="false">SUMIFS('05_RUTAS'!$G$2:$G$407,'05_RUTAS'!$A$2:$A$407,B489,'05_RUTAS'!$C$2:$C$407,C489)</f>
        <v>8.02</v>
      </c>
      <c r="J489" s="18" t="n">
        <f aca="false">(ROUNDUP(F489/G489,0)*H489+F489*I489)/60</f>
        <v>2.13766666666667</v>
      </c>
      <c r="K489" s="5" t="n">
        <f aca="false">MONTH(INDEX('08_PEDIDOS'!$F$2:$F$97,MATCH(A489,'08_PEDIDOS'!$A$2:$A$97,0)))</f>
        <v>6</v>
      </c>
      <c r="L489" s="16" t="n">
        <f aca="false">J489*N(INDEX('04_MAQUINAS'!$F$2:$F$18,MATCH(E489,'04_MAQUINAS'!$A$2:$A$18,0)))</f>
        <v>68.4053333333333</v>
      </c>
      <c r="M489" s="17" t="n">
        <f aca="false">J489*INDEX('04_MAQUINAS'!$G$2:$G$18,MATCH(E489,'04_MAQUINAS'!$A$2:$A$18,0))*INDEX('04_MAQUINAS'!$H$2:$H$18,MATCH(E489,'04_MAQUINAS'!$A$2:$A$18,0))</f>
        <v>2.24455</v>
      </c>
      <c r="N489" s="2" t="s">
        <v>629</v>
      </c>
    </row>
    <row r="490" customFormat="false" ht="15" hidden="false" customHeight="false" outlineLevel="0" collapsed="false">
      <c r="A490" s="2" t="s">
        <v>565</v>
      </c>
      <c r="B490" s="2" t="s">
        <v>80</v>
      </c>
      <c r="C490" s="4" t="n">
        <v>9</v>
      </c>
      <c r="D490" s="2" t="s">
        <v>447</v>
      </c>
      <c r="E490" s="2" t="s">
        <v>421</v>
      </c>
      <c r="F490" s="5" t="n">
        <f aca="false">INDEX('08_PEDIDOS'!$D$2:$D$97,MATCH(A490,'08_PEDIDOS'!$A$2:$A$97,0))</f>
        <v>13</v>
      </c>
      <c r="G490" s="5" t="n">
        <f aca="false">INDEX('08_PEDIDOS'!$H$2:$H$97,MATCH(A490,'08_PEDIDOS'!$A$2:$A$97,0))</f>
        <v>10</v>
      </c>
      <c r="H490" s="17" t="n">
        <f aca="false">SUMIFS('05_RUTAS'!$F$2:$F$407,'05_RUTAS'!$A$2:$A$407,B490,'05_RUTAS'!$C$2:$C$407,C490)</f>
        <v>45</v>
      </c>
      <c r="I490" s="18" t="n">
        <f aca="false">SUMIFS('05_RUTAS'!$G$2:$G$407,'05_RUTAS'!$A$2:$A$407,B490,'05_RUTAS'!$C$2:$C$407,C490)</f>
        <v>0</v>
      </c>
      <c r="J490" s="18" t="n">
        <f aca="false">(ROUNDUP(F490/G490,0)*H490+F490*I490)/60</f>
        <v>1.5</v>
      </c>
      <c r="K490" s="5" t="n">
        <f aca="false">MONTH(INDEX('08_PEDIDOS'!$F$2:$F$97,MATCH(A490,'08_PEDIDOS'!$A$2:$A$97,0)))</f>
        <v>6</v>
      </c>
      <c r="L490" s="16" t="n">
        <f aca="false">J490*N(INDEX('04_MAQUINAS'!$F$2:$F$18,MATCH(E490,'04_MAQUINAS'!$A$2:$A$18,0)))</f>
        <v>39</v>
      </c>
      <c r="M490" s="17" t="n">
        <f aca="false">J490*INDEX('04_MAQUINAS'!$G$2:$G$18,MATCH(E490,'04_MAQUINAS'!$A$2:$A$18,0))*INDEX('04_MAQUINAS'!$H$2:$H$18,MATCH(E490,'04_MAQUINAS'!$A$2:$A$18,0))</f>
        <v>21.6</v>
      </c>
      <c r="N490" s="2" t="s">
        <v>629</v>
      </c>
    </row>
    <row r="491" customFormat="false" ht="15" hidden="false" customHeight="false" outlineLevel="0" collapsed="false">
      <c r="A491" s="2" t="s">
        <v>565</v>
      </c>
      <c r="B491" s="2" t="s">
        <v>80</v>
      </c>
      <c r="C491" s="4" t="n">
        <v>10</v>
      </c>
      <c r="D491" s="2" t="s">
        <v>449</v>
      </c>
      <c r="E491" s="2" t="s">
        <v>423</v>
      </c>
      <c r="F491" s="5" t="n">
        <f aca="false">INDEX('08_PEDIDOS'!$D$2:$D$97,MATCH(A491,'08_PEDIDOS'!$A$2:$A$97,0))</f>
        <v>13</v>
      </c>
      <c r="G491" s="5" t="n">
        <f aca="false">INDEX('08_PEDIDOS'!$H$2:$H$97,MATCH(A491,'08_PEDIDOS'!$A$2:$A$97,0))</f>
        <v>10</v>
      </c>
      <c r="H491" s="17" t="n">
        <f aca="false">SUMIFS('05_RUTAS'!$F$2:$F$407,'05_RUTAS'!$A$2:$A$407,B491,'05_RUTAS'!$C$2:$C$407,C491)</f>
        <v>8</v>
      </c>
      <c r="I491" s="18" t="n">
        <f aca="false">SUMIFS('05_RUTAS'!$G$2:$G$407,'05_RUTAS'!$A$2:$A$407,B491,'05_RUTAS'!$C$2:$C$407,C491)</f>
        <v>2.69</v>
      </c>
      <c r="J491" s="18" t="n">
        <f aca="false">(ROUNDUP(F491/G491,0)*H491+F491*I491)/60</f>
        <v>0.8495</v>
      </c>
      <c r="K491" s="5" t="n">
        <f aca="false">MONTH(INDEX('08_PEDIDOS'!$F$2:$F$97,MATCH(A491,'08_PEDIDOS'!$A$2:$A$97,0)))</f>
        <v>6</v>
      </c>
      <c r="L491" s="16" t="n">
        <f aca="false">J491*N(INDEX('04_MAQUINAS'!$F$2:$F$18,MATCH(E491,'04_MAQUINAS'!$A$2:$A$18,0)))</f>
        <v>13.592</v>
      </c>
      <c r="M491" s="17" t="n">
        <f aca="false">J491*INDEX('04_MAQUINAS'!$G$2:$G$18,MATCH(E491,'04_MAQUINAS'!$A$2:$A$18,0))*INDEX('04_MAQUINAS'!$H$2:$H$18,MATCH(E491,'04_MAQUINAS'!$A$2:$A$18,0))</f>
        <v>0.212375</v>
      </c>
      <c r="N491" s="2" t="s">
        <v>629</v>
      </c>
    </row>
    <row r="492" customFormat="false" ht="15" hidden="false" customHeight="false" outlineLevel="0" collapsed="false">
      <c r="A492" s="2" t="s">
        <v>565</v>
      </c>
      <c r="B492" s="2" t="s">
        <v>80</v>
      </c>
      <c r="C492" s="4" t="n">
        <v>11</v>
      </c>
      <c r="D492" s="2" t="s">
        <v>450</v>
      </c>
      <c r="E492" s="2" t="s">
        <v>406</v>
      </c>
      <c r="F492" s="5" t="n">
        <f aca="false">INDEX('08_PEDIDOS'!$D$2:$D$97,MATCH(A492,'08_PEDIDOS'!$A$2:$A$97,0))</f>
        <v>13</v>
      </c>
      <c r="G492" s="5" t="n">
        <f aca="false">INDEX('08_PEDIDOS'!$H$2:$H$97,MATCH(A492,'08_PEDIDOS'!$A$2:$A$97,0))</f>
        <v>10</v>
      </c>
      <c r="H492" s="17" t="n">
        <f aca="false">SUMIFS('05_RUTAS'!$F$2:$F$407,'05_RUTAS'!$A$2:$A$407,B492,'05_RUTAS'!$C$2:$C$407,C492)</f>
        <v>6</v>
      </c>
      <c r="I492" s="18" t="n">
        <f aca="false">SUMIFS('05_RUTAS'!$G$2:$G$407,'05_RUTAS'!$A$2:$A$407,B492,'05_RUTAS'!$C$2:$C$407,C492)</f>
        <v>60</v>
      </c>
      <c r="J492" s="18" t="n">
        <f aca="false">(ROUNDUP(F492/G492,0)*H492+F492*I492)/60</f>
        <v>13.2</v>
      </c>
      <c r="K492" s="5" t="n">
        <f aca="false">MONTH(INDEX('08_PEDIDOS'!$F$2:$F$97,MATCH(A492,'08_PEDIDOS'!$A$2:$A$97,0)))</f>
        <v>6</v>
      </c>
      <c r="L492" s="16" t="n">
        <f aca="false">J492*N(INDEX('04_MAQUINAS'!$F$2:$F$18,MATCH(E492,'04_MAQUINAS'!$A$2:$A$18,0)))</f>
        <v>250.8</v>
      </c>
      <c r="M492" s="17" t="n">
        <f aca="false">J492*INDEX('04_MAQUINAS'!$G$2:$G$18,MATCH(E492,'04_MAQUINAS'!$A$2:$A$18,0))*INDEX('04_MAQUINAS'!$H$2:$H$18,MATCH(E492,'04_MAQUINAS'!$A$2:$A$18,0))</f>
        <v>3.96</v>
      </c>
      <c r="N492" s="2" t="s">
        <v>629</v>
      </c>
    </row>
    <row r="493" customFormat="false" ht="15" hidden="false" customHeight="false" outlineLevel="0" collapsed="false">
      <c r="A493" s="2" t="s">
        <v>565</v>
      </c>
      <c r="B493" s="2" t="s">
        <v>80</v>
      </c>
      <c r="C493" s="4" t="n">
        <v>12</v>
      </c>
      <c r="D493" s="2" t="s">
        <v>451</v>
      </c>
      <c r="E493" s="2" t="s">
        <v>408</v>
      </c>
      <c r="F493" s="5" t="n">
        <f aca="false">INDEX('08_PEDIDOS'!$D$2:$D$97,MATCH(A493,'08_PEDIDOS'!$A$2:$A$97,0))</f>
        <v>13</v>
      </c>
      <c r="G493" s="5" t="n">
        <f aca="false">INDEX('08_PEDIDOS'!$H$2:$H$97,MATCH(A493,'08_PEDIDOS'!$A$2:$A$97,0))</f>
        <v>10</v>
      </c>
      <c r="H493" s="17" t="n">
        <f aca="false">SUMIFS('05_RUTAS'!$F$2:$F$407,'05_RUTAS'!$A$2:$A$407,B493,'05_RUTAS'!$C$2:$C$407,C493)</f>
        <v>2</v>
      </c>
      <c r="I493" s="18" t="n">
        <f aca="false">SUMIFS('05_RUTAS'!$G$2:$G$407,'05_RUTAS'!$A$2:$A$407,B493,'05_RUTAS'!$C$2:$C$407,C493)</f>
        <v>3.86</v>
      </c>
      <c r="J493" s="18" t="n">
        <f aca="false">(ROUNDUP(F493/G493,0)*H493+F493*I493)/60</f>
        <v>0.903</v>
      </c>
      <c r="K493" s="5" t="n">
        <f aca="false">MONTH(INDEX('08_PEDIDOS'!$F$2:$F$97,MATCH(A493,'08_PEDIDOS'!$A$2:$A$97,0)))</f>
        <v>6</v>
      </c>
      <c r="L493" s="16" t="n">
        <f aca="false">J493*N(INDEX('04_MAQUINAS'!$F$2:$F$18,MATCH(E493,'04_MAQUINAS'!$A$2:$A$18,0)))</f>
        <v>18.06</v>
      </c>
      <c r="M493" s="17" t="n">
        <f aca="false">J493*INDEX('04_MAQUINAS'!$G$2:$G$18,MATCH(E493,'04_MAQUINAS'!$A$2:$A$18,0))*INDEX('04_MAQUINAS'!$H$2:$H$18,MATCH(E493,'04_MAQUINAS'!$A$2:$A$18,0))</f>
        <v>0.0903</v>
      </c>
      <c r="N493" s="2" t="s">
        <v>629</v>
      </c>
    </row>
    <row r="494" customFormat="false" ht="15" hidden="false" customHeight="false" outlineLevel="0" collapsed="false">
      <c r="A494" s="2" t="s">
        <v>565</v>
      </c>
      <c r="B494" s="2" t="s">
        <v>80</v>
      </c>
      <c r="C494" s="4" t="n">
        <v>13</v>
      </c>
      <c r="D494" s="2" t="s">
        <v>452</v>
      </c>
      <c r="E494" s="2" t="s">
        <v>411</v>
      </c>
      <c r="F494" s="5" t="n">
        <f aca="false">INDEX('08_PEDIDOS'!$D$2:$D$97,MATCH(A494,'08_PEDIDOS'!$A$2:$A$97,0))</f>
        <v>13</v>
      </c>
      <c r="G494" s="5" t="n">
        <f aca="false">INDEX('08_PEDIDOS'!$H$2:$H$97,MATCH(A494,'08_PEDIDOS'!$A$2:$A$97,0))</f>
        <v>10</v>
      </c>
      <c r="H494" s="17" t="n">
        <f aca="false">SUMIFS('05_RUTAS'!$F$2:$F$407,'05_RUTAS'!$A$2:$A$407,B494,'05_RUTAS'!$C$2:$C$407,C494)</f>
        <v>2</v>
      </c>
      <c r="I494" s="18" t="n">
        <f aca="false">SUMIFS('05_RUTAS'!$G$2:$G$407,'05_RUTAS'!$A$2:$A$407,B494,'05_RUTAS'!$C$2:$C$407,C494)</f>
        <v>5.3</v>
      </c>
      <c r="J494" s="18" t="n">
        <f aca="false">(ROUNDUP(F494/G494,0)*H494+F494*I494)/60</f>
        <v>1.215</v>
      </c>
      <c r="K494" s="5" t="n">
        <f aca="false">MONTH(INDEX('08_PEDIDOS'!$F$2:$F$97,MATCH(A494,'08_PEDIDOS'!$A$2:$A$97,0)))</f>
        <v>6</v>
      </c>
      <c r="L494" s="16" t="n">
        <f aca="false">J494*N(INDEX('04_MAQUINAS'!$F$2:$F$18,MATCH(E494,'04_MAQUINAS'!$A$2:$A$18,0)))</f>
        <v>21.87</v>
      </c>
      <c r="M494" s="17" t="n">
        <f aca="false">J494*INDEX('04_MAQUINAS'!$G$2:$G$18,MATCH(E494,'04_MAQUINAS'!$A$2:$A$18,0))*INDEX('04_MAQUINAS'!$H$2:$H$18,MATCH(E494,'04_MAQUINAS'!$A$2:$A$18,0))</f>
        <v>0.10935</v>
      </c>
      <c r="N494" s="2" t="s">
        <v>629</v>
      </c>
    </row>
    <row r="495" customFormat="false" ht="15" hidden="false" customHeight="false" outlineLevel="0" collapsed="false">
      <c r="A495" s="2" t="s">
        <v>566</v>
      </c>
      <c r="B495" s="2" t="s">
        <v>83</v>
      </c>
      <c r="C495" s="4" t="n">
        <v>1</v>
      </c>
      <c r="D495" s="2" t="s">
        <v>437</v>
      </c>
      <c r="E495" s="2" t="s">
        <v>375</v>
      </c>
      <c r="F495" s="5" t="n">
        <f aca="false">INDEX('08_PEDIDOS'!$D$2:$D$97,MATCH(A495,'08_PEDIDOS'!$A$2:$A$97,0))</f>
        <v>14</v>
      </c>
      <c r="G495" s="5" t="n">
        <f aca="false">INDEX('08_PEDIDOS'!$H$2:$H$97,MATCH(A495,'08_PEDIDOS'!$A$2:$A$97,0))</f>
        <v>10</v>
      </c>
      <c r="H495" s="17" t="n">
        <f aca="false">SUMIFS('05_RUTAS'!$F$2:$F$407,'05_RUTAS'!$A$2:$A$407,B495,'05_RUTAS'!$C$2:$C$407,C495)</f>
        <v>8</v>
      </c>
      <c r="I495" s="18" t="n">
        <f aca="false">SUMIFS('05_RUTAS'!$G$2:$G$407,'05_RUTAS'!$A$2:$A$407,B495,'05_RUTAS'!$C$2:$C$407,C495)</f>
        <v>36.67</v>
      </c>
      <c r="J495" s="18" t="n">
        <f aca="false">(ROUNDUP(F495/G495,0)*H495+F495*I495)/60</f>
        <v>8.823</v>
      </c>
      <c r="K495" s="5" t="n">
        <f aca="false">MONTH(INDEX('08_PEDIDOS'!$F$2:$F$97,MATCH(A495,'08_PEDIDOS'!$A$2:$A$97,0)))</f>
        <v>6</v>
      </c>
      <c r="L495" s="16" t="n">
        <f aca="false">J495*N(INDEX('04_MAQUINAS'!$F$2:$F$18,MATCH(E495,'04_MAQUINAS'!$A$2:$A$18,0)))</f>
        <v>211.752</v>
      </c>
      <c r="M495" s="17" t="n">
        <f aca="false">J495*INDEX('04_MAQUINAS'!$G$2:$G$18,MATCH(E495,'04_MAQUINAS'!$A$2:$A$18,0))*INDEX('04_MAQUINAS'!$H$2:$H$18,MATCH(E495,'04_MAQUINAS'!$A$2:$A$18,0))</f>
        <v>24.26325</v>
      </c>
      <c r="N495" s="2" t="s">
        <v>629</v>
      </c>
    </row>
    <row r="496" customFormat="false" ht="15" hidden="false" customHeight="false" outlineLevel="0" collapsed="false">
      <c r="A496" s="2" t="s">
        <v>566</v>
      </c>
      <c r="B496" s="2" t="s">
        <v>83</v>
      </c>
      <c r="C496" s="4" t="n">
        <v>2</v>
      </c>
      <c r="D496" s="2" t="s">
        <v>441</v>
      </c>
      <c r="E496" s="2" t="s">
        <v>380</v>
      </c>
      <c r="F496" s="5" t="n">
        <f aca="false">INDEX('08_PEDIDOS'!$D$2:$D$97,MATCH(A496,'08_PEDIDOS'!$A$2:$A$97,0))</f>
        <v>14</v>
      </c>
      <c r="G496" s="5" t="n">
        <f aca="false">INDEX('08_PEDIDOS'!$H$2:$H$97,MATCH(A496,'08_PEDIDOS'!$A$2:$A$97,0))</f>
        <v>10</v>
      </c>
      <c r="H496" s="17" t="n">
        <f aca="false">SUMIFS('05_RUTAS'!$F$2:$F$407,'05_RUTAS'!$A$2:$A$407,B496,'05_RUTAS'!$C$2:$C$407,C496)</f>
        <v>8</v>
      </c>
      <c r="I496" s="18" t="n">
        <f aca="false">SUMIFS('05_RUTAS'!$G$2:$G$407,'05_RUTAS'!$A$2:$A$407,B496,'05_RUTAS'!$C$2:$C$407,C496)</f>
        <v>52</v>
      </c>
      <c r="J496" s="18" t="n">
        <f aca="false">(ROUNDUP(F496/G496,0)*H496+F496*I496)/60</f>
        <v>12.4</v>
      </c>
      <c r="K496" s="5" t="n">
        <f aca="false">MONTH(INDEX('08_PEDIDOS'!$F$2:$F$97,MATCH(A496,'08_PEDIDOS'!$A$2:$A$97,0)))</f>
        <v>6</v>
      </c>
      <c r="L496" s="16" t="n">
        <f aca="false">J496*N(INDEX('04_MAQUINAS'!$F$2:$F$18,MATCH(E496,'04_MAQUINAS'!$A$2:$A$18,0)))</f>
        <v>272.8</v>
      </c>
      <c r="M496" s="17" t="n">
        <f aca="false">J496*INDEX('04_MAQUINAS'!$G$2:$G$18,MATCH(E496,'04_MAQUINAS'!$A$2:$A$18,0))*INDEX('04_MAQUINAS'!$H$2:$H$18,MATCH(E496,'04_MAQUINAS'!$A$2:$A$18,0))</f>
        <v>5.58</v>
      </c>
      <c r="N496" s="2" t="s">
        <v>629</v>
      </c>
    </row>
    <row r="497" customFormat="false" ht="15" hidden="false" customHeight="false" outlineLevel="0" collapsed="false">
      <c r="A497" s="2" t="s">
        <v>566</v>
      </c>
      <c r="B497" s="2" t="s">
        <v>83</v>
      </c>
      <c r="C497" s="4" t="n">
        <v>3</v>
      </c>
      <c r="D497" s="2" t="s">
        <v>386</v>
      </c>
      <c r="E497" s="2" t="s">
        <v>383</v>
      </c>
      <c r="F497" s="5" t="n">
        <f aca="false">INDEX('08_PEDIDOS'!$D$2:$D$97,MATCH(A497,'08_PEDIDOS'!$A$2:$A$97,0))</f>
        <v>14</v>
      </c>
      <c r="G497" s="5" t="n">
        <f aca="false">INDEX('08_PEDIDOS'!$H$2:$H$97,MATCH(A497,'08_PEDIDOS'!$A$2:$A$97,0))</f>
        <v>10</v>
      </c>
      <c r="H497" s="17" t="n">
        <f aca="false">SUMIFS('05_RUTAS'!$F$2:$F$407,'05_RUTAS'!$A$2:$A$407,B497,'05_RUTAS'!$C$2:$C$407,C497)</f>
        <v>10</v>
      </c>
      <c r="I497" s="18" t="n">
        <f aca="false">SUMIFS('05_RUTAS'!$G$2:$G$407,'05_RUTAS'!$A$2:$A$407,B497,'05_RUTAS'!$C$2:$C$407,C497)</f>
        <v>82.1</v>
      </c>
      <c r="J497" s="18" t="n">
        <f aca="false">(ROUNDUP(F497/G497,0)*H497+F497*I497)/60</f>
        <v>19.49</v>
      </c>
      <c r="K497" s="5" t="n">
        <f aca="false">MONTH(INDEX('08_PEDIDOS'!$F$2:$F$97,MATCH(A497,'08_PEDIDOS'!$A$2:$A$97,0)))</f>
        <v>6</v>
      </c>
      <c r="L497" s="16" t="n">
        <f aca="false">J497*N(INDEX('04_MAQUINAS'!$F$2:$F$18,MATCH(E497,'04_MAQUINAS'!$A$2:$A$18,0)))</f>
        <v>428.78</v>
      </c>
      <c r="M497" s="17" t="n">
        <f aca="false">J497*INDEX('04_MAQUINAS'!$G$2:$G$18,MATCH(E497,'04_MAQUINAS'!$A$2:$A$18,0))*INDEX('04_MAQUINAS'!$H$2:$H$18,MATCH(E497,'04_MAQUINAS'!$A$2:$A$18,0))</f>
        <v>5.35975</v>
      </c>
      <c r="N497" s="2" t="s">
        <v>629</v>
      </c>
    </row>
    <row r="498" customFormat="false" ht="15" hidden="false" customHeight="false" outlineLevel="0" collapsed="false">
      <c r="A498" s="2" t="s">
        <v>566</v>
      </c>
      <c r="B498" s="2" t="s">
        <v>83</v>
      </c>
      <c r="C498" s="4" t="n">
        <v>4</v>
      </c>
      <c r="D498" s="2" t="s">
        <v>390</v>
      </c>
      <c r="E498" s="2" t="s">
        <v>387</v>
      </c>
      <c r="F498" s="5" t="n">
        <f aca="false">INDEX('08_PEDIDOS'!$D$2:$D$97,MATCH(A498,'08_PEDIDOS'!$A$2:$A$97,0))</f>
        <v>14</v>
      </c>
      <c r="G498" s="5" t="n">
        <f aca="false">INDEX('08_PEDIDOS'!$H$2:$H$97,MATCH(A498,'08_PEDIDOS'!$A$2:$A$97,0))</f>
        <v>10</v>
      </c>
      <c r="H498" s="17" t="n">
        <f aca="false">SUMIFS('05_RUTAS'!$F$2:$F$407,'05_RUTAS'!$A$2:$A$407,B498,'05_RUTAS'!$C$2:$C$407,C498)</f>
        <v>12</v>
      </c>
      <c r="I498" s="18" t="n">
        <f aca="false">SUMIFS('05_RUTAS'!$G$2:$G$407,'05_RUTAS'!$A$2:$A$407,B498,'05_RUTAS'!$C$2:$C$407,C498)</f>
        <v>69</v>
      </c>
      <c r="J498" s="18" t="n">
        <f aca="false">(ROUNDUP(F498/G498,0)*H498+F498*I498)/60</f>
        <v>16.5</v>
      </c>
      <c r="K498" s="5" t="n">
        <f aca="false">MONTH(INDEX('08_PEDIDOS'!$F$2:$F$97,MATCH(A498,'08_PEDIDOS'!$A$2:$A$97,0)))</f>
        <v>6</v>
      </c>
      <c r="L498" s="16" t="n">
        <f aca="false">J498*N(INDEX('04_MAQUINAS'!$F$2:$F$18,MATCH(E498,'04_MAQUINAS'!$A$2:$A$18,0)))</f>
        <v>462</v>
      </c>
      <c r="M498" s="17" t="n">
        <f aca="false">J498*INDEX('04_MAQUINAS'!$G$2:$G$18,MATCH(E498,'04_MAQUINAS'!$A$2:$A$18,0))*INDEX('04_MAQUINAS'!$H$2:$H$18,MATCH(E498,'04_MAQUINAS'!$A$2:$A$18,0))</f>
        <v>40.8375</v>
      </c>
      <c r="N498" s="2" t="s">
        <v>629</v>
      </c>
    </row>
    <row r="499" customFormat="false" ht="15" hidden="false" customHeight="false" outlineLevel="0" collapsed="false">
      <c r="A499" s="2" t="s">
        <v>566</v>
      </c>
      <c r="B499" s="2" t="s">
        <v>83</v>
      </c>
      <c r="C499" s="4" t="n">
        <v>5</v>
      </c>
      <c r="D499" s="2" t="s">
        <v>442</v>
      </c>
      <c r="E499" s="2" t="s">
        <v>391</v>
      </c>
      <c r="F499" s="5" t="n">
        <f aca="false">INDEX('08_PEDIDOS'!$D$2:$D$97,MATCH(A499,'08_PEDIDOS'!$A$2:$A$97,0))</f>
        <v>14</v>
      </c>
      <c r="G499" s="5" t="n">
        <f aca="false">INDEX('08_PEDIDOS'!$H$2:$H$97,MATCH(A499,'08_PEDIDOS'!$A$2:$A$97,0))</f>
        <v>10</v>
      </c>
      <c r="H499" s="17" t="n">
        <f aca="false">SUMIFS('05_RUTAS'!$F$2:$F$407,'05_RUTAS'!$A$2:$A$407,B499,'05_RUTAS'!$C$2:$C$407,C499)</f>
        <v>10</v>
      </c>
      <c r="I499" s="18" t="n">
        <f aca="false">SUMIFS('05_RUTAS'!$G$2:$G$407,'05_RUTAS'!$A$2:$A$407,B499,'05_RUTAS'!$C$2:$C$407,C499)</f>
        <v>78.4</v>
      </c>
      <c r="J499" s="18" t="n">
        <f aca="false">(ROUNDUP(F499/G499,0)*H499+F499*I499)/60</f>
        <v>18.6266666666667</v>
      </c>
      <c r="K499" s="5" t="n">
        <f aca="false">MONTH(INDEX('08_PEDIDOS'!$F$2:$F$97,MATCH(A499,'08_PEDIDOS'!$A$2:$A$97,0)))</f>
        <v>6</v>
      </c>
      <c r="L499" s="16" t="n">
        <f aca="false">J499*N(INDEX('04_MAQUINAS'!$F$2:$F$18,MATCH(E499,'04_MAQUINAS'!$A$2:$A$18,0)))</f>
        <v>596.053333333333</v>
      </c>
      <c r="M499" s="17" t="n">
        <f aca="false">J499*INDEX('04_MAQUINAS'!$G$2:$G$18,MATCH(E499,'04_MAQUINAS'!$A$2:$A$18,0))*INDEX('04_MAQUINAS'!$H$2:$H$18,MATCH(E499,'04_MAQUINAS'!$A$2:$A$18,0))</f>
        <v>32.5966666666667</v>
      </c>
      <c r="N499" s="2" t="s">
        <v>629</v>
      </c>
    </row>
    <row r="500" customFormat="false" ht="15" hidden="false" customHeight="false" outlineLevel="0" collapsed="false">
      <c r="A500" s="2" t="s">
        <v>566</v>
      </c>
      <c r="B500" s="2" t="s">
        <v>83</v>
      </c>
      <c r="C500" s="4" t="n">
        <v>6</v>
      </c>
      <c r="D500" s="2" t="s">
        <v>443</v>
      </c>
      <c r="E500" s="2" t="s">
        <v>395</v>
      </c>
      <c r="F500" s="5" t="n">
        <f aca="false">INDEX('08_PEDIDOS'!$D$2:$D$97,MATCH(A500,'08_PEDIDOS'!$A$2:$A$97,0))</f>
        <v>14</v>
      </c>
      <c r="G500" s="5" t="n">
        <f aca="false">INDEX('08_PEDIDOS'!$H$2:$H$97,MATCH(A500,'08_PEDIDOS'!$A$2:$A$97,0))</f>
        <v>10</v>
      </c>
      <c r="H500" s="17" t="n">
        <f aca="false">SUMIFS('05_RUTAS'!$F$2:$F$407,'05_RUTAS'!$A$2:$A$407,B500,'05_RUTAS'!$C$2:$C$407,C500)</f>
        <v>3</v>
      </c>
      <c r="I500" s="18" t="n">
        <f aca="false">SUMIFS('05_RUTAS'!$G$2:$G$407,'05_RUTAS'!$A$2:$A$407,B500,'05_RUTAS'!$C$2:$C$407,C500)</f>
        <v>49.5</v>
      </c>
      <c r="J500" s="18" t="n">
        <f aca="false">(ROUNDUP(F500/G500,0)*H500+F500*I500)/60</f>
        <v>11.65</v>
      </c>
      <c r="K500" s="5" t="n">
        <f aca="false">MONTH(INDEX('08_PEDIDOS'!$F$2:$F$97,MATCH(A500,'08_PEDIDOS'!$A$2:$A$97,0)))</f>
        <v>6</v>
      </c>
      <c r="L500" s="16" t="n">
        <f aca="false">J500*N(INDEX('04_MAQUINAS'!$F$2:$F$18,MATCH(E500,'04_MAQUINAS'!$A$2:$A$18,0)))</f>
        <v>244.65</v>
      </c>
      <c r="M500" s="17" t="n">
        <f aca="false">J500*INDEX('04_MAQUINAS'!$G$2:$G$18,MATCH(E500,'04_MAQUINAS'!$A$2:$A$18,0))*INDEX('04_MAQUINAS'!$H$2:$H$18,MATCH(E500,'04_MAQUINAS'!$A$2:$A$18,0))</f>
        <v>8.7375</v>
      </c>
      <c r="N500" s="2" t="s">
        <v>629</v>
      </c>
    </row>
    <row r="501" customFormat="false" ht="15" hidden="false" customHeight="false" outlineLevel="0" collapsed="false">
      <c r="A501" s="2" t="s">
        <v>566</v>
      </c>
      <c r="B501" s="2" t="s">
        <v>83</v>
      </c>
      <c r="C501" s="4" t="n">
        <v>7</v>
      </c>
      <c r="D501" s="2" t="s">
        <v>444</v>
      </c>
      <c r="E501" s="2" t="s">
        <v>399</v>
      </c>
      <c r="F501" s="5" t="n">
        <f aca="false">INDEX('08_PEDIDOS'!$D$2:$D$97,MATCH(A501,'08_PEDIDOS'!$A$2:$A$97,0))</f>
        <v>14</v>
      </c>
      <c r="G501" s="5" t="n">
        <f aca="false">INDEX('08_PEDIDOS'!$H$2:$H$97,MATCH(A501,'08_PEDIDOS'!$A$2:$A$97,0))</f>
        <v>10</v>
      </c>
      <c r="H501" s="17" t="n">
        <f aca="false">SUMIFS('05_RUTAS'!$F$2:$F$407,'05_RUTAS'!$A$2:$A$407,B501,'05_RUTAS'!$C$2:$C$407,C501)</f>
        <v>6</v>
      </c>
      <c r="I501" s="18" t="n">
        <f aca="false">SUMIFS('05_RUTAS'!$G$2:$G$407,'05_RUTAS'!$A$2:$A$407,B501,'05_RUTAS'!$C$2:$C$407,C501)</f>
        <v>32.064</v>
      </c>
      <c r="J501" s="18" t="n">
        <f aca="false">(ROUNDUP(F501/G501,0)*H501+F501*I501)/60</f>
        <v>7.6816</v>
      </c>
      <c r="K501" s="5" t="n">
        <f aca="false">MONTH(INDEX('08_PEDIDOS'!$F$2:$F$97,MATCH(A501,'08_PEDIDOS'!$A$2:$A$97,0)))</f>
        <v>6</v>
      </c>
      <c r="L501" s="16" t="n">
        <f aca="false">J501*N(INDEX('04_MAQUINAS'!$F$2:$F$18,MATCH(E501,'04_MAQUINAS'!$A$2:$A$18,0)))</f>
        <v>145.9504</v>
      </c>
      <c r="M501" s="17" t="n">
        <f aca="false">J501*INDEX('04_MAQUINAS'!$G$2:$G$18,MATCH(E501,'04_MAQUINAS'!$A$2:$A$18,0))*INDEX('04_MAQUINAS'!$H$2:$H$18,MATCH(E501,'04_MAQUINAS'!$A$2:$A$18,0))</f>
        <v>6.759808</v>
      </c>
      <c r="N501" s="2" t="s">
        <v>629</v>
      </c>
    </row>
    <row r="502" customFormat="false" ht="15" hidden="false" customHeight="false" outlineLevel="0" collapsed="false">
      <c r="A502" s="2" t="s">
        <v>566</v>
      </c>
      <c r="B502" s="2" t="s">
        <v>83</v>
      </c>
      <c r="C502" s="4" t="n">
        <v>8</v>
      </c>
      <c r="D502" s="2" t="s">
        <v>445</v>
      </c>
      <c r="E502" s="2" t="s">
        <v>402</v>
      </c>
      <c r="F502" s="5" t="n">
        <f aca="false">INDEX('08_PEDIDOS'!$D$2:$D$97,MATCH(A502,'08_PEDIDOS'!$A$2:$A$97,0))</f>
        <v>14</v>
      </c>
      <c r="G502" s="5" t="n">
        <f aca="false">INDEX('08_PEDIDOS'!$H$2:$H$97,MATCH(A502,'08_PEDIDOS'!$A$2:$A$97,0))</f>
        <v>10</v>
      </c>
      <c r="H502" s="17" t="n">
        <f aca="false">SUMIFS('05_RUTAS'!$F$2:$F$407,'05_RUTAS'!$A$2:$A$407,B502,'05_RUTAS'!$C$2:$C$407,C502)</f>
        <v>12</v>
      </c>
      <c r="I502" s="18" t="n">
        <f aca="false">SUMIFS('05_RUTAS'!$G$2:$G$407,'05_RUTAS'!$A$2:$A$407,B502,'05_RUTAS'!$C$2:$C$407,C502)</f>
        <v>8.02</v>
      </c>
      <c r="J502" s="18" t="n">
        <f aca="false">(ROUNDUP(F502/G502,0)*H502+F502*I502)/60</f>
        <v>2.27133333333333</v>
      </c>
      <c r="K502" s="5" t="n">
        <f aca="false">MONTH(INDEX('08_PEDIDOS'!$F$2:$F$97,MATCH(A502,'08_PEDIDOS'!$A$2:$A$97,0)))</f>
        <v>6</v>
      </c>
      <c r="L502" s="16" t="n">
        <f aca="false">J502*N(INDEX('04_MAQUINAS'!$F$2:$F$18,MATCH(E502,'04_MAQUINAS'!$A$2:$A$18,0)))</f>
        <v>72.6826666666667</v>
      </c>
      <c r="M502" s="17" t="n">
        <f aca="false">J502*INDEX('04_MAQUINAS'!$G$2:$G$18,MATCH(E502,'04_MAQUINAS'!$A$2:$A$18,0))*INDEX('04_MAQUINAS'!$H$2:$H$18,MATCH(E502,'04_MAQUINAS'!$A$2:$A$18,0))</f>
        <v>2.3849</v>
      </c>
      <c r="N502" s="2" t="s">
        <v>629</v>
      </c>
    </row>
    <row r="503" customFormat="false" ht="15" hidden="false" customHeight="false" outlineLevel="0" collapsed="false">
      <c r="A503" s="2" t="s">
        <v>566</v>
      </c>
      <c r="B503" s="2" t="s">
        <v>83</v>
      </c>
      <c r="C503" s="4" t="n">
        <v>9</v>
      </c>
      <c r="D503" s="2" t="s">
        <v>447</v>
      </c>
      <c r="E503" s="2" t="s">
        <v>421</v>
      </c>
      <c r="F503" s="5" t="n">
        <f aca="false">INDEX('08_PEDIDOS'!$D$2:$D$97,MATCH(A503,'08_PEDIDOS'!$A$2:$A$97,0))</f>
        <v>14</v>
      </c>
      <c r="G503" s="5" t="n">
        <f aca="false">INDEX('08_PEDIDOS'!$H$2:$H$97,MATCH(A503,'08_PEDIDOS'!$A$2:$A$97,0))</f>
        <v>10</v>
      </c>
      <c r="H503" s="17" t="n">
        <f aca="false">SUMIFS('05_RUTAS'!$F$2:$F$407,'05_RUTAS'!$A$2:$A$407,B503,'05_RUTAS'!$C$2:$C$407,C503)</f>
        <v>45</v>
      </c>
      <c r="I503" s="18" t="n">
        <f aca="false">SUMIFS('05_RUTAS'!$G$2:$G$407,'05_RUTAS'!$A$2:$A$407,B503,'05_RUTAS'!$C$2:$C$407,C503)</f>
        <v>0</v>
      </c>
      <c r="J503" s="18" t="n">
        <f aca="false">(ROUNDUP(F503/G503,0)*H503+F503*I503)/60</f>
        <v>1.5</v>
      </c>
      <c r="K503" s="5" t="n">
        <f aca="false">MONTH(INDEX('08_PEDIDOS'!$F$2:$F$97,MATCH(A503,'08_PEDIDOS'!$A$2:$A$97,0)))</f>
        <v>6</v>
      </c>
      <c r="L503" s="16" t="n">
        <f aca="false">J503*N(INDEX('04_MAQUINAS'!$F$2:$F$18,MATCH(E503,'04_MAQUINAS'!$A$2:$A$18,0)))</f>
        <v>39</v>
      </c>
      <c r="M503" s="17" t="n">
        <f aca="false">J503*INDEX('04_MAQUINAS'!$G$2:$G$18,MATCH(E503,'04_MAQUINAS'!$A$2:$A$18,0))*INDEX('04_MAQUINAS'!$H$2:$H$18,MATCH(E503,'04_MAQUINAS'!$A$2:$A$18,0))</f>
        <v>21.6</v>
      </c>
      <c r="N503" s="2" t="s">
        <v>629</v>
      </c>
    </row>
    <row r="504" customFormat="false" ht="15" hidden="false" customHeight="false" outlineLevel="0" collapsed="false">
      <c r="A504" s="2" t="s">
        <v>566</v>
      </c>
      <c r="B504" s="2" t="s">
        <v>83</v>
      </c>
      <c r="C504" s="4" t="n">
        <v>10</v>
      </c>
      <c r="D504" s="2" t="s">
        <v>449</v>
      </c>
      <c r="E504" s="2" t="s">
        <v>423</v>
      </c>
      <c r="F504" s="5" t="n">
        <f aca="false">INDEX('08_PEDIDOS'!$D$2:$D$97,MATCH(A504,'08_PEDIDOS'!$A$2:$A$97,0))</f>
        <v>14</v>
      </c>
      <c r="G504" s="5" t="n">
        <f aca="false">INDEX('08_PEDIDOS'!$H$2:$H$97,MATCH(A504,'08_PEDIDOS'!$A$2:$A$97,0))</f>
        <v>10</v>
      </c>
      <c r="H504" s="17" t="n">
        <f aca="false">SUMIFS('05_RUTAS'!$F$2:$F$407,'05_RUTAS'!$A$2:$A$407,B504,'05_RUTAS'!$C$2:$C$407,C504)</f>
        <v>8</v>
      </c>
      <c r="I504" s="18" t="n">
        <f aca="false">SUMIFS('05_RUTAS'!$G$2:$G$407,'05_RUTAS'!$A$2:$A$407,B504,'05_RUTAS'!$C$2:$C$407,C504)</f>
        <v>2.69</v>
      </c>
      <c r="J504" s="18" t="n">
        <f aca="false">(ROUNDUP(F504/G504,0)*H504+F504*I504)/60</f>
        <v>0.894333333333333</v>
      </c>
      <c r="K504" s="5" t="n">
        <f aca="false">MONTH(INDEX('08_PEDIDOS'!$F$2:$F$97,MATCH(A504,'08_PEDIDOS'!$A$2:$A$97,0)))</f>
        <v>6</v>
      </c>
      <c r="L504" s="16" t="n">
        <f aca="false">J504*N(INDEX('04_MAQUINAS'!$F$2:$F$18,MATCH(E504,'04_MAQUINAS'!$A$2:$A$18,0)))</f>
        <v>14.3093333333333</v>
      </c>
      <c r="M504" s="17" t="n">
        <f aca="false">J504*INDEX('04_MAQUINAS'!$G$2:$G$18,MATCH(E504,'04_MAQUINAS'!$A$2:$A$18,0))*INDEX('04_MAQUINAS'!$H$2:$H$18,MATCH(E504,'04_MAQUINAS'!$A$2:$A$18,0))</f>
        <v>0.223583333333333</v>
      </c>
      <c r="N504" s="2" t="s">
        <v>629</v>
      </c>
    </row>
    <row r="505" customFormat="false" ht="15" hidden="false" customHeight="false" outlineLevel="0" collapsed="false">
      <c r="A505" s="2" t="s">
        <v>566</v>
      </c>
      <c r="B505" s="2" t="s">
        <v>83</v>
      </c>
      <c r="C505" s="4" t="n">
        <v>11</v>
      </c>
      <c r="D505" s="2" t="s">
        <v>450</v>
      </c>
      <c r="E505" s="2" t="s">
        <v>406</v>
      </c>
      <c r="F505" s="5" t="n">
        <f aca="false">INDEX('08_PEDIDOS'!$D$2:$D$97,MATCH(A505,'08_PEDIDOS'!$A$2:$A$97,0))</f>
        <v>14</v>
      </c>
      <c r="G505" s="5" t="n">
        <f aca="false">INDEX('08_PEDIDOS'!$H$2:$H$97,MATCH(A505,'08_PEDIDOS'!$A$2:$A$97,0))</f>
        <v>10</v>
      </c>
      <c r="H505" s="17" t="n">
        <f aca="false">SUMIFS('05_RUTAS'!$F$2:$F$407,'05_RUTAS'!$A$2:$A$407,B505,'05_RUTAS'!$C$2:$C$407,C505)</f>
        <v>6</v>
      </c>
      <c r="I505" s="18" t="n">
        <f aca="false">SUMIFS('05_RUTAS'!$G$2:$G$407,'05_RUTAS'!$A$2:$A$407,B505,'05_RUTAS'!$C$2:$C$407,C505)</f>
        <v>62.25</v>
      </c>
      <c r="J505" s="18" t="n">
        <f aca="false">(ROUNDUP(F505/G505,0)*H505+F505*I505)/60</f>
        <v>14.725</v>
      </c>
      <c r="K505" s="5" t="n">
        <f aca="false">MONTH(INDEX('08_PEDIDOS'!$F$2:$F$97,MATCH(A505,'08_PEDIDOS'!$A$2:$A$97,0)))</f>
        <v>6</v>
      </c>
      <c r="L505" s="16" t="n">
        <f aca="false">J505*N(INDEX('04_MAQUINAS'!$F$2:$F$18,MATCH(E505,'04_MAQUINAS'!$A$2:$A$18,0)))</f>
        <v>279.775</v>
      </c>
      <c r="M505" s="17" t="n">
        <f aca="false">J505*INDEX('04_MAQUINAS'!$G$2:$G$18,MATCH(E505,'04_MAQUINAS'!$A$2:$A$18,0))*INDEX('04_MAQUINAS'!$H$2:$H$18,MATCH(E505,'04_MAQUINAS'!$A$2:$A$18,0))</f>
        <v>4.4175</v>
      </c>
      <c r="N505" s="2" t="s">
        <v>629</v>
      </c>
    </row>
    <row r="506" customFormat="false" ht="15" hidden="false" customHeight="false" outlineLevel="0" collapsed="false">
      <c r="A506" s="2" t="s">
        <v>566</v>
      </c>
      <c r="B506" s="2" t="s">
        <v>83</v>
      </c>
      <c r="C506" s="4" t="n">
        <v>12</v>
      </c>
      <c r="D506" s="2" t="s">
        <v>451</v>
      </c>
      <c r="E506" s="2" t="s">
        <v>408</v>
      </c>
      <c r="F506" s="5" t="n">
        <f aca="false">INDEX('08_PEDIDOS'!$D$2:$D$97,MATCH(A506,'08_PEDIDOS'!$A$2:$A$97,0))</f>
        <v>14</v>
      </c>
      <c r="G506" s="5" t="n">
        <f aca="false">INDEX('08_PEDIDOS'!$H$2:$H$97,MATCH(A506,'08_PEDIDOS'!$A$2:$A$97,0))</f>
        <v>10</v>
      </c>
      <c r="H506" s="17" t="n">
        <f aca="false">SUMIFS('05_RUTAS'!$F$2:$F$407,'05_RUTAS'!$A$2:$A$407,B506,'05_RUTAS'!$C$2:$C$407,C506)</f>
        <v>2</v>
      </c>
      <c r="I506" s="18" t="n">
        <f aca="false">SUMIFS('05_RUTAS'!$G$2:$G$407,'05_RUTAS'!$A$2:$A$407,B506,'05_RUTAS'!$C$2:$C$407,C506)</f>
        <v>3.86</v>
      </c>
      <c r="J506" s="18" t="n">
        <f aca="false">(ROUNDUP(F506/G506,0)*H506+F506*I506)/60</f>
        <v>0.967333333333333</v>
      </c>
      <c r="K506" s="5" t="n">
        <f aca="false">MONTH(INDEX('08_PEDIDOS'!$F$2:$F$97,MATCH(A506,'08_PEDIDOS'!$A$2:$A$97,0)))</f>
        <v>6</v>
      </c>
      <c r="L506" s="16" t="n">
        <f aca="false">J506*N(INDEX('04_MAQUINAS'!$F$2:$F$18,MATCH(E506,'04_MAQUINAS'!$A$2:$A$18,0)))</f>
        <v>19.3466666666667</v>
      </c>
      <c r="M506" s="17" t="n">
        <f aca="false">J506*INDEX('04_MAQUINAS'!$G$2:$G$18,MATCH(E506,'04_MAQUINAS'!$A$2:$A$18,0))*INDEX('04_MAQUINAS'!$H$2:$H$18,MATCH(E506,'04_MAQUINAS'!$A$2:$A$18,0))</f>
        <v>0.0967333333333333</v>
      </c>
      <c r="N506" s="2" t="s">
        <v>629</v>
      </c>
    </row>
    <row r="507" customFormat="false" ht="15" hidden="false" customHeight="false" outlineLevel="0" collapsed="false">
      <c r="A507" s="2" t="s">
        <v>566</v>
      </c>
      <c r="B507" s="2" t="s">
        <v>83</v>
      </c>
      <c r="C507" s="4" t="n">
        <v>13</v>
      </c>
      <c r="D507" s="2" t="s">
        <v>452</v>
      </c>
      <c r="E507" s="2" t="s">
        <v>411</v>
      </c>
      <c r="F507" s="5" t="n">
        <f aca="false">INDEX('08_PEDIDOS'!$D$2:$D$97,MATCH(A507,'08_PEDIDOS'!$A$2:$A$97,0))</f>
        <v>14</v>
      </c>
      <c r="G507" s="5" t="n">
        <f aca="false">INDEX('08_PEDIDOS'!$H$2:$H$97,MATCH(A507,'08_PEDIDOS'!$A$2:$A$97,0))</f>
        <v>10</v>
      </c>
      <c r="H507" s="17" t="n">
        <f aca="false">SUMIFS('05_RUTAS'!$F$2:$F$407,'05_RUTAS'!$A$2:$A$407,B507,'05_RUTAS'!$C$2:$C$407,C507)</f>
        <v>2</v>
      </c>
      <c r="I507" s="18" t="n">
        <f aca="false">SUMIFS('05_RUTAS'!$G$2:$G$407,'05_RUTAS'!$A$2:$A$407,B507,'05_RUTAS'!$C$2:$C$407,C507)</f>
        <v>5.3</v>
      </c>
      <c r="J507" s="18" t="n">
        <f aca="false">(ROUNDUP(F507/G507,0)*H507+F507*I507)/60</f>
        <v>1.30333333333333</v>
      </c>
      <c r="K507" s="5" t="n">
        <f aca="false">MONTH(INDEX('08_PEDIDOS'!$F$2:$F$97,MATCH(A507,'08_PEDIDOS'!$A$2:$A$97,0)))</f>
        <v>6</v>
      </c>
      <c r="L507" s="16" t="n">
        <f aca="false">J507*N(INDEX('04_MAQUINAS'!$F$2:$F$18,MATCH(E507,'04_MAQUINAS'!$A$2:$A$18,0)))</f>
        <v>23.46</v>
      </c>
      <c r="M507" s="17" t="n">
        <f aca="false">J507*INDEX('04_MAQUINAS'!$G$2:$G$18,MATCH(E507,'04_MAQUINAS'!$A$2:$A$18,0))*INDEX('04_MAQUINAS'!$H$2:$H$18,MATCH(E507,'04_MAQUINAS'!$A$2:$A$18,0))</f>
        <v>0.1173</v>
      </c>
      <c r="N507" s="2" t="s">
        <v>629</v>
      </c>
    </row>
    <row r="508" customFormat="false" ht="15" hidden="false" customHeight="false" outlineLevel="0" collapsed="false">
      <c r="A508" s="2" t="s">
        <v>567</v>
      </c>
      <c r="B508" s="2" t="s">
        <v>94</v>
      </c>
      <c r="C508" s="4" t="n">
        <v>1</v>
      </c>
      <c r="D508" s="2" t="s">
        <v>437</v>
      </c>
      <c r="E508" s="2" t="s">
        <v>375</v>
      </c>
      <c r="F508" s="5" t="n">
        <f aca="false">INDEX('08_PEDIDOS'!$D$2:$D$97,MATCH(A508,'08_PEDIDOS'!$A$2:$A$97,0))</f>
        <v>8</v>
      </c>
      <c r="G508" s="5" t="n">
        <f aca="false">INDEX('08_PEDIDOS'!$H$2:$H$97,MATCH(A508,'08_PEDIDOS'!$A$2:$A$97,0))</f>
        <v>10</v>
      </c>
      <c r="H508" s="17" t="n">
        <f aca="false">SUMIFS('05_RUTAS'!$F$2:$F$407,'05_RUTAS'!$A$2:$A$407,B508,'05_RUTAS'!$C$2:$C$407,C508)</f>
        <v>8</v>
      </c>
      <c r="I508" s="18" t="n">
        <f aca="false">SUMIFS('05_RUTAS'!$G$2:$G$407,'05_RUTAS'!$A$2:$A$407,B508,'05_RUTAS'!$C$2:$C$407,C508)</f>
        <v>90.38</v>
      </c>
      <c r="J508" s="18" t="n">
        <f aca="false">(ROUNDUP(F508/G508,0)*H508+F508*I508)/60</f>
        <v>12.184</v>
      </c>
      <c r="K508" s="5" t="n">
        <f aca="false">MONTH(INDEX('08_PEDIDOS'!$F$2:$F$97,MATCH(A508,'08_PEDIDOS'!$A$2:$A$97,0)))</f>
        <v>6</v>
      </c>
      <c r="L508" s="16" t="n">
        <f aca="false">J508*N(INDEX('04_MAQUINAS'!$F$2:$F$18,MATCH(E508,'04_MAQUINAS'!$A$2:$A$18,0)))</f>
        <v>292.416</v>
      </c>
      <c r="M508" s="17" t="n">
        <f aca="false">J508*INDEX('04_MAQUINAS'!$G$2:$G$18,MATCH(E508,'04_MAQUINAS'!$A$2:$A$18,0))*INDEX('04_MAQUINAS'!$H$2:$H$18,MATCH(E508,'04_MAQUINAS'!$A$2:$A$18,0))</f>
        <v>33.506</v>
      </c>
      <c r="N508" s="2" t="s">
        <v>629</v>
      </c>
    </row>
    <row r="509" customFormat="false" ht="15" hidden="false" customHeight="false" outlineLevel="0" collapsed="false">
      <c r="A509" s="2" t="s">
        <v>567</v>
      </c>
      <c r="B509" s="2" t="s">
        <v>94</v>
      </c>
      <c r="C509" s="4" t="n">
        <v>2</v>
      </c>
      <c r="D509" s="2" t="s">
        <v>441</v>
      </c>
      <c r="E509" s="2" t="s">
        <v>380</v>
      </c>
      <c r="F509" s="5" t="n">
        <f aca="false">INDEX('08_PEDIDOS'!$D$2:$D$97,MATCH(A509,'08_PEDIDOS'!$A$2:$A$97,0))</f>
        <v>8</v>
      </c>
      <c r="G509" s="5" t="n">
        <f aca="false">INDEX('08_PEDIDOS'!$H$2:$H$97,MATCH(A509,'08_PEDIDOS'!$A$2:$A$97,0))</f>
        <v>10</v>
      </c>
      <c r="H509" s="17" t="n">
        <f aca="false">SUMIFS('05_RUTAS'!$F$2:$F$407,'05_RUTAS'!$A$2:$A$407,B509,'05_RUTAS'!$C$2:$C$407,C509)</f>
        <v>8</v>
      </c>
      <c r="I509" s="18" t="n">
        <f aca="false">SUMIFS('05_RUTAS'!$G$2:$G$407,'05_RUTAS'!$A$2:$A$407,B509,'05_RUTAS'!$C$2:$C$407,C509)</f>
        <v>5.98</v>
      </c>
      <c r="J509" s="18" t="n">
        <f aca="false">(ROUNDUP(F509/G509,0)*H509+F509*I509)/60</f>
        <v>0.930666666666667</v>
      </c>
      <c r="K509" s="5" t="n">
        <f aca="false">MONTH(INDEX('08_PEDIDOS'!$F$2:$F$97,MATCH(A509,'08_PEDIDOS'!$A$2:$A$97,0)))</f>
        <v>6</v>
      </c>
      <c r="L509" s="16" t="n">
        <f aca="false">J509*N(INDEX('04_MAQUINAS'!$F$2:$F$18,MATCH(E509,'04_MAQUINAS'!$A$2:$A$18,0)))</f>
        <v>20.4746666666667</v>
      </c>
      <c r="M509" s="17" t="n">
        <f aca="false">J509*INDEX('04_MAQUINAS'!$G$2:$G$18,MATCH(E509,'04_MAQUINAS'!$A$2:$A$18,0))*INDEX('04_MAQUINAS'!$H$2:$H$18,MATCH(E509,'04_MAQUINAS'!$A$2:$A$18,0))</f>
        <v>0.4188</v>
      </c>
      <c r="N509" s="2" t="s">
        <v>629</v>
      </c>
    </row>
    <row r="510" customFormat="false" ht="15" hidden="false" customHeight="false" outlineLevel="0" collapsed="false">
      <c r="A510" s="2" t="s">
        <v>567</v>
      </c>
      <c r="B510" s="2" t="s">
        <v>94</v>
      </c>
      <c r="C510" s="4" t="n">
        <v>3</v>
      </c>
      <c r="D510" s="2" t="s">
        <v>386</v>
      </c>
      <c r="E510" s="2" t="s">
        <v>383</v>
      </c>
      <c r="F510" s="5" t="n">
        <f aca="false">INDEX('08_PEDIDOS'!$D$2:$D$97,MATCH(A510,'08_PEDIDOS'!$A$2:$A$97,0))</f>
        <v>8</v>
      </c>
      <c r="G510" s="5" t="n">
        <f aca="false">INDEX('08_PEDIDOS'!$H$2:$H$97,MATCH(A510,'08_PEDIDOS'!$A$2:$A$97,0))</f>
        <v>10</v>
      </c>
      <c r="H510" s="17" t="n">
        <f aca="false">SUMIFS('05_RUTAS'!$F$2:$F$407,'05_RUTAS'!$A$2:$A$407,B510,'05_RUTAS'!$C$2:$C$407,C510)</f>
        <v>10</v>
      </c>
      <c r="I510" s="18" t="n">
        <f aca="false">SUMIFS('05_RUTAS'!$G$2:$G$407,'05_RUTAS'!$A$2:$A$407,B510,'05_RUTAS'!$C$2:$C$407,C510)</f>
        <v>97</v>
      </c>
      <c r="J510" s="18" t="n">
        <f aca="false">(ROUNDUP(F510/G510,0)*H510+F510*I510)/60</f>
        <v>13.1</v>
      </c>
      <c r="K510" s="5" t="n">
        <f aca="false">MONTH(INDEX('08_PEDIDOS'!$F$2:$F$97,MATCH(A510,'08_PEDIDOS'!$A$2:$A$97,0)))</f>
        <v>6</v>
      </c>
      <c r="L510" s="16" t="n">
        <f aca="false">J510*N(INDEX('04_MAQUINAS'!$F$2:$F$18,MATCH(E510,'04_MAQUINAS'!$A$2:$A$18,0)))</f>
        <v>288.2</v>
      </c>
      <c r="M510" s="17" t="n">
        <f aca="false">J510*INDEX('04_MAQUINAS'!$G$2:$G$18,MATCH(E510,'04_MAQUINAS'!$A$2:$A$18,0))*INDEX('04_MAQUINAS'!$H$2:$H$18,MATCH(E510,'04_MAQUINAS'!$A$2:$A$18,0))</f>
        <v>3.6025</v>
      </c>
      <c r="N510" s="2" t="s">
        <v>629</v>
      </c>
    </row>
    <row r="511" customFormat="false" ht="15" hidden="false" customHeight="false" outlineLevel="0" collapsed="false">
      <c r="A511" s="2" t="s">
        <v>567</v>
      </c>
      <c r="B511" s="2" t="s">
        <v>94</v>
      </c>
      <c r="C511" s="4" t="n">
        <v>4</v>
      </c>
      <c r="D511" s="2" t="s">
        <v>390</v>
      </c>
      <c r="E511" s="2" t="s">
        <v>387</v>
      </c>
      <c r="F511" s="5" t="n">
        <f aca="false">INDEX('08_PEDIDOS'!$D$2:$D$97,MATCH(A511,'08_PEDIDOS'!$A$2:$A$97,0))</f>
        <v>8</v>
      </c>
      <c r="G511" s="5" t="n">
        <f aca="false">INDEX('08_PEDIDOS'!$H$2:$H$97,MATCH(A511,'08_PEDIDOS'!$A$2:$A$97,0))</f>
        <v>10</v>
      </c>
      <c r="H511" s="17" t="n">
        <f aca="false">SUMIFS('05_RUTAS'!$F$2:$F$407,'05_RUTAS'!$A$2:$A$407,B511,'05_RUTAS'!$C$2:$C$407,C511)</f>
        <v>12</v>
      </c>
      <c r="I511" s="18" t="n">
        <f aca="false">SUMIFS('05_RUTAS'!$G$2:$G$407,'05_RUTAS'!$A$2:$A$407,B511,'05_RUTAS'!$C$2:$C$407,C511)</f>
        <v>196</v>
      </c>
      <c r="J511" s="18" t="n">
        <f aca="false">(ROUNDUP(F511/G511,0)*H511+F511*I511)/60</f>
        <v>26.3333333333333</v>
      </c>
      <c r="K511" s="5" t="n">
        <f aca="false">MONTH(INDEX('08_PEDIDOS'!$F$2:$F$97,MATCH(A511,'08_PEDIDOS'!$A$2:$A$97,0)))</f>
        <v>6</v>
      </c>
      <c r="L511" s="16" t="n">
        <f aca="false">J511*N(INDEX('04_MAQUINAS'!$F$2:$F$18,MATCH(E511,'04_MAQUINAS'!$A$2:$A$18,0)))</f>
        <v>737.333333333333</v>
      </c>
      <c r="M511" s="17" t="n">
        <f aca="false">J511*INDEX('04_MAQUINAS'!$G$2:$G$18,MATCH(E511,'04_MAQUINAS'!$A$2:$A$18,0))*INDEX('04_MAQUINAS'!$H$2:$H$18,MATCH(E511,'04_MAQUINAS'!$A$2:$A$18,0))</f>
        <v>65.175</v>
      </c>
      <c r="N511" s="2" t="s">
        <v>629</v>
      </c>
    </row>
    <row r="512" customFormat="false" ht="15" hidden="false" customHeight="false" outlineLevel="0" collapsed="false">
      <c r="A512" s="2" t="s">
        <v>567</v>
      </c>
      <c r="B512" s="2" t="s">
        <v>94</v>
      </c>
      <c r="C512" s="4" t="n">
        <v>5</v>
      </c>
      <c r="D512" s="2" t="s">
        <v>443</v>
      </c>
      <c r="E512" s="2" t="s">
        <v>395</v>
      </c>
      <c r="F512" s="5" t="n">
        <f aca="false">INDEX('08_PEDIDOS'!$D$2:$D$97,MATCH(A512,'08_PEDIDOS'!$A$2:$A$97,0))</f>
        <v>8</v>
      </c>
      <c r="G512" s="5" t="n">
        <f aca="false">INDEX('08_PEDIDOS'!$H$2:$H$97,MATCH(A512,'08_PEDIDOS'!$A$2:$A$97,0))</f>
        <v>10</v>
      </c>
      <c r="H512" s="17" t="n">
        <f aca="false">SUMIFS('05_RUTAS'!$F$2:$F$407,'05_RUTAS'!$A$2:$A$407,B512,'05_RUTAS'!$C$2:$C$407,C512)</f>
        <v>3</v>
      </c>
      <c r="I512" s="18" t="n">
        <f aca="false">SUMIFS('05_RUTAS'!$G$2:$G$407,'05_RUTAS'!$A$2:$A$407,B512,'05_RUTAS'!$C$2:$C$407,C512)</f>
        <v>51</v>
      </c>
      <c r="J512" s="18" t="n">
        <f aca="false">(ROUNDUP(F512/G512,0)*H512+F512*I512)/60</f>
        <v>6.85</v>
      </c>
      <c r="K512" s="5" t="n">
        <f aca="false">MONTH(INDEX('08_PEDIDOS'!$F$2:$F$97,MATCH(A512,'08_PEDIDOS'!$A$2:$A$97,0)))</f>
        <v>6</v>
      </c>
      <c r="L512" s="16" t="n">
        <f aca="false">J512*N(INDEX('04_MAQUINAS'!$F$2:$F$18,MATCH(E512,'04_MAQUINAS'!$A$2:$A$18,0)))</f>
        <v>143.85</v>
      </c>
      <c r="M512" s="17" t="n">
        <f aca="false">J512*INDEX('04_MAQUINAS'!$G$2:$G$18,MATCH(E512,'04_MAQUINAS'!$A$2:$A$18,0))*INDEX('04_MAQUINAS'!$H$2:$H$18,MATCH(E512,'04_MAQUINAS'!$A$2:$A$18,0))</f>
        <v>5.1375</v>
      </c>
      <c r="N512" s="2" t="s">
        <v>629</v>
      </c>
    </row>
    <row r="513" customFormat="false" ht="15" hidden="false" customHeight="false" outlineLevel="0" collapsed="false">
      <c r="A513" s="2" t="s">
        <v>567</v>
      </c>
      <c r="B513" s="2" t="s">
        <v>94</v>
      </c>
      <c r="C513" s="4" t="n">
        <v>6</v>
      </c>
      <c r="D513" s="2" t="s">
        <v>444</v>
      </c>
      <c r="E513" s="2" t="s">
        <v>399</v>
      </c>
      <c r="F513" s="5" t="n">
        <f aca="false">INDEX('08_PEDIDOS'!$D$2:$D$97,MATCH(A513,'08_PEDIDOS'!$A$2:$A$97,0))</f>
        <v>8</v>
      </c>
      <c r="G513" s="5" t="n">
        <f aca="false">INDEX('08_PEDIDOS'!$H$2:$H$97,MATCH(A513,'08_PEDIDOS'!$A$2:$A$97,0))</f>
        <v>10</v>
      </c>
      <c r="H513" s="17" t="n">
        <f aca="false">SUMIFS('05_RUTAS'!$F$2:$F$407,'05_RUTAS'!$A$2:$A$407,B513,'05_RUTAS'!$C$2:$C$407,C513)</f>
        <v>6</v>
      </c>
      <c r="I513" s="18" t="n">
        <f aca="false">SUMIFS('05_RUTAS'!$G$2:$G$407,'05_RUTAS'!$A$2:$A$407,B513,'05_RUTAS'!$C$2:$C$407,C513)</f>
        <v>40.5152</v>
      </c>
      <c r="J513" s="18" t="n">
        <f aca="false">(ROUNDUP(F513/G513,0)*H513+F513*I513)/60</f>
        <v>5.50202666666667</v>
      </c>
      <c r="K513" s="5" t="n">
        <f aca="false">MONTH(INDEX('08_PEDIDOS'!$F$2:$F$97,MATCH(A513,'08_PEDIDOS'!$A$2:$A$97,0)))</f>
        <v>6</v>
      </c>
      <c r="L513" s="16" t="n">
        <f aca="false">J513*N(INDEX('04_MAQUINAS'!$F$2:$F$18,MATCH(E513,'04_MAQUINAS'!$A$2:$A$18,0)))</f>
        <v>104.538506666667</v>
      </c>
      <c r="M513" s="17" t="n">
        <f aca="false">J513*INDEX('04_MAQUINAS'!$G$2:$G$18,MATCH(E513,'04_MAQUINAS'!$A$2:$A$18,0))*INDEX('04_MAQUINAS'!$H$2:$H$18,MATCH(E513,'04_MAQUINAS'!$A$2:$A$18,0))</f>
        <v>4.84178346666667</v>
      </c>
      <c r="N513" s="2" t="s">
        <v>629</v>
      </c>
    </row>
    <row r="514" customFormat="false" ht="15" hidden="false" customHeight="false" outlineLevel="0" collapsed="false">
      <c r="A514" s="2" t="s">
        <v>567</v>
      </c>
      <c r="B514" s="2" t="s">
        <v>94</v>
      </c>
      <c r="C514" s="4" t="n">
        <v>7</v>
      </c>
      <c r="D514" s="2" t="s">
        <v>445</v>
      </c>
      <c r="E514" s="2" t="s">
        <v>402</v>
      </c>
      <c r="F514" s="5" t="n">
        <f aca="false">INDEX('08_PEDIDOS'!$D$2:$D$97,MATCH(A514,'08_PEDIDOS'!$A$2:$A$97,0))</f>
        <v>8</v>
      </c>
      <c r="G514" s="5" t="n">
        <f aca="false">INDEX('08_PEDIDOS'!$H$2:$H$97,MATCH(A514,'08_PEDIDOS'!$A$2:$A$97,0))</f>
        <v>10</v>
      </c>
      <c r="H514" s="17" t="n">
        <f aca="false">SUMIFS('05_RUTAS'!$F$2:$F$407,'05_RUTAS'!$A$2:$A$407,B514,'05_RUTAS'!$C$2:$C$407,C514)</f>
        <v>12</v>
      </c>
      <c r="I514" s="18" t="n">
        <f aca="false">SUMIFS('05_RUTAS'!$G$2:$G$407,'05_RUTAS'!$A$2:$A$407,B514,'05_RUTAS'!$C$2:$C$407,C514)</f>
        <v>7.76</v>
      </c>
      <c r="J514" s="18" t="n">
        <f aca="false">(ROUNDUP(F514/G514,0)*H514+F514*I514)/60</f>
        <v>1.23466666666667</v>
      </c>
      <c r="K514" s="5" t="n">
        <f aca="false">MONTH(INDEX('08_PEDIDOS'!$F$2:$F$97,MATCH(A514,'08_PEDIDOS'!$A$2:$A$97,0)))</f>
        <v>6</v>
      </c>
      <c r="L514" s="16" t="n">
        <f aca="false">J514*N(INDEX('04_MAQUINAS'!$F$2:$F$18,MATCH(E514,'04_MAQUINAS'!$A$2:$A$18,0)))</f>
        <v>39.5093333333333</v>
      </c>
      <c r="M514" s="17" t="n">
        <f aca="false">J514*INDEX('04_MAQUINAS'!$G$2:$G$18,MATCH(E514,'04_MAQUINAS'!$A$2:$A$18,0))*INDEX('04_MAQUINAS'!$H$2:$H$18,MATCH(E514,'04_MAQUINAS'!$A$2:$A$18,0))</f>
        <v>1.2964</v>
      </c>
      <c r="N514" s="2" t="s">
        <v>629</v>
      </c>
    </row>
    <row r="515" customFormat="false" ht="15" hidden="false" customHeight="false" outlineLevel="0" collapsed="false">
      <c r="A515" s="2" t="s">
        <v>567</v>
      </c>
      <c r="B515" s="2" t="s">
        <v>94</v>
      </c>
      <c r="C515" s="4" t="n">
        <v>8</v>
      </c>
      <c r="D515" s="2" t="s">
        <v>447</v>
      </c>
      <c r="E515" s="2" t="s">
        <v>421</v>
      </c>
      <c r="F515" s="5" t="n">
        <f aca="false">INDEX('08_PEDIDOS'!$D$2:$D$97,MATCH(A515,'08_PEDIDOS'!$A$2:$A$97,0))</f>
        <v>8</v>
      </c>
      <c r="G515" s="5" t="n">
        <f aca="false">INDEX('08_PEDIDOS'!$H$2:$H$97,MATCH(A515,'08_PEDIDOS'!$A$2:$A$97,0))</f>
        <v>10</v>
      </c>
      <c r="H515" s="17" t="n">
        <f aca="false">SUMIFS('05_RUTAS'!$F$2:$F$407,'05_RUTAS'!$A$2:$A$407,B515,'05_RUTAS'!$C$2:$C$407,C515)</f>
        <v>45</v>
      </c>
      <c r="I515" s="18" t="n">
        <f aca="false">SUMIFS('05_RUTAS'!$G$2:$G$407,'05_RUTAS'!$A$2:$A$407,B515,'05_RUTAS'!$C$2:$C$407,C515)</f>
        <v>0</v>
      </c>
      <c r="J515" s="18" t="n">
        <f aca="false">(ROUNDUP(F515/G515,0)*H515+F515*I515)/60</f>
        <v>0.75</v>
      </c>
      <c r="K515" s="5" t="n">
        <f aca="false">MONTH(INDEX('08_PEDIDOS'!$F$2:$F$97,MATCH(A515,'08_PEDIDOS'!$A$2:$A$97,0)))</f>
        <v>6</v>
      </c>
      <c r="L515" s="16" t="n">
        <f aca="false">J515*N(INDEX('04_MAQUINAS'!$F$2:$F$18,MATCH(E515,'04_MAQUINAS'!$A$2:$A$18,0)))</f>
        <v>19.5</v>
      </c>
      <c r="M515" s="17" t="n">
        <f aca="false">J515*INDEX('04_MAQUINAS'!$G$2:$G$18,MATCH(E515,'04_MAQUINAS'!$A$2:$A$18,0))*INDEX('04_MAQUINAS'!$H$2:$H$18,MATCH(E515,'04_MAQUINAS'!$A$2:$A$18,0))</f>
        <v>10.8</v>
      </c>
      <c r="N515" s="2" t="s">
        <v>629</v>
      </c>
    </row>
    <row r="516" customFormat="false" ht="15" hidden="false" customHeight="false" outlineLevel="0" collapsed="false">
      <c r="A516" s="2" t="s">
        <v>567</v>
      </c>
      <c r="B516" s="2" t="s">
        <v>94</v>
      </c>
      <c r="C516" s="4" t="n">
        <v>9</v>
      </c>
      <c r="D516" s="2" t="s">
        <v>449</v>
      </c>
      <c r="E516" s="2" t="s">
        <v>423</v>
      </c>
      <c r="F516" s="5" t="n">
        <f aca="false">INDEX('08_PEDIDOS'!$D$2:$D$97,MATCH(A516,'08_PEDIDOS'!$A$2:$A$97,0))</f>
        <v>8</v>
      </c>
      <c r="G516" s="5" t="n">
        <f aca="false">INDEX('08_PEDIDOS'!$H$2:$H$97,MATCH(A516,'08_PEDIDOS'!$A$2:$A$97,0))</f>
        <v>10</v>
      </c>
      <c r="H516" s="17" t="n">
        <f aca="false">SUMIFS('05_RUTAS'!$F$2:$F$407,'05_RUTAS'!$A$2:$A$407,B516,'05_RUTAS'!$C$2:$C$407,C516)</f>
        <v>8</v>
      </c>
      <c r="I516" s="18" t="n">
        <f aca="false">SUMIFS('05_RUTAS'!$G$2:$G$407,'05_RUTAS'!$A$2:$A$407,B516,'05_RUTAS'!$C$2:$C$407,C516)</f>
        <v>2.63</v>
      </c>
      <c r="J516" s="18" t="n">
        <f aca="false">(ROUNDUP(F516/G516,0)*H516+F516*I516)/60</f>
        <v>0.484</v>
      </c>
      <c r="K516" s="5" t="n">
        <f aca="false">MONTH(INDEX('08_PEDIDOS'!$F$2:$F$97,MATCH(A516,'08_PEDIDOS'!$A$2:$A$97,0)))</f>
        <v>6</v>
      </c>
      <c r="L516" s="16" t="n">
        <f aca="false">J516*N(INDEX('04_MAQUINAS'!$F$2:$F$18,MATCH(E516,'04_MAQUINAS'!$A$2:$A$18,0)))</f>
        <v>7.744</v>
      </c>
      <c r="M516" s="17" t="n">
        <f aca="false">J516*INDEX('04_MAQUINAS'!$G$2:$G$18,MATCH(E516,'04_MAQUINAS'!$A$2:$A$18,0))*INDEX('04_MAQUINAS'!$H$2:$H$18,MATCH(E516,'04_MAQUINAS'!$A$2:$A$18,0))</f>
        <v>0.121</v>
      </c>
      <c r="N516" s="2" t="s">
        <v>629</v>
      </c>
    </row>
    <row r="517" customFormat="false" ht="15" hidden="false" customHeight="false" outlineLevel="0" collapsed="false">
      <c r="A517" s="2" t="s">
        <v>567</v>
      </c>
      <c r="B517" s="2" t="s">
        <v>94</v>
      </c>
      <c r="C517" s="4" t="n">
        <v>10</v>
      </c>
      <c r="D517" s="2" t="s">
        <v>450</v>
      </c>
      <c r="E517" s="2" t="s">
        <v>406</v>
      </c>
      <c r="F517" s="5" t="n">
        <f aca="false">INDEX('08_PEDIDOS'!$D$2:$D$97,MATCH(A517,'08_PEDIDOS'!$A$2:$A$97,0))</f>
        <v>8</v>
      </c>
      <c r="G517" s="5" t="n">
        <f aca="false">INDEX('08_PEDIDOS'!$H$2:$H$97,MATCH(A517,'08_PEDIDOS'!$A$2:$A$97,0))</f>
        <v>10</v>
      </c>
      <c r="H517" s="17" t="n">
        <f aca="false">SUMIFS('05_RUTAS'!$F$2:$F$407,'05_RUTAS'!$A$2:$A$407,B517,'05_RUTAS'!$C$2:$C$407,C517)</f>
        <v>6</v>
      </c>
      <c r="I517" s="18" t="n">
        <f aca="false">SUMIFS('05_RUTAS'!$G$2:$G$407,'05_RUTAS'!$A$2:$A$407,B517,'05_RUTAS'!$C$2:$C$407,C517)</f>
        <v>69</v>
      </c>
      <c r="J517" s="18" t="n">
        <f aca="false">(ROUNDUP(F517/G517,0)*H517+F517*I517)/60</f>
        <v>9.3</v>
      </c>
      <c r="K517" s="5" t="n">
        <f aca="false">MONTH(INDEX('08_PEDIDOS'!$F$2:$F$97,MATCH(A517,'08_PEDIDOS'!$A$2:$A$97,0)))</f>
        <v>6</v>
      </c>
      <c r="L517" s="16" t="n">
        <f aca="false">J517*N(INDEX('04_MAQUINAS'!$F$2:$F$18,MATCH(E517,'04_MAQUINAS'!$A$2:$A$18,0)))</f>
        <v>176.7</v>
      </c>
      <c r="M517" s="17" t="n">
        <f aca="false">J517*INDEX('04_MAQUINAS'!$G$2:$G$18,MATCH(E517,'04_MAQUINAS'!$A$2:$A$18,0))*INDEX('04_MAQUINAS'!$H$2:$H$18,MATCH(E517,'04_MAQUINAS'!$A$2:$A$18,0))</f>
        <v>2.79</v>
      </c>
      <c r="N517" s="2" t="s">
        <v>629</v>
      </c>
    </row>
    <row r="518" customFormat="false" ht="15" hidden="false" customHeight="false" outlineLevel="0" collapsed="false">
      <c r="A518" s="2" t="s">
        <v>567</v>
      </c>
      <c r="B518" s="2" t="s">
        <v>94</v>
      </c>
      <c r="C518" s="4" t="n">
        <v>11</v>
      </c>
      <c r="D518" s="2" t="s">
        <v>451</v>
      </c>
      <c r="E518" s="2" t="s">
        <v>408</v>
      </c>
      <c r="F518" s="5" t="n">
        <f aca="false">INDEX('08_PEDIDOS'!$D$2:$D$97,MATCH(A518,'08_PEDIDOS'!$A$2:$A$97,0))</f>
        <v>8</v>
      </c>
      <c r="G518" s="5" t="n">
        <f aca="false">INDEX('08_PEDIDOS'!$H$2:$H$97,MATCH(A518,'08_PEDIDOS'!$A$2:$A$97,0))</f>
        <v>10</v>
      </c>
      <c r="H518" s="17" t="n">
        <f aca="false">SUMIFS('05_RUTAS'!$F$2:$F$407,'05_RUTAS'!$A$2:$A$407,B518,'05_RUTAS'!$C$2:$C$407,C518)</f>
        <v>2</v>
      </c>
      <c r="I518" s="18" t="n">
        <f aca="false">SUMIFS('05_RUTAS'!$G$2:$G$407,'05_RUTAS'!$A$2:$A$407,B518,'05_RUTAS'!$C$2:$C$407,C518)</f>
        <v>3.79</v>
      </c>
      <c r="J518" s="18" t="n">
        <f aca="false">(ROUNDUP(F518/G518,0)*H518+F518*I518)/60</f>
        <v>0.538666666666667</v>
      </c>
      <c r="K518" s="5" t="n">
        <f aca="false">MONTH(INDEX('08_PEDIDOS'!$F$2:$F$97,MATCH(A518,'08_PEDIDOS'!$A$2:$A$97,0)))</f>
        <v>6</v>
      </c>
      <c r="L518" s="16" t="n">
        <f aca="false">J518*N(INDEX('04_MAQUINAS'!$F$2:$F$18,MATCH(E518,'04_MAQUINAS'!$A$2:$A$18,0)))</f>
        <v>10.7733333333333</v>
      </c>
      <c r="M518" s="17" t="n">
        <f aca="false">J518*INDEX('04_MAQUINAS'!$G$2:$G$18,MATCH(E518,'04_MAQUINAS'!$A$2:$A$18,0))*INDEX('04_MAQUINAS'!$H$2:$H$18,MATCH(E518,'04_MAQUINAS'!$A$2:$A$18,0))</f>
        <v>0.0538666666666667</v>
      </c>
      <c r="N518" s="2" t="s">
        <v>629</v>
      </c>
    </row>
    <row r="519" customFormat="false" ht="15" hidden="false" customHeight="false" outlineLevel="0" collapsed="false">
      <c r="A519" s="2" t="s">
        <v>567</v>
      </c>
      <c r="B519" s="2" t="s">
        <v>94</v>
      </c>
      <c r="C519" s="4" t="n">
        <v>12</v>
      </c>
      <c r="D519" s="2" t="s">
        <v>452</v>
      </c>
      <c r="E519" s="2" t="s">
        <v>411</v>
      </c>
      <c r="F519" s="5" t="n">
        <f aca="false">INDEX('08_PEDIDOS'!$D$2:$D$97,MATCH(A519,'08_PEDIDOS'!$A$2:$A$97,0))</f>
        <v>8</v>
      </c>
      <c r="G519" s="5" t="n">
        <f aca="false">INDEX('08_PEDIDOS'!$H$2:$H$97,MATCH(A519,'08_PEDIDOS'!$A$2:$A$97,0))</f>
        <v>10</v>
      </c>
      <c r="H519" s="17" t="n">
        <f aca="false">SUMIFS('05_RUTAS'!$F$2:$F$407,'05_RUTAS'!$A$2:$A$407,B519,'05_RUTAS'!$C$2:$C$407,C519)</f>
        <v>2</v>
      </c>
      <c r="I519" s="18" t="n">
        <f aca="false">SUMIFS('05_RUTAS'!$G$2:$G$407,'05_RUTAS'!$A$2:$A$407,B519,'05_RUTAS'!$C$2:$C$407,C519)</f>
        <v>5.18</v>
      </c>
      <c r="J519" s="18" t="n">
        <f aca="false">(ROUNDUP(F519/G519,0)*H519+F519*I519)/60</f>
        <v>0.724</v>
      </c>
      <c r="K519" s="5" t="n">
        <f aca="false">MONTH(INDEX('08_PEDIDOS'!$F$2:$F$97,MATCH(A519,'08_PEDIDOS'!$A$2:$A$97,0)))</f>
        <v>6</v>
      </c>
      <c r="L519" s="16" t="n">
        <f aca="false">J519*N(INDEX('04_MAQUINAS'!$F$2:$F$18,MATCH(E519,'04_MAQUINAS'!$A$2:$A$18,0)))</f>
        <v>13.032</v>
      </c>
      <c r="M519" s="17" t="n">
        <f aca="false">J519*INDEX('04_MAQUINAS'!$G$2:$G$18,MATCH(E519,'04_MAQUINAS'!$A$2:$A$18,0))*INDEX('04_MAQUINAS'!$H$2:$H$18,MATCH(E519,'04_MAQUINAS'!$A$2:$A$18,0))</f>
        <v>0.06516</v>
      </c>
      <c r="N519" s="2" t="s">
        <v>629</v>
      </c>
    </row>
    <row r="520" customFormat="false" ht="15" hidden="false" customHeight="false" outlineLevel="0" collapsed="false">
      <c r="A520" s="2" t="s">
        <v>568</v>
      </c>
      <c r="B520" s="2" t="s">
        <v>96</v>
      </c>
      <c r="C520" s="4" t="n">
        <v>1</v>
      </c>
      <c r="D520" s="2" t="s">
        <v>437</v>
      </c>
      <c r="E520" s="2" t="s">
        <v>375</v>
      </c>
      <c r="F520" s="5" t="n">
        <f aca="false">INDEX('08_PEDIDOS'!$D$2:$D$97,MATCH(A520,'08_PEDIDOS'!$A$2:$A$97,0))</f>
        <v>8</v>
      </c>
      <c r="G520" s="5" t="n">
        <f aca="false">INDEX('08_PEDIDOS'!$H$2:$H$97,MATCH(A520,'08_PEDIDOS'!$A$2:$A$97,0))</f>
        <v>10</v>
      </c>
      <c r="H520" s="17" t="n">
        <f aca="false">SUMIFS('05_RUTAS'!$F$2:$F$407,'05_RUTAS'!$A$2:$A$407,B520,'05_RUTAS'!$C$2:$C$407,C520)</f>
        <v>8</v>
      </c>
      <c r="I520" s="18" t="n">
        <f aca="false">SUMIFS('05_RUTAS'!$G$2:$G$407,'05_RUTAS'!$A$2:$A$407,B520,'05_RUTAS'!$C$2:$C$407,C520)</f>
        <v>56.975</v>
      </c>
      <c r="J520" s="18" t="n">
        <f aca="false">(ROUNDUP(F520/G520,0)*H520+F520*I520)/60</f>
        <v>7.73</v>
      </c>
      <c r="K520" s="5" t="n">
        <f aca="false">MONTH(INDEX('08_PEDIDOS'!$F$2:$F$97,MATCH(A520,'08_PEDIDOS'!$A$2:$A$97,0)))</f>
        <v>6</v>
      </c>
      <c r="L520" s="16" t="n">
        <f aca="false">J520*N(INDEX('04_MAQUINAS'!$F$2:$F$18,MATCH(E520,'04_MAQUINAS'!$A$2:$A$18,0)))</f>
        <v>185.52</v>
      </c>
      <c r="M520" s="17" t="n">
        <f aca="false">J520*INDEX('04_MAQUINAS'!$G$2:$G$18,MATCH(E520,'04_MAQUINAS'!$A$2:$A$18,0))*INDEX('04_MAQUINAS'!$H$2:$H$18,MATCH(E520,'04_MAQUINAS'!$A$2:$A$18,0))</f>
        <v>21.2575</v>
      </c>
      <c r="N520" s="2" t="s">
        <v>629</v>
      </c>
    </row>
    <row r="521" customFormat="false" ht="15" hidden="false" customHeight="false" outlineLevel="0" collapsed="false">
      <c r="A521" s="2" t="s">
        <v>568</v>
      </c>
      <c r="B521" s="2" t="s">
        <v>96</v>
      </c>
      <c r="C521" s="4" t="n">
        <v>2</v>
      </c>
      <c r="D521" s="2" t="s">
        <v>441</v>
      </c>
      <c r="E521" s="2" t="s">
        <v>380</v>
      </c>
      <c r="F521" s="5" t="n">
        <f aca="false">INDEX('08_PEDIDOS'!$D$2:$D$97,MATCH(A521,'08_PEDIDOS'!$A$2:$A$97,0))</f>
        <v>8</v>
      </c>
      <c r="G521" s="5" t="n">
        <f aca="false">INDEX('08_PEDIDOS'!$H$2:$H$97,MATCH(A521,'08_PEDIDOS'!$A$2:$A$97,0))</f>
        <v>10</v>
      </c>
      <c r="H521" s="17" t="n">
        <f aca="false">SUMIFS('05_RUTAS'!$F$2:$F$407,'05_RUTAS'!$A$2:$A$407,B521,'05_RUTAS'!$C$2:$C$407,C521)</f>
        <v>8</v>
      </c>
      <c r="I521" s="18" t="n">
        <f aca="false">SUMIFS('05_RUTAS'!$G$2:$G$407,'05_RUTAS'!$A$2:$A$407,B521,'05_RUTAS'!$C$2:$C$407,C521)</f>
        <v>6.28</v>
      </c>
      <c r="J521" s="18" t="n">
        <f aca="false">(ROUNDUP(F521/G521,0)*H521+F521*I521)/60</f>
        <v>0.970666666666667</v>
      </c>
      <c r="K521" s="5" t="n">
        <f aca="false">MONTH(INDEX('08_PEDIDOS'!$F$2:$F$97,MATCH(A521,'08_PEDIDOS'!$A$2:$A$97,0)))</f>
        <v>6</v>
      </c>
      <c r="L521" s="16" t="n">
        <f aca="false">J521*N(INDEX('04_MAQUINAS'!$F$2:$F$18,MATCH(E521,'04_MAQUINAS'!$A$2:$A$18,0)))</f>
        <v>21.3546666666667</v>
      </c>
      <c r="M521" s="17" t="n">
        <f aca="false">J521*INDEX('04_MAQUINAS'!$G$2:$G$18,MATCH(E521,'04_MAQUINAS'!$A$2:$A$18,0))*INDEX('04_MAQUINAS'!$H$2:$H$18,MATCH(E521,'04_MAQUINAS'!$A$2:$A$18,0))</f>
        <v>0.4368</v>
      </c>
      <c r="N521" s="2" t="s">
        <v>629</v>
      </c>
    </row>
    <row r="522" customFormat="false" ht="15" hidden="false" customHeight="false" outlineLevel="0" collapsed="false">
      <c r="A522" s="2" t="s">
        <v>568</v>
      </c>
      <c r="B522" s="2" t="s">
        <v>96</v>
      </c>
      <c r="C522" s="4" t="n">
        <v>3</v>
      </c>
      <c r="D522" s="2" t="s">
        <v>386</v>
      </c>
      <c r="E522" s="2" t="s">
        <v>383</v>
      </c>
      <c r="F522" s="5" t="n">
        <f aca="false">INDEX('08_PEDIDOS'!$D$2:$D$97,MATCH(A522,'08_PEDIDOS'!$A$2:$A$97,0))</f>
        <v>8</v>
      </c>
      <c r="G522" s="5" t="n">
        <f aca="false">INDEX('08_PEDIDOS'!$H$2:$H$97,MATCH(A522,'08_PEDIDOS'!$A$2:$A$97,0))</f>
        <v>10</v>
      </c>
      <c r="H522" s="17" t="n">
        <f aca="false">SUMIFS('05_RUTAS'!$F$2:$F$407,'05_RUTAS'!$A$2:$A$407,B522,'05_RUTAS'!$C$2:$C$407,C522)</f>
        <v>10</v>
      </c>
      <c r="I522" s="18" t="n">
        <f aca="false">SUMIFS('05_RUTAS'!$G$2:$G$407,'05_RUTAS'!$A$2:$A$407,B522,'05_RUTAS'!$C$2:$C$407,C522)</f>
        <v>67</v>
      </c>
      <c r="J522" s="18" t="n">
        <f aca="false">(ROUNDUP(F522/G522,0)*H522+F522*I522)/60</f>
        <v>9.1</v>
      </c>
      <c r="K522" s="5" t="n">
        <f aca="false">MONTH(INDEX('08_PEDIDOS'!$F$2:$F$97,MATCH(A522,'08_PEDIDOS'!$A$2:$A$97,0)))</f>
        <v>6</v>
      </c>
      <c r="L522" s="16" t="n">
        <f aca="false">J522*N(INDEX('04_MAQUINAS'!$F$2:$F$18,MATCH(E522,'04_MAQUINAS'!$A$2:$A$18,0)))</f>
        <v>200.2</v>
      </c>
      <c r="M522" s="17" t="n">
        <f aca="false">J522*INDEX('04_MAQUINAS'!$G$2:$G$18,MATCH(E522,'04_MAQUINAS'!$A$2:$A$18,0))*INDEX('04_MAQUINAS'!$H$2:$H$18,MATCH(E522,'04_MAQUINAS'!$A$2:$A$18,0))</f>
        <v>2.5025</v>
      </c>
      <c r="N522" s="2" t="s">
        <v>629</v>
      </c>
    </row>
    <row r="523" customFormat="false" ht="15" hidden="false" customHeight="false" outlineLevel="0" collapsed="false">
      <c r="A523" s="2" t="s">
        <v>568</v>
      </c>
      <c r="B523" s="2" t="s">
        <v>96</v>
      </c>
      <c r="C523" s="4" t="n">
        <v>4</v>
      </c>
      <c r="D523" s="2" t="s">
        <v>390</v>
      </c>
      <c r="E523" s="2" t="s">
        <v>387</v>
      </c>
      <c r="F523" s="5" t="n">
        <f aca="false">INDEX('08_PEDIDOS'!$D$2:$D$97,MATCH(A523,'08_PEDIDOS'!$A$2:$A$97,0))</f>
        <v>8</v>
      </c>
      <c r="G523" s="5" t="n">
        <f aca="false">INDEX('08_PEDIDOS'!$H$2:$H$97,MATCH(A523,'08_PEDIDOS'!$A$2:$A$97,0))</f>
        <v>10</v>
      </c>
      <c r="H523" s="17" t="n">
        <f aca="false">SUMIFS('05_RUTAS'!$F$2:$F$407,'05_RUTAS'!$A$2:$A$407,B523,'05_RUTAS'!$C$2:$C$407,C523)</f>
        <v>12</v>
      </c>
      <c r="I523" s="18" t="n">
        <f aca="false">SUMIFS('05_RUTAS'!$G$2:$G$407,'05_RUTAS'!$A$2:$A$407,B523,'05_RUTAS'!$C$2:$C$407,C523)</f>
        <v>124</v>
      </c>
      <c r="J523" s="18" t="n">
        <f aca="false">(ROUNDUP(F523/G523,0)*H523+F523*I523)/60</f>
        <v>16.7333333333333</v>
      </c>
      <c r="K523" s="5" t="n">
        <f aca="false">MONTH(INDEX('08_PEDIDOS'!$F$2:$F$97,MATCH(A523,'08_PEDIDOS'!$A$2:$A$97,0)))</f>
        <v>6</v>
      </c>
      <c r="L523" s="16" t="n">
        <f aca="false">J523*N(INDEX('04_MAQUINAS'!$F$2:$F$18,MATCH(E523,'04_MAQUINAS'!$A$2:$A$18,0)))</f>
        <v>468.533333333333</v>
      </c>
      <c r="M523" s="17" t="n">
        <f aca="false">J523*INDEX('04_MAQUINAS'!$G$2:$G$18,MATCH(E523,'04_MAQUINAS'!$A$2:$A$18,0))*INDEX('04_MAQUINAS'!$H$2:$H$18,MATCH(E523,'04_MAQUINAS'!$A$2:$A$18,0))</f>
        <v>41.415</v>
      </c>
      <c r="N523" s="2" t="s">
        <v>629</v>
      </c>
    </row>
    <row r="524" customFormat="false" ht="15" hidden="false" customHeight="false" outlineLevel="0" collapsed="false">
      <c r="A524" s="2" t="s">
        <v>568</v>
      </c>
      <c r="B524" s="2" t="s">
        <v>96</v>
      </c>
      <c r="C524" s="4" t="n">
        <v>5</v>
      </c>
      <c r="D524" s="2" t="s">
        <v>442</v>
      </c>
      <c r="E524" s="2" t="s">
        <v>391</v>
      </c>
      <c r="F524" s="5" t="n">
        <f aca="false">INDEX('08_PEDIDOS'!$D$2:$D$97,MATCH(A524,'08_PEDIDOS'!$A$2:$A$97,0))</f>
        <v>8</v>
      </c>
      <c r="G524" s="5" t="n">
        <f aca="false">INDEX('08_PEDIDOS'!$H$2:$H$97,MATCH(A524,'08_PEDIDOS'!$A$2:$A$97,0))</f>
        <v>10</v>
      </c>
      <c r="H524" s="17" t="n">
        <f aca="false">SUMIFS('05_RUTAS'!$F$2:$F$407,'05_RUTAS'!$A$2:$A$407,B524,'05_RUTAS'!$C$2:$C$407,C524)</f>
        <v>10</v>
      </c>
      <c r="I524" s="18" t="n">
        <f aca="false">SUMIFS('05_RUTAS'!$G$2:$G$407,'05_RUTAS'!$A$2:$A$407,B524,'05_RUTAS'!$C$2:$C$407,C524)</f>
        <v>5.6</v>
      </c>
      <c r="J524" s="18" t="n">
        <f aca="false">(ROUNDUP(F524/G524,0)*H524+F524*I524)/60</f>
        <v>0.913333333333333</v>
      </c>
      <c r="K524" s="5" t="n">
        <f aca="false">MONTH(INDEX('08_PEDIDOS'!$F$2:$F$97,MATCH(A524,'08_PEDIDOS'!$A$2:$A$97,0)))</f>
        <v>6</v>
      </c>
      <c r="L524" s="16" t="n">
        <f aca="false">J524*N(INDEX('04_MAQUINAS'!$F$2:$F$18,MATCH(E524,'04_MAQUINAS'!$A$2:$A$18,0)))</f>
        <v>29.2266666666667</v>
      </c>
      <c r="M524" s="17" t="n">
        <f aca="false">J524*INDEX('04_MAQUINAS'!$G$2:$G$18,MATCH(E524,'04_MAQUINAS'!$A$2:$A$18,0))*INDEX('04_MAQUINAS'!$H$2:$H$18,MATCH(E524,'04_MAQUINAS'!$A$2:$A$18,0))</f>
        <v>1.59833333333333</v>
      </c>
      <c r="N524" s="2" t="s">
        <v>629</v>
      </c>
    </row>
    <row r="525" customFormat="false" ht="15" hidden="false" customHeight="false" outlineLevel="0" collapsed="false">
      <c r="A525" s="2" t="s">
        <v>568</v>
      </c>
      <c r="B525" s="2" t="s">
        <v>96</v>
      </c>
      <c r="C525" s="4" t="n">
        <v>6</v>
      </c>
      <c r="D525" s="2" t="s">
        <v>443</v>
      </c>
      <c r="E525" s="2" t="s">
        <v>395</v>
      </c>
      <c r="F525" s="5" t="n">
        <f aca="false">INDEX('08_PEDIDOS'!$D$2:$D$97,MATCH(A525,'08_PEDIDOS'!$A$2:$A$97,0))</f>
        <v>8</v>
      </c>
      <c r="G525" s="5" t="n">
        <f aca="false">INDEX('08_PEDIDOS'!$H$2:$H$97,MATCH(A525,'08_PEDIDOS'!$A$2:$A$97,0))</f>
        <v>10</v>
      </c>
      <c r="H525" s="17" t="n">
        <f aca="false">SUMIFS('05_RUTAS'!$F$2:$F$407,'05_RUTAS'!$A$2:$A$407,B525,'05_RUTAS'!$C$2:$C$407,C525)</f>
        <v>3</v>
      </c>
      <c r="I525" s="18" t="n">
        <f aca="false">SUMIFS('05_RUTAS'!$G$2:$G$407,'05_RUTAS'!$A$2:$A$407,B525,'05_RUTAS'!$C$2:$C$407,C525)</f>
        <v>33</v>
      </c>
      <c r="J525" s="18" t="n">
        <f aca="false">(ROUNDUP(F525/G525,0)*H525+F525*I525)/60</f>
        <v>4.45</v>
      </c>
      <c r="K525" s="5" t="n">
        <f aca="false">MONTH(INDEX('08_PEDIDOS'!$F$2:$F$97,MATCH(A525,'08_PEDIDOS'!$A$2:$A$97,0)))</f>
        <v>6</v>
      </c>
      <c r="L525" s="16" t="n">
        <f aca="false">J525*N(INDEX('04_MAQUINAS'!$F$2:$F$18,MATCH(E525,'04_MAQUINAS'!$A$2:$A$18,0)))</f>
        <v>93.45</v>
      </c>
      <c r="M525" s="17" t="n">
        <f aca="false">J525*INDEX('04_MAQUINAS'!$G$2:$G$18,MATCH(E525,'04_MAQUINAS'!$A$2:$A$18,0))*INDEX('04_MAQUINAS'!$H$2:$H$18,MATCH(E525,'04_MAQUINAS'!$A$2:$A$18,0))</f>
        <v>3.3375</v>
      </c>
      <c r="N525" s="2" t="s">
        <v>629</v>
      </c>
    </row>
    <row r="526" customFormat="false" ht="15" hidden="false" customHeight="false" outlineLevel="0" collapsed="false">
      <c r="A526" s="2" t="s">
        <v>568</v>
      </c>
      <c r="B526" s="2" t="s">
        <v>96</v>
      </c>
      <c r="C526" s="4" t="n">
        <v>7</v>
      </c>
      <c r="D526" s="2" t="s">
        <v>444</v>
      </c>
      <c r="E526" s="2" t="s">
        <v>399</v>
      </c>
      <c r="F526" s="5" t="n">
        <f aca="false">INDEX('08_PEDIDOS'!$D$2:$D$97,MATCH(A526,'08_PEDIDOS'!$A$2:$A$97,0))</f>
        <v>8</v>
      </c>
      <c r="G526" s="5" t="n">
        <f aca="false">INDEX('08_PEDIDOS'!$H$2:$H$97,MATCH(A526,'08_PEDIDOS'!$A$2:$A$97,0))</f>
        <v>10</v>
      </c>
      <c r="H526" s="17" t="n">
        <f aca="false">SUMIFS('05_RUTAS'!$F$2:$F$407,'05_RUTAS'!$A$2:$A$407,B526,'05_RUTAS'!$C$2:$C$407,C526)</f>
        <v>6</v>
      </c>
      <c r="I526" s="18" t="n">
        <f aca="false">SUMIFS('05_RUTAS'!$G$2:$G$407,'05_RUTAS'!$A$2:$A$407,B526,'05_RUTAS'!$C$2:$C$407,C526)</f>
        <v>27.0712</v>
      </c>
      <c r="J526" s="18" t="n">
        <f aca="false">(ROUNDUP(F526/G526,0)*H526+F526*I526)/60</f>
        <v>3.70949333333333</v>
      </c>
      <c r="K526" s="5" t="n">
        <f aca="false">MONTH(INDEX('08_PEDIDOS'!$F$2:$F$97,MATCH(A526,'08_PEDIDOS'!$A$2:$A$97,0)))</f>
        <v>6</v>
      </c>
      <c r="L526" s="16" t="n">
        <f aca="false">J526*N(INDEX('04_MAQUINAS'!$F$2:$F$18,MATCH(E526,'04_MAQUINAS'!$A$2:$A$18,0)))</f>
        <v>70.4803733333333</v>
      </c>
      <c r="M526" s="17" t="n">
        <f aca="false">J526*INDEX('04_MAQUINAS'!$G$2:$G$18,MATCH(E526,'04_MAQUINAS'!$A$2:$A$18,0))*INDEX('04_MAQUINAS'!$H$2:$H$18,MATCH(E526,'04_MAQUINAS'!$A$2:$A$18,0))</f>
        <v>3.26435413333333</v>
      </c>
      <c r="N526" s="2" t="s">
        <v>629</v>
      </c>
    </row>
    <row r="527" customFormat="false" ht="15" hidden="false" customHeight="false" outlineLevel="0" collapsed="false">
      <c r="A527" s="2" t="s">
        <v>568</v>
      </c>
      <c r="B527" s="2" t="s">
        <v>96</v>
      </c>
      <c r="C527" s="4" t="n">
        <v>8</v>
      </c>
      <c r="D527" s="2" t="s">
        <v>445</v>
      </c>
      <c r="E527" s="2" t="s">
        <v>402</v>
      </c>
      <c r="F527" s="5" t="n">
        <f aca="false">INDEX('08_PEDIDOS'!$D$2:$D$97,MATCH(A527,'08_PEDIDOS'!$A$2:$A$97,0))</f>
        <v>8</v>
      </c>
      <c r="G527" s="5" t="n">
        <f aca="false">INDEX('08_PEDIDOS'!$H$2:$H$97,MATCH(A527,'08_PEDIDOS'!$A$2:$A$97,0))</f>
        <v>10</v>
      </c>
      <c r="H527" s="17" t="n">
        <f aca="false">SUMIFS('05_RUTAS'!$F$2:$F$407,'05_RUTAS'!$A$2:$A$407,B527,'05_RUTAS'!$C$2:$C$407,C527)</f>
        <v>12</v>
      </c>
      <c r="I527" s="18" t="n">
        <f aca="false">SUMIFS('05_RUTAS'!$G$2:$G$407,'05_RUTAS'!$A$2:$A$407,B527,'05_RUTAS'!$C$2:$C$407,C527)</f>
        <v>7.34</v>
      </c>
      <c r="J527" s="18" t="n">
        <f aca="false">(ROUNDUP(F527/G527,0)*H527+F527*I527)/60</f>
        <v>1.17866666666667</v>
      </c>
      <c r="K527" s="5" t="n">
        <f aca="false">MONTH(INDEX('08_PEDIDOS'!$F$2:$F$97,MATCH(A527,'08_PEDIDOS'!$A$2:$A$97,0)))</f>
        <v>6</v>
      </c>
      <c r="L527" s="16" t="n">
        <f aca="false">J527*N(INDEX('04_MAQUINAS'!$F$2:$F$18,MATCH(E527,'04_MAQUINAS'!$A$2:$A$18,0)))</f>
        <v>37.7173333333333</v>
      </c>
      <c r="M527" s="17" t="n">
        <f aca="false">J527*INDEX('04_MAQUINAS'!$G$2:$G$18,MATCH(E527,'04_MAQUINAS'!$A$2:$A$18,0))*INDEX('04_MAQUINAS'!$H$2:$H$18,MATCH(E527,'04_MAQUINAS'!$A$2:$A$18,0))</f>
        <v>1.2376</v>
      </c>
      <c r="N527" s="2" t="s">
        <v>629</v>
      </c>
    </row>
    <row r="528" customFormat="false" ht="15" hidden="false" customHeight="false" outlineLevel="0" collapsed="false">
      <c r="A528" s="2" t="s">
        <v>568</v>
      </c>
      <c r="B528" s="2" t="s">
        <v>96</v>
      </c>
      <c r="C528" s="4" t="n">
        <v>9</v>
      </c>
      <c r="D528" s="2" t="s">
        <v>447</v>
      </c>
      <c r="E528" s="2" t="s">
        <v>421</v>
      </c>
      <c r="F528" s="5" t="n">
        <f aca="false">INDEX('08_PEDIDOS'!$D$2:$D$97,MATCH(A528,'08_PEDIDOS'!$A$2:$A$97,0))</f>
        <v>8</v>
      </c>
      <c r="G528" s="5" t="n">
        <f aca="false">INDEX('08_PEDIDOS'!$H$2:$H$97,MATCH(A528,'08_PEDIDOS'!$A$2:$A$97,0))</f>
        <v>10</v>
      </c>
      <c r="H528" s="17" t="n">
        <f aca="false">SUMIFS('05_RUTAS'!$F$2:$F$407,'05_RUTAS'!$A$2:$A$407,B528,'05_RUTAS'!$C$2:$C$407,C528)</f>
        <v>45</v>
      </c>
      <c r="I528" s="18" t="n">
        <f aca="false">SUMIFS('05_RUTAS'!$G$2:$G$407,'05_RUTAS'!$A$2:$A$407,B528,'05_RUTAS'!$C$2:$C$407,C528)</f>
        <v>0</v>
      </c>
      <c r="J528" s="18" t="n">
        <f aca="false">(ROUNDUP(F528/G528,0)*H528+F528*I528)/60</f>
        <v>0.75</v>
      </c>
      <c r="K528" s="5" t="n">
        <f aca="false">MONTH(INDEX('08_PEDIDOS'!$F$2:$F$97,MATCH(A528,'08_PEDIDOS'!$A$2:$A$97,0)))</f>
        <v>6</v>
      </c>
      <c r="L528" s="16" t="n">
        <f aca="false">J528*N(INDEX('04_MAQUINAS'!$F$2:$F$18,MATCH(E528,'04_MAQUINAS'!$A$2:$A$18,0)))</f>
        <v>19.5</v>
      </c>
      <c r="M528" s="17" t="n">
        <f aca="false">J528*INDEX('04_MAQUINAS'!$G$2:$G$18,MATCH(E528,'04_MAQUINAS'!$A$2:$A$18,0))*INDEX('04_MAQUINAS'!$H$2:$H$18,MATCH(E528,'04_MAQUINAS'!$A$2:$A$18,0))</f>
        <v>10.8</v>
      </c>
      <c r="N528" s="2" t="s">
        <v>629</v>
      </c>
    </row>
    <row r="529" customFormat="false" ht="15" hidden="false" customHeight="false" outlineLevel="0" collapsed="false">
      <c r="A529" s="2" t="s">
        <v>568</v>
      </c>
      <c r="B529" s="2" t="s">
        <v>96</v>
      </c>
      <c r="C529" s="4" t="n">
        <v>10</v>
      </c>
      <c r="D529" s="2" t="s">
        <v>449</v>
      </c>
      <c r="E529" s="2" t="s">
        <v>423</v>
      </c>
      <c r="F529" s="5" t="n">
        <f aca="false">INDEX('08_PEDIDOS'!$D$2:$D$97,MATCH(A529,'08_PEDIDOS'!$A$2:$A$97,0))</f>
        <v>8</v>
      </c>
      <c r="G529" s="5" t="n">
        <f aca="false">INDEX('08_PEDIDOS'!$H$2:$H$97,MATCH(A529,'08_PEDIDOS'!$A$2:$A$97,0))</f>
        <v>10</v>
      </c>
      <c r="H529" s="17" t="n">
        <f aca="false">SUMIFS('05_RUTAS'!$F$2:$F$407,'05_RUTAS'!$A$2:$A$407,B529,'05_RUTAS'!$C$2:$C$407,C529)</f>
        <v>8</v>
      </c>
      <c r="I529" s="18" t="n">
        <f aca="false">SUMIFS('05_RUTAS'!$G$2:$G$407,'05_RUTAS'!$A$2:$A$407,B529,'05_RUTAS'!$C$2:$C$407,C529)</f>
        <v>2.54</v>
      </c>
      <c r="J529" s="18" t="n">
        <f aca="false">(ROUNDUP(F529/G529,0)*H529+F529*I529)/60</f>
        <v>0.472</v>
      </c>
      <c r="K529" s="5" t="n">
        <f aca="false">MONTH(INDEX('08_PEDIDOS'!$F$2:$F$97,MATCH(A529,'08_PEDIDOS'!$A$2:$A$97,0)))</f>
        <v>6</v>
      </c>
      <c r="L529" s="16" t="n">
        <f aca="false">J529*N(INDEX('04_MAQUINAS'!$F$2:$F$18,MATCH(E529,'04_MAQUINAS'!$A$2:$A$18,0)))</f>
        <v>7.552</v>
      </c>
      <c r="M529" s="17" t="n">
        <f aca="false">J529*INDEX('04_MAQUINAS'!$G$2:$G$18,MATCH(E529,'04_MAQUINAS'!$A$2:$A$18,0))*INDEX('04_MAQUINAS'!$H$2:$H$18,MATCH(E529,'04_MAQUINAS'!$A$2:$A$18,0))</f>
        <v>0.118</v>
      </c>
      <c r="N529" s="2" t="s">
        <v>629</v>
      </c>
    </row>
    <row r="530" customFormat="false" ht="15" hidden="false" customHeight="false" outlineLevel="0" collapsed="false">
      <c r="A530" s="2" t="s">
        <v>568</v>
      </c>
      <c r="B530" s="2" t="s">
        <v>96</v>
      </c>
      <c r="C530" s="4" t="n">
        <v>11</v>
      </c>
      <c r="D530" s="2" t="s">
        <v>450</v>
      </c>
      <c r="E530" s="2" t="s">
        <v>406</v>
      </c>
      <c r="F530" s="5" t="n">
        <f aca="false">INDEX('08_PEDIDOS'!$D$2:$D$97,MATCH(A530,'08_PEDIDOS'!$A$2:$A$97,0))</f>
        <v>8</v>
      </c>
      <c r="G530" s="5" t="n">
        <f aca="false">INDEX('08_PEDIDOS'!$H$2:$H$97,MATCH(A530,'08_PEDIDOS'!$A$2:$A$97,0))</f>
        <v>10</v>
      </c>
      <c r="H530" s="17" t="n">
        <f aca="false">SUMIFS('05_RUTAS'!$F$2:$F$407,'05_RUTAS'!$A$2:$A$407,B530,'05_RUTAS'!$C$2:$C$407,C530)</f>
        <v>6</v>
      </c>
      <c r="I530" s="18" t="n">
        <f aca="false">SUMIFS('05_RUTAS'!$G$2:$G$407,'05_RUTAS'!$A$2:$A$407,B530,'05_RUTAS'!$C$2:$C$407,C530)</f>
        <v>48.75</v>
      </c>
      <c r="J530" s="18" t="n">
        <f aca="false">(ROUNDUP(F530/G530,0)*H530+F530*I530)/60</f>
        <v>6.6</v>
      </c>
      <c r="K530" s="5" t="n">
        <f aca="false">MONTH(INDEX('08_PEDIDOS'!$F$2:$F$97,MATCH(A530,'08_PEDIDOS'!$A$2:$A$97,0)))</f>
        <v>6</v>
      </c>
      <c r="L530" s="16" t="n">
        <f aca="false">J530*N(INDEX('04_MAQUINAS'!$F$2:$F$18,MATCH(E530,'04_MAQUINAS'!$A$2:$A$18,0)))</f>
        <v>125.4</v>
      </c>
      <c r="M530" s="17" t="n">
        <f aca="false">J530*INDEX('04_MAQUINAS'!$G$2:$G$18,MATCH(E530,'04_MAQUINAS'!$A$2:$A$18,0))*INDEX('04_MAQUINAS'!$H$2:$H$18,MATCH(E530,'04_MAQUINAS'!$A$2:$A$18,0))</f>
        <v>1.98</v>
      </c>
      <c r="N530" s="2" t="s">
        <v>629</v>
      </c>
    </row>
    <row r="531" customFormat="false" ht="15" hidden="false" customHeight="false" outlineLevel="0" collapsed="false">
      <c r="A531" s="2" t="s">
        <v>568</v>
      </c>
      <c r="B531" s="2" t="s">
        <v>96</v>
      </c>
      <c r="C531" s="4" t="n">
        <v>12</v>
      </c>
      <c r="D531" s="2" t="s">
        <v>451</v>
      </c>
      <c r="E531" s="2" t="s">
        <v>408</v>
      </c>
      <c r="F531" s="5" t="n">
        <f aca="false">INDEX('08_PEDIDOS'!$D$2:$D$97,MATCH(A531,'08_PEDIDOS'!$A$2:$A$97,0))</f>
        <v>8</v>
      </c>
      <c r="G531" s="5" t="n">
        <f aca="false">INDEX('08_PEDIDOS'!$H$2:$H$97,MATCH(A531,'08_PEDIDOS'!$A$2:$A$97,0))</f>
        <v>10</v>
      </c>
      <c r="H531" s="17" t="n">
        <f aca="false">SUMIFS('05_RUTAS'!$F$2:$F$407,'05_RUTAS'!$A$2:$A$407,B531,'05_RUTAS'!$C$2:$C$407,C531)</f>
        <v>2</v>
      </c>
      <c r="I531" s="18" t="n">
        <f aca="false">SUMIFS('05_RUTAS'!$G$2:$G$407,'05_RUTAS'!$A$2:$A$407,B531,'05_RUTAS'!$C$2:$C$407,C531)</f>
        <v>3.67</v>
      </c>
      <c r="J531" s="18" t="n">
        <f aca="false">(ROUNDUP(F531/G531,0)*H531+F531*I531)/60</f>
        <v>0.522666666666667</v>
      </c>
      <c r="K531" s="5" t="n">
        <f aca="false">MONTH(INDEX('08_PEDIDOS'!$F$2:$F$97,MATCH(A531,'08_PEDIDOS'!$A$2:$A$97,0)))</f>
        <v>6</v>
      </c>
      <c r="L531" s="16" t="n">
        <f aca="false">J531*N(INDEX('04_MAQUINAS'!$F$2:$F$18,MATCH(E531,'04_MAQUINAS'!$A$2:$A$18,0)))</f>
        <v>10.4533333333333</v>
      </c>
      <c r="M531" s="17" t="n">
        <f aca="false">J531*INDEX('04_MAQUINAS'!$G$2:$G$18,MATCH(E531,'04_MAQUINAS'!$A$2:$A$18,0))*INDEX('04_MAQUINAS'!$H$2:$H$18,MATCH(E531,'04_MAQUINAS'!$A$2:$A$18,0))</f>
        <v>0.0522666666666667</v>
      </c>
      <c r="N531" s="2" t="s">
        <v>629</v>
      </c>
    </row>
    <row r="532" customFormat="false" ht="15" hidden="false" customHeight="false" outlineLevel="0" collapsed="false">
      <c r="A532" s="2" t="s">
        <v>568</v>
      </c>
      <c r="B532" s="2" t="s">
        <v>96</v>
      </c>
      <c r="C532" s="4" t="n">
        <v>13</v>
      </c>
      <c r="D532" s="2" t="s">
        <v>452</v>
      </c>
      <c r="E532" s="2" t="s">
        <v>411</v>
      </c>
      <c r="F532" s="5" t="n">
        <f aca="false">INDEX('08_PEDIDOS'!$D$2:$D$97,MATCH(A532,'08_PEDIDOS'!$A$2:$A$97,0))</f>
        <v>8</v>
      </c>
      <c r="G532" s="5" t="n">
        <f aca="false">INDEX('08_PEDIDOS'!$H$2:$H$97,MATCH(A532,'08_PEDIDOS'!$A$2:$A$97,0))</f>
        <v>10</v>
      </c>
      <c r="H532" s="17" t="n">
        <f aca="false">SUMIFS('05_RUTAS'!$F$2:$F$407,'05_RUTAS'!$A$2:$A$407,B532,'05_RUTAS'!$C$2:$C$407,C532)</f>
        <v>2</v>
      </c>
      <c r="I532" s="18" t="n">
        <f aca="false">SUMIFS('05_RUTAS'!$G$2:$G$407,'05_RUTAS'!$A$2:$A$407,B532,'05_RUTAS'!$C$2:$C$407,C532)</f>
        <v>5</v>
      </c>
      <c r="J532" s="18" t="n">
        <f aca="false">(ROUNDUP(F532/G532,0)*H532+F532*I532)/60</f>
        <v>0.7</v>
      </c>
      <c r="K532" s="5" t="n">
        <f aca="false">MONTH(INDEX('08_PEDIDOS'!$F$2:$F$97,MATCH(A532,'08_PEDIDOS'!$A$2:$A$97,0)))</f>
        <v>6</v>
      </c>
      <c r="L532" s="16" t="n">
        <f aca="false">J532*N(INDEX('04_MAQUINAS'!$F$2:$F$18,MATCH(E532,'04_MAQUINAS'!$A$2:$A$18,0)))</f>
        <v>12.6</v>
      </c>
      <c r="M532" s="17" t="n">
        <f aca="false">J532*INDEX('04_MAQUINAS'!$G$2:$G$18,MATCH(E532,'04_MAQUINAS'!$A$2:$A$18,0))*INDEX('04_MAQUINAS'!$H$2:$H$18,MATCH(E532,'04_MAQUINAS'!$A$2:$A$18,0))</f>
        <v>0.063</v>
      </c>
      <c r="N532" s="2" t="s">
        <v>629</v>
      </c>
    </row>
    <row r="533" customFormat="false" ht="15" hidden="false" customHeight="false" outlineLevel="0" collapsed="false">
      <c r="A533" s="2" t="s">
        <v>569</v>
      </c>
      <c r="B533" s="2" t="s">
        <v>106</v>
      </c>
      <c r="C533" s="4" t="n">
        <v>1</v>
      </c>
      <c r="D533" s="2" t="s">
        <v>437</v>
      </c>
      <c r="E533" s="2" t="s">
        <v>375</v>
      </c>
      <c r="F533" s="5" t="n">
        <f aca="false">INDEX('08_PEDIDOS'!$D$2:$D$97,MATCH(A533,'08_PEDIDOS'!$A$2:$A$97,0))</f>
        <v>6</v>
      </c>
      <c r="G533" s="5" t="n">
        <f aca="false">INDEX('08_PEDIDOS'!$H$2:$H$97,MATCH(A533,'08_PEDIDOS'!$A$2:$A$97,0))</f>
        <v>10</v>
      </c>
      <c r="H533" s="17" t="n">
        <f aca="false">SUMIFS('05_RUTAS'!$F$2:$F$407,'05_RUTAS'!$A$2:$A$407,B533,'05_RUTAS'!$C$2:$C$407,C533)</f>
        <v>8</v>
      </c>
      <c r="I533" s="18" t="n">
        <f aca="false">SUMIFS('05_RUTAS'!$G$2:$G$407,'05_RUTAS'!$A$2:$A$407,B533,'05_RUTAS'!$C$2:$C$407,C533)</f>
        <v>40.245</v>
      </c>
      <c r="J533" s="18" t="n">
        <f aca="false">(ROUNDUP(F533/G533,0)*H533+F533*I533)/60</f>
        <v>4.15783333333333</v>
      </c>
      <c r="K533" s="5" t="n">
        <f aca="false">MONTH(INDEX('08_PEDIDOS'!$F$2:$F$97,MATCH(A533,'08_PEDIDOS'!$A$2:$A$97,0)))</f>
        <v>6</v>
      </c>
      <c r="L533" s="16" t="n">
        <f aca="false">J533*N(INDEX('04_MAQUINAS'!$F$2:$F$18,MATCH(E533,'04_MAQUINAS'!$A$2:$A$18,0)))</f>
        <v>99.788</v>
      </c>
      <c r="M533" s="17" t="n">
        <f aca="false">J533*INDEX('04_MAQUINAS'!$G$2:$G$18,MATCH(E533,'04_MAQUINAS'!$A$2:$A$18,0))*INDEX('04_MAQUINAS'!$H$2:$H$18,MATCH(E533,'04_MAQUINAS'!$A$2:$A$18,0))</f>
        <v>11.4340416666667</v>
      </c>
      <c r="N533" s="2" t="s">
        <v>629</v>
      </c>
    </row>
    <row r="534" customFormat="false" ht="15" hidden="false" customHeight="false" outlineLevel="0" collapsed="false">
      <c r="A534" s="2" t="s">
        <v>569</v>
      </c>
      <c r="B534" s="2" t="s">
        <v>106</v>
      </c>
      <c r="C534" s="4" t="n">
        <v>2</v>
      </c>
      <c r="D534" s="2" t="s">
        <v>386</v>
      </c>
      <c r="E534" s="2" t="s">
        <v>383</v>
      </c>
      <c r="F534" s="5" t="n">
        <f aca="false">INDEX('08_PEDIDOS'!$D$2:$D$97,MATCH(A534,'08_PEDIDOS'!$A$2:$A$97,0))</f>
        <v>6</v>
      </c>
      <c r="G534" s="5" t="n">
        <f aca="false">INDEX('08_PEDIDOS'!$H$2:$H$97,MATCH(A534,'08_PEDIDOS'!$A$2:$A$97,0))</f>
        <v>10</v>
      </c>
      <c r="H534" s="17" t="n">
        <f aca="false">SUMIFS('05_RUTAS'!$F$2:$F$407,'05_RUTAS'!$A$2:$A$407,B534,'05_RUTAS'!$C$2:$C$407,C534)</f>
        <v>10</v>
      </c>
      <c r="I534" s="18" t="n">
        <f aca="false">SUMIFS('05_RUTAS'!$G$2:$G$407,'05_RUTAS'!$A$2:$A$407,B534,'05_RUTAS'!$C$2:$C$407,C534)</f>
        <v>14.8</v>
      </c>
      <c r="J534" s="18" t="n">
        <f aca="false">(ROUNDUP(F534/G534,0)*H534+F534*I534)/60</f>
        <v>1.64666666666667</v>
      </c>
      <c r="K534" s="5" t="n">
        <f aca="false">MONTH(INDEX('08_PEDIDOS'!$F$2:$F$97,MATCH(A534,'08_PEDIDOS'!$A$2:$A$97,0)))</f>
        <v>6</v>
      </c>
      <c r="L534" s="16" t="n">
        <f aca="false">J534*N(INDEX('04_MAQUINAS'!$F$2:$F$18,MATCH(E534,'04_MAQUINAS'!$A$2:$A$18,0)))</f>
        <v>36.2266666666667</v>
      </c>
      <c r="M534" s="17" t="n">
        <f aca="false">J534*INDEX('04_MAQUINAS'!$G$2:$G$18,MATCH(E534,'04_MAQUINAS'!$A$2:$A$18,0))*INDEX('04_MAQUINAS'!$H$2:$H$18,MATCH(E534,'04_MAQUINAS'!$A$2:$A$18,0))</f>
        <v>0.452833333333333</v>
      </c>
      <c r="N534" s="2" t="s">
        <v>629</v>
      </c>
    </row>
    <row r="535" customFormat="false" ht="15" hidden="false" customHeight="false" outlineLevel="0" collapsed="false">
      <c r="A535" s="2" t="s">
        <v>569</v>
      </c>
      <c r="B535" s="2" t="s">
        <v>106</v>
      </c>
      <c r="C535" s="4" t="n">
        <v>3</v>
      </c>
      <c r="D535" s="2" t="s">
        <v>390</v>
      </c>
      <c r="E535" s="2" t="s">
        <v>387</v>
      </c>
      <c r="F535" s="5" t="n">
        <f aca="false">INDEX('08_PEDIDOS'!$D$2:$D$97,MATCH(A535,'08_PEDIDOS'!$A$2:$A$97,0))</f>
        <v>6</v>
      </c>
      <c r="G535" s="5" t="n">
        <f aca="false">INDEX('08_PEDIDOS'!$H$2:$H$97,MATCH(A535,'08_PEDIDOS'!$A$2:$A$97,0))</f>
        <v>10</v>
      </c>
      <c r="H535" s="17" t="n">
        <f aca="false">SUMIFS('05_RUTAS'!$F$2:$F$407,'05_RUTAS'!$A$2:$A$407,B535,'05_RUTAS'!$C$2:$C$407,C535)</f>
        <v>12</v>
      </c>
      <c r="I535" s="18" t="n">
        <f aca="false">SUMIFS('05_RUTAS'!$G$2:$G$407,'05_RUTAS'!$A$2:$A$407,B535,'05_RUTAS'!$C$2:$C$407,C535)</f>
        <v>104</v>
      </c>
      <c r="J535" s="18" t="n">
        <f aca="false">(ROUNDUP(F535/G535,0)*H535+F535*I535)/60</f>
        <v>10.6</v>
      </c>
      <c r="K535" s="5" t="n">
        <f aca="false">MONTH(INDEX('08_PEDIDOS'!$F$2:$F$97,MATCH(A535,'08_PEDIDOS'!$A$2:$A$97,0)))</f>
        <v>6</v>
      </c>
      <c r="L535" s="16" t="n">
        <f aca="false">J535*N(INDEX('04_MAQUINAS'!$F$2:$F$18,MATCH(E535,'04_MAQUINAS'!$A$2:$A$18,0)))</f>
        <v>296.8</v>
      </c>
      <c r="M535" s="17" t="n">
        <f aca="false">J535*INDEX('04_MAQUINAS'!$G$2:$G$18,MATCH(E535,'04_MAQUINAS'!$A$2:$A$18,0))*INDEX('04_MAQUINAS'!$H$2:$H$18,MATCH(E535,'04_MAQUINAS'!$A$2:$A$18,0))</f>
        <v>26.235</v>
      </c>
      <c r="N535" s="2" t="s">
        <v>629</v>
      </c>
    </row>
    <row r="536" customFormat="false" ht="15" hidden="false" customHeight="false" outlineLevel="0" collapsed="false">
      <c r="A536" s="2" t="s">
        <v>569</v>
      </c>
      <c r="B536" s="2" t="s">
        <v>106</v>
      </c>
      <c r="C536" s="4" t="n">
        <v>4</v>
      </c>
      <c r="D536" s="2" t="s">
        <v>443</v>
      </c>
      <c r="E536" s="2" t="s">
        <v>395</v>
      </c>
      <c r="F536" s="5" t="n">
        <f aca="false">INDEX('08_PEDIDOS'!$D$2:$D$97,MATCH(A536,'08_PEDIDOS'!$A$2:$A$97,0))</f>
        <v>6</v>
      </c>
      <c r="G536" s="5" t="n">
        <f aca="false">INDEX('08_PEDIDOS'!$H$2:$H$97,MATCH(A536,'08_PEDIDOS'!$A$2:$A$97,0))</f>
        <v>10</v>
      </c>
      <c r="H536" s="17" t="n">
        <f aca="false">SUMIFS('05_RUTAS'!$F$2:$F$407,'05_RUTAS'!$A$2:$A$407,B536,'05_RUTAS'!$C$2:$C$407,C536)</f>
        <v>3</v>
      </c>
      <c r="I536" s="18" t="n">
        <f aca="false">SUMIFS('05_RUTAS'!$G$2:$G$407,'05_RUTAS'!$A$2:$A$407,B536,'05_RUTAS'!$C$2:$C$407,C536)</f>
        <v>18</v>
      </c>
      <c r="J536" s="18" t="n">
        <f aca="false">(ROUNDUP(F536/G536,0)*H536+F536*I536)/60</f>
        <v>1.85</v>
      </c>
      <c r="K536" s="5" t="n">
        <f aca="false">MONTH(INDEX('08_PEDIDOS'!$F$2:$F$97,MATCH(A536,'08_PEDIDOS'!$A$2:$A$97,0)))</f>
        <v>6</v>
      </c>
      <c r="L536" s="16" t="n">
        <f aca="false">J536*N(INDEX('04_MAQUINAS'!$F$2:$F$18,MATCH(E536,'04_MAQUINAS'!$A$2:$A$18,0)))</f>
        <v>38.85</v>
      </c>
      <c r="M536" s="17" t="n">
        <f aca="false">J536*INDEX('04_MAQUINAS'!$G$2:$G$18,MATCH(E536,'04_MAQUINAS'!$A$2:$A$18,0))*INDEX('04_MAQUINAS'!$H$2:$H$18,MATCH(E536,'04_MAQUINAS'!$A$2:$A$18,0))</f>
        <v>1.3875</v>
      </c>
      <c r="N536" s="2" t="s">
        <v>629</v>
      </c>
    </row>
    <row r="537" customFormat="false" ht="15" hidden="false" customHeight="false" outlineLevel="0" collapsed="false">
      <c r="A537" s="2" t="s">
        <v>569</v>
      </c>
      <c r="B537" s="2" t="s">
        <v>106</v>
      </c>
      <c r="C537" s="4" t="n">
        <v>5</v>
      </c>
      <c r="D537" s="2" t="s">
        <v>444</v>
      </c>
      <c r="E537" s="2" t="s">
        <v>399</v>
      </c>
      <c r="F537" s="5" t="n">
        <f aca="false">INDEX('08_PEDIDOS'!$D$2:$D$97,MATCH(A537,'08_PEDIDOS'!$A$2:$A$97,0))</f>
        <v>6</v>
      </c>
      <c r="G537" s="5" t="n">
        <f aca="false">INDEX('08_PEDIDOS'!$H$2:$H$97,MATCH(A537,'08_PEDIDOS'!$A$2:$A$97,0))</f>
        <v>10</v>
      </c>
      <c r="H537" s="17" t="n">
        <f aca="false">SUMIFS('05_RUTAS'!$F$2:$F$407,'05_RUTAS'!$A$2:$A$407,B537,'05_RUTAS'!$C$2:$C$407,C537)</f>
        <v>6</v>
      </c>
      <c r="I537" s="18" t="n">
        <f aca="false">SUMIFS('05_RUTAS'!$G$2:$G$407,'05_RUTAS'!$A$2:$A$407,B537,'05_RUTAS'!$C$2:$C$407,C537)</f>
        <v>26.324</v>
      </c>
      <c r="J537" s="18" t="n">
        <f aca="false">(ROUNDUP(F537/G537,0)*H537+F537*I537)/60</f>
        <v>2.7324</v>
      </c>
      <c r="K537" s="5" t="n">
        <f aca="false">MONTH(INDEX('08_PEDIDOS'!$F$2:$F$97,MATCH(A537,'08_PEDIDOS'!$A$2:$A$97,0)))</f>
        <v>6</v>
      </c>
      <c r="L537" s="16" t="n">
        <f aca="false">J537*N(INDEX('04_MAQUINAS'!$F$2:$F$18,MATCH(E537,'04_MAQUINAS'!$A$2:$A$18,0)))</f>
        <v>51.9156</v>
      </c>
      <c r="M537" s="17" t="n">
        <f aca="false">J537*INDEX('04_MAQUINAS'!$G$2:$G$18,MATCH(E537,'04_MAQUINAS'!$A$2:$A$18,0))*INDEX('04_MAQUINAS'!$H$2:$H$18,MATCH(E537,'04_MAQUINAS'!$A$2:$A$18,0))</f>
        <v>2.404512</v>
      </c>
      <c r="N537" s="2" t="s">
        <v>629</v>
      </c>
    </row>
    <row r="538" customFormat="false" ht="15" hidden="false" customHeight="false" outlineLevel="0" collapsed="false">
      <c r="A538" s="2" t="s">
        <v>569</v>
      </c>
      <c r="B538" s="2" t="s">
        <v>106</v>
      </c>
      <c r="C538" s="4" t="n">
        <v>6</v>
      </c>
      <c r="D538" s="2" t="s">
        <v>445</v>
      </c>
      <c r="E538" s="2" t="s">
        <v>402</v>
      </c>
      <c r="F538" s="5" t="n">
        <f aca="false">INDEX('08_PEDIDOS'!$D$2:$D$97,MATCH(A538,'08_PEDIDOS'!$A$2:$A$97,0))</f>
        <v>6</v>
      </c>
      <c r="G538" s="5" t="n">
        <f aca="false">INDEX('08_PEDIDOS'!$H$2:$H$97,MATCH(A538,'08_PEDIDOS'!$A$2:$A$97,0))</f>
        <v>10</v>
      </c>
      <c r="H538" s="17" t="n">
        <f aca="false">SUMIFS('05_RUTAS'!$F$2:$F$407,'05_RUTAS'!$A$2:$A$407,B538,'05_RUTAS'!$C$2:$C$407,C538)</f>
        <v>12</v>
      </c>
      <c r="I538" s="18" t="n">
        <f aca="false">SUMIFS('05_RUTAS'!$G$2:$G$407,'05_RUTAS'!$A$2:$A$407,B538,'05_RUTAS'!$C$2:$C$407,C538)</f>
        <v>6.83</v>
      </c>
      <c r="J538" s="18" t="n">
        <f aca="false">(ROUNDUP(F538/G538,0)*H538+F538*I538)/60</f>
        <v>0.883</v>
      </c>
      <c r="K538" s="5" t="n">
        <f aca="false">MONTH(INDEX('08_PEDIDOS'!$F$2:$F$97,MATCH(A538,'08_PEDIDOS'!$A$2:$A$97,0)))</f>
        <v>6</v>
      </c>
      <c r="L538" s="16" t="n">
        <f aca="false">J538*N(INDEX('04_MAQUINAS'!$F$2:$F$18,MATCH(E538,'04_MAQUINAS'!$A$2:$A$18,0)))</f>
        <v>28.256</v>
      </c>
      <c r="M538" s="17" t="n">
        <f aca="false">J538*INDEX('04_MAQUINAS'!$G$2:$G$18,MATCH(E538,'04_MAQUINAS'!$A$2:$A$18,0))*INDEX('04_MAQUINAS'!$H$2:$H$18,MATCH(E538,'04_MAQUINAS'!$A$2:$A$18,0))</f>
        <v>0.92715</v>
      </c>
      <c r="N538" s="2" t="s">
        <v>629</v>
      </c>
    </row>
    <row r="539" customFormat="false" ht="15" hidden="false" customHeight="false" outlineLevel="0" collapsed="false">
      <c r="A539" s="2" t="s">
        <v>569</v>
      </c>
      <c r="B539" s="2" t="s">
        <v>106</v>
      </c>
      <c r="C539" s="4" t="n">
        <v>7</v>
      </c>
      <c r="D539" s="2" t="s">
        <v>447</v>
      </c>
      <c r="E539" s="2" t="s">
        <v>421</v>
      </c>
      <c r="F539" s="5" t="n">
        <f aca="false">INDEX('08_PEDIDOS'!$D$2:$D$97,MATCH(A539,'08_PEDIDOS'!$A$2:$A$97,0))</f>
        <v>6</v>
      </c>
      <c r="G539" s="5" t="n">
        <f aca="false">INDEX('08_PEDIDOS'!$H$2:$H$97,MATCH(A539,'08_PEDIDOS'!$A$2:$A$97,0))</f>
        <v>10</v>
      </c>
      <c r="H539" s="17" t="n">
        <f aca="false">SUMIFS('05_RUTAS'!$F$2:$F$407,'05_RUTAS'!$A$2:$A$407,B539,'05_RUTAS'!$C$2:$C$407,C539)</f>
        <v>45</v>
      </c>
      <c r="I539" s="18" t="n">
        <f aca="false">SUMIFS('05_RUTAS'!$G$2:$G$407,'05_RUTAS'!$A$2:$A$407,B539,'05_RUTAS'!$C$2:$C$407,C539)</f>
        <v>0</v>
      </c>
      <c r="J539" s="18" t="n">
        <f aca="false">(ROUNDUP(F539/G539,0)*H539+F539*I539)/60</f>
        <v>0.75</v>
      </c>
      <c r="K539" s="5" t="n">
        <f aca="false">MONTH(INDEX('08_PEDIDOS'!$F$2:$F$97,MATCH(A539,'08_PEDIDOS'!$A$2:$A$97,0)))</f>
        <v>6</v>
      </c>
      <c r="L539" s="16" t="n">
        <f aca="false">J539*N(INDEX('04_MAQUINAS'!$F$2:$F$18,MATCH(E539,'04_MAQUINAS'!$A$2:$A$18,0)))</f>
        <v>19.5</v>
      </c>
      <c r="M539" s="17" t="n">
        <f aca="false">J539*INDEX('04_MAQUINAS'!$G$2:$G$18,MATCH(E539,'04_MAQUINAS'!$A$2:$A$18,0))*INDEX('04_MAQUINAS'!$H$2:$H$18,MATCH(E539,'04_MAQUINAS'!$A$2:$A$18,0))</f>
        <v>10.8</v>
      </c>
      <c r="N539" s="2" t="s">
        <v>629</v>
      </c>
    </row>
    <row r="540" customFormat="false" ht="15" hidden="false" customHeight="false" outlineLevel="0" collapsed="false">
      <c r="A540" s="2" t="s">
        <v>569</v>
      </c>
      <c r="B540" s="2" t="s">
        <v>106</v>
      </c>
      <c r="C540" s="4" t="n">
        <v>8</v>
      </c>
      <c r="D540" s="2" t="s">
        <v>449</v>
      </c>
      <c r="E540" s="2" t="s">
        <v>423</v>
      </c>
      <c r="F540" s="5" t="n">
        <f aca="false">INDEX('08_PEDIDOS'!$D$2:$D$97,MATCH(A540,'08_PEDIDOS'!$A$2:$A$97,0))</f>
        <v>6</v>
      </c>
      <c r="G540" s="5" t="n">
        <f aca="false">INDEX('08_PEDIDOS'!$H$2:$H$97,MATCH(A540,'08_PEDIDOS'!$A$2:$A$97,0))</f>
        <v>10</v>
      </c>
      <c r="H540" s="17" t="n">
        <f aca="false">SUMIFS('05_RUTAS'!$F$2:$F$407,'05_RUTAS'!$A$2:$A$407,B540,'05_RUTAS'!$C$2:$C$407,C540)</f>
        <v>8</v>
      </c>
      <c r="I540" s="18" t="n">
        <f aca="false">SUMIFS('05_RUTAS'!$G$2:$G$407,'05_RUTAS'!$A$2:$A$407,B540,'05_RUTAS'!$C$2:$C$407,C540)</f>
        <v>2.42</v>
      </c>
      <c r="J540" s="18" t="n">
        <f aca="false">(ROUNDUP(F540/G540,0)*H540+F540*I540)/60</f>
        <v>0.375333333333333</v>
      </c>
      <c r="K540" s="5" t="n">
        <f aca="false">MONTH(INDEX('08_PEDIDOS'!$F$2:$F$97,MATCH(A540,'08_PEDIDOS'!$A$2:$A$97,0)))</f>
        <v>6</v>
      </c>
      <c r="L540" s="16" t="n">
        <f aca="false">J540*N(INDEX('04_MAQUINAS'!$F$2:$F$18,MATCH(E540,'04_MAQUINAS'!$A$2:$A$18,0)))</f>
        <v>6.00533333333333</v>
      </c>
      <c r="M540" s="17" t="n">
        <f aca="false">J540*INDEX('04_MAQUINAS'!$G$2:$G$18,MATCH(E540,'04_MAQUINAS'!$A$2:$A$18,0))*INDEX('04_MAQUINAS'!$H$2:$H$18,MATCH(E540,'04_MAQUINAS'!$A$2:$A$18,0))</f>
        <v>0.0938333333333333</v>
      </c>
      <c r="N540" s="2" t="s">
        <v>629</v>
      </c>
    </row>
    <row r="541" customFormat="false" ht="15" hidden="false" customHeight="false" outlineLevel="0" collapsed="false">
      <c r="A541" s="2" t="s">
        <v>569</v>
      </c>
      <c r="B541" s="2" t="s">
        <v>106</v>
      </c>
      <c r="C541" s="4" t="n">
        <v>9</v>
      </c>
      <c r="D541" s="2" t="s">
        <v>450</v>
      </c>
      <c r="E541" s="2" t="s">
        <v>406</v>
      </c>
      <c r="F541" s="5" t="n">
        <f aca="false">INDEX('08_PEDIDOS'!$D$2:$D$97,MATCH(A541,'08_PEDIDOS'!$A$2:$A$97,0))</f>
        <v>6</v>
      </c>
      <c r="G541" s="5" t="n">
        <f aca="false">INDEX('08_PEDIDOS'!$H$2:$H$97,MATCH(A541,'08_PEDIDOS'!$A$2:$A$97,0))</f>
        <v>10</v>
      </c>
      <c r="H541" s="17" t="n">
        <f aca="false">SUMIFS('05_RUTAS'!$F$2:$F$407,'05_RUTAS'!$A$2:$A$407,B541,'05_RUTAS'!$C$2:$C$407,C541)</f>
        <v>6</v>
      </c>
      <c r="I541" s="18" t="n">
        <f aca="false">SUMIFS('05_RUTAS'!$G$2:$G$407,'05_RUTAS'!$A$2:$A$407,B541,'05_RUTAS'!$C$2:$C$407,C541)</f>
        <v>42</v>
      </c>
      <c r="J541" s="18" t="n">
        <f aca="false">(ROUNDUP(F541/G541,0)*H541+F541*I541)/60</f>
        <v>4.3</v>
      </c>
      <c r="K541" s="5" t="n">
        <f aca="false">MONTH(INDEX('08_PEDIDOS'!$F$2:$F$97,MATCH(A541,'08_PEDIDOS'!$A$2:$A$97,0)))</f>
        <v>6</v>
      </c>
      <c r="L541" s="16" t="n">
        <f aca="false">J541*N(INDEX('04_MAQUINAS'!$F$2:$F$18,MATCH(E541,'04_MAQUINAS'!$A$2:$A$18,0)))</f>
        <v>81.7</v>
      </c>
      <c r="M541" s="17" t="n">
        <f aca="false">J541*INDEX('04_MAQUINAS'!$G$2:$G$18,MATCH(E541,'04_MAQUINAS'!$A$2:$A$18,0))*INDEX('04_MAQUINAS'!$H$2:$H$18,MATCH(E541,'04_MAQUINAS'!$A$2:$A$18,0))</f>
        <v>1.29</v>
      </c>
      <c r="N541" s="2" t="s">
        <v>629</v>
      </c>
    </row>
    <row r="542" customFormat="false" ht="15" hidden="false" customHeight="false" outlineLevel="0" collapsed="false">
      <c r="A542" s="2" t="s">
        <v>569</v>
      </c>
      <c r="B542" s="2" t="s">
        <v>106</v>
      </c>
      <c r="C542" s="4" t="n">
        <v>10</v>
      </c>
      <c r="D542" s="2" t="s">
        <v>451</v>
      </c>
      <c r="E542" s="2" t="s">
        <v>408</v>
      </c>
      <c r="F542" s="5" t="n">
        <f aca="false">INDEX('08_PEDIDOS'!$D$2:$D$97,MATCH(A542,'08_PEDIDOS'!$A$2:$A$97,0))</f>
        <v>6</v>
      </c>
      <c r="G542" s="5" t="n">
        <f aca="false">INDEX('08_PEDIDOS'!$H$2:$H$97,MATCH(A542,'08_PEDIDOS'!$A$2:$A$97,0))</f>
        <v>10</v>
      </c>
      <c r="H542" s="17" t="n">
        <f aca="false">SUMIFS('05_RUTAS'!$F$2:$F$407,'05_RUTAS'!$A$2:$A$407,B542,'05_RUTAS'!$C$2:$C$407,C542)</f>
        <v>2</v>
      </c>
      <c r="I542" s="18" t="n">
        <f aca="false">SUMIFS('05_RUTAS'!$G$2:$G$407,'05_RUTAS'!$A$2:$A$407,B542,'05_RUTAS'!$C$2:$C$407,C542)</f>
        <v>3.52</v>
      </c>
      <c r="J542" s="18" t="n">
        <f aca="false">(ROUNDUP(F542/G542,0)*H542+F542*I542)/60</f>
        <v>0.385333333333333</v>
      </c>
      <c r="K542" s="5" t="n">
        <f aca="false">MONTH(INDEX('08_PEDIDOS'!$F$2:$F$97,MATCH(A542,'08_PEDIDOS'!$A$2:$A$97,0)))</f>
        <v>6</v>
      </c>
      <c r="L542" s="16" t="n">
        <f aca="false">J542*N(INDEX('04_MAQUINAS'!$F$2:$F$18,MATCH(E542,'04_MAQUINAS'!$A$2:$A$18,0)))</f>
        <v>7.70666666666667</v>
      </c>
      <c r="M542" s="17" t="n">
        <f aca="false">J542*INDEX('04_MAQUINAS'!$G$2:$G$18,MATCH(E542,'04_MAQUINAS'!$A$2:$A$18,0))*INDEX('04_MAQUINAS'!$H$2:$H$18,MATCH(E542,'04_MAQUINAS'!$A$2:$A$18,0))</f>
        <v>0.0385333333333333</v>
      </c>
      <c r="N542" s="2" t="s">
        <v>629</v>
      </c>
    </row>
    <row r="543" customFormat="false" ht="15" hidden="false" customHeight="false" outlineLevel="0" collapsed="false">
      <c r="A543" s="2" t="s">
        <v>569</v>
      </c>
      <c r="B543" s="2" t="s">
        <v>106</v>
      </c>
      <c r="C543" s="4" t="n">
        <v>11</v>
      </c>
      <c r="D543" s="2" t="s">
        <v>452</v>
      </c>
      <c r="E543" s="2" t="s">
        <v>411</v>
      </c>
      <c r="F543" s="5" t="n">
        <f aca="false">INDEX('08_PEDIDOS'!$D$2:$D$97,MATCH(A543,'08_PEDIDOS'!$A$2:$A$97,0))</f>
        <v>6</v>
      </c>
      <c r="G543" s="5" t="n">
        <f aca="false">INDEX('08_PEDIDOS'!$H$2:$H$97,MATCH(A543,'08_PEDIDOS'!$A$2:$A$97,0))</f>
        <v>10</v>
      </c>
      <c r="H543" s="17" t="n">
        <f aca="false">SUMIFS('05_RUTAS'!$F$2:$F$407,'05_RUTAS'!$A$2:$A$407,B543,'05_RUTAS'!$C$2:$C$407,C543)</f>
        <v>2</v>
      </c>
      <c r="I543" s="18" t="n">
        <f aca="false">SUMIFS('05_RUTAS'!$G$2:$G$407,'05_RUTAS'!$A$2:$A$407,B543,'05_RUTAS'!$C$2:$C$407,C543)</f>
        <v>4.78</v>
      </c>
      <c r="J543" s="18" t="n">
        <f aca="false">(ROUNDUP(F543/G543,0)*H543+F543*I543)/60</f>
        <v>0.511333333333333</v>
      </c>
      <c r="K543" s="5" t="n">
        <f aca="false">MONTH(INDEX('08_PEDIDOS'!$F$2:$F$97,MATCH(A543,'08_PEDIDOS'!$A$2:$A$97,0)))</f>
        <v>6</v>
      </c>
      <c r="L543" s="16" t="n">
        <f aca="false">J543*N(INDEX('04_MAQUINAS'!$F$2:$F$18,MATCH(E543,'04_MAQUINAS'!$A$2:$A$18,0)))</f>
        <v>9.204</v>
      </c>
      <c r="M543" s="17" t="n">
        <f aca="false">J543*INDEX('04_MAQUINAS'!$G$2:$G$18,MATCH(E543,'04_MAQUINAS'!$A$2:$A$18,0))*INDEX('04_MAQUINAS'!$H$2:$H$18,MATCH(E543,'04_MAQUINAS'!$A$2:$A$18,0))</f>
        <v>0.04602</v>
      </c>
      <c r="N543" s="2" t="s">
        <v>629</v>
      </c>
    </row>
    <row r="544" customFormat="false" ht="15" hidden="false" customHeight="false" outlineLevel="0" collapsed="false">
      <c r="A544" s="2" t="s">
        <v>570</v>
      </c>
      <c r="B544" s="2" t="s">
        <v>108</v>
      </c>
      <c r="C544" s="4" t="n">
        <v>1</v>
      </c>
      <c r="D544" s="2" t="s">
        <v>437</v>
      </c>
      <c r="E544" s="2" t="s">
        <v>375</v>
      </c>
      <c r="F544" s="5" t="n">
        <f aca="false">INDEX('08_PEDIDOS'!$D$2:$D$97,MATCH(A544,'08_PEDIDOS'!$A$2:$A$97,0))</f>
        <v>7</v>
      </c>
      <c r="G544" s="5" t="n">
        <f aca="false">INDEX('08_PEDIDOS'!$H$2:$H$97,MATCH(A544,'08_PEDIDOS'!$A$2:$A$97,0))</f>
        <v>10</v>
      </c>
      <c r="H544" s="17" t="n">
        <f aca="false">SUMIFS('05_RUTAS'!$F$2:$F$407,'05_RUTAS'!$A$2:$A$407,B544,'05_RUTAS'!$C$2:$C$407,C544)</f>
        <v>8</v>
      </c>
      <c r="I544" s="18" t="n">
        <f aca="false">SUMIFS('05_RUTAS'!$G$2:$G$407,'05_RUTAS'!$A$2:$A$407,B544,'05_RUTAS'!$C$2:$C$407,C544)</f>
        <v>57.14</v>
      </c>
      <c r="J544" s="18" t="n">
        <f aca="false">(ROUNDUP(F544/G544,0)*H544+F544*I544)/60</f>
        <v>6.79966666666667</v>
      </c>
      <c r="K544" s="5" t="n">
        <f aca="false">MONTH(INDEX('08_PEDIDOS'!$F$2:$F$97,MATCH(A544,'08_PEDIDOS'!$A$2:$A$97,0)))</f>
        <v>6</v>
      </c>
      <c r="L544" s="16" t="n">
        <f aca="false">J544*N(INDEX('04_MAQUINAS'!$F$2:$F$18,MATCH(E544,'04_MAQUINAS'!$A$2:$A$18,0)))</f>
        <v>163.192</v>
      </c>
      <c r="M544" s="17" t="n">
        <f aca="false">J544*INDEX('04_MAQUINAS'!$G$2:$G$18,MATCH(E544,'04_MAQUINAS'!$A$2:$A$18,0))*INDEX('04_MAQUINAS'!$H$2:$H$18,MATCH(E544,'04_MAQUINAS'!$A$2:$A$18,0))</f>
        <v>18.6990833333333</v>
      </c>
      <c r="N544" s="2" t="s">
        <v>629</v>
      </c>
    </row>
    <row r="545" customFormat="false" ht="15" hidden="false" customHeight="false" outlineLevel="0" collapsed="false">
      <c r="A545" s="2" t="s">
        <v>570</v>
      </c>
      <c r="B545" s="2" t="s">
        <v>108</v>
      </c>
      <c r="C545" s="4" t="n">
        <v>2</v>
      </c>
      <c r="D545" s="2" t="s">
        <v>386</v>
      </c>
      <c r="E545" s="2" t="s">
        <v>383</v>
      </c>
      <c r="F545" s="5" t="n">
        <f aca="false">INDEX('08_PEDIDOS'!$D$2:$D$97,MATCH(A545,'08_PEDIDOS'!$A$2:$A$97,0))</f>
        <v>7</v>
      </c>
      <c r="G545" s="5" t="n">
        <f aca="false">INDEX('08_PEDIDOS'!$H$2:$H$97,MATCH(A545,'08_PEDIDOS'!$A$2:$A$97,0))</f>
        <v>10</v>
      </c>
      <c r="H545" s="17" t="n">
        <f aca="false">SUMIFS('05_RUTAS'!$F$2:$F$407,'05_RUTAS'!$A$2:$A$407,B545,'05_RUTAS'!$C$2:$C$407,C545)</f>
        <v>10</v>
      </c>
      <c r="I545" s="18" t="n">
        <f aca="false">SUMIFS('05_RUTAS'!$G$2:$G$407,'05_RUTAS'!$A$2:$A$407,B545,'05_RUTAS'!$C$2:$C$407,C545)</f>
        <v>27</v>
      </c>
      <c r="J545" s="18" t="n">
        <f aca="false">(ROUNDUP(F545/G545,0)*H545+F545*I545)/60</f>
        <v>3.31666666666667</v>
      </c>
      <c r="K545" s="5" t="n">
        <f aca="false">MONTH(INDEX('08_PEDIDOS'!$F$2:$F$97,MATCH(A545,'08_PEDIDOS'!$A$2:$A$97,0)))</f>
        <v>6</v>
      </c>
      <c r="L545" s="16" t="n">
        <f aca="false">J545*N(INDEX('04_MAQUINAS'!$F$2:$F$18,MATCH(E545,'04_MAQUINAS'!$A$2:$A$18,0)))</f>
        <v>72.9666666666667</v>
      </c>
      <c r="M545" s="17" t="n">
        <f aca="false">J545*INDEX('04_MAQUINAS'!$G$2:$G$18,MATCH(E545,'04_MAQUINAS'!$A$2:$A$18,0))*INDEX('04_MAQUINAS'!$H$2:$H$18,MATCH(E545,'04_MAQUINAS'!$A$2:$A$18,0))</f>
        <v>0.912083333333334</v>
      </c>
      <c r="N545" s="2" t="s">
        <v>629</v>
      </c>
    </row>
    <row r="546" customFormat="false" ht="15" hidden="false" customHeight="false" outlineLevel="0" collapsed="false">
      <c r="A546" s="2" t="s">
        <v>570</v>
      </c>
      <c r="B546" s="2" t="s">
        <v>108</v>
      </c>
      <c r="C546" s="4" t="n">
        <v>3</v>
      </c>
      <c r="D546" s="2" t="s">
        <v>390</v>
      </c>
      <c r="E546" s="2" t="s">
        <v>387</v>
      </c>
      <c r="F546" s="5" t="n">
        <f aca="false">INDEX('08_PEDIDOS'!$D$2:$D$97,MATCH(A546,'08_PEDIDOS'!$A$2:$A$97,0))</f>
        <v>7</v>
      </c>
      <c r="G546" s="5" t="n">
        <f aca="false">INDEX('08_PEDIDOS'!$H$2:$H$97,MATCH(A546,'08_PEDIDOS'!$A$2:$A$97,0))</f>
        <v>10</v>
      </c>
      <c r="H546" s="17" t="n">
        <f aca="false">SUMIFS('05_RUTAS'!$F$2:$F$407,'05_RUTAS'!$A$2:$A$407,B546,'05_RUTAS'!$C$2:$C$407,C546)</f>
        <v>12</v>
      </c>
      <c r="I546" s="18" t="n">
        <f aca="false">SUMIFS('05_RUTAS'!$G$2:$G$407,'05_RUTAS'!$A$2:$A$407,B546,'05_RUTAS'!$C$2:$C$407,C546)</f>
        <v>149</v>
      </c>
      <c r="J546" s="18" t="n">
        <f aca="false">(ROUNDUP(F546/G546,0)*H546+F546*I546)/60</f>
        <v>17.5833333333333</v>
      </c>
      <c r="K546" s="5" t="n">
        <f aca="false">MONTH(INDEX('08_PEDIDOS'!$F$2:$F$97,MATCH(A546,'08_PEDIDOS'!$A$2:$A$97,0)))</f>
        <v>6</v>
      </c>
      <c r="L546" s="16" t="n">
        <f aca="false">J546*N(INDEX('04_MAQUINAS'!$F$2:$F$18,MATCH(E546,'04_MAQUINAS'!$A$2:$A$18,0)))</f>
        <v>492.333333333333</v>
      </c>
      <c r="M546" s="17" t="n">
        <f aca="false">J546*INDEX('04_MAQUINAS'!$G$2:$G$18,MATCH(E546,'04_MAQUINAS'!$A$2:$A$18,0))*INDEX('04_MAQUINAS'!$H$2:$H$18,MATCH(E546,'04_MAQUINAS'!$A$2:$A$18,0))</f>
        <v>43.51875</v>
      </c>
      <c r="N546" s="2" t="s">
        <v>629</v>
      </c>
    </row>
    <row r="547" customFormat="false" ht="15" hidden="false" customHeight="false" outlineLevel="0" collapsed="false">
      <c r="A547" s="2" t="s">
        <v>570</v>
      </c>
      <c r="B547" s="2" t="s">
        <v>108</v>
      </c>
      <c r="C547" s="4" t="n">
        <v>4</v>
      </c>
      <c r="D547" s="2" t="s">
        <v>443</v>
      </c>
      <c r="E547" s="2" t="s">
        <v>395</v>
      </c>
      <c r="F547" s="5" t="n">
        <f aca="false">INDEX('08_PEDIDOS'!$D$2:$D$97,MATCH(A547,'08_PEDIDOS'!$A$2:$A$97,0))</f>
        <v>7</v>
      </c>
      <c r="G547" s="5" t="n">
        <f aca="false">INDEX('08_PEDIDOS'!$H$2:$H$97,MATCH(A547,'08_PEDIDOS'!$A$2:$A$97,0))</f>
        <v>10</v>
      </c>
      <c r="H547" s="17" t="n">
        <f aca="false">SUMIFS('05_RUTAS'!$F$2:$F$407,'05_RUTAS'!$A$2:$A$407,B547,'05_RUTAS'!$C$2:$C$407,C547)</f>
        <v>3</v>
      </c>
      <c r="I547" s="18" t="n">
        <f aca="false">SUMIFS('05_RUTAS'!$G$2:$G$407,'05_RUTAS'!$A$2:$A$407,B547,'05_RUTAS'!$C$2:$C$407,C547)</f>
        <v>25.5</v>
      </c>
      <c r="J547" s="18" t="n">
        <f aca="false">(ROUNDUP(F547/G547,0)*H547+F547*I547)/60</f>
        <v>3.025</v>
      </c>
      <c r="K547" s="5" t="n">
        <f aca="false">MONTH(INDEX('08_PEDIDOS'!$F$2:$F$97,MATCH(A547,'08_PEDIDOS'!$A$2:$A$97,0)))</f>
        <v>6</v>
      </c>
      <c r="L547" s="16" t="n">
        <f aca="false">J547*N(INDEX('04_MAQUINAS'!$F$2:$F$18,MATCH(E547,'04_MAQUINAS'!$A$2:$A$18,0)))</f>
        <v>63.525</v>
      </c>
      <c r="M547" s="17" t="n">
        <f aca="false">J547*INDEX('04_MAQUINAS'!$G$2:$G$18,MATCH(E547,'04_MAQUINAS'!$A$2:$A$18,0))*INDEX('04_MAQUINAS'!$H$2:$H$18,MATCH(E547,'04_MAQUINAS'!$A$2:$A$18,0))</f>
        <v>2.26875</v>
      </c>
      <c r="N547" s="2" t="s">
        <v>629</v>
      </c>
    </row>
    <row r="548" customFormat="false" ht="15" hidden="false" customHeight="false" outlineLevel="0" collapsed="false">
      <c r="A548" s="2" t="s">
        <v>570</v>
      </c>
      <c r="B548" s="2" t="s">
        <v>108</v>
      </c>
      <c r="C548" s="4" t="n">
        <v>5</v>
      </c>
      <c r="D548" s="2" t="s">
        <v>444</v>
      </c>
      <c r="E548" s="2" t="s">
        <v>399</v>
      </c>
      <c r="F548" s="5" t="n">
        <f aca="false">INDEX('08_PEDIDOS'!$D$2:$D$97,MATCH(A548,'08_PEDIDOS'!$A$2:$A$97,0))</f>
        <v>7</v>
      </c>
      <c r="G548" s="5" t="n">
        <f aca="false">INDEX('08_PEDIDOS'!$H$2:$H$97,MATCH(A548,'08_PEDIDOS'!$A$2:$A$97,0))</f>
        <v>10</v>
      </c>
      <c r="H548" s="17" t="n">
        <f aca="false">SUMIFS('05_RUTAS'!$F$2:$F$407,'05_RUTAS'!$A$2:$A$407,B548,'05_RUTAS'!$C$2:$C$407,C548)</f>
        <v>6</v>
      </c>
      <c r="I548" s="18" t="n">
        <f aca="false">SUMIFS('05_RUTAS'!$G$2:$G$407,'05_RUTAS'!$A$2:$A$407,B548,'05_RUTAS'!$C$2:$C$407,C548)</f>
        <v>37.528</v>
      </c>
      <c r="J548" s="18" t="n">
        <f aca="false">(ROUNDUP(F548/G548,0)*H548+F548*I548)/60</f>
        <v>4.47826666666667</v>
      </c>
      <c r="K548" s="5" t="n">
        <f aca="false">MONTH(INDEX('08_PEDIDOS'!$F$2:$F$97,MATCH(A548,'08_PEDIDOS'!$A$2:$A$97,0)))</f>
        <v>6</v>
      </c>
      <c r="L548" s="16" t="n">
        <f aca="false">J548*N(INDEX('04_MAQUINAS'!$F$2:$F$18,MATCH(E548,'04_MAQUINAS'!$A$2:$A$18,0)))</f>
        <v>85.0870666666667</v>
      </c>
      <c r="M548" s="17" t="n">
        <f aca="false">J548*INDEX('04_MAQUINAS'!$G$2:$G$18,MATCH(E548,'04_MAQUINAS'!$A$2:$A$18,0))*INDEX('04_MAQUINAS'!$H$2:$H$18,MATCH(E548,'04_MAQUINAS'!$A$2:$A$18,0))</f>
        <v>3.94087466666667</v>
      </c>
      <c r="N548" s="2" t="s">
        <v>629</v>
      </c>
    </row>
    <row r="549" customFormat="false" ht="15" hidden="false" customHeight="false" outlineLevel="0" collapsed="false">
      <c r="A549" s="2" t="s">
        <v>570</v>
      </c>
      <c r="B549" s="2" t="s">
        <v>108</v>
      </c>
      <c r="C549" s="4" t="n">
        <v>6</v>
      </c>
      <c r="D549" s="2" t="s">
        <v>445</v>
      </c>
      <c r="E549" s="2" t="s">
        <v>402</v>
      </c>
      <c r="F549" s="5" t="n">
        <f aca="false">INDEX('08_PEDIDOS'!$D$2:$D$97,MATCH(A549,'08_PEDIDOS'!$A$2:$A$97,0))</f>
        <v>7</v>
      </c>
      <c r="G549" s="5" t="n">
        <f aca="false">INDEX('08_PEDIDOS'!$H$2:$H$97,MATCH(A549,'08_PEDIDOS'!$A$2:$A$97,0))</f>
        <v>10</v>
      </c>
      <c r="H549" s="17" t="n">
        <f aca="false">SUMIFS('05_RUTAS'!$F$2:$F$407,'05_RUTAS'!$A$2:$A$407,B549,'05_RUTAS'!$C$2:$C$407,C549)</f>
        <v>12</v>
      </c>
      <c r="I549" s="18" t="n">
        <f aca="false">SUMIFS('05_RUTAS'!$G$2:$G$407,'05_RUTAS'!$A$2:$A$407,B549,'05_RUTAS'!$C$2:$C$407,C549)</f>
        <v>6.83</v>
      </c>
      <c r="J549" s="18" t="n">
        <f aca="false">(ROUNDUP(F549/G549,0)*H549+F549*I549)/60</f>
        <v>0.996833333333333</v>
      </c>
      <c r="K549" s="5" t="n">
        <f aca="false">MONTH(INDEX('08_PEDIDOS'!$F$2:$F$97,MATCH(A549,'08_PEDIDOS'!$A$2:$A$97,0)))</f>
        <v>6</v>
      </c>
      <c r="L549" s="16" t="n">
        <f aca="false">J549*N(INDEX('04_MAQUINAS'!$F$2:$F$18,MATCH(E549,'04_MAQUINAS'!$A$2:$A$18,0)))</f>
        <v>31.8986666666667</v>
      </c>
      <c r="M549" s="17" t="n">
        <f aca="false">J549*INDEX('04_MAQUINAS'!$G$2:$G$18,MATCH(E549,'04_MAQUINAS'!$A$2:$A$18,0))*INDEX('04_MAQUINAS'!$H$2:$H$18,MATCH(E549,'04_MAQUINAS'!$A$2:$A$18,0))</f>
        <v>1.046675</v>
      </c>
      <c r="N549" s="2" t="s">
        <v>629</v>
      </c>
    </row>
    <row r="550" customFormat="false" ht="15" hidden="false" customHeight="false" outlineLevel="0" collapsed="false">
      <c r="A550" s="2" t="s">
        <v>570</v>
      </c>
      <c r="B550" s="2" t="s">
        <v>108</v>
      </c>
      <c r="C550" s="4" t="n">
        <v>7</v>
      </c>
      <c r="D550" s="2" t="s">
        <v>447</v>
      </c>
      <c r="E550" s="2" t="s">
        <v>421</v>
      </c>
      <c r="F550" s="5" t="n">
        <f aca="false">INDEX('08_PEDIDOS'!$D$2:$D$97,MATCH(A550,'08_PEDIDOS'!$A$2:$A$97,0))</f>
        <v>7</v>
      </c>
      <c r="G550" s="5" t="n">
        <f aca="false">INDEX('08_PEDIDOS'!$H$2:$H$97,MATCH(A550,'08_PEDIDOS'!$A$2:$A$97,0))</f>
        <v>10</v>
      </c>
      <c r="H550" s="17" t="n">
        <f aca="false">SUMIFS('05_RUTAS'!$F$2:$F$407,'05_RUTAS'!$A$2:$A$407,B550,'05_RUTAS'!$C$2:$C$407,C550)</f>
        <v>45</v>
      </c>
      <c r="I550" s="18" t="n">
        <f aca="false">SUMIFS('05_RUTAS'!$G$2:$G$407,'05_RUTAS'!$A$2:$A$407,B550,'05_RUTAS'!$C$2:$C$407,C550)</f>
        <v>0</v>
      </c>
      <c r="J550" s="18" t="n">
        <f aca="false">(ROUNDUP(F550/G550,0)*H550+F550*I550)/60</f>
        <v>0.75</v>
      </c>
      <c r="K550" s="5" t="n">
        <f aca="false">MONTH(INDEX('08_PEDIDOS'!$F$2:$F$97,MATCH(A550,'08_PEDIDOS'!$A$2:$A$97,0)))</f>
        <v>6</v>
      </c>
      <c r="L550" s="16" t="n">
        <f aca="false">J550*N(INDEX('04_MAQUINAS'!$F$2:$F$18,MATCH(E550,'04_MAQUINAS'!$A$2:$A$18,0)))</f>
        <v>19.5</v>
      </c>
      <c r="M550" s="17" t="n">
        <f aca="false">J550*INDEX('04_MAQUINAS'!$G$2:$G$18,MATCH(E550,'04_MAQUINAS'!$A$2:$A$18,0))*INDEX('04_MAQUINAS'!$H$2:$H$18,MATCH(E550,'04_MAQUINAS'!$A$2:$A$18,0))</f>
        <v>10.8</v>
      </c>
      <c r="N550" s="2" t="s">
        <v>629</v>
      </c>
    </row>
    <row r="551" customFormat="false" ht="15" hidden="false" customHeight="false" outlineLevel="0" collapsed="false">
      <c r="A551" s="2" t="s">
        <v>570</v>
      </c>
      <c r="B551" s="2" t="s">
        <v>108</v>
      </c>
      <c r="C551" s="4" t="n">
        <v>8</v>
      </c>
      <c r="D551" s="2" t="s">
        <v>449</v>
      </c>
      <c r="E551" s="2" t="s">
        <v>423</v>
      </c>
      <c r="F551" s="5" t="n">
        <f aca="false">INDEX('08_PEDIDOS'!$D$2:$D$97,MATCH(A551,'08_PEDIDOS'!$A$2:$A$97,0))</f>
        <v>7</v>
      </c>
      <c r="G551" s="5" t="n">
        <f aca="false">INDEX('08_PEDIDOS'!$H$2:$H$97,MATCH(A551,'08_PEDIDOS'!$A$2:$A$97,0))</f>
        <v>10</v>
      </c>
      <c r="H551" s="17" t="n">
        <f aca="false">SUMIFS('05_RUTAS'!$F$2:$F$407,'05_RUTAS'!$A$2:$A$407,B551,'05_RUTAS'!$C$2:$C$407,C551)</f>
        <v>8</v>
      </c>
      <c r="I551" s="18" t="n">
        <f aca="false">SUMIFS('05_RUTAS'!$G$2:$G$407,'05_RUTAS'!$A$2:$A$407,B551,'05_RUTAS'!$C$2:$C$407,C551)</f>
        <v>2.42</v>
      </c>
      <c r="J551" s="18" t="n">
        <f aca="false">(ROUNDUP(F551/G551,0)*H551+F551*I551)/60</f>
        <v>0.415666666666667</v>
      </c>
      <c r="K551" s="5" t="n">
        <f aca="false">MONTH(INDEX('08_PEDIDOS'!$F$2:$F$97,MATCH(A551,'08_PEDIDOS'!$A$2:$A$97,0)))</f>
        <v>6</v>
      </c>
      <c r="L551" s="16" t="n">
        <f aca="false">J551*N(INDEX('04_MAQUINAS'!$F$2:$F$18,MATCH(E551,'04_MAQUINAS'!$A$2:$A$18,0)))</f>
        <v>6.65066666666667</v>
      </c>
      <c r="M551" s="17" t="n">
        <f aca="false">J551*INDEX('04_MAQUINAS'!$G$2:$G$18,MATCH(E551,'04_MAQUINAS'!$A$2:$A$18,0))*INDEX('04_MAQUINAS'!$H$2:$H$18,MATCH(E551,'04_MAQUINAS'!$A$2:$A$18,0))</f>
        <v>0.103916666666667</v>
      </c>
      <c r="N551" s="2" t="s">
        <v>629</v>
      </c>
    </row>
    <row r="552" customFormat="false" ht="15" hidden="false" customHeight="false" outlineLevel="0" collapsed="false">
      <c r="A552" s="2" t="s">
        <v>570</v>
      </c>
      <c r="B552" s="2" t="s">
        <v>108</v>
      </c>
      <c r="C552" s="4" t="n">
        <v>9</v>
      </c>
      <c r="D552" s="2" t="s">
        <v>450</v>
      </c>
      <c r="E552" s="2" t="s">
        <v>406</v>
      </c>
      <c r="F552" s="5" t="n">
        <f aca="false">INDEX('08_PEDIDOS'!$D$2:$D$97,MATCH(A552,'08_PEDIDOS'!$A$2:$A$97,0))</f>
        <v>7</v>
      </c>
      <c r="G552" s="5" t="n">
        <f aca="false">INDEX('08_PEDIDOS'!$H$2:$H$97,MATCH(A552,'08_PEDIDOS'!$A$2:$A$97,0))</f>
        <v>10</v>
      </c>
      <c r="H552" s="17" t="n">
        <f aca="false">SUMIFS('05_RUTAS'!$F$2:$F$407,'05_RUTAS'!$A$2:$A$407,B552,'05_RUTAS'!$C$2:$C$407,C552)</f>
        <v>6</v>
      </c>
      <c r="I552" s="18" t="n">
        <f aca="false">SUMIFS('05_RUTAS'!$G$2:$G$407,'05_RUTAS'!$A$2:$A$407,B552,'05_RUTAS'!$C$2:$C$407,C552)</f>
        <v>56.25</v>
      </c>
      <c r="J552" s="18" t="n">
        <f aca="false">(ROUNDUP(F552/G552,0)*H552+F552*I552)/60</f>
        <v>6.6625</v>
      </c>
      <c r="K552" s="5" t="n">
        <f aca="false">MONTH(INDEX('08_PEDIDOS'!$F$2:$F$97,MATCH(A552,'08_PEDIDOS'!$A$2:$A$97,0)))</f>
        <v>6</v>
      </c>
      <c r="L552" s="16" t="n">
        <f aca="false">J552*N(INDEX('04_MAQUINAS'!$F$2:$F$18,MATCH(E552,'04_MAQUINAS'!$A$2:$A$18,0)))</f>
        <v>126.5875</v>
      </c>
      <c r="M552" s="17" t="n">
        <f aca="false">J552*INDEX('04_MAQUINAS'!$G$2:$G$18,MATCH(E552,'04_MAQUINAS'!$A$2:$A$18,0))*INDEX('04_MAQUINAS'!$H$2:$H$18,MATCH(E552,'04_MAQUINAS'!$A$2:$A$18,0))</f>
        <v>1.99875</v>
      </c>
      <c r="N552" s="2" t="s">
        <v>629</v>
      </c>
    </row>
    <row r="553" customFormat="false" ht="15" hidden="false" customHeight="false" outlineLevel="0" collapsed="false">
      <c r="A553" s="2" t="s">
        <v>570</v>
      </c>
      <c r="B553" s="2" t="s">
        <v>108</v>
      </c>
      <c r="C553" s="4" t="n">
        <v>10</v>
      </c>
      <c r="D553" s="2" t="s">
        <v>451</v>
      </c>
      <c r="E553" s="2" t="s">
        <v>408</v>
      </c>
      <c r="F553" s="5" t="n">
        <f aca="false">INDEX('08_PEDIDOS'!$D$2:$D$97,MATCH(A553,'08_PEDIDOS'!$A$2:$A$97,0))</f>
        <v>7</v>
      </c>
      <c r="G553" s="5" t="n">
        <f aca="false">INDEX('08_PEDIDOS'!$H$2:$H$97,MATCH(A553,'08_PEDIDOS'!$A$2:$A$97,0))</f>
        <v>10</v>
      </c>
      <c r="H553" s="17" t="n">
        <f aca="false">SUMIFS('05_RUTAS'!$F$2:$F$407,'05_RUTAS'!$A$2:$A$407,B553,'05_RUTAS'!$C$2:$C$407,C553)</f>
        <v>2</v>
      </c>
      <c r="I553" s="18" t="n">
        <f aca="false">SUMIFS('05_RUTAS'!$G$2:$G$407,'05_RUTAS'!$A$2:$A$407,B553,'05_RUTAS'!$C$2:$C$407,C553)</f>
        <v>3.52</v>
      </c>
      <c r="J553" s="18" t="n">
        <f aca="false">(ROUNDUP(F553/G553,0)*H553+F553*I553)/60</f>
        <v>0.444</v>
      </c>
      <c r="K553" s="5" t="n">
        <f aca="false">MONTH(INDEX('08_PEDIDOS'!$F$2:$F$97,MATCH(A553,'08_PEDIDOS'!$A$2:$A$97,0)))</f>
        <v>6</v>
      </c>
      <c r="L553" s="16" t="n">
        <f aca="false">J553*N(INDEX('04_MAQUINAS'!$F$2:$F$18,MATCH(E553,'04_MAQUINAS'!$A$2:$A$18,0)))</f>
        <v>8.88</v>
      </c>
      <c r="M553" s="17" t="n">
        <f aca="false">J553*INDEX('04_MAQUINAS'!$G$2:$G$18,MATCH(E553,'04_MAQUINAS'!$A$2:$A$18,0))*INDEX('04_MAQUINAS'!$H$2:$H$18,MATCH(E553,'04_MAQUINAS'!$A$2:$A$18,0))</f>
        <v>0.0444</v>
      </c>
      <c r="N553" s="2" t="s">
        <v>629</v>
      </c>
    </row>
    <row r="554" customFormat="false" ht="15" hidden="false" customHeight="false" outlineLevel="0" collapsed="false">
      <c r="A554" s="2" t="s">
        <v>570</v>
      </c>
      <c r="B554" s="2" t="s">
        <v>108</v>
      </c>
      <c r="C554" s="4" t="n">
        <v>11</v>
      </c>
      <c r="D554" s="2" t="s">
        <v>452</v>
      </c>
      <c r="E554" s="2" t="s">
        <v>411</v>
      </c>
      <c r="F554" s="5" t="n">
        <f aca="false">INDEX('08_PEDIDOS'!$D$2:$D$97,MATCH(A554,'08_PEDIDOS'!$A$2:$A$97,0))</f>
        <v>7</v>
      </c>
      <c r="G554" s="5" t="n">
        <f aca="false">INDEX('08_PEDIDOS'!$H$2:$H$97,MATCH(A554,'08_PEDIDOS'!$A$2:$A$97,0))</f>
        <v>10</v>
      </c>
      <c r="H554" s="17" t="n">
        <f aca="false">SUMIFS('05_RUTAS'!$F$2:$F$407,'05_RUTAS'!$A$2:$A$407,B554,'05_RUTAS'!$C$2:$C$407,C554)</f>
        <v>2</v>
      </c>
      <c r="I554" s="18" t="n">
        <f aca="false">SUMIFS('05_RUTAS'!$G$2:$G$407,'05_RUTAS'!$A$2:$A$407,B554,'05_RUTAS'!$C$2:$C$407,C554)</f>
        <v>4.78</v>
      </c>
      <c r="J554" s="18" t="n">
        <f aca="false">(ROUNDUP(F554/G554,0)*H554+F554*I554)/60</f>
        <v>0.591</v>
      </c>
      <c r="K554" s="5" t="n">
        <f aca="false">MONTH(INDEX('08_PEDIDOS'!$F$2:$F$97,MATCH(A554,'08_PEDIDOS'!$A$2:$A$97,0)))</f>
        <v>6</v>
      </c>
      <c r="L554" s="16" t="n">
        <f aca="false">J554*N(INDEX('04_MAQUINAS'!$F$2:$F$18,MATCH(E554,'04_MAQUINAS'!$A$2:$A$18,0)))</f>
        <v>10.638</v>
      </c>
      <c r="M554" s="17" t="n">
        <f aca="false">J554*INDEX('04_MAQUINAS'!$G$2:$G$18,MATCH(E554,'04_MAQUINAS'!$A$2:$A$18,0))*INDEX('04_MAQUINAS'!$H$2:$H$18,MATCH(E554,'04_MAQUINAS'!$A$2:$A$18,0))</f>
        <v>0.05319</v>
      </c>
      <c r="N554" s="2" t="s">
        <v>629</v>
      </c>
    </row>
    <row r="555" customFormat="false" ht="15" hidden="false" customHeight="false" outlineLevel="0" collapsed="false">
      <c r="A555" s="2" t="s">
        <v>571</v>
      </c>
      <c r="B555" s="2" t="s">
        <v>119</v>
      </c>
      <c r="C555" s="4" t="n">
        <v>1</v>
      </c>
      <c r="D555" s="2" t="s">
        <v>437</v>
      </c>
      <c r="E555" s="2" t="s">
        <v>375</v>
      </c>
      <c r="F555" s="5" t="n">
        <f aca="false">INDEX('08_PEDIDOS'!$D$2:$D$97,MATCH(A555,'08_PEDIDOS'!$A$2:$A$97,0))</f>
        <v>12</v>
      </c>
      <c r="G555" s="5" t="n">
        <f aca="false">INDEX('08_PEDIDOS'!$H$2:$H$97,MATCH(A555,'08_PEDIDOS'!$A$2:$A$97,0))</f>
        <v>10</v>
      </c>
      <c r="H555" s="17" t="n">
        <f aca="false">SUMIFS('05_RUTAS'!$F$2:$F$407,'05_RUTAS'!$A$2:$A$407,B555,'05_RUTAS'!$C$2:$C$407,C555)</f>
        <v>8</v>
      </c>
      <c r="I555" s="18" t="n">
        <f aca="false">SUMIFS('05_RUTAS'!$G$2:$G$407,'05_RUTAS'!$A$2:$A$407,B555,'05_RUTAS'!$C$2:$C$407,C555)</f>
        <v>35.56</v>
      </c>
      <c r="J555" s="18" t="n">
        <f aca="false">(ROUNDUP(F555/G555,0)*H555+F555*I555)/60</f>
        <v>7.37866666666667</v>
      </c>
      <c r="K555" s="5" t="n">
        <f aca="false">MONTH(INDEX('08_PEDIDOS'!$F$2:$F$97,MATCH(A555,'08_PEDIDOS'!$A$2:$A$97,0)))</f>
        <v>6</v>
      </c>
      <c r="L555" s="16" t="n">
        <f aca="false">J555*N(INDEX('04_MAQUINAS'!$F$2:$F$18,MATCH(E555,'04_MAQUINAS'!$A$2:$A$18,0)))</f>
        <v>177.088</v>
      </c>
      <c r="M555" s="17" t="n">
        <f aca="false">J555*INDEX('04_MAQUINAS'!$G$2:$G$18,MATCH(E555,'04_MAQUINAS'!$A$2:$A$18,0))*INDEX('04_MAQUINAS'!$H$2:$H$18,MATCH(E555,'04_MAQUINAS'!$A$2:$A$18,0))</f>
        <v>20.2913333333333</v>
      </c>
      <c r="N555" s="2" t="s">
        <v>629</v>
      </c>
    </row>
    <row r="556" customFormat="false" ht="15" hidden="false" customHeight="false" outlineLevel="0" collapsed="false">
      <c r="A556" s="2" t="s">
        <v>571</v>
      </c>
      <c r="B556" s="2" t="s">
        <v>119</v>
      </c>
      <c r="C556" s="4" t="n">
        <v>2</v>
      </c>
      <c r="D556" s="2" t="s">
        <v>386</v>
      </c>
      <c r="E556" s="2" t="s">
        <v>383</v>
      </c>
      <c r="F556" s="5" t="n">
        <f aca="false">INDEX('08_PEDIDOS'!$D$2:$D$97,MATCH(A556,'08_PEDIDOS'!$A$2:$A$97,0))</f>
        <v>12</v>
      </c>
      <c r="G556" s="5" t="n">
        <f aca="false">INDEX('08_PEDIDOS'!$H$2:$H$97,MATCH(A556,'08_PEDIDOS'!$A$2:$A$97,0))</f>
        <v>10</v>
      </c>
      <c r="H556" s="17" t="n">
        <f aca="false">SUMIFS('05_RUTAS'!$F$2:$F$407,'05_RUTAS'!$A$2:$A$407,B556,'05_RUTAS'!$C$2:$C$407,C556)</f>
        <v>10</v>
      </c>
      <c r="I556" s="18" t="n">
        <f aca="false">SUMIFS('05_RUTAS'!$G$2:$G$407,'05_RUTAS'!$A$2:$A$407,B556,'05_RUTAS'!$C$2:$C$407,C556)</f>
        <v>5.8</v>
      </c>
      <c r="J556" s="18" t="n">
        <f aca="false">(ROUNDUP(F556/G556,0)*H556+F556*I556)/60</f>
        <v>1.49333333333333</v>
      </c>
      <c r="K556" s="5" t="n">
        <f aca="false">MONTH(INDEX('08_PEDIDOS'!$F$2:$F$97,MATCH(A556,'08_PEDIDOS'!$A$2:$A$97,0)))</f>
        <v>6</v>
      </c>
      <c r="L556" s="16" t="n">
        <f aca="false">J556*N(INDEX('04_MAQUINAS'!$F$2:$F$18,MATCH(E556,'04_MAQUINAS'!$A$2:$A$18,0)))</f>
        <v>32.8533333333333</v>
      </c>
      <c r="M556" s="17" t="n">
        <f aca="false">J556*INDEX('04_MAQUINAS'!$G$2:$G$18,MATCH(E556,'04_MAQUINAS'!$A$2:$A$18,0))*INDEX('04_MAQUINAS'!$H$2:$H$18,MATCH(E556,'04_MAQUINAS'!$A$2:$A$18,0))</f>
        <v>0.410666666666667</v>
      </c>
      <c r="N556" s="2" t="s">
        <v>629</v>
      </c>
    </row>
    <row r="557" customFormat="false" ht="15" hidden="false" customHeight="false" outlineLevel="0" collapsed="false">
      <c r="A557" s="2" t="s">
        <v>571</v>
      </c>
      <c r="B557" s="2" t="s">
        <v>119</v>
      </c>
      <c r="C557" s="4" t="n">
        <v>3</v>
      </c>
      <c r="D557" s="2" t="s">
        <v>390</v>
      </c>
      <c r="E557" s="2" t="s">
        <v>387</v>
      </c>
      <c r="F557" s="5" t="n">
        <f aca="false">INDEX('08_PEDIDOS'!$D$2:$D$97,MATCH(A557,'08_PEDIDOS'!$A$2:$A$97,0))</f>
        <v>12</v>
      </c>
      <c r="G557" s="5" t="n">
        <f aca="false">INDEX('08_PEDIDOS'!$H$2:$H$97,MATCH(A557,'08_PEDIDOS'!$A$2:$A$97,0))</f>
        <v>10</v>
      </c>
      <c r="H557" s="17" t="n">
        <f aca="false">SUMIFS('05_RUTAS'!$F$2:$F$407,'05_RUTAS'!$A$2:$A$407,B557,'05_RUTAS'!$C$2:$C$407,C557)</f>
        <v>12</v>
      </c>
      <c r="I557" s="18" t="n">
        <f aca="false">SUMIFS('05_RUTAS'!$G$2:$G$407,'05_RUTAS'!$A$2:$A$407,B557,'05_RUTAS'!$C$2:$C$407,C557)</f>
        <v>86</v>
      </c>
      <c r="J557" s="18" t="n">
        <f aca="false">(ROUNDUP(F557/G557,0)*H557+F557*I557)/60</f>
        <v>17.6</v>
      </c>
      <c r="K557" s="5" t="n">
        <f aca="false">MONTH(INDEX('08_PEDIDOS'!$F$2:$F$97,MATCH(A557,'08_PEDIDOS'!$A$2:$A$97,0)))</f>
        <v>6</v>
      </c>
      <c r="L557" s="16" t="n">
        <f aca="false">J557*N(INDEX('04_MAQUINAS'!$F$2:$F$18,MATCH(E557,'04_MAQUINAS'!$A$2:$A$18,0)))</f>
        <v>492.8</v>
      </c>
      <c r="M557" s="17" t="n">
        <f aca="false">J557*INDEX('04_MAQUINAS'!$G$2:$G$18,MATCH(E557,'04_MAQUINAS'!$A$2:$A$18,0))*INDEX('04_MAQUINAS'!$H$2:$H$18,MATCH(E557,'04_MAQUINAS'!$A$2:$A$18,0))</f>
        <v>43.56</v>
      </c>
      <c r="N557" s="2" t="s">
        <v>629</v>
      </c>
    </row>
    <row r="558" customFormat="false" ht="15" hidden="false" customHeight="false" outlineLevel="0" collapsed="false">
      <c r="A558" s="2" t="s">
        <v>571</v>
      </c>
      <c r="B558" s="2" t="s">
        <v>119</v>
      </c>
      <c r="C558" s="4" t="n">
        <v>4</v>
      </c>
      <c r="D558" s="2" t="s">
        <v>443</v>
      </c>
      <c r="E558" s="2" t="s">
        <v>395</v>
      </c>
      <c r="F558" s="5" t="n">
        <f aca="false">INDEX('08_PEDIDOS'!$D$2:$D$97,MATCH(A558,'08_PEDIDOS'!$A$2:$A$97,0))</f>
        <v>12</v>
      </c>
      <c r="G558" s="5" t="n">
        <f aca="false">INDEX('08_PEDIDOS'!$H$2:$H$97,MATCH(A558,'08_PEDIDOS'!$A$2:$A$97,0))</f>
        <v>10</v>
      </c>
      <c r="H558" s="17" t="n">
        <f aca="false">SUMIFS('05_RUTAS'!$F$2:$F$407,'05_RUTAS'!$A$2:$A$407,B558,'05_RUTAS'!$C$2:$C$407,C558)</f>
        <v>3</v>
      </c>
      <c r="I558" s="18" t="n">
        <f aca="false">SUMIFS('05_RUTAS'!$G$2:$G$407,'05_RUTAS'!$A$2:$A$407,B558,'05_RUTAS'!$C$2:$C$407,C558)</f>
        <v>15</v>
      </c>
      <c r="J558" s="18" t="n">
        <f aca="false">(ROUNDUP(F558/G558,0)*H558+F558*I558)/60</f>
        <v>3.1</v>
      </c>
      <c r="K558" s="5" t="n">
        <f aca="false">MONTH(INDEX('08_PEDIDOS'!$F$2:$F$97,MATCH(A558,'08_PEDIDOS'!$A$2:$A$97,0)))</f>
        <v>6</v>
      </c>
      <c r="L558" s="16" t="n">
        <f aca="false">J558*N(INDEX('04_MAQUINAS'!$F$2:$F$18,MATCH(E558,'04_MAQUINAS'!$A$2:$A$18,0)))</f>
        <v>65.1</v>
      </c>
      <c r="M558" s="17" t="n">
        <f aca="false">J558*INDEX('04_MAQUINAS'!$G$2:$G$18,MATCH(E558,'04_MAQUINAS'!$A$2:$A$18,0))*INDEX('04_MAQUINAS'!$H$2:$H$18,MATCH(E558,'04_MAQUINAS'!$A$2:$A$18,0))</f>
        <v>2.325</v>
      </c>
      <c r="N558" s="2" t="s">
        <v>629</v>
      </c>
    </row>
    <row r="559" customFormat="false" ht="15" hidden="false" customHeight="false" outlineLevel="0" collapsed="false">
      <c r="A559" s="2" t="s">
        <v>571</v>
      </c>
      <c r="B559" s="2" t="s">
        <v>119</v>
      </c>
      <c r="C559" s="4" t="n">
        <v>5</v>
      </c>
      <c r="D559" s="2" t="s">
        <v>444</v>
      </c>
      <c r="E559" s="2" t="s">
        <v>399</v>
      </c>
      <c r="F559" s="5" t="n">
        <f aca="false">INDEX('08_PEDIDOS'!$D$2:$D$97,MATCH(A559,'08_PEDIDOS'!$A$2:$A$97,0))</f>
        <v>12</v>
      </c>
      <c r="G559" s="5" t="n">
        <f aca="false">INDEX('08_PEDIDOS'!$H$2:$H$97,MATCH(A559,'08_PEDIDOS'!$A$2:$A$97,0))</f>
        <v>10</v>
      </c>
      <c r="H559" s="17" t="n">
        <f aca="false">SUMIFS('05_RUTAS'!$F$2:$F$407,'05_RUTAS'!$A$2:$A$407,B559,'05_RUTAS'!$C$2:$C$407,C559)</f>
        <v>6</v>
      </c>
      <c r="I559" s="18" t="n">
        <f aca="false">SUMIFS('05_RUTAS'!$G$2:$G$407,'05_RUTAS'!$A$2:$A$407,B559,'05_RUTAS'!$C$2:$C$407,C559)</f>
        <v>25.712</v>
      </c>
      <c r="J559" s="18" t="n">
        <f aca="false">(ROUNDUP(F559/G559,0)*H559+F559*I559)/60</f>
        <v>5.3424</v>
      </c>
      <c r="K559" s="5" t="n">
        <f aca="false">MONTH(INDEX('08_PEDIDOS'!$F$2:$F$97,MATCH(A559,'08_PEDIDOS'!$A$2:$A$97,0)))</f>
        <v>6</v>
      </c>
      <c r="L559" s="16" t="n">
        <f aca="false">J559*N(INDEX('04_MAQUINAS'!$F$2:$F$18,MATCH(E559,'04_MAQUINAS'!$A$2:$A$18,0)))</f>
        <v>101.5056</v>
      </c>
      <c r="M559" s="17" t="n">
        <f aca="false">J559*INDEX('04_MAQUINAS'!$G$2:$G$18,MATCH(E559,'04_MAQUINAS'!$A$2:$A$18,0))*INDEX('04_MAQUINAS'!$H$2:$H$18,MATCH(E559,'04_MAQUINAS'!$A$2:$A$18,0))</f>
        <v>4.701312</v>
      </c>
      <c r="N559" s="2" t="s">
        <v>629</v>
      </c>
    </row>
    <row r="560" customFormat="false" ht="15" hidden="false" customHeight="false" outlineLevel="0" collapsed="false">
      <c r="A560" s="2" t="s">
        <v>571</v>
      </c>
      <c r="B560" s="2" t="s">
        <v>119</v>
      </c>
      <c r="C560" s="4" t="n">
        <v>6</v>
      </c>
      <c r="D560" s="2" t="s">
        <v>445</v>
      </c>
      <c r="E560" s="2" t="s">
        <v>402</v>
      </c>
      <c r="F560" s="5" t="n">
        <f aca="false">INDEX('08_PEDIDOS'!$D$2:$D$97,MATCH(A560,'08_PEDIDOS'!$A$2:$A$97,0))</f>
        <v>12</v>
      </c>
      <c r="G560" s="5" t="n">
        <f aca="false">INDEX('08_PEDIDOS'!$H$2:$H$97,MATCH(A560,'08_PEDIDOS'!$A$2:$A$97,0))</f>
        <v>10</v>
      </c>
      <c r="H560" s="17" t="n">
        <f aca="false">SUMIFS('05_RUTAS'!$F$2:$F$407,'05_RUTAS'!$A$2:$A$407,B560,'05_RUTAS'!$C$2:$C$407,C560)</f>
        <v>12</v>
      </c>
      <c r="I560" s="18" t="n">
        <f aca="false">SUMIFS('05_RUTAS'!$G$2:$G$407,'05_RUTAS'!$A$2:$A$407,B560,'05_RUTAS'!$C$2:$C$407,C560)</f>
        <v>6.58</v>
      </c>
      <c r="J560" s="18" t="n">
        <f aca="false">(ROUNDUP(F560/G560,0)*H560+F560*I560)/60</f>
        <v>1.716</v>
      </c>
      <c r="K560" s="5" t="n">
        <f aca="false">MONTH(INDEX('08_PEDIDOS'!$F$2:$F$97,MATCH(A560,'08_PEDIDOS'!$A$2:$A$97,0)))</f>
        <v>6</v>
      </c>
      <c r="L560" s="16" t="n">
        <f aca="false">J560*N(INDEX('04_MAQUINAS'!$F$2:$F$18,MATCH(E560,'04_MAQUINAS'!$A$2:$A$18,0)))</f>
        <v>54.912</v>
      </c>
      <c r="M560" s="17" t="n">
        <f aca="false">J560*INDEX('04_MAQUINAS'!$G$2:$G$18,MATCH(E560,'04_MAQUINAS'!$A$2:$A$18,0))*INDEX('04_MAQUINAS'!$H$2:$H$18,MATCH(E560,'04_MAQUINAS'!$A$2:$A$18,0))</f>
        <v>1.8018</v>
      </c>
      <c r="N560" s="2" t="s">
        <v>629</v>
      </c>
    </row>
    <row r="561" customFormat="false" ht="15" hidden="false" customHeight="false" outlineLevel="0" collapsed="false">
      <c r="A561" s="2" t="s">
        <v>571</v>
      </c>
      <c r="B561" s="2" t="s">
        <v>119</v>
      </c>
      <c r="C561" s="4" t="n">
        <v>7</v>
      </c>
      <c r="D561" s="2" t="s">
        <v>447</v>
      </c>
      <c r="E561" s="2" t="s">
        <v>421</v>
      </c>
      <c r="F561" s="5" t="n">
        <f aca="false">INDEX('08_PEDIDOS'!$D$2:$D$97,MATCH(A561,'08_PEDIDOS'!$A$2:$A$97,0))</f>
        <v>12</v>
      </c>
      <c r="G561" s="5" t="n">
        <f aca="false">INDEX('08_PEDIDOS'!$H$2:$H$97,MATCH(A561,'08_PEDIDOS'!$A$2:$A$97,0))</f>
        <v>10</v>
      </c>
      <c r="H561" s="17" t="n">
        <f aca="false">SUMIFS('05_RUTAS'!$F$2:$F$407,'05_RUTAS'!$A$2:$A$407,B561,'05_RUTAS'!$C$2:$C$407,C561)</f>
        <v>45</v>
      </c>
      <c r="I561" s="18" t="n">
        <f aca="false">SUMIFS('05_RUTAS'!$G$2:$G$407,'05_RUTAS'!$A$2:$A$407,B561,'05_RUTAS'!$C$2:$C$407,C561)</f>
        <v>0</v>
      </c>
      <c r="J561" s="18" t="n">
        <f aca="false">(ROUNDUP(F561/G561,0)*H561+F561*I561)/60</f>
        <v>1.5</v>
      </c>
      <c r="K561" s="5" t="n">
        <f aca="false">MONTH(INDEX('08_PEDIDOS'!$F$2:$F$97,MATCH(A561,'08_PEDIDOS'!$A$2:$A$97,0)))</f>
        <v>6</v>
      </c>
      <c r="L561" s="16" t="n">
        <f aca="false">J561*N(INDEX('04_MAQUINAS'!$F$2:$F$18,MATCH(E561,'04_MAQUINAS'!$A$2:$A$18,0)))</f>
        <v>39</v>
      </c>
      <c r="M561" s="17" t="n">
        <f aca="false">J561*INDEX('04_MAQUINAS'!$G$2:$G$18,MATCH(E561,'04_MAQUINAS'!$A$2:$A$18,0))*INDEX('04_MAQUINAS'!$H$2:$H$18,MATCH(E561,'04_MAQUINAS'!$A$2:$A$18,0))</f>
        <v>21.6</v>
      </c>
      <c r="N561" s="2" t="s">
        <v>629</v>
      </c>
    </row>
    <row r="562" customFormat="false" ht="15" hidden="false" customHeight="false" outlineLevel="0" collapsed="false">
      <c r="A562" s="2" t="s">
        <v>571</v>
      </c>
      <c r="B562" s="2" t="s">
        <v>119</v>
      </c>
      <c r="C562" s="4" t="n">
        <v>8</v>
      </c>
      <c r="D562" s="2" t="s">
        <v>449</v>
      </c>
      <c r="E562" s="2" t="s">
        <v>423</v>
      </c>
      <c r="F562" s="5" t="n">
        <f aca="false">INDEX('08_PEDIDOS'!$D$2:$D$97,MATCH(A562,'08_PEDIDOS'!$A$2:$A$97,0))</f>
        <v>12</v>
      </c>
      <c r="G562" s="5" t="n">
        <f aca="false">INDEX('08_PEDIDOS'!$H$2:$H$97,MATCH(A562,'08_PEDIDOS'!$A$2:$A$97,0))</f>
        <v>10</v>
      </c>
      <c r="H562" s="17" t="n">
        <f aca="false">SUMIFS('05_RUTAS'!$F$2:$F$407,'05_RUTAS'!$A$2:$A$407,B562,'05_RUTAS'!$C$2:$C$407,C562)</f>
        <v>8</v>
      </c>
      <c r="I562" s="18" t="n">
        <f aca="false">SUMIFS('05_RUTAS'!$G$2:$G$407,'05_RUTAS'!$A$2:$A$407,B562,'05_RUTAS'!$C$2:$C$407,C562)</f>
        <v>2.36</v>
      </c>
      <c r="J562" s="18" t="n">
        <f aca="false">(ROUNDUP(F562/G562,0)*H562+F562*I562)/60</f>
        <v>0.738666666666667</v>
      </c>
      <c r="K562" s="5" t="n">
        <f aca="false">MONTH(INDEX('08_PEDIDOS'!$F$2:$F$97,MATCH(A562,'08_PEDIDOS'!$A$2:$A$97,0)))</f>
        <v>6</v>
      </c>
      <c r="L562" s="16" t="n">
        <f aca="false">J562*N(INDEX('04_MAQUINAS'!$F$2:$F$18,MATCH(E562,'04_MAQUINAS'!$A$2:$A$18,0)))</f>
        <v>11.8186666666667</v>
      </c>
      <c r="M562" s="17" t="n">
        <f aca="false">J562*INDEX('04_MAQUINAS'!$G$2:$G$18,MATCH(E562,'04_MAQUINAS'!$A$2:$A$18,0))*INDEX('04_MAQUINAS'!$H$2:$H$18,MATCH(E562,'04_MAQUINAS'!$A$2:$A$18,0))</f>
        <v>0.184666666666667</v>
      </c>
      <c r="N562" s="2" t="s">
        <v>629</v>
      </c>
    </row>
    <row r="563" customFormat="false" ht="15" hidden="false" customHeight="false" outlineLevel="0" collapsed="false">
      <c r="A563" s="2" t="s">
        <v>571</v>
      </c>
      <c r="B563" s="2" t="s">
        <v>119</v>
      </c>
      <c r="C563" s="4" t="n">
        <v>9</v>
      </c>
      <c r="D563" s="2" t="s">
        <v>450</v>
      </c>
      <c r="E563" s="2" t="s">
        <v>406</v>
      </c>
      <c r="F563" s="5" t="n">
        <f aca="false">INDEX('08_PEDIDOS'!$D$2:$D$97,MATCH(A563,'08_PEDIDOS'!$A$2:$A$97,0))</f>
        <v>12</v>
      </c>
      <c r="G563" s="5" t="n">
        <f aca="false">INDEX('08_PEDIDOS'!$H$2:$H$97,MATCH(A563,'08_PEDIDOS'!$A$2:$A$97,0))</f>
        <v>10</v>
      </c>
      <c r="H563" s="17" t="n">
        <f aca="false">SUMIFS('05_RUTAS'!$F$2:$F$407,'05_RUTAS'!$A$2:$A$407,B563,'05_RUTAS'!$C$2:$C$407,C563)</f>
        <v>6</v>
      </c>
      <c r="I563" s="18" t="n">
        <f aca="false">SUMIFS('05_RUTAS'!$G$2:$G$407,'05_RUTAS'!$A$2:$A$407,B563,'05_RUTAS'!$C$2:$C$407,C563)</f>
        <v>27</v>
      </c>
      <c r="J563" s="18" t="n">
        <f aca="false">(ROUNDUP(F563/G563,0)*H563+F563*I563)/60</f>
        <v>5.6</v>
      </c>
      <c r="K563" s="5" t="n">
        <f aca="false">MONTH(INDEX('08_PEDIDOS'!$F$2:$F$97,MATCH(A563,'08_PEDIDOS'!$A$2:$A$97,0)))</f>
        <v>6</v>
      </c>
      <c r="L563" s="16" t="n">
        <f aca="false">J563*N(INDEX('04_MAQUINAS'!$F$2:$F$18,MATCH(E563,'04_MAQUINAS'!$A$2:$A$18,0)))</f>
        <v>106.4</v>
      </c>
      <c r="M563" s="17" t="n">
        <f aca="false">J563*INDEX('04_MAQUINAS'!$G$2:$G$18,MATCH(E563,'04_MAQUINAS'!$A$2:$A$18,0))*INDEX('04_MAQUINAS'!$H$2:$H$18,MATCH(E563,'04_MAQUINAS'!$A$2:$A$18,0))</f>
        <v>1.68</v>
      </c>
      <c r="N563" s="2" t="s">
        <v>629</v>
      </c>
    </row>
    <row r="564" customFormat="false" ht="15" hidden="false" customHeight="false" outlineLevel="0" collapsed="false">
      <c r="A564" s="2" t="s">
        <v>571</v>
      </c>
      <c r="B564" s="2" t="s">
        <v>119</v>
      </c>
      <c r="C564" s="4" t="n">
        <v>10</v>
      </c>
      <c r="D564" s="2" t="s">
        <v>451</v>
      </c>
      <c r="E564" s="2" t="s">
        <v>408</v>
      </c>
      <c r="F564" s="5" t="n">
        <f aca="false">INDEX('08_PEDIDOS'!$D$2:$D$97,MATCH(A564,'08_PEDIDOS'!$A$2:$A$97,0))</f>
        <v>12</v>
      </c>
      <c r="G564" s="5" t="n">
        <f aca="false">INDEX('08_PEDIDOS'!$H$2:$H$97,MATCH(A564,'08_PEDIDOS'!$A$2:$A$97,0))</f>
        <v>10</v>
      </c>
      <c r="H564" s="17" t="n">
        <f aca="false">SUMIFS('05_RUTAS'!$F$2:$F$407,'05_RUTAS'!$A$2:$A$407,B564,'05_RUTAS'!$C$2:$C$407,C564)</f>
        <v>2</v>
      </c>
      <c r="I564" s="18" t="n">
        <f aca="false">SUMIFS('05_RUTAS'!$G$2:$G$407,'05_RUTAS'!$A$2:$A$407,B564,'05_RUTAS'!$C$2:$C$407,C564)</f>
        <v>3.45</v>
      </c>
      <c r="J564" s="18" t="n">
        <f aca="false">(ROUNDUP(F564/G564,0)*H564+F564*I564)/60</f>
        <v>0.756666666666667</v>
      </c>
      <c r="K564" s="5" t="n">
        <f aca="false">MONTH(INDEX('08_PEDIDOS'!$F$2:$F$97,MATCH(A564,'08_PEDIDOS'!$A$2:$A$97,0)))</f>
        <v>6</v>
      </c>
      <c r="L564" s="16" t="n">
        <f aca="false">J564*N(INDEX('04_MAQUINAS'!$F$2:$F$18,MATCH(E564,'04_MAQUINAS'!$A$2:$A$18,0)))</f>
        <v>15.1333333333333</v>
      </c>
      <c r="M564" s="17" t="n">
        <f aca="false">J564*INDEX('04_MAQUINAS'!$G$2:$G$18,MATCH(E564,'04_MAQUINAS'!$A$2:$A$18,0))*INDEX('04_MAQUINAS'!$H$2:$H$18,MATCH(E564,'04_MAQUINAS'!$A$2:$A$18,0))</f>
        <v>0.0756666666666667</v>
      </c>
      <c r="N564" s="2" t="s">
        <v>629</v>
      </c>
    </row>
    <row r="565" customFormat="false" ht="15" hidden="false" customHeight="false" outlineLevel="0" collapsed="false">
      <c r="A565" s="2" t="s">
        <v>571</v>
      </c>
      <c r="B565" s="2" t="s">
        <v>119</v>
      </c>
      <c r="C565" s="4" t="n">
        <v>11</v>
      </c>
      <c r="D565" s="2" t="s">
        <v>452</v>
      </c>
      <c r="E565" s="2" t="s">
        <v>411</v>
      </c>
      <c r="F565" s="5" t="n">
        <f aca="false">INDEX('08_PEDIDOS'!$D$2:$D$97,MATCH(A565,'08_PEDIDOS'!$A$2:$A$97,0))</f>
        <v>12</v>
      </c>
      <c r="G565" s="5" t="n">
        <f aca="false">INDEX('08_PEDIDOS'!$H$2:$H$97,MATCH(A565,'08_PEDIDOS'!$A$2:$A$97,0))</f>
        <v>10</v>
      </c>
      <c r="H565" s="17" t="n">
        <f aca="false">SUMIFS('05_RUTAS'!$F$2:$F$407,'05_RUTAS'!$A$2:$A$407,B565,'05_RUTAS'!$C$2:$C$407,C565)</f>
        <v>2</v>
      </c>
      <c r="I565" s="18" t="n">
        <f aca="false">SUMIFS('05_RUTAS'!$G$2:$G$407,'05_RUTAS'!$A$2:$A$407,B565,'05_RUTAS'!$C$2:$C$407,C565)</f>
        <v>4.67</v>
      </c>
      <c r="J565" s="18" t="n">
        <f aca="false">(ROUNDUP(F565/G565,0)*H565+F565*I565)/60</f>
        <v>1.00066666666667</v>
      </c>
      <c r="K565" s="5" t="n">
        <f aca="false">MONTH(INDEX('08_PEDIDOS'!$F$2:$F$97,MATCH(A565,'08_PEDIDOS'!$A$2:$A$97,0)))</f>
        <v>6</v>
      </c>
      <c r="L565" s="16" t="n">
        <f aca="false">J565*N(INDEX('04_MAQUINAS'!$F$2:$F$18,MATCH(E565,'04_MAQUINAS'!$A$2:$A$18,0)))</f>
        <v>18.012</v>
      </c>
      <c r="M565" s="17" t="n">
        <f aca="false">J565*INDEX('04_MAQUINAS'!$G$2:$G$18,MATCH(E565,'04_MAQUINAS'!$A$2:$A$18,0))*INDEX('04_MAQUINAS'!$H$2:$H$18,MATCH(E565,'04_MAQUINAS'!$A$2:$A$18,0))</f>
        <v>0.09006</v>
      </c>
      <c r="N565" s="2" t="s">
        <v>629</v>
      </c>
    </row>
    <row r="566" customFormat="false" ht="15" hidden="false" customHeight="false" outlineLevel="0" collapsed="false">
      <c r="A566" s="2" t="s">
        <v>572</v>
      </c>
      <c r="B566" s="2" t="s">
        <v>121</v>
      </c>
      <c r="C566" s="4" t="n">
        <v>1</v>
      </c>
      <c r="D566" s="2" t="s">
        <v>437</v>
      </c>
      <c r="E566" s="2" t="s">
        <v>375</v>
      </c>
      <c r="F566" s="5" t="n">
        <f aca="false">INDEX('08_PEDIDOS'!$D$2:$D$97,MATCH(A566,'08_PEDIDOS'!$A$2:$A$97,0))</f>
        <v>12</v>
      </c>
      <c r="G566" s="5" t="n">
        <f aca="false">INDEX('08_PEDIDOS'!$H$2:$H$97,MATCH(A566,'08_PEDIDOS'!$A$2:$A$97,0))</f>
        <v>10</v>
      </c>
      <c r="H566" s="17" t="n">
        <f aca="false">SUMIFS('05_RUTAS'!$F$2:$F$407,'05_RUTAS'!$A$2:$A$407,B566,'05_RUTAS'!$C$2:$C$407,C566)</f>
        <v>8</v>
      </c>
      <c r="I566" s="18" t="n">
        <f aca="false">SUMIFS('05_RUTAS'!$G$2:$G$407,'05_RUTAS'!$A$2:$A$407,B566,'05_RUTAS'!$C$2:$C$407,C566)</f>
        <v>35.92</v>
      </c>
      <c r="J566" s="18" t="n">
        <f aca="false">(ROUNDUP(F566/G566,0)*H566+F566*I566)/60</f>
        <v>7.45066666666667</v>
      </c>
      <c r="K566" s="5" t="n">
        <f aca="false">MONTH(INDEX('08_PEDIDOS'!$F$2:$F$97,MATCH(A566,'08_PEDIDOS'!$A$2:$A$97,0)))</f>
        <v>6</v>
      </c>
      <c r="L566" s="16" t="n">
        <f aca="false">J566*N(INDEX('04_MAQUINAS'!$F$2:$F$18,MATCH(E566,'04_MAQUINAS'!$A$2:$A$18,0)))</f>
        <v>178.816</v>
      </c>
      <c r="M566" s="17" t="n">
        <f aca="false">J566*INDEX('04_MAQUINAS'!$G$2:$G$18,MATCH(E566,'04_MAQUINAS'!$A$2:$A$18,0))*INDEX('04_MAQUINAS'!$H$2:$H$18,MATCH(E566,'04_MAQUINAS'!$A$2:$A$18,0))</f>
        <v>20.4893333333333</v>
      </c>
      <c r="N566" s="2" t="s">
        <v>629</v>
      </c>
    </row>
    <row r="567" customFormat="false" ht="15" hidden="false" customHeight="false" outlineLevel="0" collapsed="false">
      <c r="A567" s="2" t="s">
        <v>572</v>
      </c>
      <c r="B567" s="2" t="s">
        <v>121</v>
      </c>
      <c r="C567" s="4" t="n">
        <v>2</v>
      </c>
      <c r="D567" s="2" t="s">
        <v>441</v>
      </c>
      <c r="E567" s="2" t="s">
        <v>380</v>
      </c>
      <c r="F567" s="5" t="n">
        <f aca="false">INDEX('08_PEDIDOS'!$D$2:$D$97,MATCH(A567,'08_PEDIDOS'!$A$2:$A$97,0))</f>
        <v>12</v>
      </c>
      <c r="G567" s="5" t="n">
        <f aca="false">INDEX('08_PEDIDOS'!$H$2:$H$97,MATCH(A567,'08_PEDIDOS'!$A$2:$A$97,0))</f>
        <v>10</v>
      </c>
      <c r="H567" s="17" t="n">
        <f aca="false">SUMIFS('05_RUTAS'!$F$2:$F$407,'05_RUTAS'!$A$2:$A$407,B567,'05_RUTAS'!$C$2:$C$407,C567)</f>
        <v>8</v>
      </c>
      <c r="I567" s="18" t="n">
        <f aca="false">SUMIFS('05_RUTAS'!$G$2:$G$407,'05_RUTAS'!$A$2:$A$407,B567,'05_RUTAS'!$C$2:$C$407,C567)</f>
        <v>32.28</v>
      </c>
      <c r="J567" s="18" t="n">
        <f aca="false">(ROUNDUP(F567/G567,0)*H567+F567*I567)/60</f>
        <v>6.72266666666667</v>
      </c>
      <c r="K567" s="5" t="n">
        <f aca="false">MONTH(INDEX('08_PEDIDOS'!$F$2:$F$97,MATCH(A567,'08_PEDIDOS'!$A$2:$A$97,0)))</f>
        <v>6</v>
      </c>
      <c r="L567" s="16" t="n">
        <f aca="false">J567*N(INDEX('04_MAQUINAS'!$F$2:$F$18,MATCH(E567,'04_MAQUINAS'!$A$2:$A$18,0)))</f>
        <v>147.898666666667</v>
      </c>
      <c r="M567" s="17" t="n">
        <f aca="false">J567*INDEX('04_MAQUINAS'!$G$2:$G$18,MATCH(E567,'04_MAQUINAS'!$A$2:$A$18,0))*INDEX('04_MAQUINAS'!$H$2:$H$18,MATCH(E567,'04_MAQUINAS'!$A$2:$A$18,0))</f>
        <v>3.0252</v>
      </c>
      <c r="N567" s="2" t="s">
        <v>629</v>
      </c>
    </row>
    <row r="568" customFormat="false" ht="15" hidden="false" customHeight="false" outlineLevel="0" collapsed="false">
      <c r="A568" s="2" t="s">
        <v>572</v>
      </c>
      <c r="B568" s="2" t="s">
        <v>121</v>
      </c>
      <c r="C568" s="4" t="n">
        <v>3</v>
      </c>
      <c r="D568" s="2" t="s">
        <v>386</v>
      </c>
      <c r="E568" s="2" t="s">
        <v>383</v>
      </c>
      <c r="F568" s="5" t="n">
        <f aca="false">INDEX('08_PEDIDOS'!$D$2:$D$97,MATCH(A568,'08_PEDIDOS'!$A$2:$A$97,0))</f>
        <v>12</v>
      </c>
      <c r="G568" s="5" t="n">
        <f aca="false">INDEX('08_PEDIDOS'!$H$2:$H$97,MATCH(A568,'08_PEDIDOS'!$A$2:$A$97,0))</f>
        <v>10</v>
      </c>
      <c r="H568" s="17" t="n">
        <f aca="false">SUMIFS('05_RUTAS'!$F$2:$F$407,'05_RUTAS'!$A$2:$A$407,B568,'05_RUTAS'!$C$2:$C$407,C568)</f>
        <v>10</v>
      </c>
      <c r="I568" s="18" t="n">
        <f aca="false">SUMIFS('05_RUTAS'!$G$2:$G$407,'05_RUTAS'!$A$2:$A$407,B568,'05_RUTAS'!$C$2:$C$407,C568)</f>
        <v>54.8</v>
      </c>
      <c r="J568" s="18" t="n">
        <f aca="false">(ROUNDUP(F568/G568,0)*H568+F568*I568)/60</f>
        <v>11.2933333333333</v>
      </c>
      <c r="K568" s="5" t="n">
        <f aca="false">MONTH(INDEX('08_PEDIDOS'!$F$2:$F$97,MATCH(A568,'08_PEDIDOS'!$A$2:$A$97,0)))</f>
        <v>6</v>
      </c>
      <c r="L568" s="16" t="n">
        <f aca="false">J568*N(INDEX('04_MAQUINAS'!$F$2:$F$18,MATCH(E568,'04_MAQUINAS'!$A$2:$A$18,0)))</f>
        <v>248.453333333333</v>
      </c>
      <c r="M568" s="17" t="n">
        <f aca="false">J568*INDEX('04_MAQUINAS'!$G$2:$G$18,MATCH(E568,'04_MAQUINAS'!$A$2:$A$18,0))*INDEX('04_MAQUINAS'!$H$2:$H$18,MATCH(E568,'04_MAQUINAS'!$A$2:$A$18,0))</f>
        <v>3.10566666666667</v>
      </c>
      <c r="N568" s="2" t="s">
        <v>629</v>
      </c>
    </row>
    <row r="569" customFormat="false" ht="15" hidden="false" customHeight="false" outlineLevel="0" collapsed="false">
      <c r="A569" s="2" t="s">
        <v>572</v>
      </c>
      <c r="B569" s="2" t="s">
        <v>121</v>
      </c>
      <c r="C569" s="4" t="n">
        <v>4</v>
      </c>
      <c r="D569" s="2" t="s">
        <v>390</v>
      </c>
      <c r="E569" s="2" t="s">
        <v>387</v>
      </c>
      <c r="F569" s="5" t="n">
        <f aca="false">INDEX('08_PEDIDOS'!$D$2:$D$97,MATCH(A569,'08_PEDIDOS'!$A$2:$A$97,0))</f>
        <v>12</v>
      </c>
      <c r="G569" s="5" t="n">
        <f aca="false">INDEX('08_PEDIDOS'!$H$2:$H$97,MATCH(A569,'08_PEDIDOS'!$A$2:$A$97,0))</f>
        <v>10</v>
      </c>
      <c r="H569" s="17" t="n">
        <f aca="false">SUMIFS('05_RUTAS'!$F$2:$F$407,'05_RUTAS'!$A$2:$A$407,B569,'05_RUTAS'!$C$2:$C$407,C569)</f>
        <v>12</v>
      </c>
      <c r="I569" s="18" t="n">
        <f aca="false">SUMIFS('05_RUTAS'!$G$2:$G$407,'05_RUTAS'!$A$2:$A$407,B569,'05_RUTAS'!$C$2:$C$407,C569)</f>
        <v>85</v>
      </c>
      <c r="J569" s="18" t="n">
        <f aca="false">(ROUNDUP(F569/G569,0)*H569+F569*I569)/60</f>
        <v>17.4</v>
      </c>
      <c r="K569" s="5" t="n">
        <f aca="false">MONTH(INDEX('08_PEDIDOS'!$F$2:$F$97,MATCH(A569,'08_PEDIDOS'!$A$2:$A$97,0)))</f>
        <v>6</v>
      </c>
      <c r="L569" s="16" t="n">
        <f aca="false">J569*N(INDEX('04_MAQUINAS'!$F$2:$F$18,MATCH(E569,'04_MAQUINAS'!$A$2:$A$18,0)))</f>
        <v>487.2</v>
      </c>
      <c r="M569" s="17" t="n">
        <f aca="false">J569*INDEX('04_MAQUINAS'!$G$2:$G$18,MATCH(E569,'04_MAQUINAS'!$A$2:$A$18,0))*INDEX('04_MAQUINAS'!$H$2:$H$18,MATCH(E569,'04_MAQUINAS'!$A$2:$A$18,0))</f>
        <v>43.065</v>
      </c>
      <c r="N569" s="2" t="s">
        <v>629</v>
      </c>
    </row>
    <row r="570" customFormat="false" ht="15" hidden="false" customHeight="false" outlineLevel="0" collapsed="false">
      <c r="A570" s="2" t="s">
        <v>572</v>
      </c>
      <c r="B570" s="2" t="s">
        <v>121</v>
      </c>
      <c r="C570" s="4" t="n">
        <v>5</v>
      </c>
      <c r="D570" s="2" t="s">
        <v>443</v>
      </c>
      <c r="E570" s="2" t="s">
        <v>395</v>
      </c>
      <c r="F570" s="5" t="n">
        <f aca="false">INDEX('08_PEDIDOS'!$D$2:$D$97,MATCH(A570,'08_PEDIDOS'!$A$2:$A$97,0))</f>
        <v>12</v>
      </c>
      <c r="G570" s="5" t="n">
        <f aca="false">INDEX('08_PEDIDOS'!$H$2:$H$97,MATCH(A570,'08_PEDIDOS'!$A$2:$A$97,0))</f>
        <v>10</v>
      </c>
      <c r="H570" s="17" t="n">
        <f aca="false">SUMIFS('05_RUTAS'!$F$2:$F$407,'05_RUTAS'!$A$2:$A$407,B570,'05_RUTAS'!$C$2:$C$407,C570)</f>
        <v>3</v>
      </c>
      <c r="I570" s="18" t="n">
        <f aca="false">SUMIFS('05_RUTAS'!$G$2:$G$407,'05_RUTAS'!$A$2:$A$407,B570,'05_RUTAS'!$C$2:$C$407,C570)</f>
        <v>37.5</v>
      </c>
      <c r="J570" s="18" t="n">
        <f aca="false">(ROUNDUP(F570/G570,0)*H570+F570*I570)/60</f>
        <v>7.6</v>
      </c>
      <c r="K570" s="5" t="n">
        <f aca="false">MONTH(INDEX('08_PEDIDOS'!$F$2:$F$97,MATCH(A570,'08_PEDIDOS'!$A$2:$A$97,0)))</f>
        <v>6</v>
      </c>
      <c r="L570" s="16" t="n">
        <f aca="false">J570*N(INDEX('04_MAQUINAS'!$F$2:$F$18,MATCH(E570,'04_MAQUINAS'!$A$2:$A$18,0)))</f>
        <v>159.6</v>
      </c>
      <c r="M570" s="17" t="n">
        <f aca="false">J570*INDEX('04_MAQUINAS'!$G$2:$G$18,MATCH(E570,'04_MAQUINAS'!$A$2:$A$18,0))*INDEX('04_MAQUINAS'!$H$2:$H$18,MATCH(E570,'04_MAQUINAS'!$A$2:$A$18,0))</f>
        <v>5.7</v>
      </c>
      <c r="N570" s="2" t="s">
        <v>629</v>
      </c>
    </row>
    <row r="571" customFormat="false" ht="15" hidden="false" customHeight="false" outlineLevel="0" collapsed="false">
      <c r="A571" s="2" t="s">
        <v>572</v>
      </c>
      <c r="B571" s="2" t="s">
        <v>121</v>
      </c>
      <c r="C571" s="4" t="n">
        <v>6</v>
      </c>
      <c r="D571" s="2" t="s">
        <v>444</v>
      </c>
      <c r="E571" s="2" t="s">
        <v>399</v>
      </c>
      <c r="F571" s="5" t="n">
        <f aca="false">INDEX('08_PEDIDOS'!$D$2:$D$97,MATCH(A571,'08_PEDIDOS'!$A$2:$A$97,0))</f>
        <v>12</v>
      </c>
      <c r="G571" s="5" t="n">
        <f aca="false">INDEX('08_PEDIDOS'!$H$2:$H$97,MATCH(A571,'08_PEDIDOS'!$A$2:$A$97,0))</f>
        <v>10</v>
      </c>
      <c r="H571" s="17" t="n">
        <f aca="false">SUMIFS('05_RUTAS'!$F$2:$F$407,'05_RUTAS'!$A$2:$A$407,B571,'05_RUTAS'!$C$2:$C$407,C571)</f>
        <v>6</v>
      </c>
      <c r="I571" s="18" t="n">
        <f aca="false">SUMIFS('05_RUTAS'!$G$2:$G$407,'05_RUTAS'!$A$2:$A$407,B571,'05_RUTAS'!$C$2:$C$407,C571)</f>
        <v>24.4752</v>
      </c>
      <c r="J571" s="18" t="n">
        <f aca="false">(ROUNDUP(F571/G571,0)*H571+F571*I571)/60</f>
        <v>5.09504</v>
      </c>
      <c r="K571" s="5" t="n">
        <f aca="false">MONTH(INDEX('08_PEDIDOS'!$F$2:$F$97,MATCH(A571,'08_PEDIDOS'!$A$2:$A$97,0)))</f>
        <v>6</v>
      </c>
      <c r="L571" s="16" t="n">
        <f aca="false">J571*N(INDEX('04_MAQUINAS'!$F$2:$F$18,MATCH(E571,'04_MAQUINAS'!$A$2:$A$18,0)))</f>
        <v>96.80576</v>
      </c>
      <c r="M571" s="17" t="n">
        <f aca="false">J571*INDEX('04_MAQUINAS'!$G$2:$G$18,MATCH(E571,'04_MAQUINAS'!$A$2:$A$18,0))*INDEX('04_MAQUINAS'!$H$2:$H$18,MATCH(E571,'04_MAQUINAS'!$A$2:$A$18,0))</f>
        <v>4.4836352</v>
      </c>
      <c r="N571" s="2" t="s">
        <v>629</v>
      </c>
    </row>
    <row r="572" customFormat="false" ht="15" hidden="false" customHeight="false" outlineLevel="0" collapsed="false">
      <c r="A572" s="2" t="s">
        <v>572</v>
      </c>
      <c r="B572" s="2" t="s">
        <v>121</v>
      </c>
      <c r="C572" s="4" t="n">
        <v>7</v>
      </c>
      <c r="D572" s="2" t="s">
        <v>445</v>
      </c>
      <c r="E572" s="2" t="s">
        <v>402</v>
      </c>
      <c r="F572" s="5" t="n">
        <f aca="false">INDEX('08_PEDIDOS'!$D$2:$D$97,MATCH(A572,'08_PEDIDOS'!$A$2:$A$97,0))</f>
        <v>12</v>
      </c>
      <c r="G572" s="5" t="n">
        <f aca="false">INDEX('08_PEDIDOS'!$H$2:$H$97,MATCH(A572,'08_PEDIDOS'!$A$2:$A$97,0))</f>
        <v>10</v>
      </c>
      <c r="H572" s="17" t="n">
        <f aca="false">SUMIFS('05_RUTAS'!$F$2:$F$407,'05_RUTAS'!$A$2:$A$407,B572,'05_RUTAS'!$C$2:$C$407,C572)</f>
        <v>12</v>
      </c>
      <c r="I572" s="18" t="n">
        <f aca="false">SUMIFS('05_RUTAS'!$G$2:$G$407,'05_RUTAS'!$A$2:$A$407,B572,'05_RUTAS'!$C$2:$C$407,C572)</f>
        <v>6.58</v>
      </c>
      <c r="J572" s="18" t="n">
        <f aca="false">(ROUNDUP(F572/G572,0)*H572+F572*I572)/60</f>
        <v>1.716</v>
      </c>
      <c r="K572" s="5" t="n">
        <f aca="false">MONTH(INDEX('08_PEDIDOS'!$F$2:$F$97,MATCH(A572,'08_PEDIDOS'!$A$2:$A$97,0)))</f>
        <v>6</v>
      </c>
      <c r="L572" s="16" t="n">
        <f aca="false">J572*N(INDEX('04_MAQUINAS'!$F$2:$F$18,MATCH(E572,'04_MAQUINAS'!$A$2:$A$18,0)))</f>
        <v>54.912</v>
      </c>
      <c r="M572" s="17" t="n">
        <f aca="false">J572*INDEX('04_MAQUINAS'!$G$2:$G$18,MATCH(E572,'04_MAQUINAS'!$A$2:$A$18,0))*INDEX('04_MAQUINAS'!$H$2:$H$18,MATCH(E572,'04_MAQUINAS'!$A$2:$A$18,0))</f>
        <v>1.8018</v>
      </c>
      <c r="N572" s="2" t="s">
        <v>629</v>
      </c>
    </row>
    <row r="573" customFormat="false" ht="15" hidden="false" customHeight="false" outlineLevel="0" collapsed="false">
      <c r="A573" s="2" t="s">
        <v>572</v>
      </c>
      <c r="B573" s="2" t="s">
        <v>121</v>
      </c>
      <c r="C573" s="4" t="n">
        <v>8</v>
      </c>
      <c r="D573" s="2" t="s">
        <v>447</v>
      </c>
      <c r="E573" s="2" t="s">
        <v>421</v>
      </c>
      <c r="F573" s="5" t="n">
        <f aca="false">INDEX('08_PEDIDOS'!$D$2:$D$97,MATCH(A573,'08_PEDIDOS'!$A$2:$A$97,0))</f>
        <v>12</v>
      </c>
      <c r="G573" s="5" t="n">
        <f aca="false">INDEX('08_PEDIDOS'!$H$2:$H$97,MATCH(A573,'08_PEDIDOS'!$A$2:$A$97,0))</f>
        <v>10</v>
      </c>
      <c r="H573" s="17" t="n">
        <f aca="false">SUMIFS('05_RUTAS'!$F$2:$F$407,'05_RUTAS'!$A$2:$A$407,B573,'05_RUTAS'!$C$2:$C$407,C573)</f>
        <v>45</v>
      </c>
      <c r="I573" s="18" t="n">
        <f aca="false">SUMIFS('05_RUTAS'!$G$2:$G$407,'05_RUTAS'!$A$2:$A$407,B573,'05_RUTAS'!$C$2:$C$407,C573)</f>
        <v>0</v>
      </c>
      <c r="J573" s="18" t="n">
        <f aca="false">(ROUNDUP(F573/G573,0)*H573+F573*I573)/60</f>
        <v>1.5</v>
      </c>
      <c r="K573" s="5" t="n">
        <f aca="false">MONTH(INDEX('08_PEDIDOS'!$F$2:$F$97,MATCH(A573,'08_PEDIDOS'!$A$2:$A$97,0)))</f>
        <v>6</v>
      </c>
      <c r="L573" s="16" t="n">
        <f aca="false">J573*N(INDEX('04_MAQUINAS'!$F$2:$F$18,MATCH(E573,'04_MAQUINAS'!$A$2:$A$18,0)))</f>
        <v>39</v>
      </c>
      <c r="M573" s="17" t="n">
        <f aca="false">J573*INDEX('04_MAQUINAS'!$G$2:$G$18,MATCH(E573,'04_MAQUINAS'!$A$2:$A$18,0))*INDEX('04_MAQUINAS'!$H$2:$H$18,MATCH(E573,'04_MAQUINAS'!$A$2:$A$18,0))</f>
        <v>21.6</v>
      </c>
      <c r="N573" s="2" t="s">
        <v>629</v>
      </c>
    </row>
    <row r="574" customFormat="false" ht="15" hidden="false" customHeight="false" outlineLevel="0" collapsed="false">
      <c r="A574" s="2" t="s">
        <v>572</v>
      </c>
      <c r="B574" s="2" t="s">
        <v>121</v>
      </c>
      <c r="C574" s="4" t="n">
        <v>9</v>
      </c>
      <c r="D574" s="2" t="s">
        <v>449</v>
      </c>
      <c r="E574" s="2" t="s">
        <v>423</v>
      </c>
      <c r="F574" s="5" t="n">
        <f aca="false">INDEX('08_PEDIDOS'!$D$2:$D$97,MATCH(A574,'08_PEDIDOS'!$A$2:$A$97,0))</f>
        <v>12</v>
      </c>
      <c r="G574" s="5" t="n">
        <f aca="false">INDEX('08_PEDIDOS'!$H$2:$H$97,MATCH(A574,'08_PEDIDOS'!$A$2:$A$97,0))</f>
        <v>10</v>
      </c>
      <c r="H574" s="17" t="n">
        <f aca="false">SUMIFS('05_RUTAS'!$F$2:$F$407,'05_RUTAS'!$A$2:$A$407,B574,'05_RUTAS'!$C$2:$C$407,C574)</f>
        <v>8</v>
      </c>
      <c r="I574" s="18" t="n">
        <f aca="false">SUMIFS('05_RUTAS'!$G$2:$G$407,'05_RUTAS'!$A$2:$A$407,B574,'05_RUTAS'!$C$2:$C$407,C574)</f>
        <v>2.36</v>
      </c>
      <c r="J574" s="18" t="n">
        <f aca="false">(ROUNDUP(F574/G574,0)*H574+F574*I574)/60</f>
        <v>0.738666666666667</v>
      </c>
      <c r="K574" s="5" t="n">
        <f aca="false">MONTH(INDEX('08_PEDIDOS'!$F$2:$F$97,MATCH(A574,'08_PEDIDOS'!$A$2:$A$97,0)))</f>
        <v>6</v>
      </c>
      <c r="L574" s="16" t="n">
        <f aca="false">J574*N(INDEX('04_MAQUINAS'!$F$2:$F$18,MATCH(E574,'04_MAQUINAS'!$A$2:$A$18,0)))</f>
        <v>11.8186666666667</v>
      </c>
      <c r="M574" s="17" t="n">
        <f aca="false">J574*INDEX('04_MAQUINAS'!$G$2:$G$18,MATCH(E574,'04_MAQUINAS'!$A$2:$A$18,0))*INDEX('04_MAQUINAS'!$H$2:$H$18,MATCH(E574,'04_MAQUINAS'!$A$2:$A$18,0))</f>
        <v>0.184666666666667</v>
      </c>
      <c r="N574" s="2" t="s">
        <v>629</v>
      </c>
    </row>
    <row r="575" customFormat="false" ht="15" hidden="false" customHeight="false" outlineLevel="0" collapsed="false">
      <c r="A575" s="2" t="s">
        <v>572</v>
      </c>
      <c r="B575" s="2" t="s">
        <v>121</v>
      </c>
      <c r="C575" s="4" t="n">
        <v>10</v>
      </c>
      <c r="D575" s="2" t="s">
        <v>450</v>
      </c>
      <c r="E575" s="2" t="s">
        <v>406</v>
      </c>
      <c r="F575" s="5" t="n">
        <f aca="false">INDEX('08_PEDIDOS'!$D$2:$D$97,MATCH(A575,'08_PEDIDOS'!$A$2:$A$97,0))</f>
        <v>12</v>
      </c>
      <c r="G575" s="5" t="n">
        <f aca="false">INDEX('08_PEDIDOS'!$H$2:$H$97,MATCH(A575,'08_PEDIDOS'!$A$2:$A$97,0))</f>
        <v>10</v>
      </c>
      <c r="H575" s="17" t="n">
        <f aca="false">SUMIFS('05_RUTAS'!$F$2:$F$407,'05_RUTAS'!$A$2:$A$407,B575,'05_RUTAS'!$C$2:$C$407,C575)</f>
        <v>6</v>
      </c>
      <c r="I575" s="18" t="n">
        <f aca="false">SUMIFS('05_RUTAS'!$G$2:$G$407,'05_RUTAS'!$A$2:$A$407,B575,'05_RUTAS'!$C$2:$C$407,C575)</f>
        <v>61.5</v>
      </c>
      <c r="J575" s="18" t="n">
        <f aca="false">(ROUNDUP(F575/G575,0)*H575+F575*I575)/60</f>
        <v>12.5</v>
      </c>
      <c r="K575" s="5" t="n">
        <f aca="false">MONTH(INDEX('08_PEDIDOS'!$F$2:$F$97,MATCH(A575,'08_PEDIDOS'!$A$2:$A$97,0)))</f>
        <v>6</v>
      </c>
      <c r="L575" s="16" t="n">
        <f aca="false">J575*N(INDEX('04_MAQUINAS'!$F$2:$F$18,MATCH(E575,'04_MAQUINAS'!$A$2:$A$18,0)))</f>
        <v>237.5</v>
      </c>
      <c r="M575" s="17" t="n">
        <f aca="false">J575*INDEX('04_MAQUINAS'!$G$2:$G$18,MATCH(E575,'04_MAQUINAS'!$A$2:$A$18,0))*INDEX('04_MAQUINAS'!$H$2:$H$18,MATCH(E575,'04_MAQUINAS'!$A$2:$A$18,0))</f>
        <v>3.75</v>
      </c>
      <c r="N575" s="2" t="s">
        <v>629</v>
      </c>
    </row>
    <row r="576" customFormat="false" ht="15" hidden="false" customHeight="false" outlineLevel="0" collapsed="false">
      <c r="A576" s="2" t="s">
        <v>572</v>
      </c>
      <c r="B576" s="2" t="s">
        <v>121</v>
      </c>
      <c r="C576" s="4" t="n">
        <v>11</v>
      </c>
      <c r="D576" s="2" t="s">
        <v>451</v>
      </c>
      <c r="E576" s="2" t="s">
        <v>408</v>
      </c>
      <c r="F576" s="5" t="n">
        <f aca="false">INDEX('08_PEDIDOS'!$D$2:$D$97,MATCH(A576,'08_PEDIDOS'!$A$2:$A$97,0))</f>
        <v>12</v>
      </c>
      <c r="G576" s="5" t="n">
        <f aca="false">INDEX('08_PEDIDOS'!$H$2:$H$97,MATCH(A576,'08_PEDIDOS'!$A$2:$A$97,0))</f>
        <v>10</v>
      </c>
      <c r="H576" s="17" t="n">
        <f aca="false">SUMIFS('05_RUTAS'!$F$2:$F$407,'05_RUTAS'!$A$2:$A$407,B576,'05_RUTAS'!$C$2:$C$407,C576)</f>
        <v>2</v>
      </c>
      <c r="I576" s="18" t="n">
        <f aca="false">SUMIFS('05_RUTAS'!$G$2:$G$407,'05_RUTAS'!$A$2:$A$407,B576,'05_RUTAS'!$C$2:$C$407,C576)</f>
        <v>3.45</v>
      </c>
      <c r="J576" s="18" t="n">
        <f aca="false">(ROUNDUP(F576/G576,0)*H576+F576*I576)/60</f>
        <v>0.756666666666667</v>
      </c>
      <c r="K576" s="5" t="n">
        <f aca="false">MONTH(INDEX('08_PEDIDOS'!$F$2:$F$97,MATCH(A576,'08_PEDIDOS'!$A$2:$A$97,0)))</f>
        <v>6</v>
      </c>
      <c r="L576" s="16" t="n">
        <f aca="false">J576*N(INDEX('04_MAQUINAS'!$F$2:$F$18,MATCH(E576,'04_MAQUINAS'!$A$2:$A$18,0)))</f>
        <v>15.1333333333333</v>
      </c>
      <c r="M576" s="17" t="n">
        <f aca="false">J576*INDEX('04_MAQUINAS'!$G$2:$G$18,MATCH(E576,'04_MAQUINAS'!$A$2:$A$18,0))*INDEX('04_MAQUINAS'!$H$2:$H$18,MATCH(E576,'04_MAQUINAS'!$A$2:$A$18,0))</f>
        <v>0.0756666666666667</v>
      </c>
      <c r="N576" s="2" t="s">
        <v>629</v>
      </c>
    </row>
    <row r="577" customFormat="false" ht="15" hidden="false" customHeight="false" outlineLevel="0" collapsed="false">
      <c r="A577" s="2" t="s">
        <v>572</v>
      </c>
      <c r="B577" s="2" t="s">
        <v>121</v>
      </c>
      <c r="C577" s="4" t="n">
        <v>12</v>
      </c>
      <c r="D577" s="2" t="s">
        <v>452</v>
      </c>
      <c r="E577" s="2" t="s">
        <v>411</v>
      </c>
      <c r="F577" s="5" t="n">
        <f aca="false">INDEX('08_PEDIDOS'!$D$2:$D$97,MATCH(A577,'08_PEDIDOS'!$A$2:$A$97,0))</f>
        <v>12</v>
      </c>
      <c r="G577" s="5" t="n">
        <f aca="false">INDEX('08_PEDIDOS'!$H$2:$H$97,MATCH(A577,'08_PEDIDOS'!$A$2:$A$97,0))</f>
        <v>10</v>
      </c>
      <c r="H577" s="17" t="n">
        <f aca="false">SUMIFS('05_RUTAS'!$F$2:$F$407,'05_RUTAS'!$A$2:$A$407,B577,'05_RUTAS'!$C$2:$C$407,C577)</f>
        <v>2</v>
      </c>
      <c r="I577" s="18" t="n">
        <f aca="false">SUMIFS('05_RUTAS'!$G$2:$G$407,'05_RUTAS'!$A$2:$A$407,B577,'05_RUTAS'!$C$2:$C$407,C577)</f>
        <v>4.67</v>
      </c>
      <c r="J577" s="18" t="n">
        <f aca="false">(ROUNDUP(F577/G577,0)*H577+F577*I577)/60</f>
        <v>1.00066666666667</v>
      </c>
      <c r="K577" s="5" t="n">
        <f aca="false">MONTH(INDEX('08_PEDIDOS'!$F$2:$F$97,MATCH(A577,'08_PEDIDOS'!$A$2:$A$97,0)))</f>
        <v>6</v>
      </c>
      <c r="L577" s="16" t="n">
        <f aca="false">J577*N(INDEX('04_MAQUINAS'!$F$2:$F$18,MATCH(E577,'04_MAQUINAS'!$A$2:$A$18,0)))</f>
        <v>18.012</v>
      </c>
      <c r="M577" s="17" t="n">
        <f aca="false">J577*INDEX('04_MAQUINAS'!$G$2:$G$18,MATCH(E577,'04_MAQUINAS'!$A$2:$A$18,0))*INDEX('04_MAQUINAS'!$H$2:$H$18,MATCH(E577,'04_MAQUINAS'!$A$2:$A$18,0))</f>
        <v>0.09006</v>
      </c>
      <c r="N577" s="2" t="s">
        <v>629</v>
      </c>
    </row>
    <row r="578" customFormat="false" ht="15" hidden="false" customHeight="false" outlineLevel="0" collapsed="false">
      <c r="A578" s="2" t="s">
        <v>573</v>
      </c>
      <c r="B578" s="2" t="s">
        <v>80</v>
      </c>
      <c r="C578" s="4" t="n">
        <v>1</v>
      </c>
      <c r="D578" s="2" t="s">
        <v>437</v>
      </c>
      <c r="E578" s="2" t="s">
        <v>375</v>
      </c>
      <c r="F578" s="5" t="n">
        <f aca="false">INDEX('08_PEDIDOS'!$D$2:$D$97,MATCH(A578,'08_PEDIDOS'!$A$2:$A$97,0))</f>
        <v>13</v>
      </c>
      <c r="G578" s="5" t="n">
        <f aca="false">INDEX('08_PEDIDOS'!$H$2:$H$97,MATCH(A578,'08_PEDIDOS'!$A$2:$A$97,0))</f>
        <v>10</v>
      </c>
      <c r="H578" s="17" t="n">
        <f aca="false">SUMIFS('05_RUTAS'!$F$2:$F$407,'05_RUTAS'!$A$2:$A$407,B578,'05_RUTAS'!$C$2:$C$407,C578)</f>
        <v>8</v>
      </c>
      <c r="I578" s="18" t="n">
        <f aca="false">SUMIFS('05_RUTAS'!$G$2:$G$407,'05_RUTAS'!$A$2:$A$407,B578,'05_RUTAS'!$C$2:$C$407,C578)</f>
        <v>34.62</v>
      </c>
      <c r="J578" s="18" t="n">
        <f aca="false">(ROUNDUP(F578/G578,0)*H578+F578*I578)/60</f>
        <v>7.76766666666667</v>
      </c>
      <c r="K578" s="5" t="n">
        <f aca="false">MONTH(INDEX('08_PEDIDOS'!$F$2:$F$97,MATCH(A578,'08_PEDIDOS'!$A$2:$A$97,0)))</f>
        <v>7</v>
      </c>
      <c r="L578" s="16" t="n">
        <f aca="false">J578*N(INDEX('04_MAQUINAS'!$F$2:$F$18,MATCH(E578,'04_MAQUINAS'!$A$2:$A$18,0)))</f>
        <v>186.424</v>
      </c>
      <c r="M578" s="17" t="n">
        <f aca="false">J578*INDEX('04_MAQUINAS'!$G$2:$G$18,MATCH(E578,'04_MAQUINAS'!$A$2:$A$18,0))*INDEX('04_MAQUINAS'!$H$2:$H$18,MATCH(E578,'04_MAQUINAS'!$A$2:$A$18,0))</f>
        <v>21.3610833333333</v>
      </c>
      <c r="N578" s="2" t="s">
        <v>629</v>
      </c>
    </row>
    <row r="579" customFormat="false" ht="15" hidden="false" customHeight="false" outlineLevel="0" collapsed="false">
      <c r="A579" s="2" t="s">
        <v>573</v>
      </c>
      <c r="B579" s="2" t="s">
        <v>80</v>
      </c>
      <c r="C579" s="4" t="n">
        <v>2</v>
      </c>
      <c r="D579" s="2" t="s">
        <v>441</v>
      </c>
      <c r="E579" s="2" t="s">
        <v>380</v>
      </c>
      <c r="F579" s="5" t="n">
        <f aca="false">INDEX('08_PEDIDOS'!$D$2:$D$97,MATCH(A579,'08_PEDIDOS'!$A$2:$A$97,0))</f>
        <v>13</v>
      </c>
      <c r="G579" s="5" t="n">
        <f aca="false">INDEX('08_PEDIDOS'!$H$2:$H$97,MATCH(A579,'08_PEDIDOS'!$A$2:$A$97,0))</f>
        <v>10</v>
      </c>
      <c r="H579" s="17" t="n">
        <f aca="false">SUMIFS('05_RUTAS'!$F$2:$F$407,'05_RUTAS'!$A$2:$A$407,B579,'05_RUTAS'!$C$2:$C$407,C579)</f>
        <v>8</v>
      </c>
      <c r="I579" s="18" t="n">
        <f aca="false">SUMIFS('05_RUTAS'!$G$2:$G$407,'05_RUTAS'!$A$2:$A$407,B579,'05_RUTAS'!$C$2:$C$407,C579)</f>
        <v>43.52</v>
      </c>
      <c r="J579" s="18" t="n">
        <f aca="false">(ROUNDUP(F579/G579,0)*H579+F579*I579)/60</f>
        <v>9.696</v>
      </c>
      <c r="K579" s="5" t="n">
        <f aca="false">MONTH(INDEX('08_PEDIDOS'!$F$2:$F$97,MATCH(A579,'08_PEDIDOS'!$A$2:$A$97,0)))</f>
        <v>7</v>
      </c>
      <c r="L579" s="16" t="n">
        <f aca="false">J579*N(INDEX('04_MAQUINAS'!$F$2:$F$18,MATCH(E579,'04_MAQUINAS'!$A$2:$A$18,0)))</f>
        <v>213.312</v>
      </c>
      <c r="M579" s="17" t="n">
        <f aca="false">J579*INDEX('04_MAQUINAS'!$G$2:$G$18,MATCH(E579,'04_MAQUINAS'!$A$2:$A$18,0))*INDEX('04_MAQUINAS'!$H$2:$H$18,MATCH(E579,'04_MAQUINAS'!$A$2:$A$18,0))</f>
        <v>4.3632</v>
      </c>
      <c r="N579" s="2" t="s">
        <v>629</v>
      </c>
    </row>
    <row r="580" customFormat="false" ht="15" hidden="false" customHeight="false" outlineLevel="0" collapsed="false">
      <c r="A580" s="2" t="s">
        <v>573</v>
      </c>
      <c r="B580" s="2" t="s">
        <v>80</v>
      </c>
      <c r="C580" s="4" t="n">
        <v>3</v>
      </c>
      <c r="D580" s="2" t="s">
        <v>386</v>
      </c>
      <c r="E580" s="2" t="s">
        <v>383</v>
      </c>
      <c r="F580" s="5" t="n">
        <f aca="false">INDEX('08_PEDIDOS'!$D$2:$D$97,MATCH(A580,'08_PEDIDOS'!$A$2:$A$97,0))</f>
        <v>13</v>
      </c>
      <c r="G580" s="5" t="n">
        <f aca="false">INDEX('08_PEDIDOS'!$H$2:$H$97,MATCH(A580,'08_PEDIDOS'!$A$2:$A$97,0))</f>
        <v>10</v>
      </c>
      <c r="H580" s="17" t="n">
        <f aca="false">SUMIFS('05_RUTAS'!$F$2:$F$407,'05_RUTAS'!$A$2:$A$407,B580,'05_RUTAS'!$C$2:$C$407,C580)</f>
        <v>10</v>
      </c>
      <c r="I580" s="18" t="n">
        <f aca="false">SUMIFS('05_RUTAS'!$G$2:$G$407,'05_RUTAS'!$A$2:$A$407,B580,'05_RUTAS'!$C$2:$C$407,C580)</f>
        <v>63.2</v>
      </c>
      <c r="J580" s="18" t="n">
        <f aca="false">(ROUNDUP(F580/G580,0)*H580+F580*I580)/60</f>
        <v>14.0266666666667</v>
      </c>
      <c r="K580" s="5" t="n">
        <f aca="false">MONTH(INDEX('08_PEDIDOS'!$F$2:$F$97,MATCH(A580,'08_PEDIDOS'!$A$2:$A$97,0)))</f>
        <v>7</v>
      </c>
      <c r="L580" s="16" t="n">
        <f aca="false">J580*N(INDEX('04_MAQUINAS'!$F$2:$F$18,MATCH(E580,'04_MAQUINAS'!$A$2:$A$18,0)))</f>
        <v>308.586666666667</v>
      </c>
      <c r="M580" s="17" t="n">
        <f aca="false">J580*INDEX('04_MAQUINAS'!$G$2:$G$18,MATCH(E580,'04_MAQUINAS'!$A$2:$A$18,0))*INDEX('04_MAQUINAS'!$H$2:$H$18,MATCH(E580,'04_MAQUINAS'!$A$2:$A$18,0))</f>
        <v>3.85733333333333</v>
      </c>
      <c r="N580" s="2" t="s">
        <v>629</v>
      </c>
    </row>
    <row r="581" customFormat="false" ht="15" hidden="false" customHeight="false" outlineLevel="0" collapsed="false">
      <c r="A581" s="2" t="s">
        <v>573</v>
      </c>
      <c r="B581" s="2" t="s">
        <v>80</v>
      </c>
      <c r="C581" s="4" t="n">
        <v>4</v>
      </c>
      <c r="D581" s="2" t="s">
        <v>390</v>
      </c>
      <c r="E581" s="2" t="s">
        <v>387</v>
      </c>
      <c r="F581" s="5" t="n">
        <f aca="false">INDEX('08_PEDIDOS'!$D$2:$D$97,MATCH(A581,'08_PEDIDOS'!$A$2:$A$97,0))</f>
        <v>13</v>
      </c>
      <c r="G581" s="5" t="n">
        <f aca="false">INDEX('08_PEDIDOS'!$H$2:$H$97,MATCH(A581,'08_PEDIDOS'!$A$2:$A$97,0))</f>
        <v>10</v>
      </c>
      <c r="H581" s="17" t="n">
        <f aca="false">SUMIFS('05_RUTAS'!$F$2:$F$407,'05_RUTAS'!$A$2:$A$407,B581,'05_RUTAS'!$C$2:$C$407,C581)</f>
        <v>12</v>
      </c>
      <c r="I581" s="18" t="n">
        <f aca="false">SUMIFS('05_RUTAS'!$G$2:$G$407,'05_RUTAS'!$A$2:$A$407,B581,'05_RUTAS'!$C$2:$C$407,C581)</f>
        <v>60</v>
      </c>
      <c r="J581" s="18" t="n">
        <f aca="false">(ROUNDUP(F581/G581,0)*H581+F581*I581)/60</f>
        <v>13.4</v>
      </c>
      <c r="K581" s="5" t="n">
        <f aca="false">MONTH(INDEX('08_PEDIDOS'!$F$2:$F$97,MATCH(A581,'08_PEDIDOS'!$A$2:$A$97,0)))</f>
        <v>7</v>
      </c>
      <c r="L581" s="16" t="n">
        <f aca="false">J581*N(INDEX('04_MAQUINAS'!$F$2:$F$18,MATCH(E581,'04_MAQUINAS'!$A$2:$A$18,0)))</f>
        <v>375.2</v>
      </c>
      <c r="M581" s="17" t="n">
        <f aca="false">J581*INDEX('04_MAQUINAS'!$G$2:$G$18,MATCH(E581,'04_MAQUINAS'!$A$2:$A$18,0))*INDEX('04_MAQUINAS'!$H$2:$H$18,MATCH(E581,'04_MAQUINAS'!$A$2:$A$18,0))</f>
        <v>33.165</v>
      </c>
      <c r="N581" s="2" t="s">
        <v>629</v>
      </c>
    </row>
    <row r="582" customFormat="false" ht="15" hidden="false" customHeight="false" outlineLevel="0" collapsed="false">
      <c r="A582" s="2" t="s">
        <v>573</v>
      </c>
      <c r="B582" s="2" t="s">
        <v>80</v>
      </c>
      <c r="C582" s="4" t="n">
        <v>5</v>
      </c>
      <c r="D582" s="2" t="s">
        <v>442</v>
      </c>
      <c r="E582" s="2" t="s">
        <v>391</v>
      </c>
      <c r="F582" s="5" t="n">
        <f aca="false">INDEX('08_PEDIDOS'!$D$2:$D$97,MATCH(A582,'08_PEDIDOS'!$A$2:$A$97,0))</f>
        <v>13</v>
      </c>
      <c r="G582" s="5" t="n">
        <f aca="false">INDEX('08_PEDIDOS'!$H$2:$H$97,MATCH(A582,'08_PEDIDOS'!$A$2:$A$97,0))</f>
        <v>10</v>
      </c>
      <c r="H582" s="17" t="n">
        <f aca="false">SUMIFS('05_RUTAS'!$F$2:$F$407,'05_RUTAS'!$A$2:$A$407,B582,'05_RUTAS'!$C$2:$C$407,C582)</f>
        <v>10</v>
      </c>
      <c r="I582" s="18" t="n">
        <f aca="false">SUMIFS('05_RUTAS'!$G$2:$G$407,'05_RUTAS'!$A$2:$A$407,B582,'05_RUTAS'!$C$2:$C$407,C582)</f>
        <v>78.4</v>
      </c>
      <c r="J582" s="18" t="n">
        <f aca="false">(ROUNDUP(F582/G582,0)*H582+F582*I582)/60</f>
        <v>17.32</v>
      </c>
      <c r="K582" s="5" t="n">
        <f aca="false">MONTH(INDEX('08_PEDIDOS'!$F$2:$F$97,MATCH(A582,'08_PEDIDOS'!$A$2:$A$97,0)))</f>
        <v>7</v>
      </c>
      <c r="L582" s="16" t="n">
        <f aca="false">J582*N(INDEX('04_MAQUINAS'!$F$2:$F$18,MATCH(E582,'04_MAQUINAS'!$A$2:$A$18,0)))</f>
        <v>554.24</v>
      </c>
      <c r="M582" s="17" t="n">
        <f aca="false">J582*INDEX('04_MAQUINAS'!$G$2:$G$18,MATCH(E582,'04_MAQUINAS'!$A$2:$A$18,0))*INDEX('04_MAQUINAS'!$H$2:$H$18,MATCH(E582,'04_MAQUINAS'!$A$2:$A$18,0))</f>
        <v>30.31</v>
      </c>
      <c r="N582" s="2" t="s">
        <v>629</v>
      </c>
    </row>
    <row r="583" customFormat="false" ht="15" hidden="false" customHeight="false" outlineLevel="0" collapsed="false">
      <c r="A583" s="2" t="s">
        <v>573</v>
      </c>
      <c r="B583" s="2" t="s">
        <v>80</v>
      </c>
      <c r="C583" s="4" t="n">
        <v>6</v>
      </c>
      <c r="D583" s="2" t="s">
        <v>443</v>
      </c>
      <c r="E583" s="2" t="s">
        <v>395</v>
      </c>
      <c r="F583" s="5" t="n">
        <f aca="false">INDEX('08_PEDIDOS'!$D$2:$D$97,MATCH(A583,'08_PEDIDOS'!$A$2:$A$97,0))</f>
        <v>13</v>
      </c>
      <c r="G583" s="5" t="n">
        <f aca="false">INDEX('08_PEDIDOS'!$H$2:$H$97,MATCH(A583,'08_PEDIDOS'!$A$2:$A$97,0))</f>
        <v>10</v>
      </c>
      <c r="H583" s="17" t="n">
        <f aca="false">SUMIFS('05_RUTAS'!$F$2:$F$407,'05_RUTAS'!$A$2:$A$407,B583,'05_RUTAS'!$C$2:$C$407,C583)</f>
        <v>3</v>
      </c>
      <c r="I583" s="18" t="n">
        <f aca="false">SUMIFS('05_RUTAS'!$G$2:$G$407,'05_RUTAS'!$A$2:$A$407,B583,'05_RUTAS'!$C$2:$C$407,C583)</f>
        <v>42</v>
      </c>
      <c r="J583" s="18" t="n">
        <f aca="false">(ROUNDUP(F583/G583,0)*H583+F583*I583)/60</f>
        <v>9.2</v>
      </c>
      <c r="K583" s="5" t="n">
        <f aca="false">MONTH(INDEX('08_PEDIDOS'!$F$2:$F$97,MATCH(A583,'08_PEDIDOS'!$A$2:$A$97,0)))</f>
        <v>7</v>
      </c>
      <c r="L583" s="16" t="n">
        <f aca="false">J583*N(INDEX('04_MAQUINAS'!$F$2:$F$18,MATCH(E583,'04_MAQUINAS'!$A$2:$A$18,0)))</f>
        <v>193.2</v>
      </c>
      <c r="M583" s="17" t="n">
        <f aca="false">J583*INDEX('04_MAQUINAS'!$G$2:$G$18,MATCH(E583,'04_MAQUINAS'!$A$2:$A$18,0))*INDEX('04_MAQUINAS'!$H$2:$H$18,MATCH(E583,'04_MAQUINAS'!$A$2:$A$18,0))</f>
        <v>6.9</v>
      </c>
      <c r="N583" s="2" t="s">
        <v>629</v>
      </c>
    </row>
    <row r="584" customFormat="false" ht="15" hidden="false" customHeight="false" outlineLevel="0" collapsed="false">
      <c r="A584" s="2" t="s">
        <v>573</v>
      </c>
      <c r="B584" s="2" t="s">
        <v>80</v>
      </c>
      <c r="C584" s="4" t="n">
        <v>7</v>
      </c>
      <c r="D584" s="2" t="s">
        <v>444</v>
      </c>
      <c r="E584" s="2" t="s">
        <v>399</v>
      </c>
      <c r="F584" s="5" t="n">
        <f aca="false">INDEX('08_PEDIDOS'!$D$2:$D$97,MATCH(A584,'08_PEDIDOS'!$A$2:$A$97,0))</f>
        <v>13</v>
      </c>
      <c r="G584" s="5" t="n">
        <f aca="false">INDEX('08_PEDIDOS'!$H$2:$H$97,MATCH(A584,'08_PEDIDOS'!$A$2:$A$97,0))</f>
        <v>10</v>
      </c>
      <c r="H584" s="17" t="n">
        <f aca="false">SUMIFS('05_RUTAS'!$F$2:$F$407,'05_RUTAS'!$A$2:$A$407,B584,'05_RUTAS'!$C$2:$C$407,C584)</f>
        <v>6</v>
      </c>
      <c r="I584" s="18" t="n">
        <f aca="false">SUMIFS('05_RUTAS'!$G$2:$G$407,'05_RUTAS'!$A$2:$A$407,B584,'05_RUTAS'!$C$2:$C$407,C584)</f>
        <v>29.7248</v>
      </c>
      <c r="J584" s="18" t="n">
        <f aca="false">(ROUNDUP(F584/G584,0)*H584+F584*I584)/60</f>
        <v>6.64037333333333</v>
      </c>
      <c r="K584" s="5" t="n">
        <f aca="false">MONTH(INDEX('08_PEDIDOS'!$F$2:$F$97,MATCH(A584,'08_PEDIDOS'!$A$2:$A$97,0)))</f>
        <v>7</v>
      </c>
      <c r="L584" s="16" t="n">
        <f aca="false">J584*N(INDEX('04_MAQUINAS'!$F$2:$F$18,MATCH(E584,'04_MAQUINAS'!$A$2:$A$18,0)))</f>
        <v>126.167093333333</v>
      </c>
      <c r="M584" s="17" t="n">
        <f aca="false">J584*INDEX('04_MAQUINAS'!$G$2:$G$18,MATCH(E584,'04_MAQUINAS'!$A$2:$A$18,0))*INDEX('04_MAQUINAS'!$H$2:$H$18,MATCH(E584,'04_MAQUINAS'!$A$2:$A$18,0))</f>
        <v>5.84352853333333</v>
      </c>
      <c r="N584" s="2" t="s">
        <v>629</v>
      </c>
    </row>
    <row r="585" customFormat="false" ht="15" hidden="false" customHeight="false" outlineLevel="0" collapsed="false">
      <c r="A585" s="2" t="s">
        <v>573</v>
      </c>
      <c r="B585" s="2" t="s">
        <v>80</v>
      </c>
      <c r="C585" s="4" t="n">
        <v>8</v>
      </c>
      <c r="D585" s="2" t="s">
        <v>445</v>
      </c>
      <c r="E585" s="2" t="s">
        <v>402</v>
      </c>
      <c r="F585" s="5" t="n">
        <f aca="false">INDEX('08_PEDIDOS'!$D$2:$D$97,MATCH(A585,'08_PEDIDOS'!$A$2:$A$97,0))</f>
        <v>13</v>
      </c>
      <c r="G585" s="5" t="n">
        <f aca="false">INDEX('08_PEDIDOS'!$H$2:$H$97,MATCH(A585,'08_PEDIDOS'!$A$2:$A$97,0))</f>
        <v>10</v>
      </c>
      <c r="H585" s="17" t="n">
        <f aca="false">SUMIFS('05_RUTAS'!$F$2:$F$407,'05_RUTAS'!$A$2:$A$407,B585,'05_RUTAS'!$C$2:$C$407,C585)</f>
        <v>12</v>
      </c>
      <c r="I585" s="18" t="n">
        <f aca="false">SUMIFS('05_RUTAS'!$G$2:$G$407,'05_RUTAS'!$A$2:$A$407,B585,'05_RUTAS'!$C$2:$C$407,C585)</f>
        <v>8.02</v>
      </c>
      <c r="J585" s="18" t="n">
        <f aca="false">(ROUNDUP(F585/G585,0)*H585+F585*I585)/60</f>
        <v>2.13766666666667</v>
      </c>
      <c r="K585" s="5" t="n">
        <f aca="false">MONTH(INDEX('08_PEDIDOS'!$F$2:$F$97,MATCH(A585,'08_PEDIDOS'!$A$2:$A$97,0)))</f>
        <v>7</v>
      </c>
      <c r="L585" s="16" t="n">
        <f aca="false">J585*N(INDEX('04_MAQUINAS'!$F$2:$F$18,MATCH(E585,'04_MAQUINAS'!$A$2:$A$18,0)))</f>
        <v>68.4053333333333</v>
      </c>
      <c r="M585" s="17" t="n">
        <f aca="false">J585*INDEX('04_MAQUINAS'!$G$2:$G$18,MATCH(E585,'04_MAQUINAS'!$A$2:$A$18,0))*INDEX('04_MAQUINAS'!$H$2:$H$18,MATCH(E585,'04_MAQUINAS'!$A$2:$A$18,0))</f>
        <v>2.24455</v>
      </c>
      <c r="N585" s="2" t="s">
        <v>629</v>
      </c>
    </row>
    <row r="586" customFormat="false" ht="15" hidden="false" customHeight="false" outlineLevel="0" collapsed="false">
      <c r="A586" s="2" t="s">
        <v>573</v>
      </c>
      <c r="B586" s="2" t="s">
        <v>80</v>
      </c>
      <c r="C586" s="4" t="n">
        <v>9</v>
      </c>
      <c r="D586" s="2" t="s">
        <v>447</v>
      </c>
      <c r="E586" s="2" t="s">
        <v>421</v>
      </c>
      <c r="F586" s="5" t="n">
        <f aca="false">INDEX('08_PEDIDOS'!$D$2:$D$97,MATCH(A586,'08_PEDIDOS'!$A$2:$A$97,0))</f>
        <v>13</v>
      </c>
      <c r="G586" s="5" t="n">
        <f aca="false">INDEX('08_PEDIDOS'!$H$2:$H$97,MATCH(A586,'08_PEDIDOS'!$A$2:$A$97,0))</f>
        <v>10</v>
      </c>
      <c r="H586" s="17" t="n">
        <f aca="false">SUMIFS('05_RUTAS'!$F$2:$F$407,'05_RUTAS'!$A$2:$A$407,B586,'05_RUTAS'!$C$2:$C$407,C586)</f>
        <v>45</v>
      </c>
      <c r="I586" s="18" t="n">
        <f aca="false">SUMIFS('05_RUTAS'!$G$2:$G$407,'05_RUTAS'!$A$2:$A$407,B586,'05_RUTAS'!$C$2:$C$407,C586)</f>
        <v>0</v>
      </c>
      <c r="J586" s="18" t="n">
        <f aca="false">(ROUNDUP(F586/G586,0)*H586+F586*I586)/60</f>
        <v>1.5</v>
      </c>
      <c r="K586" s="5" t="n">
        <f aca="false">MONTH(INDEX('08_PEDIDOS'!$F$2:$F$97,MATCH(A586,'08_PEDIDOS'!$A$2:$A$97,0)))</f>
        <v>7</v>
      </c>
      <c r="L586" s="16" t="n">
        <f aca="false">J586*N(INDEX('04_MAQUINAS'!$F$2:$F$18,MATCH(E586,'04_MAQUINAS'!$A$2:$A$18,0)))</f>
        <v>39</v>
      </c>
      <c r="M586" s="17" t="n">
        <f aca="false">J586*INDEX('04_MAQUINAS'!$G$2:$G$18,MATCH(E586,'04_MAQUINAS'!$A$2:$A$18,0))*INDEX('04_MAQUINAS'!$H$2:$H$18,MATCH(E586,'04_MAQUINAS'!$A$2:$A$18,0))</f>
        <v>21.6</v>
      </c>
      <c r="N586" s="2" t="s">
        <v>629</v>
      </c>
    </row>
    <row r="587" customFormat="false" ht="15" hidden="false" customHeight="false" outlineLevel="0" collapsed="false">
      <c r="A587" s="2" t="s">
        <v>573</v>
      </c>
      <c r="B587" s="2" t="s">
        <v>80</v>
      </c>
      <c r="C587" s="4" t="n">
        <v>10</v>
      </c>
      <c r="D587" s="2" t="s">
        <v>449</v>
      </c>
      <c r="E587" s="2" t="s">
        <v>423</v>
      </c>
      <c r="F587" s="5" t="n">
        <f aca="false">INDEX('08_PEDIDOS'!$D$2:$D$97,MATCH(A587,'08_PEDIDOS'!$A$2:$A$97,0))</f>
        <v>13</v>
      </c>
      <c r="G587" s="5" t="n">
        <f aca="false">INDEX('08_PEDIDOS'!$H$2:$H$97,MATCH(A587,'08_PEDIDOS'!$A$2:$A$97,0))</f>
        <v>10</v>
      </c>
      <c r="H587" s="17" t="n">
        <f aca="false">SUMIFS('05_RUTAS'!$F$2:$F$407,'05_RUTAS'!$A$2:$A$407,B587,'05_RUTAS'!$C$2:$C$407,C587)</f>
        <v>8</v>
      </c>
      <c r="I587" s="18" t="n">
        <f aca="false">SUMIFS('05_RUTAS'!$G$2:$G$407,'05_RUTAS'!$A$2:$A$407,B587,'05_RUTAS'!$C$2:$C$407,C587)</f>
        <v>2.69</v>
      </c>
      <c r="J587" s="18" t="n">
        <f aca="false">(ROUNDUP(F587/G587,0)*H587+F587*I587)/60</f>
        <v>0.8495</v>
      </c>
      <c r="K587" s="5" t="n">
        <f aca="false">MONTH(INDEX('08_PEDIDOS'!$F$2:$F$97,MATCH(A587,'08_PEDIDOS'!$A$2:$A$97,0)))</f>
        <v>7</v>
      </c>
      <c r="L587" s="16" t="n">
        <f aca="false">J587*N(INDEX('04_MAQUINAS'!$F$2:$F$18,MATCH(E587,'04_MAQUINAS'!$A$2:$A$18,0)))</f>
        <v>13.592</v>
      </c>
      <c r="M587" s="17" t="n">
        <f aca="false">J587*INDEX('04_MAQUINAS'!$G$2:$G$18,MATCH(E587,'04_MAQUINAS'!$A$2:$A$18,0))*INDEX('04_MAQUINAS'!$H$2:$H$18,MATCH(E587,'04_MAQUINAS'!$A$2:$A$18,0))</f>
        <v>0.212375</v>
      </c>
      <c r="N587" s="2" t="s">
        <v>629</v>
      </c>
    </row>
    <row r="588" customFormat="false" ht="15" hidden="false" customHeight="false" outlineLevel="0" collapsed="false">
      <c r="A588" s="2" t="s">
        <v>573</v>
      </c>
      <c r="B588" s="2" t="s">
        <v>80</v>
      </c>
      <c r="C588" s="4" t="n">
        <v>11</v>
      </c>
      <c r="D588" s="2" t="s">
        <v>450</v>
      </c>
      <c r="E588" s="2" t="s">
        <v>406</v>
      </c>
      <c r="F588" s="5" t="n">
        <f aca="false">INDEX('08_PEDIDOS'!$D$2:$D$97,MATCH(A588,'08_PEDIDOS'!$A$2:$A$97,0))</f>
        <v>13</v>
      </c>
      <c r="G588" s="5" t="n">
        <f aca="false">INDEX('08_PEDIDOS'!$H$2:$H$97,MATCH(A588,'08_PEDIDOS'!$A$2:$A$97,0))</f>
        <v>10</v>
      </c>
      <c r="H588" s="17" t="n">
        <f aca="false">SUMIFS('05_RUTAS'!$F$2:$F$407,'05_RUTAS'!$A$2:$A$407,B588,'05_RUTAS'!$C$2:$C$407,C588)</f>
        <v>6</v>
      </c>
      <c r="I588" s="18" t="n">
        <f aca="false">SUMIFS('05_RUTAS'!$G$2:$G$407,'05_RUTAS'!$A$2:$A$407,B588,'05_RUTAS'!$C$2:$C$407,C588)</f>
        <v>60</v>
      </c>
      <c r="J588" s="18" t="n">
        <f aca="false">(ROUNDUP(F588/G588,0)*H588+F588*I588)/60</f>
        <v>13.2</v>
      </c>
      <c r="K588" s="5" t="n">
        <f aca="false">MONTH(INDEX('08_PEDIDOS'!$F$2:$F$97,MATCH(A588,'08_PEDIDOS'!$A$2:$A$97,0)))</f>
        <v>7</v>
      </c>
      <c r="L588" s="16" t="n">
        <f aca="false">J588*N(INDEX('04_MAQUINAS'!$F$2:$F$18,MATCH(E588,'04_MAQUINAS'!$A$2:$A$18,0)))</f>
        <v>250.8</v>
      </c>
      <c r="M588" s="17" t="n">
        <f aca="false">J588*INDEX('04_MAQUINAS'!$G$2:$G$18,MATCH(E588,'04_MAQUINAS'!$A$2:$A$18,0))*INDEX('04_MAQUINAS'!$H$2:$H$18,MATCH(E588,'04_MAQUINAS'!$A$2:$A$18,0))</f>
        <v>3.96</v>
      </c>
      <c r="N588" s="2" t="s">
        <v>629</v>
      </c>
    </row>
    <row r="589" customFormat="false" ht="15" hidden="false" customHeight="false" outlineLevel="0" collapsed="false">
      <c r="A589" s="2" t="s">
        <v>573</v>
      </c>
      <c r="B589" s="2" t="s">
        <v>80</v>
      </c>
      <c r="C589" s="4" t="n">
        <v>12</v>
      </c>
      <c r="D589" s="2" t="s">
        <v>451</v>
      </c>
      <c r="E589" s="2" t="s">
        <v>408</v>
      </c>
      <c r="F589" s="5" t="n">
        <f aca="false">INDEX('08_PEDIDOS'!$D$2:$D$97,MATCH(A589,'08_PEDIDOS'!$A$2:$A$97,0))</f>
        <v>13</v>
      </c>
      <c r="G589" s="5" t="n">
        <f aca="false">INDEX('08_PEDIDOS'!$H$2:$H$97,MATCH(A589,'08_PEDIDOS'!$A$2:$A$97,0))</f>
        <v>10</v>
      </c>
      <c r="H589" s="17" t="n">
        <f aca="false">SUMIFS('05_RUTAS'!$F$2:$F$407,'05_RUTAS'!$A$2:$A$407,B589,'05_RUTAS'!$C$2:$C$407,C589)</f>
        <v>2</v>
      </c>
      <c r="I589" s="18" t="n">
        <f aca="false">SUMIFS('05_RUTAS'!$G$2:$G$407,'05_RUTAS'!$A$2:$A$407,B589,'05_RUTAS'!$C$2:$C$407,C589)</f>
        <v>3.86</v>
      </c>
      <c r="J589" s="18" t="n">
        <f aca="false">(ROUNDUP(F589/G589,0)*H589+F589*I589)/60</f>
        <v>0.903</v>
      </c>
      <c r="K589" s="5" t="n">
        <f aca="false">MONTH(INDEX('08_PEDIDOS'!$F$2:$F$97,MATCH(A589,'08_PEDIDOS'!$A$2:$A$97,0)))</f>
        <v>7</v>
      </c>
      <c r="L589" s="16" t="n">
        <f aca="false">J589*N(INDEX('04_MAQUINAS'!$F$2:$F$18,MATCH(E589,'04_MAQUINAS'!$A$2:$A$18,0)))</f>
        <v>18.06</v>
      </c>
      <c r="M589" s="17" t="n">
        <f aca="false">J589*INDEX('04_MAQUINAS'!$G$2:$G$18,MATCH(E589,'04_MAQUINAS'!$A$2:$A$18,0))*INDEX('04_MAQUINAS'!$H$2:$H$18,MATCH(E589,'04_MAQUINAS'!$A$2:$A$18,0))</f>
        <v>0.0903</v>
      </c>
      <c r="N589" s="2" t="s">
        <v>629</v>
      </c>
    </row>
    <row r="590" customFormat="false" ht="15" hidden="false" customHeight="false" outlineLevel="0" collapsed="false">
      <c r="A590" s="2" t="s">
        <v>573</v>
      </c>
      <c r="B590" s="2" t="s">
        <v>80</v>
      </c>
      <c r="C590" s="4" t="n">
        <v>13</v>
      </c>
      <c r="D590" s="2" t="s">
        <v>452</v>
      </c>
      <c r="E590" s="2" t="s">
        <v>411</v>
      </c>
      <c r="F590" s="5" t="n">
        <f aca="false">INDEX('08_PEDIDOS'!$D$2:$D$97,MATCH(A590,'08_PEDIDOS'!$A$2:$A$97,0))</f>
        <v>13</v>
      </c>
      <c r="G590" s="5" t="n">
        <f aca="false">INDEX('08_PEDIDOS'!$H$2:$H$97,MATCH(A590,'08_PEDIDOS'!$A$2:$A$97,0))</f>
        <v>10</v>
      </c>
      <c r="H590" s="17" t="n">
        <f aca="false">SUMIFS('05_RUTAS'!$F$2:$F$407,'05_RUTAS'!$A$2:$A$407,B590,'05_RUTAS'!$C$2:$C$407,C590)</f>
        <v>2</v>
      </c>
      <c r="I590" s="18" t="n">
        <f aca="false">SUMIFS('05_RUTAS'!$G$2:$G$407,'05_RUTAS'!$A$2:$A$407,B590,'05_RUTAS'!$C$2:$C$407,C590)</f>
        <v>5.3</v>
      </c>
      <c r="J590" s="18" t="n">
        <f aca="false">(ROUNDUP(F590/G590,0)*H590+F590*I590)/60</f>
        <v>1.215</v>
      </c>
      <c r="K590" s="5" t="n">
        <f aca="false">MONTH(INDEX('08_PEDIDOS'!$F$2:$F$97,MATCH(A590,'08_PEDIDOS'!$A$2:$A$97,0)))</f>
        <v>7</v>
      </c>
      <c r="L590" s="16" t="n">
        <f aca="false">J590*N(INDEX('04_MAQUINAS'!$F$2:$F$18,MATCH(E590,'04_MAQUINAS'!$A$2:$A$18,0)))</f>
        <v>21.87</v>
      </c>
      <c r="M590" s="17" t="n">
        <f aca="false">J590*INDEX('04_MAQUINAS'!$G$2:$G$18,MATCH(E590,'04_MAQUINAS'!$A$2:$A$18,0))*INDEX('04_MAQUINAS'!$H$2:$H$18,MATCH(E590,'04_MAQUINAS'!$A$2:$A$18,0))</f>
        <v>0.10935</v>
      </c>
      <c r="N590" s="2" t="s">
        <v>629</v>
      </c>
    </row>
    <row r="591" customFormat="false" ht="15" hidden="false" customHeight="false" outlineLevel="0" collapsed="false">
      <c r="A591" s="2" t="s">
        <v>574</v>
      </c>
      <c r="B591" s="2" t="s">
        <v>83</v>
      </c>
      <c r="C591" s="4" t="n">
        <v>1</v>
      </c>
      <c r="D591" s="2" t="s">
        <v>437</v>
      </c>
      <c r="E591" s="2" t="s">
        <v>375</v>
      </c>
      <c r="F591" s="5" t="n">
        <f aca="false">INDEX('08_PEDIDOS'!$D$2:$D$97,MATCH(A591,'08_PEDIDOS'!$A$2:$A$97,0))</f>
        <v>14</v>
      </c>
      <c r="G591" s="5" t="n">
        <f aca="false">INDEX('08_PEDIDOS'!$H$2:$H$97,MATCH(A591,'08_PEDIDOS'!$A$2:$A$97,0))</f>
        <v>10</v>
      </c>
      <c r="H591" s="17" t="n">
        <f aca="false">SUMIFS('05_RUTAS'!$F$2:$F$407,'05_RUTAS'!$A$2:$A$407,B591,'05_RUTAS'!$C$2:$C$407,C591)</f>
        <v>8</v>
      </c>
      <c r="I591" s="18" t="n">
        <f aca="false">SUMIFS('05_RUTAS'!$G$2:$G$407,'05_RUTAS'!$A$2:$A$407,B591,'05_RUTAS'!$C$2:$C$407,C591)</f>
        <v>36.67</v>
      </c>
      <c r="J591" s="18" t="n">
        <f aca="false">(ROUNDUP(F591/G591,0)*H591+F591*I591)/60</f>
        <v>8.823</v>
      </c>
      <c r="K591" s="5" t="n">
        <f aca="false">MONTH(INDEX('08_PEDIDOS'!$F$2:$F$97,MATCH(A591,'08_PEDIDOS'!$A$2:$A$97,0)))</f>
        <v>7</v>
      </c>
      <c r="L591" s="16" t="n">
        <f aca="false">J591*N(INDEX('04_MAQUINAS'!$F$2:$F$18,MATCH(E591,'04_MAQUINAS'!$A$2:$A$18,0)))</f>
        <v>211.752</v>
      </c>
      <c r="M591" s="17" t="n">
        <f aca="false">J591*INDEX('04_MAQUINAS'!$G$2:$G$18,MATCH(E591,'04_MAQUINAS'!$A$2:$A$18,0))*INDEX('04_MAQUINAS'!$H$2:$H$18,MATCH(E591,'04_MAQUINAS'!$A$2:$A$18,0))</f>
        <v>24.26325</v>
      </c>
      <c r="N591" s="2" t="s">
        <v>629</v>
      </c>
    </row>
    <row r="592" customFormat="false" ht="15" hidden="false" customHeight="false" outlineLevel="0" collapsed="false">
      <c r="A592" s="2" t="s">
        <v>574</v>
      </c>
      <c r="B592" s="2" t="s">
        <v>83</v>
      </c>
      <c r="C592" s="4" t="n">
        <v>2</v>
      </c>
      <c r="D592" s="2" t="s">
        <v>441</v>
      </c>
      <c r="E592" s="2" t="s">
        <v>380</v>
      </c>
      <c r="F592" s="5" t="n">
        <f aca="false">INDEX('08_PEDIDOS'!$D$2:$D$97,MATCH(A592,'08_PEDIDOS'!$A$2:$A$97,0))</f>
        <v>14</v>
      </c>
      <c r="G592" s="5" t="n">
        <f aca="false">INDEX('08_PEDIDOS'!$H$2:$H$97,MATCH(A592,'08_PEDIDOS'!$A$2:$A$97,0))</f>
        <v>10</v>
      </c>
      <c r="H592" s="17" t="n">
        <f aca="false">SUMIFS('05_RUTAS'!$F$2:$F$407,'05_RUTAS'!$A$2:$A$407,B592,'05_RUTAS'!$C$2:$C$407,C592)</f>
        <v>8</v>
      </c>
      <c r="I592" s="18" t="n">
        <f aca="false">SUMIFS('05_RUTAS'!$G$2:$G$407,'05_RUTAS'!$A$2:$A$407,B592,'05_RUTAS'!$C$2:$C$407,C592)</f>
        <v>52</v>
      </c>
      <c r="J592" s="18" t="n">
        <f aca="false">(ROUNDUP(F592/G592,0)*H592+F592*I592)/60</f>
        <v>12.4</v>
      </c>
      <c r="K592" s="5" t="n">
        <f aca="false">MONTH(INDEX('08_PEDIDOS'!$F$2:$F$97,MATCH(A592,'08_PEDIDOS'!$A$2:$A$97,0)))</f>
        <v>7</v>
      </c>
      <c r="L592" s="16" t="n">
        <f aca="false">J592*N(INDEX('04_MAQUINAS'!$F$2:$F$18,MATCH(E592,'04_MAQUINAS'!$A$2:$A$18,0)))</f>
        <v>272.8</v>
      </c>
      <c r="M592" s="17" t="n">
        <f aca="false">J592*INDEX('04_MAQUINAS'!$G$2:$G$18,MATCH(E592,'04_MAQUINAS'!$A$2:$A$18,0))*INDEX('04_MAQUINAS'!$H$2:$H$18,MATCH(E592,'04_MAQUINAS'!$A$2:$A$18,0))</f>
        <v>5.58</v>
      </c>
      <c r="N592" s="2" t="s">
        <v>629</v>
      </c>
    </row>
    <row r="593" customFormat="false" ht="15" hidden="false" customHeight="false" outlineLevel="0" collapsed="false">
      <c r="A593" s="2" t="s">
        <v>574</v>
      </c>
      <c r="B593" s="2" t="s">
        <v>83</v>
      </c>
      <c r="C593" s="4" t="n">
        <v>3</v>
      </c>
      <c r="D593" s="2" t="s">
        <v>386</v>
      </c>
      <c r="E593" s="2" t="s">
        <v>383</v>
      </c>
      <c r="F593" s="5" t="n">
        <f aca="false">INDEX('08_PEDIDOS'!$D$2:$D$97,MATCH(A593,'08_PEDIDOS'!$A$2:$A$97,0))</f>
        <v>14</v>
      </c>
      <c r="G593" s="5" t="n">
        <f aca="false">INDEX('08_PEDIDOS'!$H$2:$H$97,MATCH(A593,'08_PEDIDOS'!$A$2:$A$97,0))</f>
        <v>10</v>
      </c>
      <c r="H593" s="17" t="n">
        <f aca="false">SUMIFS('05_RUTAS'!$F$2:$F$407,'05_RUTAS'!$A$2:$A$407,B593,'05_RUTAS'!$C$2:$C$407,C593)</f>
        <v>10</v>
      </c>
      <c r="I593" s="18" t="n">
        <f aca="false">SUMIFS('05_RUTAS'!$G$2:$G$407,'05_RUTAS'!$A$2:$A$407,B593,'05_RUTAS'!$C$2:$C$407,C593)</f>
        <v>82.1</v>
      </c>
      <c r="J593" s="18" t="n">
        <f aca="false">(ROUNDUP(F593/G593,0)*H593+F593*I593)/60</f>
        <v>19.49</v>
      </c>
      <c r="K593" s="5" t="n">
        <f aca="false">MONTH(INDEX('08_PEDIDOS'!$F$2:$F$97,MATCH(A593,'08_PEDIDOS'!$A$2:$A$97,0)))</f>
        <v>7</v>
      </c>
      <c r="L593" s="16" t="n">
        <f aca="false">J593*N(INDEX('04_MAQUINAS'!$F$2:$F$18,MATCH(E593,'04_MAQUINAS'!$A$2:$A$18,0)))</f>
        <v>428.78</v>
      </c>
      <c r="M593" s="17" t="n">
        <f aca="false">J593*INDEX('04_MAQUINAS'!$G$2:$G$18,MATCH(E593,'04_MAQUINAS'!$A$2:$A$18,0))*INDEX('04_MAQUINAS'!$H$2:$H$18,MATCH(E593,'04_MAQUINAS'!$A$2:$A$18,0))</f>
        <v>5.35975</v>
      </c>
      <c r="N593" s="2" t="s">
        <v>629</v>
      </c>
    </row>
    <row r="594" customFormat="false" ht="15" hidden="false" customHeight="false" outlineLevel="0" collapsed="false">
      <c r="A594" s="2" t="s">
        <v>574</v>
      </c>
      <c r="B594" s="2" t="s">
        <v>83</v>
      </c>
      <c r="C594" s="4" t="n">
        <v>4</v>
      </c>
      <c r="D594" s="2" t="s">
        <v>390</v>
      </c>
      <c r="E594" s="2" t="s">
        <v>387</v>
      </c>
      <c r="F594" s="5" t="n">
        <f aca="false">INDEX('08_PEDIDOS'!$D$2:$D$97,MATCH(A594,'08_PEDIDOS'!$A$2:$A$97,0))</f>
        <v>14</v>
      </c>
      <c r="G594" s="5" t="n">
        <f aca="false">INDEX('08_PEDIDOS'!$H$2:$H$97,MATCH(A594,'08_PEDIDOS'!$A$2:$A$97,0))</f>
        <v>10</v>
      </c>
      <c r="H594" s="17" t="n">
        <f aca="false">SUMIFS('05_RUTAS'!$F$2:$F$407,'05_RUTAS'!$A$2:$A$407,B594,'05_RUTAS'!$C$2:$C$407,C594)</f>
        <v>12</v>
      </c>
      <c r="I594" s="18" t="n">
        <f aca="false">SUMIFS('05_RUTAS'!$G$2:$G$407,'05_RUTAS'!$A$2:$A$407,B594,'05_RUTAS'!$C$2:$C$407,C594)</f>
        <v>69</v>
      </c>
      <c r="J594" s="18" t="n">
        <f aca="false">(ROUNDUP(F594/G594,0)*H594+F594*I594)/60</f>
        <v>16.5</v>
      </c>
      <c r="K594" s="5" t="n">
        <f aca="false">MONTH(INDEX('08_PEDIDOS'!$F$2:$F$97,MATCH(A594,'08_PEDIDOS'!$A$2:$A$97,0)))</f>
        <v>7</v>
      </c>
      <c r="L594" s="16" t="n">
        <f aca="false">J594*N(INDEX('04_MAQUINAS'!$F$2:$F$18,MATCH(E594,'04_MAQUINAS'!$A$2:$A$18,0)))</f>
        <v>462</v>
      </c>
      <c r="M594" s="17" t="n">
        <f aca="false">J594*INDEX('04_MAQUINAS'!$G$2:$G$18,MATCH(E594,'04_MAQUINAS'!$A$2:$A$18,0))*INDEX('04_MAQUINAS'!$H$2:$H$18,MATCH(E594,'04_MAQUINAS'!$A$2:$A$18,0))</f>
        <v>40.8375</v>
      </c>
      <c r="N594" s="2" t="s">
        <v>629</v>
      </c>
    </row>
    <row r="595" customFormat="false" ht="15" hidden="false" customHeight="false" outlineLevel="0" collapsed="false">
      <c r="A595" s="2" t="s">
        <v>574</v>
      </c>
      <c r="B595" s="2" t="s">
        <v>83</v>
      </c>
      <c r="C595" s="4" t="n">
        <v>5</v>
      </c>
      <c r="D595" s="2" t="s">
        <v>442</v>
      </c>
      <c r="E595" s="2" t="s">
        <v>391</v>
      </c>
      <c r="F595" s="5" t="n">
        <f aca="false">INDEX('08_PEDIDOS'!$D$2:$D$97,MATCH(A595,'08_PEDIDOS'!$A$2:$A$97,0))</f>
        <v>14</v>
      </c>
      <c r="G595" s="5" t="n">
        <f aca="false">INDEX('08_PEDIDOS'!$H$2:$H$97,MATCH(A595,'08_PEDIDOS'!$A$2:$A$97,0))</f>
        <v>10</v>
      </c>
      <c r="H595" s="17" t="n">
        <f aca="false">SUMIFS('05_RUTAS'!$F$2:$F$407,'05_RUTAS'!$A$2:$A$407,B595,'05_RUTAS'!$C$2:$C$407,C595)</f>
        <v>10</v>
      </c>
      <c r="I595" s="18" t="n">
        <f aca="false">SUMIFS('05_RUTAS'!$G$2:$G$407,'05_RUTAS'!$A$2:$A$407,B595,'05_RUTAS'!$C$2:$C$407,C595)</f>
        <v>78.4</v>
      </c>
      <c r="J595" s="18" t="n">
        <f aca="false">(ROUNDUP(F595/G595,0)*H595+F595*I595)/60</f>
        <v>18.6266666666667</v>
      </c>
      <c r="K595" s="5" t="n">
        <f aca="false">MONTH(INDEX('08_PEDIDOS'!$F$2:$F$97,MATCH(A595,'08_PEDIDOS'!$A$2:$A$97,0)))</f>
        <v>7</v>
      </c>
      <c r="L595" s="16" t="n">
        <f aca="false">J595*N(INDEX('04_MAQUINAS'!$F$2:$F$18,MATCH(E595,'04_MAQUINAS'!$A$2:$A$18,0)))</f>
        <v>596.053333333333</v>
      </c>
      <c r="M595" s="17" t="n">
        <f aca="false">J595*INDEX('04_MAQUINAS'!$G$2:$G$18,MATCH(E595,'04_MAQUINAS'!$A$2:$A$18,0))*INDEX('04_MAQUINAS'!$H$2:$H$18,MATCH(E595,'04_MAQUINAS'!$A$2:$A$18,0))</f>
        <v>32.5966666666667</v>
      </c>
      <c r="N595" s="2" t="s">
        <v>629</v>
      </c>
    </row>
    <row r="596" customFormat="false" ht="15" hidden="false" customHeight="false" outlineLevel="0" collapsed="false">
      <c r="A596" s="2" t="s">
        <v>574</v>
      </c>
      <c r="B596" s="2" t="s">
        <v>83</v>
      </c>
      <c r="C596" s="4" t="n">
        <v>6</v>
      </c>
      <c r="D596" s="2" t="s">
        <v>443</v>
      </c>
      <c r="E596" s="2" t="s">
        <v>395</v>
      </c>
      <c r="F596" s="5" t="n">
        <f aca="false">INDEX('08_PEDIDOS'!$D$2:$D$97,MATCH(A596,'08_PEDIDOS'!$A$2:$A$97,0))</f>
        <v>14</v>
      </c>
      <c r="G596" s="5" t="n">
        <f aca="false">INDEX('08_PEDIDOS'!$H$2:$H$97,MATCH(A596,'08_PEDIDOS'!$A$2:$A$97,0))</f>
        <v>10</v>
      </c>
      <c r="H596" s="17" t="n">
        <f aca="false">SUMIFS('05_RUTAS'!$F$2:$F$407,'05_RUTAS'!$A$2:$A$407,B596,'05_RUTAS'!$C$2:$C$407,C596)</f>
        <v>3</v>
      </c>
      <c r="I596" s="18" t="n">
        <f aca="false">SUMIFS('05_RUTAS'!$G$2:$G$407,'05_RUTAS'!$A$2:$A$407,B596,'05_RUTAS'!$C$2:$C$407,C596)</f>
        <v>49.5</v>
      </c>
      <c r="J596" s="18" t="n">
        <f aca="false">(ROUNDUP(F596/G596,0)*H596+F596*I596)/60</f>
        <v>11.65</v>
      </c>
      <c r="K596" s="5" t="n">
        <f aca="false">MONTH(INDEX('08_PEDIDOS'!$F$2:$F$97,MATCH(A596,'08_PEDIDOS'!$A$2:$A$97,0)))</f>
        <v>7</v>
      </c>
      <c r="L596" s="16" t="n">
        <f aca="false">J596*N(INDEX('04_MAQUINAS'!$F$2:$F$18,MATCH(E596,'04_MAQUINAS'!$A$2:$A$18,0)))</f>
        <v>244.65</v>
      </c>
      <c r="M596" s="17" t="n">
        <f aca="false">J596*INDEX('04_MAQUINAS'!$G$2:$G$18,MATCH(E596,'04_MAQUINAS'!$A$2:$A$18,0))*INDEX('04_MAQUINAS'!$H$2:$H$18,MATCH(E596,'04_MAQUINAS'!$A$2:$A$18,0))</f>
        <v>8.7375</v>
      </c>
      <c r="N596" s="2" t="s">
        <v>629</v>
      </c>
    </row>
    <row r="597" customFormat="false" ht="15" hidden="false" customHeight="false" outlineLevel="0" collapsed="false">
      <c r="A597" s="2" t="s">
        <v>574</v>
      </c>
      <c r="B597" s="2" t="s">
        <v>83</v>
      </c>
      <c r="C597" s="4" t="n">
        <v>7</v>
      </c>
      <c r="D597" s="2" t="s">
        <v>444</v>
      </c>
      <c r="E597" s="2" t="s">
        <v>399</v>
      </c>
      <c r="F597" s="5" t="n">
        <f aca="false">INDEX('08_PEDIDOS'!$D$2:$D$97,MATCH(A597,'08_PEDIDOS'!$A$2:$A$97,0))</f>
        <v>14</v>
      </c>
      <c r="G597" s="5" t="n">
        <f aca="false">INDEX('08_PEDIDOS'!$H$2:$H$97,MATCH(A597,'08_PEDIDOS'!$A$2:$A$97,0))</f>
        <v>10</v>
      </c>
      <c r="H597" s="17" t="n">
        <f aca="false">SUMIFS('05_RUTAS'!$F$2:$F$407,'05_RUTAS'!$A$2:$A$407,B597,'05_RUTAS'!$C$2:$C$407,C597)</f>
        <v>6</v>
      </c>
      <c r="I597" s="18" t="n">
        <f aca="false">SUMIFS('05_RUTAS'!$G$2:$G$407,'05_RUTAS'!$A$2:$A$407,B597,'05_RUTAS'!$C$2:$C$407,C597)</f>
        <v>32.064</v>
      </c>
      <c r="J597" s="18" t="n">
        <f aca="false">(ROUNDUP(F597/G597,0)*H597+F597*I597)/60</f>
        <v>7.6816</v>
      </c>
      <c r="K597" s="5" t="n">
        <f aca="false">MONTH(INDEX('08_PEDIDOS'!$F$2:$F$97,MATCH(A597,'08_PEDIDOS'!$A$2:$A$97,0)))</f>
        <v>7</v>
      </c>
      <c r="L597" s="16" t="n">
        <f aca="false">J597*N(INDEX('04_MAQUINAS'!$F$2:$F$18,MATCH(E597,'04_MAQUINAS'!$A$2:$A$18,0)))</f>
        <v>145.9504</v>
      </c>
      <c r="M597" s="17" t="n">
        <f aca="false">J597*INDEX('04_MAQUINAS'!$G$2:$G$18,MATCH(E597,'04_MAQUINAS'!$A$2:$A$18,0))*INDEX('04_MAQUINAS'!$H$2:$H$18,MATCH(E597,'04_MAQUINAS'!$A$2:$A$18,0))</f>
        <v>6.759808</v>
      </c>
      <c r="N597" s="2" t="s">
        <v>629</v>
      </c>
    </row>
    <row r="598" customFormat="false" ht="15" hidden="false" customHeight="false" outlineLevel="0" collapsed="false">
      <c r="A598" s="2" t="s">
        <v>574</v>
      </c>
      <c r="B598" s="2" t="s">
        <v>83</v>
      </c>
      <c r="C598" s="4" t="n">
        <v>8</v>
      </c>
      <c r="D598" s="2" t="s">
        <v>445</v>
      </c>
      <c r="E598" s="2" t="s">
        <v>402</v>
      </c>
      <c r="F598" s="5" t="n">
        <f aca="false">INDEX('08_PEDIDOS'!$D$2:$D$97,MATCH(A598,'08_PEDIDOS'!$A$2:$A$97,0))</f>
        <v>14</v>
      </c>
      <c r="G598" s="5" t="n">
        <f aca="false">INDEX('08_PEDIDOS'!$H$2:$H$97,MATCH(A598,'08_PEDIDOS'!$A$2:$A$97,0))</f>
        <v>10</v>
      </c>
      <c r="H598" s="17" t="n">
        <f aca="false">SUMIFS('05_RUTAS'!$F$2:$F$407,'05_RUTAS'!$A$2:$A$407,B598,'05_RUTAS'!$C$2:$C$407,C598)</f>
        <v>12</v>
      </c>
      <c r="I598" s="18" t="n">
        <f aca="false">SUMIFS('05_RUTAS'!$G$2:$G$407,'05_RUTAS'!$A$2:$A$407,B598,'05_RUTAS'!$C$2:$C$407,C598)</f>
        <v>8.02</v>
      </c>
      <c r="J598" s="18" t="n">
        <f aca="false">(ROUNDUP(F598/G598,0)*H598+F598*I598)/60</f>
        <v>2.27133333333333</v>
      </c>
      <c r="K598" s="5" t="n">
        <f aca="false">MONTH(INDEX('08_PEDIDOS'!$F$2:$F$97,MATCH(A598,'08_PEDIDOS'!$A$2:$A$97,0)))</f>
        <v>7</v>
      </c>
      <c r="L598" s="16" t="n">
        <f aca="false">J598*N(INDEX('04_MAQUINAS'!$F$2:$F$18,MATCH(E598,'04_MAQUINAS'!$A$2:$A$18,0)))</f>
        <v>72.6826666666667</v>
      </c>
      <c r="M598" s="17" t="n">
        <f aca="false">J598*INDEX('04_MAQUINAS'!$G$2:$G$18,MATCH(E598,'04_MAQUINAS'!$A$2:$A$18,0))*INDEX('04_MAQUINAS'!$H$2:$H$18,MATCH(E598,'04_MAQUINAS'!$A$2:$A$18,0))</f>
        <v>2.3849</v>
      </c>
      <c r="N598" s="2" t="s">
        <v>629</v>
      </c>
    </row>
    <row r="599" customFormat="false" ht="15" hidden="false" customHeight="false" outlineLevel="0" collapsed="false">
      <c r="A599" s="2" t="s">
        <v>574</v>
      </c>
      <c r="B599" s="2" t="s">
        <v>83</v>
      </c>
      <c r="C599" s="4" t="n">
        <v>9</v>
      </c>
      <c r="D599" s="2" t="s">
        <v>447</v>
      </c>
      <c r="E599" s="2" t="s">
        <v>421</v>
      </c>
      <c r="F599" s="5" t="n">
        <f aca="false">INDEX('08_PEDIDOS'!$D$2:$D$97,MATCH(A599,'08_PEDIDOS'!$A$2:$A$97,0))</f>
        <v>14</v>
      </c>
      <c r="G599" s="5" t="n">
        <f aca="false">INDEX('08_PEDIDOS'!$H$2:$H$97,MATCH(A599,'08_PEDIDOS'!$A$2:$A$97,0))</f>
        <v>10</v>
      </c>
      <c r="H599" s="17" t="n">
        <f aca="false">SUMIFS('05_RUTAS'!$F$2:$F$407,'05_RUTAS'!$A$2:$A$407,B599,'05_RUTAS'!$C$2:$C$407,C599)</f>
        <v>45</v>
      </c>
      <c r="I599" s="18" t="n">
        <f aca="false">SUMIFS('05_RUTAS'!$G$2:$G$407,'05_RUTAS'!$A$2:$A$407,B599,'05_RUTAS'!$C$2:$C$407,C599)</f>
        <v>0</v>
      </c>
      <c r="J599" s="18" t="n">
        <f aca="false">(ROUNDUP(F599/G599,0)*H599+F599*I599)/60</f>
        <v>1.5</v>
      </c>
      <c r="K599" s="5" t="n">
        <f aca="false">MONTH(INDEX('08_PEDIDOS'!$F$2:$F$97,MATCH(A599,'08_PEDIDOS'!$A$2:$A$97,0)))</f>
        <v>7</v>
      </c>
      <c r="L599" s="16" t="n">
        <f aca="false">J599*N(INDEX('04_MAQUINAS'!$F$2:$F$18,MATCH(E599,'04_MAQUINAS'!$A$2:$A$18,0)))</f>
        <v>39</v>
      </c>
      <c r="M599" s="17" t="n">
        <f aca="false">J599*INDEX('04_MAQUINAS'!$G$2:$G$18,MATCH(E599,'04_MAQUINAS'!$A$2:$A$18,0))*INDEX('04_MAQUINAS'!$H$2:$H$18,MATCH(E599,'04_MAQUINAS'!$A$2:$A$18,0))</f>
        <v>21.6</v>
      </c>
      <c r="N599" s="2" t="s">
        <v>629</v>
      </c>
    </row>
    <row r="600" customFormat="false" ht="15" hidden="false" customHeight="false" outlineLevel="0" collapsed="false">
      <c r="A600" s="2" t="s">
        <v>574</v>
      </c>
      <c r="B600" s="2" t="s">
        <v>83</v>
      </c>
      <c r="C600" s="4" t="n">
        <v>10</v>
      </c>
      <c r="D600" s="2" t="s">
        <v>449</v>
      </c>
      <c r="E600" s="2" t="s">
        <v>423</v>
      </c>
      <c r="F600" s="5" t="n">
        <f aca="false">INDEX('08_PEDIDOS'!$D$2:$D$97,MATCH(A600,'08_PEDIDOS'!$A$2:$A$97,0))</f>
        <v>14</v>
      </c>
      <c r="G600" s="5" t="n">
        <f aca="false">INDEX('08_PEDIDOS'!$H$2:$H$97,MATCH(A600,'08_PEDIDOS'!$A$2:$A$97,0))</f>
        <v>10</v>
      </c>
      <c r="H600" s="17" t="n">
        <f aca="false">SUMIFS('05_RUTAS'!$F$2:$F$407,'05_RUTAS'!$A$2:$A$407,B600,'05_RUTAS'!$C$2:$C$407,C600)</f>
        <v>8</v>
      </c>
      <c r="I600" s="18" t="n">
        <f aca="false">SUMIFS('05_RUTAS'!$G$2:$G$407,'05_RUTAS'!$A$2:$A$407,B600,'05_RUTAS'!$C$2:$C$407,C600)</f>
        <v>2.69</v>
      </c>
      <c r="J600" s="18" t="n">
        <f aca="false">(ROUNDUP(F600/G600,0)*H600+F600*I600)/60</f>
        <v>0.894333333333333</v>
      </c>
      <c r="K600" s="5" t="n">
        <f aca="false">MONTH(INDEX('08_PEDIDOS'!$F$2:$F$97,MATCH(A600,'08_PEDIDOS'!$A$2:$A$97,0)))</f>
        <v>7</v>
      </c>
      <c r="L600" s="16" t="n">
        <f aca="false">J600*N(INDEX('04_MAQUINAS'!$F$2:$F$18,MATCH(E600,'04_MAQUINAS'!$A$2:$A$18,0)))</f>
        <v>14.3093333333333</v>
      </c>
      <c r="M600" s="17" t="n">
        <f aca="false">J600*INDEX('04_MAQUINAS'!$G$2:$G$18,MATCH(E600,'04_MAQUINAS'!$A$2:$A$18,0))*INDEX('04_MAQUINAS'!$H$2:$H$18,MATCH(E600,'04_MAQUINAS'!$A$2:$A$18,0))</f>
        <v>0.223583333333333</v>
      </c>
      <c r="N600" s="2" t="s">
        <v>629</v>
      </c>
    </row>
    <row r="601" customFormat="false" ht="15" hidden="false" customHeight="false" outlineLevel="0" collapsed="false">
      <c r="A601" s="2" t="s">
        <v>574</v>
      </c>
      <c r="B601" s="2" t="s">
        <v>83</v>
      </c>
      <c r="C601" s="4" t="n">
        <v>11</v>
      </c>
      <c r="D601" s="2" t="s">
        <v>450</v>
      </c>
      <c r="E601" s="2" t="s">
        <v>406</v>
      </c>
      <c r="F601" s="5" t="n">
        <f aca="false">INDEX('08_PEDIDOS'!$D$2:$D$97,MATCH(A601,'08_PEDIDOS'!$A$2:$A$97,0))</f>
        <v>14</v>
      </c>
      <c r="G601" s="5" t="n">
        <f aca="false">INDEX('08_PEDIDOS'!$H$2:$H$97,MATCH(A601,'08_PEDIDOS'!$A$2:$A$97,0))</f>
        <v>10</v>
      </c>
      <c r="H601" s="17" t="n">
        <f aca="false">SUMIFS('05_RUTAS'!$F$2:$F$407,'05_RUTAS'!$A$2:$A$407,B601,'05_RUTAS'!$C$2:$C$407,C601)</f>
        <v>6</v>
      </c>
      <c r="I601" s="18" t="n">
        <f aca="false">SUMIFS('05_RUTAS'!$G$2:$G$407,'05_RUTAS'!$A$2:$A$407,B601,'05_RUTAS'!$C$2:$C$407,C601)</f>
        <v>62.25</v>
      </c>
      <c r="J601" s="18" t="n">
        <f aca="false">(ROUNDUP(F601/G601,0)*H601+F601*I601)/60</f>
        <v>14.725</v>
      </c>
      <c r="K601" s="5" t="n">
        <f aca="false">MONTH(INDEX('08_PEDIDOS'!$F$2:$F$97,MATCH(A601,'08_PEDIDOS'!$A$2:$A$97,0)))</f>
        <v>7</v>
      </c>
      <c r="L601" s="16" t="n">
        <f aca="false">J601*N(INDEX('04_MAQUINAS'!$F$2:$F$18,MATCH(E601,'04_MAQUINAS'!$A$2:$A$18,0)))</f>
        <v>279.775</v>
      </c>
      <c r="M601" s="17" t="n">
        <f aca="false">J601*INDEX('04_MAQUINAS'!$G$2:$G$18,MATCH(E601,'04_MAQUINAS'!$A$2:$A$18,0))*INDEX('04_MAQUINAS'!$H$2:$H$18,MATCH(E601,'04_MAQUINAS'!$A$2:$A$18,0))</f>
        <v>4.4175</v>
      </c>
      <c r="N601" s="2" t="s">
        <v>629</v>
      </c>
    </row>
    <row r="602" customFormat="false" ht="15" hidden="false" customHeight="false" outlineLevel="0" collapsed="false">
      <c r="A602" s="2" t="s">
        <v>574</v>
      </c>
      <c r="B602" s="2" t="s">
        <v>83</v>
      </c>
      <c r="C602" s="4" t="n">
        <v>12</v>
      </c>
      <c r="D602" s="2" t="s">
        <v>451</v>
      </c>
      <c r="E602" s="2" t="s">
        <v>408</v>
      </c>
      <c r="F602" s="5" t="n">
        <f aca="false">INDEX('08_PEDIDOS'!$D$2:$D$97,MATCH(A602,'08_PEDIDOS'!$A$2:$A$97,0))</f>
        <v>14</v>
      </c>
      <c r="G602" s="5" t="n">
        <f aca="false">INDEX('08_PEDIDOS'!$H$2:$H$97,MATCH(A602,'08_PEDIDOS'!$A$2:$A$97,0))</f>
        <v>10</v>
      </c>
      <c r="H602" s="17" t="n">
        <f aca="false">SUMIFS('05_RUTAS'!$F$2:$F$407,'05_RUTAS'!$A$2:$A$407,B602,'05_RUTAS'!$C$2:$C$407,C602)</f>
        <v>2</v>
      </c>
      <c r="I602" s="18" t="n">
        <f aca="false">SUMIFS('05_RUTAS'!$G$2:$G$407,'05_RUTAS'!$A$2:$A$407,B602,'05_RUTAS'!$C$2:$C$407,C602)</f>
        <v>3.86</v>
      </c>
      <c r="J602" s="18" t="n">
        <f aca="false">(ROUNDUP(F602/G602,0)*H602+F602*I602)/60</f>
        <v>0.967333333333333</v>
      </c>
      <c r="K602" s="5" t="n">
        <f aca="false">MONTH(INDEX('08_PEDIDOS'!$F$2:$F$97,MATCH(A602,'08_PEDIDOS'!$A$2:$A$97,0)))</f>
        <v>7</v>
      </c>
      <c r="L602" s="16" t="n">
        <f aca="false">J602*N(INDEX('04_MAQUINAS'!$F$2:$F$18,MATCH(E602,'04_MAQUINAS'!$A$2:$A$18,0)))</f>
        <v>19.3466666666667</v>
      </c>
      <c r="M602" s="17" t="n">
        <f aca="false">J602*INDEX('04_MAQUINAS'!$G$2:$G$18,MATCH(E602,'04_MAQUINAS'!$A$2:$A$18,0))*INDEX('04_MAQUINAS'!$H$2:$H$18,MATCH(E602,'04_MAQUINAS'!$A$2:$A$18,0))</f>
        <v>0.0967333333333333</v>
      </c>
      <c r="N602" s="2" t="s">
        <v>629</v>
      </c>
    </row>
    <row r="603" customFormat="false" ht="15" hidden="false" customHeight="false" outlineLevel="0" collapsed="false">
      <c r="A603" s="2" t="s">
        <v>574</v>
      </c>
      <c r="B603" s="2" t="s">
        <v>83</v>
      </c>
      <c r="C603" s="4" t="n">
        <v>13</v>
      </c>
      <c r="D603" s="2" t="s">
        <v>452</v>
      </c>
      <c r="E603" s="2" t="s">
        <v>411</v>
      </c>
      <c r="F603" s="5" t="n">
        <f aca="false">INDEX('08_PEDIDOS'!$D$2:$D$97,MATCH(A603,'08_PEDIDOS'!$A$2:$A$97,0))</f>
        <v>14</v>
      </c>
      <c r="G603" s="5" t="n">
        <f aca="false">INDEX('08_PEDIDOS'!$H$2:$H$97,MATCH(A603,'08_PEDIDOS'!$A$2:$A$97,0))</f>
        <v>10</v>
      </c>
      <c r="H603" s="17" t="n">
        <f aca="false">SUMIFS('05_RUTAS'!$F$2:$F$407,'05_RUTAS'!$A$2:$A$407,B603,'05_RUTAS'!$C$2:$C$407,C603)</f>
        <v>2</v>
      </c>
      <c r="I603" s="18" t="n">
        <f aca="false">SUMIFS('05_RUTAS'!$G$2:$G$407,'05_RUTAS'!$A$2:$A$407,B603,'05_RUTAS'!$C$2:$C$407,C603)</f>
        <v>5.3</v>
      </c>
      <c r="J603" s="18" t="n">
        <f aca="false">(ROUNDUP(F603/G603,0)*H603+F603*I603)/60</f>
        <v>1.30333333333333</v>
      </c>
      <c r="K603" s="5" t="n">
        <f aca="false">MONTH(INDEX('08_PEDIDOS'!$F$2:$F$97,MATCH(A603,'08_PEDIDOS'!$A$2:$A$97,0)))</f>
        <v>7</v>
      </c>
      <c r="L603" s="16" t="n">
        <f aca="false">J603*N(INDEX('04_MAQUINAS'!$F$2:$F$18,MATCH(E603,'04_MAQUINAS'!$A$2:$A$18,0)))</f>
        <v>23.46</v>
      </c>
      <c r="M603" s="17" t="n">
        <f aca="false">J603*INDEX('04_MAQUINAS'!$G$2:$G$18,MATCH(E603,'04_MAQUINAS'!$A$2:$A$18,0))*INDEX('04_MAQUINAS'!$H$2:$H$18,MATCH(E603,'04_MAQUINAS'!$A$2:$A$18,0))</f>
        <v>0.1173</v>
      </c>
      <c r="N603" s="2" t="s">
        <v>629</v>
      </c>
    </row>
    <row r="604" customFormat="false" ht="15" hidden="false" customHeight="false" outlineLevel="0" collapsed="false">
      <c r="A604" s="2" t="s">
        <v>575</v>
      </c>
      <c r="B604" s="2" t="s">
        <v>94</v>
      </c>
      <c r="C604" s="4" t="n">
        <v>1</v>
      </c>
      <c r="D604" s="2" t="s">
        <v>437</v>
      </c>
      <c r="E604" s="2" t="s">
        <v>375</v>
      </c>
      <c r="F604" s="5" t="n">
        <f aca="false">INDEX('08_PEDIDOS'!$D$2:$D$97,MATCH(A604,'08_PEDIDOS'!$A$2:$A$97,0))</f>
        <v>8</v>
      </c>
      <c r="G604" s="5" t="n">
        <f aca="false">INDEX('08_PEDIDOS'!$H$2:$H$97,MATCH(A604,'08_PEDIDOS'!$A$2:$A$97,0))</f>
        <v>10</v>
      </c>
      <c r="H604" s="17" t="n">
        <f aca="false">SUMIFS('05_RUTAS'!$F$2:$F$407,'05_RUTAS'!$A$2:$A$407,B604,'05_RUTAS'!$C$2:$C$407,C604)</f>
        <v>8</v>
      </c>
      <c r="I604" s="18" t="n">
        <f aca="false">SUMIFS('05_RUTAS'!$G$2:$G$407,'05_RUTAS'!$A$2:$A$407,B604,'05_RUTAS'!$C$2:$C$407,C604)</f>
        <v>90.38</v>
      </c>
      <c r="J604" s="18" t="n">
        <f aca="false">(ROUNDUP(F604/G604,0)*H604+F604*I604)/60</f>
        <v>12.184</v>
      </c>
      <c r="K604" s="5" t="n">
        <f aca="false">MONTH(INDEX('08_PEDIDOS'!$F$2:$F$97,MATCH(A604,'08_PEDIDOS'!$A$2:$A$97,0)))</f>
        <v>7</v>
      </c>
      <c r="L604" s="16" t="n">
        <f aca="false">J604*N(INDEX('04_MAQUINAS'!$F$2:$F$18,MATCH(E604,'04_MAQUINAS'!$A$2:$A$18,0)))</f>
        <v>292.416</v>
      </c>
      <c r="M604" s="17" t="n">
        <f aca="false">J604*INDEX('04_MAQUINAS'!$G$2:$G$18,MATCH(E604,'04_MAQUINAS'!$A$2:$A$18,0))*INDEX('04_MAQUINAS'!$H$2:$H$18,MATCH(E604,'04_MAQUINAS'!$A$2:$A$18,0))</f>
        <v>33.506</v>
      </c>
      <c r="N604" s="2" t="s">
        <v>629</v>
      </c>
    </row>
    <row r="605" customFormat="false" ht="15" hidden="false" customHeight="false" outlineLevel="0" collapsed="false">
      <c r="A605" s="2" t="s">
        <v>575</v>
      </c>
      <c r="B605" s="2" t="s">
        <v>94</v>
      </c>
      <c r="C605" s="4" t="n">
        <v>2</v>
      </c>
      <c r="D605" s="2" t="s">
        <v>441</v>
      </c>
      <c r="E605" s="2" t="s">
        <v>380</v>
      </c>
      <c r="F605" s="5" t="n">
        <f aca="false">INDEX('08_PEDIDOS'!$D$2:$D$97,MATCH(A605,'08_PEDIDOS'!$A$2:$A$97,0))</f>
        <v>8</v>
      </c>
      <c r="G605" s="5" t="n">
        <f aca="false">INDEX('08_PEDIDOS'!$H$2:$H$97,MATCH(A605,'08_PEDIDOS'!$A$2:$A$97,0))</f>
        <v>10</v>
      </c>
      <c r="H605" s="17" t="n">
        <f aca="false">SUMIFS('05_RUTAS'!$F$2:$F$407,'05_RUTAS'!$A$2:$A$407,B605,'05_RUTAS'!$C$2:$C$407,C605)</f>
        <v>8</v>
      </c>
      <c r="I605" s="18" t="n">
        <f aca="false">SUMIFS('05_RUTAS'!$G$2:$G$407,'05_RUTAS'!$A$2:$A$407,B605,'05_RUTAS'!$C$2:$C$407,C605)</f>
        <v>5.98</v>
      </c>
      <c r="J605" s="18" t="n">
        <f aca="false">(ROUNDUP(F605/G605,0)*H605+F605*I605)/60</f>
        <v>0.930666666666667</v>
      </c>
      <c r="K605" s="5" t="n">
        <f aca="false">MONTH(INDEX('08_PEDIDOS'!$F$2:$F$97,MATCH(A605,'08_PEDIDOS'!$A$2:$A$97,0)))</f>
        <v>7</v>
      </c>
      <c r="L605" s="16" t="n">
        <f aca="false">J605*N(INDEX('04_MAQUINAS'!$F$2:$F$18,MATCH(E605,'04_MAQUINAS'!$A$2:$A$18,0)))</f>
        <v>20.4746666666667</v>
      </c>
      <c r="M605" s="17" t="n">
        <f aca="false">J605*INDEX('04_MAQUINAS'!$G$2:$G$18,MATCH(E605,'04_MAQUINAS'!$A$2:$A$18,0))*INDEX('04_MAQUINAS'!$H$2:$H$18,MATCH(E605,'04_MAQUINAS'!$A$2:$A$18,0))</f>
        <v>0.4188</v>
      </c>
      <c r="N605" s="2" t="s">
        <v>629</v>
      </c>
    </row>
    <row r="606" customFormat="false" ht="15" hidden="false" customHeight="false" outlineLevel="0" collapsed="false">
      <c r="A606" s="2" t="s">
        <v>575</v>
      </c>
      <c r="B606" s="2" t="s">
        <v>94</v>
      </c>
      <c r="C606" s="4" t="n">
        <v>3</v>
      </c>
      <c r="D606" s="2" t="s">
        <v>386</v>
      </c>
      <c r="E606" s="2" t="s">
        <v>383</v>
      </c>
      <c r="F606" s="5" t="n">
        <f aca="false">INDEX('08_PEDIDOS'!$D$2:$D$97,MATCH(A606,'08_PEDIDOS'!$A$2:$A$97,0))</f>
        <v>8</v>
      </c>
      <c r="G606" s="5" t="n">
        <f aca="false">INDEX('08_PEDIDOS'!$H$2:$H$97,MATCH(A606,'08_PEDIDOS'!$A$2:$A$97,0))</f>
        <v>10</v>
      </c>
      <c r="H606" s="17" t="n">
        <f aca="false">SUMIFS('05_RUTAS'!$F$2:$F$407,'05_RUTAS'!$A$2:$A$407,B606,'05_RUTAS'!$C$2:$C$407,C606)</f>
        <v>10</v>
      </c>
      <c r="I606" s="18" t="n">
        <f aca="false">SUMIFS('05_RUTAS'!$G$2:$G$407,'05_RUTAS'!$A$2:$A$407,B606,'05_RUTAS'!$C$2:$C$407,C606)</f>
        <v>97</v>
      </c>
      <c r="J606" s="18" t="n">
        <f aca="false">(ROUNDUP(F606/G606,0)*H606+F606*I606)/60</f>
        <v>13.1</v>
      </c>
      <c r="K606" s="5" t="n">
        <f aca="false">MONTH(INDEX('08_PEDIDOS'!$F$2:$F$97,MATCH(A606,'08_PEDIDOS'!$A$2:$A$97,0)))</f>
        <v>7</v>
      </c>
      <c r="L606" s="16" t="n">
        <f aca="false">J606*N(INDEX('04_MAQUINAS'!$F$2:$F$18,MATCH(E606,'04_MAQUINAS'!$A$2:$A$18,0)))</f>
        <v>288.2</v>
      </c>
      <c r="M606" s="17" t="n">
        <f aca="false">J606*INDEX('04_MAQUINAS'!$G$2:$G$18,MATCH(E606,'04_MAQUINAS'!$A$2:$A$18,0))*INDEX('04_MAQUINAS'!$H$2:$H$18,MATCH(E606,'04_MAQUINAS'!$A$2:$A$18,0))</f>
        <v>3.6025</v>
      </c>
      <c r="N606" s="2" t="s">
        <v>629</v>
      </c>
    </row>
    <row r="607" customFormat="false" ht="15" hidden="false" customHeight="false" outlineLevel="0" collapsed="false">
      <c r="A607" s="2" t="s">
        <v>575</v>
      </c>
      <c r="B607" s="2" t="s">
        <v>94</v>
      </c>
      <c r="C607" s="4" t="n">
        <v>4</v>
      </c>
      <c r="D607" s="2" t="s">
        <v>390</v>
      </c>
      <c r="E607" s="2" t="s">
        <v>387</v>
      </c>
      <c r="F607" s="5" t="n">
        <f aca="false">INDEX('08_PEDIDOS'!$D$2:$D$97,MATCH(A607,'08_PEDIDOS'!$A$2:$A$97,0))</f>
        <v>8</v>
      </c>
      <c r="G607" s="5" t="n">
        <f aca="false">INDEX('08_PEDIDOS'!$H$2:$H$97,MATCH(A607,'08_PEDIDOS'!$A$2:$A$97,0))</f>
        <v>10</v>
      </c>
      <c r="H607" s="17" t="n">
        <f aca="false">SUMIFS('05_RUTAS'!$F$2:$F$407,'05_RUTAS'!$A$2:$A$407,B607,'05_RUTAS'!$C$2:$C$407,C607)</f>
        <v>12</v>
      </c>
      <c r="I607" s="18" t="n">
        <f aca="false">SUMIFS('05_RUTAS'!$G$2:$G$407,'05_RUTAS'!$A$2:$A$407,B607,'05_RUTAS'!$C$2:$C$407,C607)</f>
        <v>196</v>
      </c>
      <c r="J607" s="18" t="n">
        <f aca="false">(ROUNDUP(F607/G607,0)*H607+F607*I607)/60</f>
        <v>26.3333333333333</v>
      </c>
      <c r="K607" s="5" t="n">
        <f aca="false">MONTH(INDEX('08_PEDIDOS'!$F$2:$F$97,MATCH(A607,'08_PEDIDOS'!$A$2:$A$97,0)))</f>
        <v>7</v>
      </c>
      <c r="L607" s="16" t="n">
        <f aca="false">J607*N(INDEX('04_MAQUINAS'!$F$2:$F$18,MATCH(E607,'04_MAQUINAS'!$A$2:$A$18,0)))</f>
        <v>737.333333333333</v>
      </c>
      <c r="M607" s="17" t="n">
        <f aca="false">J607*INDEX('04_MAQUINAS'!$G$2:$G$18,MATCH(E607,'04_MAQUINAS'!$A$2:$A$18,0))*INDEX('04_MAQUINAS'!$H$2:$H$18,MATCH(E607,'04_MAQUINAS'!$A$2:$A$18,0))</f>
        <v>65.175</v>
      </c>
      <c r="N607" s="2" t="s">
        <v>629</v>
      </c>
    </row>
    <row r="608" customFormat="false" ht="15" hidden="false" customHeight="false" outlineLevel="0" collapsed="false">
      <c r="A608" s="2" t="s">
        <v>575</v>
      </c>
      <c r="B608" s="2" t="s">
        <v>94</v>
      </c>
      <c r="C608" s="4" t="n">
        <v>5</v>
      </c>
      <c r="D608" s="2" t="s">
        <v>443</v>
      </c>
      <c r="E608" s="2" t="s">
        <v>395</v>
      </c>
      <c r="F608" s="5" t="n">
        <f aca="false">INDEX('08_PEDIDOS'!$D$2:$D$97,MATCH(A608,'08_PEDIDOS'!$A$2:$A$97,0))</f>
        <v>8</v>
      </c>
      <c r="G608" s="5" t="n">
        <f aca="false">INDEX('08_PEDIDOS'!$H$2:$H$97,MATCH(A608,'08_PEDIDOS'!$A$2:$A$97,0))</f>
        <v>10</v>
      </c>
      <c r="H608" s="17" t="n">
        <f aca="false">SUMIFS('05_RUTAS'!$F$2:$F$407,'05_RUTAS'!$A$2:$A$407,B608,'05_RUTAS'!$C$2:$C$407,C608)</f>
        <v>3</v>
      </c>
      <c r="I608" s="18" t="n">
        <f aca="false">SUMIFS('05_RUTAS'!$G$2:$G$407,'05_RUTAS'!$A$2:$A$407,B608,'05_RUTAS'!$C$2:$C$407,C608)</f>
        <v>51</v>
      </c>
      <c r="J608" s="18" t="n">
        <f aca="false">(ROUNDUP(F608/G608,0)*H608+F608*I608)/60</f>
        <v>6.85</v>
      </c>
      <c r="K608" s="5" t="n">
        <f aca="false">MONTH(INDEX('08_PEDIDOS'!$F$2:$F$97,MATCH(A608,'08_PEDIDOS'!$A$2:$A$97,0)))</f>
        <v>7</v>
      </c>
      <c r="L608" s="16" t="n">
        <f aca="false">J608*N(INDEX('04_MAQUINAS'!$F$2:$F$18,MATCH(E608,'04_MAQUINAS'!$A$2:$A$18,0)))</f>
        <v>143.85</v>
      </c>
      <c r="M608" s="17" t="n">
        <f aca="false">J608*INDEX('04_MAQUINAS'!$G$2:$G$18,MATCH(E608,'04_MAQUINAS'!$A$2:$A$18,0))*INDEX('04_MAQUINAS'!$H$2:$H$18,MATCH(E608,'04_MAQUINAS'!$A$2:$A$18,0))</f>
        <v>5.1375</v>
      </c>
      <c r="N608" s="2" t="s">
        <v>629</v>
      </c>
    </row>
    <row r="609" customFormat="false" ht="15" hidden="false" customHeight="false" outlineLevel="0" collapsed="false">
      <c r="A609" s="2" t="s">
        <v>575</v>
      </c>
      <c r="B609" s="2" t="s">
        <v>94</v>
      </c>
      <c r="C609" s="4" t="n">
        <v>6</v>
      </c>
      <c r="D609" s="2" t="s">
        <v>444</v>
      </c>
      <c r="E609" s="2" t="s">
        <v>399</v>
      </c>
      <c r="F609" s="5" t="n">
        <f aca="false">INDEX('08_PEDIDOS'!$D$2:$D$97,MATCH(A609,'08_PEDIDOS'!$A$2:$A$97,0))</f>
        <v>8</v>
      </c>
      <c r="G609" s="5" t="n">
        <f aca="false">INDEX('08_PEDIDOS'!$H$2:$H$97,MATCH(A609,'08_PEDIDOS'!$A$2:$A$97,0))</f>
        <v>10</v>
      </c>
      <c r="H609" s="17" t="n">
        <f aca="false">SUMIFS('05_RUTAS'!$F$2:$F$407,'05_RUTAS'!$A$2:$A$407,B609,'05_RUTAS'!$C$2:$C$407,C609)</f>
        <v>6</v>
      </c>
      <c r="I609" s="18" t="n">
        <f aca="false">SUMIFS('05_RUTAS'!$G$2:$G$407,'05_RUTAS'!$A$2:$A$407,B609,'05_RUTAS'!$C$2:$C$407,C609)</f>
        <v>40.5152</v>
      </c>
      <c r="J609" s="18" t="n">
        <f aca="false">(ROUNDUP(F609/G609,0)*H609+F609*I609)/60</f>
        <v>5.50202666666667</v>
      </c>
      <c r="K609" s="5" t="n">
        <f aca="false">MONTH(INDEX('08_PEDIDOS'!$F$2:$F$97,MATCH(A609,'08_PEDIDOS'!$A$2:$A$97,0)))</f>
        <v>7</v>
      </c>
      <c r="L609" s="16" t="n">
        <f aca="false">J609*N(INDEX('04_MAQUINAS'!$F$2:$F$18,MATCH(E609,'04_MAQUINAS'!$A$2:$A$18,0)))</f>
        <v>104.538506666667</v>
      </c>
      <c r="M609" s="17" t="n">
        <f aca="false">J609*INDEX('04_MAQUINAS'!$G$2:$G$18,MATCH(E609,'04_MAQUINAS'!$A$2:$A$18,0))*INDEX('04_MAQUINAS'!$H$2:$H$18,MATCH(E609,'04_MAQUINAS'!$A$2:$A$18,0))</f>
        <v>4.84178346666667</v>
      </c>
      <c r="N609" s="2" t="s">
        <v>629</v>
      </c>
    </row>
    <row r="610" customFormat="false" ht="15" hidden="false" customHeight="false" outlineLevel="0" collapsed="false">
      <c r="A610" s="2" t="s">
        <v>575</v>
      </c>
      <c r="B610" s="2" t="s">
        <v>94</v>
      </c>
      <c r="C610" s="4" t="n">
        <v>7</v>
      </c>
      <c r="D610" s="2" t="s">
        <v>445</v>
      </c>
      <c r="E610" s="2" t="s">
        <v>402</v>
      </c>
      <c r="F610" s="5" t="n">
        <f aca="false">INDEX('08_PEDIDOS'!$D$2:$D$97,MATCH(A610,'08_PEDIDOS'!$A$2:$A$97,0))</f>
        <v>8</v>
      </c>
      <c r="G610" s="5" t="n">
        <f aca="false">INDEX('08_PEDIDOS'!$H$2:$H$97,MATCH(A610,'08_PEDIDOS'!$A$2:$A$97,0))</f>
        <v>10</v>
      </c>
      <c r="H610" s="17" t="n">
        <f aca="false">SUMIFS('05_RUTAS'!$F$2:$F$407,'05_RUTAS'!$A$2:$A$407,B610,'05_RUTAS'!$C$2:$C$407,C610)</f>
        <v>12</v>
      </c>
      <c r="I610" s="18" t="n">
        <f aca="false">SUMIFS('05_RUTAS'!$G$2:$G$407,'05_RUTAS'!$A$2:$A$407,B610,'05_RUTAS'!$C$2:$C$407,C610)</f>
        <v>7.76</v>
      </c>
      <c r="J610" s="18" t="n">
        <f aca="false">(ROUNDUP(F610/G610,0)*H610+F610*I610)/60</f>
        <v>1.23466666666667</v>
      </c>
      <c r="K610" s="5" t="n">
        <f aca="false">MONTH(INDEX('08_PEDIDOS'!$F$2:$F$97,MATCH(A610,'08_PEDIDOS'!$A$2:$A$97,0)))</f>
        <v>7</v>
      </c>
      <c r="L610" s="16" t="n">
        <f aca="false">J610*N(INDEX('04_MAQUINAS'!$F$2:$F$18,MATCH(E610,'04_MAQUINAS'!$A$2:$A$18,0)))</f>
        <v>39.5093333333333</v>
      </c>
      <c r="M610" s="17" t="n">
        <f aca="false">J610*INDEX('04_MAQUINAS'!$G$2:$G$18,MATCH(E610,'04_MAQUINAS'!$A$2:$A$18,0))*INDEX('04_MAQUINAS'!$H$2:$H$18,MATCH(E610,'04_MAQUINAS'!$A$2:$A$18,0))</f>
        <v>1.2964</v>
      </c>
      <c r="N610" s="2" t="s">
        <v>629</v>
      </c>
    </row>
    <row r="611" customFormat="false" ht="15" hidden="false" customHeight="false" outlineLevel="0" collapsed="false">
      <c r="A611" s="2" t="s">
        <v>575</v>
      </c>
      <c r="B611" s="2" t="s">
        <v>94</v>
      </c>
      <c r="C611" s="4" t="n">
        <v>8</v>
      </c>
      <c r="D611" s="2" t="s">
        <v>447</v>
      </c>
      <c r="E611" s="2" t="s">
        <v>421</v>
      </c>
      <c r="F611" s="5" t="n">
        <f aca="false">INDEX('08_PEDIDOS'!$D$2:$D$97,MATCH(A611,'08_PEDIDOS'!$A$2:$A$97,0))</f>
        <v>8</v>
      </c>
      <c r="G611" s="5" t="n">
        <f aca="false">INDEX('08_PEDIDOS'!$H$2:$H$97,MATCH(A611,'08_PEDIDOS'!$A$2:$A$97,0))</f>
        <v>10</v>
      </c>
      <c r="H611" s="17" t="n">
        <f aca="false">SUMIFS('05_RUTAS'!$F$2:$F$407,'05_RUTAS'!$A$2:$A$407,B611,'05_RUTAS'!$C$2:$C$407,C611)</f>
        <v>45</v>
      </c>
      <c r="I611" s="18" t="n">
        <f aca="false">SUMIFS('05_RUTAS'!$G$2:$G$407,'05_RUTAS'!$A$2:$A$407,B611,'05_RUTAS'!$C$2:$C$407,C611)</f>
        <v>0</v>
      </c>
      <c r="J611" s="18" t="n">
        <f aca="false">(ROUNDUP(F611/G611,0)*H611+F611*I611)/60</f>
        <v>0.75</v>
      </c>
      <c r="K611" s="5" t="n">
        <f aca="false">MONTH(INDEX('08_PEDIDOS'!$F$2:$F$97,MATCH(A611,'08_PEDIDOS'!$A$2:$A$97,0)))</f>
        <v>7</v>
      </c>
      <c r="L611" s="16" t="n">
        <f aca="false">J611*N(INDEX('04_MAQUINAS'!$F$2:$F$18,MATCH(E611,'04_MAQUINAS'!$A$2:$A$18,0)))</f>
        <v>19.5</v>
      </c>
      <c r="M611" s="17" t="n">
        <f aca="false">J611*INDEX('04_MAQUINAS'!$G$2:$G$18,MATCH(E611,'04_MAQUINAS'!$A$2:$A$18,0))*INDEX('04_MAQUINAS'!$H$2:$H$18,MATCH(E611,'04_MAQUINAS'!$A$2:$A$18,0))</f>
        <v>10.8</v>
      </c>
      <c r="N611" s="2" t="s">
        <v>629</v>
      </c>
    </row>
    <row r="612" customFormat="false" ht="15" hidden="false" customHeight="false" outlineLevel="0" collapsed="false">
      <c r="A612" s="2" t="s">
        <v>575</v>
      </c>
      <c r="B612" s="2" t="s">
        <v>94</v>
      </c>
      <c r="C612" s="4" t="n">
        <v>9</v>
      </c>
      <c r="D612" s="2" t="s">
        <v>449</v>
      </c>
      <c r="E612" s="2" t="s">
        <v>423</v>
      </c>
      <c r="F612" s="5" t="n">
        <f aca="false">INDEX('08_PEDIDOS'!$D$2:$D$97,MATCH(A612,'08_PEDIDOS'!$A$2:$A$97,0))</f>
        <v>8</v>
      </c>
      <c r="G612" s="5" t="n">
        <f aca="false">INDEX('08_PEDIDOS'!$H$2:$H$97,MATCH(A612,'08_PEDIDOS'!$A$2:$A$97,0))</f>
        <v>10</v>
      </c>
      <c r="H612" s="17" t="n">
        <f aca="false">SUMIFS('05_RUTAS'!$F$2:$F$407,'05_RUTAS'!$A$2:$A$407,B612,'05_RUTAS'!$C$2:$C$407,C612)</f>
        <v>8</v>
      </c>
      <c r="I612" s="18" t="n">
        <f aca="false">SUMIFS('05_RUTAS'!$G$2:$G$407,'05_RUTAS'!$A$2:$A$407,B612,'05_RUTAS'!$C$2:$C$407,C612)</f>
        <v>2.63</v>
      </c>
      <c r="J612" s="18" t="n">
        <f aca="false">(ROUNDUP(F612/G612,0)*H612+F612*I612)/60</f>
        <v>0.484</v>
      </c>
      <c r="K612" s="5" t="n">
        <f aca="false">MONTH(INDEX('08_PEDIDOS'!$F$2:$F$97,MATCH(A612,'08_PEDIDOS'!$A$2:$A$97,0)))</f>
        <v>7</v>
      </c>
      <c r="L612" s="16" t="n">
        <f aca="false">J612*N(INDEX('04_MAQUINAS'!$F$2:$F$18,MATCH(E612,'04_MAQUINAS'!$A$2:$A$18,0)))</f>
        <v>7.744</v>
      </c>
      <c r="M612" s="17" t="n">
        <f aca="false">J612*INDEX('04_MAQUINAS'!$G$2:$G$18,MATCH(E612,'04_MAQUINAS'!$A$2:$A$18,0))*INDEX('04_MAQUINAS'!$H$2:$H$18,MATCH(E612,'04_MAQUINAS'!$A$2:$A$18,0))</f>
        <v>0.121</v>
      </c>
      <c r="N612" s="2" t="s">
        <v>629</v>
      </c>
    </row>
    <row r="613" customFormat="false" ht="15" hidden="false" customHeight="false" outlineLevel="0" collapsed="false">
      <c r="A613" s="2" t="s">
        <v>575</v>
      </c>
      <c r="B613" s="2" t="s">
        <v>94</v>
      </c>
      <c r="C613" s="4" t="n">
        <v>10</v>
      </c>
      <c r="D613" s="2" t="s">
        <v>450</v>
      </c>
      <c r="E613" s="2" t="s">
        <v>406</v>
      </c>
      <c r="F613" s="5" t="n">
        <f aca="false">INDEX('08_PEDIDOS'!$D$2:$D$97,MATCH(A613,'08_PEDIDOS'!$A$2:$A$97,0))</f>
        <v>8</v>
      </c>
      <c r="G613" s="5" t="n">
        <f aca="false">INDEX('08_PEDIDOS'!$H$2:$H$97,MATCH(A613,'08_PEDIDOS'!$A$2:$A$97,0))</f>
        <v>10</v>
      </c>
      <c r="H613" s="17" t="n">
        <f aca="false">SUMIFS('05_RUTAS'!$F$2:$F$407,'05_RUTAS'!$A$2:$A$407,B613,'05_RUTAS'!$C$2:$C$407,C613)</f>
        <v>6</v>
      </c>
      <c r="I613" s="18" t="n">
        <f aca="false">SUMIFS('05_RUTAS'!$G$2:$G$407,'05_RUTAS'!$A$2:$A$407,B613,'05_RUTAS'!$C$2:$C$407,C613)</f>
        <v>69</v>
      </c>
      <c r="J613" s="18" t="n">
        <f aca="false">(ROUNDUP(F613/G613,0)*H613+F613*I613)/60</f>
        <v>9.3</v>
      </c>
      <c r="K613" s="5" t="n">
        <f aca="false">MONTH(INDEX('08_PEDIDOS'!$F$2:$F$97,MATCH(A613,'08_PEDIDOS'!$A$2:$A$97,0)))</f>
        <v>7</v>
      </c>
      <c r="L613" s="16" t="n">
        <f aca="false">J613*N(INDEX('04_MAQUINAS'!$F$2:$F$18,MATCH(E613,'04_MAQUINAS'!$A$2:$A$18,0)))</f>
        <v>176.7</v>
      </c>
      <c r="M613" s="17" t="n">
        <f aca="false">J613*INDEX('04_MAQUINAS'!$G$2:$G$18,MATCH(E613,'04_MAQUINAS'!$A$2:$A$18,0))*INDEX('04_MAQUINAS'!$H$2:$H$18,MATCH(E613,'04_MAQUINAS'!$A$2:$A$18,0))</f>
        <v>2.79</v>
      </c>
      <c r="N613" s="2" t="s">
        <v>629</v>
      </c>
    </row>
    <row r="614" customFormat="false" ht="15" hidden="false" customHeight="false" outlineLevel="0" collapsed="false">
      <c r="A614" s="2" t="s">
        <v>575</v>
      </c>
      <c r="B614" s="2" t="s">
        <v>94</v>
      </c>
      <c r="C614" s="4" t="n">
        <v>11</v>
      </c>
      <c r="D614" s="2" t="s">
        <v>451</v>
      </c>
      <c r="E614" s="2" t="s">
        <v>408</v>
      </c>
      <c r="F614" s="5" t="n">
        <f aca="false">INDEX('08_PEDIDOS'!$D$2:$D$97,MATCH(A614,'08_PEDIDOS'!$A$2:$A$97,0))</f>
        <v>8</v>
      </c>
      <c r="G614" s="5" t="n">
        <f aca="false">INDEX('08_PEDIDOS'!$H$2:$H$97,MATCH(A614,'08_PEDIDOS'!$A$2:$A$97,0))</f>
        <v>10</v>
      </c>
      <c r="H614" s="17" t="n">
        <f aca="false">SUMIFS('05_RUTAS'!$F$2:$F$407,'05_RUTAS'!$A$2:$A$407,B614,'05_RUTAS'!$C$2:$C$407,C614)</f>
        <v>2</v>
      </c>
      <c r="I614" s="18" t="n">
        <f aca="false">SUMIFS('05_RUTAS'!$G$2:$G$407,'05_RUTAS'!$A$2:$A$407,B614,'05_RUTAS'!$C$2:$C$407,C614)</f>
        <v>3.79</v>
      </c>
      <c r="J614" s="18" t="n">
        <f aca="false">(ROUNDUP(F614/G614,0)*H614+F614*I614)/60</f>
        <v>0.538666666666667</v>
      </c>
      <c r="K614" s="5" t="n">
        <f aca="false">MONTH(INDEX('08_PEDIDOS'!$F$2:$F$97,MATCH(A614,'08_PEDIDOS'!$A$2:$A$97,0)))</f>
        <v>7</v>
      </c>
      <c r="L614" s="16" t="n">
        <f aca="false">J614*N(INDEX('04_MAQUINAS'!$F$2:$F$18,MATCH(E614,'04_MAQUINAS'!$A$2:$A$18,0)))</f>
        <v>10.7733333333333</v>
      </c>
      <c r="M614" s="17" t="n">
        <f aca="false">J614*INDEX('04_MAQUINAS'!$G$2:$G$18,MATCH(E614,'04_MAQUINAS'!$A$2:$A$18,0))*INDEX('04_MAQUINAS'!$H$2:$H$18,MATCH(E614,'04_MAQUINAS'!$A$2:$A$18,0))</f>
        <v>0.0538666666666667</v>
      </c>
      <c r="N614" s="2" t="s">
        <v>629</v>
      </c>
    </row>
    <row r="615" customFormat="false" ht="15" hidden="false" customHeight="false" outlineLevel="0" collapsed="false">
      <c r="A615" s="2" t="s">
        <v>575</v>
      </c>
      <c r="B615" s="2" t="s">
        <v>94</v>
      </c>
      <c r="C615" s="4" t="n">
        <v>12</v>
      </c>
      <c r="D615" s="2" t="s">
        <v>452</v>
      </c>
      <c r="E615" s="2" t="s">
        <v>411</v>
      </c>
      <c r="F615" s="5" t="n">
        <f aca="false">INDEX('08_PEDIDOS'!$D$2:$D$97,MATCH(A615,'08_PEDIDOS'!$A$2:$A$97,0))</f>
        <v>8</v>
      </c>
      <c r="G615" s="5" t="n">
        <f aca="false">INDEX('08_PEDIDOS'!$H$2:$H$97,MATCH(A615,'08_PEDIDOS'!$A$2:$A$97,0))</f>
        <v>10</v>
      </c>
      <c r="H615" s="17" t="n">
        <f aca="false">SUMIFS('05_RUTAS'!$F$2:$F$407,'05_RUTAS'!$A$2:$A$407,B615,'05_RUTAS'!$C$2:$C$407,C615)</f>
        <v>2</v>
      </c>
      <c r="I615" s="18" t="n">
        <f aca="false">SUMIFS('05_RUTAS'!$G$2:$G$407,'05_RUTAS'!$A$2:$A$407,B615,'05_RUTAS'!$C$2:$C$407,C615)</f>
        <v>5.18</v>
      </c>
      <c r="J615" s="18" t="n">
        <f aca="false">(ROUNDUP(F615/G615,0)*H615+F615*I615)/60</f>
        <v>0.724</v>
      </c>
      <c r="K615" s="5" t="n">
        <f aca="false">MONTH(INDEX('08_PEDIDOS'!$F$2:$F$97,MATCH(A615,'08_PEDIDOS'!$A$2:$A$97,0)))</f>
        <v>7</v>
      </c>
      <c r="L615" s="16" t="n">
        <f aca="false">J615*N(INDEX('04_MAQUINAS'!$F$2:$F$18,MATCH(E615,'04_MAQUINAS'!$A$2:$A$18,0)))</f>
        <v>13.032</v>
      </c>
      <c r="M615" s="17" t="n">
        <f aca="false">J615*INDEX('04_MAQUINAS'!$G$2:$G$18,MATCH(E615,'04_MAQUINAS'!$A$2:$A$18,0))*INDEX('04_MAQUINAS'!$H$2:$H$18,MATCH(E615,'04_MAQUINAS'!$A$2:$A$18,0))</f>
        <v>0.06516</v>
      </c>
      <c r="N615" s="2" t="s">
        <v>629</v>
      </c>
    </row>
    <row r="616" customFormat="false" ht="15" hidden="false" customHeight="false" outlineLevel="0" collapsed="false">
      <c r="A616" s="2" t="s">
        <v>576</v>
      </c>
      <c r="B616" s="2" t="s">
        <v>96</v>
      </c>
      <c r="C616" s="4" t="n">
        <v>1</v>
      </c>
      <c r="D616" s="2" t="s">
        <v>437</v>
      </c>
      <c r="E616" s="2" t="s">
        <v>375</v>
      </c>
      <c r="F616" s="5" t="n">
        <f aca="false">INDEX('08_PEDIDOS'!$D$2:$D$97,MATCH(A616,'08_PEDIDOS'!$A$2:$A$97,0))</f>
        <v>8</v>
      </c>
      <c r="G616" s="5" t="n">
        <f aca="false">INDEX('08_PEDIDOS'!$H$2:$H$97,MATCH(A616,'08_PEDIDOS'!$A$2:$A$97,0))</f>
        <v>10</v>
      </c>
      <c r="H616" s="17" t="n">
        <f aca="false">SUMIFS('05_RUTAS'!$F$2:$F$407,'05_RUTAS'!$A$2:$A$407,B616,'05_RUTAS'!$C$2:$C$407,C616)</f>
        <v>8</v>
      </c>
      <c r="I616" s="18" t="n">
        <f aca="false">SUMIFS('05_RUTAS'!$G$2:$G$407,'05_RUTAS'!$A$2:$A$407,B616,'05_RUTAS'!$C$2:$C$407,C616)</f>
        <v>56.975</v>
      </c>
      <c r="J616" s="18" t="n">
        <f aca="false">(ROUNDUP(F616/G616,0)*H616+F616*I616)/60</f>
        <v>7.73</v>
      </c>
      <c r="K616" s="5" t="n">
        <f aca="false">MONTH(INDEX('08_PEDIDOS'!$F$2:$F$97,MATCH(A616,'08_PEDIDOS'!$A$2:$A$97,0)))</f>
        <v>7</v>
      </c>
      <c r="L616" s="16" t="n">
        <f aca="false">J616*N(INDEX('04_MAQUINAS'!$F$2:$F$18,MATCH(E616,'04_MAQUINAS'!$A$2:$A$18,0)))</f>
        <v>185.52</v>
      </c>
      <c r="M616" s="17" t="n">
        <f aca="false">J616*INDEX('04_MAQUINAS'!$G$2:$G$18,MATCH(E616,'04_MAQUINAS'!$A$2:$A$18,0))*INDEX('04_MAQUINAS'!$H$2:$H$18,MATCH(E616,'04_MAQUINAS'!$A$2:$A$18,0))</f>
        <v>21.2575</v>
      </c>
      <c r="N616" s="2" t="s">
        <v>629</v>
      </c>
    </row>
    <row r="617" customFormat="false" ht="15" hidden="false" customHeight="false" outlineLevel="0" collapsed="false">
      <c r="A617" s="2" t="s">
        <v>576</v>
      </c>
      <c r="B617" s="2" t="s">
        <v>96</v>
      </c>
      <c r="C617" s="4" t="n">
        <v>2</v>
      </c>
      <c r="D617" s="2" t="s">
        <v>441</v>
      </c>
      <c r="E617" s="2" t="s">
        <v>380</v>
      </c>
      <c r="F617" s="5" t="n">
        <f aca="false">INDEX('08_PEDIDOS'!$D$2:$D$97,MATCH(A617,'08_PEDIDOS'!$A$2:$A$97,0))</f>
        <v>8</v>
      </c>
      <c r="G617" s="5" t="n">
        <f aca="false">INDEX('08_PEDIDOS'!$H$2:$H$97,MATCH(A617,'08_PEDIDOS'!$A$2:$A$97,0))</f>
        <v>10</v>
      </c>
      <c r="H617" s="17" t="n">
        <f aca="false">SUMIFS('05_RUTAS'!$F$2:$F$407,'05_RUTAS'!$A$2:$A$407,B617,'05_RUTAS'!$C$2:$C$407,C617)</f>
        <v>8</v>
      </c>
      <c r="I617" s="18" t="n">
        <f aca="false">SUMIFS('05_RUTAS'!$G$2:$G$407,'05_RUTAS'!$A$2:$A$407,B617,'05_RUTAS'!$C$2:$C$407,C617)</f>
        <v>6.28</v>
      </c>
      <c r="J617" s="18" t="n">
        <f aca="false">(ROUNDUP(F617/G617,0)*H617+F617*I617)/60</f>
        <v>0.970666666666667</v>
      </c>
      <c r="K617" s="5" t="n">
        <f aca="false">MONTH(INDEX('08_PEDIDOS'!$F$2:$F$97,MATCH(A617,'08_PEDIDOS'!$A$2:$A$97,0)))</f>
        <v>7</v>
      </c>
      <c r="L617" s="16" t="n">
        <f aca="false">J617*N(INDEX('04_MAQUINAS'!$F$2:$F$18,MATCH(E617,'04_MAQUINAS'!$A$2:$A$18,0)))</f>
        <v>21.3546666666667</v>
      </c>
      <c r="M617" s="17" t="n">
        <f aca="false">J617*INDEX('04_MAQUINAS'!$G$2:$G$18,MATCH(E617,'04_MAQUINAS'!$A$2:$A$18,0))*INDEX('04_MAQUINAS'!$H$2:$H$18,MATCH(E617,'04_MAQUINAS'!$A$2:$A$18,0))</f>
        <v>0.4368</v>
      </c>
      <c r="N617" s="2" t="s">
        <v>629</v>
      </c>
    </row>
    <row r="618" customFormat="false" ht="15" hidden="false" customHeight="false" outlineLevel="0" collapsed="false">
      <c r="A618" s="2" t="s">
        <v>576</v>
      </c>
      <c r="B618" s="2" t="s">
        <v>96</v>
      </c>
      <c r="C618" s="4" t="n">
        <v>3</v>
      </c>
      <c r="D618" s="2" t="s">
        <v>386</v>
      </c>
      <c r="E618" s="2" t="s">
        <v>383</v>
      </c>
      <c r="F618" s="5" t="n">
        <f aca="false">INDEX('08_PEDIDOS'!$D$2:$D$97,MATCH(A618,'08_PEDIDOS'!$A$2:$A$97,0))</f>
        <v>8</v>
      </c>
      <c r="G618" s="5" t="n">
        <f aca="false">INDEX('08_PEDIDOS'!$H$2:$H$97,MATCH(A618,'08_PEDIDOS'!$A$2:$A$97,0))</f>
        <v>10</v>
      </c>
      <c r="H618" s="17" t="n">
        <f aca="false">SUMIFS('05_RUTAS'!$F$2:$F$407,'05_RUTAS'!$A$2:$A$407,B618,'05_RUTAS'!$C$2:$C$407,C618)</f>
        <v>10</v>
      </c>
      <c r="I618" s="18" t="n">
        <f aca="false">SUMIFS('05_RUTAS'!$G$2:$G$407,'05_RUTAS'!$A$2:$A$407,B618,'05_RUTAS'!$C$2:$C$407,C618)</f>
        <v>67</v>
      </c>
      <c r="J618" s="18" t="n">
        <f aca="false">(ROUNDUP(F618/G618,0)*H618+F618*I618)/60</f>
        <v>9.1</v>
      </c>
      <c r="K618" s="5" t="n">
        <f aca="false">MONTH(INDEX('08_PEDIDOS'!$F$2:$F$97,MATCH(A618,'08_PEDIDOS'!$A$2:$A$97,0)))</f>
        <v>7</v>
      </c>
      <c r="L618" s="16" t="n">
        <f aca="false">J618*N(INDEX('04_MAQUINAS'!$F$2:$F$18,MATCH(E618,'04_MAQUINAS'!$A$2:$A$18,0)))</f>
        <v>200.2</v>
      </c>
      <c r="M618" s="17" t="n">
        <f aca="false">J618*INDEX('04_MAQUINAS'!$G$2:$G$18,MATCH(E618,'04_MAQUINAS'!$A$2:$A$18,0))*INDEX('04_MAQUINAS'!$H$2:$H$18,MATCH(E618,'04_MAQUINAS'!$A$2:$A$18,0))</f>
        <v>2.5025</v>
      </c>
      <c r="N618" s="2" t="s">
        <v>629</v>
      </c>
    </row>
    <row r="619" customFormat="false" ht="15" hidden="false" customHeight="false" outlineLevel="0" collapsed="false">
      <c r="A619" s="2" t="s">
        <v>576</v>
      </c>
      <c r="B619" s="2" t="s">
        <v>96</v>
      </c>
      <c r="C619" s="4" t="n">
        <v>4</v>
      </c>
      <c r="D619" s="2" t="s">
        <v>390</v>
      </c>
      <c r="E619" s="2" t="s">
        <v>387</v>
      </c>
      <c r="F619" s="5" t="n">
        <f aca="false">INDEX('08_PEDIDOS'!$D$2:$D$97,MATCH(A619,'08_PEDIDOS'!$A$2:$A$97,0))</f>
        <v>8</v>
      </c>
      <c r="G619" s="5" t="n">
        <f aca="false">INDEX('08_PEDIDOS'!$H$2:$H$97,MATCH(A619,'08_PEDIDOS'!$A$2:$A$97,0))</f>
        <v>10</v>
      </c>
      <c r="H619" s="17" t="n">
        <f aca="false">SUMIFS('05_RUTAS'!$F$2:$F$407,'05_RUTAS'!$A$2:$A$407,B619,'05_RUTAS'!$C$2:$C$407,C619)</f>
        <v>12</v>
      </c>
      <c r="I619" s="18" t="n">
        <f aca="false">SUMIFS('05_RUTAS'!$G$2:$G$407,'05_RUTAS'!$A$2:$A$407,B619,'05_RUTAS'!$C$2:$C$407,C619)</f>
        <v>124</v>
      </c>
      <c r="J619" s="18" t="n">
        <f aca="false">(ROUNDUP(F619/G619,0)*H619+F619*I619)/60</f>
        <v>16.7333333333333</v>
      </c>
      <c r="K619" s="5" t="n">
        <f aca="false">MONTH(INDEX('08_PEDIDOS'!$F$2:$F$97,MATCH(A619,'08_PEDIDOS'!$A$2:$A$97,0)))</f>
        <v>7</v>
      </c>
      <c r="L619" s="16" t="n">
        <f aca="false">J619*N(INDEX('04_MAQUINAS'!$F$2:$F$18,MATCH(E619,'04_MAQUINAS'!$A$2:$A$18,0)))</f>
        <v>468.533333333333</v>
      </c>
      <c r="M619" s="17" t="n">
        <f aca="false">J619*INDEX('04_MAQUINAS'!$G$2:$G$18,MATCH(E619,'04_MAQUINAS'!$A$2:$A$18,0))*INDEX('04_MAQUINAS'!$H$2:$H$18,MATCH(E619,'04_MAQUINAS'!$A$2:$A$18,0))</f>
        <v>41.415</v>
      </c>
      <c r="N619" s="2" t="s">
        <v>629</v>
      </c>
    </row>
    <row r="620" customFormat="false" ht="15" hidden="false" customHeight="false" outlineLevel="0" collapsed="false">
      <c r="A620" s="2" t="s">
        <v>576</v>
      </c>
      <c r="B620" s="2" t="s">
        <v>96</v>
      </c>
      <c r="C620" s="4" t="n">
        <v>5</v>
      </c>
      <c r="D620" s="2" t="s">
        <v>442</v>
      </c>
      <c r="E620" s="2" t="s">
        <v>391</v>
      </c>
      <c r="F620" s="5" t="n">
        <f aca="false">INDEX('08_PEDIDOS'!$D$2:$D$97,MATCH(A620,'08_PEDIDOS'!$A$2:$A$97,0))</f>
        <v>8</v>
      </c>
      <c r="G620" s="5" t="n">
        <f aca="false">INDEX('08_PEDIDOS'!$H$2:$H$97,MATCH(A620,'08_PEDIDOS'!$A$2:$A$97,0))</f>
        <v>10</v>
      </c>
      <c r="H620" s="17" t="n">
        <f aca="false">SUMIFS('05_RUTAS'!$F$2:$F$407,'05_RUTAS'!$A$2:$A$407,B620,'05_RUTAS'!$C$2:$C$407,C620)</f>
        <v>10</v>
      </c>
      <c r="I620" s="18" t="n">
        <f aca="false">SUMIFS('05_RUTAS'!$G$2:$G$407,'05_RUTAS'!$A$2:$A$407,B620,'05_RUTAS'!$C$2:$C$407,C620)</f>
        <v>5.6</v>
      </c>
      <c r="J620" s="18" t="n">
        <f aca="false">(ROUNDUP(F620/G620,0)*H620+F620*I620)/60</f>
        <v>0.913333333333333</v>
      </c>
      <c r="K620" s="5" t="n">
        <f aca="false">MONTH(INDEX('08_PEDIDOS'!$F$2:$F$97,MATCH(A620,'08_PEDIDOS'!$A$2:$A$97,0)))</f>
        <v>7</v>
      </c>
      <c r="L620" s="16" t="n">
        <f aca="false">J620*N(INDEX('04_MAQUINAS'!$F$2:$F$18,MATCH(E620,'04_MAQUINAS'!$A$2:$A$18,0)))</f>
        <v>29.2266666666667</v>
      </c>
      <c r="M620" s="17" t="n">
        <f aca="false">J620*INDEX('04_MAQUINAS'!$G$2:$G$18,MATCH(E620,'04_MAQUINAS'!$A$2:$A$18,0))*INDEX('04_MAQUINAS'!$H$2:$H$18,MATCH(E620,'04_MAQUINAS'!$A$2:$A$18,0))</f>
        <v>1.59833333333333</v>
      </c>
      <c r="N620" s="2" t="s">
        <v>629</v>
      </c>
    </row>
    <row r="621" customFormat="false" ht="15" hidden="false" customHeight="false" outlineLevel="0" collapsed="false">
      <c r="A621" s="2" t="s">
        <v>576</v>
      </c>
      <c r="B621" s="2" t="s">
        <v>96</v>
      </c>
      <c r="C621" s="4" t="n">
        <v>6</v>
      </c>
      <c r="D621" s="2" t="s">
        <v>443</v>
      </c>
      <c r="E621" s="2" t="s">
        <v>395</v>
      </c>
      <c r="F621" s="5" t="n">
        <f aca="false">INDEX('08_PEDIDOS'!$D$2:$D$97,MATCH(A621,'08_PEDIDOS'!$A$2:$A$97,0))</f>
        <v>8</v>
      </c>
      <c r="G621" s="5" t="n">
        <f aca="false">INDEX('08_PEDIDOS'!$H$2:$H$97,MATCH(A621,'08_PEDIDOS'!$A$2:$A$97,0))</f>
        <v>10</v>
      </c>
      <c r="H621" s="17" t="n">
        <f aca="false">SUMIFS('05_RUTAS'!$F$2:$F$407,'05_RUTAS'!$A$2:$A$407,B621,'05_RUTAS'!$C$2:$C$407,C621)</f>
        <v>3</v>
      </c>
      <c r="I621" s="18" t="n">
        <f aca="false">SUMIFS('05_RUTAS'!$G$2:$G$407,'05_RUTAS'!$A$2:$A$407,B621,'05_RUTAS'!$C$2:$C$407,C621)</f>
        <v>33</v>
      </c>
      <c r="J621" s="18" t="n">
        <f aca="false">(ROUNDUP(F621/G621,0)*H621+F621*I621)/60</f>
        <v>4.45</v>
      </c>
      <c r="K621" s="5" t="n">
        <f aca="false">MONTH(INDEX('08_PEDIDOS'!$F$2:$F$97,MATCH(A621,'08_PEDIDOS'!$A$2:$A$97,0)))</f>
        <v>7</v>
      </c>
      <c r="L621" s="16" t="n">
        <f aca="false">J621*N(INDEX('04_MAQUINAS'!$F$2:$F$18,MATCH(E621,'04_MAQUINAS'!$A$2:$A$18,0)))</f>
        <v>93.45</v>
      </c>
      <c r="M621" s="17" t="n">
        <f aca="false">J621*INDEX('04_MAQUINAS'!$G$2:$G$18,MATCH(E621,'04_MAQUINAS'!$A$2:$A$18,0))*INDEX('04_MAQUINAS'!$H$2:$H$18,MATCH(E621,'04_MAQUINAS'!$A$2:$A$18,0))</f>
        <v>3.3375</v>
      </c>
      <c r="N621" s="2" t="s">
        <v>629</v>
      </c>
    </row>
    <row r="622" customFormat="false" ht="15" hidden="false" customHeight="false" outlineLevel="0" collapsed="false">
      <c r="A622" s="2" t="s">
        <v>576</v>
      </c>
      <c r="B622" s="2" t="s">
        <v>96</v>
      </c>
      <c r="C622" s="4" t="n">
        <v>7</v>
      </c>
      <c r="D622" s="2" t="s">
        <v>444</v>
      </c>
      <c r="E622" s="2" t="s">
        <v>399</v>
      </c>
      <c r="F622" s="5" t="n">
        <f aca="false">INDEX('08_PEDIDOS'!$D$2:$D$97,MATCH(A622,'08_PEDIDOS'!$A$2:$A$97,0))</f>
        <v>8</v>
      </c>
      <c r="G622" s="5" t="n">
        <f aca="false">INDEX('08_PEDIDOS'!$H$2:$H$97,MATCH(A622,'08_PEDIDOS'!$A$2:$A$97,0))</f>
        <v>10</v>
      </c>
      <c r="H622" s="17" t="n">
        <f aca="false">SUMIFS('05_RUTAS'!$F$2:$F$407,'05_RUTAS'!$A$2:$A$407,B622,'05_RUTAS'!$C$2:$C$407,C622)</f>
        <v>6</v>
      </c>
      <c r="I622" s="18" t="n">
        <f aca="false">SUMIFS('05_RUTAS'!$G$2:$G$407,'05_RUTAS'!$A$2:$A$407,B622,'05_RUTAS'!$C$2:$C$407,C622)</f>
        <v>27.0712</v>
      </c>
      <c r="J622" s="18" t="n">
        <f aca="false">(ROUNDUP(F622/G622,0)*H622+F622*I622)/60</f>
        <v>3.70949333333333</v>
      </c>
      <c r="K622" s="5" t="n">
        <f aca="false">MONTH(INDEX('08_PEDIDOS'!$F$2:$F$97,MATCH(A622,'08_PEDIDOS'!$A$2:$A$97,0)))</f>
        <v>7</v>
      </c>
      <c r="L622" s="16" t="n">
        <f aca="false">J622*N(INDEX('04_MAQUINAS'!$F$2:$F$18,MATCH(E622,'04_MAQUINAS'!$A$2:$A$18,0)))</f>
        <v>70.4803733333333</v>
      </c>
      <c r="M622" s="17" t="n">
        <f aca="false">J622*INDEX('04_MAQUINAS'!$G$2:$G$18,MATCH(E622,'04_MAQUINAS'!$A$2:$A$18,0))*INDEX('04_MAQUINAS'!$H$2:$H$18,MATCH(E622,'04_MAQUINAS'!$A$2:$A$18,0))</f>
        <v>3.26435413333333</v>
      </c>
      <c r="N622" s="2" t="s">
        <v>629</v>
      </c>
    </row>
    <row r="623" customFormat="false" ht="15" hidden="false" customHeight="false" outlineLevel="0" collapsed="false">
      <c r="A623" s="2" t="s">
        <v>576</v>
      </c>
      <c r="B623" s="2" t="s">
        <v>96</v>
      </c>
      <c r="C623" s="4" t="n">
        <v>8</v>
      </c>
      <c r="D623" s="2" t="s">
        <v>445</v>
      </c>
      <c r="E623" s="2" t="s">
        <v>402</v>
      </c>
      <c r="F623" s="5" t="n">
        <f aca="false">INDEX('08_PEDIDOS'!$D$2:$D$97,MATCH(A623,'08_PEDIDOS'!$A$2:$A$97,0))</f>
        <v>8</v>
      </c>
      <c r="G623" s="5" t="n">
        <f aca="false">INDEX('08_PEDIDOS'!$H$2:$H$97,MATCH(A623,'08_PEDIDOS'!$A$2:$A$97,0))</f>
        <v>10</v>
      </c>
      <c r="H623" s="17" t="n">
        <f aca="false">SUMIFS('05_RUTAS'!$F$2:$F$407,'05_RUTAS'!$A$2:$A$407,B623,'05_RUTAS'!$C$2:$C$407,C623)</f>
        <v>12</v>
      </c>
      <c r="I623" s="18" t="n">
        <f aca="false">SUMIFS('05_RUTAS'!$G$2:$G$407,'05_RUTAS'!$A$2:$A$407,B623,'05_RUTAS'!$C$2:$C$407,C623)</f>
        <v>7.34</v>
      </c>
      <c r="J623" s="18" t="n">
        <f aca="false">(ROUNDUP(F623/G623,0)*H623+F623*I623)/60</f>
        <v>1.17866666666667</v>
      </c>
      <c r="K623" s="5" t="n">
        <f aca="false">MONTH(INDEX('08_PEDIDOS'!$F$2:$F$97,MATCH(A623,'08_PEDIDOS'!$A$2:$A$97,0)))</f>
        <v>7</v>
      </c>
      <c r="L623" s="16" t="n">
        <f aca="false">J623*N(INDEX('04_MAQUINAS'!$F$2:$F$18,MATCH(E623,'04_MAQUINAS'!$A$2:$A$18,0)))</f>
        <v>37.7173333333333</v>
      </c>
      <c r="M623" s="17" t="n">
        <f aca="false">J623*INDEX('04_MAQUINAS'!$G$2:$G$18,MATCH(E623,'04_MAQUINAS'!$A$2:$A$18,0))*INDEX('04_MAQUINAS'!$H$2:$H$18,MATCH(E623,'04_MAQUINAS'!$A$2:$A$18,0))</f>
        <v>1.2376</v>
      </c>
      <c r="N623" s="2" t="s">
        <v>629</v>
      </c>
    </row>
    <row r="624" customFormat="false" ht="15" hidden="false" customHeight="false" outlineLevel="0" collapsed="false">
      <c r="A624" s="2" t="s">
        <v>576</v>
      </c>
      <c r="B624" s="2" t="s">
        <v>96</v>
      </c>
      <c r="C624" s="4" t="n">
        <v>9</v>
      </c>
      <c r="D624" s="2" t="s">
        <v>447</v>
      </c>
      <c r="E624" s="2" t="s">
        <v>421</v>
      </c>
      <c r="F624" s="5" t="n">
        <f aca="false">INDEX('08_PEDIDOS'!$D$2:$D$97,MATCH(A624,'08_PEDIDOS'!$A$2:$A$97,0))</f>
        <v>8</v>
      </c>
      <c r="G624" s="5" t="n">
        <f aca="false">INDEX('08_PEDIDOS'!$H$2:$H$97,MATCH(A624,'08_PEDIDOS'!$A$2:$A$97,0))</f>
        <v>10</v>
      </c>
      <c r="H624" s="17" t="n">
        <f aca="false">SUMIFS('05_RUTAS'!$F$2:$F$407,'05_RUTAS'!$A$2:$A$407,B624,'05_RUTAS'!$C$2:$C$407,C624)</f>
        <v>45</v>
      </c>
      <c r="I624" s="18" t="n">
        <f aca="false">SUMIFS('05_RUTAS'!$G$2:$G$407,'05_RUTAS'!$A$2:$A$407,B624,'05_RUTAS'!$C$2:$C$407,C624)</f>
        <v>0</v>
      </c>
      <c r="J624" s="18" t="n">
        <f aca="false">(ROUNDUP(F624/G624,0)*H624+F624*I624)/60</f>
        <v>0.75</v>
      </c>
      <c r="K624" s="5" t="n">
        <f aca="false">MONTH(INDEX('08_PEDIDOS'!$F$2:$F$97,MATCH(A624,'08_PEDIDOS'!$A$2:$A$97,0)))</f>
        <v>7</v>
      </c>
      <c r="L624" s="16" t="n">
        <f aca="false">J624*N(INDEX('04_MAQUINAS'!$F$2:$F$18,MATCH(E624,'04_MAQUINAS'!$A$2:$A$18,0)))</f>
        <v>19.5</v>
      </c>
      <c r="M624" s="17" t="n">
        <f aca="false">J624*INDEX('04_MAQUINAS'!$G$2:$G$18,MATCH(E624,'04_MAQUINAS'!$A$2:$A$18,0))*INDEX('04_MAQUINAS'!$H$2:$H$18,MATCH(E624,'04_MAQUINAS'!$A$2:$A$18,0))</f>
        <v>10.8</v>
      </c>
      <c r="N624" s="2" t="s">
        <v>629</v>
      </c>
    </row>
    <row r="625" customFormat="false" ht="15" hidden="false" customHeight="false" outlineLevel="0" collapsed="false">
      <c r="A625" s="2" t="s">
        <v>576</v>
      </c>
      <c r="B625" s="2" t="s">
        <v>96</v>
      </c>
      <c r="C625" s="4" t="n">
        <v>10</v>
      </c>
      <c r="D625" s="2" t="s">
        <v>449</v>
      </c>
      <c r="E625" s="2" t="s">
        <v>423</v>
      </c>
      <c r="F625" s="5" t="n">
        <f aca="false">INDEX('08_PEDIDOS'!$D$2:$D$97,MATCH(A625,'08_PEDIDOS'!$A$2:$A$97,0))</f>
        <v>8</v>
      </c>
      <c r="G625" s="5" t="n">
        <f aca="false">INDEX('08_PEDIDOS'!$H$2:$H$97,MATCH(A625,'08_PEDIDOS'!$A$2:$A$97,0))</f>
        <v>10</v>
      </c>
      <c r="H625" s="17" t="n">
        <f aca="false">SUMIFS('05_RUTAS'!$F$2:$F$407,'05_RUTAS'!$A$2:$A$407,B625,'05_RUTAS'!$C$2:$C$407,C625)</f>
        <v>8</v>
      </c>
      <c r="I625" s="18" t="n">
        <f aca="false">SUMIFS('05_RUTAS'!$G$2:$G$407,'05_RUTAS'!$A$2:$A$407,B625,'05_RUTAS'!$C$2:$C$407,C625)</f>
        <v>2.54</v>
      </c>
      <c r="J625" s="18" t="n">
        <f aca="false">(ROUNDUP(F625/G625,0)*H625+F625*I625)/60</f>
        <v>0.472</v>
      </c>
      <c r="K625" s="5" t="n">
        <f aca="false">MONTH(INDEX('08_PEDIDOS'!$F$2:$F$97,MATCH(A625,'08_PEDIDOS'!$A$2:$A$97,0)))</f>
        <v>7</v>
      </c>
      <c r="L625" s="16" t="n">
        <f aca="false">J625*N(INDEX('04_MAQUINAS'!$F$2:$F$18,MATCH(E625,'04_MAQUINAS'!$A$2:$A$18,0)))</f>
        <v>7.552</v>
      </c>
      <c r="M625" s="17" t="n">
        <f aca="false">J625*INDEX('04_MAQUINAS'!$G$2:$G$18,MATCH(E625,'04_MAQUINAS'!$A$2:$A$18,0))*INDEX('04_MAQUINAS'!$H$2:$H$18,MATCH(E625,'04_MAQUINAS'!$A$2:$A$18,0))</f>
        <v>0.118</v>
      </c>
      <c r="N625" s="2" t="s">
        <v>629</v>
      </c>
    </row>
    <row r="626" customFormat="false" ht="15" hidden="false" customHeight="false" outlineLevel="0" collapsed="false">
      <c r="A626" s="2" t="s">
        <v>576</v>
      </c>
      <c r="B626" s="2" t="s">
        <v>96</v>
      </c>
      <c r="C626" s="4" t="n">
        <v>11</v>
      </c>
      <c r="D626" s="2" t="s">
        <v>450</v>
      </c>
      <c r="E626" s="2" t="s">
        <v>406</v>
      </c>
      <c r="F626" s="5" t="n">
        <f aca="false">INDEX('08_PEDIDOS'!$D$2:$D$97,MATCH(A626,'08_PEDIDOS'!$A$2:$A$97,0))</f>
        <v>8</v>
      </c>
      <c r="G626" s="5" t="n">
        <f aca="false">INDEX('08_PEDIDOS'!$H$2:$H$97,MATCH(A626,'08_PEDIDOS'!$A$2:$A$97,0))</f>
        <v>10</v>
      </c>
      <c r="H626" s="17" t="n">
        <f aca="false">SUMIFS('05_RUTAS'!$F$2:$F$407,'05_RUTAS'!$A$2:$A$407,B626,'05_RUTAS'!$C$2:$C$407,C626)</f>
        <v>6</v>
      </c>
      <c r="I626" s="18" t="n">
        <f aca="false">SUMIFS('05_RUTAS'!$G$2:$G$407,'05_RUTAS'!$A$2:$A$407,B626,'05_RUTAS'!$C$2:$C$407,C626)</f>
        <v>48.75</v>
      </c>
      <c r="J626" s="18" t="n">
        <f aca="false">(ROUNDUP(F626/G626,0)*H626+F626*I626)/60</f>
        <v>6.6</v>
      </c>
      <c r="K626" s="5" t="n">
        <f aca="false">MONTH(INDEX('08_PEDIDOS'!$F$2:$F$97,MATCH(A626,'08_PEDIDOS'!$A$2:$A$97,0)))</f>
        <v>7</v>
      </c>
      <c r="L626" s="16" t="n">
        <f aca="false">J626*N(INDEX('04_MAQUINAS'!$F$2:$F$18,MATCH(E626,'04_MAQUINAS'!$A$2:$A$18,0)))</f>
        <v>125.4</v>
      </c>
      <c r="M626" s="17" t="n">
        <f aca="false">J626*INDEX('04_MAQUINAS'!$G$2:$G$18,MATCH(E626,'04_MAQUINAS'!$A$2:$A$18,0))*INDEX('04_MAQUINAS'!$H$2:$H$18,MATCH(E626,'04_MAQUINAS'!$A$2:$A$18,0))</f>
        <v>1.98</v>
      </c>
      <c r="N626" s="2" t="s">
        <v>629</v>
      </c>
    </row>
    <row r="627" customFormat="false" ht="15" hidden="false" customHeight="false" outlineLevel="0" collapsed="false">
      <c r="A627" s="2" t="s">
        <v>576</v>
      </c>
      <c r="B627" s="2" t="s">
        <v>96</v>
      </c>
      <c r="C627" s="4" t="n">
        <v>12</v>
      </c>
      <c r="D627" s="2" t="s">
        <v>451</v>
      </c>
      <c r="E627" s="2" t="s">
        <v>408</v>
      </c>
      <c r="F627" s="5" t="n">
        <f aca="false">INDEX('08_PEDIDOS'!$D$2:$D$97,MATCH(A627,'08_PEDIDOS'!$A$2:$A$97,0))</f>
        <v>8</v>
      </c>
      <c r="G627" s="5" t="n">
        <f aca="false">INDEX('08_PEDIDOS'!$H$2:$H$97,MATCH(A627,'08_PEDIDOS'!$A$2:$A$97,0))</f>
        <v>10</v>
      </c>
      <c r="H627" s="17" t="n">
        <f aca="false">SUMIFS('05_RUTAS'!$F$2:$F$407,'05_RUTAS'!$A$2:$A$407,B627,'05_RUTAS'!$C$2:$C$407,C627)</f>
        <v>2</v>
      </c>
      <c r="I627" s="18" t="n">
        <f aca="false">SUMIFS('05_RUTAS'!$G$2:$G$407,'05_RUTAS'!$A$2:$A$407,B627,'05_RUTAS'!$C$2:$C$407,C627)</f>
        <v>3.67</v>
      </c>
      <c r="J627" s="18" t="n">
        <f aca="false">(ROUNDUP(F627/G627,0)*H627+F627*I627)/60</f>
        <v>0.522666666666667</v>
      </c>
      <c r="K627" s="5" t="n">
        <f aca="false">MONTH(INDEX('08_PEDIDOS'!$F$2:$F$97,MATCH(A627,'08_PEDIDOS'!$A$2:$A$97,0)))</f>
        <v>7</v>
      </c>
      <c r="L627" s="16" t="n">
        <f aca="false">J627*N(INDEX('04_MAQUINAS'!$F$2:$F$18,MATCH(E627,'04_MAQUINAS'!$A$2:$A$18,0)))</f>
        <v>10.4533333333333</v>
      </c>
      <c r="M627" s="17" t="n">
        <f aca="false">J627*INDEX('04_MAQUINAS'!$G$2:$G$18,MATCH(E627,'04_MAQUINAS'!$A$2:$A$18,0))*INDEX('04_MAQUINAS'!$H$2:$H$18,MATCH(E627,'04_MAQUINAS'!$A$2:$A$18,0))</f>
        <v>0.0522666666666667</v>
      </c>
      <c r="N627" s="2" t="s">
        <v>629</v>
      </c>
    </row>
    <row r="628" customFormat="false" ht="15" hidden="false" customHeight="false" outlineLevel="0" collapsed="false">
      <c r="A628" s="2" t="s">
        <v>576</v>
      </c>
      <c r="B628" s="2" t="s">
        <v>96</v>
      </c>
      <c r="C628" s="4" t="n">
        <v>13</v>
      </c>
      <c r="D628" s="2" t="s">
        <v>452</v>
      </c>
      <c r="E628" s="2" t="s">
        <v>411</v>
      </c>
      <c r="F628" s="5" t="n">
        <f aca="false">INDEX('08_PEDIDOS'!$D$2:$D$97,MATCH(A628,'08_PEDIDOS'!$A$2:$A$97,0))</f>
        <v>8</v>
      </c>
      <c r="G628" s="5" t="n">
        <f aca="false">INDEX('08_PEDIDOS'!$H$2:$H$97,MATCH(A628,'08_PEDIDOS'!$A$2:$A$97,0))</f>
        <v>10</v>
      </c>
      <c r="H628" s="17" t="n">
        <f aca="false">SUMIFS('05_RUTAS'!$F$2:$F$407,'05_RUTAS'!$A$2:$A$407,B628,'05_RUTAS'!$C$2:$C$407,C628)</f>
        <v>2</v>
      </c>
      <c r="I628" s="18" t="n">
        <f aca="false">SUMIFS('05_RUTAS'!$G$2:$G$407,'05_RUTAS'!$A$2:$A$407,B628,'05_RUTAS'!$C$2:$C$407,C628)</f>
        <v>5</v>
      </c>
      <c r="J628" s="18" t="n">
        <f aca="false">(ROUNDUP(F628/G628,0)*H628+F628*I628)/60</f>
        <v>0.7</v>
      </c>
      <c r="K628" s="5" t="n">
        <f aca="false">MONTH(INDEX('08_PEDIDOS'!$F$2:$F$97,MATCH(A628,'08_PEDIDOS'!$A$2:$A$97,0)))</f>
        <v>7</v>
      </c>
      <c r="L628" s="16" t="n">
        <f aca="false">J628*N(INDEX('04_MAQUINAS'!$F$2:$F$18,MATCH(E628,'04_MAQUINAS'!$A$2:$A$18,0)))</f>
        <v>12.6</v>
      </c>
      <c r="M628" s="17" t="n">
        <f aca="false">J628*INDEX('04_MAQUINAS'!$G$2:$G$18,MATCH(E628,'04_MAQUINAS'!$A$2:$A$18,0))*INDEX('04_MAQUINAS'!$H$2:$H$18,MATCH(E628,'04_MAQUINAS'!$A$2:$A$18,0))</f>
        <v>0.063</v>
      </c>
      <c r="N628" s="2" t="s">
        <v>629</v>
      </c>
    </row>
    <row r="629" customFormat="false" ht="15" hidden="false" customHeight="false" outlineLevel="0" collapsed="false">
      <c r="A629" s="2" t="s">
        <v>577</v>
      </c>
      <c r="B629" s="2" t="s">
        <v>106</v>
      </c>
      <c r="C629" s="4" t="n">
        <v>1</v>
      </c>
      <c r="D629" s="2" t="s">
        <v>437</v>
      </c>
      <c r="E629" s="2" t="s">
        <v>375</v>
      </c>
      <c r="F629" s="5" t="n">
        <f aca="false">INDEX('08_PEDIDOS'!$D$2:$D$97,MATCH(A629,'08_PEDIDOS'!$A$2:$A$97,0))</f>
        <v>6</v>
      </c>
      <c r="G629" s="5" t="n">
        <f aca="false">INDEX('08_PEDIDOS'!$H$2:$H$97,MATCH(A629,'08_PEDIDOS'!$A$2:$A$97,0))</f>
        <v>10</v>
      </c>
      <c r="H629" s="17" t="n">
        <f aca="false">SUMIFS('05_RUTAS'!$F$2:$F$407,'05_RUTAS'!$A$2:$A$407,B629,'05_RUTAS'!$C$2:$C$407,C629)</f>
        <v>8</v>
      </c>
      <c r="I629" s="18" t="n">
        <f aca="false">SUMIFS('05_RUTAS'!$G$2:$G$407,'05_RUTAS'!$A$2:$A$407,B629,'05_RUTAS'!$C$2:$C$407,C629)</f>
        <v>40.245</v>
      </c>
      <c r="J629" s="18" t="n">
        <f aca="false">(ROUNDUP(F629/G629,0)*H629+F629*I629)/60</f>
        <v>4.15783333333333</v>
      </c>
      <c r="K629" s="5" t="n">
        <f aca="false">MONTH(INDEX('08_PEDIDOS'!$F$2:$F$97,MATCH(A629,'08_PEDIDOS'!$A$2:$A$97,0)))</f>
        <v>7</v>
      </c>
      <c r="L629" s="16" t="n">
        <f aca="false">J629*N(INDEX('04_MAQUINAS'!$F$2:$F$18,MATCH(E629,'04_MAQUINAS'!$A$2:$A$18,0)))</f>
        <v>99.788</v>
      </c>
      <c r="M629" s="17" t="n">
        <f aca="false">J629*INDEX('04_MAQUINAS'!$G$2:$G$18,MATCH(E629,'04_MAQUINAS'!$A$2:$A$18,0))*INDEX('04_MAQUINAS'!$H$2:$H$18,MATCH(E629,'04_MAQUINAS'!$A$2:$A$18,0))</f>
        <v>11.4340416666667</v>
      </c>
      <c r="N629" s="2" t="s">
        <v>629</v>
      </c>
    </row>
    <row r="630" customFormat="false" ht="15" hidden="false" customHeight="false" outlineLevel="0" collapsed="false">
      <c r="A630" s="2" t="s">
        <v>577</v>
      </c>
      <c r="B630" s="2" t="s">
        <v>106</v>
      </c>
      <c r="C630" s="4" t="n">
        <v>2</v>
      </c>
      <c r="D630" s="2" t="s">
        <v>386</v>
      </c>
      <c r="E630" s="2" t="s">
        <v>383</v>
      </c>
      <c r="F630" s="5" t="n">
        <f aca="false">INDEX('08_PEDIDOS'!$D$2:$D$97,MATCH(A630,'08_PEDIDOS'!$A$2:$A$97,0))</f>
        <v>6</v>
      </c>
      <c r="G630" s="5" t="n">
        <f aca="false">INDEX('08_PEDIDOS'!$H$2:$H$97,MATCH(A630,'08_PEDIDOS'!$A$2:$A$97,0))</f>
        <v>10</v>
      </c>
      <c r="H630" s="17" t="n">
        <f aca="false">SUMIFS('05_RUTAS'!$F$2:$F$407,'05_RUTAS'!$A$2:$A$407,B630,'05_RUTAS'!$C$2:$C$407,C630)</f>
        <v>10</v>
      </c>
      <c r="I630" s="18" t="n">
        <f aca="false">SUMIFS('05_RUTAS'!$G$2:$G$407,'05_RUTAS'!$A$2:$A$407,B630,'05_RUTAS'!$C$2:$C$407,C630)</f>
        <v>14.8</v>
      </c>
      <c r="J630" s="18" t="n">
        <f aca="false">(ROUNDUP(F630/G630,0)*H630+F630*I630)/60</f>
        <v>1.64666666666667</v>
      </c>
      <c r="K630" s="5" t="n">
        <f aca="false">MONTH(INDEX('08_PEDIDOS'!$F$2:$F$97,MATCH(A630,'08_PEDIDOS'!$A$2:$A$97,0)))</f>
        <v>7</v>
      </c>
      <c r="L630" s="16" t="n">
        <f aca="false">J630*N(INDEX('04_MAQUINAS'!$F$2:$F$18,MATCH(E630,'04_MAQUINAS'!$A$2:$A$18,0)))</f>
        <v>36.2266666666667</v>
      </c>
      <c r="M630" s="17" t="n">
        <f aca="false">J630*INDEX('04_MAQUINAS'!$G$2:$G$18,MATCH(E630,'04_MAQUINAS'!$A$2:$A$18,0))*INDEX('04_MAQUINAS'!$H$2:$H$18,MATCH(E630,'04_MAQUINAS'!$A$2:$A$18,0))</f>
        <v>0.452833333333333</v>
      </c>
      <c r="N630" s="2" t="s">
        <v>629</v>
      </c>
    </row>
    <row r="631" customFormat="false" ht="15" hidden="false" customHeight="false" outlineLevel="0" collapsed="false">
      <c r="A631" s="2" t="s">
        <v>577</v>
      </c>
      <c r="B631" s="2" t="s">
        <v>106</v>
      </c>
      <c r="C631" s="4" t="n">
        <v>3</v>
      </c>
      <c r="D631" s="2" t="s">
        <v>390</v>
      </c>
      <c r="E631" s="2" t="s">
        <v>387</v>
      </c>
      <c r="F631" s="5" t="n">
        <f aca="false">INDEX('08_PEDIDOS'!$D$2:$D$97,MATCH(A631,'08_PEDIDOS'!$A$2:$A$97,0))</f>
        <v>6</v>
      </c>
      <c r="G631" s="5" t="n">
        <f aca="false">INDEX('08_PEDIDOS'!$H$2:$H$97,MATCH(A631,'08_PEDIDOS'!$A$2:$A$97,0))</f>
        <v>10</v>
      </c>
      <c r="H631" s="17" t="n">
        <f aca="false">SUMIFS('05_RUTAS'!$F$2:$F$407,'05_RUTAS'!$A$2:$A$407,B631,'05_RUTAS'!$C$2:$C$407,C631)</f>
        <v>12</v>
      </c>
      <c r="I631" s="18" t="n">
        <f aca="false">SUMIFS('05_RUTAS'!$G$2:$G$407,'05_RUTAS'!$A$2:$A$407,B631,'05_RUTAS'!$C$2:$C$407,C631)</f>
        <v>104</v>
      </c>
      <c r="J631" s="18" t="n">
        <f aca="false">(ROUNDUP(F631/G631,0)*H631+F631*I631)/60</f>
        <v>10.6</v>
      </c>
      <c r="K631" s="5" t="n">
        <f aca="false">MONTH(INDEX('08_PEDIDOS'!$F$2:$F$97,MATCH(A631,'08_PEDIDOS'!$A$2:$A$97,0)))</f>
        <v>7</v>
      </c>
      <c r="L631" s="16" t="n">
        <f aca="false">J631*N(INDEX('04_MAQUINAS'!$F$2:$F$18,MATCH(E631,'04_MAQUINAS'!$A$2:$A$18,0)))</f>
        <v>296.8</v>
      </c>
      <c r="M631" s="17" t="n">
        <f aca="false">J631*INDEX('04_MAQUINAS'!$G$2:$G$18,MATCH(E631,'04_MAQUINAS'!$A$2:$A$18,0))*INDEX('04_MAQUINAS'!$H$2:$H$18,MATCH(E631,'04_MAQUINAS'!$A$2:$A$18,0))</f>
        <v>26.235</v>
      </c>
      <c r="N631" s="2" t="s">
        <v>629</v>
      </c>
    </row>
    <row r="632" customFormat="false" ht="15" hidden="false" customHeight="false" outlineLevel="0" collapsed="false">
      <c r="A632" s="2" t="s">
        <v>577</v>
      </c>
      <c r="B632" s="2" t="s">
        <v>106</v>
      </c>
      <c r="C632" s="4" t="n">
        <v>4</v>
      </c>
      <c r="D632" s="2" t="s">
        <v>443</v>
      </c>
      <c r="E632" s="2" t="s">
        <v>395</v>
      </c>
      <c r="F632" s="5" t="n">
        <f aca="false">INDEX('08_PEDIDOS'!$D$2:$D$97,MATCH(A632,'08_PEDIDOS'!$A$2:$A$97,0))</f>
        <v>6</v>
      </c>
      <c r="G632" s="5" t="n">
        <f aca="false">INDEX('08_PEDIDOS'!$H$2:$H$97,MATCH(A632,'08_PEDIDOS'!$A$2:$A$97,0))</f>
        <v>10</v>
      </c>
      <c r="H632" s="17" t="n">
        <f aca="false">SUMIFS('05_RUTAS'!$F$2:$F$407,'05_RUTAS'!$A$2:$A$407,B632,'05_RUTAS'!$C$2:$C$407,C632)</f>
        <v>3</v>
      </c>
      <c r="I632" s="18" t="n">
        <f aca="false">SUMIFS('05_RUTAS'!$G$2:$G$407,'05_RUTAS'!$A$2:$A$407,B632,'05_RUTAS'!$C$2:$C$407,C632)</f>
        <v>18</v>
      </c>
      <c r="J632" s="18" t="n">
        <f aca="false">(ROUNDUP(F632/G632,0)*H632+F632*I632)/60</f>
        <v>1.85</v>
      </c>
      <c r="K632" s="5" t="n">
        <f aca="false">MONTH(INDEX('08_PEDIDOS'!$F$2:$F$97,MATCH(A632,'08_PEDIDOS'!$A$2:$A$97,0)))</f>
        <v>7</v>
      </c>
      <c r="L632" s="16" t="n">
        <f aca="false">J632*N(INDEX('04_MAQUINAS'!$F$2:$F$18,MATCH(E632,'04_MAQUINAS'!$A$2:$A$18,0)))</f>
        <v>38.85</v>
      </c>
      <c r="M632" s="17" t="n">
        <f aca="false">J632*INDEX('04_MAQUINAS'!$G$2:$G$18,MATCH(E632,'04_MAQUINAS'!$A$2:$A$18,0))*INDEX('04_MAQUINAS'!$H$2:$H$18,MATCH(E632,'04_MAQUINAS'!$A$2:$A$18,0))</f>
        <v>1.3875</v>
      </c>
      <c r="N632" s="2" t="s">
        <v>629</v>
      </c>
    </row>
    <row r="633" customFormat="false" ht="15" hidden="false" customHeight="false" outlineLevel="0" collapsed="false">
      <c r="A633" s="2" t="s">
        <v>577</v>
      </c>
      <c r="B633" s="2" t="s">
        <v>106</v>
      </c>
      <c r="C633" s="4" t="n">
        <v>5</v>
      </c>
      <c r="D633" s="2" t="s">
        <v>444</v>
      </c>
      <c r="E633" s="2" t="s">
        <v>399</v>
      </c>
      <c r="F633" s="5" t="n">
        <f aca="false">INDEX('08_PEDIDOS'!$D$2:$D$97,MATCH(A633,'08_PEDIDOS'!$A$2:$A$97,0))</f>
        <v>6</v>
      </c>
      <c r="G633" s="5" t="n">
        <f aca="false">INDEX('08_PEDIDOS'!$H$2:$H$97,MATCH(A633,'08_PEDIDOS'!$A$2:$A$97,0))</f>
        <v>10</v>
      </c>
      <c r="H633" s="17" t="n">
        <f aca="false">SUMIFS('05_RUTAS'!$F$2:$F$407,'05_RUTAS'!$A$2:$A$407,B633,'05_RUTAS'!$C$2:$C$407,C633)</f>
        <v>6</v>
      </c>
      <c r="I633" s="18" t="n">
        <f aca="false">SUMIFS('05_RUTAS'!$G$2:$G$407,'05_RUTAS'!$A$2:$A$407,B633,'05_RUTAS'!$C$2:$C$407,C633)</f>
        <v>26.324</v>
      </c>
      <c r="J633" s="18" t="n">
        <f aca="false">(ROUNDUP(F633/G633,0)*H633+F633*I633)/60</f>
        <v>2.7324</v>
      </c>
      <c r="K633" s="5" t="n">
        <f aca="false">MONTH(INDEX('08_PEDIDOS'!$F$2:$F$97,MATCH(A633,'08_PEDIDOS'!$A$2:$A$97,0)))</f>
        <v>7</v>
      </c>
      <c r="L633" s="16" t="n">
        <f aca="false">J633*N(INDEX('04_MAQUINAS'!$F$2:$F$18,MATCH(E633,'04_MAQUINAS'!$A$2:$A$18,0)))</f>
        <v>51.9156</v>
      </c>
      <c r="M633" s="17" t="n">
        <f aca="false">J633*INDEX('04_MAQUINAS'!$G$2:$G$18,MATCH(E633,'04_MAQUINAS'!$A$2:$A$18,0))*INDEX('04_MAQUINAS'!$H$2:$H$18,MATCH(E633,'04_MAQUINAS'!$A$2:$A$18,0))</f>
        <v>2.404512</v>
      </c>
      <c r="N633" s="2" t="s">
        <v>629</v>
      </c>
    </row>
    <row r="634" customFormat="false" ht="15" hidden="false" customHeight="false" outlineLevel="0" collapsed="false">
      <c r="A634" s="2" t="s">
        <v>577</v>
      </c>
      <c r="B634" s="2" t="s">
        <v>106</v>
      </c>
      <c r="C634" s="4" t="n">
        <v>6</v>
      </c>
      <c r="D634" s="2" t="s">
        <v>445</v>
      </c>
      <c r="E634" s="2" t="s">
        <v>402</v>
      </c>
      <c r="F634" s="5" t="n">
        <f aca="false">INDEX('08_PEDIDOS'!$D$2:$D$97,MATCH(A634,'08_PEDIDOS'!$A$2:$A$97,0))</f>
        <v>6</v>
      </c>
      <c r="G634" s="5" t="n">
        <f aca="false">INDEX('08_PEDIDOS'!$H$2:$H$97,MATCH(A634,'08_PEDIDOS'!$A$2:$A$97,0))</f>
        <v>10</v>
      </c>
      <c r="H634" s="17" t="n">
        <f aca="false">SUMIFS('05_RUTAS'!$F$2:$F$407,'05_RUTAS'!$A$2:$A$407,B634,'05_RUTAS'!$C$2:$C$407,C634)</f>
        <v>12</v>
      </c>
      <c r="I634" s="18" t="n">
        <f aca="false">SUMIFS('05_RUTAS'!$G$2:$G$407,'05_RUTAS'!$A$2:$A$407,B634,'05_RUTAS'!$C$2:$C$407,C634)</f>
        <v>6.83</v>
      </c>
      <c r="J634" s="18" t="n">
        <f aca="false">(ROUNDUP(F634/G634,0)*H634+F634*I634)/60</f>
        <v>0.883</v>
      </c>
      <c r="K634" s="5" t="n">
        <f aca="false">MONTH(INDEX('08_PEDIDOS'!$F$2:$F$97,MATCH(A634,'08_PEDIDOS'!$A$2:$A$97,0)))</f>
        <v>7</v>
      </c>
      <c r="L634" s="16" t="n">
        <f aca="false">J634*N(INDEX('04_MAQUINAS'!$F$2:$F$18,MATCH(E634,'04_MAQUINAS'!$A$2:$A$18,0)))</f>
        <v>28.256</v>
      </c>
      <c r="M634" s="17" t="n">
        <f aca="false">J634*INDEX('04_MAQUINAS'!$G$2:$G$18,MATCH(E634,'04_MAQUINAS'!$A$2:$A$18,0))*INDEX('04_MAQUINAS'!$H$2:$H$18,MATCH(E634,'04_MAQUINAS'!$A$2:$A$18,0))</f>
        <v>0.92715</v>
      </c>
      <c r="N634" s="2" t="s">
        <v>629</v>
      </c>
    </row>
    <row r="635" customFormat="false" ht="15" hidden="false" customHeight="false" outlineLevel="0" collapsed="false">
      <c r="A635" s="2" t="s">
        <v>577</v>
      </c>
      <c r="B635" s="2" t="s">
        <v>106</v>
      </c>
      <c r="C635" s="4" t="n">
        <v>7</v>
      </c>
      <c r="D635" s="2" t="s">
        <v>447</v>
      </c>
      <c r="E635" s="2" t="s">
        <v>421</v>
      </c>
      <c r="F635" s="5" t="n">
        <f aca="false">INDEX('08_PEDIDOS'!$D$2:$D$97,MATCH(A635,'08_PEDIDOS'!$A$2:$A$97,0))</f>
        <v>6</v>
      </c>
      <c r="G635" s="5" t="n">
        <f aca="false">INDEX('08_PEDIDOS'!$H$2:$H$97,MATCH(A635,'08_PEDIDOS'!$A$2:$A$97,0))</f>
        <v>10</v>
      </c>
      <c r="H635" s="17" t="n">
        <f aca="false">SUMIFS('05_RUTAS'!$F$2:$F$407,'05_RUTAS'!$A$2:$A$407,B635,'05_RUTAS'!$C$2:$C$407,C635)</f>
        <v>45</v>
      </c>
      <c r="I635" s="18" t="n">
        <f aca="false">SUMIFS('05_RUTAS'!$G$2:$G$407,'05_RUTAS'!$A$2:$A$407,B635,'05_RUTAS'!$C$2:$C$407,C635)</f>
        <v>0</v>
      </c>
      <c r="J635" s="18" t="n">
        <f aca="false">(ROUNDUP(F635/G635,0)*H635+F635*I635)/60</f>
        <v>0.75</v>
      </c>
      <c r="K635" s="5" t="n">
        <f aca="false">MONTH(INDEX('08_PEDIDOS'!$F$2:$F$97,MATCH(A635,'08_PEDIDOS'!$A$2:$A$97,0)))</f>
        <v>7</v>
      </c>
      <c r="L635" s="16" t="n">
        <f aca="false">J635*N(INDEX('04_MAQUINAS'!$F$2:$F$18,MATCH(E635,'04_MAQUINAS'!$A$2:$A$18,0)))</f>
        <v>19.5</v>
      </c>
      <c r="M635" s="17" t="n">
        <f aca="false">J635*INDEX('04_MAQUINAS'!$G$2:$G$18,MATCH(E635,'04_MAQUINAS'!$A$2:$A$18,0))*INDEX('04_MAQUINAS'!$H$2:$H$18,MATCH(E635,'04_MAQUINAS'!$A$2:$A$18,0))</f>
        <v>10.8</v>
      </c>
      <c r="N635" s="2" t="s">
        <v>629</v>
      </c>
    </row>
    <row r="636" customFormat="false" ht="15" hidden="false" customHeight="false" outlineLevel="0" collapsed="false">
      <c r="A636" s="2" t="s">
        <v>577</v>
      </c>
      <c r="B636" s="2" t="s">
        <v>106</v>
      </c>
      <c r="C636" s="4" t="n">
        <v>8</v>
      </c>
      <c r="D636" s="2" t="s">
        <v>449</v>
      </c>
      <c r="E636" s="2" t="s">
        <v>423</v>
      </c>
      <c r="F636" s="5" t="n">
        <f aca="false">INDEX('08_PEDIDOS'!$D$2:$D$97,MATCH(A636,'08_PEDIDOS'!$A$2:$A$97,0))</f>
        <v>6</v>
      </c>
      <c r="G636" s="5" t="n">
        <f aca="false">INDEX('08_PEDIDOS'!$H$2:$H$97,MATCH(A636,'08_PEDIDOS'!$A$2:$A$97,0))</f>
        <v>10</v>
      </c>
      <c r="H636" s="17" t="n">
        <f aca="false">SUMIFS('05_RUTAS'!$F$2:$F$407,'05_RUTAS'!$A$2:$A$407,B636,'05_RUTAS'!$C$2:$C$407,C636)</f>
        <v>8</v>
      </c>
      <c r="I636" s="18" t="n">
        <f aca="false">SUMIFS('05_RUTAS'!$G$2:$G$407,'05_RUTAS'!$A$2:$A$407,B636,'05_RUTAS'!$C$2:$C$407,C636)</f>
        <v>2.42</v>
      </c>
      <c r="J636" s="18" t="n">
        <f aca="false">(ROUNDUP(F636/G636,0)*H636+F636*I636)/60</f>
        <v>0.375333333333333</v>
      </c>
      <c r="K636" s="5" t="n">
        <f aca="false">MONTH(INDEX('08_PEDIDOS'!$F$2:$F$97,MATCH(A636,'08_PEDIDOS'!$A$2:$A$97,0)))</f>
        <v>7</v>
      </c>
      <c r="L636" s="16" t="n">
        <f aca="false">J636*N(INDEX('04_MAQUINAS'!$F$2:$F$18,MATCH(E636,'04_MAQUINAS'!$A$2:$A$18,0)))</f>
        <v>6.00533333333333</v>
      </c>
      <c r="M636" s="17" t="n">
        <f aca="false">J636*INDEX('04_MAQUINAS'!$G$2:$G$18,MATCH(E636,'04_MAQUINAS'!$A$2:$A$18,0))*INDEX('04_MAQUINAS'!$H$2:$H$18,MATCH(E636,'04_MAQUINAS'!$A$2:$A$18,0))</f>
        <v>0.0938333333333333</v>
      </c>
      <c r="N636" s="2" t="s">
        <v>629</v>
      </c>
    </row>
    <row r="637" customFormat="false" ht="15" hidden="false" customHeight="false" outlineLevel="0" collapsed="false">
      <c r="A637" s="2" t="s">
        <v>577</v>
      </c>
      <c r="B637" s="2" t="s">
        <v>106</v>
      </c>
      <c r="C637" s="4" t="n">
        <v>9</v>
      </c>
      <c r="D637" s="2" t="s">
        <v>450</v>
      </c>
      <c r="E637" s="2" t="s">
        <v>406</v>
      </c>
      <c r="F637" s="5" t="n">
        <f aca="false">INDEX('08_PEDIDOS'!$D$2:$D$97,MATCH(A637,'08_PEDIDOS'!$A$2:$A$97,0))</f>
        <v>6</v>
      </c>
      <c r="G637" s="5" t="n">
        <f aca="false">INDEX('08_PEDIDOS'!$H$2:$H$97,MATCH(A637,'08_PEDIDOS'!$A$2:$A$97,0))</f>
        <v>10</v>
      </c>
      <c r="H637" s="17" t="n">
        <f aca="false">SUMIFS('05_RUTAS'!$F$2:$F$407,'05_RUTAS'!$A$2:$A$407,B637,'05_RUTAS'!$C$2:$C$407,C637)</f>
        <v>6</v>
      </c>
      <c r="I637" s="18" t="n">
        <f aca="false">SUMIFS('05_RUTAS'!$G$2:$G$407,'05_RUTAS'!$A$2:$A$407,B637,'05_RUTAS'!$C$2:$C$407,C637)</f>
        <v>42</v>
      </c>
      <c r="J637" s="18" t="n">
        <f aca="false">(ROUNDUP(F637/G637,0)*H637+F637*I637)/60</f>
        <v>4.3</v>
      </c>
      <c r="K637" s="5" t="n">
        <f aca="false">MONTH(INDEX('08_PEDIDOS'!$F$2:$F$97,MATCH(A637,'08_PEDIDOS'!$A$2:$A$97,0)))</f>
        <v>7</v>
      </c>
      <c r="L637" s="16" t="n">
        <f aca="false">J637*N(INDEX('04_MAQUINAS'!$F$2:$F$18,MATCH(E637,'04_MAQUINAS'!$A$2:$A$18,0)))</f>
        <v>81.7</v>
      </c>
      <c r="M637" s="17" t="n">
        <f aca="false">J637*INDEX('04_MAQUINAS'!$G$2:$G$18,MATCH(E637,'04_MAQUINAS'!$A$2:$A$18,0))*INDEX('04_MAQUINAS'!$H$2:$H$18,MATCH(E637,'04_MAQUINAS'!$A$2:$A$18,0))</f>
        <v>1.29</v>
      </c>
      <c r="N637" s="2" t="s">
        <v>629</v>
      </c>
    </row>
    <row r="638" customFormat="false" ht="15" hidden="false" customHeight="false" outlineLevel="0" collapsed="false">
      <c r="A638" s="2" t="s">
        <v>577</v>
      </c>
      <c r="B638" s="2" t="s">
        <v>106</v>
      </c>
      <c r="C638" s="4" t="n">
        <v>10</v>
      </c>
      <c r="D638" s="2" t="s">
        <v>451</v>
      </c>
      <c r="E638" s="2" t="s">
        <v>408</v>
      </c>
      <c r="F638" s="5" t="n">
        <f aca="false">INDEX('08_PEDIDOS'!$D$2:$D$97,MATCH(A638,'08_PEDIDOS'!$A$2:$A$97,0))</f>
        <v>6</v>
      </c>
      <c r="G638" s="5" t="n">
        <f aca="false">INDEX('08_PEDIDOS'!$H$2:$H$97,MATCH(A638,'08_PEDIDOS'!$A$2:$A$97,0))</f>
        <v>10</v>
      </c>
      <c r="H638" s="17" t="n">
        <f aca="false">SUMIFS('05_RUTAS'!$F$2:$F$407,'05_RUTAS'!$A$2:$A$407,B638,'05_RUTAS'!$C$2:$C$407,C638)</f>
        <v>2</v>
      </c>
      <c r="I638" s="18" t="n">
        <f aca="false">SUMIFS('05_RUTAS'!$G$2:$G$407,'05_RUTAS'!$A$2:$A$407,B638,'05_RUTAS'!$C$2:$C$407,C638)</f>
        <v>3.52</v>
      </c>
      <c r="J638" s="18" t="n">
        <f aca="false">(ROUNDUP(F638/G638,0)*H638+F638*I638)/60</f>
        <v>0.385333333333333</v>
      </c>
      <c r="K638" s="5" t="n">
        <f aca="false">MONTH(INDEX('08_PEDIDOS'!$F$2:$F$97,MATCH(A638,'08_PEDIDOS'!$A$2:$A$97,0)))</f>
        <v>7</v>
      </c>
      <c r="L638" s="16" t="n">
        <f aca="false">J638*N(INDEX('04_MAQUINAS'!$F$2:$F$18,MATCH(E638,'04_MAQUINAS'!$A$2:$A$18,0)))</f>
        <v>7.70666666666667</v>
      </c>
      <c r="M638" s="17" t="n">
        <f aca="false">J638*INDEX('04_MAQUINAS'!$G$2:$G$18,MATCH(E638,'04_MAQUINAS'!$A$2:$A$18,0))*INDEX('04_MAQUINAS'!$H$2:$H$18,MATCH(E638,'04_MAQUINAS'!$A$2:$A$18,0))</f>
        <v>0.0385333333333333</v>
      </c>
      <c r="N638" s="2" t="s">
        <v>629</v>
      </c>
    </row>
    <row r="639" customFormat="false" ht="15" hidden="false" customHeight="false" outlineLevel="0" collapsed="false">
      <c r="A639" s="2" t="s">
        <v>577</v>
      </c>
      <c r="B639" s="2" t="s">
        <v>106</v>
      </c>
      <c r="C639" s="4" t="n">
        <v>11</v>
      </c>
      <c r="D639" s="2" t="s">
        <v>452</v>
      </c>
      <c r="E639" s="2" t="s">
        <v>411</v>
      </c>
      <c r="F639" s="5" t="n">
        <f aca="false">INDEX('08_PEDIDOS'!$D$2:$D$97,MATCH(A639,'08_PEDIDOS'!$A$2:$A$97,0))</f>
        <v>6</v>
      </c>
      <c r="G639" s="5" t="n">
        <f aca="false">INDEX('08_PEDIDOS'!$H$2:$H$97,MATCH(A639,'08_PEDIDOS'!$A$2:$A$97,0))</f>
        <v>10</v>
      </c>
      <c r="H639" s="17" t="n">
        <f aca="false">SUMIFS('05_RUTAS'!$F$2:$F$407,'05_RUTAS'!$A$2:$A$407,B639,'05_RUTAS'!$C$2:$C$407,C639)</f>
        <v>2</v>
      </c>
      <c r="I639" s="18" t="n">
        <f aca="false">SUMIFS('05_RUTAS'!$G$2:$G$407,'05_RUTAS'!$A$2:$A$407,B639,'05_RUTAS'!$C$2:$C$407,C639)</f>
        <v>4.78</v>
      </c>
      <c r="J639" s="18" t="n">
        <f aca="false">(ROUNDUP(F639/G639,0)*H639+F639*I639)/60</f>
        <v>0.511333333333333</v>
      </c>
      <c r="K639" s="5" t="n">
        <f aca="false">MONTH(INDEX('08_PEDIDOS'!$F$2:$F$97,MATCH(A639,'08_PEDIDOS'!$A$2:$A$97,0)))</f>
        <v>7</v>
      </c>
      <c r="L639" s="16" t="n">
        <f aca="false">J639*N(INDEX('04_MAQUINAS'!$F$2:$F$18,MATCH(E639,'04_MAQUINAS'!$A$2:$A$18,0)))</f>
        <v>9.204</v>
      </c>
      <c r="M639" s="17" t="n">
        <f aca="false">J639*INDEX('04_MAQUINAS'!$G$2:$G$18,MATCH(E639,'04_MAQUINAS'!$A$2:$A$18,0))*INDEX('04_MAQUINAS'!$H$2:$H$18,MATCH(E639,'04_MAQUINAS'!$A$2:$A$18,0))</f>
        <v>0.04602</v>
      </c>
      <c r="N639" s="2" t="s">
        <v>629</v>
      </c>
    </row>
    <row r="640" customFormat="false" ht="15" hidden="false" customHeight="false" outlineLevel="0" collapsed="false">
      <c r="A640" s="2" t="s">
        <v>578</v>
      </c>
      <c r="B640" s="2" t="s">
        <v>108</v>
      </c>
      <c r="C640" s="4" t="n">
        <v>1</v>
      </c>
      <c r="D640" s="2" t="s">
        <v>437</v>
      </c>
      <c r="E640" s="2" t="s">
        <v>375</v>
      </c>
      <c r="F640" s="5" t="n">
        <f aca="false">INDEX('08_PEDIDOS'!$D$2:$D$97,MATCH(A640,'08_PEDIDOS'!$A$2:$A$97,0))</f>
        <v>7</v>
      </c>
      <c r="G640" s="5" t="n">
        <f aca="false">INDEX('08_PEDIDOS'!$H$2:$H$97,MATCH(A640,'08_PEDIDOS'!$A$2:$A$97,0))</f>
        <v>10</v>
      </c>
      <c r="H640" s="17" t="n">
        <f aca="false">SUMIFS('05_RUTAS'!$F$2:$F$407,'05_RUTAS'!$A$2:$A$407,B640,'05_RUTAS'!$C$2:$C$407,C640)</f>
        <v>8</v>
      </c>
      <c r="I640" s="18" t="n">
        <f aca="false">SUMIFS('05_RUTAS'!$G$2:$G$407,'05_RUTAS'!$A$2:$A$407,B640,'05_RUTAS'!$C$2:$C$407,C640)</f>
        <v>57.14</v>
      </c>
      <c r="J640" s="18" t="n">
        <f aca="false">(ROUNDUP(F640/G640,0)*H640+F640*I640)/60</f>
        <v>6.79966666666667</v>
      </c>
      <c r="K640" s="5" t="n">
        <f aca="false">MONTH(INDEX('08_PEDIDOS'!$F$2:$F$97,MATCH(A640,'08_PEDIDOS'!$A$2:$A$97,0)))</f>
        <v>7</v>
      </c>
      <c r="L640" s="16" t="n">
        <f aca="false">J640*N(INDEX('04_MAQUINAS'!$F$2:$F$18,MATCH(E640,'04_MAQUINAS'!$A$2:$A$18,0)))</f>
        <v>163.192</v>
      </c>
      <c r="M640" s="17" t="n">
        <f aca="false">J640*INDEX('04_MAQUINAS'!$G$2:$G$18,MATCH(E640,'04_MAQUINAS'!$A$2:$A$18,0))*INDEX('04_MAQUINAS'!$H$2:$H$18,MATCH(E640,'04_MAQUINAS'!$A$2:$A$18,0))</f>
        <v>18.6990833333333</v>
      </c>
      <c r="N640" s="2" t="s">
        <v>629</v>
      </c>
    </row>
    <row r="641" customFormat="false" ht="15" hidden="false" customHeight="false" outlineLevel="0" collapsed="false">
      <c r="A641" s="2" t="s">
        <v>578</v>
      </c>
      <c r="B641" s="2" t="s">
        <v>108</v>
      </c>
      <c r="C641" s="4" t="n">
        <v>2</v>
      </c>
      <c r="D641" s="2" t="s">
        <v>386</v>
      </c>
      <c r="E641" s="2" t="s">
        <v>383</v>
      </c>
      <c r="F641" s="5" t="n">
        <f aca="false">INDEX('08_PEDIDOS'!$D$2:$D$97,MATCH(A641,'08_PEDIDOS'!$A$2:$A$97,0))</f>
        <v>7</v>
      </c>
      <c r="G641" s="5" t="n">
        <f aca="false">INDEX('08_PEDIDOS'!$H$2:$H$97,MATCH(A641,'08_PEDIDOS'!$A$2:$A$97,0))</f>
        <v>10</v>
      </c>
      <c r="H641" s="17" t="n">
        <f aca="false">SUMIFS('05_RUTAS'!$F$2:$F$407,'05_RUTAS'!$A$2:$A$407,B641,'05_RUTAS'!$C$2:$C$407,C641)</f>
        <v>10</v>
      </c>
      <c r="I641" s="18" t="n">
        <f aca="false">SUMIFS('05_RUTAS'!$G$2:$G$407,'05_RUTAS'!$A$2:$A$407,B641,'05_RUTAS'!$C$2:$C$407,C641)</f>
        <v>27</v>
      </c>
      <c r="J641" s="18" t="n">
        <f aca="false">(ROUNDUP(F641/G641,0)*H641+F641*I641)/60</f>
        <v>3.31666666666667</v>
      </c>
      <c r="K641" s="5" t="n">
        <f aca="false">MONTH(INDEX('08_PEDIDOS'!$F$2:$F$97,MATCH(A641,'08_PEDIDOS'!$A$2:$A$97,0)))</f>
        <v>7</v>
      </c>
      <c r="L641" s="16" t="n">
        <f aca="false">J641*N(INDEX('04_MAQUINAS'!$F$2:$F$18,MATCH(E641,'04_MAQUINAS'!$A$2:$A$18,0)))</f>
        <v>72.9666666666667</v>
      </c>
      <c r="M641" s="17" t="n">
        <f aca="false">J641*INDEX('04_MAQUINAS'!$G$2:$G$18,MATCH(E641,'04_MAQUINAS'!$A$2:$A$18,0))*INDEX('04_MAQUINAS'!$H$2:$H$18,MATCH(E641,'04_MAQUINAS'!$A$2:$A$18,0))</f>
        <v>0.912083333333334</v>
      </c>
      <c r="N641" s="2" t="s">
        <v>629</v>
      </c>
    </row>
    <row r="642" customFormat="false" ht="15" hidden="false" customHeight="false" outlineLevel="0" collapsed="false">
      <c r="A642" s="2" t="s">
        <v>578</v>
      </c>
      <c r="B642" s="2" t="s">
        <v>108</v>
      </c>
      <c r="C642" s="4" t="n">
        <v>3</v>
      </c>
      <c r="D642" s="2" t="s">
        <v>390</v>
      </c>
      <c r="E642" s="2" t="s">
        <v>387</v>
      </c>
      <c r="F642" s="5" t="n">
        <f aca="false">INDEX('08_PEDIDOS'!$D$2:$D$97,MATCH(A642,'08_PEDIDOS'!$A$2:$A$97,0))</f>
        <v>7</v>
      </c>
      <c r="G642" s="5" t="n">
        <f aca="false">INDEX('08_PEDIDOS'!$H$2:$H$97,MATCH(A642,'08_PEDIDOS'!$A$2:$A$97,0))</f>
        <v>10</v>
      </c>
      <c r="H642" s="17" t="n">
        <f aca="false">SUMIFS('05_RUTAS'!$F$2:$F$407,'05_RUTAS'!$A$2:$A$407,B642,'05_RUTAS'!$C$2:$C$407,C642)</f>
        <v>12</v>
      </c>
      <c r="I642" s="18" t="n">
        <f aca="false">SUMIFS('05_RUTAS'!$G$2:$G$407,'05_RUTAS'!$A$2:$A$407,B642,'05_RUTAS'!$C$2:$C$407,C642)</f>
        <v>149</v>
      </c>
      <c r="J642" s="18" t="n">
        <f aca="false">(ROUNDUP(F642/G642,0)*H642+F642*I642)/60</f>
        <v>17.5833333333333</v>
      </c>
      <c r="K642" s="5" t="n">
        <f aca="false">MONTH(INDEX('08_PEDIDOS'!$F$2:$F$97,MATCH(A642,'08_PEDIDOS'!$A$2:$A$97,0)))</f>
        <v>7</v>
      </c>
      <c r="L642" s="16" t="n">
        <f aca="false">J642*N(INDEX('04_MAQUINAS'!$F$2:$F$18,MATCH(E642,'04_MAQUINAS'!$A$2:$A$18,0)))</f>
        <v>492.333333333333</v>
      </c>
      <c r="M642" s="17" t="n">
        <f aca="false">J642*INDEX('04_MAQUINAS'!$G$2:$G$18,MATCH(E642,'04_MAQUINAS'!$A$2:$A$18,0))*INDEX('04_MAQUINAS'!$H$2:$H$18,MATCH(E642,'04_MAQUINAS'!$A$2:$A$18,0))</f>
        <v>43.51875</v>
      </c>
      <c r="N642" s="2" t="s">
        <v>629</v>
      </c>
    </row>
    <row r="643" customFormat="false" ht="15" hidden="false" customHeight="false" outlineLevel="0" collapsed="false">
      <c r="A643" s="2" t="s">
        <v>578</v>
      </c>
      <c r="B643" s="2" t="s">
        <v>108</v>
      </c>
      <c r="C643" s="4" t="n">
        <v>4</v>
      </c>
      <c r="D643" s="2" t="s">
        <v>443</v>
      </c>
      <c r="E643" s="2" t="s">
        <v>395</v>
      </c>
      <c r="F643" s="5" t="n">
        <f aca="false">INDEX('08_PEDIDOS'!$D$2:$D$97,MATCH(A643,'08_PEDIDOS'!$A$2:$A$97,0))</f>
        <v>7</v>
      </c>
      <c r="G643" s="5" t="n">
        <f aca="false">INDEX('08_PEDIDOS'!$H$2:$H$97,MATCH(A643,'08_PEDIDOS'!$A$2:$A$97,0))</f>
        <v>10</v>
      </c>
      <c r="H643" s="17" t="n">
        <f aca="false">SUMIFS('05_RUTAS'!$F$2:$F$407,'05_RUTAS'!$A$2:$A$407,B643,'05_RUTAS'!$C$2:$C$407,C643)</f>
        <v>3</v>
      </c>
      <c r="I643" s="18" t="n">
        <f aca="false">SUMIFS('05_RUTAS'!$G$2:$G$407,'05_RUTAS'!$A$2:$A$407,B643,'05_RUTAS'!$C$2:$C$407,C643)</f>
        <v>25.5</v>
      </c>
      <c r="J643" s="18" t="n">
        <f aca="false">(ROUNDUP(F643/G643,0)*H643+F643*I643)/60</f>
        <v>3.025</v>
      </c>
      <c r="K643" s="5" t="n">
        <f aca="false">MONTH(INDEX('08_PEDIDOS'!$F$2:$F$97,MATCH(A643,'08_PEDIDOS'!$A$2:$A$97,0)))</f>
        <v>7</v>
      </c>
      <c r="L643" s="16" t="n">
        <f aca="false">J643*N(INDEX('04_MAQUINAS'!$F$2:$F$18,MATCH(E643,'04_MAQUINAS'!$A$2:$A$18,0)))</f>
        <v>63.525</v>
      </c>
      <c r="M643" s="17" t="n">
        <f aca="false">J643*INDEX('04_MAQUINAS'!$G$2:$G$18,MATCH(E643,'04_MAQUINAS'!$A$2:$A$18,0))*INDEX('04_MAQUINAS'!$H$2:$H$18,MATCH(E643,'04_MAQUINAS'!$A$2:$A$18,0))</f>
        <v>2.26875</v>
      </c>
      <c r="N643" s="2" t="s">
        <v>629</v>
      </c>
    </row>
    <row r="644" customFormat="false" ht="15" hidden="false" customHeight="false" outlineLevel="0" collapsed="false">
      <c r="A644" s="2" t="s">
        <v>578</v>
      </c>
      <c r="B644" s="2" t="s">
        <v>108</v>
      </c>
      <c r="C644" s="4" t="n">
        <v>5</v>
      </c>
      <c r="D644" s="2" t="s">
        <v>444</v>
      </c>
      <c r="E644" s="2" t="s">
        <v>399</v>
      </c>
      <c r="F644" s="5" t="n">
        <f aca="false">INDEX('08_PEDIDOS'!$D$2:$D$97,MATCH(A644,'08_PEDIDOS'!$A$2:$A$97,0))</f>
        <v>7</v>
      </c>
      <c r="G644" s="5" t="n">
        <f aca="false">INDEX('08_PEDIDOS'!$H$2:$H$97,MATCH(A644,'08_PEDIDOS'!$A$2:$A$97,0))</f>
        <v>10</v>
      </c>
      <c r="H644" s="17" t="n">
        <f aca="false">SUMIFS('05_RUTAS'!$F$2:$F$407,'05_RUTAS'!$A$2:$A$407,B644,'05_RUTAS'!$C$2:$C$407,C644)</f>
        <v>6</v>
      </c>
      <c r="I644" s="18" t="n">
        <f aca="false">SUMIFS('05_RUTAS'!$G$2:$G$407,'05_RUTAS'!$A$2:$A$407,B644,'05_RUTAS'!$C$2:$C$407,C644)</f>
        <v>37.528</v>
      </c>
      <c r="J644" s="18" t="n">
        <f aca="false">(ROUNDUP(F644/G644,0)*H644+F644*I644)/60</f>
        <v>4.47826666666667</v>
      </c>
      <c r="K644" s="5" t="n">
        <f aca="false">MONTH(INDEX('08_PEDIDOS'!$F$2:$F$97,MATCH(A644,'08_PEDIDOS'!$A$2:$A$97,0)))</f>
        <v>7</v>
      </c>
      <c r="L644" s="16" t="n">
        <f aca="false">J644*N(INDEX('04_MAQUINAS'!$F$2:$F$18,MATCH(E644,'04_MAQUINAS'!$A$2:$A$18,0)))</f>
        <v>85.0870666666667</v>
      </c>
      <c r="M644" s="17" t="n">
        <f aca="false">J644*INDEX('04_MAQUINAS'!$G$2:$G$18,MATCH(E644,'04_MAQUINAS'!$A$2:$A$18,0))*INDEX('04_MAQUINAS'!$H$2:$H$18,MATCH(E644,'04_MAQUINAS'!$A$2:$A$18,0))</f>
        <v>3.94087466666667</v>
      </c>
      <c r="N644" s="2" t="s">
        <v>629</v>
      </c>
    </row>
    <row r="645" customFormat="false" ht="15" hidden="false" customHeight="false" outlineLevel="0" collapsed="false">
      <c r="A645" s="2" t="s">
        <v>578</v>
      </c>
      <c r="B645" s="2" t="s">
        <v>108</v>
      </c>
      <c r="C645" s="4" t="n">
        <v>6</v>
      </c>
      <c r="D645" s="2" t="s">
        <v>445</v>
      </c>
      <c r="E645" s="2" t="s">
        <v>402</v>
      </c>
      <c r="F645" s="5" t="n">
        <f aca="false">INDEX('08_PEDIDOS'!$D$2:$D$97,MATCH(A645,'08_PEDIDOS'!$A$2:$A$97,0))</f>
        <v>7</v>
      </c>
      <c r="G645" s="5" t="n">
        <f aca="false">INDEX('08_PEDIDOS'!$H$2:$H$97,MATCH(A645,'08_PEDIDOS'!$A$2:$A$97,0))</f>
        <v>10</v>
      </c>
      <c r="H645" s="17" t="n">
        <f aca="false">SUMIFS('05_RUTAS'!$F$2:$F$407,'05_RUTAS'!$A$2:$A$407,B645,'05_RUTAS'!$C$2:$C$407,C645)</f>
        <v>12</v>
      </c>
      <c r="I645" s="18" t="n">
        <f aca="false">SUMIFS('05_RUTAS'!$G$2:$G$407,'05_RUTAS'!$A$2:$A$407,B645,'05_RUTAS'!$C$2:$C$407,C645)</f>
        <v>6.83</v>
      </c>
      <c r="J645" s="18" t="n">
        <f aca="false">(ROUNDUP(F645/G645,0)*H645+F645*I645)/60</f>
        <v>0.996833333333333</v>
      </c>
      <c r="K645" s="5" t="n">
        <f aca="false">MONTH(INDEX('08_PEDIDOS'!$F$2:$F$97,MATCH(A645,'08_PEDIDOS'!$A$2:$A$97,0)))</f>
        <v>7</v>
      </c>
      <c r="L645" s="16" t="n">
        <f aca="false">J645*N(INDEX('04_MAQUINAS'!$F$2:$F$18,MATCH(E645,'04_MAQUINAS'!$A$2:$A$18,0)))</f>
        <v>31.8986666666667</v>
      </c>
      <c r="M645" s="17" t="n">
        <f aca="false">J645*INDEX('04_MAQUINAS'!$G$2:$G$18,MATCH(E645,'04_MAQUINAS'!$A$2:$A$18,0))*INDEX('04_MAQUINAS'!$H$2:$H$18,MATCH(E645,'04_MAQUINAS'!$A$2:$A$18,0))</f>
        <v>1.046675</v>
      </c>
      <c r="N645" s="2" t="s">
        <v>629</v>
      </c>
    </row>
    <row r="646" customFormat="false" ht="15" hidden="false" customHeight="false" outlineLevel="0" collapsed="false">
      <c r="A646" s="2" t="s">
        <v>578</v>
      </c>
      <c r="B646" s="2" t="s">
        <v>108</v>
      </c>
      <c r="C646" s="4" t="n">
        <v>7</v>
      </c>
      <c r="D646" s="2" t="s">
        <v>447</v>
      </c>
      <c r="E646" s="2" t="s">
        <v>421</v>
      </c>
      <c r="F646" s="5" t="n">
        <f aca="false">INDEX('08_PEDIDOS'!$D$2:$D$97,MATCH(A646,'08_PEDIDOS'!$A$2:$A$97,0))</f>
        <v>7</v>
      </c>
      <c r="G646" s="5" t="n">
        <f aca="false">INDEX('08_PEDIDOS'!$H$2:$H$97,MATCH(A646,'08_PEDIDOS'!$A$2:$A$97,0))</f>
        <v>10</v>
      </c>
      <c r="H646" s="17" t="n">
        <f aca="false">SUMIFS('05_RUTAS'!$F$2:$F$407,'05_RUTAS'!$A$2:$A$407,B646,'05_RUTAS'!$C$2:$C$407,C646)</f>
        <v>45</v>
      </c>
      <c r="I646" s="18" t="n">
        <f aca="false">SUMIFS('05_RUTAS'!$G$2:$G$407,'05_RUTAS'!$A$2:$A$407,B646,'05_RUTAS'!$C$2:$C$407,C646)</f>
        <v>0</v>
      </c>
      <c r="J646" s="18" t="n">
        <f aca="false">(ROUNDUP(F646/G646,0)*H646+F646*I646)/60</f>
        <v>0.75</v>
      </c>
      <c r="K646" s="5" t="n">
        <f aca="false">MONTH(INDEX('08_PEDIDOS'!$F$2:$F$97,MATCH(A646,'08_PEDIDOS'!$A$2:$A$97,0)))</f>
        <v>7</v>
      </c>
      <c r="L646" s="16" t="n">
        <f aca="false">J646*N(INDEX('04_MAQUINAS'!$F$2:$F$18,MATCH(E646,'04_MAQUINAS'!$A$2:$A$18,0)))</f>
        <v>19.5</v>
      </c>
      <c r="M646" s="17" t="n">
        <f aca="false">J646*INDEX('04_MAQUINAS'!$G$2:$G$18,MATCH(E646,'04_MAQUINAS'!$A$2:$A$18,0))*INDEX('04_MAQUINAS'!$H$2:$H$18,MATCH(E646,'04_MAQUINAS'!$A$2:$A$18,0))</f>
        <v>10.8</v>
      </c>
      <c r="N646" s="2" t="s">
        <v>629</v>
      </c>
    </row>
    <row r="647" customFormat="false" ht="15" hidden="false" customHeight="false" outlineLevel="0" collapsed="false">
      <c r="A647" s="2" t="s">
        <v>578</v>
      </c>
      <c r="B647" s="2" t="s">
        <v>108</v>
      </c>
      <c r="C647" s="4" t="n">
        <v>8</v>
      </c>
      <c r="D647" s="2" t="s">
        <v>449</v>
      </c>
      <c r="E647" s="2" t="s">
        <v>423</v>
      </c>
      <c r="F647" s="5" t="n">
        <f aca="false">INDEX('08_PEDIDOS'!$D$2:$D$97,MATCH(A647,'08_PEDIDOS'!$A$2:$A$97,0))</f>
        <v>7</v>
      </c>
      <c r="G647" s="5" t="n">
        <f aca="false">INDEX('08_PEDIDOS'!$H$2:$H$97,MATCH(A647,'08_PEDIDOS'!$A$2:$A$97,0))</f>
        <v>10</v>
      </c>
      <c r="H647" s="17" t="n">
        <f aca="false">SUMIFS('05_RUTAS'!$F$2:$F$407,'05_RUTAS'!$A$2:$A$407,B647,'05_RUTAS'!$C$2:$C$407,C647)</f>
        <v>8</v>
      </c>
      <c r="I647" s="18" t="n">
        <f aca="false">SUMIFS('05_RUTAS'!$G$2:$G$407,'05_RUTAS'!$A$2:$A$407,B647,'05_RUTAS'!$C$2:$C$407,C647)</f>
        <v>2.42</v>
      </c>
      <c r="J647" s="18" t="n">
        <f aca="false">(ROUNDUP(F647/G647,0)*H647+F647*I647)/60</f>
        <v>0.415666666666667</v>
      </c>
      <c r="K647" s="5" t="n">
        <f aca="false">MONTH(INDEX('08_PEDIDOS'!$F$2:$F$97,MATCH(A647,'08_PEDIDOS'!$A$2:$A$97,0)))</f>
        <v>7</v>
      </c>
      <c r="L647" s="16" t="n">
        <f aca="false">J647*N(INDEX('04_MAQUINAS'!$F$2:$F$18,MATCH(E647,'04_MAQUINAS'!$A$2:$A$18,0)))</f>
        <v>6.65066666666667</v>
      </c>
      <c r="M647" s="17" t="n">
        <f aca="false">J647*INDEX('04_MAQUINAS'!$G$2:$G$18,MATCH(E647,'04_MAQUINAS'!$A$2:$A$18,0))*INDEX('04_MAQUINAS'!$H$2:$H$18,MATCH(E647,'04_MAQUINAS'!$A$2:$A$18,0))</f>
        <v>0.103916666666667</v>
      </c>
      <c r="N647" s="2" t="s">
        <v>629</v>
      </c>
    </row>
    <row r="648" customFormat="false" ht="15" hidden="false" customHeight="false" outlineLevel="0" collapsed="false">
      <c r="A648" s="2" t="s">
        <v>578</v>
      </c>
      <c r="B648" s="2" t="s">
        <v>108</v>
      </c>
      <c r="C648" s="4" t="n">
        <v>9</v>
      </c>
      <c r="D648" s="2" t="s">
        <v>450</v>
      </c>
      <c r="E648" s="2" t="s">
        <v>406</v>
      </c>
      <c r="F648" s="5" t="n">
        <f aca="false">INDEX('08_PEDIDOS'!$D$2:$D$97,MATCH(A648,'08_PEDIDOS'!$A$2:$A$97,0))</f>
        <v>7</v>
      </c>
      <c r="G648" s="5" t="n">
        <f aca="false">INDEX('08_PEDIDOS'!$H$2:$H$97,MATCH(A648,'08_PEDIDOS'!$A$2:$A$97,0))</f>
        <v>10</v>
      </c>
      <c r="H648" s="17" t="n">
        <f aca="false">SUMIFS('05_RUTAS'!$F$2:$F$407,'05_RUTAS'!$A$2:$A$407,B648,'05_RUTAS'!$C$2:$C$407,C648)</f>
        <v>6</v>
      </c>
      <c r="I648" s="18" t="n">
        <f aca="false">SUMIFS('05_RUTAS'!$G$2:$G$407,'05_RUTAS'!$A$2:$A$407,B648,'05_RUTAS'!$C$2:$C$407,C648)</f>
        <v>56.25</v>
      </c>
      <c r="J648" s="18" t="n">
        <f aca="false">(ROUNDUP(F648/G648,0)*H648+F648*I648)/60</f>
        <v>6.6625</v>
      </c>
      <c r="K648" s="5" t="n">
        <f aca="false">MONTH(INDEX('08_PEDIDOS'!$F$2:$F$97,MATCH(A648,'08_PEDIDOS'!$A$2:$A$97,0)))</f>
        <v>7</v>
      </c>
      <c r="L648" s="16" t="n">
        <f aca="false">J648*N(INDEX('04_MAQUINAS'!$F$2:$F$18,MATCH(E648,'04_MAQUINAS'!$A$2:$A$18,0)))</f>
        <v>126.5875</v>
      </c>
      <c r="M648" s="17" t="n">
        <f aca="false">J648*INDEX('04_MAQUINAS'!$G$2:$G$18,MATCH(E648,'04_MAQUINAS'!$A$2:$A$18,0))*INDEX('04_MAQUINAS'!$H$2:$H$18,MATCH(E648,'04_MAQUINAS'!$A$2:$A$18,0))</f>
        <v>1.99875</v>
      </c>
      <c r="N648" s="2" t="s">
        <v>629</v>
      </c>
    </row>
    <row r="649" customFormat="false" ht="15" hidden="false" customHeight="false" outlineLevel="0" collapsed="false">
      <c r="A649" s="2" t="s">
        <v>578</v>
      </c>
      <c r="B649" s="2" t="s">
        <v>108</v>
      </c>
      <c r="C649" s="4" t="n">
        <v>10</v>
      </c>
      <c r="D649" s="2" t="s">
        <v>451</v>
      </c>
      <c r="E649" s="2" t="s">
        <v>408</v>
      </c>
      <c r="F649" s="5" t="n">
        <f aca="false">INDEX('08_PEDIDOS'!$D$2:$D$97,MATCH(A649,'08_PEDIDOS'!$A$2:$A$97,0))</f>
        <v>7</v>
      </c>
      <c r="G649" s="5" t="n">
        <f aca="false">INDEX('08_PEDIDOS'!$H$2:$H$97,MATCH(A649,'08_PEDIDOS'!$A$2:$A$97,0))</f>
        <v>10</v>
      </c>
      <c r="H649" s="17" t="n">
        <f aca="false">SUMIFS('05_RUTAS'!$F$2:$F$407,'05_RUTAS'!$A$2:$A$407,B649,'05_RUTAS'!$C$2:$C$407,C649)</f>
        <v>2</v>
      </c>
      <c r="I649" s="18" t="n">
        <f aca="false">SUMIFS('05_RUTAS'!$G$2:$G$407,'05_RUTAS'!$A$2:$A$407,B649,'05_RUTAS'!$C$2:$C$407,C649)</f>
        <v>3.52</v>
      </c>
      <c r="J649" s="18" t="n">
        <f aca="false">(ROUNDUP(F649/G649,0)*H649+F649*I649)/60</f>
        <v>0.444</v>
      </c>
      <c r="K649" s="5" t="n">
        <f aca="false">MONTH(INDEX('08_PEDIDOS'!$F$2:$F$97,MATCH(A649,'08_PEDIDOS'!$A$2:$A$97,0)))</f>
        <v>7</v>
      </c>
      <c r="L649" s="16" t="n">
        <f aca="false">J649*N(INDEX('04_MAQUINAS'!$F$2:$F$18,MATCH(E649,'04_MAQUINAS'!$A$2:$A$18,0)))</f>
        <v>8.88</v>
      </c>
      <c r="M649" s="17" t="n">
        <f aca="false">J649*INDEX('04_MAQUINAS'!$G$2:$G$18,MATCH(E649,'04_MAQUINAS'!$A$2:$A$18,0))*INDEX('04_MAQUINAS'!$H$2:$H$18,MATCH(E649,'04_MAQUINAS'!$A$2:$A$18,0))</f>
        <v>0.0444</v>
      </c>
      <c r="N649" s="2" t="s">
        <v>629</v>
      </c>
    </row>
    <row r="650" customFormat="false" ht="15" hidden="false" customHeight="false" outlineLevel="0" collapsed="false">
      <c r="A650" s="2" t="s">
        <v>578</v>
      </c>
      <c r="B650" s="2" t="s">
        <v>108</v>
      </c>
      <c r="C650" s="4" t="n">
        <v>11</v>
      </c>
      <c r="D650" s="2" t="s">
        <v>452</v>
      </c>
      <c r="E650" s="2" t="s">
        <v>411</v>
      </c>
      <c r="F650" s="5" t="n">
        <f aca="false">INDEX('08_PEDIDOS'!$D$2:$D$97,MATCH(A650,'08_PEDIDOS'!$A$2:$A$97,0))</f>
        <v>7</v>
      </c>
      <c r="G650" s="5" t="n">
        <f aca="false">INDEX('08_PEDIDOS'!$H$2:$H$97,MATCH(A650,'08_PEDIDOS'!$A$2:$A$97,0))</f>
        <v>10</v>
      </c>
      <c r="H650" s="17" t="n">
        <f aca="false">SUMIFS('05_RUTAS'!$F$2:$F$407,'05_RUTAS'!$A$2:$A$407,B650,'05_RUTAS'!$C$2:$C$407,C650)</f>
        <v>2</v>
      </c>
      <c r="I650" s="18" t="n">
        <f aca="false">SUMIFS('05_RUTAS'!$G$2:$G$407,'05_RUTAS'!$A$2:$A$407,B650,'05_RUTAS'!$C$2:$C$407,C650)</f>
        <v>4.78</v>
      </c>
      <c r="J650" s="18" t="n">
        <f aca="false">(ROUNDUP(F650/G650,0)*H650+F650*I650)/60</f>
        <v>0.591</v>
      </c>
      <c r="K650" s="5" t="n">
        <f aca="false">MONTH(INDEX('08_PEDIDOS'!$F$2:$F$97,MATCH(A650,'08_PEDIDOS'!$A$2:$A$97,0)))</f>
        <v>7</v>
      </c>
      <c r="L650" s="16" t="n">
        <f aca="false">J650*N(INDEX('04_MAQUINAS'!$F$2:$F$18,MATCH(E650,'04_MAQUINAS'!$A$2:$A$18,0)))</f>
        <v>10.638</v>
      </c>
      <c r="M650" s="17" t="n">
        <f aca="false">J650*INDEX('04_MAQUINAS'!$G$2:$G$18,MATCH(E650,'04_MAQUINAS'!$A$2:$A$18,0))*INDEX('04_MAQUINAS'!$H$2:$H$18,MATCH(E650,'04_MAQUINAS'!$A$2:$A$18,0))</f>
        <v>0.05319</v>
      </c>
      <c r="N650" s="2" t="s">
        <v>629</v>
      </c>
    </row>
    <row r="651" customFormat="false" ht="15" hidden="false" customHeight="false" outlineLevel="0" collapsed="false">
      <c r="A651" s="2" t="s">
        <v>579</v>
      </c>
      <c r="B651" s="2" t="s">
        <v>119</v>
      </c>
      <c r="C651" s="4" t="n">
        <v>1</v>
      </c>
      <c r="D651" s="2" t="s">
        <v>437</v>
      </c>
      <c r="E651" s="2" t="s">
        <v>375</v>
      </c>
      <c r="F651" s="5" t="n">
        <f aca="false">INDEX('08_PEDIDOS'!$D$2:$D$97,MATCH(A651,'08_PEDIDOS'!$A$2:$A$97,0))</f>
        <v>11</v>
      </c>
      <c r="G651" s="5" t="n">
        <f aca="false">INDEX('08_PEDIDOS'!$H$2:$H$97,MATCH(A651,'08_PEDIDOS'!$A$2:$A$97,0))</f>
        <v>10</v>
      </c>
      <c r="H651" s="17" t="n">
        <f aca="false">SUMIFS('05_RUTAS'!$F$2:$F$407,'05_RUTAS'!$A$2:$A$407,B651,'05_RUTAS'!$C$2:$C$407,C651)</f>
        <v>8</v>
      </c>
      <c r="I651" s="18" t="n">
        <f aca="false">SUMIFS('05_RUTAS'!$G$2:$G$407,'05_RUTAS'!$A$2:$A$407,B651,'05_RUTAS'!$C$2:$C$407,C651)</f>
        <v>35.56</v>
      </c>
      <c r="J651" s="18" t="n">
        <f aca="false">(ROUNDUP(F651/G651,0)*H651+F651*I651)/60</f>
        <v>6.786</v>
      </c>
      <c r="K651" s="5" t="n">
        <f aca="false">MONTH(INDEX('08_PEDIDOS'!$F$2:$F$97,MATCH(A651,'08_PEDIDOS'!$A$2:$A$97,0)))</f>
        <v>7</v>
      </c>
      <c r="L651" s="16" t="n">
        <f aca="false">J651*N(INDEX('04_MAQUINAS'!$F$2:$F$18,MATCH(E651,'04_MAQUINAS'!$A$2:$A$18,0)))</f>
        <v>162.864</v>
      </c>
      <c r="M651" s="17" t="n">
        <f aca="false">J651*INDEX('04_MAQUINAS'!$G$2:$G$18,MATCH(E651,'04_MAQUINAS'!$A$2:$A$18,0))*INDEX('04_MAQUINAS'!$H$2:$H$18,MATCH(E651,'04_MAQUINAS'!$A$2:$A$18,0))</f>
        <v>18.6615</v>
      </c>
      <c r="N651" s="2" t="s">
        <v>629</v>
      </c>
    </row>
    <row r="652" customFormat="false" ht="15" hidden="false" customHeight="false" outlineLevel="0" collapsed="false">
      <c r="A652" s="2" t="s">
        <v>579</v>
      </c>
      <c r="B652" s="2" t="s">
        <v>119</v>
      </c>
      <c r="C652" s="4" t="n">
        <v>2</v>
      </c>
      <c r="D652" s="2" t="s">
        <v>386</v>
      </c>
      <c r="E652" s="2" t="s">
        <v>383</v>
      </c>
      <c r="F652" s="5" t="n">
        <f aca="false">INDEX('08_PEDIDOS'!$D$2:$D$97,MATCH(A652,'08_PEDIDOS'!$A$2:$A$97,0))</f>
        <v>11</v>
      </c>
      <c r="G652" s="5" t="n">
        <f aca="false">INDEX('08_PEDIDOS'!$H$2:$H$97,MATCH(A652,'08_PEDIDOS'!$A$2:$A$97,0))</f>
        <v>10</v>
      </c>
      <c r="H652" s="17" t="n">
        <f aca="false">SUMIFS('05_RUTAS'!$F$2:$F$407,'05_RUTAS'!$A$2:$A$407,B652,'05_RUTAS'!$C$2:$C$407,C652)</f>
        <v>10</v>
      </c>
      <c r="I652" s="18" t="n">
        <f aca="false">SUMIFS('05_RUTAS'!$G$2:$G$407,'05_RUTAS'!$A$2:$A$407,B652,'05_RUTAS'!$C$2:$C$407,C652)</f>
        <v>5.8</v>
      </c>
      <c r="J652" s="18" t="n">
        <f aca="false">(ROUNDUP(F652/G652,0)*H652+F652*I652)/60</f>
        <v>1.39666666666667</v>
      </c>
      <c r="K652" s="5" t="n">
        <f aca="false">MONTH(INDEX('08_PEDIDOS'!$F$2:$F$97,MATCH(A652,'08_PEDIDOS'!$A$2:$A$97,0)))</f>
        <v>7</v>
      </c>
      <c r="L652" s="16" t="n">
        <f aca="false">J652*N(INDEX('04_MAQUINAS'!$F$2:$F$18,MATCH(E652,'04_MAQUINAS'!$A$2:$A$18,0)))</f>
        <v>30.7266666666667</v>
      </c>
      <c r="M652" s="17" t="n">
        <f aca="false">J652*INDEX('04_MAQUINAS'!$G$2:$G$18,MATCH(E652,'04_MAQUINAS'!$A$2:$A$18,0))*INDEX('04_MAQUINAS'!$H$2:$H$18,MATCH(E652,'04_MAQUINAS'!$A$2:$A$18,0))</f>
        <v>0.384083333333333</v>
      </c>
      <c r="N652" s="2" t="s">
        <v>629</v>
      </c>
    </row>
    <row r="653" customFormat="false" ht="15" hidden="false" customHeight="false" outlineLevel="0" collapsed="false">
      <c r="A653" s="2" t="s">
        <v>579</v>
      </c>
      <c r="B653" s="2" t="s">
        <v>119</v>
      </c>
      <c r="C653" s="4" t="n">
        <v>3</v>
      </c>
      <c r="D653" s="2" t="s">
        <v>390</v>
      </c>
      <c r="E653" s="2" t="s">
        <v>387</v>
      </c>
      <c r="F653" s="5" t="n">
        <f aca="false">INDEX('08_PEDIDOS'!$D$2:$D$97,MATCH(A653,'08_PEDIDOS'!$A$2:$A$97,0))</f>
        <v>11</v>
      </c>
      <c r="G653" s="5" t="n">
        <f aca="false">INDEX('08_PEDIDOS'!$H$2:$H$97,MATCH(A653,'08_PEDIDOS'!$A$2:$A$97,0))</f>
        <v>10</v>
      </c>
      <c r="H653" s="17" t="n">
        <f aca="false">SUMIFS('05_RUTAS'!$F$2:$F$407,'05_RUTAS'!$A$2:$A$407,B653,'05_RUTAS'!$C$2:$C$407,C653)</f>
        <v>12</v>
      </c>
      <c r="I653" s="18" t="n">
        <f aca="false">SUMIFS('05_RUTAS'!$G$2:$G$407,'05_RUTAS'!$A$2:$A$407,B653,'05_RUTAS'!$C$2:$C$407,C653)</f>
        <v>86</v>
      </c>
      <c r="J653" s="18" t="n">
        <f aca="false">(ROUNDUP(F653/G653,0)*H653+F653*I653)/60</f>
        <v>16.1666666666667</v>
      </c>
      <c r="K653" s="5" t="n">
        <f aca="false">MONTH(INDEX('08_PEDIDOS'!$F$2:$F$97,MATCH(A653,'08_PEDIDOS'!$A$2:$A$97,0)))</f>
        <v>7</v>
      </c>
      <c r="L653" s="16" t="n">
        <f aca="false">J653*N(INDEX('04_MAQUINAS'!$F$2:$F$18,MATCH(E653,'04_MAQUINAS'!$A$2:$A$18,0)))</f>
        <v>452.666666666667</v>
      </c>
      <c r="M653" s="17" t="n">
        <f aca="false">J653*INDEX('04_MAQUINAS'!$G$2:$G$18,MATCH(E653,'04_MAQUINAS'!$A$2:$A$18,0))*INDEX('04_MAQUINAS'!$H$2:$H$18,MATCH(E653,'04_MAQUINAS'!$A$2:$A$18,0))</f>
        <v>40.0125</v>
      </c>
      <c r="N653" s="2" t="s">
        <v>629</v>
      </c>
    </row>
    <row r="654" customFormat="false" ht="15" hidden="false" customHeight="false" outlineLevel="0" collapsed="false">
      <c r="A654" s="2" t="s">
        <v>579</v>
      </c>
      <c r="B654" s="2" t="s">
        <v>119</v>
      </c>
      <c r="C654" s="4" t="n">
        <v>4</v>
      </c>
      <c r="D654" s="2" t="s">
        <v>443</v>
      </c>
      <c r="E654" s="2" t="s">
        <v>395</v>
      </c>
      <c r="F654" s="5" t="n">
        <f aca="false">INDEX('08_PEDIDOS'!$D$2:$D$97,MATCH(A654,'08_PEDIDOS'!$A$2:$A$97,0))</f>
        <v>11</v>
      </c>
      <c r="G654" s="5" t="n">
        <f aca="false">INDEX('08_PEDIDOS'!$H$2:$H$97,MATCH(A654,'08_PEDIDOS'!$A$2:$A$97,0))</f>
        <v>10</v>
      </c>
      <c r="H654" s="17" t="n">
        <f aca="false">SUMIFS('05_RUTAS'!$F$2:$F$407,'05_RUTAS'!$A$2:$A$407,B654,'05_RUTAS'!$C$2:$C$407,C654)</f>
        <v>3</v>
      </c>
      <c r="I654" s="18" t="n">
        <f aca="false">SUMIFS('05_RUTAS'!$G$2:$G$407,'05_RUTAS'!$A$2:$A$407,B654,'05_RUTAS'!$C$2:$C$407,C654)</f>
        <v>15</v>
      </c>
      <c r="J654" s="18" t="n">
        <f aca="false">(ROUNDUP(F654/G654,0)*H654+F654*I654)/60</f>
        <v>2.85</v>
      </c>
      <c r="K654" s="5" t="n">
        <f aca="false">MONTH(INDEX('08_PEDIDOS'!$F$2:$F$97,MATCH(A654,'08_PEDIDOS'!$A$2:$A$97,0)))</f>
        <v>7</v>
      </c>
      <c r="L654" s="16" t="n">
        <f aca="false">J654*N(INDEX('04_MAQUINAS'!$F$2:$F$18,MATCH(E654,'04_MAQUINAS'!$A$2:$A$18,0)))</f>
        <v>59.85</v>
      </c>
      <c r="M654" s="17" t="n">
        <f aca="false">J654*INDEX('04_MAQUINAS'!$G$2:$G$18,MATCH(E654,'04_MAQUINAS'!$A$2:$A$18,0))*INDEX('04_MAQUINAS'!$H$2:$H$18,MATCH(E654,'04_MAQUINAS'!$A$2:$A$18,0))</f>
        <v>2.1375</v>
      </c>
      <c r="N654" s="2" t="s">
        <v>629</v>
      </c>
    </row>
    <row r="655" customFormat="false" ht="15" hidden="false" customHeight="false" outlineLevel="0" collapsed="false">
      <c r="A655" s="2" t="s">
        <v>579</v>
      </c>
      <c r="B655" s="2" t="s">
        <v>119</v>
      </c>
      <c r="C655" s="4" t="n">
        <v>5</v>
      </c>
      <c r="D655" s="2" t="s">
        <v>444</v>
      </c>
      <c r="E655" s="2" t="s">
        <v>399</v>
      </c>
      <c r="F655" s="5" t="n">
        <f aca="false">INDEX('08_PEDIDOS'!$D$2:$D$97,MATCH(A655,'08_PEDIDOS'!$A$2:$A$97,0))</f>
        <v>11</v>
      </c>
      <c r="G655" s="5" t="n">
        <f aca="false">INDEX('08_PEDIDOS'!$H$2:$H$97,MATCH(A655,'08_PEDIDOS'!$A$2:$A$97,0))</f>
        <v>10</v>
      </c>
      <c r="H655" s="17" t="n">
        <f aca="false">SUMIFS('05_RUTAS'!$F$2:$F$407,'05_RUTAS'!$A$2:$A$407,B655,'05_RUTAS'!$C$2:$C$407,C655)</f>
        <v>6</v>
      </c>
      <c r="I655" s="18" t="n">
        <f aca="false">SUMIFS('05_RUTAS'!$G$2:$G$407,'05_RUTAS'!$A$2:$A$407,B655,'05_RUTAS'!$C$2:$C$407,C655)</f>
        <v>25.712</v>
      </c>
      <c r="J655" s="18" t="n">
        <f aca="false">(ROUNDUP(F655/G655,0)*H655+F655*I655)/60</f>
        <v>4.91386666666667</v>
      </c>
      <c r="K655" s="5" t="n">
        <f aca="false">MONTH(INDEX('08_PEDIDOS'!$F$2:$F$97,MATCH(A655,'08_PEDIDOS'!$A$2:$A$97,0)))</f>
        <v>7</v>
      </c>
      <c r="L655" s="16" t="n">
        <f aca="false">J655*N(INDEX('04_MAQUINAS'!$F$2:$F$18,MATCH(E655,'04_MAQUINAS'!$A$2:$A$18,0)))</f>
        <v>93.3634666666667</v>
      </c>
      <c r="M655" s="17" t="n">
        <f aca="false">J655*INDEX('04_MAQUINAS'!$G$2:$G$18,MATCH(E655,'04_MAQUINAS'!$A$2:$A$18,0))*INDEX('04_MAQUINAS'!$H$2:$H$18,MATCH(E655,'04_MAQUINAS'!$A$2:$A$18,0))</f>
        <v>4.32420266666667</v>
      </c>
      <c r="N655" s="2" t="s">
        <v>629</v>
      </c>
    </row>
    <row r="656" customFormat="false" ht="15" hidden="false" customHeight="false" outlineLevel="0" collapsed="false">
      <c r="A656" s="2" t="s">
        <v>579</v>
      </c>
      <c r="B656" s="2" t="s">
        <v>119</v>
      </c>
      <c r="C656" s="4" t="n">
        <v>6</v>
      </c>
      <c r="D656" s="2" t="s">
        <v>445</v>
      </c>
      <c r="E656" s="2" t="s">
        <v>402</v>
      </c>
      <c r="F656" s="5" t="n">
        <f aca="false">INDEX('08_PEDIDOS'!$D$2:$D$97,MATCH(A656,'08_PEDIDOS'!$A$2:$A$97,0))</f>
        <v>11</v>
      </c>
      <c r="G656" s="5" t="n">
        <f aca="false">INDEX('08_PEDIDOS'!$H$2:$H$97,MATCH(A656,'08_PEDIDOS'!$A$2:$A$97,0))</f>
        <v>10</v>
      </c>
      <c r="H656" s="17" t="n">
        <f aca="false">SUMIFS('05_RUTAS'!$F$2:$F$407,'05_RUTAS'!$A$2:$A$407,B656,'05_RUTAS'!$C$2:$C$407,C656)</f>
        <v>12</v>
      </c>
      <c r="I656" s="18" t="n">
        <f aca="false">SUMIFS('05_RUTAS'!$G$2:$G$407,'05_RUTAS'!$A$2:$A$407,B656,'05_RUTAS'!$C$2:$C$407,C656)</f>
        <v>6.58</v>
      </c>
      <c r="J656" s="18" t="n">
        <f aca="false">(ROUNDUP(F656/G656,0)*H656+F656*I656)/60</f>
        <v>1.60633333333333</v>
      </c>
      <c r="K656" s="5" t="n">
        <f aca="false">MONTH(INDEX('08_PEDIDOS'!$F$2:$F$97,MATCH(A656,'08_PEDIDOS'!$A$2:$A$97,0)))</f>
        <v>7</v>
      </c>
      <c r="L656" s="16" t="n">
        <f aca="false">J656*N(INDEX('04_MAQUINAS'!$F$2:$F$18,MATCH(E656,'04_MAQUINAS'!$A$2:$A$18,0)))</f>
        <v>51.4026666666667</v>
      </c>
      <c r="M656" s="17" t="n">
        <f aca="false">J656*INDEX('04_MAQUINAS'!$G$2:$G$18,MATCH(E656,'04_MAQUINAS'!$A$2:$A$18,0))*INDEX('04_MAQUINAS'!$H$2:$H$18,MATCH(E656,'04_MAQUINAS'!$A$2:$A$18,0))</f>
        <v>1.68665</v>
      </c>
      <c r="N656" s="2" t="s">
        <v>629</v>
      </c>
    </row>
    <row r="657" customFormat="false" ht="15" hidden="false" customHeight="false" outlineLevel="0" collapsed="false">
      <c r="A657" s="2" t="s">
        <v>579</v>
      </c>
      <c r="B657" s="2" t="s">
        <v>119</v>
      </c>
      <c r="C657" s="4" t="n">
        <v>7</v>
      </c>
      <c r="D657" s="2" t="s">
        <v>447</v>
      </c>
      <c r="E657" s="2" t="s">
        <v>421</v>
      </c>
      <c r="F657" s="5" t="n">
        <f aca="false">INDEX('08_PEDIDOS'!$D$2:$D$97,MATCH(A657,'08_PEDIDOS'!$A$2:$A$97,0))</f>
        <v>11</v>
      </c>
      <c r="G657" s="5" t="n">
        <f aca="false">INDEX('08_PEDIDOS'!$H$2:$H$97,MATCH(A657,'08_PEDIDOS'!$A$2:$A$97,0))</f>
        <v>10</v>
      </c>
      <c r="H657" s="17" t="n">
        <f aca="false">SUMIFS('05_RUTAS'!$F$2:$F$407,'05_RUTAS'!$A$2:$A$407,B657,'05_RUTAS'!$C$2:$C$407,C657)</f>
        <v>45</v>
      </c>
      <c r="I657" s="18" t="n">
        <f aca="false">SUMIFS('05_RUTAS'!$G$2:$G$407,'05_RUTAS'!$A$2:$A$407,B657,'05_RUTAS'!$C$2:$C$407,C657)</f>
        <v>0</v>
      </c>
      <c r="J657" s="18" t="n">
        <f aca="false">(ROUNDUP(F657/G657,0)*H657+F657*I657)/60</f>
        <v>1.5</v>
      </c>
      <c r="K657" s="5" t="n">
        <f aca="false">MONTH(INDEX('08_PEDIDOS'!$F$2:$F$97,MATCH(A657,'08_PEDIDOS'!$A$2:$A$97,0)))</f>
        <v>7</v>
      </c>
      <c r="L657" s="16" t="n">
        <f aca="false">J657*N(INDEX('04_MAQUINAS'!$F$2:$F$18,MATCH(E657,'04_MAQUINAS'!$A$2:$A$18,0)))</f>
        <v>39</v>
      </c>
      <c r="M657" s="17" t="n">
        <f aca="false">J657*INDEX('04_MAQUINAS'!$G$2:$G$18,MATCH(E657,'04_MAQUINAS'!$A$2:$A$18,0))*INDEX('04_MAQUINAS'!$H$2:$H$18,MATCH(E657,'04_MAQUINAS'!$A$2:$A$18,0))</f>
        <v>21.6</v>
      </c>
      <c r="N657" s="2" t="s">
        <v>629</v>
      </c>
    </row>
    <row r="658" customFormat="false" ht="15" hidden="false" customHeight="false" outlineLevel="0" collapsed="false">
      <c r="A658" s="2" t="s">
        <v>579</v>
      </c>
      <c r="B658" s="2" t="s">
        <v>119</v>
      </c>
      <c r="C658" s="4" t="n">
        <v>8</v>
      </c>
      <c r="D658" s="2" t="s">
        <v>449</v>
      </c>
      <c r="E658" s="2" t="s">
        <v>423</v>
      </c>
      <c r="F658" s="5" t="n">
        <f aca="false">INDEX('08_PEDIDOS'!$D$2:$D$97,MATCH(A658,'08_PEDIDOS'!$A$2:$A$97,0))</f>
        <v>11</v>
      </c>
      <c r="G658" s="5" t="n">
        <f aca="false">INDEX('08_PEDIDOS'!$H$2:$H$97,MATCH(A658,'08_PEDIDOS'!$A$2:$A$97,0))</f>
        <v>10</v>
      </c>
      <c r="H658" s="17" t="n">
        <f aca="false">SUMIFS('05_RUTAS'!$F$2:$F$407,'05_RUTAS'!$A$2:$A$407,B658,'05_RUTAS'!$C$2:$C$407,C658)</f>
        <v>8</v>
      </c>
      <c r="I658" s="18" t="n">
        <f aca="false">SUMIFS('05_RUTAS'!$G$2:$G$407,'05_RUTAS'!$A$2:$A$407,B658,'05_RUTAS'!$C$2:$C$407,C658)</f>
        <v>2.36</v>
      </c>
      <c r="J658" s="18" t="n">
        <f aca="false">(ROUNDUP(F658/G658,0)*H658+F658*I658)/60</f>
        <v>0.699333333333333</v>
      </c>
      <c r="K658" s="5" t="n">
        <f aca="false">MONTH(INDEX('08_PEDIDOS'!$F$2:$F$97,MATCH(A658,'08_PEDIDOS'!$A$2:$A$97,0)))</f>
        <v>7</v>
      </c>
      <c r="L658" s="16" t="n">
        <f aca="false">J658*N(INDEX('04_MAQUINAS'!$F$2:$F$18,MATCH(E658,'04_MAQUINAS'!$A$2:$A$18,0)))</f>
        <v>11.1893333333333</v>
      </c>
      <c r="M658" s="17" t="n">
        <f aca="false">J658*INDEX('04_MAQUINAS'!$G$2:$G$18,MATCH(E658,'04_MAQUINAS'!$A$2:$A$18,0))*INDEX('04_MAQUINAS'!$H$2:$H$18,MATCH(E658,'04_MAQUINAS'!$A$2:$A$18,0))</f>
        <v>0.174833333333333</v>
      </c>
      <c r="N658" s="2" t="s">
        <v>629</v>
      </c>
    </row>
    <row r="659" customFormat="false" ht="15" hidden="false" customHeight="false" outlineLevel="0" collapsed="false">
      <c r="A659" s="2" t="s">
        <v>579</v>
      </c>
      <c r="B659" s="2" t="s">
        <v>119</v>
      </c>
      <c r="C659" s="4" t="n">
        <v>9</v>
      </c>
      <c r="D659" s="2" t="s">
        <v>450</v>
      </c>
      <c r="E659" s="2" t="s">
        <v>406</v>
      </c>
      <c r="F659" s="5" t="n">
        <f aca="false">INDEX('08_PEDIDOS'!$D$2:$D$97,MATCH(A659,'08_PEDIDOS'!$A$2:$A$97,0))</f>
        <v>11</v>
      </c>
      <c r="G659" s="5" t="n">
        <f aca="false">INDEX('08_PEDIDOS'!$H$2:$H$97,MATCH(A659,'08_PEDIDOS'!$A$2:$A$97,0))</f>
        <v>10</v>
      </c>
      <c r="H659" s="17" t="n">
        <f aca="false">SUMIFS('05_RUTAS'!$F$2:$F$407,'05_RUTAS'!$A$2:$A$407,B659,'05_RUTAS'!$C$2:$C$407,C659)</f>
        <v>6</v>
      </c>
      <c r="I659" s="18" t="n">
        <f aca="false">SUMIFS('05_RUTAS'!$G$2:$G$407,'05_RUTAS'!$A$2:$A$407,B659,'05_RUTAS'!$C$2:$C$407,C659)</f>
        <v>27</v>
      </c>
      <c r="J659" s="18" t="n">
        <f aca="false">(ROUNDUP(F659/G659,0)*H659+F659*I659)/60</f>
        <v>5.15</v>
      </c>
      <c r="K659" s="5" t="n">
        <f aca="false">MONTH(INDEX('08_PEDIDOS'!$F$2:$F$97,MATCH(A659,'08_PEDIDOS'!$A$2:$A$97,0)))</f>
        <v>7</v>
      </c>
      <c r="L659" s="16" t="n">
        <f aca="false">J659*N(INDEX('04_MAQUINAS'!$F$2:$F$18,MATCH(E659,'04_MAQUINAS'!$A$2:$A$18,0)))</f>
        <v>97.85</v>
      </c>
      <c r="M659" s="17" t="n">
        <f aca="false">J659*INDEX('04_MAQUINAS'!$G$2:$G$18,MATCH(E659,'04_MAQUINAS'!$A$2:$A$18,0))*INDEX('04_MAQUINAS'!$H$2:$H$18,MATCH(E659,'04_MAQUINAS'!$A$2:$A$18,0))</f>
        <v>1.545</v>
      </c>
      <c r="N659" s="2" t="s">
        <v>629</v>
      </c>
    </row>
    <row r="660" customFormat="false" ht="15" hidden="false" customHeight="false" outlineLevel="0" collapsed="false">
      <c r="A660" s="2" t="s">
        <v>579</v>
      </c>
      <c r="B660" s="2" t="s">
        <v>119</v>
      </c>
      <c r="C660" s="4" t="n">
        <v>10</v>
      </c>
      <c r="D660" s="2" t="s">
        <v>451</v>
      </c>
      <c r="E660" s="2" t="s">
        <v>408</v>
      </c>
      <c r="F660" s="5" t="n">
        <f aca="false">INDEX('08_PEDIDOS'!$D$2:$D$97,MATCH(A660,'08_PEDIDOS'!$A$2:$A$97,0))</f>
        <v>11</v>
      </c>
      <c r="G660" s="5" t="n">
        <f aca="false">INDEX('08_PEDIDOS'!$H$2:$H$97,MATCH(A660,'08_PEDIDOS'!$A$2:$A$97,0))</f>
        <v>10</v>
      </c>
      <c r="H660" s="17" t="n">
        <f aca="false">SUMIFS('05_RUTAS'!$F$2:$F$407,'05_RUTAS'!$A$2:$A$407,B660,'05_RUTAS'!$C$2:$C$407,C660)</f>
        <v>2</v>
      </c>
      <c r="I660" s="18" t="n">
        <f aca="false">SUMIFS('05_RUTAS'!$G$2:$G$407,'05_RUTAS'!$A$2:$A$407,B660,'05_RUTAS'!$C$2:$C$407,C660)</f>
        <v>3.45</v>
      </c>
      <c r="J660" s="18" t="n">
        <f aca="false">(ROUNDUP(F660/G660,0)*H660+F660*I660)/60</f>
        <v>0.699166666666667</v>
      </c>
      <c r="K660" s="5" t="n">
        <f aca="false">MONTH(INDEX('08_PEDIDOS'!$F$2:$F$97,MATCH(A660,'08_PEDIDOS'!$A$2:$A$97,0)))</f>
        <v>7</v>
      </c>
      <c r="L660" s="16" t="n">
        <f aca="false">J660*N(INDEX('04_MAQUINAS'!$F$2:$F$18,MATCH(E660,'04_MAQUINAS'!$A$2:$A$18,0)))</f>
        <v>13.9833333333333</v>
      </c>
      <c r="M660" s="17" t="n">
        <f aca="false">J660*INDEX('04_MAQUINAS'!$G$2:$G$18,MATCH(E660,'04_MAQUINAS'!$A$2:$A$18,0))*INDEX('04_MAQUINAS'!$H$2:$H$18,MATCH(E660,'04_MAQUINAS'!$A$2:$A$18,0))</f>
        <v>0.0699166666666667</v>
      </c>
      <c r="N660" s="2" t="s">
        <v>629</v>
      </c>
    </row>
    <row r="661" customFormat="false" ht="15" hidden="false" customHeight="false" outlineLevel="0" collapsed="false">
      <c r="A661" s="2" t="s">
        <v>579</v>
      </c>
      <c r="B661" s="2" t="s">
        <v>119</v>
      </c>
      <c r="C661" s="4" t="n">
        <v>11</v>
      </c>
      <c r="D661" s="2" t="s">
        <v>452</v>
      </c>
      <c r="E661" s="2" t="s">
        <v>411</v>
      </c>
      <c r="F661" s="5" t="n">
        <f aca="false">INDEX('08_PEDIDOS'!$D$2:$D$97,MATCH(A661,'08_PEDIDOS'!$A$2:$A$97,0))</f>
        <v>11</v>
      </c>
      <c r="G661" s="5" t="n">
        <f aca="false">INDEX('08_PEDIDOS'!$H$2:$H$97,MATCH(A661,'08_PEDIDOS'!$A$2:$A$97,0))</f>
        <v>10</v>
      </c>
      <c r="H661" s="17" t="n">
        <f aca="false">SUMIFS('05_RUTAS'!$F$2:$F$407,'05_RUTAS'!$A$2:$A$407,B661,'05_RUTAS'!$C$2:$C$407,C661)</f>
        <v>2</v>
      </c>
      <c r="I661" s="18" t="n">
        <f aca="false">SUMIFS('05_RUTAS'!$G$2:$G$407,'05_RUTAS'!$A$2:$A$407,B661,'05_RUTAS'!$C$2:$C$407,C661)</f>
        <v>4.67</v>
      </c>
      <c r="J661" s="18" t="n">
        <f aca="false">(ROUNDUP(F661/G661,0)*H661+F661*I661)/60</f>
        <v>0.922833333333333</v>
      </c>
      <c r="K661" s="5" t="n">
        <f aca="false">MONTH(INDEX('08_PEDIDOS'!$F$2:$F$97,MATCH(A661,'08_PEDIDOS'!$A$2:$A$97,0)))</f>
        <v>7</v>
      </c>
      <c r="L661" s="16" t="n">
        <f aca="false">J661*N(INDEX('04_MAQUINAS'!$F$2:$F$18,MATCH(E661,'04_MAQUINAS'!$A$2:$A$18,0)))</f>
        <v>16.611</v>
      </c>
      <c r="M661" s="17" t="n">
        <f aca="false">J661*INDEX('04_MAQUINAS'!$G$2:$G$18,MATCH(E661,'04_MAQUINAS'!$A$2:$A$18,0))*INDEX('04_MAQUINAS'!$H$2:$H$18,MATCH(E661,'04_MAQUINAS'!$A$2:$A$18,0))</f>
        <v>0.083055</v>
      </c>
      <c r="N661" s="2" t="s">
        <v>629</v>
      </c>
    </row>
    <row r="662" customFormat="false" ht="15" hidden="false" customHeight="false" outlineLevel="0" collapsed="false">
      <c r="A662" s="2" t="s">
        <v>580</v>
      </c>
      <c r="B662" s="2" t="s">
        <v>121</v>
      </c>
      <c r="C662" s="4" t="n">
        <v>1</v>
      </c>
      <c r="D662" s="2" t="s">
        <v>437</v>
      </c>
      <c r="E662" s="2" t="s">
        <v>375</v>
      </c>
      <c r="F662" s="5" t="n">
        <f aca="false">INDEX('08_PEDIDOS'!$D$2:$D$97,MATCH(A662,'08_PEDIDOS'!$A$2:$A$97,0))</f>
        <v>12</v>
      </c>
      <c r="G662" s="5" t="n">
        <f aca="false">INDEX('08_PEDIDOS'!$H$2:$H$97,MATCH(A662,'08_PEDIDOS'!$A$2:$A$97,0))</f>
        <v>10</v>
      </c>
      <c r="H662" s="17" t="n">
        <f aca="false">SUMIFS('05_RUTAS'!$F$2:$F$407,'05_RUTAS'!$A$2:$A$407,B662,'05_RUTAS'!$C$2:$C$407,C662)</f>
        <v>8</v>
      </c>
      <c r="I662" s="18" t="n">
        <f aca="false">SUMIFS('05_RUTAS'!$G$2:$G$407,'05_RUTAS'!$A$2:$A$407,B662,'05_RUTAS'!$C$2:$C$407,C662)</f>
        <v>35.92</v>
      </c>
      <c r="J662" s="18" t="n">
        <f aca="false">(ROUNDUP(F662/G662,0)*H662+F662*I662)/60</f>
        <v>7.45066666666667</v>
      </c>
      <c r="K662" s="5" t="n">
        <f aca="false">MONTH(INDEX('08_PEDIDOS'!$F$2:$F$97,MATCH(A662,'08_PEDIDOS'!$A$2:$A$97,0)))</f>
        <v>7</v>
      </c>
      <c r="L662" s="16" t="n">
        <f aca="false">J662*N(INDEX('04_MAQUINAS'!$F$2:$F$18,MATCH(E662,'04_MAQUINAS'!$A$2:$A$18,0)))</f>
        <v>178.816</v>
      </c>
      <c r="M662" s="17" t="n">
        <f aca="false">J662*INDEX('04_MAQUINAS'!$G$2:$G$18,MATCH(E662,'04_MAQUINAS'!$A$2:$A$18,0))*INDEX('04_MAQUINAS'!$H$2:$H$18,MATCH(E662,'04_MAQUINAS'!$A$2:$A$18,0))</f>
        <v>20.4893333333333</v>
      </c>
      <c r="N662" s="2" t="s">
        <v>629</v>
      </c>
    </row>
    <row r="663" customFormat="false" ht="15" hidden="false" customHeight="false" outlineLevel="0" collapsed="false">
      <c r="A663" s="2" t="s">
        <v>580</v>
      </c>
      <c r="B663" s="2" t="s">
        <v>121</v>
      </c>
      <c r="C663" s="4" t="n">
        <v>2</v>
      </c>
      <c r="D663" s="2" t="s">
        <v>441</v>
      </c>
      <c r="E663" s="2" t="s">
        <v>380</v>
      </c>
      <c r="F663" s="5" t="n">
        <f aca="false">INDEX('08_PEDIDOS'!$D$2:$D$97,MATCH(A663,'08_PEDIDOS'!$A$2:$A$97,0))</f>
        <v>12</v>
      </c>
      <c r="G663" s="5" t="n">
        <f aca="false">INDEX('08_PEDIDOS'!$H$2:$H$97,MATCH(A663,'08_PEDIDOS'!$A$2:$A$97,0))</f>
        <v>10</v>
      </c>
      <c r="H663" s="17" t="n">
        <f aca="false">SUMIFS('05_RUTAS'!$F$2:$F$407,'05_RUTAS'!$A$2:$A$407,B663,'05_RUTAS'!$C$2:$C$407,C663)</f>
        <v>8</v>
      </c>
      <c r="I663" s="18" t="n">
        <f aca="false">SUMIFS('05_RUTAS'!$G$2:$G$407,'05_RUTAS'!$A$2:$A$407,B663,'05_RUTAS'!$C$2:$C$407,C663)</f>
        <v>32.28</v>
      </c>
      <c r="J663" s="18" t="n">
        <f aca="false">(ROUNDUP(F663/G663,0)*H663+F663*I663)/60</f>
        <v>6.72266666666667</v>
      </c>
      <c r="K663" s="5" t="n">
        <f aca="false">MONTH(INDEX('08_PEDIDOS'!$F$2:$F$97,MATCH(A663,'08_PEDIDOS'!$A$2:$A$97,0)))</f>
        <v>7</v>
      </c>
      <c r="L663" s="16" t="n">
        <f aca="false">J663*N(INDEX('04_MAQUINAS'!$F$2:$F$18,MATCH(E663,'04_MAQUINAS'!$A$2:$A$18,0)))</f>
        <v>147.898666666667</v>
      </c>
      <c r="M663" s="17" t="n">
        <f aca="false">J663*INDEX('04_MAQUINAS'!$G$2:$G$18,MATCH(E663,'04_MAQUINAS'!$A$2:$A$18,0))*INDEX('04_MAQUINAS'!$H$2:$H$18,MATCH(E663,'04_MAQUINAS'!$A$2:$A$18,0))</f>
        <v>3.0252</v>
      </c>
      <c r="N663" s="2" t="s">
        <v>629</v>
      </c>
    </row>
    <row r="664" customFormat="false" ht="15" hidden="false" customHeight="false" outlineLevel="0" collapsed="false">
      <c r="A664" s="2" t="s">
        <v>580</v>
      </c>
      <c r="B664" s="2" t="s">
        <v>121</v>
      </c>
      <c r="C664" s="4" t="n">
        <v>3</v>
      </c>
      <c r="D664" s="2" t="s">
        <v>386</v>
      </c>
      <c r="E664" s="2" t="s">
        <v>383</v>
      </c>
      <c r="F664" s="5" t="n">
        <f aca="false">INDEX('08_PEDIDOS'!$D$2:$D$97,MATCH(A664,'08_PEDIDOS'!$A$2:$A$97,0))</f>
        <v>12</v>
      </c>
      <c r="G664" s="5" t="n">
        <f aca="false">INDEX('08_PEDIDOS'!$H$2:$H$97,MATCH(A664,'08_PEDIDOS'!$A$2:$A$97,0))</f>
        <v>10</v>
      </c>
      <c r="H664" s="17" t="n">
        <f aca="false">SUMIFS('05_RUTAS'!$F$2:$F$407,'05_RUTAS'!$A$2:$A$407,B664,'05_RUTAS'!$C$2:$C$407,C664)</f>
        <v>10</v>
      </c>
      <c r="I664" s="18" t="n">
        <f aca="false">SUMIFS('05_RUTAS'!$G$2:$G$407,'05_RUTAS'!$A$2:$A$407,B664,'05_RUTAS'!$C$2:$C$407,C664)</f>
        <v>54.8</v>
      </c>
      <c r="J664" s="18" t="n">
        <f aca="false">(ROUNDUP(F664/G664,0)*H664+F664*I664)/60</f>
        <v>11.2933333333333</v>
      </c>
      <c r="K664" s="5" t="n">
        <f aca="false">MONTH(INDEX('08_PEDIDOS'!$F$2:$F$97,MATCH(A664,'08_PEDIDOS'!$A$2:$A$97,0)))</f>
        <v>7</v>
      </c>
      <c r="L664" s="16" t="n">
        <f aca="false">J664*N(INDEX('04_MAQUINAS'!$F$2:$F$18,MATCH(E664,'04_MAQUINAS'!$A$2:$A$18,0)))</f>
        <v>248.453333333333</v>
      </c>
      <c r="M664" s="17" t="n">
        <f aca="false">J664*INDEX('04_MAQUINAS'!$G$2:$G$18,MATCH(E664,'04_MAQUINAS'!$A$2:$A$18,0))*INDEX('04_MAQUINAS'!$H$2:$H$18,MATCH(E664,'04_MAQUINAS'!$A$2:$A$18,0))</f>
        <v>3.10566666666667</v>
      </c>
      <c r="N664" s="2" t="s">
        <v>629</v>
      </c>
    </row>
    <row r="665" customFormat="false" ht="15" hidden="false" customHeight="false" outlineLevel="0" collapsed="false">
      <c r="A665" s="2" t="s">
        <v>580</v>
      </c>
      <c r="B665" s="2" t="s">
        <v>121</v>
      </c>
      <c r="C665" s="4" t="n">
        <v>4</v>
      </c>
      <c r="D665" s="2" t="s">
        <v>390</v>
      </c>
      <c r="E665" s="2" t="s">
        <v>387</v>
      </c>
      <c r="F665" s="5" t="n">
        <f aca="false">INDEX('08_PEDIDOS'!$D$2:$D$97,MATCH(A665,'08_PEDIDOS'!$A$2:$A$97,0))</f>
        <v>12</v>
      </c>
      <c r="G665" s="5" t="n">
        <f aca="false">INDEX('08_PEDIDOS'!$H$2:$H$97,MATCH(A665,'08_PEDIDOS'!$A$2:$A$97,0))</f>
        <v>10</v>
      </c>
      <c r="H665" s="17" t="n">
        <f aca="false">SUMIFS('05_RUTAS'!$F$2:$F$407,'05_RUTAS'!$A$2:$A$407,B665,'05_RUTAS'!$C$2:$C$407,C665)</f>
        <v>12</v>
      </c>
      <c r="I665" s="18" t="n">
        <f aca="false">SUMIFS('05_RUTAS'!$G$2:$G$407,'05_RUTAS'!$A$2:$A$407,B665,'05_RUTAS'!$C$2:$C$407,C665)</f>
        <v>85</v>
      </c>
      <c r="J665" s="18" t="n">
        <f aca="false">(ROUNDUP(F665/G665,0)*H665+F665*I665)/60</f>
        <v>17.4</v>
      </c>
      <c r="K665" s="5" t="n">
        <f aca="false">MONTH(INDEX('08_PEDIDOS'!$F$2:$F$97,MATCH(A665,'08_PEDIDOS'!$A$2:$A$97,0)))</f>
        <v>7</v>
      </c>
      <c r="L665" s="16" t="n">
        <f aca="false">J665*N(INDEX('04_MAQUINAS'!$F$2:$F$18,MATCH(E665,'04_MAQUINAS'!$A$2:$A$18,0)))</f>
        <v>487.2</v>
      </c>
      <c r="M665" s="17" t="n">
        <f aca="false">J665*INDEX('04_MAQUINAS'!$G$2:$G$18,MATCH(E665,'04_MAQUINAS'!$A$2:$A$18,0))*INDEX('04_MAQUINAS'!$H$2:$H$18,MATCH(E665,'04_MAQUINAS'!$A$2:$A$18,0))</f>
        <v>43.065</v>
      </c>
      <c r="N665" s="2" t="s">
        <v>629</v>
      </c>
    </row>
    <row r="666" customFormat="false" ht="15" hidden="false" customHeight="false" outlineLevel="0" collapsed="false">
      <c r="A666" s="2" t="s">
        <v>580</v>
      </c>
      <c r="B666" s="2" t="s">
        <v>121</v>
      </c>
      <c r="C666" s="4" t="n">
        <v>5</v>
      </c>
      <c r="D666" s="2" t="s">
        <v>443</v>
      </c>
      <c r="E666" s="2" t="s">
        <v>395</v>
      </c>
      <c r="F666" s="5" t="n">
        <f aca="false">INDEX('08_PEDIDOS'!$D$2:$D$97,MATCH(A666,'08_PEDIDOS'!$A$2:$A$97,0))</f>
        <v>12</v>
      </c>
      <c r="G666" s="5" t="n">
        <f aca="false">INDEX('08_PEDIDOS'!$H$2:$H$97,MATCH(A666,'08_PEDIDOS'!$A$2:$A$97,0))</f>
        <v>10</v>
      </c>
      <c r="H666" s="17" t="n">
        <f aca="false">SUMIFS('05_RUTAS'!$F$2:$F$407,'05_RUTAS'!$A$2:$A$407,B666,'05_RUTAS'!$C$2:$C$407,C666)</f>
        <v>3</v>
      </c>
      <c r="I666" s="18" t="n">
        <f aca="false">SUMIFS('05_RUTAS'!$G$2:$G$407,'05_RUTAS'!$A$2:$A$407,B666,'05_RUTAS'!$C$2:$C$407,C666)</f>
        <v>37.5</v>
      </c>
      <c r="J666" s="18" t="n">
        <f aca="false">(ROUNDUP(F666/G666,0)*H666+F666*I666)/60</f>
        <v>7.6</v>
      </c>
      <c r="K666" s="5" t="n">
        <f aca="false">MONTH(INDEX('08_PEDIDOS'!$F$2:$F$97,MATCH(A666,'08_PEDIDOS'!$A$2:$A$97,0)))</f>
        <v>7</v>
      </c>
      <c r="L666" s="16" t="n">
        <f aca="false">J666*N(INDEX('04_MAQUINAS'!$F$2:$F$18,MATCH(E666,'04_MAQUINAS'!$A$2:$A$18,0)))</f>
        <v>159.6</v>
      </c>
      <c r="M666" s="17" t="n">
        <f aca="false">J666*INDEX('04_MAQUINAS'!$G$2:$G$18,MATCH(E666,'04_MAQUINAS'!$A$2:$A$18,0))*INDEX('04_MAQUINAS'!$H$2:$H$18,MATCH(E666,'04_MAQUINAS'!$A$2:$A$18,0))</f>
        <v>5.7</v>
      </c>
      <c r="N666" s="2" t="s">
        <v>629</v>
      </c>
    </row>
    <row r="667" customFormat="false" ht="15" hidden="false" customHeight="false" outlineLevel="0" collapsed="false">
      <c r="A667" s="2" t="s">
        <v>580</v>
      </c>
      <c r="B667" s="2" t="s">
        <v>121</v>
      </c>
      <c r="C667" s="4" t="n">
        <v>6</v>
      </c>
      <c r="D667" s="2" t="s">
        <v>444</v>
      </c>
      <c r="E667" s="2" t="s">
        <v>399</v>
      </c>
      <c r="F667" s="5" t="n">
        <f aca="false">INDEX('08_PEDIDOS'!$D$2:$D$97,MATCH(A667,'08_PEDIDOS'!$A$2:$A$97,0))</f>
        <v>12</v>
      </c>
      <c r="G667" s="5" t="n">
        <f aca="false">INDEX('08_PEDIDOS'!$H$2:$H$97,MATCH(A667,'08_PEDIDOS'!$A$2:$A$97,0))</f>
        <v>10</v>
      </c>
      <c r="H667" s="17" t="n">
        <f aca="false">SUMIFS('05_RUTAS'!$F$2:$F$407,'05_RUTAS'!$A$2:$A$407,B667,'05_RUTAS'!$C$2:$C$407,C667)</f>
        <v>6</v>
      </c>
      <c r="I667" s="18" t="n">
        <f aca="false">SUMIFS('05_RUTAS'!$G$2:$G$407,'05_RUTAS'!$A$2:$A$407,B667,'05_RUTAS'!$C$2:$C$407,C667)</f>
        <v>24.4752</v>
      </c>
      <c r="J667" s="18" t="n">
        <f aca="false">(ROUNDUP(F667/G667,0)*H667+F667*I667)/60</f>
        <v>5.09504</v>
      </c>
      <c r="K667" s="5" t="n">
        <f aca="false">MONTH(INDEX('08_PEDIDOS'!$F$2:$F$97,MATCH(A667,'08_PEDIDOS'!$A$2:$A$97,0)))</f>
        <v>7</v>
      </c>
      <c r="L667" s="16" t="n">
        <f aca="false">J667*N(INDEX('04_MAQUINAS'!$F$2:$F$18,MATCH(E667,'04_MAQUINAS'!$A$2:$A$18,0)))</f>
        <v>96.80576</v>
      </c>
      <c r="M667" s="17" t="n">
        <f aca="false">J667*INDEX('04_MAQUINAS'!$G$2:$G$18,MATCH(E667,'04_MAQUINAS'!$A$2:$A$18,0))*INDEX('04_MAQUINAS'!$H$2:$H$18,MATCH(E667,'04_MAQUINAS'!$A$2:$A$18,0))</f>
        <v>4.4836352</v>
      </c>
      <c r="N667" s="2" t="s">
        <v>629</v>
      </c>
    </row>
    <row r="668" customFormat="false" ht="15" hidden="false" customHeight="false" outlineLevel="0" collapsed="false">
      <c r="A668" s="2" t="s">
        <v>580</v>
      </c>
      <c r="B668" s="2" t="s">
        <v>121</v>
      </c>
      <c r="C668" s="4" t="n">
        <v>7</v>
      </c>
      <c r="D668" s="2" t="s">
        <v>445</v>
      </c>
      <c r="E668" s="2" t="s">
        <v>402</v>
      </c>
      <c r="F668" s="5" t="n">
        <f aca="false">INDEX('08_PEDIDOS'!$D$2:$D$97,MATCH(A668,'08_PEDIDOS'!$A$2:$A$97,0))</f>
        <v>12</v>
      </c>
      <c r="G668" s="5" t="n">
        <f aca="false">INDEX('08_PEDIDOS'!$H$2:$H$97,MATCH(A668,'08_PEDIDOS'!$A$2:$A$97,0))</f>
        <v>10</v>
      </c>
      <c r="H668" s="17" t="n">
        <f aca="false">SUMIFS('05_RUTAS'!$F$2:$F$407,'05_RUTAS'!$A$2:$A$407,B668,'05_RUTAS'!$C$2:$C$407,C668)</f>
        <v>12</v>
      </c>
      <c r="I668" s="18" t="n">
        <f aca="false">SUMIFS('05_RUTAS'!$G$2:$G$407,'05_RUTAS'!$A$2:$A$407,B668,'05_RUTAS'!$C$2:$C$407,C668)</f>
        <v>6.58</v>
      </c>
      <c r="J668" s="18" t="n">
        <f aca="false">(ROUNDUP(F668/G668,0)*H668+F668*I668)/60</f>
        <v>1.716</v>
      </c>
      <c r="K668" s="5" t="n">
        <f aca="false">MONTH(INDEX('08_PEDIDOS'!$F$2:$F$97,MATCH(A668,'08_PEDIDOS'!$A$2:$A$97,0)))</f>
        <v>7</v>
      </c>
      <c r="L668" s="16" t="n">
        <f aca="false">J668*N(INDEX('04_MAQUINAS'!$F$2:$F$18,MATCH(E668,'04_MAQUINAS'!$A$2:$A$18,0)))</f>
        <v>54.912</v>
      </c>
      <c r="M668" s="17" t="n">
        <f aca="false">J668*INDEX('04_MAQUINAS'!$G$2:$G$18,MATCH(E668,'04_MAQUINAS'!$A$2:$A$18,0))*INDEX('04_MAQUINAS'!$H$2:$H$18,MATCH(E668,'04_MAQUINAS'!$A$2:$A$18,0))</f>
        <v>1.8018</v>
      </c>
      <c r="N668" s="2" t="s">
        <v>629</v>
      </c>
    </row>
    <row r="669" customFormat="false" ht="15" hidden="false" customHeight="false" outlineLevel="0" collapsed="false">
      <c r="A669" s="2" t="s">
        <v>580</v>
      </c>
      <c r="B669" s="2" t="s">
        <v>121</v>
      </c>
      <c r="C669" s="4" t="n">
        <v>8</v>
      </c>
      <c r="D669" s="2" t="s">
        <v>447</v>
      </c>
      <c r="E669" s="2" t="s">
        <v>421</v>
      </c>
      <c r="F669" s="5" t="n">
        <f aca="false">INDEX('08_PEDIDOS'!$D$2:$D$97,MATCH(A669,'08_PEDIDOS'!$A$2:$A$97,0))</f>
        <v>12</v>
      </c>
      <c r="G669" s="5" t="n">
        <f aca="false">INDEX('08_PEDIDOS'!$H$2:$H$97,MATCH(A669,'08_PEDIDOS'!$A$2:$A$97,0))</f>
        <v>10</v>
      </c>
      <c r="H669" s="17" t="n">
        <f aca="false">SUMIFS('05_RUTAS'!$F$2:$F$407,'05_RUTAS'!$A$2:$A$407,B669,'05_RUTAS'!$C$2:$C$407,C669)</f>
        <v>45</v>
      </c>
      <c r="I669" s="18" t="n">
        <f aca="false">SUMIFS('05_RUTAS'!$G$2:$G$407,'05_RUTAS'!$A$2:$A$407,B669,'05_RUTAS'!$C$2:$C$407,C669)</f>
        <v>0</v>
      </c>
      <c r="J669" s="18" t="n">
        <f aca="false">(ROUNDUP(F669/G669,0)*H669+F669*I669)/60</f>
        <v>1.5</v>
      </c>
      <c r="K669" s="5" t="n">
        <f aca="false">MONTH(INDEX('08_PEDIDOS'!$F$2:$F$97,MATCH(A669,'08_PEDIDOS'!$A$2:$A$97,0)))</f>
        <v>7</v>
      </c>
      <c r="L669" s="16" t="n">
        <f aca="false">J669*N(INDEX('04_MAQUINAS'!$F$2:$F$18,MATCH(E669,'04_MAQUINAS'!$A$2:$A$18,0)))</f>
        <v>39</v>
      </c>
      <c r="M669" s="17" t="n">
        <f aca="false">J669*INDEX('04_MAQUINAS'!$G$2:$G$18,MATCH(E669,'04_MAQUINAS'!$A$2:$A$18,0))*INDEX('04_MAQUINAS'!$H$2:$H$18,MATCH(E669,'04_MAQUINAS'!$A$2:$A$18,0))</f>
        <v>21.6</v>
      </c>
      <c r="N669" s="2" t="s">
        <v>629</v>
      </c>
    </row>
    <row r="670" customFormat="false" ht="15" hidden="false" customHeight="false" outlineLevel="0" collapsed="false">
      <c r="A670" s="2" t="s">
        <v>580</v>
      </c>
      <c r="B670" s="2" t="s">
        <v>121</v>
      </c>
      <c r="C670" s="4" t="n">
        <v>9</v>
      </c>
      <c r="D670" s="2" t="s">
        <v>449</v>
      </c>
      <c r="E670" s="2" t="s">
        <v>423</v>
      </c>
      <c r="F670" s="5" t="n">
        <f aca="false">INDEX('08_PEDIDOS'!$D$2:$D$97,MATCH(A670,'08_PEDIDOS'!$A$2:$A$97,0))</f>
        <v>12</v>
      </c>
      <c r="G670" s="5" t="n">
        <f aca="false">INDEX('08_PEDIDOS'!$H$2:$H$97,MATCH(A670,'08_PEDIDOS'!$A$2:$A$97,0))</f>
        <v>10</v>
      </c>
      <c r="H670" s="17" t="n">
        <f aca="false">SUMIFS('05_RUTAS'!$F$2:$F$407,'05_RUTAS'!$A$2:$A$407,B670,'05_RUTAS'!$C$2:$C$407,C670)</f>
        <v>8</v>
      </c>
      <c r="I670" s="18" t="n">
        <f aca="false">SUMIFS('05_RUTAS'!$G$2:$G$407,'05_RUTAS'!$A$2:$A$407,B670,'05_RUTAS'!$C$2:$C$407,C670)</f>
        <v>2.36</v>
      </c>
      <c r="J670" s="18" t="n">
        <f aca="false">(ROUNDUP(F670/G670,0)*H670+F670*I670)/60</f>
        <v>0.738666666666667</v>
      </c>
      <c r="K670" s="5" t="n">
        <f aca="false">MONTH(INDEX('08_PEDIDOS'!$F$2:$F$97,MATCH(A670,'08_PEDIDOS'!$A$2:$A$97,0)))</f>
        <v>7</v>
      </c>
      <c r="L670" s="16" t="n">
        <f aca="false">J670*N(INDEX('04_MAQUINAS'!$F$2:$F$18,MATCH(E670,'04_MAQUINAS'!$A$2:$A$18,0)))</f>
        <v>11.8186666666667</v>
      </c>
      <c r="M670" s="17" t="n">
        <f aca="false">J670*INDEX('04_MAQUINAS'!$G$2:$G$18,MATCH(E670,'04_MAQUINAS'!$A$2:$A$18,0))*INDEX('04_MAQUINAS'!$H$2:$H$18,MATCH(E670,'04_MAQUINAS'!$A$2:$A$18,0))</f>
        <v>0.184666666666667</v>
      </c>
      <c r="N670" s="2" t="s">
        <v>629</v>
      </c>
    </row>
    <row r="671" customFormat="false" ht="15" hidden="false" customHeight="false" outlineLevel="0" collapsed="false">
      <c r="A671" s="2" t="s">
        <v>580</v>
      </c>
      <c r="B671" s="2" t="s">
        <v>121</v>
      </c>
      <c r="C671" s="4" t="n">
        <v>10</v>
      </c>
      <c r="D671" s="2" t="s">
        <v>450</v>
      </c>
      <c r="E671" s="2" t="s">
        <v>406</v>
      </c>
      <c r="F671" s="5" t="n">
        <f aca="false">INDEX('08_PEDIDOS'!$D$2:$D$97,MATCH(A671,'08_PEDIDOS'!$A$2:$A$97,0))</f>
        <v>12</v>
      </c>
      <c r="G671" s="5" t="n">
        <f aca="false">INDEX('08_PEDIDOS'!$H$2:$H$97,MATCH(A671,'08_PEDIDOS'!$A$2:$A$97,0))</f>
        <v>10</v>
      </c>
      <c r="H671" s="17" t="n">
        <f aca="false">SUMIFS('05_RUTAS'!$F$2:$F$407,'05_RUTAS'!$A$2:$A$407,B671,'05_RUTAS'!$C$2:$C$407,C671)</f>
        <v>6</v>
      </c>
      <c r="I671" s="18" t="n">
        <f aca="false">SUMIFS('05_RUTAS'!$G$2:$G$407,'05_RUTAS'!$A$2:$A$407,B671,'05_RUTAS'!$C$2:$C$407,C671)</f>
        <v>61.5</v>
      </c>
      <c r="J671" s="18" t="n">
        <f aca="false">(ROUNDUP(F671/G671,0)*H671+F671*I671)/60</f>
        <v>12.5</v>
      </c>
      <c r="K671" s="5" t="n">
        <f aca="false">MONTH(INDEX('08_PEDIDOS'!$F$2:$F$97,MATCH(A671,'08_PEDIDOS'!$A$2:$A$97,0)))</f>
        <v>7</v>
      </c>
      <c r="L671" s="16" t="n">
        <f aca="false">J671*N(INDEX('04_MAQUINAS'!$F$2:$F$18,MATCH(E671,'04_MAQUINAS'!$A$2:$A$18,0)))</f>
        <v>237.5</v>
      </c>
      <c r="M671" s="17" t="n">
        <f aca="false">J671*INDEX('04_MAQUINAS'!$G$2:$G$18,MATCH(E671,'04_MAQUINAS'!$A$2:$A$18,0))*INDEX('04_MAQUINAS'!$H$2:$H$18,MATCH(E671,'04_MAQUINAS'!$A$2:$A$18,0))</f>
        <v>3.75</v>
      </c>
      <c r="N671" s="2" t="s">
        <v>629</v>
      </c>
    </row>
    <row r="672" customFormat="false" ht="15" hidden="false" customHeight="false" outlineLevel="0" collapsed="false">
      <c r="A672" s="2" t="s">
        <v>580</v>
      </c>
      <c r="B672" s="2" t="s">
        <v>121</v>
      </c>
      <c r="C672" s="4" t="n">
        <v>11</v>
      </c>
      <c r="D672" s="2" t="s">
        <v>451</v>
      </c>
      <c r="E672" s="2" t="s">
        <v>408</v>
      </c>
      <c r="F672" s="5" t="n">
        <f aca="false">INDEX('08_PEDIDOS'!$D$2:$D$97,MATCH(A672,'08_PEDIDOS'!$A$2:$A$97,0))</f>
        <v>12</v>
      </c>
      <c r="G672" s="5" t="n">
        <f aca="false">INDEX('08_PEDIDOS'!$H$2:$H$97,MATCH(A672,'08_PEDIDOS'!$A$2:$A$97,0))</f>
        <v>10</v>
      </c>
      <c r="H672" s="17" t="n">
        <f aca="false">SUMIFS('05_RUTAS'!$F$2:$F$407,'05_RUTAS'!$A$2:$A$407,B672,'05_RUTAS'!$C$2:$C$407,C672)</f>
        <v>2</v>
      </c>
      <c r="I672" s="18" t="n">
        <f aca="false">SUMIFS('05_RUTAS'!$G$2:$G$407,'05_RUTAS'!$A$2:$A$407,B672,'05_RUTAS'!$C$2:$C$407,C672)</f>
        <v>3.45</v>
      </c>
      <c r="J672" s="18" t="n">
        <f aca="false">(ROUNDUP(F672/G672,0)*H672+F672*I672)/60</f>
        <v>0.756666666666667</v>
      </c>
      <c r="K672" s="5" t="n">
        <f aca="false">MONTH(INDEX('08_PEDIDOS'!$F$2:$F$97,MATCH(A672,'08_PEDIDOS'!$A$2:$A$97,0)))</f>
        <v>7</v>
      </c>
      <c r="L672" s="16" t="n">
        <f aca="false">J672*N(INDEX('04_MAQUINAS'!$F$2:$F$18,MATCH(E672,'04_MAQUINAS'!$A$2:$A$18,0)))</f>
        <v>15.1333333333333</v>
      </c>
      <c r="M672" s="17" t="n">
        <f aca="false">J672*INDEX('04_MAQUINAS'!$G$2:$G$18,MATCH(E672,'04_MAQUINAS'!$A$2:$A$18,0))*INDEX('04_MAQUINAS'!$H$2:$H$18,MATCH(E672,'04_MAQUINAS'!$A$2:$A$18,0))</f>
        <v>0.0756666666666667</v>
      </c>
      <c r="N672" s="2" t="s">
        <v>629</v>
      </c>
    </row>
    <row r="673" customFormat="false" ht="15" hidden="false" customHeight="false" outlineLevel="0" collapsed="false">
      <c r="A673" s="2" t="s">
        <v>580</v>
      </c>
      <c r="B673" s="2" t="s">
        <v>121</v>
      </c>
      <c r="C673" s="4" t="n">
        <v>12</v>
      </c>
      <c r="D673" s="2" t="s">
        <v>452</v>
      </c>
      <c r="E673" s="2" t="s">
        <v>411</v>
      </c>
      <c r="F673" s="5" t="n">
        <f aca="false">INDEX('08_PEDIDOS'!$D$2:$D$97,MATCH(A673,'08_PEDIDOS'!$A$2:$A$97,0))</f>
        <v>12</v>
      </c>
      <c r="G673" s="5" t="n">
        <f aca="false">INDEX('08_PEDIDOS'!$H$2:$H$97,MATCH(A673,'08_PEDIDOS'!$A$2:$A$97,0))</f>
        <v>10</v>
      </c>
      <c r="H673" s="17" t="n">
        <f aca="false">SUMIFS('05_RUTAS'!$F$2:$F$407,'05_RUTAS'!$A$2:$A$407,B673,'05_RUTAS'!$C$2:$C$407,C673)</f>
        <v>2</v>
      </c>
      <c r="I673" s="18" t="n">
        <f aca="false">SUMIFS('05_RUTAS'!$G$2:$G$407,'05_RUTAS'!$A$2:$A$407,B673,'05_RUTAS'!$C$2:$C$407,C673)</f>
        <v>4.67</v>
      </c>
      <c r="J673" s="18" t="n">
        <f aca="false">(ROUNDUP(F673/G673,0)*H673+F673*I673)/60</f>
        <v>1.00066666666667</v>
      </c>
      <c r="K673" s="5" t="n">
        <f aca="false">MONTH(INDEX('08_PEDIDOS'!$F$2:$F$97,MATCH(A673,'08_PEDIDOS'!$A$2:$A$97,0)))</f>
        <v>7</v>
      </c>
      <c r="L673" s="16" t="n">
        <f aca="false">J673*N(INDEX('04_MAQUINAS'!$F$2:$F$18,MATCH(E673,'04_MAQUINAS'!$A$2:$A$18,0)))</f>
        <v>18.012</v>
      </c>
      <c r="M673" s="17" t="n">
        <f aca="false">J673*INDEX('04_MAQUINAS'!$G$2:$G$18,MATCH(E673,'04_MAQUINAS'!$A$2:$A$18,0))*INDEX('04_MAQUINAS'!$H$2:$H$18,MATCH(E673,'04_MAQUINAS'!$A$2:$A$18,0))</f>
        <v>0.09006</v>
      </c>
      <c r="N673" s="2" t="s">
        <v>629</v>
      </c>
    </row>
    <row r="674" customFormat="false" ht="15" hidden="false" customHeight="false" outlineLevel="0" collapsed="false">
      <c r="A674" s="2" t="s">
        <v>581</v>
      </c>
      <c r="B674" s="2" t="s">
        <v>80</v>
      </c>
      <c r="C674" s="4" t="n">
        <v>1</v>
      </c>
      <c r="D674" s="2" t="s">
        <v>437</v>
      </c>
      <c r="E674" s="2" t="s">
        <v>375</v>
      </c>
      <c r="F674" s="5" t="n">
        <f aca="false">INDEX('08_PEDIDOS'!$D$2:$D$97,MATCH(A674,'08_PEDIDOS'!$A$2:$A$97,0))</f>
        <v>13</v>
      </c>
      <c r="G674" s="5" t="n">
        <f aca="false">INDEX('08_PEDIDOS'!$H$2:$H$97,MATCH(A674,'08_PEDIDOS'!$A$2:$A$97,0))</f>
        <v>10</v>
      </c>
      <c r="H674" s="17" t="n">
        <f aca="false">SUMIFS('05_RUTAS'!$F$2:$F$407,'05_RUTAS'!$A$2:$A$407,B674,'05_RUTAS'!$C$2:$C$407,C674)</f>
        <v>8</v>
      </c>
      <c r="I674" s="18" t="n">
        <f aca="false">SUMIFS('05_RUTAS'!$G$2:$G$407,'05_RUTAS'!$A$2:$A$407,B674,'05_RUTAS'!$C$2:$C$407,C674)</f>
        <v>34.62</v>
      </c>
      <c r="J674" s="18" t="n">
        <f aca="false">(ROUNDUP(F674/G674,0)*H674+F674*I674)/60</f>
        <v>7.76766666666667</v>
      </c>
      <c r="K674" s="5" t="n">
        <f aca="false">MONTH(INDEX('08_PEDIDOS'!$F$2:$F$97,MATCH(A674,'08_PEDIDOS'!$A$2:$A$97,0)))</f>
        <v>8</v>
      </c>
      <c r="L674" s="16" t="n">
        <f aca="false">J674*N(INDEX('04_MAQUINAS'!$F$2:$F$18,MATCH(E674,'04_MAQUINAS'!$A$2:$A$18,0)))</f>
        <v>186.424</v>
      </c>
      <c r="M674" s="17" t="n">
        <f aca="false">J674*INDEX('04_MAQUINAS'!$G$2:$G$18,MATCH(E674,'04_MAQUINAS'!$A$2:$A$18,0))*INDEX('04_MAQUINAS'!$H$2:$H$18,MATCH(E674,'04_MAQUINAS'!$A$2:$A$18,0))</f>
        <v>21.3610833333333</v>
      </c>
      <c r="N674" s="2" t="s">
        <v>629</v>
      </c>
    </row>
    <row r="675" customFormat="false" ht="15" hidden="false" customHeight="false" outlineLevel="0" collapsed="false">
      <c r="A675" s="2" t="s">
        <v>581</v>
      </c>
      <c r="B675" s="2" t="s">
        <v>80</v>
      </c>
      <c r="C675" s="4" t="n">
        <v>2</v>
      </c>
      <c r="D675" s="2" t="s">
        <v>441</v>
      </c>
      <c r="E675" s="2" t="s">
        <v>380</v>
      </c>
      <c r="F675" s="5" t="n">
        <f aca="false">INDEX('08_PEDIDOS'!$D$2:$D$97,MATCH(A675,'08_PEDIDOS'!$A$2:$A$97,0))</f>
        <v>13</v>
      </c>
      <c r="G675" s="5" t="n">
        <f aca="false">INDEX('08_PEDIDOS'!$H$2:$H$97,MATCH(A675,'08_PEDIDOS'!$A$2:$A$97,0))</f>
        <v>10</v>
      </c>
      <c r="H675" s="17" t="n">
        <f aca="false">SUMIFS('05_RUTAS'!$F$2:$F$407,'05_RUTAS'!$A$2:$A$407,B675,'05_RUTAS'!$C$2:$C$407,C675)</f>
        <v>8</v>
      </c>
      <c r="I675" s="18" t="n">
        <f aca="false">SUMIFS('05_RUTAS'!$G$2:$G$407,'05_RUTAS'!$A$2:$A$407,B675,'05_RUTAS'!$C$2:$C$407,C675)</f>
        <v>43.52</v>
      </c>
      <c r="J675" s="18" t="n">
        <f aca="false">(ROUNDUP(F675/G675,0)*H675+F675*I675)/60</f>
        <v>9.696</v>
      </c>
      <c r="K675" s="5" t="n">
        <f aca="false">MONTH(INDEX('08_PEDIDOS'!$F$2:$F$97,MATCH(A675,'08_PEDIDOS'!$A$2:$A$97,0)))</f>
        <v>8</v>
      </c>
      <c r="L675" s="16" t="n">
        <f aca="false">J675*N(INDEX('04_MAQUINAS'!$F$2:$F$18,MATCH(E675,'04_MAQUINAS'!$A$2:$A$18,0)))</f>
        <v>213.312</v>
      </c>
      <c r="M675" s="17" t="n">
        <f aca="false">J675*INDEX('04_MAQUINAS'!$G$2:$G$18,MATCH(E675,'04_MAQUINAS'!$A$2:$A$18,0))*INDEX('04_MAQUINAS'!$H$2:$H$18,MATCH(E675,'04_MAQUINAS'!$A$2:$A$18,0))</f>
        <v>4.3632</v>
      </c>
      <c r="N675" s="2" t="s">
        <v>629</v>
      </c>
    </row>
    <row r="676" customFormat="false" ht="15" hidden="false" customHeight="false" outlineLevel="0" collapsed="false">
      <c r="A676" s="2" t="s">
        <v>581</v>
      </c>
      <c r="B676" s="2" t="s">
        <v>80</v>
      </c>
      <c r="C676" s="4" t="n">
        <v>3</v>
      </c>
      <c r="D676" s="2" t="s">
        <v>386</v>
      </c>
      <c r="E676" s="2" t="s">
        <v>383</v>
      </c>
      <c r="F676" s="5" t="n">
        <f aca="false">INDEX('08_PEDIDOS'!$D$2:$D$97,MATCH(A676,'08_PEDIDOS'!$A$2:$A$97,0))</f>
        <v>13</v>
      </c>
      <c r="G676" s="5" t="n">
        <f aca="false">INDEX('08_PEDIDOS'!$H$2:$H$97,MATCH(A676,'08_PEDIDOS'!$A$2:$A$97,0))</f>
        <v>10</v>
      </c>
      <c r="H676" s="17" t="n">
        <f aca="false">SUMIFS('05_RUTAS'!$F$2:$F$407,'05_RUTAS'!$A$2:$A$407,B676,'05_RUTAS'!$C$2:$C$407,C676)</f>
        <v>10</v>
      </c>
      <c r="I676" s="18" t="n">
        <f aca="false">SUMIFS('05_RUTAS'!$G$2:$G$407,'05_RUTAS'!$A$2:$A$407,B676,'05_RUTAS'!$C$2:$C$407,C676)</f>
        <v>63.2</v>
      </c>
      <c r="J676" s="18" t="n">
        <f aca="false">(ROUNDUP(F676/G676,0)*H676+F676*I676)/60</f>
        <v>14.0266666666667</v>
      </c>
      <c r="K676" s="5" t="n">
        <f aca="false">MONTH(INDEX('08_PEDIDOS'!$F$2:$F$97,MATCH(A676,'08_PEDIDOS'!$A$2:$A$97,0)))</f>
        <v>8</v>
      </c>
      <c r="L676" s="16" t="n">
        <f aca="false">J676*N(INDEX('04_MAQUINAS'!$F$2:$F$18,MATCH(E676,'04_MAQUINAS'!$A$2:$A$18,0)))</f>
        <v>308.586666666667</v>
      </c>
      <c r="M676" s="17" t="n">
        <f aca="false">J676*INDEX('04_MAQUINAS'!$G$2:$G$18,MATCH(E676,'04_MAQUINAS'!$A$2:$A$18,0))*INDEX('04_MAQUINAS'!$H$2:$H$18,MATCH(E676,'04_MAQUINAS'!$A$2:$A$18,0))</f>
        <v>3.85733333333333</v>
      </c>
      <c r="N676" s="2" t="s">
        <v>629</v>
      </c>
    </row>
    <row r="677" customFormat="false" ht="15" hidden="false" customHeight="false" outlineLevel="0" collapsed="false">
      <c r="A677" s="2" t="s">
        <v>581</v>
      </c>
      <c r="B677" s="2" t="s">
        <v>80</v>
      </c>
      <c r="C677" s="4" t="n">
        <v>4</v>
      </c>
      <c r="D677" s="2" t="s">
        <v>390</v>
      </c>
      <c r="E677" s="2" t="s">
        <v>387</v>
      </c>
      <c r="F677" s="5" t="n">
        <f aca="false">INDEX('08_PEDIDOS'!$D$2:$D$97,MATCH(A677,'08_PEDIDOS'!$A$2:$A$97,0))</f>
        <v>13</v>
      </c>
      <c r="G677" s="5" t="n">
        <f aca="false">INDEX('08_PEDIDOS'!$H$2:$H$97,MATCH(A677,'08_PEDIDOS'!$A$2:$A$97,0))</f>
        <v>10</v>
      </c>
      <c r="H677" s="17" t="n">
        <f aca="false">SUMIFS('05_RUTAS'!$F$2:$F$407,'05_RUTAS'!$A$2:$A$407,B677,'05_RUTAS'!$C$2:$C$407,C677)</f>
        <v>12</v>
      </c>
      <c r="I677" s="18" t="n">
        <f aca="false">SUMIFS('05_RUTAS'!$G$2:$G$407,'05_RUTAS'!$A$2:$A$407,B677,'05_RUTAS'!$C$2:$C$407,C677)</f>
        <v>60</v>
      </c>
      <c r="J677" s="18" t="n">
        <f aca="false">(ROUNDUP(F677/G677,0)*H677+F677*I677)/60</f>
        <v>13.4</v>
      </c>
      <c r="K677" s="5" t="n">
        <f aca="false">MONTH(INDEX('08_PEDIDOS'!$F$2:$F$97,MATCH(A677,'08_PEDIDOS'!$A$2:$A$97,0)))</f>
        <v>8</v>
      </c>
      <c r="L677" s="16" t="n">
        <f aca="false">J677*N(INDEX('04_MAQUINAS'!$F$2:$F$18,MATCH(E677,'04_MAQUINAS'!$A$2:$A$18,0)))</f>
        <v>375.2</v>
      </c>
      <c r="M677" s="17" t="n">
        <f aca="false">J677*INDEX('04_MAQUINAS'!$G$2:$G$18,MATCH(E677,'04_MAQUINAS'!$A$2:$A$18,0))*INDEX('04_MAQUINAS'!$H$2:$H$18,MATCH(E677,'04_MAQUINAS'!$A$2:$A$18,0))</f>
        <v>33.165</v>
      </c>
      <c r="N677" s="2" t="s">
        <v>629</v>
      </c>
    </row>
    <row r="678" customFormat="false" ht="15" hidden="false" customHeight="false" outlineLevel="0" collapsed="false">
      <c r="A678" s="2" t="s">
        <v>581</v>
      </c>
      <c r="B678" s="2" t="s">
        <v>80</v>
      </c>
      <c r="C678" s="4" t="n">
        <v>5</v>
      </c>
      <c r="D678" s="2" t="s">
        <v>442</v>
      </c>
      <c r="E678" s="2" t="s">
        <v>391</v>
      </c>
      <c r="F678" s="5" t="n">
        <f aca="false">INDEX('08_PEDIDOS'!$D$2:$D$97,MATCH(A678,'08_PEDIDOS'!$A$2:$A$97,0))</f>
        <v>13</v>
      </c>
      <c r="G678" s="5" t="n">
        <f aca="false">INDEX('08_PEDIDOS'!$H$2:$H$97,MATCH(A678,'08_PEDIDOS'!$A$2:$A$97,0))</f>
        <v>10</v>
      </c>
      <c r="H678" s="17" t="n">
        <f aca="false">SUMIFS('05_RUTAS'!$F$2:$F$407,'05_RUTAS'!$A$2:$A$407,B678,'05_RUTAS'!$C$2:$C$407,C678)</f>
        <v>10</v>
      </c>
      <c r="I678" s="18" t="n">
        <f aca="false">SUMIFS('05_RUTAS'!$G$2:$G$407,'05_RUTAS'!$A$2:$A$407,B678,'05_RUTAS'!$C$2:$C$407,C678)</f>
        <v>78.4</v>
      </c>
      <c r="J678" s="18" t="n">
        <f aca="false">(ROUNDUP(F678/G678,0)*H678+F678*I678)/60</f>
        <v>17.32</v>
      </c>
      <c r="K678" s="5" t="n">
        <f aca="false">MONTH(INDEX('08_PEDIDOS'!$F$2:$F$97,MATCH(A678,'08_PEDIDOS'!$A$2:$A$97,0)))</f>
        <v>8</v>
      </c>
      <c r="L678" s="16" t="n">
        <f aca="false">J678*N(INDEX('04_MAQUINAS'!$F$2:$F$18,MATCH(E678,'04_MAQUINAS'!$A$2:$A$18,0)))</f>
        <v>554.24</v>
      </c>
      <c r="M678" s="17" t="n">
        <f aca="false">J678*INDEX('04_MAQUINAS'!$G$2:$G$18,MATCH(E678,'04_MAQUINAS'!$A$2:$A$18,0))*INDEX('04_MAQUINAS'!$H$2:$H$18,MATCH(E678,'04_MAQUINAS'!$A$2:$A$18,0))</f>
        <v>30.31</v>
      </c>
      <c r="N678" s="2" t="s">
        <v>629</v>
      </c>
    </row>
    <row r="679" customFormat="false" ht="15" hidden="false" customHeight="false" outlineLevel="0" collapsed="false">
      <c r="A679" s="2" t="s">
        <v>581</v>
      </c>
      <c r="B679" s="2" t="s">
        <v>80</v>
      </c>
      <c r="C679" s="4" t="n">
        <v>6</v>
      </c>
      <c r="D679" s="2" t="s">
        <v>443</v>
      </c>
      <c r="E679" s="2" t="s">
        <v>395</v>
      </c>
      <c r="F679" s="5" t="n">
        <f aca="false">INDEX('08_PEDIDOS'!$D$2:$D$97,MATCH(A679,'08_PEDIDOS'!$A$2:$A$97,0))</f>
        <v>13</v>
      </c>
      <c r="G679" s="5" t="n">
        <f aca="false">INDEX('08_PEDIDOS'!$H$2:$H$97,MATCH(A679,'08_PEDIDOS'!$A$2:$A$97,0))</f>
        <v>10</v>
      </c>
      <c r="H679" s="17" t="n">
        <f aca="false">SUMIFS('05_RUTAS'!$F$2:$F$407,'05_RUTAS'!$A$2:$A$407,B679,'05_RUTAS'!$C$2:$C$407,C679)</f>
        <v>3</v>
      </c>
      <c r="I679" s="18" t="n">
        <f aca="false">SUMIFS('05_RUTAS'!$G$2:$G$407,'05_RUTAS'!$A$2:$A$407,B679,'05_RUTAS'!$C$2:$C$407,C679)</f>
        <v>42</v>
      </c>
      <c r="J679" s="18" t="n">
        <f aca="false">(ROUNDUP(F679/G679,0)*H679+F679*I679)/60</f>
        <v>9.2</v>
      </c>
      <c r="K679" s="5" t="n">
        <f aca="false">MONTH(INDEX('08_PEDIDOS'!$F$2:$F$97,MATCH(A679,'08_PEDIDOS'!$A$2:$A$97,0)))</f>
        <v>8</v>
      </c>
      <c r="L679" s="16" t="n">
        <f aca="false">J679*N(INDEX('04_MAQUINAS'!$F$2:$F$18,MATCH(E679,'04_MAQUINAS'!$A$2:$A$18,0)))</f>
        <v>193.2</v>
      </c>
      <c r="M679" s="17" t="n">
        <f aca="false">J679*INDEX('04_MAQUINAS'!$G$2:$G$18,MATCH(E679,'04_MAQUINAS'!$A$2:$A$18,0))*INDEX('04_MAQUINAS'!$H$2:$H$18,MATCH(E679,'04_MAQUINAS'!$A$2:$A$18,0))</f>
        <v>6.9</v>
      </c>
      <c r="N679" s="2" t="s">
        <v>629</v>
      </c>
    </row>
    <row r="680" customFormat="false" ht="15" hidden="false" customHeight="false" outlineLevel="0" collapsed="false">
      <c r="A680" s="2" t="s">
        <v>581</v>
      </c>
      <c r="B680" s="2" t="s">
        <v>80</v>
      </c>
      <c r="C680" s="4" t="n">
        <v>7</v>
      </c>
      <c r="D680" s="2" t="s">
        <v>444</v>
      </c>
      <c r="E680" s="2" t="s">
        <v>399</v>
      </c>
      <c r="F680" s="5" t="n">
        <f aca="false">INDEX('08_PEDIDOS'!$D$2:$D$97,MATCH(A680,'08_PEDIDOS'!$A$2:$A$97,0))</f>
        <v>13</v>
      </c>
      <c r="G680" s="5" t="n">
        <f aca="false">INDEX('08_PEDIDOS'!$H$2:$H$97,MATCH(A680,'08_PEDIDOS'!$A$2:$A$97,0))</f>
        <v>10</v>
      </c>
      <c r="H680" s="17" t="n">
        <f aca="false">SUMIFS('05_RUTAS'!$F$2:$F$407,'05_RUTAS'!$A$2:$A$407,B680,'05_RUTAS'!$C$2:$C$407,C680)</f>
        <v>6</v>
      </c>
      <c r="I680" s="18" t="n">
        <f aca="false">SUMIFS('05_RUTAS'!$G$2:$G$407,'05_RUTAS'!$A$2:$A$407,B680,'05_RUTAS'!$C$2:$C$407,C680)</f>
        <v>29.7248</v>
      </c>
      <c r="J680" s="18" t="n">
        <f aca="false">(ROUNDUP(F680/G680,0)*H680+F680*I680)/60</f>
        <v>6.64037333333333</v>
      </c>
      <c r="K680" s="5" t="n">
        <f aca="false">MONTH(INDEX('08_PEDIDOS'!$F$2:$F$97,MATCH(A680,'08_PEDIDOS'!$A$2:$A$97,0)))</f>
        <v>8</v>
      </c>
      <c r="L680" s="16" t="n">
        <f aca="false">J680*N(INDEX('04_MAQUINAS'!$F$2:$F$18,MATCH(E680,'04_MAQUINAS'!$A$2:$A$18,0)))</f>
        <v>126.167093333333</v>
      </c>
      <c r="M680" s="17" t="n">
        <f aca="false">J680*INDEX('04_MAQUINAS'!$G$2:$G$18,MATCH(E680,'04_MAQUINAS'!$A$2:$A$18,0))*INDEX('04_MAQUINAS'!$H$2:$H$18,MATCH(E680,'04_MAQUINAS'!$A$2:$A$18,0))</f>
        <v>5.84352853333333</v>
      </c>
      <c r="N680" s="2" t="s">
        <v>629</v>
      </c>
    </row>
    <row r="681" customFormat="false" ht="15" hidden="false" customHeight="false" outlineLevel="0" collapsed="false">
      <c r="A681" s="2" t="s">
        <v>581</v>
      </c>
      <c r="B681" s="2" t="s">
        <v>80</v>
      </c>
      <c r="C681" s="4" t="n">
        <v>8</v>
      </c>
      <c r="D681" s="2" t="s">
        <v>445</v>
      </c>
      <c r="E681" s="2" t="s">
        <v>402</v>
      </c>
      <c r="F681" s="5" t="n">
        <f aca="false">INDEX('08_PEDIDOS'!$D$2:$D$97,MATCH(A681,'08_PEDIDOS'!$A$2:$A$97,0))</f>
        <v>13</v>
      </c>
      <c r="G681" s="5" t="n">
        <f aca="false">INDEX('08_PEDIDOS'!$H$2:$H$97,MATCH(A681,'08_PEDIDOS'!$A$2:$A$97,0))</f>
        <v>10</v>
      </c>
      <c r="H681" s="17" t="n">
        <f aca="false">SUMIFS('05_RUTAS'!$F$2:$F$407,'05_RUTAS'!$A$2:$A$407,B681,'05_RUTAS'!$C$2:$C$407,C681)</f>
        <v>12</v>
      </c>
      <c r="I681" s="18" t="n">
        <f aca="false">SUMIFS('05_RUTAS'!$G$2:$G$407,'05_RUTAS'!$A$2:$A$407,B681,'05_RUTAS'!$C$2:$C$407,C681)</f>
        <v>8.02</v>
      </c>
      <c r="J681" s="18" t="n">
        <f aca="false">(ROUNDUP(F681/G681,0)*H681+F681*I681)/60</f>
        <v>2.13766666666667</v>
      </c>
      <c r="K681" s="5" t="n">
        <f aca="false">MONTH(INDEX('08_PEDIDOS'!$F$2:$F$97,MATCH(A681,'08_PEDIDOS'!$A$2:$A$97,0)))</f>
        <v>8</v>
      </c>
      <c r="L681" s="16" t="n">
        <f aca="false">J681*N(INDEX('04_MAQUINAS'!$F$2:$F$18,MATCH(E681,'04_MAQUINAS'!$A$2:$A$18,0)))</f>
        <v>68.4053333333333</v>
      </c>
      <c r="M681" s="17" t="n">
        <f aca="false">J681*INDEX('04_MAQUINAS'!$G$2:$G$18,MATCH(E681,'04_MAQUINAS'!$A$2:$A$18,0))*INDEX('04_MAQUINAS'!$H$2:$H$18,MATCH(E681,'04_MAQUINAS'!$A$2:$A$18,0))</f>
        <v>2.24455</v>
      </c>
      <c r="N681" s="2" t="s">
        <v>629</v>
      </c>
    </row>
    <row r="682" customFormat="false" ht="15" hidden="false" customHeight="false" outlineLevel="0" collapsed="false">
      <c r="A682" s="2" t="s">
        <v>581</v>
      </c>
      <c r="B682" s="2" t="s">
        <v>80</v>
      </c>
      <c r="C682" s="4" t="n">
        <v>9</v>
      </c>
      <c r="D682" s="2" t="s">
        <v>447</v>
      </c>
      <c r="E682" s="2" t="s">
        <v>421</v>
      </c>
      <c r="F682" s="5" t="n">
        <f aca="false">INDEX('08_PEDIDOS'!$D$2:$D$97,MATCH(A682,'08_PEDIDOS'!$A$2:$A$97,0))</f>
        <v>13</v>
      </c>
      <c r="G682" s="5" t="n">
        <f aca="false">INDEX('08_PEDIDOS'!$H$2:$H$97,MATCH(A682,'08_PEDIDOS'!$A$2:$A$97,0))</f>
        <v>10</v>
      </c>
      <c r="H682" s="17" t="n">
        <f aca="false">SUMIFS('05_RUTAS'!$F$2:$F$407,'05_RUTAS'!$A$2:$A$407,B682,'05_RUTAS'!$C$2:$C$407,C682)</f>
        <v>45</v>
      </c>
      <c r="I682" s="18" t="n">
        <f aca="false">SUMIFS('05_RUTAS'!$G$2:$G$407,'05_RUTAS'!$A$2:$A$407,B682,'05_RUTAS'!$C$2:$C$407,C682)</f>
        <v>0</v>
      </c>
      <c r="J682" s="18" t="n">
        <f aca="false">(ROUNDUP(F682/G682,0)*H682+F682*I682)/60</f>
        <v>1.5</v>
      </c>
      <c r="K682" s="5" t="n">
        <f aca="false">MONTH(INDEX('08_PEDIDOS'!$F$2:$F$97,MATCH(A682,'08_PEDIDOS'!$A$2:$A$97,0)))</f>
        <v>8</v>
      </c>
      <c r="L682" s="16" t="n">
        <f aca="false">J682*N(INDEX('04_MAQUINAS'!$F$2:$F$18,MATCH(E682,'04_MAQUINAS'!$A$2:$A$18,0)))</f>
        <v>39</v>
      </c>
      <c r="M682" s="17" t="n">
        <f aca="false">J682*INDEX('04_MAQUINAS'!$G$2:$G$18,MATCH(E682,'04_MAQUINAS'!$A$2:$A$18,0))*INDEX('04_MAQUINAS'!$H$2:$H$18,MATCH(E682,'04_MAQUINAS'!$A$2:$A$18,0))</f>
        <v>21.6</v>
      </c>
      <c r="N682" s="2" t="s">
        <v>629</v>
      </c>
    </row>
    <row r="683" customFormat="false" ht="15" hidden="false" customHeight="false" outlineLevel="0" collapsed="false">
      <c r="A683" s="2" t="s">
        <v>581</v>
      </c>
      <c r="B683" s="2" t="s">
        <v>80</v>
      </c>
      <c r="C683" s="4" t="n">
        <v>10</v>
      </c>
      <c r="D683" s="2" t="s">
        <v>449</v>
      </c>
      <c r="E683" s="2" t="s">
        <v>423</v>
      </c>
      <c r="F683" s="5" t="n">
        <f aca="false">INDEX('08_PEDIDOS'!$D$2:$D$97,MATCH(A683,'08_PEDIDOS'!$A$2:$A$97,0))</f>
        <v>13</v>
      </c>
      <c r="G683" s="5" t="n">
        <f aca="false">INDEX('08_PEDIDOS'!$H$2:$H$97,MATCH(A683,'08_PEDIDOS'!$A$2:$A$97,0))</f>
        <v>10</v>
      </c>
      <c r="H683" s="17" t="n">
        <f aca="false">SUMIFS('05_RUTAS'!$F$2:$F$407,'05_RUTAS'!$A$2:$A$407,B683,'05_RUTAS'!$C$2:$C$407,C683)</f>
        <v>8</v>
      </c>
      <c r="I683" s="18" t="n">
        <f aca="false">SUMIFS('05_RUTAS'!$G$2:$G$407,'05_RUTAS'!$A$2:$A$407,B683,'05_RUTAS'!$C$2:$C$407,C683)</f>
        <v>2.69</v>
      </c>
      <c r="J683" s="18" t="n">
        <f aca="false">(ROUNDUP(F683/G683,0)*H683+F683*I683)/60</f>
        <v>0.8495</v>
      </c>
      <c r="K683" s="5" t="n">
        <f aca="false">MONTH(INDEX('08_PEDIDOS'!$F$2:$F$97,MATCH(A683,'08_PEDIDOS'!$A$2:$A$97,0)))</f>
        <v>8</v>
      </c>
      <c r="L683" s="16" t="n">
        <f aca="false">J683*N(INDEX('04_MAQUINAS'!$F$2:$F$18,MATCH(E683,'04_MAQUINAS'!$A$2:$A$18,0)))</f>
        <v>13.592</v>
      </c>
      <c r="M683" s="17" t="n">
        <f aca="false">J683*INDEX('04_MAQUINAS'!$G$2:$G$18,MATCH(E683,'04_MAQUINAS'!$A$2:$A$18,0))*INDEX('04_MAQUINAS'!$H$2:$H$18,MATCH(E683,'04_MAQUINAS'!$A$2:$A$18,0))</f>
        <v>0.212375</v>
      </c>
      <c r="N683" s="2" t="s">
        <v>629</v>
      </c>
    </row>
    <row r="684" customFormat="false" ht="15" hidden="false" customHeight="false" outlineLevel="0" collapsed="false">
      <c r="A684" s="2" t="s">
        <v>581</v>
      </c>
      <c r="B684" s="2" t="s">
        <v>80</v>
      </c>
      <c r="C684" s="4" t="n">
        <v>11</v>
      </c>
      <c r="D684" s="2" t="s">
        <v>450</v>
      </c>
      <c r="E684" s="2" t="s">
        <v>406</v>
      </c>
      <c r="F684" s="5" t="n">
        <f aca="false">INDEX('08_PEDIDOS'!$D$2:$D$97,MATCH(A684,'08_PEDIDOS'!$A$2:$A$97,0))</f>
        <v>13</v>
      </c>
      <c r="G684" s="5" t="n">
        <f aca="false">INDEX('08_PEDIDOS'!$H$2:$H$97,MATCH(A684,'08_PEDIDOS'!$A$2:$A$97,0))</f>
        <v>10</v>
      </c>
      <c r="H684" s="17" t="n">
        <f aca="false">SUMIFS('05_RUTAS'!$F$2:$F$407,'05_RUTAS'!$A$2:$A$407,B684,'05_RUTAS'!$C$2:$C$407,C684)</f>
        <v>6</v>
      </c>
      <c r="I684" s="18" t="n">
        <f aca="false">SUMIFS('05_RUTAS'!$G$2:$G$407,'05_RUTAS'!$A$2:$A$407,B684,'05_RUTAS'!$C$2:$C$407,C684)</f>
        <v>60</v>
      </c>
      <c r="J684" s="18" t="n">
        <f aca="false">(ROUNDUP(F684/G684,0)*H684+F684*I684)/60</f>
        <v>13.2</v>
      </c>
      <c r="K684" s="5" t="n">
        <f aca="false">MONTH(INDEX('08_PEDIDOS'!$F$2:$F$97,MATCH(A684,'08_PEDIDOS'!$A$2:$A$97,0)))</f>
        <v>8</v>
      </c>
      <c r="L684" s="16" t="n">
        <f aca="false">J684*N(INDEX('04_MAQUINAS'!$F$2:$F$18,MATCH(E684,'04_MAQUINAS'!$A$2:$A$18,0)))</f>
        <v>250.8</v>
      </c>
      <c r="M684" s="17" t="n">
        <f aca="false">J684*INDEX('04_MAQUINAS'!$G$2:$G$18,MATCH(E684,'04_MAQUINAS'!$A$2:$A$18,0))*INDEX('04_MAQUINAS'!$H$2:$H$18,MATCH(E684,'04_MAQUINAS'!$A$2:$A$18,0))</f>
        <v>3.96</v>
      </c>
      <c r="N684" s="2" t="s">
        <v>629</v>
      </c>
    </row>
    <row r="685" customFormat="false" ht="15" hidden="false" customHeight="false" outlineLevel="0" collapsed="false">
      <c r="A685" s="2" t="s">
        <v>581</v>
      </c>
      <c r="B685" s="2" t="s">
        <v>80</v>
      </c>
      <c r="C685" s="4" t="n">
        <v>12</v>
      </c>
      <c r="D685" s="2" t="s">
        <v>451</v>
      </c>
      <c r="E685" s="2" t="s">
        <v>408</v>
      </c>
      <c r="F685" s="5" t="n">
        <f aca="false">INDEX('08_PEDIDOS'!$D$2:$D$97,MATCH(A685,'08_PEDIDOS'!$A$2:$A$97,0))</f>
        <v>13</v>
      </c>
      <c r="G685" s="5" t="n">
        <f aca="false">INDEX('08_PEDIDOS'!$H$2:$H$97,MATCH(A685,'08_PEDIDOS'!$A$2:$A$97,0))</f>
        <v>10</v>
      </c>
      <c r="H685" s="17" t="n">
        <f aca="false">SUMIFS('05_RUTAS'!$F$2:$F$407,'05_RUTAS'!$A$2:$A$407,B685,'05_RUTAS'!$C$2:$C$407,C685)</f>
        <v>2</v>
      </c>
      <c r="I685" s="18" t="n">
        <f aca="false">SUMIFS('05_RUTAS'!$G$2:$G$407,'05_RUTAS'!$A$2:$A$407,B685,'05_RUTAS'!$C$2:$C$407,C685)</f>
        <v>3.86</v>
      </c>
      <c r="J685" s="18" t="n">
        <f aca="false">(ROUNDUP(F685/G685,0)*H685+F685*I685)/60</f>
        <v>0.903</v>
      </c>
      <c r="K685" s="5" t="n">
        <f aca="false">MONTH(INDEX('08_PEDIDOS'!$F$2:$F$97,MATCH(A685,'08_PEDIDOS'!$A$2:$A$97,0)))</f>
        <v>8</v>
      </c>
      <c r="L685" s="16" t="n">
        <f aca="false">J685*N(INDEX('04_MAQUINAS'!$F$2:$F$18,MATCH(E685,'04_MAQUINAS'!$A$2:$A$18,0)))</f>
        <v>18.06</v>
      </c>
      <c r="M685" s="17" t="n">
        <f aca="false">J685*INDEX('04_MAQUINAS'!$G$2:$G$18,MATCH(E685,'04_MAQUINAS'!$A$2:$A$18,0))*INDEX('04_MAQUINAS'!$H$2:$H$18,MATCH(E685,'04_MAQUINAS'!$A$2:$A$18,0))</f>
        <v>0.0903</v>
      </c>
      <c r="N685" s="2" t="s">
        <v>629</v>
      </c>
    </row>
    <row r="686" customFormat="false" ht="15" hidden="false" customHeight="false" outlineLevel="0" collapsed="false">
      <c r="A686" s="2" t="s">
        <v>581</v>
      </c>
      <c r="B686" s="2" t="s">
        <v>80</v>
      </c>
      <c r="C686" s="4" t="n">
        <v>13</v>
      </c>
      <c r="D686" s="2" t="s">
        <v>452</v>
      </c>
      <c r="E686" s="2" t="s">
        <v>411</v>
      </c>
      <c r="F686" s="5" t="n">
        <f aca="false">INDEX('08_PEDIDOS'!$D$2:$D$97,MATCH(A686,'08_PEDIDOS'!$A$2:$A$97,0))</f>
        <v>13</v>
      </c>
      <c r="G686" s="5" t="n">
        <f aca="false">INDEX('08_PEDIDOS'!$H$2:$H$97,MATCH(A686,'08_PEDIDOS'!$A$2:$A$97,0))</f>
        <v>10</v>
      </c>
      <c r="H686" s="17" t="n">
        <f aca="false">SUMIFS('05_RUTAS'!$F$2:$F$407,'05_RUTAS'!$A$2:$A$407,B686,'05_RUTAS'!$C$2:$C$407,C686)</f>
        <v>2</v>
      </c>
      <c r="I686" s="18" t="n">
        <f aca="false">SUMIFS('05_RUTAS'!$G$2:$G$407,'05_RUTAS'!$A$2:$A$407,B686,'05_RUTAS'!$C$2:$C$407,C686)</f>
        <v>5.3</v>
      </c>
      <c r="J686" s="18" t="n">
        <f aca="false">(ROUNDUP(F686/G686,0)*H686+F686*I686)/60</f>
        <v>1.215</v>
      </c>
      <c r="K686" s="5" t="n">
        <f aca="false">MONTH(INDEX('08_PEDIDOS'!$F$2:$F$97,MATCH(A686,'08_PEDIDOS'!$A$2:$A$97,0)))</f>
        <v>8</v>
      </c>
      <c r="L686" s="16" t="n">
        <f aca="false">J686*N(INDEX('04_MAQUINAS'!$F$2:$F$18,MATCH(E686,'04_MAQUINAS'!$A$2:$A$18,0)))</f>
        <v>21.87</v>
      </c>
      <c r="M686" s="17" t="n">
        <f aca="false">J686*INDEX('04_MAQUINAS'!$G$2:$G$18,MATCH(E686,'04_MAQUINAS'!$A$2:$A$18,0))*INDEX('04_MAQUINAS'!$H$2:$H$18,MATCH(E686,'04_MAQUINAS'!$A$2:$A$18,0))</f>
        <v>0.10935</v>
      </c>
      <c r="N686" s="2" t="s">
        <v>629</v>
      </c>
    </row>
    <row r="687" customFormat="false" ht="15" hidden="false" customHeight="false" outlineLevel="0" collapsed="false">
      <c r="A687" s="2" t="s">
        <v>582</v>
      </c>
      <c r="B687" s="2" t="s">
        <v>83</v>
      </c>
      <c r="C687" s="4" t="n">
        <v>1</v>
      </c>
      <c r="D687" s="2" t="s">
        <v>437</v>
      </c>
      <c r="E687" s="2" t="s">
        <v>375</v>
      </c>
      <c r="F687" s="5" t="n">
        <f aca="false">INDEX('08_PEDIDOS'!$D$2:$D$97,MATCH(A687,'08_PEDIDOS'!$A$2:$A$97,0))</f>
        <v>14</v>
      </c>
      <c r="G687" s="5" t="n">
        <f aca="false">INDEX('08_PEDIDOS'!$H$2:$H$97,MATCH(A687,'08_PEDIDOS'!$A$2:$A$97,0))</f>
        <v>10</v>
      </c>
      <c r="H687" s="17" t="n">
        <f aca="false">SUMIFS('05_RUTAS'!$F$2:$F$407,'05_RUTAS'!$A$2:$A$407,B687,'05_RUTAS'!$C$2:$C$407,C687)</f>
        <v>8</v>
      </c>
      <c r="I687" s="18" t="n">
        <f aca="false">SUMIFS('05_RUTAS'!$G$2:$G$407,'05_RUTAS'!$A$2:$A$407,B687,'05_RUTAS'!$C$2:$C$407,C687)</f>
        <v>36.67</v>
      </c>
      <c r="J687" s="18" t="n">
        <f aca="false">(ROUNDUP(F687/G687,0)*H687+F687*I687)/60</f>
        <v>8.823</v>
      </c>
      <c r="K687" s="5" t="n">
        <f aca="false">MONTH(INDEX('08_PEDIDOS'!$F$2:$F$97,MATCH(A687,'08_PEDIDOS'!$A$2:$A$97,0)))</f>
        <v>8</v>
      </c>
      <c r="L687" s="16" t="n">
        <f aca="false">J687*N(INDEX('04_MAQUINAS'!$F$2:$F$18,MATCH(E687,'04_MAQUINAS'!$A$2:$A$18,0)))</f>
        <v>211.752</v>
      </c>
      <c r="M687" s="17" t="n">
        <f aca="false">J687*INDEX('04_MAQUINAS'!$G$2:$G$18,MATCH(E687,'04_MAQUINAS'!$A$2:$A$18,0))*INDEX('04_MAQUINAS'!$H$2:$H$18,MATCH(E687,'04_MAQUINAS'!$A$2:$A$18,0))</f>
        <v>24.26325</v>
      </c>
      <c r="N687" s="2" t="s">
        <v>629</v>
      </c>
    </row>
    <row r="688" customFormat="false" ht="15" hidden="false" customHeight="false" outlineLevel="0" collapsed="false">
      <c r="A688" s="2" t="s">
        <v>582</v>
      </c>
      <c r="B688" s="2" t="s">
        <v>83</v>
      </c>
      <c r="C688" s="4" t="n">
        <v>2</v>
      </c>
      <c r="D688" s="2" t="s">
        <v>441</v>
      </c>
      <c r="E688" s="2" t="s">
        <v>380</v>
      </c>
      <c r="F688" s="5" t="n">
        <f aca="false">INDEX('08_PEDIDOS'!$D$2:$D$97,MATCH(A688,'08_PEDIDOS'!$A$2:$A$97,0))</f>
        <v>14</v>
      </c>
      <c r="G688" s="5" t="n">
        <f aca="false">INDEX('08_PEDIDOS'!$H$2:$H$97,MATCH(A688,'08_PEDIDOS'!$A$2:$A$97,0))</f>
        <v>10</v>
      </c>
      <c r="H688" s="17" t="n">
        <f aca="false">SUMIFS('05_RUTAS'!$F$2:$F$407,'05_RUTAS'!$A$2:$A$407,B688,'05_RUTAS'!$C$2:$C$407,C688)</f>
        <v>8</v>
      </c>
      <c r="I688" s="18" t="n">
        <f aca="false">SUMIFS('05_RUTAS'!$G$2:$G$407,'05_RUTAS'!$A$2:$A$407,B688,'05_RUTAS'!$C$2:$C$407,C688)</f>
        <v>52</v>
      </c>
      <c r="J688" s="18" t="n">
        <f aca="false">(ROUNDUP(F688/G688,0)*H688+F688*I688)/60</f>
        <v>12.4</v>
      </c>
      <c r="K688" s="5" t="n">
        <f aca="false">MONTH(INDEX('08_PEDIDOS'!$F$2:$F$97,MATCH(A688,'08_PEDIDOS'!$A$2:$A$97,0)))</f>
        <v>8</v>
      </c>
      <c r="L688" s="16" t="n">
        <f aca="false">J688*N(INDEX('04_MAQUINAS'!$F$2:$F$18,MATCH(E688,'04_MAQUINAS'!$A$2:$A$18,0)))</f>
        <v>272.8</v>
      </c>
      <c r="M688" s="17" t="n">
        <f aca="false">J688*INDEX('04_MAQUINAS'!$G$2:$G$18,MATCH(E688,'04_MAQUINAS'!$A$2:$A$18,0))*INDEX('04_MAQUINAS'!$H$2:$H$18,MATCH(E688,'04_MAQUINAS'!$A$2:$A$18,0))</f>
        <v>5.58</v>
      </c>
      <c r="N688" s="2" t="s">
        <v>629</v>
      </c>
    </row>
    <row r="689" customFormat="false" ht="15" hidden="false" customHeight="false" outlineLevel="0" collapsed="false">
      <c r="A689" s="2" t="s">
        <v>582</v>
      </c>
      <c r="B689" s="2" t="s">
        <v>83</v>
      </c>
      <c r="C689" s="4" t="n">
        <v>3</v>
      </c>
      <c r="D689" s="2" t="s">
        <v>386</v>
      </c>
      <c r="E689" s="2" t="s">
        <v>383</v>
      </c>
      <c r="F689" s="5" t="n">
        <f aca="false">INDEX('08_PEDIDOS'!$D$2:$D$97,MATCH(A689,'08_PEDIDOS'!$A$2:$A$97,0))</f>
        <v>14</v>
      </c>
      <c r="G689" s="5" t="n">
        <f aca="false">INDEX('08_PEDIDOS'!$H$2:$H$97,MATCH(A689,'08_PEDIDOS'!$A$2:$A$97,0))</f>
        <v>10</v>
      </c>
      <c r="H689" s="17" t="n">
        <f aca="false">SUMIFS('05_RUTAS'!$F$2:$F$407,'05_RUTAS'!$A$2:$A$407,B689,'05_RUTAS'!$C$2:$C$407,C689)</f>
        <v>10</v>
      </c>
      <c r="I689" s="18" t="n">
        <f aca="false">SUMIFS('05_RUTAS'!$G$2:$G$407,'05_RUTAS'!$A$2:$A$407,B689,'05_RUTAS'!$C$2:$C$407,C689)</f>
        <v>82.1</v>
      </c>
      <c r="J689" s="18" t="n">
        <f aca="false">(ROUNDUP(F689/G689,0)*H689+F689*I689)/60</f>
        <v>19.49</v>
      </c>
      <c r="K689" s="5" t="n">
        <f aca="false">MONTH(INDEX('08_PEDIDOS'!$F$2:$F$97,MATCH(A689,'08_PEDIDOS'!$A$2:$A$97,0)))</f>
        <v>8</v>
      </c>
      <c r="L689" s="16" t="n">
        <f aca="false">J689*N(INDEX('04_MAQUINAS'!$F$2:$F$18,MATCH(E689,'04_MAQUINAS'!$A$2:$A$18,0)))</f>
        <v>428.78</v>
      </c>
      <c r="M689" s="17" t="n">
        <f aca="false">J689*INDEX('04_MAQUINAS'!$G$2:$G$18,MATCH(E689,'04_MAQUINAS'!$A$2:$A$18,0))*INDEX('04_MAQUINAS'!$H$2:$H$18,MATCH(E689,'04_MAQUINAS'!$A$2:$A$18,0))</f>
        <v>5.35975</v>
      </c>
      <c r="N689" s="2" t="s">
        <v>629</v>
      </c>
    </row>
    <row r="690" customFormat="false" ht="15" hidden="false" customHeight="false" outlineLevel="0" collapsed="false">
      <c r="A690" s="2" t="s">
        <v>582</v>
      </c>
      <c r="B690" s="2" t="s">
        <v>83</v>
      </c>
      <c r="C690" s="4" t="n">
        <v>4</v>
      </c>
      <c r="D690" s="2" t="s">
        <v>390</v>
      </c>
      <c r="E690" s="2" t="s">
        <v>387</v>
      </c>
      <c r="F690" s="5" t="n">
        <f aca="false">INDEX('08_PEDIDOS'!$D$2:$D$97,MATCH(A690,'08_PEDIDOS'!$A$2:$A$97,0))</f>
        <v>14</v>
      </c>
      <c r="G690" s="5" t="n">
        <f aca="false">INDEX('08_PEDIDOS'!$H$2:$H$97,MATCH(A690,'08_PEDIDOS'!$A$2:$A$97,0))</f>
        <v>10</v>
      </c>
      <c r="H690" s="17" t="n">
        <f aca="false">SUMIFS('05_RUTAS'!$F$2:$F$407,'05_RUTAS'!$A$2:$A$407,B690,'05_RUTAS'!$C$2:$C$407,C690)</f>
        <v>12</v>
      </c>
      <c r="I690" s="18" t="n">
        <f aca="false">SUMIFS('05_RUTAS'!$G$2:$G$407,'05_RUTAS'!$A$2:$A$407,B690,'05_RUTAS'!$C$2:$C$407,C690)</f>
        <v>69</v>
      </c>
      <c r="J690" s="18" t="n">
        <f aca="false">(ROUNDUP(F690/G690,0)*H690+F690*I690)/60</f>
        <v>16.5</v>
      </c>
      <c r="K690" s="5" t="n">
        <f aca="false">MONTH(INDEX('08_PEDIDOS'!$F$2:$F$97,MATCH(A690,'08_PEDIDOS'!$A$2:$A$97,0)))</f>
        <v>8</v>
      </c>
      <c r="L690" s="16" t="n">
        <f aca="false">J690*N(INDEX('04_MAQUINAS'!$F$2:$F$18,MATCH(E690,'04_MAQUINAS'!$A$2:$A$18,0)))</f>
        <v>462</v>
      </c>
      <c r="M690" s="17" t="n">
        <f aca="false">J690*INDEX('04_MAQUINAS'!$G$2:$G$18,MATCH(E690,'04_MAQUINAS'!$A$2:$A$18,0))*INDEX('04_MAQUINAS'!$H$2:$H$18,MATCH(E690,'04_MAQUINAS'!$A$2:$A$18,0))</f>
        <v>40.8375</v>
      </c>
      <c r="N690" s="2" t="s">
        <v>629</v>
      </c>
    </row>
    <row r="691" customFormat="false" ht="15" hidden="false" customHeight="false" outlineLevel="0" collapsed="false">
      <c r="A691" s="2" t="s">
        <v>582</v>
      </c>
      <c r="B691" s="2" t="s">
        <v>83</v>
      </c>
      <c r="C691" s="4" t="n">
        <v>5</v>
      </c>
      <c r="D691" s="2" t="s">
        <v>442</v>
      </c>
      <c r="E691" s="2" t="s">
        <v>391</v>
      </c>
      <c r="F691" s="5" t="n">
        <f aca="false">INDEX('08_PEDIDOS'!$D$2:$D$97,MATCH(A691,'08_PEDIDOS'!$A$2:$A$97,0))</f>
        <v>14</v>
      </c>
      <c r="G691" s="5" t="n">
        <f aca="false">INDEX('08_PEDIDOS'!$H$2:$H$97,MATCH(A691,'08_PEDIDOS'!$A$2:$A$97,0))</f>
        <v>10</v>
      </c>
      <c r="H691" s="17" t="n">
        <f aca="false">SUMIFS('05_RUTAS'!$F$2:$F$407,'05_RUTAS'!$A$2:$A$407,B691,'05_RUTAS'!$C$2:$C$407,C691)</f>
        <v>10</v>
      </c>
      <c r="I691" s="18" t="n">
        <f aca="false">SUMIFS('05_RUTAS'!$G$2:$G$407,'05_RUTAS'!$A$2:$A$407,B691,'05_RUTAS'!$C$2:$C$407,C691)</f>
        <v>78.4</v>
      </c>
      <c r="J691" s="18" t="n">
        <f aca="false">(ROUNDUP(F691/G691,0)*H691+F691*I691)/60</f>
        <v>18.6266666666667</v>
      </c>
      <c r="K691" s="5" t="n">
        <f aca="false">MONTH(INDEX('08_PEDIDOS'!$F$2:$F$97,MATCH(A691,'08_PEDIDOS'!$A$2:$A$97,0)))</f>
        <v>8</v>
      </c>
      <c r="L691" s="16" t="n">
        <f aca="false">J691*N(INDEX('04_MAQUINAS'!$F$2:$F$18,MATCH(E691,'04_MAQUINAS'!$A$2:$A$18,0)))</f>
        <v>596.053333333333</v>
      </c>
      <c r="M691" s="17" t="n">
        <f aca="false">J691*INDEX('04_MAQUINAS'!$G$2:$G$18,MATCH(E691,'04_MAQUINAS'!$A$2:$A$18,0))*INDEX('04_MAQUINAS'!$H$2:$H$18,MATCH(E691,'04_MAQUINAS'!$A$2:$A$18,0))</f>
        <v>32.5966666666667</v>
      </c>
      <c r="N691" s="2" t="s">
        <v>629</v>
      </c>
    </row>
    <row r="692" customFormat="false" ht="15" hidden="false" customHeight="false" outlineLevel="0" collapsed="false">
      <c r="A692" s="2" t="s">
        <v>582</v>
      </c>
      <c r="B692" s="2" t="s">
        <v>83</v>
      </c>
      <c r="C692" s="4" t="n">
        <v>6</v>
      </c>
      <c r="D692" s="2" t="s">
        <v>443</v>
      </c>
      <c r="E692" s="2" t="s">
        <v>395</v>
      </c>
      <c r="F692" s="5" t="n">
        <f aca="false">INDEX('08_PEDIDOS'!$D$2:$D$97,MATCH(A692,'08_PEDIDOS'!$A$2:$A$97,0))</f>
        <v>14</v>
      </c>
      <c r="G692" s="5" t="n">
        <f aca="false">INDEX('08_PEDIDOS'!$H$2:$H$97,MATCH(A692,'08_PEDIDOS'!$A$2:$A$97,0))</f>
        <v>10</v>
      </c>
      <c r="H692" s="17" t="n">
        <f aca="false">SUMIFS('05_RUTAS'!$F$2:$F$407,'05_RUTAS'!$A$2:$A$407,B692,'05_RUTAS'!$C$2:$C$407,C692)</f>
        <v>3</v>
      </c>
      <c r="I692" s="18" t="n">
        <f aca="false">SUMIFS('05_RUTAS'!$G$2:$G$407,'05_RUTAS'!$A$2:$A$407,B692,'05_RUTAS'!$C$2:$C$407,C692)</f>
        <v>49.5</v>
      </c>
      <c r="J692" s="18" t="n">
        <f aca="false">(ROUNDUP(F692/G692,0)*H692+F692*I692)/60</f>
        <v>11.65</v>
      </c>
      <c r="K692" s="5" t="n">
        <f aca="false">MONTH(INDEX('08_PEDIDOS'!$F$2:$F$97,MATCH(A692,'08_PEDIDOS'!$A$2:$A$97,0)))</f>
        <v>8</v>
      </c>
      <c r="L692" s="16" t="n">
        <f aca="false">J692*N(INDEX('04_MAQUINAS'!$F$2:$F$18,MATCH(E692,'04_MAQUINAS'!$A$2:$A$18,0)))</f>
        <v>244.65</v>
      </c>
      <c r="M692" s="17" t="n">
        <f aca="false">J692*INDEX('04_MAQUINAS'!$G$2:$G$18,MATCH(E692,'04_MAQUINAS'!$A$2:$A$18,0))*INDEX('04_MAQUINAS'!$H$2:$H$18,MATCH(E692,'04_MAQUINAS'!$A$2:$A$18,0))</f>
        <v>8.7375</v>
      </c>
      <c r="N692" s="2" t="s">
        <v>629</v>
      </c>
    </row>
    <row r="693" customFormat="false" ht="15" hidden="false" customHeight="false" outlineLevel="0" collapsed="false">
      <c r="A693" s="2" t="s">
        <v>582</v>
      </c>
      <c r="B693" s="2" t="s">
        <v>83</v>
      </c>
      <c r="C693" s="4" t="n">
        <v>7</v>
      </c>
      <c r="D693" s="2" t="s">
        <v>444</v>
      </c>
      <c r="E693" s="2" t="s">
        <v>399</v>
      </c>
      <c r="F693" s="5" t="n">
        <f aca="false">INDEX('08_PEDIDOS'!$D$2:$D$97,MATCH(A693,'08_PEDIDOS'!$A$2:$A$97,0))</f>
        <v>14</v>
      </c>
      <c r="G693" s="5" t="n">
        <f aca="false">INDEX('08_PEDIDOS'!$H$2:$H$97,MATCH(A693,'08_PEDIDOS'!$A$2:$A$97,0))</f>
        <v>10</v>
      </c>
      <c r="H693" s="17" t="n">
        <f aca="false">SUMIFS('05_RUTAS'!$F$2:$F$407,'05_RUTAS'!$A$2:$A$407,B693,'05_RUTAS'!$C$2:$C$407,C693)</f>
        <v>6</v>
      </c>
      <c r="I693" s="18" t="n">
        <f aca="false">SUMIFS('05_RUTAS'!$G$2:$G$407,'05_RUTAS'!$A$2:$A$407,B693,'05_RUTAS'!$C$2:$C$407,C693)</f>
        <v>32.064</v>
      </c>
      <c r="J693" s="18" t="n">
        <f aca="false">(ROUNDUP(F693/G693,0)*H693+F693*I693)/60</f>
        <v>7.6816</v>
      </c>
      <c r="K693" s="5" t="n">
        <f aca="false">MONTH(INDEX('08_PEDIDOS'!$F$2:$F$97,MATCH(A693,'08_PEDIDOS'!$A$2:$A$97,0)))</f>
        <v>8</v>
      </c>
      <c r="L693" s="16" t="n">
        <f aca="false">J693*N(INDEX('04_MAQUINAS'!$F$2:$F$18,MATCH(E693,'04_MAQUINAS'!$A$2:$A$18,0)))</f>
        <v>145.9504</v>
      </c>
      <c r="M693" s="17" t="n">
        <f aca="false">J693*INDEX('04_MAQUINAS'!$G$2:$G$18,MATCH(E693,'04_MAQUINAS'!$A$2:$A$18,0))*INDEX('04_MAQUINAS'!$H$2:$H$18,MATCH(E693,'04_MAQUINAS'!$A$2:$A$18,0))</f>
        <v>6.759808</v>
      </c>
      <c r="N693" s="2" t="s">
        <v>629</v>
      </c>
    </row>
    <row r="694" customFormat="false" ht="15" hidden="false" customHeight="false" outlineLevel="0" collapsed="false">
      <c r="A694" s="2" t="s">
        <v>582</v>
      </c>
      <c r="B694" s="2" t="s">
        <v>83</v>
      </c>
      <c r="C694" s="4" t="n">
        <v>8</v>
      </c>
      <c r="D694" s="2" t="s">
        <v>445</v>
      </c>
      <c r="E694" s="2" t="s">
        <v>402</v>
      </c>
      <c r="F694" s="5" t="n">
        <f aca="false">INDEX('08_PEDIDOS'!$D$2:$D$97,MATCH(A694,'08_PEDIDOS'!$A$2:$A$97,0))</f>
        <v>14</v>
      </c>
      <c r="G694" s="5" t="n">
        <f aca="false">INDEX('08_PEDIDOS'!$H$2:$H$97,MATCH(A694,'08_PEDIDOS'!$A$2:$A$97,0))</f>
        <v>10</v>
      </c>
      <c r="H694" s="17" t="n">
        <f aca="false">SUMIFS('05_RUTAS'!$F$2:$F$407,'05_RUTAS'!$A$2:$A$407,B694,'05_RUTAS'!$C$2:$C$407,C694)</f>
        <v>12</v>
      </c>
      <c r="I694" s="18" t="n">
        <f aca="false">SUMIFS('05_RUTAS'!$G$2:$G$407,'05_RUTAS'!$A$2:$A$407,B694,'05_RUTAS'!$C$2:$C$407,C694)</f>
        <v>8.02</v>
      </c>
      <c r="J694" s="18" t="n">
        <f aca="false">(ROUNDUP(F694/G694,0)*H694+F694*I694)/60</f>
        <v>2.27133333333333</v>
      </c>
      <c r="K694" s="5" t="n">
        <f aca="false">MONTH(INDEX('08_PEDIDOS'!$F$2:$F$97,MATCH(A694,'08_PEDIDOS'!$A$2:$A$97,0)))</f>
        <v>8</v>
      </c>
      <c r="L694" s="16" t="n">
        <f aca="false">J694*N(INDEX('04_MAQUINAS'!$F$2:$F$18,MATCH(E694,'04_MAQUINAS'!$A$2:$A$18,0)))</f>
        <v>72.6826666666667</v>
      </c>
      <c r="M694" s="17" t="n">
        <f aca="false">J694*INDEX('04_MAQUINAS'!$G$2:$G$18,MATCH(E694,'04_MAQUINAS'!$A$2:$A$18,0))*INDEX('04_MAQUINAS'!$H$2:$H$18,MATCH(E694,'04_MAQUINAS'!$A$2:$A$18,0))</f>
        <v>2.3849</v>
      </c>
      <c r="N694" s="2" t="s">
        <v>629</v>
      </c>
    </row>
    <row r="695" customFormat="false" ht="15" hidden="false" customHeight="false" outlineLevel="0" collapsed="false">
      <c r="A695" s="2" t="s">
        <v>582</v>
      </c>
      <c r="B695" s="2" t="s">
        <v>83</v>
      </c>
      <c r="C695" s="4" t="n">
        <v>9</v>
      </c>
      <c r="D695" s="2" t="s">
        <v>447</v>
      </c>
      <c r="E695" s="2" t="s">
        <v>421</v>
      </c>
      <c r="F695" s="5" t="n">
        <f aca="false">INDEX('08_PEDIDOS'!$D$2:$D$97,MATCH(A695,'08_PEDIDOS'!$A$2:$A$97,0))</f>
        <v>14</v>
      </c>
      <c r="G695" s="5" t="n">
        <f aca="false">INDEX('08_PEDIDOS'!$H$2:$H$97,MATCH(A695,'08_PEDIDOS'!$A$2:$A$97,0))</f>
        <v>10</v>
      </c>
      <c r="H695" s="17" t="n">
        <f aca="false">SUMIFS('05_RUTAS'!$F$2:$F$407,'05_RUTAS'!$A$2:$A$407,B695,'05_RUTAS'!$C$2:$C$407,C695)</f>
        <v>45</v>
      </c>
      <c r="I695" s="18" t="n">
        <f aca="false">SUMIFS('05_RUTAS'!$G$2:$G$407,'05_RUTAS'!$A$2:$A$407,B695,'05_RUTAS'!$C$2:$C$407,C695)</f>
        <v>0</v>
      </c>
      <c r="J695" s="18" t="n">
        <f aca="false">(ROUNDUP(F695/G695,0)*H695+F695*I695)/60</f>
        <v>1.5</v>
      </c>
      <c r="K695" s="5" t="n">
        <f aca="false">MONTH(INDEX('08_PEDIDOS'!$F$2:$F$97,MATCH(A695,'08_PEDIDOS'!$A$2:$A$97,0)))</f>
        <v>8</v>
      </c>
      <c r="L695" s="16" t="n">
        <f aca="false">J695*N(INDEX('04_MAQUINAS'!$F$2:$F$18,MATCH(E695,'04_MAQUINAS'!$A$2:$A$18,0)))</f>
        <v>39</v>
      </c>
      <c r="M695" s="17" t="n">
        <f aca="false">J695*INDEX('04_MAQUINAS'!$G$2:$G$18,MATCH(E695,'04_MAQUINAS'!$A$2:$A$18,0))*INDEX('04_MAQUINAS'!$H$2:$H$18,MATCH(E695,'04_MAQUINAS'!$A$2:$A$18,0))</f>
        <v>21.6</v>
      </c>
      <c r="N695" s="2" t="s">
        <v>629</v>
      </c>
    </row>
    <row r="696" customFormat="false" ht="15" hidden="false" customHeight="false" outlineLevel="0" collapsed="false">
      <c r="A696" s="2" t="s">
        <v>582</v>
      </c>
      <c r="B696" s="2" t="s">
        <v>83</v>
      </c>
      <c r="C696" s="4" t="n">
        <v>10</v>
      </c>
      <c r="D696" s="2" t="s">
        <v>449</v>
      </c>
      <c r="E696" s="2" t="s">
        <v>423</v>
      </c>
      <c r="F696" s="5" t="n">
        <f aca="false">INDEX('08_PEDIDOS'!$D$2:$D$97,MATCH(A696,'08_PEDIDOS'!$A$2:$A$97,0))</f>
        <v>14</v>
      </c>
      <c r="G696" s="5" t="n">
        <f aca="false">INDEX('08_PEDIDOS'!$H$2:$H$97,MATCH(A696,'08_PEDIDOS'!$A$2:$A$97,0))</f>
        <v>10</v>
      </c>
      <c r="H696" s="17" t="n">
        <f aca="false">SUMIFS('05_RUTAS'!$F$2:$F$407,'05_RUTAS'!$A$2:$A$407,B696,'05_RUTAS'!$C$2:$C$407,C696)</f>
        <v>8</v>
      </c>
      <c r="I696" s="18" t="n">
        <f aca="false">SUMIFS('05_RUTAS'!$G$2:$G$407,'05_RUTAS'!$A$2:$A$407,B696,'05_RUTAS'!$C$2:$C$407,C696)</f>
        <v>2.69</v>
      </c>
      <c r="J696" s="18" t="n">
        <f aca="false">(ROUNDUP(F696/G696,0)*H696+F696*I696)/60</f>
        <v>0.894333333333333</v>
      </c>
      <c r="K696" s="5" t="n">
        <f aca="false">MONTH(INDEX('08_PEDIDOS'!$F$2:$F$97,MATCH(A696,'08_PEDIDOS'!$A$2:$A$97,0)))</f>
        <v>8</v>
      </c>
      <c r="L696" s="16" t="n">
        <f aca="false">J696*N(INDEX('04_MAQUINAS'!$F$2:$F$18,MATCH(E696,'04_MAQUINAS'!$A$2:$A$18,0)))</f>
        <v>14.3093333333333</v>
      </c>
      <c r="M696" s="17" t="n">
        <f aca="false">J696*INDEX('04_MAQUINAS'!$G$2:$G$18,MATCH(E696,'04_MAQUINAS'!$A$2:$A$18,0))*INDEX('04_MAQUINAS'!$H$2:$H$18,MATCH(E696,'04_MAQUINAS'!$A$2:$A$18,0))</f>
        <v>0.223583333333333</v>
      </c>
      <c r="N696" s="2" t="s">
        <v>629</v>
      </c>
    </row>
    <row r="697" customFormat="false" ht="15" hidden="false" customHeight="false" outlineLevel="0" collapsed="false">
      <c r="A697" s="2" t="s">
        <v>582</v>
      </c>
      <c r="B697" s="2" t="s">
        <v>83</v>
      </c>
      <c r="C697" s="4" t="n">
        <v>11</v>
      </c>
      <c r="D697" s="2" t="s">
        <v>450</v>
      </c>
      <c r="E697" s="2" t="s">
        <v>406</v>
      </c>
      <c r="F697" s="5" t="n">
        <f aca="false">INDEX('08_PEDIDOS'!$D$2:$D$97,MATCH(A697,'08_PEDIDOS'!$A$2:$A$97,0))</f>
        <v>14</v>
      </c>
      <c r="G697" s="5" t="n">
        <f aca="false">INDEX('08_PEDIDOS'!$H$2:$H$97,MATCH(A697,'08_PEDIDOS'!$A$2:$A$97,0))</f>
        <v>10</v>
      </c>
      <c r="H697" s="17" t="n">
        <f aca="false">SUMIFS('05_RUTAS'!$F$2:$F$407,'05_RUTAS'!$A$2:$A$407,B697,'05_RUTAS'!$C$2:$C$407,C697)</f>
        <v>6</v>
      </c>
      <c r="I697" s="18" t="n">
        <f aca="false">SUMIFS('05_RUTAS'!$G$2:$G$407,'05_RUTAS'!$A$2:$A$407,B697,'05_RUTAS'!$C$2:$C$407,C697)</f>
        <v>62.25</v>
      </c>
      <c r="J697" s="18" t="n">
        <f aca="false">(ROUNDUP(F697/G697,0)*H697+F697*I697)/60</f>
        <v>14.725</v>
      </c>
      <c r="K697" s="5" t="n">
        <f aca="false">MONTH(INDEX('08_PEDIDOS'!$F$2:$F$97,MATCH(A697,'08_PEDIDOS'!$A$2:$A$97,0)))</f>
        <v>8</v>
      </c>
      <c r="L697" s="16" t="n">
        <f aca="false">J697*N(INDEX('04_MAQUINAS'!$F$2:$F$18,MATCH(E697,'04_MAQUINAS'!$A$2:$A$18,0)))</f>
        <v>279.775</v>
      </c>
      <c r="M697" s="17" t="n">
        <f aca="false">J697*INDEX('04_MAQUINAS'!$G$2:$G$18,MATCH(E697,'04_MAQUINAS'!$A$2:$A$18,0))*INDEX('04_MAQUINAS'!$H$2:$H$18,MATCH(E697,'04_MAQUINAS'!$A$2:$A$18,0))</f>
        <v>4.4175</v>
      </c>
      <c r="N697" s="2" t="s">
        <v>629</v>
      </c>
    </row>
    <row r="698" customFormat="false" ht="15" hidden="false" customHeight="false" outlineLevel="0" collapsed="false">
      <c r="A698" s="2" t="s">
        <v>582</v>
      </c>
      <c r="B698" s="2" t="s">
        <v>83</v>
      </c>
      <c r="C698" s="4" t="n">
        <v>12</v>
      </c>
      <c r="D698" s="2" t="s">
        <v>451</v>
      </c>
      <c r="E698" s="2" t="s">
        <v>408</v>
      </c>
      <c r="F698" s="5" t="n">
        <f aca="false">INDEX('08_PEDIDOS'!$D$2:$D$97,MATCH(A698,'08_PEDIDOS'!$A$2:$A$97,0))</f>
        <v>14</v>
      </c>
      <c r="G698" s="5" t="n">
        <f aca="false">INDEX('08_PEDIDOS'!$H$2:$H$97,MATCH(A698,'08_PEDIDOS'!$A$2:$A$97,0))</f>
        <v>10</v>
      </c>
      <c r="H698" s="17" t="n">
        <f aca="false">SUMIFS('05_RUTAS'!$F$2:$F$407,'05_RUTAS'!$A$2:$A$407,B698,'05_RUTAS'!$C$2:$C$407,C698)</f>
        <v>2</v>
      </c>
      <c r="I698" s="18" t="n">
        <f aca="false">SUMIFS('05_RUTAS'!$G$2:$G$407,'05_RUTAS'!$A$2:$A$407,B698,'05_RUTAS'!$C$2:$C$407,C698)</f>
        <v>3.86</v>
      </c>
      <c r="J698" s="18" t="n">
        <f aca="false">(ROUNDUP(F698/G698,0)*H698+F698*I698)/60</f>
        <v>0.967333333333333</v>
      </c>
      <c r="K698" s="5" t="n">
        <f aca="false">MONTH(INDEX('08_PEDIDOS'!$F$2:$F$97,MATCH(A698,'08_PEDIDOS'!$A$2:$A$97,0)))</f>
        <v>8</v>
      </c>
      <c r="L698" s="16" t="n">
        <f aca="false">J698*N(INDEX('04_MAQUINAS'!$F$2:$F$18,MATCH(E698,'04_MAQUINAS'!$A$2:$A$18,0)))</f>
        <v>19.3466666666667</v>
      </c>
      <c r="M698" s="17" t="n">
        <f aca="false">J698*INDEX('04_MAQUINAS'!$G$2:$G$18,MATCH(E698,'04_MAQUINAS'!$A$2:$A$18,0))*INDEX('04_MAQUINAS'!$H$2:$H$18,MATCH(E698,'04_MAQUINAS'!$A$2:$A$18,0))</f>
        <v>0.0967333333333333</v>
      </c>
      <c r="N698" s="2" t="s">
        <v>629</v>
      </c>
    </row>
    <row r="699" customFormat="false" ht="15" hidden="false" customHeight="false" outlineLevel="0" collapsed="false">
      <c r="A699" s="2" t="s">
        <v>582</v>
      </c>
      <c r="B699" s="2" t="s">
        <v>83</v>
      </c>
      <c r="C699" s="4" t="n">
        <v>13</v>
      </c>
      <c r="D699" s="2" t="s">
        <v>452</v>
      </c>
      <c r="E699" s="2" t="s">
        <v>411</v>
      </c>
      <c r="F699" s="5" t="n">
        <f aca="false">INDEX('08_PEDIDOS'!$D$2:$D$97,MATCH(A699,'08_PEDIDOS'!$A$2:$A$97,0))</f>
        <v>14</v>
      </c>
      <c r="G699" s="5" t="n">
        <f aca="false">INDEX('08_PEDIDOS'!$H$2:$H$97,MATCH(A699,'08_PEDIDOS'!$A$2:$A$97,0))</f>
        <v>10</v>
      </c>
      <c r="H699" s="17" t="n">
        <f aca="false">SUMIFS('05_RUTAS'!$F$2:$F$407,'05_RUTAS'!$A$2:$A$407,B699,'05_RUTAS'!$C$2:$C$407,C699)</f>
        <v>2</v>
      </c>
      <c r="I699" s="18" t="n">
        <f aca="false">SUMIFS('05_RUTAS'!$G$2:$G$407,'05_RUTAS'!$A$2:$A$407,B699,'05_RUTAS'!$C$2:$C$407,C699)</f>
        <v>5.3</v>
      </c>
      <c r="J699" s="18" t="n">
        <f aca="false">(ROUNDUP(F699/G699,0)*H699+F699*I699)/60</f>
        <v>1.30333333333333</v>
      </c>
      <c r="K699" s="5" t="n">
        <f aca="false">MONTH(INDEX('08_PEDIDOS'!$F$2:$F$97,MATCH(A699,'08_PEDIDOS'!$A$2:$A$97,0)))</f>
        <v>8</v>
      </c>
      <c r="L699" s="16" t="n">
        <f aca="false">J699*N(INDEX('04_MAQUINAS'!$F$2:$F$18,MATCH(E699,'04_MAQUINAS'!$A$2:$A$18,0)))</f>
        <v>23.46</v>
      </c>
      <c r="M699" s="17" t="n">
        <f aca="false">J699*INDEX('04_MAQUINAS'!$G$2:$G$18,MATCH(E699,'04_MAQUINAS'!$A$2:$A$18,0))*INDEX('04_MAQUINAS'!$H$2:$H$18,MATCH(E699,'04_MAQUINAS'!$A$2:$A$18,0))</f>
        <v>0.1173</v>
      </c>
      <c r="N699" s="2" t="s">
        <v>629</v>
      </c>
    </row>
    <row r="700" customFormat="false" ht="15" hidden="false" customHeight="false" outlineLevel="0" collapsed="false">
      <c r="A700" s="2" t="s">
        <v>583</v>
      </c>
      <c r="B700" s="2" t="s">
        <v>94</v>
      </c>
      <c r="C700" s="4" t="n">
        <v>1</v>
      </c>
      <c r="D700" s="2" t="s">
        <v>437</v>
      </c>
      <c r="E700" s="2" t="s">
        <v>375</v>
      </c>
      <c r="F700" s="5" t="n">
        <f aca="false">INDEX('08_PEDIDOS'!$D$2:$D$97,MATCH(A700,'08_PEDIDOS'!$A$2:$A$97,0))</f>
        <v>8</v>
      </c>
      <c r="G700" s="5" t="n">
        <f aca="false">INDEX('08_PEDIDOS'!$H$2:$H$97,MATCH(A700,'08_PEDIDOS'!$A$2:$A$97,0))</f>
        <v>10</v>
      </c>
      <c r="H700" s="17" t="n">
        <f aca="false">SUMIFS('05_RUTAS'!$F$2:$F$407,'05_RUTAS'!$A$2:$A$407,B700,'05_RUTAS'!$C$2:$C$407,C700)</f>
        <v>8</v>
      </c>
      <c r="I700" s="18" t="n">
        <f aca="false">SUMIFS('05_RUTAS'!$G$2:$G$407,'05_RUTAS'!$A$2:$A$407,B700,'05_RUTAS'!$C$2:$C$407,C700)</f>
        <v>90.38</v>
      </c>
      <c r="J700" s="18" t="n">
        <f aca="false">(ROUNDUP(F700/G700,0)*H700+F700*I700)/60</f>
        <v>12.184</v>
      </c>
      <c r="K700" s="5" t="n">
        <f aca="false">MONTH(INDEX('08_PEDIDOS'!$F$2:$F$97,MATCH(A700,'08_PEDIDOS'!$A$2:$A$97,0)))</f>
        <v>8</v>
      </c>
      <c r="L700" s="16" t="n">
        <f aca="false">J700*N(INDEX('04_MAQUINAS'!$F$2:$F$18,MATCH(E700,'04_MAQUINAS'!$A$2:$A$18,0)))</f>
        <v>292.416</v>
      </c>
      <c r="M700" s="17" t="n">
        <f aca="false">J700*INDEX('04_MAQUINAS'!$G$2:$G$18,MATCH(E700,'04_MAQUINAS'!$A$2:$A$18,0))*INDEX('04_MAQUINAS'!$H$2:$H$18,MATCH(E700,'04_MAQUINAS'!$A$2:$A$18,0))</f>
        <v>33.506</v>
      </c>
      <c r="N700" s="2" t="s">
        <v>629</v>
      </c>
    </row>
    <row r="701" customFormat="false" ht="15" hidden="false" customHeight="false" outlineLevel="0" collapsed="false">
      <c r="A701" s="2" t="s">
        <v>583</v>
      </c>
      <c r="B701" s="2" t="s">
        <v>94</v>
      </c>
      <c r="C701" s="4" t="n">
        <v>2</v>
      </c>
      <c r="D701" s="2" t="s">
        <v>441</v>
      </c>
      <c r="E701" s="2" t="s">
        <v>380</v>
      </c>
      <c r="F701" s="5" t="n">
        <f aca="false">INDEX('08_PEDIDOS'!$D$2:$D$97,MATCH(A701,'08_PEDIDOS'!$A$2:$A$97,0))</f>
        <v>8</v>
      </c>
      <c r="G701" s="5" t="n">
        <f aca="false">INDEX('08_PEDIDOS'!$H$2:$H$97,MATCH(A701,'08_PEDIDOS'!$A$2:$A$97,0))</f>
        <v>10</v>
      </c>
      <c r="H701" s="17" t="n">
        <f aca="false">SUMIFS('05_RUTAS'!$F$2:$F$407,'05_RUTAS'!$A$2:$A$407,B701,'05_RUTAS'!$C$2:$C$407,C701)</f>
        <v>8</v>
      </c>
      <c r="I701" s="18" t="n">
        <f aca="false">SUMIFS('05_RUTAS'!$G$2:$G$407,'05_RUTAS'!$A$2:$A$407,B701,'05_RUTAS'!$C$2:$C$407,C701)</f>
        <v>5.98</v>
      </c>
      <c r="J701" s="18" t="n">
        <f aca="false">(ROUNDUP(F701/G701,0)*H701+F701*I701)/60</f>
        <v>0.930666666666667</v>
      </c>
      <c r="K701" s="5" t="n">
        <f aca="false">MONTH(INDEX('08_PEDIDOS'!$F$2:$F$97,MATCH(A701,'08_PEDIDOS'!$A$2:$A$97,0)))</f>
        <v>8</v>
      </c>
      <c r="L701" s="16" t="n">
        <f aca="false">J701*N(INDEX('04_MAQUINAS'!$F$2:$F$18,MATCH(E701,'04_MAQUINAS'!$A$2:$A$18,0)))</f>
        <v>20.4746666666667</v>
      </c>
      <c r="M701" s="17" t="n">
        <f aca="false">J701*INDEX('04_MAQUINAS'!$G$2:$G$18,MATCH(E701,'04_MAQUINAS'!$A$2:$A$18,0))*INDEX('04_MAQUINAS'!$H$2:$H$18,MATCH(E701,'04_MAQUINAS'!$A$2:$A$18,0))</f>
        <v>0.4188</v>
      </c>
      <c r="N701" s="2" t="s">
        <v>629</v>
      </c>
    </row>
    <row r="702" customFormat="false" ht="15" hidden="false" customHeight="false" outlineLevel="0" collapsed="false">
      <c r="A702" s="2" t="s">
        <v>583</v>
      </c>
      <c r="B702" s="2" t="s">
        <v>94</v>
      </c>
      <c r="C702" s="4" t="n">
        <v>3</v>
      </c>
      <c r="D702" s="2" t="s">
        <v>386</v>
      </c>
      <c r="E702" s="2" t="s">
        <v>383</v>
      </c>
      <c r="F702" s="5" t="n">
        <f aca="false">INDEX('08_PEDIDOS'!$D$2:$D$97,MATCH(A702,'08_PEDIDOS'!$A$2:$A$97,0))</f>
        <v>8</v>
      </c>
      <c r="G702" s="5" t="n">
        <f aca="false">INDEX('08_PEDIDOS'!$H$2:$H$97,MATCH(A702,'08_PEDIDOS'!$A$2:$A$97,0))</f>
        <v>10</v>
      </c>
      <c r="H702" s="17" t="n">
        <f aca="false">SUMIFS('05_RUTAS'!$F$2:$F$407,'05_RUTAS'!$A$2:$A$407,B702,'05_RUTAS'!$C$2:$C$407,C702)</f>
        <v>10</v>
      </c>
      <c r="I702" s="18" t="n">
        <f aca="false">SUMIFS('05_RUTAS'!$G$2:$G$407,'05_RUTAS'!$A$2:$A$407,B702,'05_RUTAS'!$C$2:$C$407,C702)</f>
        <v>97</v>
      </c>
      <c r="J702" s="18" t="n">
        <f aca="false">(ROUNDUP(F702/G702,0)*H702+F702*I702)/60</f>
        <v>13.1</v>
      </c>
      <c r="K702" s="5" t="n">
        <f aca="false">MONTH(INDEX('08_PEDIDOS'!$F$2:$F$97,MATCH(A702,'08_PEDIDOS'!$A$2:$A$97,0)))</f>
        <v>8</v>
      </c>
      <c r="L702" s="16" t="n">
        <f aca="false">J702*N(INDEX('04_MAQUINAS'!$F$2:$F$18,MATCH(E702,'04_MAQUINAS'!$A$2:$A$18,0)))</f>
        <v>288.2</v>
      </c>
      <c r="M702" s="17" t="n">
        <f aca="false">J702*INDEX('04_MAQUINAS'!$G$2:$G$18,MATCH(E702,'04_MAQUINAS'!$A$2:$A$18,0))*INDEX('04_MAQUINAS'!$H$2:$H$18,MATCH(E702,'04_MAQUINAS'!$A$2:$A$18,0))</f>
        <v>3.6025</v>
      </c>
      <c r="N702" s="2" t="s">
        <v>629</v>
      </c>
    </row>
    <row r="703" customFormat="false" ht="15" hidden="false" customHeight="false" outlineLevel="0" collapsed="false">
      <c r="A703" s="2" t="s">
        <v>583</v>
      </c>
      <c r="B703" s="2" t="s">
        <v>94</v>
      </c>
      <c r="C703" s="4" t="n">
        <v>4</v>
      </c>
      <c r="D703" s="2" t="s">
        <v>390</v>
      </c>
      <c r="E703" s="2" t="s">
        <v>387</v>
      </c>
      <c r="F703" s="5" t="n">
        <f aca="false">INDEX('08_PEDIDOS'!$D$2:$D$97,MATCH(A703,'08_PEDIDOS'!$A$2:$A$97,0))</f>
        <v>8</v>
      </c>
      <c r="G703" s="5" t="n">
        <f aca="false">INDEX('08_PEDIDOS'!$H$2:$H$97,MATCH(A703,'08_PEDIDOS'!$A$2:$A$97,0))</f>
        <v>10</v>
      </c>
      <c r="H703" s="17" t="n">
        <f aca="false">SUMIFS('05_RUTAS'!$F$2:$F$407,'05_RUTAS'!$A$2:$A$407,B703,'05_RUTAS'!$C$2:$C$407,C703)</f>
        <v>12</v>
      </c>
      <c r="I703" s="18" t="n">
        <f aca="false">SUMIFS('05_RUTAS'!$G$2:$G$407,'05_RUTAS'!$A$2:$A$407,B703,'05_RUTAS'!$C$2:$C$407,C703)</f>
        <v>196</v>
      </c>
      <c r="J703" s="18" t="n">
        <f aca="false">(ROUNDUP(F703/G703,0)*H703+F703*I703)/60</f>
        <v>26.3333333333333</v>
      </c>
      <c r="K703" s="5" t="n">
        <f aca="false">MONTH(INDEX('08_PEDIDOS'!$F$2:$F$97,MATCH(A703,'08_PEDIDOS'!$A$2:$A$97,0)))</f>
        <v>8</v>
      </c>
      <c r="L703" s="16" t="n">
        <f aca="false">J703*N(INDEX('04_MAQUINAS'!$F$2:$F$18,MATCH(E703,'04_MAQUINAS'!$A$2:$A$18,0)))</f>
        <v>737.333333333333</v>
      </c>
      <c r="M703" s="17" t="n">
        <f aca="false">J703*INDEX('04_MAQUINAS'!$G$2:$G$18,MATCH(E703,'04_MAQUINAS'!$A$2:$A$18,0))*INDEX('04_MAQUINAS'!$H$2:$H$18,MATCH(E703,'04_MAQUINAS'!$A$2:$A$18,0))</f>
        <v>65.175</v>
      </c>
      <c r="N703" s="2" t="s">
        <v>629</v>
      </c>
    </row>
    <row r="704" customFormat="false" ht="15" hidden="false" customHeight="false" outlineLevel="0" collapsed="false">
      <c r="A704" s="2" t="s">
        <v>583</v>
      </c>
      <c r="B704" s="2" t="s">
        <v>94</v>
      </c>
      <c r="C704" s="4" t="n">
        <v>5</v>
      </c>
      <c r="D704" s="2" t="s">
        <v>443</v>
      </c>
      <c r="E704" s="2" t="s">
        <v>395</v>
      </c>
      <c r="F704" s="5" t="n">
        <f aca="false">INDEX('08_PEDIDOS'!$D$2:$D$97,MATCH(A704,'08_PEDIDOS'!$A$2:$A$97,0))</f>
        <v>8</v>
      </c>
      <c r="G704" s="5" t="n">
        <f aca="false">INDEX('08_PEDIDOS'!$H$2:$H$97,MATCH(A704,'08_PEDIDOS'!$A$2:$A$97,0))</f>
        <v>10</v>
      </c>
      <c r="H704" s="17" t="n">
        <f aca="false">SUMIFS('05_RUTAS'!$F$2:$F$407,'05_RUTAS'!$A$2:$A$407,B704,'05_RUTAS'!$C$2:$C$407,C704)</f>
        <v>3</v>
      </c>
      <c r="I704" s="18" t="n">
        <f aca="false">SUMIFS('05_RUTAS'!$G$2:$G$407,'05_RUTAS'!$A$2:$A$407,B704,'05_RUTAS'!$C$2:$C$407,C704)</f>
        <v>51</v>
      </c>
      <c r="J704" s="18" t="n">
        <f aca="false">(ROUNDUP(F704/G704,0)*H704+F704*I704)/60</f>
        <v>6.85</v>
      </c>
      <c r="K704" s="5" t="n">
        <f aca="false">MONTH(INDEX('08_PEDIDOS'!$F$2:$F$97,MATCH(A704,'08_PEDIDOS'!$A$2:$A$97,0)))</f>
        <v>8</v>
      </c>
      <c r="L704" s="16" t="n">
        <f aca="false">J704*N(INDEX('04_MAQUINAS'!$F$2:$F$18,MATCH(E704,'04_MAQUINAS'!$A$2:$A$18,0)))</f>
        <v>143.85</v>
      </c>
      <c r="M704" s="17" t="n">
        <f aca="false">J704*INDEX('04_MAQUINAS'!$G$2:$G$18,MATCH(E704,'04_MAQUINAS'!$A$2:$A$18,0))*INDEX('04_MAQUINAS'!$H$2:$H$18,MATCH(E704,'04_MAQUINAS'!$A$2:$A$18,0))</f>
        <v>5.1375</v>
      </c>
      <c r="N704" s="2" t="s">
        <v>629</v>
      </c>
    </row>
    <row r="705" customFormat="false" ht="15" hidden="false" customHeight="false" outlineLevel="0" collapsed="false">
      <c r="A705" s="2" t="s">
        <v>583</v>
      </c>
      <c r="B705" s="2" t="s">
        <v>94</v>
      </c>
      <c r="C705" s="4" t="n">
        <v>6</v>
      </c>
      <c r="D705" s="2" t="s">
        <v>444</v>
      </c>
      <c r="E705" s="2" t="s">
        <v>399</v>
      </c>
      <c r="F705" s="5" t="n">
        <f aca="false">INDEX('08_PEDIDOS'!$D$2:$D$97,MATCH(A705,'08_PEDIDOS'!$A$2:$A$97,0))</f>
        <v>8</v>
      </c>
      <c r="G705" s="5" t="n">
        <f aca="false">INDEX('08_PEDIDOS'!$H$2:$H$97,MATCH(A705,'08_PEDIDOS'!$A$2:$A$97,0))</f>
        <v>10</v>
      </c>
      <c r="H705" s="17" t="n">
        <f aca="false">SUMIFS('05_RUTAS'!$F$2:$F$407,'05_RUTAS'!$A$2:$A$407,B705,'05_RUTAS'!$C$2:$C$407,C705)</f>
        <v>6</v>
      </c>
      <c r="I705" s="18" t="n">
        <f aca="false">SUMIFS('05_RUTAS'!$G$2:$G$407,'05_RUTAS'!$A$2:$A$407,B705,'05_RUTAS'!$C$2:$C$407,C705)</f>
        <v>40.5152</v>
      </c>
      <c r="J705" s="18" t="n">
        <f aca="false">(ROUNDUP(F705/G705,0)*H705+F705*I705)/60</f>
        <v>5.50202666666667</v>
      </c>
      <c r="K705" s="5" t="n">
        <f aca="false">MONTH(INDEX('08_PEDIDOS'!$F$2:$F$97,MATCH(A705,'08_PEDIDOS'!$A$2:$A$97,0)))</f>
        <v>8</v>
      </c>
      <c r="L705" s="16" t="n">
        <f aca="false">J705*N(INDEX('04_MAQUINAS'!$F$2:$F$18,MATCH(E705,'04_MAQUINAS'!$A$2:$A$18,0)))</f>
        <v>104.538506666667</v>
      </c>
      <c r="M705" s="17" t="n">
        <f aca="false">J705*INDEX('04_MAQUINAS'!$G$2:$G$18,MATCH(E705,'04_MAQUINAS'!$A$2:$A$18,0))*INDEX('04_MAQUINAS'!$H$2:$H$18,MATCH(E705,'04_MAQUINAS'!$A$2:$A$18,0))</f>
        <v>4.84178346666667</v>
      </c>
      <c r="N705" s="2" t="s">
        <v>629</v>
      </c>
    </row>
    <row r="706" customFormat="false" ht="15" hidden="false" customHeight="false" outlineLevel="0" collapsed="false">
      <c r="A706" s="2" t="s">
        <v>583</v>
      </c>
      <c r="B706" s="2" t="s">
        <v>94</v>
      </c>
      <c r="C706" s="4" t="n">
        <v>7</v>
      </c>
      <c r="D706" s="2" t="s">
        <v>445</v>
      </c>
      <c r="E706" s="2" t="s">
        <v>402</v>
      </c>
      <c r="F706" s="5" t="n">
        <f aca="false">INDEX('08_PEDIDOS'!$D$2:$D$97,MATCH(A706,'08_PEDIDOS'!$A$2:$A$97,0))</f>
        <v>8</v>
      </c>
      <c r="G706" s="5" t="n">
        <f aca="false">INDEX('08_PEDIDOS'!$H$2:$H$97,MATCH(A706,'08_PEDIDOS'!$A$2:$A$97,0))</f>
        <v>10</v>
      </c>
      <c r="H706" s="17" t="n">
        <f aca="false">SUMIFS('05_RUTAS'!$F$2:$F$407,'05_RUTAS'!$A$2:$A$407,B706,'05_RUTAS'!$C$2:$C$407,C706)</f>
        <v>12</v>
      </c>
      <c r="I706" s="18" t="n">
        <f aca="false">SUMIFS('05_RUTAS'!$G$2:$G$407,'05_RUTAS'!$A$2:$A$407,B706,'05_RUTAS'!$C$2:$C$407,C706)</f>
        <v>7.76</v>
      </c>
      <c r="J706" s="18" t="n">
        <f aca="false">(ROUNDUP(F706/G706,0)*H706+F706*I706)/60</f>
        <v>1.23466666666667</v>
      </c>
      <c r="K706" s="5" t="n">
        <f aca="false">MONTH(INDEX('08_PEDIDOS'!$F$2:$F$97,MATCH(A706,'08_PEDIDOS'!$A$2:$A$97,0)))</f>
        <v>8</v>
      </c>
      <c r="L706" s="16" t="n">
        <f aca="false">J706*N(INDEX('04_MAQUINAS'!$F$2:$F$18,MATCH(E706,'04_MAQUINAS'!$A$2:$A$18,0)))</f>
        <v>39.5093333333333</v>
      </c>
      <c r="M706" s="17" t="n">
        <f aca="false">J706*INDEX('04_MAQUINAS'!$G$2:$G$18,MATCH(E706,'04_MAQUINAS'!$A$2:$A$18,0))*INDEX('04_MAQUINAS'!$H$2:$H$18,MATCH(E706,'04_MAQUINAS'!$A$2:$A$18,0))</f>
        <v>1.2964</v>
      </c>
      <c r="N706" s="2" t="s">
        <v>629</v>
      </c>
    </row>
    <row r="707" customFormat="false" ht="15" hidden="false" customHeight="false" outlineLevel="0" collapsed="false">
      <c r="A707" s="2" t="s">
        <v>583</v>
      </c>
      <c r="B707" s="2" t="s">
        <v>94</v>
      </c>
      <c r="C707" s="4" t="n">
        <v>8</v>
      </c>
      <c r="D707" s="2" t="s">
        <v>447</v>
      </c>
      <c r="E707" s="2" t="s">
        <v>421</v>
      </c>
      <c r="F707" s="5" t="n">
        <f aca="false">INDEX('08_PEDIDOS'!$D$2:$D$97,MATCH(A707,'08_PEDIDOS'!$A$2:$A$97,0))</f>
        <v>8</v>
      </c>
      <c r="G707" s="5" t="n">
        <f aca="false">INDEX('08_PEDIDOS'!$H$2:$H$97,MATCH(A707,'08_PEDIDOS'!$A$2:$A$97,0))</f>
        <v>10</v>
      </c>
      <c r="H707" s="17" t="n">
        <f aca="false">SUMIFS('05_RUTAS'!$F$2:$F$407,'05_RUTAS'!$A$2:$A$407,B707,'05_RUTAS'!$C$2:$C$407,C707)</f>
        <v>45</v>
      </c>
      <c r="I707" s="18" t="n">
        <f aca="false">SUMIFS('05_RUTAS'!$G$2:$G$407,'05_RUTAS'!$A$2:$A$407,B707,'05_RUTAS'!$C$2:$C$407,C707)</f>
        <v>0</v>
      </c>
      <c r="J707" s="18" t="n">
        <f aca="false">(ROUNDUP(F707/G707,0)*H707+F707*I707)/60</f>
        <v>0.75</v>
      </c>
      <c r="K707" s="5" t="n">
        <f aca="false">MONTH(INDEX('08_PEDIDOS'!$F$2:$F$97,MATCH(A707,'08_PEDIDOS'!$A$2:$A$97,0)))</f>
        <v>8</v>
      </c>
      <c r="L707" s="16" t="n">
        <f aca="false">J707*N(INDEX('04_MAQUINAS'!$F$2:$F$18,MATCH(E707,'04_MAQUINAS'!$A$2:$A$18,0)))</f>
        <v>19.5</v>
      </c>
      <c r="M707" s="17" t="n">
        <f aca="false">J707*INDEX('04_MAQUINAS'!$G$2:$G$18,MATCH(E707,'04_MAQUINAS'!$A$2:$A$18,0))*INDEX('04_MAQUINAS'!$H$2:$H$18,MATCH(E707,'04_MAQUINAS'!$A$2:$A$18,0))</f>
        <v>10.8</v>
      </c>
      <c r="N707" s="2" t="s">
        <v>629</v>
      </c>
    </row>
    <row r="708" customFormat="false" ht="15" hidden="false" customHeight="false" outlineLevel="0" collapsed="false">
      <c r="A708" s="2" t="s">
        <v>583</v>
      </c>
      <c r="B708" s="2" t="s">
        <v>94</v>
      </c>
      <c r="C708" s="4" t="n">
        <v>9</v>
      </c>
      <c r="D708" s="2" t="s">
        <v>449</v>
      </c>
      <c r="E708" s="2" t="s">
        <v>423</v>
      </c>
      <c r="F708" s="5" t="n">
        <f aca="false">INDEX('08_PEDIDOS'!$D$2:$D$97,MATCH(A708,'08_PEDIDOS'!$A$2:$A$97,0))</f>
        <v>8</v>
      </c>
      <c r="G708" s="5" t="n">
        <f aca="false">INDEX('08_PEDIDOS'!$H$2:$H$97,MATCH(A708,'08_PEDIDOS'!$A$2:$A$97,0))</f>
        <v>10</v>
      </c>
      <c r="H708" s="17" t="n">
        <f aca="false">SUMIFS('05_RUTAS'!$F$2:$F$407,'05_RUTAS'!$A$2:$A$407,B708,'05_RUTAS'!$C$2:$C$407,C708)</f>
        <v>8</v>
      </c>
      <c r="I708" s="18" t="n">
        <f aca="false">SUMIFS('05_RUTAS'!$G$2:$G$407,'05_RUTAS'!$A$2:$A$407,B708,'05_RUTAS'!$C$2:$C$407,C708)</f>
        <v>2.63</v>
      </c>
      <c r="J708" s="18" t="n">
        <f aca="false">(ROUNDUP(F708/G708,0)*H708+F708*I708)/60</f>
        <v>0.484</v>
      </c>
      <c r="K708" s="5" t="n">
        <f aca="false">MONTH(INDEX('08_PEDIDOS'!$F$2:$F$97,MATCH(A708,'08_PEDIDOS'!$A$2:$A$97,0)))</f>
        <v>8</v>
      </c>
      <c r="L708" s="16" t="n">
        <f aca="false">J708*N(INDEX('04_MAQUINAS'!$F$2:$F$18,MATCH(E708,'04_MAQUINAS'!$A$2:$A$18,0)))</f>
        <v>7.744</v>
      </c>
      <c r="M708" s="17" t="n">
        <f aca="false">J708*INDEX('04_MAQUINAS'!$G$2:$G$18,MATCH(E708,'04_MAQUINAS'!$A$2:$A$18,0))*INDEX('04_MAQUINAS'!$H$2:$H$18,MATCH(E708,'04_MAQUINAS'!$A$2:$A$18,0))</f>
        <v>0.121</v>
      </c>
      <c r="N708" s="2" t="s">
        <v>629</v>
      </c>
    </row>
    <row r="709" customFormat="false" ht="15" hidden="false" customHeight="false" outlineLevel="0" collapsed="false">
      <c r="A709" s="2" t="s">
        <v>583</v>
      </c>
      <c r="B709" s="2" t="s">
        <v>94</v>
      </c>
      <c r="C709" s="4" t="n">
        <v>10</v>
      </c>
      <c r="D709" s="2" t="s">
        <v>450</v>
      </c>
      <c r="E709" s="2" t="s">
        <v>406</v>
      </c>
      <c r="F709" s="5" t="n">
        <f aca="false">INDEX('08_PEDIDOS'!$D$2:$D$97,MATCH(A709,'08_PEDIDOS'!$A$2:$A$97,0))</f>
        <v>8</v>
      </c>
      <c r="G709" s="5" t="n">
        <f aca="false">INDEX('08_PEDIDOS'!$H$2:$H$97,MATCH(A709,'08_PEDIDOS'!$A$2:$A$97,0))</f>
        <v>10</v>
      </c>
      <c r="H709" s="17" t="n">
        <f aca="false">SUMIFS('05_RUTAS'!$F$2:$F$407,'05_RUTAS'!$A$2:$A$407,B709,'05_RUTAS'!$C$2:$C$407,C709)</f>
        <v>6</v>
      </c>
      <c r="I709" s="18" t="n">
        <f aca="false">SUMIFS('05_RUTAS'!$G$2:$G$407,'05_RUTAS'!$A$2:$A$407,B709,'05_RUTAS'!$C$2:$C$407,C709)</f>
        <v>69</v>
      </c>
      <c r="J709" s="18" t="n">
        <f aca="false">(ROUNDUP(F709/G709,0)*H709+F709*I709)/60</f>
        <v>9.3</v>
      </c>
      <c r="K709" s="5" t="n">
        <f aca="false">MONTH(INDEX('08_PEDIDOS'!$F$2:$F$97,MATCH(A709,'08_PEDIDOS'!$A$2:$A$97,0)))</f>
        <v>8</v>
      </c>
      <c r="L709" s="16" t="n">
        <f aca="false">J709*N(INDEX('04_MAQUINAS'!$F$2:$F$18,MATCH(E709,'04_MAQUINAS'!$A$2:$A$18,0)))</f>
        <v>176.7</v>
      </c>
      <c r="M709" s="17" t="n">
        <f aca="false">J709*INDEX('04_MAQUINAS'!$G$2:$G$18,MATCH(E709,'04_MAQUINAS'!$A$2:$A$18,0))*INDEX('04_MAQUINAS'!$H$2:$H$18,MATCH(E709,'04_MAQUINAS'!$A$2:$A$18,0))</f>
        <v>2.79</v>
      </c>
      <c r="N709" s="2" t="s">
        <v>629</v>
      </c>
    </row>
    <row r="710" customFormat="false" ht="15" hidden="false" customHeight="false" outlineLevel="0" collapsed="false">
      <c r="A710" s="2" t="s">
        <v>583</v>
      </c>
      <c r="B710" s="2" t="s">
        <v>94</v>
      </c>
      <c r="C710" s="4" t="n">
        <v>11</v>
      </c>
      <c r="D710" s="2" t="s">
        <v>451</v>
      </c>
      <c r="E710" s="2" t="s">
        <v>408</v>
      </c>
      <c r="F710" s="5" t="n">
        <f aca="false">INDEX('08_PEDIDOS'!$D$2:$D$97,MATCH(A710,'08_PEDIDOS'!$A$2:$A$97,0))</f>
        <v>8</v>
      </c>
      <c r="G710" s="5" t="n">
        <f aca="false">INDEX('08_PEDIDOS'!$H$2:$H$97,MATCH(A710,'08_PEDIDOS'!$A$2:$A$97,0))</f>
        <v>10</v>
      </c>
      <c r="H710" s="17" t="n">
        <f aca="false">SUMIFS('05_RUTAS'!$F$2:$F$407,'05_RUTAS'!$A$2:$A$407,B710,'05_RUTAS'!$C$2:$C$407,C710)</f>
        <v>2</v>
      </c>
      <c r="I710" s="18" t="n">
        <f aca="false">SUMIFS('05_RUTAS'!$G$2:$G$407,'05_RUTAS'!$A$2:$A$407,B710,'05_RUTAS'!$C$2:$C$407,C710)</f>
        <v>3.79</v>
      </c>
      <c r="J710" s="18" t="n">
        <f aca="false">(ROUNDUP(F710/G710,0)*H710+F710*I710)/60</f>
        <v>0.538666666666667</v>
      </c>
      <c r="K710" s="5" t="n">
        <f aca="false">MONTH(INDEX('08_PEDIDOS'!$F$2:$F$97,MATCH(A710,'08_PEDIDOS'!$A$2:$A$97,0)))</f>
        <v>8</v>
      </c>
      <c r="L710" s="16" t="n">
        <f aca="false">J710*N(INDEX('04_MAQUINAS'!$F$2:$F$18,MATCH(E710,'04_MAQUINAS'!$A$2:$A$18,0)))</f>
        <v>10.7733333333333</v>
      </c>
      <c r="M710" s="17" t="n">
        <f aca="false">J710*INDEX('04_MAQUINAS'!$G$2:$G$18,MATCH(E710,'04_MAQUINAS'!$A$2:$A$18,0))*INDEX('04_MAQUINAS'!$H$2:$H$18,MATCH(E710,'04_MAQUINAS'!$A$2:$A$18,0))</f>
        <v>0.0538666666666667</v>
      </c>
      <c r="N710" s="2" t="s">
        <v>629</v>
      </c>
    </row>
    <row r="711" customFormat="false" ht="15" hidden="false" customHeight="false" outlineLevel="0" collapsed="false">
      <c r="A711" s="2" t="s">
        <v>583</v>
      </c>
      <c r="B711" s="2" t="s">
        <v>94</v>
      </c>
      <c r="C711" s="4" t="n">
        <v>12</v>
      </c>
      <c r="D711" s="2" t="s">
        <v>452</v>
      </c>
      <c r="E711" s="2" t="s">
        <v>411</v>
      </c>
      <c r="F711" s="5" t="n">
        <f aca="false">INDEX('08_PEDIDOS'!$D$2:$D$97,MATCH(A711,'08_PEDIDOS'!$A$2:$A$97,0))</f>
        <v>8</v>
      </c>
      <c r="G711" s="5" t="n">
        <f aca="false">INDEX('08_PEDIDOS'!$H$2:$H$97,MATCH(A711,'08_PEDIDOS'!$A$2:$A$97,0))</f>
        <v>10</v>
      </c>
      <c r="H711" s="17" t="n">
        <f aca="false">SUMIFS('05_RUTAS'!$F$2:$F$407,'05_RUTAS'!$A$2:$A$407,B711,'05_RUTAS'!$C$2:$C$407,C711)</f>
        <v>2</v>
      </c>
      <c r="I711" s="18" t="n">
        <f aca="false">SUMIFS('05_RUTAS'!$G$2:$G$407,'05_RUTAS'!$A$2:$A$407,B711,'05_RUTAS'!$C$2:$C$407,C711)</f>
        <v>5.18</v>
      </c>
      <c r="J711" s="18" t="n">
        <f aca="false">(ROUNDUP(F711/G711,0)*H711+F711*I711)/60</f>
        <v>0.724</v>
      </c>
      <c r="K711" s="5" t="n">
        <f aca="false">MONTH(INDEX('08_PEDIDOS'!$F$2:$F$97,MATCH(A711,'08_PEDIDOS'!$A$2:$A$97,0)))</f>
        <v>8</v>
      </c>
      <c r="L711" s="16" t="n">
        <f aca="false">J711*N(INDEX('04_MAQUINAS'!$F$2:$F$18,MATCH(E711,'04_MAQUINAS'!$A$2:$A$18,0)))</f>
        <v>13.032</v>
      </c>
      <c r="M711" s="17" t="n">
        <f aca="false">J711*INDEX('04_MAQUINAS'!$G$2:$G$18,MATCH(E711,'04_MAQUINAS'!$A$2:$A$18,0))*INDEX('04_MAQUINAS'!$H$2:$H$18,MATCH(E711,'04_MAQUINAS'!$A$2:$A$18,0))</f>
        <v>0.06516</v>
      </c>
      <c r="N711" s="2" t="s">
        <v>629</v>
      </c>
    </row>
    <row r="712" customFormat="false" ht="15" hidden="false" customHeight="false" outlineLevel="0" collapsed="false">
      <c r="A712" s="2" t="s">
        <v>584</v>
      </c>
      <c r="B712" s="2" t="s">
        <v>96</v>
      </c>
      <c r="C712" s="4" t="n">
        <v>1</v>
      </c>
      <c r="D712" s="2" t="s">
        <v>437</v>
      </c>
      <c r="E712" s="2" t="s">
        <v>375</v>
      </c>
      <c r="F712" s="5" t="n">
        <f aca="false">INDEX('08_PEDIDOS'!$D$2:$D$97,MATCH(A712,'08_PEDIDOS'!$A$2:$A$97,0))</f>
        <v>8</v>
      </c>
      <c r="G712" s="5" t="n">
        <f aca="false">INDEX('08_PEDIDOS'!$H$2:$H$97,MATCH(A712,'08_PEDIDOS'!$A$2:$A$97,0))</f>
        <v>10</v>
      </c>
      <c r="H712" s="17" t="n">
        <f aca="false">SUMIFS('05_RUTAS'!$F$2:$F$407,'05_RUTAS'!$A$2:$A$407,B712,'05_RUTAS'!$C$2:$C$407,C712)</f>
        <v>8</v>
      </c>
      <c r="I712" s="18" t="n">
        <f aca="false">SUMIFS('05_RUTAS'!$G$2:$G$407,'05_RUTAS'!$A$2:$A$407,B712,'05_RUTAS'!$C$2:$C$407,C712)</f>
        <v>56.975</v>
      </c>
      <c r="J712" s="18" t="n">
        <f aca="false">(ROUNDUP(F712/G712,0)*H712+F712*I712)/60</f>
        <v>7.73</v>
      </c>
      <c r="K712" s="5" t="n">
        <f aca="false">MONTH(INDEX('08_PEDIDOS'!$F$2:$F$97,MATCH(A712,'08_PEDIDOS'!$A$2:$A$97,0)))</f>
        <v>8</v>
      </c>
      <c r="L712" s="16" t="n">
        <f aca="false">J712*N(INDEX('04_MAQUINAS'!$F$2:$F$18,MATCH(E712,'04_MAQUINAS'!$A$2:$A$18,0)))</f>
        <v>185.52</v>
      </c>
      <c r="M712" s="17" t="n">
        <f aca="false">J712*INDEX('04_MAQUINAS'!$G$2:$G$18,MATCH(E712,'04_MAQUINAS'!$A$2:$A$18,0))*INDEX('04_MAQUINAS'!$H$2:$H$18,MATCH(E712,'04_MAQUINAS'!$A$2:$A$18,0))</f>
        <v>21.2575</v>
      </c>
      <c r="N712" s="2" t="s">
        <v>629</v>
      </c>
    </row>
    <row r="713" customFormat="false" ht="15" hidden="false" customHeight="false" outlineLevel="0" collapsed="false">
      <c r="A713" s="2" t="s">
        <v>584</v>
      </c>
      <c r="B713" s="2" t="s">
        <v>96</v>
      </c>
      <c r="C713" s="4" t="n">
        <v>2</v>
      </c>
      <c r="D713" s="2" t="s">
        <v>441</v>
      </c>
      <c r="E713" s="2" t="s">
        <v>380</v>
      </c>
      <c r="F713" s="5" t="n">
        <f aca="false">INDEX('08_PEDIDOS'!$D$2:$D$97,MATCH(A713,'08_PEDIDOS'!$A$2:$A$97,0))</f>
        <v>8</v>
      </c>
      <c r="G713" s="5" t="n">
        <f aca="false">INDEX('08_PEDIDOS'!$H$2:$H$97,MATCH(A713,'08_PEDIDOS'!$A$2:$A$97,0))</f>
        <v>10</v>
      </c>
      <c r="H713" s="17" t="n">
        <f aca="false">SUMIFS('05_RUTAS'!$F$2:$F$407,'05_RUTAS'!$A$2:$A$407,B713,'05_RUTAS'!$C$2:$C$407,C713)</f>
        <v>8</v>
      </c>
      <c r="I713" s="18" t="n">
        <f aca="false">SUMIFS('05_RUTAS'!$G$2:$G$407,'05_RUTAS'!$A$2:$A$407,B713,'05_RUTAS'!$C$2:$C$407,C713)</f>
        <v>6.28</v>
      </c>
      <c r="J713" s="18" t="n">
        <f aca="false">(ROUNDUP(F713/G713,0)*H713+F713*I713)/60</f>
        <v>0.970666666666667</v>
      </c>
      <c r="K713" s="5" t="n">
        <f aca="false">MONTH(INDEX('08_PEDIDOS'!$F$2:$F$97,MATCH(A713,'08_PEDIDOS'!$A$2:$A$97,0)))</f>
        <v>8</v>
      </c>
      <c r="L713" s="16" t="n">
        <f aca="false">J713*N(INDEX('04_MAQUINAS'!$F$2:$F$18,MATCH(E713,'04_MAQUINAS'!$A$2:$A$18,0)))</f>
        <v>21.3546666666667</v>
      </c>
      <c r="M713" s="17" t="n">
        <f aca="false">J713*INDEX('04_MAQUINAS'!$G$2:$G$18,MATCH(E713,'04_MAQUINAS'!$A$2:$A$18,0))*INDEX('04_MAQUINAS'!$H$2:$H$18,MATCH(E713,'04_MAQUINAS'!$A$2:$A$18,0))</f>
        <v>0.4368</v>
      </c>
      <c r="N713" s="2" t="s">
        <v>629</v>
      </c>
    </row>
    <row r="714" customFormat="false" ht="15" hidden="false" customHeight="false" outlineLevel="0" collapsed="false">
      <c r="A714" s="2" t="s">
        <v>584</v>
      </c>
      <c r="B714" s="2" t="s">
        <v>96</v>
      </c>
      <c r="C714" s="4" t="n">
        <v>3</v>
      </c>
      <c r="D714" s="2" t="s">
        <v>386</v>
      </c>
      <c r="E714" s="2" t="s">
        <v>383</v>
      </c>
      <c r="F714" s="5" t="n">
        <f aca="false">INDEX('08_PEDIDOS'!$D$2:$D$97,MATCH(A714,'08_PEDIDOS'!$A$2:$A$97,0))</f>
        <v>8</v>
      </c>
      <c r="G714" s="5" t="n">
        <f aca="false">INDEX('08_PEDIDOS'!$H$2:$H$97,MATCH(A714,'08_PEDIDOS'!$A$2:$A$97,0))</f>
        <v>10</v>
      </c>
      <c r="H714" s="17" t="n">
        <f aca="false">SUMIFS('05_RUTAS'!$F$2:$F$407,'05_RUTAS'!$A$2:$A$407,B714,'05_RUTAS'!$C$2:$C$407,C714)</f>
        <v>10</v>
      </c>
      <c r="I714" s="18" t="n">
        <f aca="false">SUMIFS('05_RUTAS'!$G$2:$G$407,'05_RUTAS'!$A$2:$A$407,B714,'05_RUTAS'!$C$2:$C$407,C714)</f>
        <v>67</v>
      </c>
      <c r="J714" s="18" t="n">
        <f aca="false">(ROUNDUP(F714/G714,0)*H714+F714*I714)/60</f>
        <v>9.1</v>
      </c>
      <c r="K714" s="5" t="n">
        <f aca="false">MONTH(INDEX('08_PEDIDOS'!$F$2:$F$97,MATCH(A714,'08_PEDIDOS'!$A$2:$A$97,0)))</f>
        <v>8</v>
      </c>
      <c r="L714" s="16" t="n">
        <f aca="false">J714*N(INDEX('04_MAQUINAS'!$F$2:$F$18,MATCH(E714,'04_MAQUINAS'!$A$2:$A$18,0)))</f>
        <v>200.2</v>
      </c>
      <c r="M714" s="17" t="n">
        <f aca="false">J714*INDEX('04_MAQUINAS'!$G$2:$G$18,MATCH(E714,'04_MAQUINAS'!$A$2:$A$18,0))*INDEX('04_MAQUINAS'!$H$2:$H$18,MATCH(E714,'04_MAQUINAS'!$A$2:$A$18,0))</f>
        <v>2.5025</v>
      </c>
      <c r="N714" s="2" t="s">
        <v>629</v>
      </c>
    </row>
    <row r="715" customFormat="false" ht="15" hidden="false" customHeight="false" outlineLevel="0" collapsed="false">
      <c r="A715" s="2" t="s">
        <v>584</v>
      </c>
      <c r="B715" s="2" t="s">
        <v>96</v>
      </c>
      <c r="C715" s="4" t="n">
        <v>4</v>
      </c>
      <c r="D715" s="2" t="s">
        <v>390</v>
      </c>
      <c r="E715" s="2" t="s">
        <v>387</v>
      </c>
      <c r="F715" s="5" t="n">
        <f aca="false">INDEX('08_PEDIDOS'!$D$2:$D$97,MATCH(A715,'08_PEDIDOS'!$A$2:$A$97,0))</f>
        <v>8</v>
      </c>
      <c r="G715" s="5" t="n">
        <f aca="false">INDEX('08_PEDIDOS'!$H$2:$H$97,MATCH(A715,'08_PEDIDOS'!$A$2:$A$97,0))</f>
        <v>10</v>
      </c>
      <c r="H715" s="17" t="n">
        <f aca="false">SUMIFS('05_RUTAS'!$F$2:$F$407,'05_RUTAS'!$A$2:$A$407,B715,'05_RUTAS'!$C$2:$C$407,C715)</f>
        <v>12</v>
      </c>
      <c r="I715" s="18" t="n">
        <f aca="false">SUMIFS('05_RUTAS'!$G$2:$G$407,'05_RUTAS'!$A$2:$A$407,B715,'05_RUTAS'!$C$2:$C$407,C715)</f>
        <v>124</v>
      </c>
      <c r="J715" s="18" t="n">
        <f aca="false">(ROUNDUP(F715/G715,0)*H715+F715*I715)/60</f>
        <v>16.7333333333333</v>
      </c>
      <c r="K715" s="5" t="n">
        <f aca="false">MONTH(INDEX('08_PEDIDOS'!$F$2:$F$97,MATCH(A715,'08_PEDIDOS'!$A$2:$A$97,0)))</f>
        <v>8</v>
      </c>
      <c r="L715" s="16" t="n">
        <f aca="false">J715*N(INDEX('04_MAQUINAS'!$F$2:$F$18,MATCH(E715,'04_MAQUINAS'!$A$2:$A$18,0)))</f>
        <v>468.533333333333</v>
      </c>
      <c r="M715" s="17" t="n">
        <f aca="false">J715*INDEX('04_MAQUINAS'!$G$2:$G$18,MATCH(E715,'04_MAQUINAS'!$A$2:$A$18,0))*INDEX('04_MAQUINAS'!$H$2:$H$18,MATCH(E715,'04_MAQUINAS'!$A$2:$A$18,0))</f>
        <v>41.415</v>
      </c>
      <c r="N715" s="2" t="s">
        <v>629</v>
      </c>
    </row>
    <row r="716" customFormat="false" ht="15" hidden="false" customHeight="false" outlineLevel="0" collapsed="false">
      <c r="A716" s="2" t="s">
        <v>584</v>
      </c>
      <c r="B716" s="2" t="s">
        <v>96</v>
      </c>
      <c r="C716" s="4" t="n">
        <v>5</v>
      </c>
      <c r="D716" s="2" t="s">
        <v>442</v>
      </c>
      <c r="E716" s="2" t="s">
        <v>391</v>
      </c>
      <c r="F716" s="5" t="n">
        <f aca="false">INDEX('08_PEDIDOS'!$D$2:$D$97,MATCH(A716,'08_PEDIDOS'!$A$2:$A$97,0))</f>
        <v>8</v>
      </c>
      <c r="G716" s="5" t="n">
        <f aca="false">INDEX('08_PEDIDOS'!$H$2:$H$97,MATCH(A716,'08_PEDIDOS'!$A$2:$A$97,0))</f>
        <v>10</v>
      </c>
      <c r="H716" s="17" t="n">
        <f aca="false">SUMIFS('05_RUTAS'!$F$2:$F$407,'05_RUTAS'!$A$2:$A$407,B716,'05_RUTAS'!$C$2:$C$407,C716)</f>
        <v>10</v>
      </c>
      <c r="I716" s="18" t="n">
        <f aca="false">SUMIFS('05_RUTAS'!$G$2:$G$407,'05_RUTAS'!$A$2:$A$407,B716,'05_RUTAS'!$C$2:$C$407,C716)</f>
        <v>5.6</v>
      </c>
      <c r="J716" s="18" t="n">
        <f aca="false">(ROUNDUP(F716/G716,0)*H716+F716*I716)/60</f>
        <v>0.913333333333333</v>
      </c>
      <c r="K716" s="5" t="n">
        <f aca="false">MONTH(INDEX('08_PEDIDOS'!$F$2:$F$97,MATCH(A716,'08_PEDIDOS'!$A$2:$A$97,0)))</f>
        <v>8</v>
      </c>
      <c r="L716" s="16" t="n">
        <f aca="false">J716*N(INDEX('04_MAQUINAS'!$F$2:$F$18,MATCH(E716,'04_MAQUINAS'!$A$2:$A$18,0)))</f>
        <v>29.2266666666667</v>
      </c>
      <c r="M716" s="17" t="n">
        <f aca="false">J716*INDEX('04_MAQUINAS'!$G$2:$G$18,MATCH(E716,'04_MAQUINAS'!$A$2:$A$18,0))*INDEX('04_MAQUINAS'!$H$2:$H$18,MATCH(E716,'04_MAQUINAS'!$A$2:$A$18,0))</f>
        <v>1.59833333333333</v>
      </c>
      <c r="N716" s="2" t="s">
        <v>629</v>
      </c>
    </row>
    <row r="717" customFormat="false" ht="15" hidden="false" customHeight="false" outlineLevel="0" collapsed="false">
      <c r="A717" s="2" t="s">
        <v>584</v>
      </c>
      <c r="B717" s="2" t="s">
        <v>96</v>
      </c>
      <c r="C717" s="4" t="n">
        <v>6</v>
      </c>
      <c r="D717" s="2" t="s">
        <v>443</v>
      </c>
      <c r="E717" s="2" t="s">
        <v>395</v>
      </c>
      <c r="F717" s="5" t="n">
        <f aca="false">INDEX('08_PEDIDOS'!$D$2:$D$97,MATCH(A717,'08_PEDIDOS'!$A$2:$A$97,0))</f>
        <v>8</v>
      </c>
      <c r="G717" s="5" t="n">
        <f aca="false">INDEX('08_PEDIDOS'!$H$2:$H$97,MATCH(A717,'08_PEDIDOS'!$A$2:$A$97,0))</f>
        <v>10</v>
      </c>
      <c r="H717" s="17" t="n">
        <f aca="false">SUMIFS('05_RUTAS'!$F$2:$F$407,'05_RUTAS'!$A$2:$A$407,B717,'05_RUTAS'!$C$2:$C$407,C717)</f>
        <v>3</v>
      </c>
      <c r="I717" s="18" t="n">
        <f aca="false">SUMIFS('05_RUTAS'!$G$2:$G$407,'05_RUTAS'!$A$2:$A$407,B717,'05_RUTAS'!$C$2:$C$407,C717)</f>
        <v>33</v>
      </c>
      <c r="J717" s="18" t="n">
        <f aca="false">(ROUNDUP(F717/G717,0)*H717+F717*I717)/60</f>
        <v>4.45</v>
      </c>
      <c r="K717" s="5" t="n">
        <f aca="false">MONTH(INDEX('08_PEDIDOS'!$F$2:$F$97,MATCH(A717,'08_PEDIDOS'!$A$2:$A$97,0)))</f>
        <v>8</v>
      </c>
      <c r="L717" s="16" t="n">
        <f aca="false">J717*N(INDEX('04_MAQUINAS'!$F$2:$F$18,MATCH(E717,'04_MAQUINAS'!$A$2:$A$18,0)))</f>
        <v>93.45</v>
      </c>
      <c r="M717" s="17" t="n">
        <f aca="false">J717*INDEX('04_MAQUINAS'!$G$2:$G$18,MATCH(E717,'04_MAQUINAS'!$A$2:$A$18,0))*INDEX('04_MAQUINAS'!$H$2:$H$18,MATCH(E717,'04_MAQUINAS'!$A$2:$A$18,0))</f>
        <v>3.3375</v>
      </c>
      <c r="N717" s="2" t="s">
        <v>629</v>
      </c>
    </row>
    <row r="718" customFormat="false" ht="15" hidden="false" customHeight="false" outlineLevel="0" collapsed="false">
      <c r="A718" s="2" t="s">
        <v>584</v>
      </c>
      <c r="B718" s="2" t="s">
        <v>96</v>
      </c>
      <c r="C718" s="4" t="n">
        <v>7</v>
      </c>
      <c r="D718" s="2" t="s">
        <v>444</v>
      </c>
      <c r="E718" s="2" t="s">
        <v>399</v>
      </c>
      <c r="F718" s="5" t="n">
        <f aca="false">INDEX('08_PEDIDOS'!$D$2:$D$97,MATCH(A718,'08_PEDIDOS'!$A$2:$A$97,0))</f>
        <v>8</v>
      </c>
      <c r="G718" s="5" t="n">
        <f aca="false">INDEX('08_PEDIDOS'!$H$2:$H$97,MATCH(A718,'08_PEDIDOS'!$A$2:$A$97,0))</f>
        <v>10</v>
      </c>
      <c r="H718" s="17" t="n">
        <f aca="false">SUMIFS('05_RUTAS'!$F$2:$F$407,'05_RUTAS'!$A$2:$A$407,B718,'05_RUTAS'!$C$2:$C$407,C718)</f>
        <v>6</v>
      </c>
      <c r="I718" s="18" t="n">
        <f aca="false">SUMIFS('05_RUTAS'!$G$2:$G$407,'05_RUTAS'!$A$2:$A$407,B718,'05_RUTAS'!$C$2:$C$407,C718)</f>
        <v>27.0712</v>
      </c>
      <c r="J718" s="18" t="n">
        <f aca="false">(ROUNDUP(F718/G718,0)*H718+F718*I718)/60</f>
        <v>3.70949333333333</v>
      </c>
      <c r="K718" s="5" t="n">
        <f aca="false">MONTH(INDEX('08_PEDIDOS'!$F$2:$F$97,MATCH(A718,'08_PEDIDOS'!$A$2:$A$97,0)))</f>
        <v>8</v>
      </c>
      <c r="L718" s="16" t="n">
        <f aca="false">J718*N(INDEX('04_MAQUINAS'!$F$2:$F$18,MATCH(E718,'04_MAQUINAS'!$A$2:$A$18,0)))</f>
        <v>70.4803733333333</v>
      </c>
      <c r="M718" s="17" t="n">
        <f aca="false">J718*INDEX('04_MAQUINAS'!$G$2:$G$18,MATCH(E718,'04_MAQUINAS'!$A$2:$A$18,0))*INDEX('04_MAQUINAS'!$H$2:$H$18,MATCH(E718,'04_MAQUINAS'!$A$2:$A$18,0))</f>
        <v>3.26435413333333</v>
      </c>
      <c r="N718" s="2" t="s">
        <v>629</v>
      </c>
    </row>
    <row r="719" customFormat="false" ht="15" hidden="false" customHeight="false" outlineLevel="0" collapsed="false">
      <c r="A719" s="2" t="s">
        <v>584</v>
      </c>
      <c r="B719" s="2" t="s">
        <v>96</v>
      </c>
      <c r="C719" s="4" t="n">
        <v>8</v>
      </c>
      <c r="D719" s="2" t="s">
        <v>445</v>
      </c>
      <c r="E719" s="2" t="s">
        <v>402</v>
      </c>
      <c r="F719" s="5" t="n">
        <f aca="false">INDEX('08_PEDIDOS'!$D$2:$D$97,MATCH(A719,'08_PEDIDOS'!$A$2:$A$97,0))</f>
        <v>8</v>
      </c>
      <c r="G719" s="5" t="n">
        <f aca="false">INDEX('08_PEDIDOS'!$H$2:$H$97,MATCH(A719,'08_PEDIDOS'!$A$2:$A$97,0))</f>
        <v>10</v>
      </c>
      <c r="H719" s="17" t="n">
        <f aca="false">SUMIFS('05_RUTAS'!$F$2:$F$407,'05_RUTAS'!$A$2:$A$407,B719,'05_RUTAS'!$C$2:$C$407,C719)</f>
        <v>12</v>
      </c>
      <c r="I719" s="18" t="n">
        <f aca="false">SUMIFS('05_RUTAS'!$G$2:$G$407,'05_RUTAS'!$A$2:$A$407,B719,'05_RUTAS'!$C$2:$C$407,C719)</f>
        <v>7.34</v>
      </c>
      <c r="J719" s="18" t="n">
        <f aca="false">(ROUNDUP(F719/G719,0)*H719+F719*I719)/60</f>
        <v>1.17866666666667</v>
      </c>
      <c r="K719" s="5" t="n">
        <f aca="false">MONTH(INDEX('08_PEDIDOS'!$F$2:$F$97,MATCH(A719,'08_PEDIDOS'!$A$2:$A$97,0)))</f>
        <v>8</v>
      </c>
      <c r="L719" s="16" t="n">
        <f aca="false">J719*N(INDEX('04_MAQUINAS'!$F$2:$F$18,MATCH(E719,'04_MAQUINAS'!$A$2:$A$18,0)))</f>
        <v>37.7173333333333</v>
      </c>
      <c r="M719" s="17" t="n">
        <f aca="false">J719*INDEX('04_MAQUINAS'!$G$2:$G$18,MATCH(E719,'04_MAQUINAS'!$A$2:$A$18,0))*INDEX('04_MAQUINAS'!$H$2:$H$18,MATCH(E719,'04_MAQUINAS'!$A$2:$A$18,0))</f>
        <v>1.2376</v>
      </c>
      <c r="N719" s="2" t="s">
        <v>629</v>
      </c>
    </row>
    <row r="720" customFormat="false" ht="15" hidden="false" customHeight="false" outlineLevel="0" collapsed="false">
      <c r="A720" s="2" t="s">
        <v>584</v>
      </c>
      <c r="B720" s="2" t="s">
        <v>96</v>
      </c>
      <c r="C720" s="4" t="n">
        <v>9</v>
      </c>
      <c r="D720" s="2" t="s">
        <v>447</v>
      </c>
      <c r="E720" s="2" t="s">
        <v>421</v>
      </c>
      <c r="F720" s="5" t="n">
        <f aca="false">INDEX('08_PEDIDOS'!$D$2:$D$97,MATCH(A720,'08_PEDIDOS'!$A$2:$A$97,0))</f>
        <v>8</v>
      </c>
      <c r="G720" s="5" t="n">
        <f aca="false">INDEX('08_PEDIDOS'!$H$2:$H$97,MATCH(A720,'08_PEDIDOS'!$A$2:$A$97,0))</f>
        <v>10</v>
      </c>
      <c r="H720" s="17" t="n">
        <f aca="false">SUMIFS('05_RUTAS'!$F$2:$F$407,'05_RUTAS'!$A$2:$A$407,B720,'05_RUTAS'!$C$2:$C$407,C720)</f>
        <v>45</v>
      </c>
      <c r="I720" s="18" t="n">
        <f aca="false">SUMIFS('05_RUTAS'!$G$2:$G$407,'05_RUTAS'!$A$2:$A$407,B720,'05_RUTAS'!$C$2:$C$407,C720)</f>
        <v>0</v>
      </c>
      <c r="J720" s="18" t="n">
        <f aca="false">(ROUNDUP(F720/G720,0)*H720+F720*I720)/60</f>
        <v>0.75</v>
      </c>
      <c r="K720" s="5" t="n">
        <f aca="false">MONTH(INDEX('08_PEDIDOS'!$F$2:$F$97,MATCH(A720,'08_PEDIDOS'!$A$2:$A$97,0)))</f>
        <v>8</v>
      </c>
      <c r="L720" s="16" t="n">
        <f aca="false">J720*N(INDEX('04_MAQUINAS'!$F$2:$F$18,MATCH(E720,'04_MAQUINAS'!$A$2:$A$18,0)))</f>
        <v>19.5</v>
      </c>
      <c r="M720" s="17" t="n">
        <f aca="false">J720*INDEX('04_MAQUINAS'!$G$2:$G$18,MATCH(E720,'04_MAQUINAS'!$A$2:$A$18,0))*INDEX('04_MAQUINAS'!$H$2:$H$18,MATCH(E720,'04_MAQUINAS'!$A$2:$A$18,0))</f>
        <v>10.8</v>
      </c>
      <c r="N720" s="2" t="s">
        <v>629</v>
      </c>
    </row>
    <row r="721" customFormat="false" ht="15" hidden="false" customHeight="false" outlineLevel="0" collapsed="false">
      <c r="A721" s="2" t="s">
        <v>584</v>
      </c>
      <c r="B721" s="2" t="s">
        <v>96</v>
      </c>
      <c r="C721" s="4" t="n">
        <v>10</v>
      </c>
      <c r="D721" s="2" t="s">
        <v>449</v>
      </c>
      <c r="E721" s="2" t="s">
        <v>423</v>
      </c>
      <c r="F721" s="5" t="n">
        <f aca="false">INDEX('08_PEDIDOS'!$D$2:$D$97,MATCH(A721,'08_PEDIDOS'!$A$2:$A$97,0))</f>
        <v>8</v>
      </c>
      <c r="G721" s="5" t="n">
        <f aca="false">INDEX('08_PEDIDOS'!$H$2:$H$97,MATCH(A721,'08_PEDIDOS'!$A$2:$A$97,0))</f>
        <v>10</v>
      </c>
      <c r="H721" s="17" t="n">
        <f aca="false">SUMIFS('05_RUTAS'!$F$2:$F$407,'05_RUTAS'!$A$2:$A$407,B721,'05_RUTAS'!$C$2:$C$407,C721)</f>
        <v>8</v>
      </c>
      <c r="I721" s="18" t="n">
        <f aca="false">SUMIFS('05_RUTAS'!$G$2:$G$407,'05_RUTAS'!$A$2:$A$407,B721,'05_RUTAS'!$C$2:$C$407,C721)</f>
        <v>2.54</v>
      </c>
      <c r="J721" s="18" t="n">
        <f aca="false">(ROUNDUP(F721/G721,0)*H721+F721*I721)/60</f>
        <v>0.472</v>
      </c>
      <c r="K721" s="5" t="n">
        <f aca="false">MONTH(INDEX('08_PEDIDOS'!$F$2:$F$97,MATCH(A721,'08_PEDIDOS'!$A$2:$A$97,0)))</f>
        <v>8</v>
      </c>
      <c r="L721" s="16" t="n">
        <f aca="false">J721*N(INDEX('04_MAQUINAS'!$F$2:$F$18,MATCH(E721,'04_MAQUINAS'!$A$2:$A$18,0)))</f>
        <v>7.552</v>
      </c>
      <c r="M721" s="17" t="n">
        <f aca="false">J721*INDEX('04_MAQUINAS'!$G$2:$G$18,MATCH(E721,'04_MAQUINAS'!$A$2:$A$18,0))*INDEX('04_MAQUINAS'!$H$2:$H$18,MATCH(E721,'04_MAQUINAS'!$A$2:$A$18,0))</f>
        <v>0.118</v>
      </c>
      <c r="N721" s="2" t="s">
        <v>629</v>
      </c>
    </row>
    <row r="722" customFormat="false" ht="15" hidden="false" customHeight="false" outlineLevel="0" collapsed="false">
      <c r="A722" s="2" t="s">
        <v>584</v>
      </c>
      <c r="B722" s="2" t="s">
        <v>96</v>
      </c>
      <c r="C722" s="4" t="n">
        <v>11</v>
      </c>
      <c r="D722" s="2" t="s">
        <v>450</v>
      </c>
      <c r="E722" s="2" t="s">
        <v>406</v>
      </c>
      <c r="F722" s="5" t="n">
        <f aca="false">INDEX('08_PEDIDOS'!$D$2:$D$97,MATCH(A722,'08_PEDIDOS'!$A$2:$A$97,0))</f>
        <v>8</v>
      </c>
      <c r="G722" s="5" t="n">
        <f aca="false">INDEX('08_PEDIDOS'!$H$2:$H$97,MATCH(A722,'08_PEDIDOS'!$A$2:$A$97,0))</f>
        <v>10</v>
      </c>
      <c r="H722" s="17" t="n">
        <f aca="false">SUMIFS('05_RUTAS'!$F$2:$F$407,'05_RUTAS'!$A$2:$A$407,B722,'05_RUTAS'!$C$2:$C$407,C722)</f>
        <v>6</v>
      </c>
      <c r="I722" s="18" t="n">
        <f aca="false">SUMIFS('05_RUTAS'!$G$2:$G$407,'05_RUTAS'!$A$2:$A$407,B722,'05_RUTAS'!$C$2:$C$407,C722)</f>
        <v>48.75</v>
      </c>
      <c r="J722" s="18" t="n">
        <f aca="false">(ROUNDUP(F722/G722,0)*H722+F722*I722)/60</f>
        <v>6.6</v>
      </c>
      <c r="K722" s="5" t="n">
        <f aca="false">MONTH(INDEX('08_PEDIDOS'!$F$2:$F$97,MATCH(A722,'08_PEDIDOS'!$A$2:$A$97,0)))</f>
        <v>8</v>
      </c>
      <c r="L722" s="16" t="n">
        <f aca="false">J722*N(INDEX('04_MAQUINAS'!$F$2:$F$18,MATCH(E722,'04_MAQUINAS'!$A$2:$A$18,0)))</f>
        <v>125.4</v>
      </c>
      <c r="M722" s="17" t="n">
        <f aca="false">J722*INDEX('04_MAQUINAS'!$G$2:$G$18,MATCH(E722,'04_MAQUINAS'!$A$2:$A$18,0))*INDEX('04_MAQUINAS'!$H$2:$H$18,MATCH(E722,'04_MAQUINAS'!$A$2:$A$18,0))</f>
        <v>1.98</v>
      </c>
      <c r="N722" s="2" t="s">
        <v>629</v>
      </c>
    </row>
    <row r="723" customFormat="false" ht="15" hidden="false" customHeight="false" outlineLevel="0" collapsed="false">
      <c r="A723" s="2" t="s">
        <v>584</v>
      </c>
      <c r="B723" s="2" t="s">
        <v>96</v>
      </c>
      <c r="C723" s="4" t="n">
        <v>12</v>
      </c>
      <c r="D723" s="2" t="s">
        <v>451</v>
      </c>
      <c r="E723" s="2" t="s">
        <v>408</v>
      </c>
      <c r="F723" s="5" t="n">
        <f aca="false">INDEX('08_PEDIDOS'!$D$2:$D$97,MATCH(A723,'08_PEDIDOS'!$A$2:$A$97,0))</f>
        <v>8</v>
      </c>
      <c r="G723" s="5" t="n">
        <f aca="false">INDEX('08_PEDIDOS'!$H$2:$H$97,MATCH(A723,'08_PEDIDOS'!$A$2:$A$97,0))</f>
        <v>10</v>
      </c>
      <c r="H723" s="17" t="n">
        <f aca="false">SUMIFS('05_RUTAS'!$F$2:$F$407,'05_RUTAS'!$A$2:$A$407,B723,'05_RUTAS'!$C$2:$C$407,C723)</f>
        <v>2</v>
      </c>
      <c r="I723" s="18" t="n">
        <f aca="false">SUMIFS('05_RUTAS'!$G$2:$G$407,'05_RUTAS'!$A$2:$A$407,B723,'05_RUTAS'!$C$2:$C$407,C723)</f>
        <v>3.67</v>
      </c>
      <c r="J723" s="18" t="n">
        <f aca="false">(ROUNDUP(F723/G723,0)*H723+F723*I723)/60</f>
        <v>0.522666666666667</v>
      </c>
      <c r="K723" s="5" t="n">
        <f aca="false">MONTH(INDEX('08_PEDIDOS'!$F$2:$F$97,MATCH(A723,'08_PEDIDOS'!$A$2:$A$97,0)))</f>
        <v>8</v>
      </c>
      <c r="L723" s="16" t="n">
        <f aca="false">J723*N(INDEX('04_MAQUINAS'!$F$2:$F$18,MATCH(E723,'04_MAQUINAS'!$A$2:$A$18,0)))</f>
        <v>10.4533333333333</v>
      </c>
      <c r="M723" s="17" t="n">
        <f aca="false">J723*INDEX('04_MAQUINAS'!$G$2:$G$18,MATCH(E723,'04_MAQUINAS'!$A$2:$A$18,0))*INDEX('04_MAQUINAS'!$H$2:$H$18,MATCH(E723,'04_MAQUINAS'!$A$2:$A$18,0))</f>
        <v>0.0522666666666667</v>
      </c>
      <c r="N723" s="2" t="s">
        <v>629</v>
      </c>
    </row>
    <row r="724" customFormat="false" ht="15" hidden="false" customHeight="false" outlineLevel="0" collapsed="false">
      <c r="A724" s="2" t="s">
        <v>584</v>
      </c>
      <c r="B724" s="2" t="s">
        <v>96</v>
      </c>
      <c r="C724" s="4" t="n">
        <v>13</v>
      </c>
      <c r="D724" s="2" t="s">
        <v>452</v>
      </c>
      <c r="E724" s="2" t="s">
        <v>411</v>
      </c>
      <c r="F724" s="5" t="n">
        <f aca="false">INDEX('08_PEDIDOS'!$D$2:$D$97,MATCH(A724,'08_PEDIDOS'!$A$2:$A$97,0))</f>
        <v>8</v>
      </c>
      <c r="G724" s="5" t="n">
        <f aca="false">INDEX('08_PEDIDOS'!$H$2:$H$97,MATCH(A724,'08_PEDIDOS'!$A$2:$A$97,0))</f>
        <v>10</v>
      </c>
      <c r="H724" s="17" t="n">
        <f aca="false">SUMIFS('05_RUTAS'!$F$2:$F$407,'05_RUTAS'!$A$2:$A$407,B724,'05_RUTAS'!$C$2:$C$407,C724)</f>
        <v>2</v>
      </c>
      <c r="I724" s="18" t="n">
        <f aca="false">SUMIFS('05_RUTAS'!$G$2:$G$407,'05_RUTAS'!$A$2:$A$407,B724,'05_RUTAS'!$C$2:$C$407,C724)</f>
        <v>5</v>
      </c>
      <c r="J724" s="18" t="n">
        <f aca="false">(ROUNDUP(F724/G724,0)*H724+F724*I724)/60</f>
        <v>0.7</v>
      </c>
      <c r="K724" s="5" t="n">
        <f aca="false">MONTH(INDEX('08_PEDIDOS'!$F$2:$F$97,MATCH(A724,'08_PEDIDOS'!$A$2:$A$97,0)))</f>
        <v>8</v>
      </c>
      <c r="L724" s="16" t="n">
        <f aca="false">J724*N(INDEX('04_MAQUINAS'!$F$2:$F$18,MATCH(E724,'04_MAQUINAS'!$A$2:$A$18,0)))</f>
        <v>12.6</v>
      </c>
      <c r="M724" s="17" t="n">
        <f aca="false">J724*INDEX('04_MAQUINAS'!$G$2:$G$18,MATCH(E724,'04_MAQUINAS'!$A$2:$A$18,0))*INDEX('04_MAQUINAS'!$H$2:$H$18,MATCH(E724,'04_MAQUINAS'!$A$2:$A$18,0))</f>
        <v>0.063</v>
      </c>
      <c r="N724" s="2" t="s">
        <v>629</v>
      </c>
    </row>
    <row r="725" customFormat="false" ht="15" hidden="false" customHeight="false" outlineLevel="0" collapsed="false">
      <c r="A725" s="2" t="s">
        <v>585</v>
      </c>
      <c r="B725" s="2" t="s">
        <v>106</v>
      </c>
      <c r="C725" s="4" t="n">
        <v>1</v>
      </c>
      <c r="D725" s="2" t="s">
        <v>437</v>
      </c>
      <c r="E725" s="2" t="s">
        <v>375</v>
      </c>
      <c r="F725" s="5" t="n">
        <f aca="false">INDEX('08_PEDIDOS'!$D$2:$D$97,MATCH(A725,'08_PEDIDOS'!$A$2:$A$97,0))</f>
        <v>6</v>
      </c>
      <c r="G725" s="5" t="n">
        <f aca="false">INDEX('08_PEDIDOS'!$H$2:$H$97,MATCH(A725,'08_PEDIDOS'!$A$2:$A$97,0))</f>
        <v>10</v>
      </c>
      <c r="H725" s="17" t="n">
        <f aca="false">SUMIFS('05_RUTAS'!$F$2:$F$407,'05_RUTAS'!$A$2:$A$407,B725,'05_RUTAS'!$C$2:$C$407,C725)</f>
        <v>8</v>
      </c>
      <c r="I725" s="18" t="n">
        <f aca="false">SUMIFS('05_RUTAS'!$G$2:$G$407,'05_RUTAS'!$A$2:$A$407,B725,'05_RUTAS'!$C$2:$C$407,C725)</f>
        <v>40.245</v>
      </c>
      <c r="J725" s="18" t="n">
        <f aca="false">(ROUNDUP(F725/G725,0)*H725+F725*I725)/60</f>
        <v>4.15783333333333</v>
      </c>
      <c r="K725" s="5" t="n">
        <f aca="false">MONTH(INDEX('08_PEDIDOS'!$F$2:$F$97,MATCH(A725,'08_PEDIDOS'!$A$2:$A$97,0)))</f>
        <v>8</v>
      </c>
      <c r="L725" s="16" t="n">
        <f aca="false">J725*N(INDEX('04_MAQUINAS'!$F$2:$F$18,MATCH(E725,'04_MAQUINAS'!$A$2:$A$18,0)))</f>
        <v>99.788</v>
      </c>
      <c r="M725" s="17" t="n">
        <f aca="false">J725*INDEX('04_MAQUINAS'!$G$2:$G$18,MATCH(E725,'04_MAQUINAS'!$A$2:$A$18,0))*INDEX('04_MAQUINAS'!$H$2:$H$18,MATCH(E725,'04_MAQUINAS'!$A$2:$A$18,0))</f>
        <v>11.4340416666667</v>
      </c>
      <c r="N725" s="2" t="s">
        <v>629</v>
      </c>
    </row>
    <row r="726" customFormat="false" ht="15" hidden="false" customHeight="false" outlineLevel="0" collapsed="false">
      <c r="A726" s="2" t="s">
        <v>585</v>
      </c>
      <c r="B726" s="2" t="s">
        <v>106</v>
      </c>
      <c r="C726" s="4" t="n">
        <v>2</v>
      </c>
      <c r="D726" s="2" t="s">
        <v>386</v>
      </c>
      <c r="E726" s="2" t="s">
        <v>383</v>
      </c>
      <c r="F726" s="5" t="n">
        <f aca="false">INDEX('08_PEDIDOS'!$D$2:$D$97,MATCH(A726,'08_PEDIDOS'!$A$2:$A$97,0))</f>
        <v>6</v>
      </c>
      <c r="G726" s="5" t="n">
        <f aca="false">INDEX('08_PEDIDOS'!$H$2:$H$97,MATCH(A726,'08_PEDIDOS'!$A$2:$A$97,0))</f>
        <v>10</v>
      </c>
      <c r="H726" s="17" t="n">
        <f aca="false">SUMIFS('05_RUTAS'!$F$2:$F$407,'05_RUTAS'!$A$2:$A$407,B726,'05_RUTAS'!$C$2:$C$407,C726)</f>
        <v>10</v>
      </c>
      <c r="I726" s="18" t="n">
        <f aca="false">SUMIFS('05_RUTAS'!$G$2:$G$407,'05_RUTAS'!$A$2:$A$407,B726,'05_RUTAS'!$C$2:$C$407,C726)</f>
        <v>14.8</v>
      </c>
      <c r="J726" s="18" t="n">
        <f aca="false">(ROUNDUP(F726/G726,0)*H726+F726*I726)/60</f>
        <v>1.64666666666667</v>
      </c>
      <c r="K726" s="5" t="n">
        <f aca="false">MONTH(INDEX('08_PEDIDOS'!$F$2:$F$97,MATCH(A726,'08_PEDIDOS'!$A$2:$A$97,0)))</f>
        <v>8</v>
      </c>
      <c r="L726" s="16" t="n">
        <f aca="false">J726*N(INDEX('04_MAQUINAS'!$F$2:$F$18,MATCH(E726,'04_MAQUINAS'!$A$2:$A$18,0)))</f>
        <v>36.2266666666667</v>
      </c>
      <c r="M726" s="17" t="n">
        <f aca="false">J726*INDEX('04_MAQUINAS'!$G$2:$G$18,MATCH(E726,'04_MAQUINAS'!$A$2:$A$18,0))*INDEX('04_MAQUINAS'!$H$2:$H$18,MATCH(E726,'04_MAQUINAS'!$A$2:$A$18,0))</f>
        <v>0.452833333333333</v>
      </c>
      <c r="N726" s="2" t="s">
        <v>629</v>
      </c>
    </row>
    <row r="727" customFormat="false" ht="15" hidden="false" customHeight="false" outlineLevel="0" collapsed="false">
      <c r="A727" s="2" t="s">
        <v>585</v>
      </c>
      <c r="B727" s="2" t="s">
        <v>106</v>
      </c>
      <c r="C727" s="4" t="n">
        <v>3</v>
      </c>
      <c r="D727" s="2" t="s">
        <v>390</v>
      </c>
      <c r="E727" s="2" t="s">
        <v>387</v>
      </c>
      <c r="F727" s="5" t="n">
        <f aca="false">INDEX('08_PEDIDOS'!$D$2:$D$97,MATCH(A727,'08_PEDIDOS'!$A$2:$A$97,0))</f>
        <v>6</v>
      </c>
      <c r="G727" s="5" t="n">
        <f aca="false">INDEX('08_PEDIDOS'!$H$2:$H$97,MATCH(A727,'08_PEDIDOS'!$A$2:$A$97,0))</f>
        <v>10</v>
      </c>
      <c r="H727" s="17" t="n">
        <f aca="false">SUMIFS('05_RUTAS'!$F$2:$F$407,'05_RUTAS'!$A$2:$A$407,B727,'05_RUTAS'!$C$2:$C$407,C727)</f>
        <v>12</v>
      </c>
      <c r="I727" s="18" t="n">
        <f aca="false">SUMIFS('05_RUTAS'!$G$2:$G$407,'05_RUTAS'!$A$2:$A$407,B727,'05_RUTAS'!$C$2:$C$407,C727)</f>
        <v>104</v>
      </c>
      <c r="J727" s="18" t="n">
        <f aca="false">(ROUNDUP(F727/G727,0)*H727+F727*I727)/60</f>
        <v>10.6</v>
      </c>
      <c r="K727" s="5" t="n">
        <f aca="false">MONTH(INDEX('08_PEDIDOS'!$F$2:$F$97,MATCH(A727,'08_PEDIDOS'!$A$2:$A$97,0)))</f>
        <v>8</v>
      </c>
      <c r="L727" s="16" t="n">
        <f aca="false">J727*N(INDEX('04_MAQUINAS'!$F$2:$F$18,MATCH(E727,'04_MAQUINAS'!$A$2:$A$18,0)))</f>
        <v>296.8</v>
      </c>
      <c r="M727" s="17" t="n">
        <f aca="false">J727*INDEX('04_MAQUINAS'!$G$2:$G$18,MATCH(E727,'04_MAQUINAS'!$A$2:$A$18,0))*INDEX('04_MAQUINAS'!$H$2:$H$18,MATCH(E727,'04_MAQUINAS'!$A$2:$A$18,0))</f>
        <v>26.235</v>
      </c>
      <c r="N727" s="2" t="s">
        <v>629</v>
      </c>
    </row>
    <row r="728" customFormat="false" ht="15" hidden="false" customHeight="false" outlineLevel="0" collapsed="false">
      <c r="A728" s="2" t="s">
        <v>585</v>
      </c>
      <c r="B728" s="2" t="s">
        <v>106</v>
      </c>
      <c r="C728" s="4" t="n">
        <v>4</v>
      </c>
      <c r="D728" s="2" t="s">
        <v>443</v>
      </c>
      <c r="E728" s="2" t="s">
        <v>395</v>
      </c>
      <c r="F728" s="5" t="n">
        <f aca="false">INDEX('08_PEDIDOS'!$D$2:$D$97,MATCH(A728,'08_PEDIDOS'!$A$2:$A$97,0))</f>
        <v>6</v>
      </c>
      <c r="G728" s="5" t="n">
        <f aca="false">INDEX('08_PEDIDOS'!$H$2:$H$97,MATCH(A728,'08_PEDIDOS'!$A$2:$A$97,0))</f>
        <v>10</v>
      </c>
      <c r="H728" s="17" t="n">
        <f aca="false">SUMIFS('05_RUTAS'!$F$2:$F$407,'05_RUTAS'!$A$2:$A$407,B728,'05_RUTAS'!$C$2:$C$407,C728)</f>
        <v>3</v>
      </c>
      <c r="I728" s="18" t="n">
        <f aca="false">SUMIFS('05_RUTAS'!$G$2:$G$407,'05_RUTAS'!$A$2:$A$407,B728,'05_RUTAS'!$C$2:$C$407,C728)</f>
        <v>18</v>
      </c>
      <c r="J728" s="18" t="n">
        <f aca="false">(ROUNDUP(F728/G728,0)*H728+F728*I728)/60</f>
        <v>1.85</v>
      </c>
      <c r="K728" s="5" t="n">
        <f aca="false">MONTH(INDEX('08_PEDIDOS'!$F$2:$F$97,MATCH(A728,'08_PEDIDOS'!$A$2:$A$97,0)))</f>
        <v>8</v>
      </c>
      <c r="L728" s="16" t="n">
        <f aca="false">J728*N(INDEX('04_MAQUINAS'!$F$2:$F$18,MATCH(E728,'04_MAQUINAS'!$A$2:$A$18,0)))</f>
        <v>38.85</v>
      </c>
      <c r="M728" s="17" t="n">
        <f aca="false">J728*INDEX('04_MAQUINAS'!$G$2:$G$18,MATCH(E728,'04_MAQUINAS'!$A$2:$A$18,0))*INDEX('04_MAQUINAS'!$H$2:$H$18,MATCH(E728,'04_MAQUINAS'!$A$2:$A$18,0))</f>
        <v>1.3875</v>
      </c>
      <c r="N728" s="2" t="s">
        <v>629</v>
      </c>
    </row>
    <row r="729" customFormat="false" ht="15" hidden="false" customHeight="false" outlineLevel="0" collapsed="false">
      <c r="A729" s="2" t="s">
        <v>585</v>
      </c>
      <c r="B729" s="2" t="s">
        <v>106</v>
      </c>
      <c r="C729" s="4" t="n">
        <v>5</v>
      </c>
      <c r="D729" s="2" t="s">
        <v>444</v>
      </c>
      <c r="E729" s="2" t="s">
        <v>399</v>
      </c>
      <c r="F729" s="5" t="n">
        <f aca="false">INDEX('08_PEDIDOS'!$D$2:$D$97,MATCH(A729,'08_PEDIDOS'!$A$2:$A$97,0))</f>
        <v>6</v>
      </c>
      <c r="G729" s="5" t="n">
        <f aca="false">INDEX('08_PEDIDOS'!$H$2:$H$97,MATCH(A729,'08_PEDIDOS'!$A$2:$A$97,0))</f>
        <v>10</v>
      </c>
      <c r="H729" s="17" t="n">
        <f aca="false">SUMIFS('05_RUTAS'!$F$2:$F$407,'05_RUTAS'!$A$2:$A$407,B729,'05_RUTAS'!$C$2:$C$407,C729)</f>
        <v>6</v>
      </c>
      <c r="I729" s="18" t="n">
        <f aca="false">SUMIFS('05_RUTAS'!$G$2:$G$407,'05_RUTAS'!$A$2:$A$407,B729,'05_RUTAS'!$C$2:$C$407,C729)</f>
        <v>26.324</v>
      </c>
      <c r="J729" s="18" t="n">
        <f aca="false">(ROUNDUP(F729/G729,0)*H729+F729*I729)/60</f>
        <v>2.7324</v>
      </c>
      <c r="K729" s="5" t="n">
        <f aca="false">MONTH(INDEX('08_PEDIDOS'!$F$2:$F$97,MATCH(A729,'08_PEDIDOS'!$A$2:$A$97,0)))</f>
        <v>8</v>
      </c>
      <c r="L729" s="16" t="n">
        <f aca="false">J729*N(INDEX('04_MAQUINAS'!$F$2:$F$18,MATCH(E729,'04_MAQUINAS'!$A$2:$A$18,0)))</f>
        <v>51.9156</v>
      </c>
      <c r="M729" s="17" t="n">
        <f aca="false">J729*INDEX('04_MAQUINAS'!$G$2:$G$18,MATCH(E729,'04_MAQUINAS'!$A$2:$A$18,0))*INDEX('04_MAQUINAS'!$H$2:$H$18,MATCH(E729,'04_MAQUINAS'!$A$2:$A$18,0))</f>
        <v>2.404512</v>
      </c>
      <c r="N729" s="2" t="s">
        <v>629</v>
      </c>
    </row>
    <row r="730" customFormat="false" ht="15" hidden="false" customHeight="false" outlineLevel="0" collapsed="false">
      <c r="A730" s="2" t="s">
        <v>585</v>
      </c>
      <c r="B730" s="2" t="s">
        <v>106</v>
      </c>
      <c r="C730" s="4" t="n">
        <v>6</v>
      </c>
      <c r="D730" s="2" t="s">
        <v>445</v>
      </c>
      <c r="E730" s="2" t="s">
        <v>402</v>
      </c>
      <c r="F730" s="5" t="n">
        <f aca="false">INDEX('08_PEDIDOS'!$D$2:$D$97,MATCH(A730,'08_PEDIDOS'!$A$2:$A$97,0))</f>
        <v>6</v>
      </c>
      <c r="G730" s="5" t="n">
        <f aca="false">INDEX('08_PEDIDOS'!$H$2:$H$97,MATCH(A730,'08_PEDIDOS'!$A$2:$A$97,0))</f>
        <v>10</v>
      </c>
      <c r="H730" s="17" t="n">
        <f aca="false">SUMIFS('05_RUTAS'!$F$2:$F$407,'05_RUTAS'!$A$2:$A$407,B730,'05_RUTAS'!$C$2:$C$407,C730)</f>
        <v>12</v>
      </c>
      <c r="I730" s="18" t="n">
        <f aca="false">SUMIFS('05_RUTAS'!$G$2:$G$407,'05_RUTAS'!$A$2:$A$407,B730,'05_RUTAS'!$C$2:$C$407,C730)</f>
        <v>6.83</v>
      </c>
      <c r="J730" s="18" t="n">
        <f aca="false">(ROUNDUP(F730/G730,0)*H730+F730*I730)/60</f>
        <v>0.883</v>
      </c>
      <c r="K730" s="5" t="n">
        <f aca="false">MONTH(INDEX('08_PEDIDOS'!$F$2:$F$97,MATCH(A730,'08_PEDIDOS'!$A$2:$A$97,0)))</f>
        <v>8</v>
      </c>
      <c r="L730" s="16" t="n">
        <f aca="false">J730*N(INDEX('04_MAQUINAS'!$F$2:$F$18,MATCH(E730,'04_MAQUINAS'!$A$2:$A$18,0)))</f>
        <v>28.256</v>
      </c>
      <c r="M730" s="17" t="n">
        <f aca="false">J730*INDEX('04_MAQUINAS'!$G$2:$G$18,MATCH(E730,'04_MAQUINAS'!$A$2:$A$18,0))*INDEX('04_MAQUINAS'!$H$2:$H$18,MATCH(E730,'04_MAQUINAS'!$A$2:$A$18,0))</f>
        <v>0.92715</v>
      </c>
      <c r="N730" s="2" t="s">
        <v>629</v>
      </c>
    </row>
    <row r="731" customFormat="false" ht="15" hidden="false" customHeight="false" outlineLevel="0" collapsed="false">
      <c r="A731" s="2" t="s">
        <v>585</v>
      </c>
      <c r="B731" s="2" t="s">
        <v>106</v>
      </c>
      <c r="C731" s="4" t="n">
        <v>7</v>
      </c>
      <c r="D731" s="2" t="s">
        <v>447</v>
      </c>
      <c r="E731" s="2" t="s">
        <v>421</v>
      </c>
      <c r="F731" s="5" t="n">
        <f aca="false">INDEX('08_PEDIDOS'!$D$2:$D$97,MATCH(A731,'08_PEDIDOS'!$A$2:$A$97,0))</f>
        <v>6</v>
      </c>
      <c r="G731" s="5" t="n">
        <f aca="false">INDEX('08_PEDIDOS'!$H$2:$H$97,MATCH(A731,'08_PEDIDOS'!$A$2:$A$97,0))</f>
        <v>10</v>
      </c>
      <c r="H731" s="17" t="n">
        <f aca="false">SUMIFS('05_RUTAS'!$F$2:$F$407,'05_RUTAS'!$A$2:$A$407,B731,'05_RUTAS'!$C$2:$C$407,C731)</f>
        <v>45</v>
      </c>
      <c r="I731" s="18" t="n">
        <f aca="false">SUMIFS('05_RUTAS'!$G$2:$G$407,'05_RUTAS'!$A$2:$A$407,B731,'05_RUTAS'!$C$2:$C$407,C731)</f>
        <v>0</v>
      </c>
      <c r="J731" s="18" t="n">
        <f aca="false">(ROUNDUP(F731/G731,0)*H731+F731*I731)/60</f>
        <v>0.75</v>
      </c>
      <c r="K731" s="5" t="n">
        <f aca="false">MONTH(INDEX('08_PEDIDOS'!$F$2:$F$97,MATCH(A731,'08_PEDIDOS'!$A$2:$A$97,0)))</f>
        <v>8</v>
      </c>
      <c r="L731" s="16" t="n">
        <f aca="false">J731*N(INDEX('04_MAQUINAS'!$F$2:$F$18,MATCH(E731,'04_MAQUINAS'!$A$2:$A$18,0)))</f>
        <v>19.5</v>
      </c>
      <c r="M731" s="17" t="n">
        <f aca="false">J731*INDEX('04_MAQUINAS'!$G$2:$G$18,MATCH(E731,'04_MAQUINAS'!$A$2:$A$18,0))*INDEX('04_MAQUINAS'!$H$2:$H$18,MATCH(E731,'04_MAQUINAS'!$A$2:$A$18,0))</f>
        <v>10.8</v>
      </c>
      <c r="N731" s="2" t="s">
        <v>629</v>
      </c>
    </row>
    <row r="732" customFormat="false" ht="15" hidden="false" customHeight="false" outlineLevel="0" collapsed="false">
      <c r="A732" s="2" t="s">
        <v>585</v>
      </c>
      <c r="B732" s="2" t="s">
        <v>106</v>
      </c>
      <c r="C732" s="4" t="n">
        <v>8</v>
      </c>
      <c r="D732" s="2" t="s">
        <v>449</v>
      </c>
      <c r="E732" s="2" t="s">
        <v>423</v>
      </c>
      <c r="F732" s="5" t="n">
        <f aca="false">INDEX('08_PEDIDOS'!$D$2:$D$97,MATCH(A732,'08_PEDIDOS'!$A$2:$A$97,0))</f>
        <v>6</v>
      </c>
      <c r="G732" s="5" t="n">
        <f aca="false">INDEX('08_PEDIDOS'!$H$2:$H$97,MATCH(A732,'08_PEDIDOS'!$A$2:$A$97,0))</f>
        <v>10</v>
      </c>
      <c r="H732" s="17" t="n">
        <f aca="false">SUMIFS('05_RUTAS'!$F$2:$F$407,'05_RUTAS'!$A$2:$A$407,B732,'05_RUTAS'!$C$2:$C$407,C732)</f>
        <v>8</v>
      </c>
      <c r="I732" s="18" t="n">
        <f aca="false">SUMIFS('05_RUTAS'!$G$2:$G$407,'05_RUTAS'!$A$2:$A$407,B732,'05_RUTAS'!$C$2:$C$407,C732)</f>
        <v>2.42</v>
      </c>
      <c r="J732" s="18" t="n">
        <f aca="false">(ROUNDUP(F732/G732,0)*H732+F732*I732)/60</f>
        <v>0.375333333333333</v>
      </c>
      <c r="K732" s="5" t="n">
        <f aca="false">MONTH(INDEX('08_PEDIDOS'!$F$2:$F$97,MATCH(A732,'08_PEDIDOS'!$A$2:$A$97,0)))</f>
        <v>8</v>
      </c>
      <c r="L732" s="16" t="n">
        <f aca="false">J732*N(INDEX('04_MAQUINAS'!$F$2:$F$18,MATCH(E732,'04_MAQUINAS'!$A$2:$A$18,0)))</f>
        <v>6.00533333333333</v>
      </c>
      <c r="M732" s="17" t="n">
        <f aca="false">J732*INDEX('04_MAQUINAS'!$G$2:$G$18,MATCH(E732,'04_MAQUINAS'!$A$2:$A$18,0))*INDEX('04_MAQUINAS'!$H$2:$H$18,MATCH(E732,'04_MAQUINAS'!$A$2:$A$18,0))</f>
        <v>0.0938333333333333</v>
      </c>
      <c r="N732" s="2" t="s">
        <v>629</v>
      </c>
    </row>
    <row r="733" customFormat="false" ht="15" hidden="false" customHeight="false" outlineLevel="0" collapsed="false">
      <c r="A733" s="2" t="s">
        <v>585</v>
      </c>
      <c r="B733" s="2" t="s">
        <v>106</v>
      </c>
      <c r="C733" s="4" t="n">
        <v>9</v>
      </c>
      <c r="D733" s="2" t="s">
        <v>450</v>
      </c>
      <c r="E733" s="2" t="s">
        <v>406</v>
      </c>
      <c r="F733" s="5" t="n">
        <f aca="false">INDEX('08_PEDIDOS'!$D$2:$D$97,MATCH(A733,'08_PEDIDOS'!$A$2:$A$97,0))</f>
        <v>6</v>
      </c>
      <c r="G733" s="5" t="n">
        <f aca="false">INDEX('08_PEDIDOS'!$H$2:$H$97,MATCH(A733,'08_PEDIDOS'!$A$2:$A$97,0))</f>
        <v>10</v>
      </c>
      <c r="H733" s="17" t="n">
        <f aca="false">SUMIFS('05_RUTAS'!$F$2:$F$407,'05_RUTAS'!$A$2:$A$407,B733,'05_RUTAS'!$C$2:$C$407,C733)</f>
        <v>6</v>
      </c>
      <c r="I733" s="18" t="n">
        <f aca="false">SUMIFS('05_RUTAS'!$G$2:$G$407,'05_RUTAS'!$A$2:$A$407,B733,'05_RUTAS'!$C$2:$C$407,C733)</f>
        <v>42</v>
      </c>
      <c r="J733" s="18" t="n">
        <f aca="false">(ROUNDUP(F733/G733,0)*H733+F733*I733)/60</f>
        <v>4.3</v>
      </c>
      <c r="K733" s="5" t="n">
        <f aca="false">MONTH(INDEX('08_PEDIDOS'!$F$2:$F$97,MATCH(A733,'08_PEDIDOS'!$A$2:$A$97,0)))</f>
        <v>8</v>
      </c>
      <c r="L733" s="16" t="n">
        <f aca="false">J733*N(INDEX('04_MAQUINAS'!$F$2:$F$18,MATCH(E733,'04_MAQUINAS'!$A$2:$A$18,0)))</f>
        <v>81.7</v>
      </c>
      <c r="M733" s="17" t="n">
        <f aca="false">J733*INDEX('04_MAQUINAS'!$G$2:$G$18,MATCH(E733,'04_MAQUINAS'!$A$2:$A$18,0))*INDEX('04_MAQUINAS'!$H$2:$H$18,MATCH(E733,'04_MAQUINAS'!$A$2:$A$18,0))</f>
        <v>1.29</v>
      </c>
      <c r="N733" s="2" t="s">
        <v>629</v>
      </c>
    </row>
    <row r="734" customFormat="false" ht="15" hidden="false" customHeight="false" outlineLevel="0" collapsed="false">
      <c r="A734" s="2" t="s">
        <v>585</v>
      </c>
      <c r="B734" s="2" t="s">
        <v>106</v>
      </c>
      <c r="C734" s="4" t="n">
        <v>10</v>
      </c>
      <c r="D734" s="2" t="s">
        <v>451</v>
      </c>
      <c r="E734" s="2" t="s">
        <v>408</v>
      </c>
      <c r="F734" s="5" t="n">
        <f aca="false">INDEX('08_PEDIDOS'!$D$2:$D$97,MATCH(A734,'08_PEDIDOS'!$A$2:$A$97,0))</f>
        <v>6</v>
      </c>
      <c r="G734" s="5" t="n">
        <f aca="false">INDEX('08_PEDIDOS'!$H$2:$H$97,MATCH(A734,'08_PEDIDOS'!$A$2:$A$97,0))</f>
        <v>10</v>
      </c>
      <c r="H734" s="17" t="n">
        <f aca="false">SUMIFS('05_RUTAS'!$F$2:$F$407,'05_RUTAS'!$A$2:$A$407,B734,'05_RUTAS'!$C$2:$C$407,C734)</f>
        <v>2</v>
      </c>
      <c r="I734" s="18" t="n">
        <f aca="false">SUMIFS('05_RUTAS'!$G$2:$G$407,'05_RUTAS'!$A$2:$A$407,B734,'05_RUTAS'!$C$2:$C$407,C734)</f>
        <v>3.52</v>
      </c>
      <c r="J734" s="18" t="n">
        <f aca="false">(ROUNDUP(F734/G734,0)*H734+F734*I734)/60</f>
        <v>0.385333333333333</v>
      </c>
      <c r="K734" s="5" t="n">
        <f aca="false">MONTH(INDEX('08_PEDIDOS'!$F$2:$F$97,MATCH(A734,'08_PEDIDOS'!$A$2:$A$97,0)))</f>
        <v>8</v>
      </c>
      <c r="L734" s="16" t="n">
        <f aca="false">J734*N(INDEX('04_MAQUINAS'!$F$2:$F$18,MATCH(E734,'04_MAQUINAS'!$A$2:$A$18,0)))</f>
        <v>7.70666666666667</v>
      </c>
      <c r="M734" s="17" t="n">
        <f aca="false">J734*INDEX('04_MAQUINAS'!$G$2:$G$18,MATCH(E734,'04_MAQUINAS'!$A$2:$A$18,0))*INDEX('04_MAQUINAS'!$H$2:$H$18,MATCH(E734,'04_MAQUINAS'!$A$2:$A$18,0))</f>
        <v>0.0385333333333333</v>
      </c>
      <c r="N734" s="2" t="s">
        <v>629</v>
      </c>
    </row>
    <row r="735" customFormat="false" ht="15" hidden="false" customHeight="false" outlineLevel="0" collapsed="false">
      <c r="A735" s="2" t="s">
        <v>585</v>
      </c>
      <c r="B735" s="2" t="s">
        <v>106</v>
      </c>
      <c r="C735" s="4" t="n">
        <v>11</v>
      </c>
      <c r="D735" s="2" t="s">
        <v>452</v>
      </c>
      <c r="E735" s="2" t="s">
        <v>411</v>
      </c>
      <c r="F735" s="5" t="n">
        <f aca="false">INDEX('08_PEDIDOS'!$D$2:$D$97,MATCH(A735,'08_PEDIDOS'!$A$2:$A$97,0))</f>
        <v>6</v>
      </c>
      <c r="G735" s="5" t="n">
        <f aca="false">INDEX('08_PEDIDOS'!$H$2:$H$97,MATCH(A735,'08_PEDIDOS'!$A$2:$A$97,0))</f>
        <v>10</v>
      </c>
      <c r="H735" s="17" t="n">
        <f aca="false">SUMIFS('05_RUTAS'!$F$2:$F$407,'05_RUTAS'!$A$2:$A$407,B735,'05_RUTAS'!$C$2:$C$407,C735)</f>
        <v>2</v>
      </c>
      <c r="I735" s="18" t="n">
        <f aca="false">SUMIFS('05_RUTAS'!$G$2:$G$407,'05_RUTAS'!$A$2:$A$407,B735,'05_RUTAS'!$C$2:$C$407,C735)</f>
        <v>4.78</v>
      </c>
      <c r="J735" s="18" t="n">
        <f aca="false">(ROUNDUP(F735/G735,0)*H735+F735*I735)/60</f>
        <v>0.511333333333333</v>
      </c>
      <c r="K735" s="5" t="n">
        <f aca="false">MONTH(INDEX('08_PEDIDOS'!$F$2:$F$97,MATCH(A735,'08_PEDIDOS'!$A$2:$A$97,0)))</f>
        <v>8</v>
      </c>
      <c r="L735" s="16" t="n">
        <f aca="false">J735*N(INDEX('04_MAQUINAS'!$F$2:$F$18,MATCH(E735,'04_MAQUINAS'!$A$2:$A$18,0)))</f>
        <v>9.204</v>
      </c>
      <c r="M735" s="17" t="n">
        <f aca="false">J735*INDEX('04_MAQUINAS'!$G$2:$G$18,MATCH(E735,'04_MAQUINAS'!$A$2:$A$18,0))*INDEX('04_MAQUINAS'!$H$2:$H$18,MATCH(E735,'04_MAQUINAS'!$A$2:$A$18,0))</f>
        <v>0.04602</v>
      </c>
      <c r="N735" s="2" t="s">
        <v>629</v>
      </c>
    </row>
    <row r="736" customFormat="false" ht="15" hidden="false" customHeight="false" outlineLevel="0" collapsed="false">
      <c r="A736" s="2" t="s">
        <v>586</v>
      </c>
      <c r="B736" s="2" t="s">
        <v>108</v>
      </c>
      <c r="C736" s="4" t="n">
        <v>1</v>
      </c>
      <c r="D736" s="2" t="s">
        <v>437</v>
      </c>
      <c r="E736" s="2" t="s">
        <v>375</v>
      </c>
      <c r="F736" s="5" t="n">
        <f aca="false">INDEX('08_PEDIDOS'!$D$2:$D$97,MATCH(A736,'08_PEDIDOS'!$A$2:$A$97,0))</f>
        <v>7</v>
      </c>
      <c r="G736" s="5" t="n">
        <f aca="false">INDEX('08_PEDIDOS'!$H$2:$H$97,MATCH(A736,'08_PEDIDOS'!$A$2:$A$97,0))</f>
        <v>10</v>
      </c>
      <c r="H736" s="17" t="n">
        <f aca="false">SUMIFS('05_RUTAS'!$F$2:$F$407,'05_RUTAS'!$A$2:$A$407,B736,'05_RUTAS'!$C$2:$C$407,C736)</f>
        <v>8</v>
      </c>
      <c r="I736" s="18" t="n">
        <f aca="false">SUMIFS('05_RUTAS'!$G$2:$G$407,'05_RUTAS'!$A$2:$A$407,B736,'05_RUTAS'!$C$2:$C$407,C736)</f>
        <v>57.14</v>
      </c>
      <c r="J736" s="18" t="n">
        <f aca="false">(ROUNDUP(F736/G736,0)*H736+F736*I736)/60</f>
        <v>6.79966666666667</v>
      </c>
      <c r="K736" s="5" t="n">
        <f aca="false">MONTH(INDEX('08_PEDIDOS'!$F$2:$F$97,MATCH(A736,'08_PEDIDOS'!$A$2:$A$97,0)))</f>
        <v>8</v>
      </c>
      <c r="L736" s="16" t="n">
        <f aca="false">J736*N(INDEX('04_MAQUINAS'!$F$2:$F$18,MATCH(E736,'04_MAQUINAS'!$A$2:$A$18,0)))</f>
        <v>163.192</v>
      </c>
      <c r="M736" s="17" t="n">
        <f aca="false">J736*INDEX('04_MAQUINAS'!$G$2:$G$18,MATCH(E736,'04_MAQUINAS'!$A$2:$A$18,0))*INDEX('04_MAQUINAS'!$H$2:$H$18,MATCH(E736,'04_MAQUINAS'!$A$2:$A$18,0))</f>
        <v>18.6990833333333</v>
      </c>
      <c r="N736" s="2" t="s">
        <v>629</v>
      </c>
    </row>
    <row r="737" customFormat="false" ht="15" hidden="false" customHeight="false" outlineLevel="0" collapsed="false">
      <c r="A737" s="2" t="s">
        <v>586</v>
      </c>
      <c r="B737" s="2" t="s">
        <v>108</v>
      </c>
      <c r="C737" s="4" t="n">
        <v>2</v>
      </c>
      <c r="D737" s="2" t="s">
        <v>386</v>
      </c>
      <c r="E737" s="2" t="s">
        <v>383</v>
      </c>
      <c r="F737" s="5" t="n">
        <f aca="false">INDEX('08_PEDIDOS'!$D$2:$D$97,MATCH(A737,'08_PEDIDOS'!$A$2:$A$97,0))</f>
        <v>7</v>
      </c>
      <c r="G737" s="5" t="n">
        <f aca="false">INDEX('08_PEDIDOS'!$H$2:$H$97,MATCH(A737,'08_PEDIDOS'!$A$2:$A$97,0))</f>
        <v>10</v>
      </c>
      <c r="H737" s="17" t="n">
        <f aca="false">SUMIFS('05_RUTAS'!$F$2:$F$407,'05_RUTAS'!$A$2:$A$407,B737,'05_RUTAS'!$C$2:$C$407,C737)</f>
        <v>10</v>
      </c>
      <c r="I737" s="18" t="n">
        <f aca="false">SUMIFS('05_RUTAS'!$G$2:$G$407,'05_RUTAS'!$A$2:$A$407,B737,'05_RUTAS'!$C$2:$C$407,C737)</f>
        <v>27</v>
      </c>
      <c r="J737" s="18" t="n">
        <f aca="false">(ROUNDUP(F737/G737,0)*H737+F737*I737)/60</f>
        <v>3.31666666666667</v>
      </c>
      <c r="K737" s="5" t="n">
        <f aca="false">MONTH(INDEX('08_PEDIDOS'!$F$2:$F$97,MATCH(A737,'08_PEDIDOS'!$A$2:$A$97,0)))</f>
        <v>8</v>
      </c>
      <c r="L737" s="16" t="n">
        <f aca="false">J737*N(INDEX('04_MAQUINAS'!$F$2:$F$18,MATCH(E737,'04_MAQUINAS'!$A$2:$A$18,0)))</f>
        <v>72.9666666666667</v>
      </c>
      <c r="M737" s="17" t="n">
        <f aca="false">J737*INDEX('04_MAQUINAS'!$G$2:$G$18,MATCH(E737,'04_MAQUINAS'!$A$2:$A$18,0))*INDEX('04_MAQUINAS'!$H$2:$H$18,MATCH(E737,'04_MAQUINAS'!$A$2:$A$18,0))</f>
        <v>0.912083333333334</v>
      </c>
      <c r="N737" s="2" t="s">
        <v>629</v>
      </c>
    </row>
    <row r="738" customFormat="false" ht="15" hidden="false" customHeight="false" outlineLevel="0" collapsed="false">
      <c r="A738" s="2" t="s">
        <v>586</v>
      </c>
      <c r="B738" s="2" t="s">
        <v>108</v>
      </c>
      <c r="C738" s="4" t="n">
        <v>3</v>
      </c>
      <c r="D738" s="2" t="s">
        <v>390</v>
      </c>
      <c r="E738" s="2" t="s">
        <v>387</v>
      </c>
      <c r="F738" s="5" t="n">
        <f aca="false">INDEX('08_PEDIDOS'!$D$2:$D$97,MATCH(A738,'08_PEDIDOS'!$A$2:$A$97,0))</f>
        <v>7</v>
      </c>
      <c r="G738" s="5" t="n">
        <f aca="false">INDEX('08_PEDIDOS'!$H$2:$H$97,MATCH(A738,'08_PEDIDOS'!$A$2:$A$97,0))</f>
        <v>10</v>
      </c>
      <c r="H738" s="17" t="n">
        <f aca="false">SUMIFS('05_RUTAS'!$F$2:$F$407,'05_RUTAS'!$A$2:$A$407,B738,'05_RUTAS'!$C$2:$C$407,C738)</f>
        <v>12</v>
      </c>
      <c r="I738" s="18" t="n">
        <f aca="false">SUMIFS('05_RUTAS'!$G$2:$G$407,'05_RUTAS'!$A$2:$A$407,B738,'05_RUTAS'!$C$2:$C$407,C738)</f>
        <v>149</v>
      </c>
      <c r="J738" s="18" t="n">
        <f aca="false">(ROUNDUP(F738/G738,0)*H738+F738*I738)/60</f>
        <v>17.5833333333333</v>
      </c>
      <c r="K738" s="5" t="n">
        <f aca="false">MONTH(INDEX('08_PEDIDOS'!$F$2:$F$97,MATCH(A738,'08_PEDIDOS'!$A$2:$A$97,0)))</f>
        <v>8</v>
      </c>
      <c r="L738" s="16" t="n">
        <f aca="false">J738*N(INDEX('04_MAQUINAS'!$F$2:$F$18,MATCH(E738,'04_MAQUINAS'!$A$2:$A$18,0)))</f>
        <v>492.333333333333</v>
      </c>
      <c r="M738" s="17" t="n">
        <f aca="false">J738*INDEX('04_MAQUINAS'!$G$2:$G$18,MATCH(E738,'04_MAQUINAS'!$A$2:$A$18,0))*INDEX('04_MAQUINAS'!$H$2:$H$18,MATCH(E738,'04_MAQUINAS'!$A$2:$A$18,0))</f>
        <v>43.51875</v>
      </c>
      <c r="N738" s="2" t="s">
        <v>629</v>
      </c>
    </row>
    <row r="739" customFormat="false" ht="15" hidden="false" customHeight="false" outlineLevel="0" collapsed="false">
      <c r="A739" s="2" t="s">
        <v>586</v>
      </c>
      <c r="B739" s="2" t="s">
        <v>108</v>
      </c>
      <c r="C739" s="4" t="n">
        <v>4</v>
      </c>
      <c r="D739" s="2" t="s">
        <v>443</v>
      </c>
      <c r="E739" s="2" t="s">
        <v>395</v>
      </c>
      <c r="F739" s="5" t="n">
        <f aca="false">INDEX('08_PEDIDOS'!$D$2:$D$97,MATCH(A739,'08_PEDIDOS'!$A$2:$A$97,0))</f>
        <v>7</v>
      </c>
      <c r="G739" s="5" t="n">
        <f aca="false">INDEX('08_PEDIDOS'!$H$2:$H$97,MATCH(A739,'08_PEDIDOS'!$A$2:$A$97,0))</f>
        <v>10</v>
      </c>
      <c r="H739" s="17" t="n">
        <f aca="false">SUMIFS('05_RUTAS'!$F$2:$F$407,'05_RUTAS'!$A$2:$A$407,B739,'05_RUTAS'!$C$2:$C$407,C739)</f>
        <v>3</v>
      </c>
      <c r="I739" s="18" t="n">
        <f aca="false">SUMIFS('05_RUTAS'!$G$2:$G$407,'05_RUTAS'!$A$2:$A$407,B739,'05_RUTAS'!$C$2:$C$407,C739)</f>
        <v>25.5</v>
      </c>
      <c r="J739" s="18" t="n">
        <f aca="false">(ROUNDUP(F739/G739,0)*H739+F739*I739)/60</f>
        <v>3.025</v>
      </c>
      <c r="K739" s="5" t="n">
        <f aca="false">MONTH(INDEX('08_PEDIDOS'!$F$2:$F$97,MATCH(A739,'08_PEDIDOS'!$A$2:$A$97,0)))</f>
        <v>8</v>
      </c>
      <c r="L739" s="16" t="n">
        <f aca="false">J739*N(INDEX('04_MAQUINAS'!$F$2:$F$18,MATCH(E739,'04_MAQUINAS'!$A$2:$A$18,0)))</f>
        <v>63.525</v>
      </c>
      <c r="M739" s="17" t="n">
        <f aca="false">J739*INDEX('04_MAQUINAS'!$G$2:$G$18,MATCH(E739,'04_MAQUINAS'!$A$2:$A$18,0))*INDEX('04_MAQUINAS'!$H$2:$H$18,MATCH(E739,'04_MAQUINAS'!$A$2:$A$18,0))</f>
        <v>2.26875</v>
      </c>
      <c r="N739" s="2" t="s">
        <v>629</v>
      </c>
    </row>
    <row r="740" customFormat="false" ht="15" hidden="false" customHeight="false" outlineLevel="0" collapsed="false">
      <c r="A740" s="2" t="s">
        <v>586</v>
      </c>
      <c r="B740" s="2" t="s">
        <v>108</v>
      </c>
      <c r="C740" s="4" t="n">
        <v>5</v>
      </c>
      <c r="D740" s="2" t="s">
        <v>444</v>
      </c>
      <c r="E740" s="2" t="s">
        <v>399</v>
      </c>
      <c r="F740" s="5" t="n">
        <f aca="false">INDEX('08_PEDIDOS'!$D$2:$D$97,MATCH(A740,'08_PEDIDOS'!$A$2:$A$97,0))</f>
        <v>7</v>
      </c>
      <c r="G740" s="5" t="n">
        <f aca="false">INDEX('08_PEDIDOS'!$H$2:$H$97,MATCH(A740,'08_PEDIDOS'!$A$2:$A$97,0))</f>
        <v>10</v>
      </c>
      <c r="H740" s="17" t="n">
        <f aca="false">SUMIFS('05_RUTAS'!$F$2:$F$407,'05_RUTAS'!$A$2:$A$407,B740,'05_RUTAS'!$C$2:$C$407,C740)</f>
        <v>6</v>
      </c>
      <c r="I740" s="18" t="n">
        <f aca="false">SUMIFS('05_RUTAS'!$G$2:$G$407,'05_RUTAS'!$A$2:$A$407,B740,'05_RUTAS'!$C$2:$C$407,C740)</f>
        <v>37.528</v>
      </c>
      <c r="J740" s="18" t="n">
        <f aca="false">(ROUNDUP(F740/G740,0)*H740+F740*I740)/60</f>
        <v>4.47826666666667</v>
      </c>
      <c r="K740" s="5" t="n">
        <f aca="false">MONTH(INDEX('08_PEDIDOS'!$F$2:$F$97,MATCH(A740,'08_PEDIDOS'!$A$2:$A$97,0)))</f>
        <v>8</v>
      </c>
      <c r="L740" s="16" t="n">
        <f aca="false">J740*N(INDEX('04_MAQUINAS'!$F$2:$F$18,MATCH(E740,'04_MAQUINAS'!$A$2:$A$18,0)))</f>
        <v>85.0870666666667</v>
      </c>
      <c r="M740" s="17" t="n">
        <f aca="false">J740*INDEX('04_MAQUINAS'!$G$2:$G$18,MATCH(E740,'04_MAQUINAS'!$A$2:$A$18,0))*INDEX('04_MAQUINAS'!$H$2:$H$18,MATCH(E740,'04_MAQUINAS'!$A$2:$A$18,0))</f>
        <v>3.94087466666667</v>
      </c>
      <c r="N740" s="2" t="s">
        <v>629</v>
      </c>
    </row>
    <row r="741" customFormat="false" ht="15" hidden="false" customHeight="false" outlineLevel="0" collapsed="false">
      <c r="A741" s="2" t="s">
        <v>586</v>
      </c>
      <c r="B741" s="2" t="s">
        <v>108</v>
      </c>
      <c r="C741" s="4" t="n">
        <v>6</v>
      </c>
      <c r="D741" s="2" t="s">
        <v>445</v>
      </c>
      <c r="E741" s="2" t="s">
        <v>402</v>
      </c>
      <c r="F741" s="5" t="n">
        <f aca="false">INDEX('08_PEDIDOS'!$D$2:$D$97,MATCH(A741,'08_PEDIDOS'!$A$2:$A$97,0))</f>
        <v>7</v>
      </c>
      <c r="G741" s="5" t="n">
        <f aca="false">INDEX('08_PEDIDOS'!$H$2:$H$97,MATCH(A741,'08_PEDIDOS'!$A$2:$A$97,0))</f>
        <v>10</v>
      </c>
      <c r="H741" s="17" t="n">
        <f aca="false">SUMIFS('05_RUTAS'!$F$2:$F$407,'05_RUTAS'!$A$2:$A$407,B741,'05_RUTAS'!$C$2:$C$407,C741)</f>
        <v>12</v>
      </c>
      <c r="I741" s="18" t="n">
        <f aca="false">SUMIFS('05_RUTAS'!$G$2:$G$407,'05_RUTAS'!$A$2:$A$407,B741,'05_RUTAS'!$C$2:$C$407,C741)</f>
        <v>6.83</v>
      </c>
      <c r="J741" s="18" t="n">
        <f aca="false">(ROUNDUP(F741/G741,0)*H741+F741*I741)/60</f>
        <v>0.996833333333333</v>
      </c>
      <c r="K741" s="5" t="n">
        <f aca="false">MONTH(INDEX('08_PEDIDOS'!$F$2:$F$97,MATCH(A741,'08_PEDIDOS'!$A$2:$A$97,0)))</f>
        <v>8</v>
      </c>
      <c r="L741" s="16" t="n">
        <f aca="false">J741*N(INDEX('04_MAQUINAS'!$F$2:$F$18,MATCH(E741,'04_MAQUINAS'!$A$2:$A$18,0)))</f>
        <v>31.8986666666667</v>
      </c>
      <c r="M741" s="17" t="n">
        <f aca="false">J741*INDEX('04_MAQUINAS'!$G$2:$G$18,MATCH(E741,'04_MAQUINAS'!$A$2:$A$18,0))*INDEX('04_MAQUINAS'!$H$2:$H$18,MATCH(E741,'04_MAQUINAS'!$A$2:$A$18,0))</f>
        <v>1.046675</v>
      </c>
      <c r="N741" s="2" t="s">
        <v>629</v>
      </c>
    </row>
    <row r="742" customFormat="false" ht="15" hidden="false" customHeight="false" outlineLevel="0" collapsed="false">
      <c r="A742" s="2" t="s">
        <v>586</v>
      </c>
      <c r="B742" s="2" t="s">
        <v>108</v>
      </c>
      <c r="C742" s="4" t="n">
        <v>7</v>
      </c>
      <c r="D742" s="2" t="s">
        <v>447</v>
      </c>
      <c r="E742" s="2" t="s">
        <v>421</v>
      </c>
      <c r="F742" s="5" t="n">
        <f aca="false">INDEX('08_PEDIDOS'!$D$2:$D$97,MATCH(A742,'08_PEDIDOS'!$A$2:$A$97,0))</f>
        <v>7</v>
      </c>
      <c r="G742" s="5" t="n">
        <f aca="false">INDEX('08_PEDIDOS'!$H$2:$H$97,MATCH(A742,'08_PEDIDOS'!$A$2:$A$97,0))</f>
        <v>10</v>
      </c>
      <c r="H742" s="17" t="n">
        <f aca="false">SUMIFS('05_RUTAS'!$F$2:$F$407,'05_RUTAS'!$A$2:$A$407,B742,'05_RUTAS'!$C$2:$C$407,C742)</f>
        <v>45</v>
      </c>
      <c r="I742" s="18" t="n">
        <f aca="false">SUMIFS('05_RUTAS'!$G$2:$G$407,'05_RUTAS'!$A$2:$A$407,B742,'05_RUTAS'!$C$2:$C$407,C742)</f>
        <v>0</v>
      </c>
      <c r="J742" s="18" t="n">
        <f aca="false">(ROUNDUP(F742/G742,0)*H742+F742*I742)/60</f>
        <v>0.75</v>
      </c>
      <c r="K742" s="5" t="n">
        <f aca="false">MONTH(INDEX('08_PEDIDOS'!$F$2:$F$97,MATCH(A742,'08_PEDIDOS'!$A$2:$A$97,0)))</f>
        <v>8</v>
      </c>
      <c r="L742" s="16" t="n">
        <f aca="false">J742*N(INDEX('04_MAQUINAS'!$F$2:$F$18,MATCH(E742,'04_MAQUINAS'!$A$2:$A$18,0)))</f>
        <v>19.5</v>
      </c>
      <c r="M742" s="17" t="n">
        <f aca="false">J742*INDEX('04_MAQUINAS'!$G$2:$G$18,MATCH(E742,'04_MAQUINAS'!$A$2:$A$18,0))*INDEX('04_MAQUINAS'!$H$2:$H$18,MATCH(E742,'04_MAQUINAS'!$A$2:$A$18,0))</f>
        <v>10.8</v>
      </c>
      <c r="N742" s="2" t="s">
        <v>629</v>
      </c>
    </row>
    <row r="743" customFormat="false" ht="15" hidden="false" customHeight="false" outlineLevel="0" collapsed="false">
      <c r="A743" s="2" t="s">
        <v>586</v>
      </c>
      <c r="B743" s="2" t="s">
        <v>108</v>
      </c>
      <c r="C743" s="4" t="n">
        <v>8</v>
      </c>
      <c r="D743" s="2" t="s">
        <v>449</v>
      </c>
      <c r="E743" s="2" t="s">
        <v>423</v>
      </c>
      <c r="F743" s="5" t="n">
        <f aca="false">INDEX('08_PEDIDOS'!$D$2:$D$97,MATCH(A743,'08_PEDIDOS'!$A$2:$A$97,0))</f>
        <v>7</v>
      </c>
      <c r="G743" s="5" t="n">
        <f aca="false">INDEX('08_PEDIDOS'!$H$2:$H$97,MATCH(A743,'08_PEDIDOS'!$A$2:$A$97,0))</f>
        <v>10</v>
      </c>
      <c r="H743" s="17" t="n">
        <f aca="false">SUMIFS('05_RUTAS'!$F$2:$F$407,'05_RUTAS'!$A$2:$A$407,B743,'05_RUTAS'!$C$2:$C$407,C743)</f>
        <v>8</v>
      </c>
      <c r="I743" s="18" t="n">
        <f aca="false">SUMIFS('05_RUTAS'!$G$2:$G$407,'05_RUTAS'!$A$2:$A$407,B743,'05_RUTAS'!$C$2:$C$407,C743)</f>
        <v>2.42</v>
      </c>
      <c r="J743" s="18" t="n">
        <f aca="false">(ROUNDUP(F743/G743,0)*H743+F743*I743)/60</f>
        <v>0.415666666666667</v>
      </c>
      <c r="K743" s="5" t="n">
        <f aca="false">MONTH(INDEX('08_PEDIDOS'!$F$2:$F$97,MATCH(A743,'08_PEDIDOS'!$A$2:$A$97,0)))</f>
        <v>8</v>
      </c>
      <c r="L743" s="16" t="n">
        <f aca="false">J743*N(INDEX('04_MAQUINAS'!$F$2:$F$18,MATCH(E743,'04_MAQUINAS'!$A$2:$A$18,0)))</f>
        <v>6.65066666666667</v>
      </c>
      <c r="M743" s="17" t="n">
        <f aca="false">J743*INDEX('04_MAQUINAS'!$G$2:$G$18,MATCH(E743,'04_MAQUINAS'!$A$2:$A$18,0))*INDEX('04_MAQUINAS'!$H$2:$H$18,MATCH(E743,'04_MAQUINAS'!$A$2:$A$18,0))</f>
        <v>0.103916666666667</v>
      </c>
      <c r="N743" s="2" t="s">
        <v>629</v>
      </c>
    </row>
    <row r="744" customFormat="false" ht="15" hidden="false" customHeight="false" outlineLevel="0" collapsed="false">
      <c r="A744" s="2" t="s">
        <v>586</v>
      </c>
      <c r="B744" s="2" t="s">
        <v>108</v>
      </c>
      <c r="C744" s="4" t="n">
        <v>9</v>
      </c>
      <c r="D744" s="2" t="s">
        <v>450</v>
      </c>
      <c r="E744" s="2" t="s">
        <v>406</v>
      </c>
      <c r="F744" s="5" t="n">
        <f aca="false">INDEX('08_PEDIDOS'!$D$2:$D$97,MATCH(A744,'08_PEDIDOS'!$A$2:$A$97,0))</f>
        <v>7</v>
      </c>
      <c r="G744" s="5" t="n">
        <f aca="false">INDEX('08_PEDIDOS'!$H$2:$H$97,MATCH(A744,'08_PEDIDOS'!$A$2:$A$97,0))</f>
        <v>10</v>
      </c>
      <c r="H744" s="17" t="n">
        <f aca="false">SUMIFS('05_RUTAS'!$F$2:$F$407,'05_RUTAS'!$A$2:$A$407,B744,'05_RUTAS'!$C$2:$C$407,C744)</f>
        <v>6</v>
      </c>
      <c r="I744" s="18" t="n">
        <f aca="false">SUMIFS('05_RUTAS'!$G$2:$G$407,'05_RUTAS'!$A$2:$A$407,B744,'05_RUTAS'!$C$2:$C$407,C744)</f>
        <v>56.25</v>
      </c>
      <c r="J744" s="18" t="n">
        <f aca="false">(ROUNDUP(F744/G744,0)*H744+F744*I744)/60</f>
        <v>6.6625</v>
      </c>
      <c r="K744" s="5" t="n">
        <f aca="false">MONTH(INDEX('08_PEDIDOS'!$F$2:$F$97,MATCH(A744,'08_PEDIDOS'!$A$2:$A$97,0)))</f>
        <v>8</v>
      </c>
      <c r="L744" s="16" t="n">
        <f aca="false">J744*N(INDEX('04_MAQUINAS'!$F$2:$F$18,MATCH(E744,'04_MAQUINAS'!$A$2:$A$18,0)))</f>
        <v>126.5875</v>
      </c>
      <c r="M744" s="17" t="n">
        <f aca="false">J744*INDEX('04_MAQUINAS'!$G$2:$G$18,MATCH(E744,'04_MAQUINAS'!$A$2:$A$18,0))*INDEX('04_MAQUINAS'!$H$2:$H$18,MATCH(E744,'04_MAQUINAS'!$A$2:$A$18,0))</f>
        <v>1.99875</v>
      </c>
      <c r="N744" s="2" t="s">
        <v>629</v>
      </c>
    </row>
    <row r="745" customFormat="false" ht="15" hidden="false" customHeight="false" outlineLevel="0" collapsed="false">
      <c r="A745" s="2" t="s">
        <v>586</v>
      </c>
      <c r="B745" s="2" t="s">
        <v>108</v>
      </c>
      <c r="C745" s="4" t="n">
        <v>10</v>
      </c>
      <c r="D745" s="2" t="s">
        <v>451</v>
      </c>
      <c r="E745" s="2" t="s">
        <v>408</v>
      </c>
      <c r="F745" s="5" t="n">
        <f aca="false">INDEX('08_PEDIDOS'!$D$2:$D$97,MATCH(A745,'08_PEDIDOS'!$A$2:$A$97,0))</f>
        <v>7</v>
      </c>
      <c r="G745" s="5" t="n">
        <f aca="false">INDEX('08_PEDIDOS'!$H$2:$H$97,MATCH(A745,'08_PEDIDOS'!$A$2:$A$97,0))</f>
        <v>10</v>
      </c>
      <c r="H745" s="17" t="n">
        <f aca="false">SUMIFS('05_RUTAS'!$F$2:$F$407,'05_RUTAS'!$A$2:$A$407,B745,'05_RUTAS'!$C$2:$C$407,C745)</f>
        <v>2</v>
      </c>
      <c r="I745" s="18" t="n">
        <f aca="false">SUMIFS('05_RUTAS'!$G$2:$G$407,'05_RUTAS'!$A$2:$A$407,B745,'05_RUTAS'!$C$2:$C$407,C745)</f>
        <v>3.52</v>
      </c>
      <c r="J745" s="18" t="n">
        <f aca="false">(ROUNDUP(F745/G745,0)*H745+F745*I745)/60</f>
        <v>0.444</v>
      </c>
      <c r="K745" s="5" t="n">
        <f aca="false">MONTH(INDEX('08_PEDIDOS'!$F$2:$F$97,MATCH(A745,'08_PEDIDOS'!$A$2:$A$97,0)))</f>
        <v>8</v>
      </c>
      <c r="L745" s="16" t="n">
        <f aca="false">J745*N(INDEX('04_MAQUINAS'!$F$2:$F$18,MATCH(E745,'04_MAQUINAS'!$A$2:$A$18,0)))</f>
        <v>8.88</v>
      </c>
      <c r="M745" s="17" t="n">
        <f aca="false">J745*INDEX('04_MAQUINAS'!$G$2:$G$18,MATCH(E745,'04_MAQUINAS'!$A$2:$A$18,0))*INDEX('04_MAQUINAS'!$H$2:$H$18,MATCH(E745,'04_MAQUINAS'!$A$2:$A$18,0))</f>
        <v>0.0444</v>
      </c>
      <c r="N745" s="2" t="s">
        <v>629</v>
      </c>
    </row>
    <row r="746" customFormat="false" ht="15" hidden="false" customHeight="false" outlineLevel="0" collapsed="false">
      <c r="A746" s="2" t="s">
        <v>586</v>
      </c>
      <c r="B746" s="2" t="s">
        <v>108</v>
      </c>
      <c r="C746" s="4" t="n">
        <v>11</v>
      </c>
      <c r="D746" s="2" t="s">
        <v>452</v>
      </c>
      <c r="E746" s="2" t="s">
        <v>411</v>
      </c>
      <c r="F746" s="5" t="n">
        <f aca="false">INDEX('08_PEDIDOS'!$D$2:$D$97,MATCH(A746,'08_PEDIDOS'!$A$2:$A$97,0))</f>
        <v>7</v>
      </c>
      <c r="G746" s="5" t="n">
        <f aca="false">INDEX('08_PEDIDOS'!$H$2:$H$97,MATCH(A746,'08_PEDIDOS'!$A$2:$A$97,0))</f>
        <v>10</v>
      </c>
      <c r="H746" s="17" t="n">
        <f aca="false">SUMIFS('05_RUTAS'!$F$2:$F$407,'05_RUTAS'!$A$2:$A$407,B746,'05_RUTAS'!$C$2:$C$407,C746)</f>
        <v>2</v>
      </c>
      <c r="I746" s="18" t="n">
        <f aca="false">SUMIFS('05_RUTAS'!$G$2:$G$407,'05_RUTAS'!$A$2:$A$407,B746,'05_RUTAS'!$C$2:$C$407,C746)</f>
        <v>4.78</v>
      </c>
      <c r="J746" s="18" t="n">
        <f aca="false">(ROUNDUP(F746/G746,0)*H746+F746*I746)/60</f>
        <v>0.591</v>
      </c>
      <c r="K746" s="5" t="n">
        <f aca="false">MONTH(INDEX('08_PEDIDOS'!$F$2:$F$97,MATCH(A746,'08_PEDIDOS'!$A$2:$A$97,0)))</f>
        <v>8</v>
      </c>
      <c r="L746" s="16" t="n">
        <f aca="false">J746*N(INDEX('04_MAQUINAS'!$F$2:$F$18,MATCH(E746,'04_MAQUINAS'!$A$2:$A$18,0)))</f>
        <v>10.638</v>
      </c>
      <c r="M746" s="17" t="n">
        <f aca="false">J746*INDEX('04_MAQUINAS'!$G$2:$G$18,MATCH(E746,'04_MAQUINAS'!$A$2:$A$18,0))*INDEX('04_MAQUINAS'!$H$2:$H$18,MATCH(E746,'04_MAQUINAS'!$A$2:$A$18,0))</f>
        <v>0.05319</v>
      </c>
      <c r="N746" s="2" t="s">
        <v>629</v>
      </c>
    </row>
    <row r="747" customFormat="false" ht="15" hidden="false" customHeight="false" outlineLevel="0" collapsed="false">
      <c r="A747" s="2" t="s">
        <v>587</v>
      </c>
      <c r="B747" s="2" t="s">
        <v>119</v>
      </c>
      <c r="C747" s="4" t="n">
        <v>1</v>
      </c>
      <c r="D747" s="2" t="s">
        <v>437</v>
      </c>
      <c r="E747" s="2" t="s">
        <v>375</v>
      </c>
      <c r="F747" s="5" t="n">
        <f aca="false">INDEX('08_PEDIDOS'!$D$2:$D$97,MATCH(A747,'08_PEDIDOS'!$A$2:$A$97,0))</f>
        <v>11</v>
      </c>
      <c r="G747" s="5" t="n">
        <f aca="false">INDEX('08_PEDIDOS'!$H$2:$H$97,MATCH(A747,'08_PEDIDOS'!$A$2:$A$97,0))</f>
        <v>10</v>
      </c>
      <c r="H747" s="17" t="n">
        <f aca="false">SUMIFS('05_RUTAS'!$F$2:$F$407,'05_RUTAS'!$A$2:$A$407,B747,'05_RUTAS'!$C$2:$C$407,C747)</f>
        <v>8</v>
      </c>
      <c r="I747" s="18" t="n">
        <f aca="false">SUMIFS('05_RUTAS'!$G$2:$G$407,'05_RUTAS'!$A$2:$A$407,B747,'05_RUTAS'!$C$2:$C$407,C747)</f>
        <v>35.56</v>
      </c>
      <c r="J747" s="18" t="n">
        <f aca="false">(ROUNDUP(F747/G747,0)*H747+F747*I747)/60</f>
        <v>6.786</v>
      </c>
      <c r="K747" s="5" t="n">
        <f aca="false">MONTH(INDEX('08_PEDIDOS'!$F$2:$F$97,MATCH(A747,'08_PEDIDOS'!$A$2:$A$97,0)))</f>
        <v>8</v>
      </c>
      <c r="L747" s="16" t="n">
        <f aca="false">J747*N(INDEX('04_MAQUINAS'!$F$2:$F$18,MATCH(E747,'04_MAQUINAS'!$A$2:$A$18,0)))</f>
        <v>162.864</v>
      </c>
      <c r="M747" s="17" t="n">
        <f aca="false">J747*INDEX('04_MAQUINAS'!$G$2:$G$18,MATCH(E747,'04_MAQUINAS'!$A$2:$A$18,0))*INDEX('04_MAQUINAS'!$H$2:$H$18,MATCH(E747,'04_MAQUINAS'!$A$2:$A$18,0))</f>
        <v>18.6615</v>
      </c>
      <c r="N747" s="2" t="s">
        <v>629</v>
      </c>
    </row>
    <row r="748" customFormat="false" ht="15" hidden="false" customHeight="false" outlineLevel="0" collapsed="false">
      <c r="A748" s="2" t="s">
        <v>587</v>
      </c>
      <c r="B748" s="2" t="s">
        <v>119</v>
      </c>
      <c r="C748" s="4" t="n">
        <v>2</v>
      </c>
      <c r="D748" s="2" t="s">
        <v>386</v>
      </c>
      <c r="E748" s="2" t="s">
        <v>383</v>
      </c>
      <c r="F748" s="5" t="n">
        <f aca="false">INDEX('08_PEDIDOS'!$D$2:$D$97,MATCH(A748,'08_PEDIDOS'!$A$2:$A$97,0))</f>
        <v>11</v>
      </c>
      <c r="G748" s="5" t="n">
        <f aca="false">INDEX('08_PEDIDOS'!$H$2:$H$97,MATCH(A748,'08_PEDIDOS'!$A$2:$A$97,0))</f>
        <v>10</v>
      </c>
      <c r="H748" s="17" t="n">
        <f aca="false">SUMIFS('05_RUTAS'!$F$2:$F$407,'05_RUTAS'!$A$2:$A$407,B748,'05_RUTAS'!$C$2:$C$407,C748)</f>
        <v>10</v>
      </c>
      <c r="I748" s="18" t="n">
        <f aca="false">SUMIFS('05_RUTAS'!$G$2:$G$407,'05_RUTAS'!$A$2:$A$407,B748,'05_RUTAS'!$C$2:$C$407,C748)</f>
        <v>5.8</v>
      </c>
      <c r="J748" s="18" t="n">
        <f aca="false">(ROUNDUP(F748/G748,0)*H748+F748*I748)/60</f>
        <v>1.39666666666667</v>
      </c>
      <c r="K748" s="5" t="n">
        <f aca="false">MONTH(INDEX('08_PEDIDOS'!$F$2:$F$97,MATCH(A748,'08_PEDIDOS'!$A$2:$A$97,0)))</f>
        <v>8</v>
      </c>
      <c r="L748" s="16" t="n">
        <f aca="false">J748*N(INDEX('04_MAQUINAS'!$F$2:$F$18,MATCH(E748,'04_MAQUINAS'!$A$2:$A$18,0)))</f>
        <v>30.7266666666667</v>
      </c>
      <c r="M748" s="17" t="n">
        <f aca="false">J748*INDEX('04_MAQUINAS'!$G$2:$G$18,MATCH(E748,'04_MAQUINAS'!$A$2:$A$18,0))*INDEX('04_MAQUINAS'!$H$2:$H$18,MATCH(E748,'04_MAQUINAS'!$A$2:$A$18,0))</f>
        <v>0.384083333333333</v>
      </c>
      <c r="N748" s="2" t="s">
        <v>629</v>
      </c>
    </row>
    <row r="749" customFormat="false" ht="15" hidden="false" customHeight="false" outlineLevel="0" collapsed="false">
      <c r="A749" s="2" t="s">
        <v>587</v>
      </c>
      <c r="B749" s="2" t="s">
        <v>119</v>
      </c>
      <c r="C749" s="4" t="n">
        <v>3</v>
      </c>
      <c r="D749" s="2" t="s">
        <v>390</v>
      </c>
      <c r="E749" s="2" t="s">
        <v>387</v>
      </c>
      <c r="F749" s="5" t="n">
        <f aca="false">INDEX('08_PEDIDOS'!$D$2:$D$97,MATCH(A749,'08_PEDIDOS'!$A$2:$A$97,0))</f>
        <v>11</v>
      </c>
      <c r="G749" s="5" t="n">
        <f aca="false">INDEX('08_PEDIDOS'!$H$2:$H$97,MATCH(A749,'08_PEDIDOS'!$A$2:$A$97,0))</f>
        <v>10</v>
      </c>
      <c r="H749" s="17" t="n">
        <f aca="false">SUMIFS('05_RUTAS'!$F$2:$F$407,'05_RUTAS'!$A$2:$A$407,B749,'05_RUTAS'!$C$2:$C$407,C749)</f>
        <v>12</v>
      </c>
      <c r="I749" s="18" t="n">
        <f aca="false">SUMIFS('05_RUTAS'!$G$2:$G$407,'05_RUTAS'!$A$2:$A$407,B749,'05_RUTAS'!$C$2:$C$407,C749)</f>
        <v>86</v>
      </c>
      <c r="J749" s="18" t="n">
        <f aca="false">(ROUNDUP(F749/G749,0)*H749+F749*I749)/60</f>
        <v>16.1666666666667</v>
      </c>
      <c r="K749" s="5" t="n">
        <f aca="false">MONTH(INDEX('08_PEDIDOS'!$F$2:$F$97,MATCH(A749,'08_PEDIDOS'!$A$2:$A$97,0)))</f>
        <v>8</v>
      </c>
      <c r="L749" s="16" t="n">
        <f aca="false">J749*N(INDEX('04_MAQUINAS'!$F$2:$F$18,MATCH(E749,'04_MAQUINAS'!$A$2:$A$18,0)))</f>
        <v>452.666666666667</v>
      </c>
      <c r="M749" s="17" t="n">
        <f aca="false">J749*INDEX('04_MAQUINAS'!$G$2:$G$18,MATCH(E749,'04_MAQUINAS'!$A$2:$A$18,0))*INDEX('04_MAQUINAS'!$H$2:$H$18,MATCH(E749,'04_MAQUINAS'!$A$2:$A$18,0))</f>
        <v>40.0125</v>
      </c>
      <c r="N749" s="2" t="s">
        <v>629</v>
      </c>
    </row>
    <row r="750" customFormat="false" ht="15" hidden="false" customHeight="false" outlineLevel="0" collapsed="false">
      <c r="A750" s="2" t="s">
        <v>587</v>
      </c>
      <c r="B750" s="2" t="s">
        <v>119</v>
      </c>
      <c r="C750" s="4" t="n">
        <v>4</v>
      </c>
      <c r="D750" s="2" t="s">
        <v>443</v>
      </c>
      <c r="E750" s="2" t="s">
        <v>395</v>
      </c>
      <c r="F750" s="5" t="n">
        <f aca="false">INDEX('08_PEDIDOS'!$D$2:$D$97,MATCH(A750,'08_PEDIDOS'!$A$2:$A$97,0))</f>
        <v>11</v>
      </c>
      <c r="G750" s="5" t="n">
        <f aca="false">INDEX('08_PEDIDOS'!$H$2:$H$97,MATCH(A750,'08_PEDIDOS'!$A$2:$A$97,0))</f>
        <v>10</v>
      </c>
      <c r="H750" s="17" t="n">
        <f aca="false">SUMIFS('05_RUTAS'!$F$2:$F$407,'05_RUTAS'!$A$2:$A$407,B750,'05_RUTAS'!$C$2:$C$407,C750)</f>
        <v>3</v>
      </c>
      <c r="I750" s="18" t="n">
        <f aca="false">SUMIFS('05_RUTAS'!$G$2:$G$407,'05_RUTAS'!$A$2:$A$407,B750,'05_RUTAS'!$C$2:$C$407,C750)</f>
        <v>15</v>
      </c>
      <c r="J750" s="18" t="n">
        <f aca="false">(ROUNDUP(F750/G750,0)*H750+F750*I750)/60</f>
        <v>2.85</v>
      </c>
      <c r="K750" s="5" t="n">
        <f aca="false">MONTH(INDEX('08_PEDIDOS'!$F$2:$F$97,MATCH(A750,'08_PEDIDOS'!$A$2:$A$97,0)))</f>
        <v>8</v>
      </c>
      <c r="L750" s="16" t="n">
        <f aca="false">J750*N(INDEX('04_MAQUINAS'!$F$2:$F$18,MATCH(E750,'04_MAQUINAS'!$A$2:$A$18,0)))</f>
        <v>59.85</v>
      </c>
      <c r="M750" s="17" t="n">
        <f aca="false">J750*INDEX('04_MAQUINAS'!$G$2:$G$18,MATCH(E750,'04_MAQUINAS'!$A$2:$A$18,0))*INDEX('04_MAQUINAS'!$H$2:$H$18,MATCH(E750,'04_MAQUINAS'!$A$2:$A$18,0))</f>
        <v>2.1375</v>
      </c>
      <c r="N750" s="2" t="s">
        <v>629</v>
      </c>
    </row>
    <row r="751" customFormat="false" ht="15" hidden="false" customHeight="false" outlineLevel="0" collapsed="false">
      <c r="A751" s="2" t="s">
        <v>587</v>
      </c>
      <c r="B751" s="2" t="s">
        <v>119</v>
      </c>
      <c r="C751" s="4" t="n">
        <v>5</v>
      </c>
      <c r="D751" s="2" t="s">
        <v>444</v>
      </c>
      <c r="E751" s="2" t="s">
        <v>399</v>
      </c>
      <c r="F751" s="5" t="n">
        <f aca="false">INDEX('08_PEDIDOS'!$D$2:$D$97,MATCH(A751,'08_PEDIDOS'!$A$2:$A$97,0))</f>
        <v>11</v>
      </c>
      <c r="G751" s="5" t="n">
        <f aca="false">INDEX('08_PEDIDOS'!$H$2:$H$97,MATCH(A751,'08_PEDIDOS'!$A$2:$A$97,0))</f>
        <v>10</v>
      </c>
      <c r="H751" s="17" t="n">
        <f aca="false">SUMIFS('05_RUTAS'!$F$2:$F$407,'05_RUTAS'!$A$2:$A$407,B751,'05_RUTAS'!$C$2:$C$407,C751)</f>
        <v>6</v>
      </c>
      <c r="I751" s="18" t="n">
        <f aca="false">SUMIFS('05_RUTAS'!$G$2:$G$407,'05_RUTAS'!$A$2:$A$407,B751,'05_RUTAS'!$C$2:$C$407,C751)</f>
        <v>25.712</v>
      </c>
      <c r="J751" s="18" t="n">
        <f aca="false">(ROUNDUP(F751/G751,0)*H751+F751*I751)/60</f>
        <v>4.91386666666667</v>
      </c>
      <c r="K751" s="5" t="n">
        <f aca="false">MONTH(INDEX('08_PEDIDOS'!$F$2:$F$97,MATCH(A751,'08_PEDIDOS'!$A$2:$A$97,0)))</f>
        <v>8</v>
      </c>
      <c r="L751" s="16" t="n">
        <f aca="false">J751*N(INDEX('04_MAQUINAS'!$F$2:$F$18,MATCH(E751,'04_MAQUINAS'!$A$2:$A$18,0)))</f>
        <v>93.3634666666667</v>
      </c>
      <c r="M751" s="17" t="n">
        <f aca="false">J751*INDEX('04_MAQUINAS'!$G$2:$G$18,MATCH(E751,'04_MAQUINAS'!$A$2:$A$18,0))*INDEX('04_MAQUINAS'!$H$2:$H$18,MATCH(E751,'04_MAQUINAS'!$A$2:$A$18,0))</f>
        <v>4.32420266666667</v>
      </c>
      <c r="N751" s="2" t="s">
        <v>629</v>
      </c>
    </row>
    <row r="752" customFormat="false" ht="15" hidden="false" customHeight="false" outlineLevel="0" collapsed="false">
      <c r="A752" s="2" t="s">
        <v>587</v>
      </c>
      <c r="B752" s="2" t="s">
        <v>119</v>
      </c>
      <c r="C752" s="4" t="n">
        <v>6</v>
      </c>
      <c r="D752" s="2" t="s">
        <v>445</v>
      </c>
      <c r="E752" s="2" t="s">
        <v>402</v>
      </c>
      <c r="F752" s="5" t="n">
        <f aca="false">INDEX('08_PEDIDOS'!$D$2:$D$97,MATCH(A752,'08_PEDIDOS'!$A$2:$A$97,0))</f>
        <v>11</v>
      </c>
      <c r="G752" s="5" t="n">
        <f aca="false">INDEX('08_PEDIDOS'!$H$2:$H$97,MATCH(A752,'08_PEDIDOS'!$A$2:$A$97,0))</f>
        <v>10</v>
      </c>
      <c r="H752" s="17" t="n">
        <f aca="false">SUMIFS('05_RUTAS'!$F$2:$F$407,'05_RUTAS'!$A$2:$A$407,B752,'05_RUTAS'!$C$2:$C$407,C752)</f>
        <v>12</v>
      </c>
      <c r="I752" s="18" t="n">
        <f aca="false">SUMIFS('05_RUTAS'!$G$2:$G$407,'05_RUTAS'!$A$2:$A$407,B752,'05_RUTAS'!$C$2:$C$407,C752)</f>
        <v>6.58</v>
      </c>
      <c r="J752" s="18" t="n">
        <f aca="false">(ROUNDUP(F752/G752,0)*H752+F752*I752)/60</f>
        <v>1.60633333333333</v>
      </c>
      <c r="K752" s="5" t="n">
        <f aca="false">MONTH(INDEX('08_PEDIDOS'!$F$2:$F$97,MATCH(A752,'08_PEDIDOS'!$A$2:$A$97,0)))</f>
        <v>8</v>
      </c>
      <c r="L752" s="16" t="n">
        <f aca="false">J752*N(INDEX('04_MAQUINAS'!$F$2:$F$18,MATCH(E752,'04_MAQUINAS'!$A$2:$A$18,0)))</f>
        <v>51.4026666666667</v>
      </c>
      <c r="M752" s="17" t="n">
        <f aca="false">J752*INDEX('04_MAQUINAS'!$G$2:$G$18,MATCH(E752,'04_MAQUINAS'!$A$2:$A$18,0))*INDEX('04_MAQUINAS'!$H$2:$H$18,MATCH(E752,'04_MAQUINAS'!$A$2:$A$18,0))</f>
        <v>1.68665</v>
      </c>
      <c r="N752" s="2" t="s">
        <v>629</v>
      </c>
    </row>
    <row r="753" customFormat="false" ht="15" hidden="false" customHeight="false" outlineLevel="0" collapsed="false">
      <c r="A753" s="2" t="s">
        <v>587</v>
      </c>
      <c r="B753" s="2" t="s">
        <v>119</v>
      </c>
      <c r="C753" s="4" t="n">
        <v>7</v>
      </c>
      <c r="D753" s="2" t="s">
        <v>447</v>
      </c>
      <c r="E753" s="2" t="s">
        <v>421</v>
      </c>
      <c r="F753" s="5" t="n">
        <f aca="false">INDEX('08_PEDIDOS'!$D$2:$D$97,MATCH(A753,'08_PEDIDOS'!$A$2:$A$97,0))</f>
        <v>11</v>
      </c>
      <c r="G753" s="5" t="n">
        <f aca="false">INDEX('08_PEDIDOS'!$H$2:$H$97,MATCH(A753,'08_PEDIDOS'!$A$2:$A$97,0))</f>
        <v>10</v>
      </c>
      <c r="H753" s="17" t="n">
        <f aca="false">SUMIFS('05_RUTAS'!$F$2:$F$407,'05_RUTAS'!$A$2:$A$407,B753,'05_RUTAS'!$C$2:$C$407,C753)</f>
        <v>45</v>
      </c>
      <c r="I753" s="18" t="n">
        <f aca="false">SUMIFS('05_RUTAS'!$G$2:$G$407,'05_RUTAS'!$A$2:$A$407,B753,'05_RUTAS'!$C$2:$C$407,C753)</f>
        <v>0</v>
      </c>
      <c r="J753" s="18" t="n">
        <f aca="false">(ROUNDUP(F753/G753,0)*H753+F753*I753)/60</f>
        <v>1.5</v>
      </c>
      <c r="K753" s="5" t="n">
        <f aca="false">MONTH(INDEX('08_PEDIDOS'!$F$2:$F$97,MATCH(A753,'08_PEDIDOS'!$A$2:$A$97,0)))</f>
        <v>8</v>
      </c>
      <c r="L753" s="16" t="n">
        <f aca="false">J753*N(INDEX('04_MAQUINAS'!$F$2:$F$18,MATCH(E753,'04_MAQUINAS'!$A$2:$A$18,0)))</f>
        <v>39</v>
      </c>
      <c r="M753" s="17" t="n">
        <f aca="false">J753*INDEX('04_MAQUINAS'!$G$2:$G$18,MATCH(E753,'04_MAQUINAS'!$A$2:$A$18,0))*INDEX('04_MAQUINAS'!$H$2:$H$18,MATCH(E753,'04_MAQUINAS'!$A$2:$A$18,0))</f>
        <v>21.6</v>
      </c>
      <c r="N753" s="2" t="s">
        <v>629</v>
      </c>
    </row>
    <row r="754" customFormat="false" ht="15" hidden="false" customHeight="false" outlineLevel="0" collapsed="false">
      <c r="A754" s="2" t="s">
        <v>587</v>
      </c>
      <c r="B754" s="2" t="s">
        <v>119</v>
      </c>
      <c r="C754" s="4" t="n">
        <v>8</v>
      </c>
      <c r="D754" s="2" t="s">
        <v>449</v>
      </c>
      <c r="E754" s="2" t="s">
        <v>423</v>
      </c>
      <c r="F754" s="5" t="n">
        <f aca="false">INDEX('08_PEDIDOS'!$D$2:$D$97,MATCH(A754,'08_PEDIDOS'!$A$2:$A$97,0))</f>
        <v>11</v>
      </c>
      <c r="G754" s="5" t="n">
        <f aca="false">INDEX('08_PEDIDOS'!$H$2:$H$97,MATCH(A754,'08_PEDIDOS'!$A$2:$A$97,0))</f>
        <v>10</v>
      </c>
      <c r="H754" s="17" t="n">
        <f aca="false">SUMIFS('05_RUTAS'!$F$2:$F$407,'05_RUTAS'!$A$2:$A$407,B754,'05_RUTAS'!$C$2:$C$407,C754)</f>
        <v>8</v>
      </c>
      <c r="I754" s="18" t="n">
        <f aca="false">SUMIFS('05_RUTAS'!$G$2:$G$407,'05_RUTAS'!$A$2:$A$407,B754,'05_RUTAS'!$C$2:$C$407,C754)</f>
        <v>2.36</v>
      </c>
      <c r="J754" s="18" t="n">
        <f aca="false">(ROUNDUP(F754/G754,0)*H754+F754*I754)/60</f>
        <v>0.699333333333333</v>
      </c>
      <c r="K754" s="5" t="n">
        <f aca="false">MONTH(INDEX('08_PEDIDOS'!$F$2:$F$97,MATCH(A754,'08_PEDIDOS'!$A$2:$A$97,0)))</f>
        <v>8</v>
      </c>
      <c r="L754" s="16" t="n">
        <f aca="false">J754*N(INDEX('04_MAQUINAS'!$F$2:$F$18,MATCH(E754,'04_MAQUINAS'!$A$2:$A$18,0)))</f>
        <v>11.1893333333333</v>
      </c>
      <c r="M754" s="17" t="n">
        <f aca="false">J754*INDEX('04_MAQUINAS'!$G$2:$G$18,MATCH(E754,'04_MAQUINAS'!$A$2:$A$18,0))*INDEX('04_MAQUINAS'!$H$2:$H$18,MATCH(E754,'04_MAQUINAS'!$A$2:$A$18,0))</f>
        <v>0.174833333333333</v>
      </c>
      <c r="N754" s="2" t="s">
        <v>629</v>
      </c>
    </row>
    <row r="755" customFormat="false" ht="15" hidden="false" customHeight="false" outlineLevel="0" collapsed="false">
      <c r="A755" s="2" t="s">
        <v>587</v>
      </c>
      <c r="B755" s="2" t="s">
        <v>119</v>
      </c>
      <c r="C755" s="4" t="n">
        <v>9</v>
      </c>
      <c r="D755" s="2" t="s">
        <v>450</v>
      </c>
      <c r="E755" s="2" t="s">
        <v>406</v>
      </c>
      <c r="F755" s="5" t="n">
        <f aca="false">INDEX('08_PEDIDOS'!$D$2:$D$97,MATCH(A755,'08_PEDIDOS'!$A$2:$A$97,0))</f>
        <v>11</v>
      </c>
      <c r="G755" s="5" t="n">
        <f aca="false">INDEX('08_PEDIDOS'!$H$2:$H$97,MATCH(A755,'08_PEDIDOS'!$A$2:$A$97,0))</f>
        <v>10</v>
      </c>
      <c r="H755" s="17" t="n">
        <f aca="false">SUMIFS('05_RUTAS'!$F$2:$F$407,'05_RUTAS'!$A$2:$A$407,B755,'05_RUTAS'!$C$2:$C$407,C755)</f>
        <v>6</v>
      </c>
      <c r="I755" s="18" t="n">
        <f aca="false">SUMIFS('05_RUTAS'!$G$2:$G$407,'05_RUTAS'!$A$2:$A$407,B755,'05_RUTAS'!$C$2:$C$407,C755)</f>
        <v>27</v>
      </c>
      <c r="J755" s="18" t="n">
        <f aca="false">(ROUNDUP(F755/G755,0)*H755+F755*I755)/60</f>
        <v>5.15</v>
      </c>
      <c r="K755" s="5" t="n">
        <f aca="false">MONTH(INDEX('08_PEDIDOS'!$F$2:$F$97,MATCH(A755,'08_PEDIDOS'!$A$2:$A$97,0)))</f>
        <v>8</v>
      </c>
      <c r="L755" s="16" t="n">
        <f aca="false">J755*N(INDEX('04_MAQUINAS'!$F$2:$F$18,MATCH(E755,'04_MAQUINAS'!$A$2:$A$18,0)))</f>
        <v>97.85</v>
      </c>
      <c r="M755" s="17" t="n">
        <f aca="false">J755*INDEX('04_MAQUINAS'!$G$2:$G$18,MATCH(E755,'04_MAQUINAS'!$A$2:$A$18,0))*INDEX('04_MAQUINAS'!$H$2:$H$18,MATCH(E755,'04_MAQUINAS'!$A$2:$A$18,0))</f>
        <v>1.545</v>
      </c>
      <c r="N755" s="2" t="s">
        <v>629</v>
      </c>
    </row>
    <row r="756" customFormat="false" ht="15" hidden="false" customHeight="false" outlineLevel="0" collapsed="false">
      <c r="A756" s="2" t="s">
        <v>587</v>
      </c>
      <c r="B756" s="2" t="s">
        <v>119</v>
      </c>
      <c r="C756" s="4" t="n">
        <v>10</v>
      </c>
      <c r="D756" s="2" t="s">
        <v>451</v>
      </c>
      <c r="E756" s="2" t="s">
        <v>408</v>
      </c>
      <c r="F756" s="5" t="n">
        <f aca="false">INDEX('08_PEDIDOS'!$D$2:$D$97,MATCH(A756,'08_PEDIDOS'!$A$2:$A$97,0))</f>
        <v>11</v>
      </c>
      <c r="G756" s="5" t="n">
        <f aca="false">INDEX('08_PEDIDOS'!$H$2:$H$97,MATCH(A756,'08_PEDIDOS'!$A$2:$A$97,0))</f>
        <v>10</v>
      </c>
      <c r="H756" s="17" t="n">
        <f aca="false">SUMIFS('05_RUTAS'!$F$2:$F$407,'05_RUTAS'!$A$2:$A$407,B756,'05_RUTAS'!$C$2:$C$407,C756)</f>
        <v>2</v>
      </c>
      <c r="I756" s="18" t="n">
        <f aca="false">SUMIFS('05_RUTAS'!$G$2:$G$407,'05_RUTAS'!$A$2:$A$407,B756,'05_RUTAS'!$C$2:$C$407,C756)</f>
        <v>3.45</v>
      </c>
      <c r="J756" s="18" t="n">
        <f aca="false">(ROUNDUP(F756/G756,0)*H756+F756*I756)/60</f>
        <v>0.699166666666667</v>
      </c>
      <c r="K756" s="5" t="n">
        <f aca="false">MONTH(INDEX('08_PEDIDOS'!$F$2:$F$97,MATCH(A756,'08_PEDIDOS'!$A$2:$A$97,0)))</f>
        <v>8</v>
      </c>
      <c r="L756" s="16" t="n">
        <f aca="false">J756*N(INDEX('04_MAQUINAS'!$F$2:$F$18,MATCH(E756,'04_MAQUINAS'!$A$2:$A$18,0)))</f>
        <v>13.9833333333333</v>
      </c>
      <c r="M756" s="17" t="n">
        <f aca="false">J756*INDEX('04_MAQUINAS'!$G$2:$G$18,MATCH(E756,'04_MAQUINAS'!$A$2:$A$18,0))*INDEX('04_MAQUINAS'!$H$2:$H$18,MATCH(E756,'04_MAQUINAS'!$A$2:$A$18,0))</f>
        <v>0.0699166666666667</v>
      </c>
      <c r="N756" s="2" t="s">
        <v>629</v>
      </c>
    </row>
    <row r="757" customFormat="false" ht="15" hidden="false" customHeight="false" outlineLevel="0" collapsed="false">
      <c r="A757" s="2" t="s">
        <v>587</v>
      </c>
      <c r="B757" s="2" t="s">
        <v>119</v>
      </c>
      <c r="C757" s="4" t="n">
        <v>11</v>
      </c>
      <c r="D757" s="2" t="s">
        <v>452</v>
      </c>
      <c r="E757" s="2" t="s">
        <v>411</v>
      </c>
      <c r="F757" s="5" t="n">
        <f aca="false">INDEX('08_PEDIDOS'!$D$2:$D$97,MATCH(A757,'08_PEDIDOS'!$A$2:$A$97,0))</f>
        <v>11</v>
      </c>
      <c r="G757" s="5" t="n">
        <f aca="false">INDEX('08_PEDIDOS'!$H$2:$H$97,MATCH(A757,'08_PEDIDOS'!$A$2:$A$97,0))</f>
        <v>10</v>
      </c>
      <c r="H757" s="17" t="n">
        <f aca="false">SUMIFS('05_RUTAS'!$F$2:$F$407,'05_RUTAS'!$A$2:$A$407,B757,'05_RUTAS'!$C$2:$C$407,C757)</f>
        <v>2</v>
      </c>
      <c r="I757" s="18" t="n">
        <f aca="false">SUMIFS('05_RUTAS'!$G$2:$G$407,'05_RUTAS'!$A$2:$A$407,B757,'05_RUTAS'!$C$2:$C$407,C757)</f>
        <v>4.67</v>
      </c>
      <c r="J757" s="18" t="n">
        <f aca="false">(ROUNDUP(F757/G757,0)*H757+F757*I757)/60</f>
        <v>0.922833333333333</v>
      </c>
      <c r="K757" s="5" t="n">
        <f aca="false">MONTH(INDEX('08_PEDIDOS'!$F$2:$F$97,MATCH(A757,'08_PEDIDOS'!$A$2:$A$97,0)))</f>
        <v>8</v>
      </c>
      <c r="L757" s="16" t="n">
        <f aca="false">J757*N(INDEX('04_MAQUINAS'!$F$2:$F$18,MATCH(E757,'04_MAQUINAS'!$A$2:$A$18,0)))</f>
        <v>16.611</v>
      </c>
      <c r="M757" s="17" t="n">
        <f aca="false">J757*INDEX('04_MAQUINAS'!$G$2:$G$18,MATCH(E757,'04_MAQUINAS'!$A$2:$A$18,0))*INDEX('04_MAQUINAS'!$H$2:$H$18,MATCH(E757,'04_MAQUINAS'!$A$2:$A$18,0))</f>
        <v>0.083055</v>
      </c>
      <c r="N757" s="2" t="s">
        <v>629</v>
      </c>
    </row>
    <row r="758" customFormat="false" ht="15" hidden="false" customHeight="false" outlineLevel="0" collapsed="false">
      <c r="A758" s="2" t="s">
        <v>588</v>
      </c>
      <c r="B758" s="2" t="s">
        <v>121</v>
      </c>
      <c r="C758" s="4" t="n">
        <v>1</v>
      </c>
      <c r="D758" s="2" t="s">
        <v>437</v>
      </c>
      <c r="E758" s="2" t="s">
        <v>375</v>
      </c>
      <c r="F758" s="5" t="n">
        <f aca="false">INDEX('08_PEDIDOS'!$D$2:$D$97,MATCH(A758,'08_PEDIDOS'!$A$2:$A$97,0))</f>
        <v>12</v>
      </c>
      <c r="G758" s="5" t="n">
        <f aca="false">INDEX('08_PEDIDOS'!$H$2:$H$97,MATCH(A758,'08_PEDIDOS'!$A$2:$A$97,0))</f>
        <v>10</v>
      </c>
      <c r="H758" s="17" t="n">
        <f aca="false">SUMIFS('05_RUTAS'!$F$2:$F$407,'05_RUTAS'!$A$2:$A$407,B758,'05_RUTAS'!$C$2:$C$407,C758)</f>
        <v>8</v>
      </c>
      <c r="I758" s="18" t="n">
        <f aca="false">SUMIFS('05_RUTAS'!$G$2:$G$407,'05_RUTAS'!$A$2:$A$407,B758,'05_RUTAS'!$C$2:$C$407,C758)</f>
        <v>35.92</v>
      </c>
      <c r="J758" s="18" t="n">
        <f aca="false">(ROUNDUP(F758/G758,0)*H758+F758*I758)/60</f>
        <v>7.45066666666667</v>
      </c>
      <c r="K758" s="5" t="n">
        <f aca="false">MONTH(INDEX('08_PEDIDOS'!$F$2:$F$97,MATCH(A758,'08_PEDIDOS'!$A$2:$A$97,0)))</f>
        <v>8</v>
      </c>
      <c r="L758" s="16" t="n">
        <f aca="false">J758*N(INDEX('04_MAQUINAS'!$F$2:$F$18,MATCH(E758,'04_MAQUINAS'!$A$2:$A$18,0)))</f>
        <v>178.816</v>
      </c>
      <c r="M758" s="17" t="n">
        <f aca="false">J758*INDEX('04_MAQUINAS'!$G$2:$G$18,MATCH(E758,'04_MAQUINAS'!$A$2:$A$18,0))*INDEX('04_MAQUINAS'!$H$2:$H$18,MATCH(E758,'04_MAQUINAS'!$A$2:$A$18,0))</f>
        <v>20.4893333333333</v>
      </c>
      <c r="N758" s="2" t="s">
        <v>629</v>
      </c>
    </row>
    <row r="759" customFormat="false" ht="15" hidden="false" customHeight="false" outlineLevel="0" collapsed="false">
      <c r="A759" s="2" t="s">
        <v>588</v>
      </c>
      <c r="B759" s="2" t="s">
        <v>121</v>
      </c>
      <c r="C759" s="4" t="n">
        <v>2</v>
      </c>
      <c r="D759" s="2" t="s">
        <v>441</v>
      </c>
      <c r="E759" s="2" t="s">
        <v>380</v>
      </c>
      <c r="F759" s="5" t="n">
        <f aca="false">INDEX('08_PEDIDOS'!$D$2:$D$97,MATCH(A759,'08_PEDIDOS'!$A$2:$A$97,0))</f>
        <v>12</v>
      </c>
      <c r="G759" s="5" t="n">
        <f aca="false">INDEX('08_PEDIDOS'!$H$2:$H$97,MATCH(A759,'08_PEDIDOS'!$A$2:$A$97,0))</f>
        <v>10</v>
      </c>
      <c r="H759" s="17" t="n">
        <f aca="false">SUMIFS('05_RUTAS'!$F$2:$F$407,'05_RUTAS'!$A$2:$A$407,B759,'05_RUTAS'!$C$2:$C$407,C759)</f>
        <v>8</v>
      </c>
      <c r="I759" s="18" t="n">
        <f aca="false">SUMIFS('05_RUTAS'!$G$2:$G$407,'05_RUTAS'!$A$2:$A$407,B759,'05_RUTAS'!$C$2:$C$407,C759)</f>
        <v>32.28</v>
      </c>
      <c r="J759" s="18" t="n">
        <f aca="false">(ROUNDUP(F759/G759,0)*H759+F759*I759)/60</f>
        <v>6.72266666666667</v>
      </c>
      <c r="K759" s="5" t="n">
        <f aca="false">MONTH(INDEX('08_PEDIDOS'!$F$2:$F$97,MATCH(A759,'08_PEDIDOS'!$A$2:$A$97,0)))</f>
        <v>8</v>
      </c>
      <c r="L759" s="16" t="n">
        <f aca="false">J759*N(INDEX('04_MAQUINAS'!$F$2:$F$18,MATCH(E759,'04_MAQUINAS'!$A$2:$A$18,0)))</f>
        <v>147.898666666667</v>
      </c>
      <c r="M759" s="17" t="n">
        <f aca="false">J759*INDEX('04_MAQUINAS'!$G$2:$G$18,MATCH(E759,'04_MAQUINAS'!$A$2:$A$18,0))*INDEX('04_MAQUINAS'!$H$2:$H$18,MATCH(E759,'04_MAQUINAS'!$A$2:$A$18,0))</f>
        <v>3.0252</v>
      </c>
      <c r="N759" s="2" t="s">
        <v>629</v>
      </c>
    </row>
    <row r="760" customFormat="false" ht="15" hidden="false" customHeight="false" outlineLevel="0" collapsed="false">
      <c r="A760" s="2" t="s">
        <v>588</v>
      </c>
      <c r="B760" s="2" t="s">
        <v>121</v>
      </c>
      <c r="C760" s="4" t="n">
        <v>3</v>
      </c>
      <c r="D760" s="2" t="s">
        <v>386</v>
      </c>
      <c r="E760" s="2" t="s">
        <v>383</v>
      </c>
      <c r="F760" s="5" t="n">
        <f aca="false">INDEX('08_PEDIDOS'!$D$2:$D$97,MATCH(A760,'08_PEDIDOS'!$A$2:$A$97,0))</f>
        <v>12</v>
      </c>
      <c r="G760" s="5" t="n">
        <f aca="false">INDEX('08_PEDIDOS'!$H$2:$H$97,MATCH(A760,'08_PEDIDOS'!$A$2:$A$97,0))</f>
        <v>10</v>
      </c>
      <c r="H760" s="17" t="n">
        <f aca="false">SUMIFS('05_RUTAS'!$F$2:$F$407,'05_RUTAS'!$A$2:$A$407,B760,'05_RUTAS'!$C$2:$C$407,C760)</f>
        <v>10</v>
      </c>
      <c r="I760" s="18" t="n">
        <f aca="false">SUMIFS('05_RUTAS'!$G$2:$G$407,'05_RUTAS'!$A$2:$A$407,B760,'05_RUTAS'!$C$2:$C$407,C760)</f>
        <v>54.8</v>
      </c>
      <c r="J760" s="18" t="n">
        <f aca="false">(ROUNDUP(F760/G760,0)*H760+F760*I760)/60</f>
        <v>11.2933333333333</v>
      </c>
      <c r="K760" s="5" t="n">
        <f aca="false">MONTH(INDEX('08_PEDIDOS'!$F$2:$F$97,MATCH(A760,'08_PEDIDOS'!$A$2:$A$97,0)))</f>
        <v>8</v>
      </c>
      <c r="L760" s="16" t="n">
        <f aca="false">J760*N(INDEX('04_MAQUINAS'!$F$2:$F$18,MATCH(E760,'04_MAQUINAS'!$A$2:$A$18,0)))</f>
        <v>248.453333333333</v>
      </c>
      <c r="M760" s="17" t="n">
        <f aca="false">J760*INDEX('04_MAQUINAS'!$G$2:$G$18,MATCH(E760,'04_MAQUINAS'!$A$2:$A$18,0))*INDEX('04_MAQUINAS'!$H$2:$H$18,MATCH(E760,'04_MAQUINAS'!$A$2:$A$18,0))</f>
        <v>3.10566666666667</v>
      </c>
      <c r="N760" s="2" t="s">
        <v>629</v>
      </c>
    </row>
    <row r="761" customFormat="false" ht="15" hidden="false" customHeight="false" outlineLevel="0" collapsed="false">
      <c r="A761" s="2" t="s">
        <v>588</v>
      </c>
      <c r="B761" s="2" t="s">
        <v>121</v>
      </c>
      <c r="C761" s="4" t="n">
        <v>4</v>
      </c>
      <c r="D761" s="2" t="s">
        <v>390</v>
      </c>
      <c r="E761" s="2" t="s">
        <v>387</v>
      </c>
      <c r="F761" s="5" t="n">
        <f aca="false">INDEX('08_PEDIDOS'!$D$2:$D$97,MATCH(A761,'08_PEDIDOS'!$A$2:$A$97,0))</f>
        <v>12</v>
      </c>
      <c r="G761" s="5" t="n">
        <f aca="false">INDEX('08_PEDIDOS'!$H$2:$H$97,MATCH(A761,'08_PEDIDOS'!$A$2:$A$97,0))</f>
        <v>10</v>
      </c>
      <c r="H761" s="17" t="n">
        <f aca="false">SUMIFS('05_RUTAS'!$F$2:$F$407,'05_RUTAS'!$A$2:$A$407,B761,'05_RUTAS'!$C$2:$C$407,C761)</f>
        <v>12</v>
      </c>
      <c r="I761" s="18" t="n">
        <f aca="false">SUMIFS('05_RUTAS'!$G$2:$G$407,'05_RUTAS'!$A$2:$A$407,B761,'05_RUTAS'!$C$2:$C$407,C761)</f>
        <v>85</v>
      </c>
      <c r="J761" s="18" t="n">
        <f aca="false">(ROUNDUP(F761/G761,0)*H761+F761*I761)/60</f>
        <v>17.4</v>
      </c>
      <c r="K761" s="5" t="n">
        <f aca="false">MONTH(INDEX('08_PEDIDOS'!$F$2:$F$97,MATCH(A761,'08_PEDIDOS'!$A$2:$A$97,0)))</f>
        <v>8</v>
      </c>
      <c r="L761" s="16" t="n">
        <f aca="false">J761*N(INDEX('04_MAQUINAS'!$F$2:$F$18,MATCH(E761,'04_MAQUINAS'!$A$2:$A$18,0)))</f>
        <v>487.2</v>
      </c>
      <c r="M761" s="17" t="n">
        <f aca="false">J761*INDEX('04_MAQUINAS'!$G$2:$G$18,MATCH(E761,'04_MAQUINAS'!$A$2:$A$18,0))*INDEX('04_MAQUINAS'!$H$2:$H$18,MATCH(E761,'04_MAQUINAS'!$A$2:$A$18,0))</f>
        <v>43.065</v>
      </c>
      <c r="N761" s="2" t="s">
        <v>629</v>
      </c>
    </row>
    <row r="762" customFormat="false" ht="15" hidden="false" customHeight="false" outlineLevel="0" collapsed="false">
      <c r="A762" s="2" t="s">
        <v>588</v>
      </c>
      <c r="B762" s="2" t="s">
        <v>121</v>
      </c>
      <c r="C762" s="4" t="n">
        <v>5</v>
      </c>
      <c r="D762" s="2" t="s">
        <v>443</v>
      </c>
      <c r="E762" s="2" t="s">
        <v>395</v>
      </c>
      <c r="F762" s="5" t="n">
        <f aca="false">INDEX('08_PEDIDOS'!$D$2:$D$97,MATCH(A762,'08_PEDIDOS'!$A$2:$A$97,0))</f>
        <v>12</v>
      </c>
      <c r="G762" s="5" t="n">
        <f aca="false">INDEX('08_PEDIDOS'!$H$2:$H$97,MATCH(A762,'08_PEDIDOS'!$A$2:$A$97,0))</f>
        <v>10</v>
      </c>
      <c r="H762" s="17" t="n">
        <f aca="false">SUMIFS('05_RUTAS'!$F$2:$F$407,'05_RUTAS'!$A$2:$A$407,B762,'05_RUTAS'!$C$2:$C$407,C762)</f>
        <v>3</v>
      </c>
      <c r="I762" s="18" t="n">
        <f aca="false">SUMIFS('05_RUTAS'!$G$2:$G$407,'05_RUTAS'!$A$2:$A$407,B762,'05_RUTAS'!$C$2:$C$407,C762)</f>
        <v>37.5</v>
      </c>
      <c r="J762" s="18" t="n">
        <f aca="false">(ROUNDUP(F762/G762,0)*H762+F762*I762)/60</f>
        <v>7.6</v>
      </c>
      <c r="K762" s="5" t="n">
        <f aca="false">MONTH(INDEX('08_PEDIDOS'!$F$2:$F$97,MATCH(A762,'08_PEDIDOS'!$A$2:$A$97,0)))</f>
        <v>8</v>
      </c>
      <c r="L762" s="16" t="n">
        <f aca="false">J762*N(INDEX('04_MAQUINAS'!$F$2:$F$18,MATCH(E762,'04_MAQUINAS'!$A$2:$A$18,0)))</f>
        <v>159.6</v>
      </c>
      <c r="M762" s="17" t="n">
        <f aca="false">J762*INDEX('04_MAQUINAS'!$G$2:$G$18,MATCH(E762,'04_MAQUINAS'!$A$2:$A$18,0))*INDEX('04_MAQUINAS'!$H$2:$H$18,MATCH(E762,'04_MAQUINAS'!$A$2:$A$18,0))</f>
        <v>5.7</v>
      </c>
      <c r="N762" s="2" t="s">
        <v>629</v>
      </c>
    </row>
    <row r="763" customFormat="false" ht="15" hidden="false" customHeight="false" outlineLevel="0" collapsed="false">
      <c r="A763" s="2" t="s">
        <v>588</v>
      </c>
      <c r="B763" s="2" t="s">
        <v>121</v>
      </c>
      <c r="C763" s="4" t="n">
        <v>6</v>
      </c>
      <c r="D763" s="2" t="s">
        <v>444</v>
      </c>
      <c r="E763" s="2" t="s">
        <v>399</v>
      </c>
      <c r="F763" s="5" t="n">
        <f aca="false">INDEX('08_PEDIDOS'!$D$2:$D$97,MATCH(A763,'08_PEDIDOS'!$A$2:$A$97,0))</f>
        <v>12</v>
      </c>
      <c r="G763" s="5" t="n">
        <f aca="false">INDEX('08_PEDIDOS'!$H$2:$H$97,MATCH(A763,'08_PEDIDOS'!$A$2:$A$97,0))</f>
        <v>10</v>
      </c>
      <c r="H763" s="17" t="n">
        <f aca="false">SUMIFS('05_RUTAS'!$F$2:$F$407,'05_RUTAS'!$A$2:$A$407,B763,'05_RUTAS'!$C$2:$C$407,C763)</f>
        <v>6</v>
      </c>
      <c r="I763" s="18" t="n">
        <f aca="false">SUMIFS('05_RUTAS'!$G$2:$G$407,'05_RUTAS'!$A$2:$A$407,B763,'05_RUTAS'!$C$2:$C$407,C763)</f>
        <v>24.4752</v>
      </c>
      <c r="J763" s="18" t="n">
        <f aca="false">(ROUNDUP(F763/G763,0)*H763+F763*I763)/60</f>
        <v>5.09504</v>
      </c>
      <c r="K763" s="5" t="n">
        <f aca="false">MONTH(INDEX('08_PEDIDOS'!$F$2:$F$97,MATCH(A763,'08_PEDIDOS'!$A$2:$A$97,0)))</f>
        <v>8</v>
      </c>
      <c r="L763" s="16" t="n">
        <f aca="false">J763*N(INDEX('04_MAQUINAS'!$F$2:$F$18,MATCH(E763,'04_MAQUINAS'!$A$2:$A$18,0)))</f>
        <v>96.80576</v>
      </c>
      <c r="M763" s="17" t="n">
        <f aca="false">J763*INDEX('04_MAQUINAS'!$G$2:$G$18,MATCH(E763,'04_MAQUINAS'!$A$2:$A$18,0))*INDEX('04_MAQUINAS'!$H$2:$H$18,MATCH(E763,'04_MAQUINAS'!$A$2:$A$18,0))</f>
        <v>4.4836352</v>
      </c>
      <c r="N763" s="2" t="s">
        <v>629</v>
      </c>
    </row>
    <row r="764" customFormat="false" ht="15" hidden="false" customHeight="false" outlineLevel="0" collapsed="false">
      <c r="A764" s="2" t="s">
        <v>588</v>
      </c>
      <c r="B764" s="2" t="s">
        <v>121</v>
      </c>
      <c r="C764" s="4" t="n">
        <v>7</v>
      </c>
      <c r="D764" s="2" t="s">
        <v>445</v>
      </c>
      <c r="E764" s="2" t="s">
        <v>402</v>
      </c>
      <c r="F764" s="5" t="n">
        <f aca="false">INDEX('08_PEDIDOS'!$D$2:$D$97,MATCH(A764,'08_PEDIDOS'!$A$2:$A$97,0))</f>
        <v>12</v>
      </c>
      <c r="G764" s="5" t="n">
        <f aca="false">INDEX('08_PEDIDOS'!$H$2:$H$97,MATCH(A764,'08_PEDIDOS'!$A$2:$A$97,0))</f>
        <v>10</v>
      </c>
      <c r="H764" s="17" t="n">
        <f aca="false">SUMIFS('05_RUTAS'!$F$2:$F$407,'05_RUTAS'!$A$2:$A$407,B764,'05_RUTAS'!$C$2:$C$407,C764)</f>
        <v>12</v>
      </c>
      <c r="I764" s="18" t="n">
        <f aca="false">SUMIFS('05_RUTAS'!$G$2:$G$407,'05_RUTAS'!$A$2:$A$407,B764,'05_RUTAS'!$C$2:$C$407,C764)</f>
        <v>6.58</v>
      </c>
      <c r="J764" s="18" t="n">
        <f aca="false">(ROUNDUP(F764/G764,0)*H764+F764*I764)/60</f>
        <v>1.716</v>
      </c>
      <c r="K764" s="5" t="n">
        <f aca="false">MONTH(INDEX('08_PEDIDOS'!$F$2:$F$97,MATCH(A764,'08_PEDIDOS'!$A$2:$A$97,0)))</f>
        <v>8</v>
      </c>
      <c r="L764" s="16" t="n">
        <f aca="false">J764*N(INDEX('04_MAQUINAS'!$F$2:$F$18,MATCH(E764,'04_MAQUINAS'!$A$2:$A$18,0)))</f>
        <v>54.912</v>
      </c>
      <c r="M764" s="17" t="n">
        <f aca="false">J764*INDEX('04_MAQUINAS'!$G$2:$G$18,MATCH(E764,'04_MAQUINAS'!$A$2:$A$18,0))*INDEX('04_MAQUINAS'!$H$2:$H$18,MATCH(E764,'04_MAQUINAS'!$A$2:$A$18,0))</f>
        <v>1.8018</v>
      </c>
      <c r="N764" s="2" t="s">
        <v>629</v>
      </c>
    </row>
    <row r="765" customFormat="false" ht="15" hidden="false" customHeight="false" outlineLevel="0" collapsed="false">
      <c r="A765" s="2" t="s">
        <v>588</v>
      </c>
      <c r="B765" s="2" t="s">
        <v>121</v>
      </c>
      <c r="C765" s="4" t="n">
        <v>8</v>
      </c>
      <c r="D765" s="2" t="s">
        <v>447</v>
      </c>
      <c r="E765" s="2" t="s">
        <v>421</v>
      </c>
      <c r="F765" s="5" t="n">
        <f aca="false">INDEX('08_PEDIDOS'!$D$2:$D$97,MATCH(A765,'08_PEDIDOS'!$A$2:$A$97,0))</f>
        <v>12</v>
      </c>
      <c r="G765" s="5" t="n">
        <f aca="false">INDEX('08_PEDIDOS'!$H$2:$H$97,MATCH(A765,'08_PEDIDOS'!$A$2:$A$97,0))</f>
        <v>10</v>
      </c>
      <c r="H765" s="17" t="n">
        <f aca="false">SUMIFS('05_RUTAS'!$F$2:$F$407,'05_RUTAS'!$A$2:$A$407,B765,'05_RUTAS'!$C$2:$C$407,C765)</f>
        <v>45</v>
      </c>
      <c r="I765" s="18" t="n">
        <f aca="false">SUMIFS('05_RUTAS'!$G$2:$G$407,'05_RUTAS'!$A$2:$A$407,B765,'05_RUTAS'!$C$2:$C$407,C765)</f>
        <v>0</v>
      </c>
      <c r="J765" s="18" t="n">
        <f aca="false">(ROUNDUP(F765/G765,0)*H765+F765*I765)/60</f>
        <v>1.5</v>
      </c>
      <c r="K765" s="5" t="n">
        <f aca="false">MONTH(INDEX('08_PEDIDOS'!$F$2:$F$97,MATCH(A765,'08_PEDIDOS'!$A$2:$A$97,0)))</f>
        <v>8</v>
      </c>
      <c r="L765" s="16" t="n">
        <f aca="false">J765*N(INDEX('04_MAQUINAS'!$F$2:$F$18,MATCH(E765,'04_MAQUINAS'!$A$2:$A$18,0)))</f>
        <v>39</v>
      </c>
      <c r="M765" s="17" t="n">
        <f aca="false">J765*INDEX('04_MAQUINAS'!$G$2:$G$18,MATCH(E765,'04_MAQUINAS'!$A$2:$A$18,0))*INDEX('04_MAQUINAS'!$H$2:$H$18,MATCH(E765,'04_MAQUINAS'!$A$2:$A$18,0))</f>
        <v>21.6</v>
      </c>
      <c r="N765" s="2" t="s">
        <v>629</v>
      </c>
    </row>
    <row r="766" customFormat="false" ht="15" hidden="false" customHeight="false" outlineLevel="0" collapsed="false">
      <c r="A766" s="2" t="s">
        <v>588</v>
      </c>
      <c r="B766" s="2" t="s">
        <v>121</v>
      </c>
      <c r="C766" s="4" t="n">
        <v>9</v>
      </c>
      <c r="D766" s="2" t="s">
        <v>449</v>
      </c>
      <c r="E766" s="2" t="s">
        <v>423</v>
      </c>
      <c r="F766" s="5" t="n">
        <f aca="false">INDEX('08_PEDIDOS'!$D$2:$D$97,MATCH(A766,'08_PEDIDOS'!$A$2:$A$97,0))</f>
        <v>12</v>
      </c>
      <c r="G766" s="5" t="n">
        <f aca="false">INDEX('08_PEDIDOS'!$H$2:$H$97,MATCH(A766,'08_PEDIDOS'!$A$2:$A$97,0))</f>
        <v>10</v>
      </c>
      <c r="H766" s="17" t="n">
        <f aca="false">SUMIFS('05_RUTAS'!$F$2:$F$407,'05_RUTAS'!$A$2:$A$407,B766,'05_RUTAS'!$C$2:$C$407,C766)</f>
        <v>8</v>
      </c>
      <c r="I766" s="18" t="n">
        <f aca="false">SUMIFS('05_RUTAS'!$G$2:$G$407,'05_RUTAS'!$A$2:$A$407,B766,'05_RUTAS'!$C$2:$C$407,C766)</f>
        <v>2.36</v>
      </c>
      <c r="J766" s="18" t="n">
        <f aca="false">(ROUNDUP(F766/G766,0)*H766+F766*I766)/60</f>
        <v>0.738666666666667</v>
      </c>
      <c r="K766" s="5" t="n">
        <f aca="false">MONTH(INDEX('08_PEDIDOS'!$F$2:$F$97,MATCH(A766,'08_PEDIDOS'!$A$2:$A$97,0)))</f>
        <v>8</v>
      </c>
      <c r="L766" s="16" t="n">
        <f aca="false">J766*N(INDEX('04_MAQUINAS'!$F$2:$F$18,MATCH(E766,'04_MAQUINAS'!$A$2:$A$18,0)))</f>
        <v>11.8186666666667</v>
      </c>
      <c r="M766" s="17" t="n">
        <f aca="false">J766*INDEX('04_MAQUINAS'!$G$2:$G$18,MATCH(E766,'04_MAQUINAS'!$A$2:$A$18,0))*INDEX('04_MAQUINAS'!$H$2:$H$18,MATCH(E766,'04_MAQUINAS'!$A$2:$A$18,0))</f>
        <v>0.184666666666667</v>
      </c>
      <c r="N766" s="2" t="s">
        <v>629</v>
      </c>
    </row>
    <row r="767" customFormat="false" ht="15" hidden="false" customHeight="false" outlineLevel="0" collapsed="false">
      <c r="A767" s="2" t="s">
        <v>588</v>
      </c>
      <c r="B767" s="2" t="s">
        <v>121</v>
      </c>
      <c r="C767" s="4" t="n">
        <v>10</v>
      </c>
      <c r="D767" s="2" t="s">
        <v>450</v>
      </c>
      <c r="E767" s="2" t="s">
        <v>406</v>
      </c>
      <c r="F767" s="5" t="n">
        <f aca="false">INDEX('08_PEDIDOS'!$D$2:$D$97,MATCH(A767,'08_PEDIDOS'!$A$2:$A$97,0))</f>
        <v>12</v>
      </c>
      <c r="G767" s="5" t="n">
        <f aca="false">INDEX('08_PEDIDOS'!$H$2:$H$97,MATCH(A767,'08_PEDIDOS'!$A$2:$A$97,0))</f>
        <v>10</v>
      </c>
      <c r="H767" s="17" t="n">
        <f aca="false">SUMIFS('05_RUTAS'!$F$2:$F$407,'05_RUTAS'!$A$2:$A$407,B767,'05_RUTAS'!$C$2:$C$407,C767)</f>
        <v>6</v>
      </c>
      <c r="I767" s="18" t="n">
        <f aca="false">SUMIFS('05_RUTAS'!$G$2:$G$407,'05_RUTAS'!$A$2:$A$407,B767,'05_RUTAS'!$C$2:$C$407,C767)</f>
        <v>61.5</v>
      </c>
      <c r="J767" s="18" t="n">
        <f aca="false">(ROUNDUP(F767/G767,0)*H767+F767*I767)/60</f>
        <v>12.5</v>
      </c>
      <c r="K767" s="5" t="n">
        <f aca="false">MONTH(INDEX('08_PEDIDOS'!$F$2:$F$97,MATCH(A767,'08_PEDIDOS'!$A$2:$A$97,0)))</f>
        <v>8</v>
      </c>
      <c r="L767" s="16" t="n">
        <f aca="false">J767*N(INDEX('04_MAQUINAS'!$F$2:$F$18,MATCH(E767,'04_MAQUINAS'!$A$2:$A$18,0)))</f>
        <v>237.5</v>
      </c>
      <c r="M767" s="17" t="n">
        <f aca="false">J767*INDEX('04_MAQUINAS'!$G$2:$G$18,MATCH(E767,'04_MAQUINAS'!$A$2:$A$18,0))*INDEX('04_MAQUINAS'!$H$2:$H$18,MATCH(E767,'04_MAQUINAS'!$A$2:$A$18,0))</f>
        <v>3.75</v>
      </c>
      <c r="N767" s="2" t="s">
        <v>629</v>
      </c>
    </row>
    <row r="768" customFormat="false" ht="15" hidden="false" customHeight="false" outlineLevel="0" collapsed="false">
      <c r="A768" s="2" t="s">
        <v>588</v>
      </c>
      <c r="B768" s="2" t="s">
        <v>121</v>
      </c>
      <c r="C768" s="4" t="n">
        <v>11</v>
      </c>
      <c r="D768" s="2" t="s">
        <v>451</v>
      </c>
      <c r="E768" s="2" t="s">
        <v>408</v>
      </c>
      <c r="F768" s="5" t="n">
        <f aca="false">INDEX('08_PEDIDOS'!$D$2:$D$97,MATCH(A768,'08_PEDIDOS'!$A$2:$A$97,0))</f>
        <v>12</v>
      </c>
      <c r="G768" s="5" t="n">
        <f aca="false">INDEX('08_PEDIDOS'!$H$2:$H$97,MATCH(A768,'08_PEDIDOS'!$A$2:$A$97,0))</f>
        <v>10</v>
      </c>
      <c r="H768" s="17" t="n">
        <f aca="false">SUMIFS('05_RUTAS'!$F$2:$F$407,'05_RUTAS'!$A$2:$A$407,B768,'05_RUTAS'!$C$2:$C$407,C768)</f>
        <v>2</v>
      </c>
      <c r="I768" s="18" t="n">
        <f aca="false">SUMIFS('05_RUTAS'!$G$2:$G$407,'05_RUTAS'!$A$2:$A$407,B768,'05_RUTAS'!$C$2:$C$407,C768)</f>
        <v>3.45</v>
      </c>
      <c r="J768" s="18" t="n">
        <f aca="false">(ROUNDUP(F768/G768,0)*H768+F768*I768)/60</f>
        <v>0.756666666666667</v>
      </c>
      <c r="K768" s="5" t="n">
        <f aca="false">MONTH(INDEX('08_PEDIDOS'!$F$2:$F$97,MATCH(A768,'08_PEDIDOS'!$A$2:$A$97,0)))</f>
        <v>8</v>
      </c>
      <c r="L768" s="16" t="n">
        <f aca="false">J768*N(INDEX('04_MAQUINAS'!$F$2:$F$18,MATCH(E768,'04_MAQUINAS'!$A$2:$A$18,0)))</f>
        <v>15.1333333333333</v>
      </c>
      <c r="M768" s="17" t="n">
        <f aca="false">J768*INDEX('04_MAQUINAS'!$G$2:$G$18,MATCH(E768,'04_MAQUINAS'!$A$2:$A$18,0))*INDEX('04_MAQUINAS'!$H$2:$H$18,MATCH(E768,'04_MAQUINAS'!$A$2:$A$18,0))</f>
        <v>0.0756666666666667</v>
      </c>
      <c r="N768" s="2" t="s">
        <v>629</v>
      </c>
    </row>
    <row r="769" customFormat="false" ht="15" hidden="false" customHeight="false" outlineLevel="0" collapsed="false">
      <c r="A769" s="2" t="s">
        <v>588</v>
      </c>
      <c r="B769" s="2" t="s">
        <v>121</v>
      </c>
      <c r="C769" s="4" t="n">
        <v>12</v>
      </c>
      <c r="D769" s="2" t="s">
        <v>452</v>
      </c>
      <c r="E769" s="2" t="s">
        <v>411</v>
      </c>
      <c r="F769" s="5" t="n">
        <f aca="false">INDEX('08_PEDIDOS'!$D$2:$D$97,MATCH(A769,'08_PEDIDOS'!$A$2:$A$97,0))</f>
        <v>12</v>
      </c>
      <c r="G769" s="5" t="n">
        <f aca="false">INDEX('08_PEDIDOS'!$H$2:$H$97,MATCH(A769,'08_PEDIDOS'!$A$2:$A$97,0))</f>
        <v>10</v>
      </c>
      <c r="H769" s="17" t="n">
        <f aca="false">SUMIFS('05_RUTAS'!$F$2:$F$407,'05_RUTAS'!$A$2:$A$407,B769,'05_RUTAS'!$C$2:$C$407,C769)</f>
        <v>2</v>
      </c>
      <c r="I769" s="18" t="n">
        <f aca="false">SUMIFS('05_RUTAS'!$G$2:$G$407,'05_RUTAS'!$A$2:$A$407,B769,'05_RUTAS'!$C$2:$C$407,C769)</f>
        <v>4.67</v>
      </c>
      <c r="J769" s="18" t="n">
        <f aca="false">(ROUNDUP(F769/G769,0)*H769+F769*I769)/60</f>
        <v>1.00066666666667</v>
      </c>
      <c r="K769" s="5" t="n">
        <f aca="false">MONTH(INDEX('08_PEDIDOS'!$F$2:$F$97,MATCH(A769,'08_PEDIDOS'!$A$2:$A$97,0)))</f>
        <v>8</v>
      </c>
      <c r="L769" s="16" t="n">
        <f aca="false">J769*N(INDEX('04_MAQUINAS'!$F$2:$F$18,MATCH(E769,'04_MAQUINAS'!$A$2:$A$18,0)))</f>
        <v>18.012</v>
      </c>
      <c r="M769" s="17" t="n">
        <f aca="false">J769*INDEX('04_MAQUINAS'!$G$2:$G$18,MATCH(E769,'04_MAQUINAS'!$A$2:$A$18,0))*INDEX('04_MAQUINAS'!$H$2:$H$18,MATCH(E769,'04_MAQUINAS'!$A$2:$A$18,0))</f>
        <v>0.09006</v>
      </c>
      <c r="N769" s="2" t="s">
        <v>629</v>
      </c>
    </row>
    <row r="770" customFormat="false" ht="15" hidden="false" customHeight="false" outlineLevel="0" collapsed="false">
      <c r="A770" s="2" t="s">
        <v>589</v>
      </c>
      <c r="B770" s="2" t="s">
        <v>80</v>
      </c>
      <c r="C770" s="4" t="n">
        <v>1</v>
      </c>
      <c r="D770" s="2" t="s">
        <v>437</v>
      </c>
      <c r="E770" s="2" t="s">
        <v>375</v>
      </c>
      <c r="F770" s="5" t="n">
        <f aca="false">INDEX('08_PEDIDOS'!$D$2:$D$97,MATCH(A770,'08_PEDIDOS'!$A$2:$A$97,0))</f>
        <v>12</v>
      </c>
      <c r="G770" s="5" t="n">
        <f aca="false">INDEX('08_PEDIDOS'!$H$2:$H$97,MATCH(A770,'08_PEDIDOS'!$A$2:$A$97,0))</f>
        <v>10</v>
      </c>
      <c r="H770" s="17" t="n">
        <f aca="false">SUMIFS('05_RUTAS'!$F$2:$F$407,'05_RUTAS'!$A$2:$A$407,B770,'05_RUTAS'!$C$2:$C$407,C770)</f>
        <v>8</v>
      </c>
      <c r="I770" s="18" t="n">
        <f aca="false">SUMIFS('05_RUTAS'!$G$2:$G$407,'05_RUTAS'!$A$2:$A$407,B770,'05_RUTAS'!$C$2:$C$407,C770)</f>
        <v>34.62</v>
      </c>
      <c r="J770" s="18" t="n">
        <f aca="false">(ROUNDUP(F770/G770,0)*H770+F770*I770)/60</f>
        <v>7.19066666666667</v>
      </c>
      <c r="K770" s="5" t="n">
        <f aca="false">MONTH(INDEX('08_PEDIDOS'!$F$2:$F$97,MATCH(A770,'08_PEDIDOS'!$A$2:$A$97,0)))</f>
        <v>9</v>
      </c>
      <c r="L770" s="16" t="n">
        <f aca="false">J770*N(INDEX('04_MAQUINAS'!$F$2:$F$18,MATCH(E770,'04_MAQUINAS'!$A$2:$A$18,0)))</f>
        <v>172.576</v>
      </c>
      <c r="M770" s="17" t="n">
        <f aca="false">J770*INDEX('04_MAQUINAS'!$G$2:$G$18,MATCH(E770,'04_MAQUINAS'!$A$2:$A$18,0))*INDEX('04_MAQUINAS'!$H$2:$H$18,MATCH(E770,'04_MAQUINAS'!$A$2:$A$18,0))</f>
        <v>19.7743333333333</v>
      </c>
      <c r="N770" s="2" t="s">
        <v>629</v>
      </c>
    </row>
    <row r="771" customFormat="false" ht="15" hidden="false" customHeight="false" outlineLevel="0" collapsed="false">
      <c r="A771" s="2" t="s">
        <v>589</v>
      </c>
      <c r="B771" s="2" t="s">
        <v>80</v>
      </c>
      <c r="C771" s="4" t="n">
        <v>2</v>
      </c>
      <c r="D771" s="2" t="s">
        <v>441</v>
      </c>
      <c r="E771" s="2" t="s">
        <v>380</v>
      </c>
      <c r="F771" s="5" t="n">
        <f aca="false">INDEX('08_PEDIDOS'!$D$2:$D$97,MATCH(A771,'08_PEDIDOS'!$A$2:$A$97,0))</f>
        <v>12</v>
      </c>
      <c r="G771" s="5" t="n">
        <f aca="false">INDEX('08_PEDIDOS'!$H$2:$H$97,MATCH(A771,'08_PEDIDOS'!$A$2:$A$97,0))</f>
        <v>10</v>
      </c>
      <c r="H771" s="17" t="n">
        <f aca="false">SUMIFS('05_RUTAS'!$F$2:$F$407,'05_RUTAS'!$A$2:$A$407,B771,'05_RUTAS'!$C$2:$C$407,C771)</f>
        <v>8</v>
      </c>
      <c r="I771" s="18" t="n">
        <f aca="false">SUMIFS('05_RUTAS'!$G$2:$G$407,'05_RUTAS'!$A$2:$A$407,B771,'05_RUTAS'!$C$2:$C$407,C771)</f>
        <v>43.52</v>
      </c>
      <c r="J771" s="18" t="n">
        <f aca="false">(ROUNDUP(F771/G771,0)*H771+F771*I771)/60</f>
        <v>8.97066666666667</v>
      </c>
      <c r="K771" s="5" t="n">
        <f aca="false">MONTH(INDEX('08_PEDIDOS'!$F$2:$F$97,MATCH(A771,'08_PEDIDOS'!$A$2:$A$97,0)))</f>
        <v>9</v>
      </c>
      <c r="L771" s="16" t="n">
        <f aca="false">J771*N(INDEX('04_MAQUINAS'!$F$2:$F$18,MATCH(E771,'04_MAQUINAS'!$A$2:$A$18,0)))</f>
        <v>197.354666666667</v>
      </c>
      <c r="M771" s="17" t="n">
        <f aca="false">J771*INDEX('04_MAQUINAS'!$G$2:$G$18,MATCH(E771,'04_MAQUINAS'!$A$2:$A$18,0))*INDEX('04_MAQUINAS'!$H$2:$H$18,MATCH(E771,'04_MAQUINAS'!$A$2:$A$18,0))</f>
        <v>4.0368</v>
      </c>
      <c r="N771" s="2" t="s">
        <v>629</v>
      </c>
    </row>
    <row r="772" customFormat="false" ht="15" hidden="false" customHeight="false" outlineLevel="0" collapsed="false">
      <c r="A772" s="2" t="s">
        <v>589</v>
      </c>
      <c r="B772" s="2" t="s">
        <v>80</v>
      </c>
      <c r="C772" s="4" t="n">
        <v>3</v>
      </c>
      <c r="D772" s="2" t="s">
        <v>386</v>
      </c>
      <c r="E772" s="2" t="s">
        <v>383</v>
      </c>
      <c r="F772" s="5" t="n">
        <f aca="false">INDEX('08_PEDIDOS'!$D$2:$D$97,MATCH(A772,'08_PEDIDOS'!$A$2:$A$97,0))</f>
        <v>12</v>
      </c>
      <c r="G772" s="5" t="n">
        <f aca="false">INDEX('08_PEDIDOS'!$H$2:$H$97,MATCH(A772,'08_PEDIDOS'!$A$2:$A$97,0))</f>
        <v>10</v>
      </c>
      <c r="H772" s="17" t="n">
        <f aca="false">SUMIFS('05_RUTAS'!$F$2:$F$407,'05_RUTAS'!$A$2:$A$407,B772,'05_RUTAS'!$C$2:$C$407,C772)</f>
        <v>10</v>
      </c>
      <c r="I772" s="18" t="n">
        <f aca="false">SUMIFS('05_RUTAS'!$G$2:$G$407,'05_RUTAS'!$A$2:$A$407,B772,'05_RUTAS'!$C$2:$C$407,C772)</f>
        <v>63.2</v>
      </c>
      <c r="J772" s="18" t="n">
        <f aca="false">(ROUNDUP(F772/G772,0)*H772+F772*I772)/60</f>
        <v>12.9733333333333</v>
      </c>
      <c r="K772" s="5" t="n">
        <f aca="false">MONTH(INDEX('08_PEDIDOS'!$F$2:$F$97,MATCH(A772,'08_PEDIDOS'!$A$2:$A$97,0)))</f>
        <v>9</v>
      </c>
      <c r="L772" s="16" t="n">
        <f aca="false">J772*N(INDEX('04_MAQUINAS'!$F$2:$F$18,MATCH(E772,'04_MAQUINAS'!$A$2:$A$18,0)))</f>
        <v>285.413333333333</v>
      </c>
      <c r="M772" s="17" t="n">
        <f aca="false">J772*INDEX('04_MAQUINAS'!$G$2:$G$18,MATCH(E772,'04_MAQUINAS'!$A$2:$A$18,0))*INDEX('04_MAQUINAS'!$H$2:$H$18,MATCH(E772,'04_MAQUINAS'!$A$2:$A$18,0))</f>
        <v>3.56766666666667</v>
      </c>
      <c r="N772" s="2" t="s">
        <v>629</v>
      </c>
    </row>
    <row r="773" customFormat="false" ht="15" hidden="false" customHeight="false" outlineLevel="0" collapsed="false">
      <c r="A773" s="2" t="s">
        <v>589</v>
      </c>
      <c r="B773" s="2" t="s">
        <v>80</v>
      </c>
      <c r="C773" s="4" t="n">
        <v>4</v>
      </c>
      <c r="D773" s="2" t="s">
        <v>390</v>
      </c>
      <c r="E773" s="2" t="s">
        <v>387</v>
      </c>
      <c r="F773" s="5" t="n">
        <f aca="false">INDEX('08_PEDIDOS'!$D$2:$D$97,MATCH(A773,'08_PEDIDOS'!$A$2:$A$97,0))</f>
        <v>12</v>
      </c>
      <c r="G773" s="5" t="n">
        <f aca="false">INDEX('08_PEDIDOS'!$H$2:$H$97,MATCH(A773,'08_PEDIDOS'!$A$2:$A$97,0))</f>
        <v>10</v>
      </c>
      <c r="H773" s="17" t="n">
        <f aca="false">SUMIFS('05_RUTAS'!$F$2:$F$407,'05_RUTAS'!$A$2:$A$407,B773,'05_RUTAS'!$C$2:$C$407,C773)</f>
        <v>12</v>
      </c>
      <c r="I773" s="18" t="n">
        <f aca="false">SUMIFS('05_RUTAS'!$G$2:$G$407,'05_RUTAS'!$A$2:$A$407,B773,'05_RUTAS'!$C$2:$C$407,C773)</f>
        <v>60</v>
      </c>
      <c r="J773" s="18" t="n">
        <f aca="false">(ROUNDUP(F773/G773,0)*H773+F773*I773)/60</f>
        <v>12.4</v>
      </c>
      <c r="K773" s="5" t="n">
        <f aca="false">MONTH(INDEX('08_PEDIDOS'!$F$2:$F$97,MATCH(A773,'08_PEDIDOS'!$A$2:$A$97,0)))</f>
        <v>9</v>
      </c>
      <c r="L773" s="16" t="n">
        <f aca="false">J773*N(INDEX('04_MAQUINAS'!$F$2:$F$18,MATCH(E773,'04_MAQUINAS'!$A$2:$A$18,0)))</f>
        <v>347.2</v>
      </c>
      <c r="M773" s="17" t="n">
        <f aca="false">J773*INDEX('04_MAQUINAS'!$G$2:$G$18,MATCH(E773,'04_MAQUINAS'!$A$2:$A$18,0))*INDEX('04_MAQUINAS'!$H$2:$H$18,MATCH(E773,'04_MAQUINAS'!$A$2:$A$18,0))</f>
        <v>30.69</v>
      </c>
      <c r="N773" s="2" t="s">
        <v>629</v>
      </c>
    </row>
    <row r="774" customFormat="false" ht="15" hidden="false" customHeight="false" outlineLevel="0" collapsed="false">
      <c r="A774" s="2" t="s">
        <v>589</v>
      </c>
      <c r="B774" s="2" t="s">
        <v>80</v>
      </c>
      <c r="C774" s="4" t="n">
        <v>5</v>
      </c>
      <c r="D774" s="2" t="s">
        <v>442</v>
      </c>
      <c r="E774" s="2" t="s">
        <v>391</v>
      </c>
      <c r="F774" s="5" t="n">
        <f aca="false">INDEX('08_PEDIDOS'!$D$2:$D$97,MATCH(A774,'08_PEDIDOS'!$A$2:$A$97,0))</f>
        <v>12</v>
      </c>
      <c r="G774" s="5" t="n">
        <f aca="false">INDEX('08_PEDIDOS'!$H$2:$H$97,MATCH(A774,'08_PEDIDOS'!$A$2:$A$97,0))</f>
        <v>10</v>
      </c>
      <c r="H774" s="17" t="n">
        <f aca="false">SUMIFS('05_RUTAS'!$F$2:$F$407,'05_RUTAS'!$A$2:$A$407,B774,'05_RUTAS'!$C$2:$C$407,C774)</f>
        <v>10</v>
      </c>
      <c r="I774" s="18" t="n">
        <f aca="false">SUMIFS('05_RUTAS'!$G$2:$G$407,'05_RUTAS'!$A$2:$A$407,B774,'05_RUTAS'!$C$2:$C$407,C774)</f>
        <v>78.4</v>
      </c>
      <c r="J774" s="18" t="n">
        <f aca="false">(ROUNDUP(F774/G774,0)*H774+F774*I774)/60</f>
        <v>16.0133333333333</v>
      </c>
      <c r="K774" s="5" t="n">
        <f aca="false">MONTH(INDEX('08_PEDIDOS'!$F$2:$F$97,MATCH(A774,'08_PEDIDOS'!$A$2:$A$97,0)))</f>
        <v>9</v>
      </c>
      <c r="L774" s="16" t="n">
        <f aca="false">J774*N(INDEX('04_MAQUINAS'!$F$2:$F$18,MATCH(E774,'04_MAQUINAS'!$A$2:$A$18,0)))</f>
        <v>512.426666666667</v>
      </c>
      <c r="M774" s="17" t="n">
        <f aca="false">J774*INDEX('04_MAQUINAS'!$G$2:$G$18,MATCH(E774,'04_MAQUINAS'!$A$2:$A$18,0))*INDEX('04_MAQUINAS'!$H$2:$H$18,MATCH(E774,'04_MAQUINAS'!$A$2:$A$18,0))</f>
        <v>28.0233333333333</v>
      </c>
      <c r="N774" s="2" t="s">
        <v>629</v>
      </c>
    </row>
    <row r="775" customFormat="false" ht="15" hidden="false" customHeight="false" outlineLevel="0" collapsed="false">
      <c r="A775" s="2" t="s">
        <v>589</v>
      </c>
      <c r="B775" s="2" t="s">
        <v>80</v>
      </c>
      <c r="C775" s="4" t="n">
        <v>6</v>
      </c>
      <c r="D775" s="2" t="s">
        <v>443</v>
      </c>
      <c r="E775" s="2" t="s">
        <v>395</v>
      </c>
      <c r="F775" s="5" t="n">
        <f aca="false">INDEX('08_PEDIDOS'!$D$2:$D$97,MATCH(A775,'08_PEDIDOS'!$A$2:$A$97,0))</f>
        <v>12</v>
      </c>
      <c r="G775" s="5" t="n">
        <f aca="false">INDEX('08_PEDIDOS'!$H$2:$H$97,MATCH(A775,'08_PEDIDOS'!$A$2:$A$97,0))</f>
        <v>10</v>
      </c>
      <c r="H775" s="17" t="n">
        <f aca="false">SUMIFS('05_RUTAS'!$F$2:$F$407,'05_RUTAS'!$A$2:$A$407,B775,'05_RUTAS'!$C$2:$C$407,C775)</f>
        <v>3</v>
      </c>
      <c r="I775" s="18" t="n">
        <f aca="false">SUMIFS('05_RUTAS'!$G$2:$G$407,'05_RUTAS'!$A$2:$A$407,B775,'05_RUTAS'!$C$2:$C$407,C775)</f>
        <v>42</v>
      </c>
      <c r="J775" s="18" t="n">
        <f aca="false">(ROUNDUP(F775/G775,0)*H775+F775*I775)/60</f>
        <v>8.5</v>
      </c>
      <c r="K775" s="5" t="n">
        <f aca="false">MONTH(INDEX('08_PEDIDOS'!$F$2:$F$97,MATCH(A775,'08_PEDIDOS'!$A$2:$A$97,0)))</f>
        <v>9</v>
      </c>
      <c r="L775" s="16" t="n">
        <f aca="false">J775*N(INDEX('04_MAQUINAS'!$F$2:$F$18,MATCH(E775,'04_MAQUINAS'!$A$2:$A$18,0)))</f>
        <v>178.5</v>
      </c>
      <c r="M775" s="17" t="n">
        <f aca="false">J775*INDEX('04_MAQUINAS'!$G$2:$G$18,MATCH(E775,'04_MAQUINAS'!$A$2:$A$18,0))*INDEX('04_MAQUINAS'!$H$2:$H$18,MATCH(E775,'04_MAQUINAS'!$A$2:$A$18,0))</f>
        <v>6.375</v>
      </c>
      <c r="N775" s="2" t="s">
        <v>629</v>
      </c>
    </row>
    <row r="776" customFormat="false" ht="15" hidden="false" customHeight="false" outlineLevel="0" collapsed="false">
      <c r="A776" s="2" t="s">
        <v>589</v>
      </c>
      <c r="B776" s="2" t="s">
        <v>80</v>
      </c>
      <c r="C776" s="4" t="n">
        <v>7</v>
      </c>
      <c r="D776" s="2" t="s">
        <v>444</v>
      </c>
      <c r="E776" s="2" t="s">
        <v>399</v>
      </c>
      <c r="F776" s="5" t="n">
        <f aca="false">INDEX('08_PEDIDOS'!$D$2:$D$97,MATCH(A776,'08_PEDIDOS'!$A$2:$A$97,0))</f>
        <v>12</v>
      </c>
      <c r="G776" s="5" t="n">
        <f aca="false">INDEX('08_PEDIDOS'!$H$2:$H$97,MATCH(A776,'08_PEDIDOS'!$A$2:$A$97,0))</f>
        <v>10</v>
      </c>
      <c r="H776" s="17" t="n">
        <f aca="false">SUMIFS('05_RUTAS'!$F$2:$F$407,'05_RUTAS'!$A$2:$A$407,B776,'05_RUTAS'!$C$2:$C$407,C776)</f>
        <v>6</v>
      </c>
      <c r="I776" s="18" t="n">
        <f aca="false">SUMIFS('05_RUTAS'!$G$2:$G$407,'05_RUTAS'!$A$2:$A$407,B776,'05_RUTAS'!$C$2:$C$407,C776)</f>
        <v>29.7248</v>
      </c>
      <c r="J776" s="18" t="n">
        <f aca="false">(ROUNDUP(F776/G776,0)*H776+F776*I776)/60</f>
        <v>6.14496</v>
      </c>
      <c r="K776" s="5" t="n">
        <f aca="false">MONTH(INDEX('08_PEDIDOS'!$F$2:$F$97,MATCH(A776,'08_PEDIDOS'!$A$2:$A$97,0)))</f>
        <v>9</v>
      </c>
      <c r="L776" s="16" t="n">
        <f aca="false">J776*N(INDEX('04_MAQUINAS'!$F$2:$F$18,MATCH(E776,'04_MAQUINAS'!$A$2:$A$18,0)))</f>
        <v>116.75424</v>
      </c>
      <c r="M776" s="17" t="n">
        <f aca="false">J776*INDEX('04_MAQUINAS'!$G$2:$G$18,MATCH(E776,'04_MAQUINAS'!$A$2:$A$18,0))*INDEX('04_MAQUINAS'!$H$2:$H$18,MATCH(E776,'04_MAQUINAS'!$A$2:$A$18,0))</f>
        <v>5.4075648</v>
      </c>
      <c r="N776" s="2" t="s">
        <v>629</v>
      </c>
    </row>
    <row r="777" customFormat="false" ht="15" hidden="false" customHeight="false" outlineLevel="0" collapsed="false">
      <c r="A777" s="2" t="s">
        <v>589</v>
      </c>
      <c r="B777" s="2" t="s">
        <v>80</v>
      </c>
      <c r="C777" s="4" t="n">
        <v>8</v>
      </c>
      <c r="D777" s="2" t="s">
        <v>445</v>
      </c>
      <c r="E777" s="2" t="s">
        <v>402</v>
      </c>
      <c r="F777" s="5" t="n">
        <f aca="false">INDEX('08_PEDIDOS'!$D$2:$D$97,MATCH(A777,'08_PEDIDOS'!$A$2:$A$97,0))</f>
        <v>12</v>
      </c>
      <c r="G777" s="5" t="n">
        <f aca="false">INDEX('08_PEDIDOS'!$H$2:$H$97,MATCH(A777,'08_PEDIDOS'!$A$2:$A$97,0))</f>
        <v>10</v>
      </c>
      <c r="H777" s="17" t="n">
        <f aca="false">SUMIFS('05_RUTAS'!$F$2:$F$407,'05_RUTAS'!$A$2:$A$407,B777,'05_RUTAS'!$C$2:$C$407,C777)</f>
        <v>12</v>
      </c>
      <c r="I777" s="18" t="n">
        <f aca="false">SUMIFS('05_RUTAS'!$G$2:$G$407,'05_RUTAS'!$A$2:$A$407,B777,'05_RUTAS'!$C$2:$C$407,C777)</f>
        <v>8.02</v>
      </c>
      <c r="J777" s="18" t="n">
        <f aca="false">(ROUNDUP(F777/G777,0)*H777+F777*I777)/60</f>
        <v>2.004</v>
      </c>
      <c r="K777" s="5" t="n">
        <f aca="false">MONTH(INDEX('08_PEDIDOS'!$F$2:$F$97,MATCH(A777,'08_PEDIDOS'!$A$2:$A$97,0)))</f>
        <v>9</v>
      </c>
      <c r="L777" s="16" t="n">
        <f aca="false">J777*N(INDEX('04_MAQUINAS'!$F$2:$F$18,MATCH(E777,'04_MAQUINAS'!$A$2:$A$18,0)))</f>
        <v>64.128</v>
      </c>
      <c r="M777" s="17" t="n">
        <f aca="false">J777*INDEX('04_MAQUINAS'!$G$2:$G$18,MATCH(E777,'04_MAQUINAS'!$A$2:$A$18,0))*INDEX('04_MAQUINAS'!$H$2:$H$18,MATCH(E777,'04_MAQUINAS'!$A$2:$A$18,0))</f>
        <v>2.1042</v>
      </c>
      <c r="N777" s="2" t="s">
        <v>629</v>
      </c>
    </row>
    <row r="778" customFormat="false" ht="15" hidden="false" customHeight="false" outlineLevel="0" collapsed="false">
      <c r="A778" s="2" t="s">
        <v>589</v>
      </c>
      <c r="B778" s="2" t="s">
        <v>80</v>
      </c>
      <c r="C778" s="4" t="n">
        <v>9</v>
      </c>
      <c r="D778" s="2" t="s">
        <v>447</v>
      </c>
      <c r="E778" s="2" t="s">
        <v>421</v>
      </c>
      <c r="F778" s="5" t="n">
        <f aca="false">INDEX('08_PEDIDOS'!$D$2:$D$97,MATCH(A778,'08_PEDIDOS'!$A$2:$A$97,0))</f>
        <v>12</v>
      </c>
      <c r="G778" s="5" t="n">
        <f aca="false">INDEX('08_PEDIDOS'!$H$2:$H$97,MATCH(A778,'08_PEDIDOS'!$A$2:$A$97,0))</f>
        <v>10</v>
      </c>
      <c r="H778" s="17" t="n">
        <f aca="false">SUMIFS('05_RUTAS'!$F$2:$F$407,'05_RUTAS'!$A$2:$A$407,B778,'05_RUTAS'!$C$2:$C$407,C778)</f>
        <v>45</v>
      </c>
      <c r="I778" s="18" t="n">
        <f aca="false">SUMIFS('05_RUTAS'!$G$2:$G$407,'05_RUTAS'!$A$2:$A$407,B778,'05_RUTAS'!$C$2:$C$407,C778)</f>
        <v>0</v>
      </c>
      <c r="J778" s="18" t="n">
        <f aca="false">(ROUNDUP(F778/G778,0)*H778+F778*I778)/60</f>
        <v>1.5</v>
      </c>
      <c r="K778" s="5" t="n">
        <f aca="false">MONTH(INDEX('08_PEDIDOS'!$F$2:$F$97,MATCH(A778,'08_PEDIDOS'!$A$2:$A$97,0)))</f>
        <v>9</v>
      </c>
      <c r="L778" s="16" t="n">
        <f aca="false">J778*N(INDEX('04_MAQUINAS'!$F$2:$F$18,MATCH(E778,'04_MAQUINAS'!$A$2:$A$18,0)))</f>
        <v>39</v>
      </c>
      <c r="M778" s="17" t="n">
        <f aca="false">J778*INDEX('04_MAQUINAS'!$G$2:$G$18,MATCH(E778,'04_MAQUINAS'!$A$2:$A$18,0))*INDEX('04_MAQUINAS'!$H$2:$H$18,MATCH(E778,'04_MAQUINAS'!$A$2:$A$18,0))</f>
        <v>21.6</v>
      </c>
      <c r="N778" s="2" t="s">
        <v>629</v>
      </c>
    </row>
    <row r="779" customFormat="false" ht="15" hidden="false" customHeight="false" outlineLevel="0" collapsed="false">
      <c r="A779" s="2" t="s">
        <v>589</v>
      </c>
      <c r="B779" s="2" t="s">
        <v>80</v>
      </c>
      <c r="C779" s="4" t="n">
        <v>10</v>
      </c>
      <c r="D779" s="2" t="s">
        <v>449</v>
      </c>
      <c r="E779" s="2" t="s">
        <v>423</v>
      </c>
      <c r="F779" s="5" t="n">
        <f aca="false">INDEX('08_PEDIDOS'!$D$2:$D$97,MATCH(A779,'08_PEDIDOS'!$A$2:$A$97,0))</f>
        <v>12</v>
      </c>
      <c r="G779" s="5" t="n">
        <f aca="false">INDEX('08_PEDIDOS'!$H$2:$H$97,MATCH(A779,'08_PEDIDOS'!$A$2:$A$97,0))</f>
        <v>10</v>
      </c>
      <c r="H779" s="17" t="n">
        <f aca="false">SUMIFS('05_RUTAS'!$F$2:$F$407,'05_RUTAS'!$A$2:$A$407,B779,'05_RUTAS'!$C$2:$C$407,C779)</f>
        <v>8</v>
      </c>
      <c r="I779" s="18" t="n">
        <f aca="false">SUMIFS('05_RUTAS'!$G$2:$G$407,'05_RUTAS'!$A$2:$A$407,B779,'05_RUTAS'!$C$2:$C$407,C779)</f>
        <v>2.69</v>
      </c>
      <c r="J779" s="18" t="n">
        <f aca="false">(ROUNDUP(F779/G779,0)*H779+F779*I779)/60</f>
        <v>0.804666666666667</v>
      </c>
      <c r="K779" s="5" t="n">
        <f aca="false">MONTH(INDEX('08_PEDIDOS'!$F$2:$F$97,MATCH(A779,'08_PEDIDOS'!$A$2:$A$97,0)))</f>
        <v>9</v>
      </c>
      <c r="L779" s="16" t="n">
        <f aca="false">J779*N(INDEX('04_MAQUINAS'!$F$2:$F$18,MATCH(E779,'04_MAQUINAS'!$A$2:$A$18,0)))</f>
        <v>12.8746666666667</v>
      </c>
      <c r="M779" s="17" t="n">
        <f aca="false">J779*INDEX('04_MAQUINAS'!$G$2:$G$18,MATCH(E779,'04_MAQUINAS'!$A$2:$A$18,0))*INDEX('04_MAQUINAS'!$H$2:$H$18,MATCH(E779,'04_MAQUINAS'!$A$2:$A$18,0))</f>
        <v>0.201166666666667</v>
      </c>
      <c r="N779" s="2" t="s">
        <v>629</v>
      </c>
    </row>
    <row r="780" customFormat="false" ht="15" hidden="false" customHeight="false" outlineLevel="0" collapsed="false">
      <c r="A780" s="2" t="s">
        <v>589</v>
      </c>
      <c r="B780" s="2" t="s">
        <v>80</v>
      </c>
      <c r="C780" s="4" t="n">
        <v>11</v>
      </c>
      <c r="D780" s="2" t="s">
        <v>450</v>
      </c>
      <c r="E780" s="2" t="s">
        <v>406</v>
      </c>
      <c r="F780" s="5" t="n">
        <f aca="false">INDEX('08_PEDIDOS'!$D$2:$D$97,MATCH(A780,'08_PEDIDOS'!$A$2:$A$97,0))</f>
        <v>12</v>
      </c>
      <c r="G780" s="5" t="n">
        <f aca="false">INDEX('08_PEDIDOS'!$H$2:$H$97,MATCH(A780,'08_PEDIDOS'!$A$2:$A$97,0))</f>
        <v>10</v>
      </c>
      <c r="H780" s="17" t="n">
        <f aca="false">SUMIFS('05_RUTAS'!$F$2:$F$407,'05_RUTAS'!$A$2:$A$407,B780,'05_RUTAS'!$C$2:$C$407,C780)</f>
        <v>6</v>
      </c>
      <c r="I780" s="18" t="n">
        <f aca="false">SUMIFS('05_RUTAS'!$G$2:$G$407,'05_RUTAS'!$A$2:$A$407,B780,'05_RUTAS'!$C$2:$C$407,C780)</f>
        <v>60</v>
      </c>
      <c r="J780" s="18" t="n">
        <f aca="false">(ROUNDUP(F780/G780,0)*H780+F780*I780)/60</f>
        <v>12.2</v>
      </c>
      <c r="K780" s="5" t="n">
        <f aca="false">MONTH(INDEX('08_PEDIDOS'!$F$2:$F$97,MATCH(A780,'08_PEDIDOS'!$A$2:$A$97,0)))</f>
        <v>9</v>
      </c>
      <c r="L780" s="16" t="n">
        <f aca="false">J780*N(INDEX('04_MAQUINAS'!$F$2:$F$18,MATCH(E780,'04_MAQUINAS'!$A$2:$A$18,0)))</f>
        <v>231.8</v>
      </c>
      <c r="M780" s="17" t="n">
        <f aca="false">J780*INDEX('04_MAQUINAS'!$G$2:$G$18,MATCH(E780,'04_MAQUINAS'!$A$2:$A$18,0))*INDEX('04_MAQUINAS'!$H$2:$H$18,MATCH(E780,'04_MAQUINAS'!$A$2:$A$18,0))</f>
        <v>3.66</v>
      </c>
      <c r="N780" s="2" t="s">
        <v>629</v>
      </c>
    </row>
    <row r="781" customFormat="false" ht="15" hidden="false" customHeight="false" outlineLevel="0" collapsed="false">
      <c r="A781" s="2" t="s">
        <v>589</v>
      </c>
      <c r="B781" s="2" t="s">
        <v>80</v>
      </c>
      <c r="C781" s="4" t="n">
        <v>12</v>
      </c>
      <c r="D781" s="2" t="s">
        <v>451</v>
      </c>
      <c r="E781" s="2" t="s">
        <v>408</v>
      </c>
      <c r="F781" s="5" t="n">
        <f aca="false">INDEX('08_PEDIDOS'!$D$2:$D$97,MATCH(A781,'08_PEDIDOS'!$A$2:$A$97,0))</f>
        <v>12</v>
      </c>
      <c r="G781" s="5" t="n">
        <f aca="false">INDEX('08_PEDIDOS'!$H$2:$H$97,MATCH(A781,'08_PEDIDOS'!$A$2:$A$97,0))</f>
        <v>10</v>
      </c>
      <c r="H781" s="17" t="n">
        <f aca="false">SUMIFS('05_RUTAS'!$F$2:$F$407,'05_RUTAS'!$A$2:$A$407,B781,'05_RUTAS'!$C$2:$C$407,C781)</f>
        <v>2</v>
      </c>
      <c r="I781" s="18" t="n">
        <f aca="false">SUMIFS('05_RUTAS'!$G$2:$G$407,'05_RUTAS'!$A$2:$A$407,B781,'05_RUTAS'!$C$2:$C$407,C781)</f>
        <v>3.86</v>
      </c>
      <c r="J781" s="18" t="n">
        <f aca="false">(ROUNDUP(F781/G781,0)*H781+F781*I781)/60</f>
        <v>0.838666666666667</v>
      </c>
      <c r="K781" s="5" t="n">
        <f aca="false">MONTH(INDEX('08_PEDIDOS'!$F$2:$F$97,MATCH(A781,'08_PEDIDOS'!$A$2:$A$97,0)))</f>
        <v>9</v>
      </c>
      <c r="L781" s="16" t="n">
        <f aca="false">J781*N(INDEX('04_MAQUINAS'!$F$2:$F$18,MATCH(E781,'04_MAQUINAS'!$A$2:$A$18,0)))</f>
        <v>16.7733333333333</v>
      </c>
      <c r="M781" s="17" t="n">
        <f aca="false">J781*INDEX('04_MAQUINAS'!$G$2:$G$18,MATCH(E781,'04_MAQUINAS'!$A$2:$A$18,0))*INDEX('04_MAQUINAS'!$H$2:$H$18,MATCH(E781,'04_MAQUINAS'!$A$2:$A$18,0))</f>
        <v>0.0838666666666667</v>
      </c>
      <c r="N781" s="2" t="s">
        <v>629</v>
      </c>
    </row>
    <row r="782" customFormat="false" ht="15" hidden="false" customHeight="false" outlineLevel="0" collapsed="false">
      <c r="A782" s="2" t="s">
        <v>589</v>
      </c>
      <c r="B782" s="2" t="s">
        <v>80</v>
      </c>
      <c r="C782" s="4" t="n">
        <v>13</v>
      </c>
      <c r="D782" s="2" t="s">
        <v>452</v>
      </c>
      <c r="E782" s="2" t="s">
        <v>411</v>
      </c>
      <c r="F782" s="5" t="n">
        <f aca="false">INDEX('08_PEDIDOS'!$D$2:$D$97,MATCH(A782,'08_PEDIDOS'!$A$2:$A$97,0))</f>
        <v>12</v>
      </c>
      <c r="G782" s="5" t="n">
        <f aca="false">INDEX('08_PEDIDOS'!$H$2:$H$97,MATCH(A782,'08_PEDIDOS'!$A$2:$A$97,0))</f>
        <v>10</v>
      </c>
      <c r="H782" s="17" t="n">
        <f aca="false">SUMIFS('05_RUTAS'!$F$2:$F$407,'05_RUTAS'!$A$2:$A$407,B782,'05_RUTAS'!$C$2:$C$407,C782)</f>
        <v>2</v>
      </c>
      <c r="I782" s="18" t="n">
        <f aca="false">SUMIFS('05_RUTAS'!$G$2:$G$407,'05_RUTAS'!$A$2:$A$407,B782,'05_RUTAS'!$C$2:$C$407,C782)</f>
        <v>5.3</v>
      </c>
      <c r="J782" s="18" t="n">
        <f aca="false">(ROUNDUP(F782/G782,0)*H782+F782*I782)/60</f>
        <v>1.12666666666667</v>
      </c>
      <c r="K782" s="5" t="n">
        <f aca="false">MONTH(INDEX('08_PEDIDOS'!$F$2:$F$97,MATCH(A782,'08_PEDIDOS'!$A$2:$A$97,0)))</f>
        <v>9</v>
      </c>
      <c r="L782" s="16" t="n">
        <f aca="false">J782*N(INDEX('04_MAQUINAS'!$F$2:$F$18,MATCH(E782,'04_MAQUINAS'!$A$2:$A$18,0)))</f>
        <v>20.28</v>
      </c>
      <c r="M782" s="17" t="n">
        <f aca="false">J782*INDEX('04_MAQUINAS'!$G$2:$G$18,MATCH(E782,'04_MAQUINAS'!$A$2:$A$18,0))*INDEX('04_MAQUINAS'!$H$2:$H$18,MATCH(E782,'04_MAQUINAS'!$A$2:$A$18,0))</f>
        <v>0.1014</v>
      </c>
      <c r="N782" s="2" t="s">
        <v>629</v>
      </c>
    </row>
    <row r="783" customFormat="false" ht="15" hidden="false" customHeight="false" outlineLevel="0" collapsed="false">
      <c r="A783" s="2" t="s">
        <v>590</v>
      </c>
      <c r="B783" s="2" t="s">
        <v>83</v>
      </c>
      <c r="C783" s="4" t="n">
        <v>1</v>
      </c>
      <c r="D783" s="2" t="s">
        <v>437</v>
      </c>
      <c r="E783" s="2" t="s">
        <v>375</v>
      </c>
      <c r="F783" s="5" t="n">
        <f aca="false">INDEX('08_PEDIDOS'!$D$2:$D$97,MATCH(A783,'08_PEDIDOS'!$A$2:$A$97,0))</f>
        <v>12</v>
      </c>
      <c r="G783" s="5" t="n">
        <f aca="false">INDEX('08_PEDIDOS'!$H$2:$H$97,MATCH(A783,'08_PEDIDOS'!$A$2:$A$97,0))</f>
        <v>10</v>
      </c>
      <c r="H783" s="17" t="n">
        <f aca="false">SUMIFS('05_RUTAS'!$F$2:$F$407,'05_RUTAS'!$A$2:$A$407,B783,'05_RUTAS'!$C$2:$C$407,C783)</f>
        <v>8</v>
      </c>
      <c r="I783" s="18" t="n">
        <f aca="false">SUMIFS('05_RUTAS'!$G$2:$G$407,'05_RUTAS'!$A$2:$A$407,B783,'05_RUTAS'!$C$2:$C$407,C783)</f>
        <v>36.67</v>
      </c>
      <c r="J783" s="18" t="n">
        <f aca="false">(ROUNDUP(F783/G783,0)*H783+F783*I783)/60</f>
        <v>7.60066666666667</v>
      </c>
      <c r="K783" s="5" t="n">
        <f aca="false">MONTH(INDEX('08_PEDIDOS'!$F$2:$F$97,MATCH(A783,'08_PEDIDOS'!$A$2:$A$97,0)))</f>
        <v>9</v>
      </c>
      <c r="L783" s="16" t="n">
        <f aca="false">J783*N(INDEX('04_MAQUINAS'!$F$2:$F$18,MATCH(E783,'04_MAQUINAS'!$A$2:$A$18,0)))</f>
        <v>182.416</v>
      </c>
      <c r="M783" s="17" t="n">
        <f aca="false">J783*INDEX('04_MAQUINAS'!$G$2:$G$18,MATCH(E783,'04_MAQUINAS'!$A$2:$A$18,0))*INDEX('04_MAQUINAS'!$H$2:$H$18,MATCH(E783,'04_MAQUINAS'!$A$2:$A$18,0))</f>
        <v>20.9018333333333</v>
      </c>
      <c r="N783" s="2" t="s">
        <v>629</v>
      </c>
    </row>
    <row r="784" customFormat="false" ht="15" hidden="false" customHeight="false" outlineLevel="0" collapsed="false">
      <c r="A784" s="2" t="s">
        <v>590</v>
      </c>
      <c r="B784" s="2" t="s">
        <v>83</v>
      </c>
      <c r="C784" s="4" t="n">
        <v>2</v>
      </c>
      <c r="D784" s="2" t="s">
        <v>441</v>
      </c>
      <c r="E784" s="2" t="s">
        <v>380</v>
      </c>
      <c r="F784" s="5" t="n">
        <f aca="false">INDEX('08_PEDIDOS'!$D$2:$D$97,MATCH(A784,'08_PEDIDOS'!$A$2:$A$97,0))</f>
        <v>12</v>
      </c>
      <c r="G784" s="5" t="n">
        <f aca="false">INDEX('08_PEDIDOS'!$H$2:$H$97,MATCH(A784,'08_PEDIDOS'!$A$2:$A$97,0))</f>
        <v>10</v>
      </c>
      <c r="H784" s="17" t="n">
        <f aca="false">SUMIFS('05_RUTAS'!$F$2:$F$407,'05_RUTAS'!$A$2:$A$407,B784,'05_RUTAS'!$C$2:$C$407,C784)</f>
        <v>8</v>
      </c>
      <c r="I784" s="18" t="n">
        <f aca="false">SUMIFS('05_RUTAS'!$G$2:$G$407,'05_RUTAS'!$A$2:$A$407,B784,'05_RUTAS'!$C$2:$C$407,C784)</f>
        <v>52</v>
      </c>
      <c r="J784" s="18" t="n">
        <f aca="false">(ROUNDUP(F784/G784,0)*H784+F784*I784)/60</f>
        <v>10.6666666666667</v>
      </c>
      <c r="K784" s="5" t="n">
        <f aca="false">MONTH(INDEX('08_PEDIDOS'!$F$2:$F$97,MATCH(A784,'08_PEDIDOS'!$A$2:$A$97,0)))</f>
        <v>9</v>
      </c>
      <c r="L784" s="16" t="n">
        <f aca="false">J784*N(INDEX('04_MAQUINAS'!$F$2:$F$18,MATCH(E784,'04_MAQUINAS'!$A$2:$A$18,0)))</f>
        <v>234.666666666667</v>
      </c>
      <c r="M784" s="17" t="n">
        <f aca="false">J784*INDEX('04_MAQUINAS'!$G$2:$G$18,MATCH(E784,'04_MAQUINAS'!$A$2:$A$18,0))*INDEX('04_MAQUINAS'!$H$2:$H$18,MATCH(E784,'04_MAQUINAS'!$A$2:$A$18,0))</f>
        <v>4.8</v>
      </c>
      <c r="N784" s="2" t="s">
        <v>629</v>
      </c>
    </row>
    <row r="785" customFormat="false" ht="15" hidden="false" customHeight="false" outlineLevel="0" collapsed="false">
      <c r="A785" s="2" t="s">
        <v>590</v>
      </c>
      <c r="B785" s="2" t="s">
        <v>83</v>
      </c>
      <c r="C785" s="4" t="n">
        <v>3</v>
      </c>
      <c r="D785" s="2" t="s">
        <v>386</v>
      </c>
      <c r="E785" s="2" t="s">
        <v>383</v>
      </c>
      <c r="F785" s="5" t="n">
        <f aca="false">INDEX('08_PEDIDOS'!$D$2:$D$97,MATCH(A785,'08_PEDIDOS'!$A$2:$A$97,0))</f>
        <v>12</v>
      </c>
      <c r="G785" s="5" t="n">
        <f aca="false">INDEX('08_PEDIDOS'!$H$2:$H$97,MATCH(A785,'08_PEDIDOS'!$A$2:$A$97,0))</f>
        <v>10</v>
      </c>
      <c r="H785" s="17" t="n">
        <f aca="false">SUMIFS('05_RUTAS'!$F$2:$F$407,'05_RUTAS'!$A$2:$A$407,B785,'05_RUTAS'!$C$2:$C$407,C785)</f>
        <v>10</v>
      </c>
      <c r="I785" s="18" t="n">
        <f aca="false">SUMIFS('05_RUTAS'!$G$2:$G$407,'05_RUTAS'!$A$2:$A$407,B785,'05_RUTAS'!$C$2:$C$407,C785)</f>
        <v>82.1</v>
      </c>
      <c r="J785" s="18" t="n">
        <f aca="false">(ROUNDUP(F785/G785,0)*H785+F785*I785)/60</f>
        <v>16.7533333333333</v>
      </c>
      <c r="K785" s="5" t="n">
        <f aca="false">MONTH(INDEX('08_PEDIDOS'!$F$2:$F$97,MATCH(A785,'08_PEDIDOS'!$A$2:$A$97,0)))</f>
        <v>9</v>
      </c>
      <c r="L785" s="16" t="n">
        <f aca="false">J785*N(INDEX('04_MAQUINAS'!$F$2:$F$18,MATCH(E785,'04_MAQUINAS'!$A$2:$A$18,0)))</f>
        <v>368.573333333333</v>
      </c>
      <c r="M785" s="17" t="n">
        <f aca="false">J785*INDEX('04_MAQUINAS'!$G$2:$G$18,MATCH(E785,'04_MAQUINAS'!$A$2:$A$18,0))*INDEX('04_MAQUINAS'!$H$2:$H$18,MATCH(E785,'04_MAQUINAS'!$A$2:$A$18,0))</f>
        <v>4.60716666666667</v>
      </c>
      <c r="N785" s="2" t="s">
        <v>629</v>
      </c>
    </row>
    <row r="786" customFormat="false" ht="15" hidden="false" customHeight="false" outlineLevel="0" collapsed="false">
      <c r="A786" s="2" t="s">
        <v>590</v>
      </c>
      <c r="B786" s="2" t="s">
        <v>83</v>
      </c>
      <c r="C786" s="4" t="n">
        <v>4</v>
      </c>
      <c r="D786" s="2" t="s">
        <v>390</v>
      </c>
      <c r="E786" s="2" t="s">
        <v>387</v>
      </c>
      <c r="F786" s="5" t="n">
        <f aca="false">INDEX('08_PEDIDOS'!$D$2:$D$97,MATCH(A786,'08_PEDIDOS'!$A$2:$A$97,0))</f>
        <v>12</v>
      </c>
      <c r="G786" s="5" t="n">
        <f aca="false">INDEX('08_PEDIDOS'!$H$2:$H$97,MATCH(A786,'08_PEDIDOS'!$A$2:$A$97,0))</f>
        <v>10</v>
      </c>
      <c r="H786" s="17" t="n">
        <f aca="false">SUMIFS('05_RUTAS'!$F$2:$F$407,'05_RUTAS'!$A$2:$A$407,B786,'05_RUTAS'!$C$2:$C$407,C786)</f>
        <v>12</v>
      </c>
      <c r="I786" s="18" t="n">
        <f aca="false">SUMIFS('05_RUTAS'!$G$2:$G$407,'05_RUTAS'!$A$2:$A$407,B786,'05_RUTAS'!$C$2:$C$407,C786)</f>
        <v>69</v>
      </c>
      <c r="J786" s="18" t="n">
        <f aca="false">(ROUNDUP(F786/G786,0)*H786+F786*I786)/60</f>
        <v>14.2</v>
      </c>
      <c r="K786" s="5" t="n">
        <f aca="false">MONTH(INDEX('08_PEDIDOS'!$F$2:$F$97,MATCH(A786,'08_PEDIDOS'!$A$2:$A$97,0)))</f>
        <v>9</v>
      </c>
      <c r="L786" s="16" t="n">
        <f aca="false">J786*N(INDEX('04_MAQUINAS'!$F$2:$F$18,MATCH(E786,'04_MAQUINAS'!$A$2:$A$18,0)))</f>
        <v>397.6</v>
      </c>
      <c r="M786" s="17" t="n">
        <f aca="false">J786*INDEX('04_MAQUINAS'!$G$2:$G$18,MATCH(E786,'04_MAQUINAS'!$A$2:$A$18,0))*INDEX('04_MAQUINAS'!$H$2:$H$18,MATCH(E786,'04_MAQUINAS'!$A$2:$A$18,0))</f>
        <v>35.145</v>
      </c>
      <c r="N786" s="2" t="s">
        <v>629</v>
      </c>
    </row>
    <row r="787" customFormat="false" ht="15" hidden="false" customHeight="false" outlineLevel="0" collapsed="false">
      <c r="A787" s="2" t="s">
        <v>590</v>
      </c>
      <c r="B787" s="2" t="s">
        <v>83</v>
      </c>
      <c r="C787" s="4" t="n">
        <v>5</v>
      </c>
      <c r="D787" s="2" t="s">
        <v>442</v>
      </c>
      <c r="E787" s="2" t="s">
        <v>391</v>
      </c>
      <c r="F787" s="5" t="n">
        <f aca="false">INDEX('08_PEDIDOS'!$D$2:$D$97,MATCH(A787,'08_PEDIDOS'!$A$2:$A$97,0))</f>
        <v>12</v>
      </c>
      <c r="G787" s="5" t="n">
        <f aca="false">INDEX('08_PEDIDOS'!$H$2:$H$97,MATCH(A787,'08_PEDIDOS'!$A$2:$A$97,0))</f>
        <v>10</v>
      </c>
      <c r="H787" s="17" t="n">
        <f aca="false">SUMIFS('05_RUTAS'!$F$2:$F$407,'05_RUTAS'!$A$2:$A$407,B787,'05_RUTAS'!$C$2:$C$407,C787)</f>
        <v>10</v>
      </c>
      <c r="I787" s="18" t="n">
        <f aca="false">SUMIFS('05_RUTAS'!$G$2:$G$407,'05_RUTAS'!$A$2:$A$407,B787,'05_RUTAS'!$C$2:$C$407,C787)</f>
        <v>78.4</v>
      </c>
      <c r="J787" s="18" t="n">
        <f aca="false">(ROUNDUP(F787/G787,0)*H787+F787*I787)/60</f>
        <v>16.0133333333333</v>
      </c>
      <c r="K787" s="5" t="n">
        <f aca="false">MONTH(INDEX('08_PEDIDOS'!$F$2:$F$97,MATCH(A787,'08_PEDIDOS'!$A$2:$A$97,0)))</f>
        <v>9</v>
      </c>
      <c r="L787" s="16" t="n">
        <f aca="false">J787*N(INDEX('04_MAQUINAS'!$F$2:$F$18,MATCH(E787,'04_MAQUINAS'!$A$2:$A$18,0)))</f>
        <v>512.426666666667</v>
      </c>
      <c r="M787" s="17" t="n">
        <f aca="false">J787*INDEX('04_MAQUINAS'!$G$2:$G$18,MATCH(E787,'04_MAQUINAS'!$A$2:$A$18,0))*INDEX('04_MAQUINAS'!$H$2:$H$18,MATCH(E787,'04_MAQUINAS'!$A$2:$A$18,0))</f>
        <v>28.0233333333333</v>
      </c>
      <c r="N787" s="2" t="s">
        <v>629</v>
      </c>
    </row>
    <row r="788" customFormat="false" ht="15" hidden="false" customHeight="false" outlineLevel="0" collapsed="false">
      <c r="A788" s="2" t="s">
        <v>590</v>
      </c>
      <c r="B788" s="2" t="s">
        <v>83</v>
      </c>
      <c r="C788" s="4" t="n">
        <v>6</v>
      </c>
      <c r="D788" s="2" t="s">
        <v>443</v>
      </c>
      <c r="E788" s="2" t="s">
        <v>395</v>
      </c>
      <c r="F788" s="5" t="n">
        <f aca="false">INDEX('08_PEDIDOS'!$D$2:$D$97,MATCH(A788,'08_PEDIDOS'!$A$2:$A$97,0))</f>
        <v>12</v>
      </c>
      <c r="G788" s="5" t="n">
        <f aca="false">INDEX('08_PEDIDOS'!$H$2:$H$97,MATCH(A788,'08_PEDIDOS'!$A$2:$A$97,0))</f>
        <v>10</v>
      </c>
      <c r="H788" s="17" t="n">
        <f aca="false">SUMIFS('05_RUTAS'!$F$2:$F$407,'05_RUTAS'!$A$2:$A$407,B788,'05_RUTAS'!$C$2:$C$407,C788)</f>
        <v>3</v>
      </c>
      <c r="I788" s="18" t="n">
        <f aca="false">SUMIFS('05_RUTAS'!$G$2:$G$407,'05_RUTAS'!$A$2:$A$407,B788,'05_RUTAS'!$C$2:$C$407,C788)</f>
        <v>49.5</v>
      </c>
      <c r="J788" s="18" t="n">
        <f aca="false">(ROUNDUP(F788/G788,0)*H788+F788*I788)/60</f>
        <v>10</v>
      </c>
      <c r="K788" s="5" t="n">
        <f aca="false">MONTH(INDEX('08_PEDIDOS'!$F$2:$F$97,MATCH(A788,'08_PEDIDOS'!$A$2:$A$97,0)))</f>
        <v>9</v>
      </c>
      <c r="L788" s="16" t="n">
        <f aca="false">J788*N(INDEX('04_MAQUINAS'!$F$2:$F$18,MATCH(E788,'04_MAQUINAS'!$A$2:$A$18,0)))</f>
        <v>210</v>
      </c>
      <c r="M788" s="17" t="n">
        <f aca="false">J788*INDEX('04_MAQUINAS'!$G$2:$G$18,MATCH(E788,'04_MAQUINAS'!$A$2:$A$18,0))*INDEX('04_MAQUINAS'!$H$2:$H$18,MATCH(E788,'04_MAQUINAS'!$A$2:$A$18,0))</f>
        <v>7.5</v>
      </c>
      <c r="N788" s="2" t="s">
        <v>629</v>
      </c>
    </row>
    <row r="789" customFormat="false" ht="15" hidden="false" customHeight="false" outlineLevel="0" collapsed="false">
      <c r="A789" s="2" t="s">
        <v>590</v>
      </c>
      <c r="B789" s="2" t="s">
        <v>83</v>
      </c>
      <c r="C789" s="4" t="n">
        <v>7</v>
      </c>
      <c r="D789" s="2" t="s">
        <v>444</v>
      </c>
      <c r="E789" s="2" t="s">
        <v>399</v>
      </c>
      <c r="F789" s="5" t="n">
        <f aca="false">INDEX('08_PEDIDOS'!$D$2:$D$97,MATCH(A789,'08_PEDIDOS'!$A$2:$A$97,0))</f>
        <v>12</v>
      </c>
      <c r="G789" s="5" t="n">
        <f aca="false">INDEX('08_PEDIDOS'!$H$2:$H$97,MATCH(A789,'08_PEDIDOS'!$A$2:$A$97,0))</f>
        <v>10</v>
      </c>
      <c r="H789" s="17" t="n">
        <f aca="false">SUMIFS('05_RUTAS'!$F$2:$F$407,'05_RUTAS'!$A$2:$A$407,B789,'05_RUTAS'!$C$2:$C$407,C789)</f>
        <v>6</v>
      </c>
      <c r="I789" s="18" t="n">
        <f aca="false">SUMIFS('05_RUTAS'!$G$2:$G$407,'05_RUTAS'!$A$2:$A$407,B789,'05_RUTAS'!$C$2:$C$407,C789)</f>
        <v>32.064</v>
      </c>
      <c r="J789" s="18" t="n">
        <f aca="false">(ROUNDUP(F789/G789,0)*H789+F789*I789)/60</f>
        <v>6.6128</v>
      </c>
      <c r="K789" s="5" t="n">
        <f aca="false">MONTH(INDEX('08_PEDIDOS'!$F$2:$F$97,MATCH(A789,'08_PEDIDOS'!$A$2:$A$97,0)))</f>
        <v>9</v>
      </c>
      <c r="L789" s="16" t="n">
        <f aca="false">J789*N(INDEX('04_MAQUINAS'!$F$2:$F$18,MATCH(E789,'04_MAQUINAS'!$A$2:$A$18,0)))</f>
        <v>125.6432</v>
      </c>
      <c r="M789" s="17" t="n">
        <f aca="false">J789*INDEX('04_MAQUINAS'!$G$2:$G$18,MATCH(E789,'04_MAQUINAS'!$A$2:$A$18,0))*INDEX('04_MAQUINAS'!$H$2:$H$18,MATCH(E789,'04_MAQUINAS'!$A$2:$A$18,0))</f>
        <v>5.819264</v>
      </c>
      <c r="N789" s="2" t="s">
        <v>629</v>
      </c>
    </row>
    <row r="790" customFormat="false" ht="15" hidden="false" customHeight="false" outlineLevel="0" collapsed="false">
      <c r="A790" s="2" t="s">
        <v>590</v>
      </c>
      <c r="B790" s="2" t="s">
        <v>83</v>
      </c>
      <c r="C790" s="4" t="n">
        <v>8</v>
      </c>
      <c r="D790" s="2" t="s">
        <v>445</v>
      </c>
      <c r="E790" s="2" t="s">
        <v>402</v>
      </c>
      <c r="F790" s="5" t="n">
        <f aca="false">INDEX('08_PEDIDOS'!$D$2:$D$97,MATCH(A790,'08_PEDIDOS'!$A$2:$A$97,0))</f>
        <v>12</v>
      </c>
      <c r="G790" s="5" t="n">
        <f aca="false">INDEX('08_PEDIDOS'!$H$2:$H$97,MATCH(A790,'08_PEDIDOS'!$A$2:$A$97,0))</f>
        <v>10</v>
      </c>
      <c r="H790" s="17" t="n">
        <f aca="false">SUMIFS('05_RUTAS'!$F$2:$F$407,'05_RUTAS'!$A$2:$A$407,B790,'05_RUTAS'!$C$2:$C$407,C790)</f>
        <v>12</v>
      </c>
      <c r="I790" s="18" t="n">
        <f aca="false">SUMIFS('05_RUTAS'!$G$2:$G$407,'05_RUTAS'!$A$2:$A$407,B790,'05_RUTAS'!$C$2:$C$407,C790)</f>
        <v>8.02</v>
      </c>
      <c r="J790" s="18" t="n">
        <f aca="false">(ROUNDUP(F790/G790,0)*H790+F790*I790)/60</f>
        <v>2.004</v>
      </c>
      <c r="K790" s="5" t="n">
        <f aca="false">MONTH(INDEX('08_PEDIDOS'!$F$2:$F$97,MATCH(A790,'08_PEDIDOS'!$A$2:$A$97,0)))</f>
        <v>9</v>
      </c>
      <c r="L790" s="16" t="n">
        <f aca="false">J790*N(INDEX('04_MAQUINAS'!$F$2:$F$18,MATCH(E790,'04_MAQUINAS'!$A$2:$A$18,0)))</f>
        <v>64.128</v>
      </c>
      <c r="M790" s="17" t="n">
        <f aca="false">J790*INDEX('04_MAQUINAS'!$G$2:$G$18,MATCH(E790,'04_MAQUINAS'!$A$2:$A$18,0))*INDEX('04_MAQUINAS'!$H$2:$H$18,MATCH(E790,'04_MAQUINAS'!$A$2:$A$18,0))</f>
        <v>2.1042</v>
      </c>
      <c r="N790" s="2" t="s">
        <v>629</v>
      </c>
    </row>
    <row r="791" customFormat="false" ht="15" hidden="false" customHeight="false" outlineLevel="0" collapsed="false">
      <c r="A791" s="2" t="s">
        <v>590</v>
      </c>
      <c r="B791" s="2" t="s">
        <v>83</v>
      </c>
      <c r="C791" s="4" t="n">
        <v>9</v>
      </c>
      <c r="D791" s="2" t="s">
        <v>447</v>
      </c>
      <c r="E791" s="2" t="s">
        <v>421</v>
      </c>
      <c r="F791" s="5" t="n">
        <f aca="false">INDEX('08_PEDIDOS'!$D$2:$D$97,MATCH(A791,'08_PEDIDOS'!$A$2:$A$97,0))</f>
        <v>12</v>
      </c>
      <c r="G791" s="5" t="n">
        <f aca="false">INDEX('08_PEDIDOS'!$H$2:$H$97,MATCH(A791,'08_PEDIDOS'!$A$2:$A$97,0))</f>
        <v>10</v>
      </c>
      <c r="H791" s="17" t="n">
        <f aca="false">SUMIFS('05_RUTAS'!$F$2:$F$407,'05_RUTAS'!$A$2:$A$407,B791,'05_RUTAS'!$C$2:$C$407,C791)</f>
        <v>45</v>
      </c>
      <c r="I791" s="18" t="n">
        <f aca="false">SUMIFS('05_RUTAS'!$G$2:$G$407,'05_RUTAS'!$A$2:$A$407,B791,'05_RUTAS'!$C$2:$C$407,C791)</f>
        <v>0</v>
      </c>
      <c r="J791" s="18" t="n">
        <f aca="false">(ROUNDUP(F791/G791,0)*H791+F791*I791)/60</f>
        <v>1.5</v>
      </c>
      <c r="K791" s="5" t="n">
        <f aca="false">MONTH(INDEX('08_PEDIDOS'!$F$2:$F$97,MATCH(A791,'08_PEDIDOS'!$A$2:$A$97,0)))</f>
        <v>9</v>
      </c>
      <c r="L791" s="16" t="n">
        <f aca="false">J791*N(INDEX('04_MAQUINAS'!$F$2:$F$18,MATCH(E791,'04_MAQUINAS'!$A$2:$A$18,0)))</f>
        <v>39</v>
      </c>
      <c r="M791" s="17" t="n">
        <f aca="false">J791*INDEX('04_MAQUINAS'!$G$2:$G$18,MATCH(E791,'04_MAQUINAS'!$A$2:$A$18,0))*INDEX('04_MAQUINAS'!$H$2:$H$18,MATCH(E791,'04_MAQUINAS'!$A$2:$A$18,0))</f>
        <v>21.6</v>
      </c>
      <c r="N791" s="2" t="s">
        <v>629</v>
      </c>
    </row>
    <row r="792" customFormat="false" ht="15" hidden="false" customHeight="false" outlineLevel="0" collapsed="false">
      <c r="A792" s="2" t="s">
        <v>590</v>
      </c>
      <c r="B792" s="2" t="s">
        <v>83</v>
      </c>
      <c r="C792" s="4" t="n">
        <v>10</v>
      </c>
      <c r="D792" s="2" t="s">
        <v>449</v>
      </c>
      <c r="E792" s="2" t="s">
        <v>423</v>
      </c>
      <c r="F792" s="5" t="n">
        <f aca="false">INDEX('08_PEDIDOS'!$D$2:$D$97,MATCH(A792,'08_PEDIDOS'!$A$2:$A$97,0))</f>
        <v>12</v>
      </c>
      <c r="G792" s="5" t="n">
        <f aca="false">INDEX('08_PEDIDOS'!$H$2:$H$97,MATCH(A792,'08_PEDIDOS'!$A$2:$A$97,0))</f>
        <v>10</v>
      </c>
      <c r="H792" s="17" t="n">
        <f aca="false">SUMIFS('05_RUTAS'!$F$2:$F$407,'05_RUTAS'!$A$2:$A$407,B792,'05_RUTAS'!$C$2:$C$407,C792)</f>
        <v>8</v>
      </c>
      <c r="I792" s="18" t="n">
        <f aca="false">SUMIFS('05_RUTAS'!$G$2:$G$407,'05_RUTAS'!$A$2:$A$407,B792,'05_RUTAS'!$C$2:$C$407,C792)</f>
        <v>2.69</v>
      </c>
      <c r="J792" s="18" t="n">
        <f aca="false">(ROUNDUP(F792/G792,0)*H792+F792*I792)/60</f>
        <v>0.804666666666667</v>
      </c>
      <c r="K792" s="5" t="n">
        <f aca="false">MONTH(INDEX('08_PEDIDOS'!$F$2:$F$97,MATCH(A792,'08_PEDIDOS'!$A$2:$A$97,0)))</f>
        <v>9</v>
      </c>
      <c r="L792" s="16" t="n">
        <f aca="false">J792*N(INDEX('04_MAQUINAS'!$F$2:$F$18,MATCH(E792,'04_MAQUINAS'!$A$2:$A$18,0)))</f>
        <v>12.8746666666667</v>
      </c>
      <c r="M792" s="17" t="n">
        <f aca="false">J792*INDEX('04_MAQUINAS'!$G$2:$G$18,MATCH(E792,'04_MAQUINAS'!$A$2:$A$18,0))*INDEX('04_MAQUINAS'!$H$2:$H$18,MATCH(E792,'04_MAQUINAS'!$A$2:$A$18,0))</f>
        <v>0.201166666666667</v>
      </c>
      <c r="N792" s="2" t="s">
        <v>629</v>
      </c>
    </row>
    <row r="793" customFormat="false" ht="15" hidden="false" customHeight="false" outlineLevel="0" collapsed="false">
      <c r="A793" s="2" t="s">
        <v>590</v>
      </c>
      <c r="B793" s="2" t="s">
        <v>83</v>
      </c>
      <c r="C793" s="4" t="n">
        <v>11</v>
      </c>
      <c r="D793" s="2" t="s">
        <v>450</v>
      </c>
      <c r="E793" s="2" t="s">
        <v>406</v>
      </c>
      <c r="F793" s="5" t="n">
        <f aca="false">INDEX('08_PEDIDOS'!$D$2:$D$97,MATCH(A793,'08_PEDIDOS'!$A$2:$A$97,0))</f>
        <v>12</v>
      </c>
      <c r="G793" s="5" t="n">
        <f aca="false">INDEX('08_PEDIDOS'!$H$2:$H$97,MATCH(A793,'08_PEDIDOS'!$A$2:$A$97,0))</f>
        <v>10</v>
      </c>
      <c r="H793" s="17" t="n">
        <f aca="false">SUMIFS('05_RUTAS'!$F$2:$F$407,'05_RUTAS'!$A$2:$A$407,B793,'05_RUTAS'!$C$2:$C$407,C793)</f>
        <v>6</v>
      </c>
      <c r="I793" s="18" t="n">
        <f aca="false">SUMIFS('05_RUTAS'!$G$2:$G$407,'05_RUTAS'!$A$2:$A$407,B793,'05_RUTAS'!$C$2:$C$407,C793)</f>
        <v>62.25</v>
      </c>
      <c r="J793" s="18" t="n">
        <f aca="false">(ROUNDUP(F793/G793,0)*H793+F793*I793)/60</f>
        <v>12.65</v>
      </c>
      <c r="K793" s="5" t="n">
        <f aca="false">MONTH(INDEX('08_PEDIDOS'!$F$2:$F$97,MATCH(A793,'08_PEDIDOS'!$A$2:$A$97,0)))</f>
        <v>9</v>
      </c>
      <c r="L793" s="16" t="n">
        <f aca="false">J793*N(INDEX('04_MAQUINAS'!$F$2:$F$18,MATCH(E793,'04_MAQUINAS'!$A$2:$A$18,0)))</f>
        <v>240.35</v>
      </c>
      <c r="M793" s="17" t="n">
        <f aca="false">J793*INDEX('04_MAQUINAS'!$G$2:$G$18,MATCH(E793,'04_MAQUINAS'!$A$2:$A$18,0))*INDEX('04_MAQUINAS'!$H$2:$H$18,MATCH(E793,'04_MAQUINAS'!$A$2:$A$18,0))</f>
        <v>3.795</v>
      </c>
      <c r="N793" s="2" t="s">
        <v>629</v>
      </c>
    </row>
    <row r="794" customFormat="false" ht="15" hidden="false" customHeight="false" outlineLevel="0" collapsed="false">
      <c r="A794" s="2" t="s">
        <v>590</v>
      </c>
      <c r="B794" s="2" t="s">
        <v>83</v>
      </c>
      <c r="C794" s="4" t="n">
        <v>12</v>
      </c>
      <c r="D794" s="2" t="s">
        <v>451</v>
      </c>
      <c r="E794" s="2" t="s">
        <v>408</v>
      </c>
      <c r="F794" s="5" t="n">
        <f aca="false">INDEX('08_PEDIDOS'!$D$2:$D$97,MATCH(A794,'08_PEDIDOS'!$A$2:$A$97,0))</f>
        <v>12</v>
      </c>
      <c r="G794" s="5" t="n">
        <f aca="false">INDEX('08_PEDIDOS'!$H$2:$H$97,MATCH(A794,'08_PEDIDOS'!$A$2:$A$97,0))</f>
        <v>10</v>
      </c>
      <c r="H794" s="17" t="n">
        <f aca="false">SUMIFS('05_RUTAS'!$F$2:$F$407,'05_RUTAS'!$A$2:$A$407,B794,'05_RUTAS'!$C$2:$C$407,C794)</f>
        <v>2</v>
      </c>
      <c r="I794" s="18" t="n">
        <f aca="false">SUMIFS('05_RUTAS'!$G$2:$G$407,'05_RUTAS'!$A$2:$A$407,B794,'05_RUTAS'!$C$2:$C$407,C794)</f>
        <v>3.86</v>
      </c>
      <c r="J794" s="18" t="n">
        <f aca="false">(ROUNDUP(F794/G794,0)*H794+F794*I794)/60</f>
        <v>0.838666666666667</v>
      </c>
      <c r="K794" s="5" t="n">
        <f aca="false">MONTH(INDEX('08_PEDIDOS'!$F$2:$F$97,MATCH(A794,'08_PEDIDOS'!$A$2:$A$97,0)))</f>
        <v>9</v>
      </c>
      <c r="L794" s="16" t="n">
        <f aca="false">J794*N(INDEX('04_MAQUINAS'!$F$2:$F$18,MATCH(E794,'04_MAQUINAS'!$A$2:$A$18,0)))</f>
        <v>16.7733333333333</v>
      </c>
      <c r="M794" s="17" t="n">
        <f aca="false">J794*INDEX('04_MAQUINAS'!$G$2:$G$18,MATCH(E794,'04_MAQUINAS'!$A$2:$A$18,0))*INDEX('04_MAQUINAS'!$H$2:$H$18,MATCH(E794,'04_MAQUINAS'!$A$2:$A$18,0))</f>
        <v>0.0838666666666667</v>
      </c>
      <c r="N794" s="2" t="s">
        <v>629</v>
      </c>
    </row>
    <row r="795" customFormat="false" ht="15" hidden="false" customHeight="false" outlineLevel="0" collapsed="false">
      <c r="A795" s="2" t="s">
        <v>590</v>
      </c>
      <c r="B795" s="2" t="s">
        <v>83</v>
      </c>
      <c r="C795" s="4" t="n">
        <v>13</v>
      </c>
      <c r="D795" s="2" t="s">
        <v>452</v>
      </c>
      <c r="E795" s="2" t="s">
        <v>411</v>
      </c>
      <c r="F795" s="5" t="n">
        <f aca="false">INDEX('08_PEDIDOS'!$D$2:$D$97,MATCH(A795,'08_PEDIDOS'!$A$2:$A$97,0))</f>
        <v>12</v>
      </c>
      <c r="G795" s="5" t="n">
        <f aca="false">INDEX('08_PEDIDOS'!$H$2:$H$97,MATCH(A795,'08_PEDIDOS'!$A$2:$A$97,0))</f>
        <v>10</v>
      </c>
      <c r="H795" s="17" t="n">
        <f aca="false">SUMIFS('05_RUTAS'!$F$2:$F$407,'05_RUTAS'!$A$2:$A$407,B795,'05_RUTAS'!$C$2:$C$407,C795)</f>
        <v>2</v>
      </c>
      <c r="I795" s="18" t="n">
        <f aca="false">SUMIFS('05_RUTAS'!$G$2:$G$407,'05_RUTAS'!$A$2:$A$407,B795,'05_RUTAS'!$C$2:$C$407,C795)</f>
        <v>5.3</v>
      </c>
      <c r="J795" s="18" t="n">
        <f aca="false">(ROUNDUP(F795/G795,0)*H795+F795*I795)/60</f>
        <v>1.12666666666667</v>
      </c>
      <c r="K795" s="5" t="n">
        <f aca="false">MONTH(INDEX('08_PEDIDOS'!$F$2:$F$97,MATCH(A795,'08_PEDIDOS'!$A$2:$A$97,0)))</f>
        <v>9</v>
      </c>
      <c r="L795" s="16" t="n">
        <f aca="false">J795*N(INDEX('04_MAQUINAS'!$F$2:$F$18,MATCH(E795,'04_MAQUINAS'!$A$2:$A$18,0)))</f>
        <v>20.28</v>
      </c>
      <c r="M795" s="17" t="n">
        <f aca="false">J795*INDEX('04_MAQUINAS'!$G$2:$G$18,MATCH(E795,'04_MAQUINAS'!$A$2:$A$18,0))*INDEX('04_MAQUINAS'!$H$2:$H$18,MATCH(E795,'04_MAQUINAS'!$A$2:$A$18,0))</f>
        <v>0.1014</v>
      </c>
      <c r="N795" s="2" t="s">
        <v>629</v>
      </c>
    </row>
    <row r="796" customFormat="false" ht="15" hidden="false" customHeight="false" outlineLevel="0" collapsed="false">
      <c r="A796" s="2" t="s">
        <v>591</v>
      </c>
      <c r="B796" s="2" t="s">
        <v>94</v>
      </c>
      <c r="C796" s="4" t="n">
        <v>1</v>
      </c>
      <c r="D796" s="2" t="s">
        <v>437</v>
      </c>
      <c r="E796" s="2" t="s">
        <v>375</v>
      </c>
      <c r="F796" s="5" t="n">
        <f aca="false">INDEX('08_PEDIDOS'!$D$2:$D$97,MATCH(A796,'08_PEDIDOS'!$A$2:$A$97,0))</f>
        <v>6</v>
      </c>
      <c r="G796" s="5" t="n">
        <f aca="false">INDEX('08_PEDIDOS'!$H$2:$H$97,MATCH(A796,'08_PEDIDOS'!$A$2:$A$97,0))</f>
        <v>10</v>
      </c>
      <c r="H796" s="17" t="n">
        <f aca="false">SUMIFS('05_RUTAS'!$F$2:$F$407,'05_RUTAS'!$A$2:$A$407,B796,'05_RUTAS'!$C$2:$C$407,C796)</f>
        <v>8</v>
      </c>
      <c r="I796" s="18" t="n">
        <f aca="false">SUMIFS('05_RUTAS'!$G$2:$G$407,'05_RUTAS'!$A$2:$A$407,B796,'05_RUTAS'!$C$2:$C$407,C796)</f>
        <v>90.38</v>
      </c>
      <c r="J796" s="18" t="n">
        <f aca="false">(ROUNDUP(F796/G796,0)*H796+F796*I796)/60</f>
        <v>9.17133333333333</v>
      </c>
      <c r="K796" s="5" t="n">
        <f aca="false">MONTH(INDEX('08_PEDIDOS'!$F$2:$F$97,MATCH(A796,'08_PEDIDOS'!$A$2:$A$97,0)))</f>
        <v>9</v>
      </c>
      <c r="L796" s="16" t="n">
        <f aca="false">J796*N(INDEX('04_MAQUINAS'!$F$2:$F$18,MATCH(E796,'04_MAQUINAS'!$A$2:$A$18,0)))</f>
        <v>220.112</v>
      </c>
      <c r="M796" s="17" t="n">
        <f aca="false">J796*INDEX('04_MAQUINAS'!$G$2:$G$18,MATCH(E796,'04_MAQUINAS'!$A$2:$A$18,0))*INDEX('04_MAQUINAS'!$H$2:$H$18,MATCH(E796,'04_MAQUINAS'!$A$2:$A$18,0))</f>
        <v>25.2211666666667</v>
      </c>
      <c r="N796" s="2" t="s">
        <v>629</v>
      </c>
    </row>
    <row r="797" customFormat="false" ht="15" hidden="false" customHeight="false" outlineLevel="0" collapsed="false">
      <c r="A797" s="2" t="s">
        <v>591</v>
      </c>
      <c r="B797" s="2" t="s">
        <v>94</v>
      </c>
      <c r="C797" s="4" t="n">
        <v>2</v>
      </c>
      <c r="D797" s="2" t="s">
        <v>441</v>
      </c>
      <c r="E797" s="2" t="s">
        <v>380</v>
      </c>
      <c r="F797" s="5" t="n">
        <f aca="false">INDEX('08_PEDIDOS'!$D$2:$D$97,MATCH(A797,'08_PEDIDOS'!$A$2:$A$97,0))</f>
        <v>6</v>
      </c>
      <c r="G797" s="5" t="n">
        <f aca="false">INDEX('08_PEDIDOS'!$H$2:$H$97,MATCH(A797,'08_PEDIDOS'!$A$2:$A$97,0))</f>
        <v>10</v>
      </c>
      <c r="H797" s="17" t="n">
        <f aca="false">SUMIFS('05_RUTAS'!$F$2:$F$407,'05_RUTAS'!$A$2:$A$407,B797,'05_RUTAS'!$C$2:$C$407,C797)</f>
        <v>8</v>
      </c>
      <c r="I797" s="18" t="n">
        <f aca="false">SUMIFS('05_RUTAS'!$G$2:$G$407,'05_RUTAS'!$A$2:$A$407,B797,'05_RUTAS'!$C$2:$C$407,C797)</f>
        <v>5.98</v>
      </c>
      <c r="J797" s="18" t="n">
        <f aca="false">(ROUNDUP(F797/G797,0)*H797+F797*I797)/60</f>
        <v>0.731333333333333</v>
      </c>
      <c r="K797" s="5" t="n">
        <f aca="false">MONTH(INDEX('08_PEDIDOS'!$F$2:$F$97,MATCH(A797,'08_PEDIDOS'!$A$2:$A$97,0)))</f>
        <v>9</v>
      </c>
      <c r="L797" s="16" t="n">
        <f aca="false">J797*N(INDEX('04_MAQUINAS'!$F$2:$F$18,MATCH(E797,'04_MAQUINAS'!$A$2:$A$18,0)))</f>
        <v>16.0893333333333</v>
      </c>
      <c r="M797" s="17" t="n">
        <f aca="false">J797*INDEX('04_MAQUINAS'!$G$2:$G$18,MATCH(E797,'04_MAQUINAS'!$A$2:$A$18,0))*INDEX('04_MAQUINAS'!$H$2:$H$18,MATCH(E797,'04_MAQUINAS'!$A$2:$A$18,0))</f>
        <v>0.3291</v>
      </c>
      <c r="N797" s="2" t="s">
        <v>629</v>
      </c>
    </row>
    <row r="798" customFormat="false" ht="15" hidden="false" customHeight="false" outlineLevel="0" collapsed="false">
      <c r="A798" s="2" t="s">
        <v>591</v>
      </c>
      <c r="B798" s="2" t="s">
        <v>94</v>
      </c>
      <c r="C798" s="4" t="n">
        <v>3</v>
      </c>
      <c r="D798" s="2" t="s">
        <v>386</v>
      </c>
      <c r="E798" s="2" t="s">
        <v>383</v>
      </c>
      <c r="F798" s="5" t="n">
        <f aca="false">INDEX('08_PEDIDOS'!$D$2:$D$97,MATCH(A798,'08_PEDIDOS'!$A$2:$A$97,0))</f>
        <v>6</v>
      </c>
      <c r="G798" s="5" t="n">
        <f aca="false">INDEX('08_PEDIDOS'!$H$2:$H$97,MATCH(A798,'08_PEDIDOS'!$A$2:$A$97,0))</f>
        <v>10</v>
      </c>
      <c r="H798" s="17" t="n">
        <f aca="false">SUMIFS('05_RUTAS'!$F$2:$F$407,'05_RUTAS'!$A$2:$A$407,B798,'05_RUTAS'!$C$2:$C$407,C798)</f>
        <v>10</v>
      </c>
      <c r="I798" s="18" t="n">
        <f aca="false">SUMIFS('05_RUTAS'!$G$2:$G$407,'05_RUTAS'!$A$2:$A$407,B798,'05_RUTAS'!$C$2:$C$407,C798)</f>
        <v>97</v>
      </c>
      <c r="J798" s="18" t="n">
        <f aca="false">(ROUNDUP(F798/G798,0)*H798+F798*I798)/60</f>
        <v>9.86666666666667</v>
      </c>
      <c r="K798" s="5" t="n">
        <f aca="false">MONTH(INDEX('08_PEDIDOS'!$F$2:$F$97,MATCH(A798,'08_PEDIDOS'!$A$2:$A$97,0)))</f>
        <v>9</v>
      </c>
      <c r="L798" s="16" t="n">
        <f aca="false">J798*N(INDEX('04_MAQUINAS'!$F$2:$F$18,MATCH(E798,'04_MAQUINAS'!$A$2:$A$18,0)))</f>
        <v>217.066666666667</v>
      </c>
      <c r="M798" s="17" t="n">
        <f aca="false">J798*INDEX('04_MAQUINAS'!$G$2:$G$18,MATCH(E798,'04_MAQUINAS'!$A$2:$A$18,0))*INDEX('04_MAQUINAS'!$H$2:$H$18,MATCH(E798,'04_MAQUINAS'!$A$2:$A$18,0))</f>
        <v>2.71333333333333</v>
      </c>
      <c r="N798" s="2" t="s">
        <v>629</v>
      </c>
    </row>
    <row r="799" customFormat="false" ht="15" hidden="false" customHeight="false" outlineLevel="0" collapsed="false">
      <c r="A799" s="2" t="s">
        <v>591</v>
      </c>
      <c r="B799" s="2" t="s">
        <v>94</v>
      </c>
      <c r="C799" s="4" t="n">
        <v>4</v>
      </c>
      <c r="D799" s="2" t="s">
        <v>390</v>
      </c>
      <c r="E799" s="2" t="s">
        <v>387</v>
      </c>
      <c r="F799" s="5" t="n">
        <f aca="false">INDEX('08_PEDIDOS'!$D$2:$D$97,MATCH(A799,'08_PEDIDOS'!$A$2:$A$97,0))</f>
        <v>6</v>
      </c>
      <c r="G799" s="5" t="n">
        <f aca="false">INDEX('08_PEDIDOS'!$H$2:$H$97,MATCH(A799,'08_PEDIDOS'!$A$2:$A$97,0))</f>
        <v>10</v>
      </c>
      <c r="H799" s="17" t="n">
        <f aca="false">SUMIFS('05_RUTAS'!$F$2:$F$407,'05_RUTAS'!$A$2:$A$407,B799,'05_RUTAS'!$C$2:$C$407,C799)</f>
        <v>12</v>
      </c>
      <c r="I799" s="18" t="n">
        <f aca="false">SUMIFS('05_RUTAS'!$G$2:$G$407,'05_RUTAS'!$A$2:$A$407,B799,'05_RUTAS'!$C$2:$C$407,C799)</f>
        <v>196</v>
      </c>
      <c r="J799" s="18" t="n">
        <f aca="false">(ROUNDUP(F799/G799,0)*H799+F799*I799)/60</f>
        <v>19.8</v>
      </c>
      <c r="K799" s="5" t="n">
        <f aca="false">MONTH(INDEX('08_PEDIDOS'!$F$2:$F$97,MATCH(A799,'08_PEDIDOS'!$A$2:$A$97,0)))</f>
        <v>9</v>
      </c>
      <c r="L799" s="16" t="n">
        <f aca="false">J799*N(INDEX('04_MAQUINAS'!$F$2:$F$18,MATCH(E799,'04_MAQUINAS'!$A$2:$A$18,0)))</f>
        <v>554.4</v>
      </c>
      <c r="M799" s="17" t="n">
        <f aca="false">J799*INDEX('04_MAQUINAS'!$G$2:$G$18,MATCH(E799,'04_MAQUINAS'!$A$2:$A$18,0))*INDEX('04_MAQUINAS'!$H$2:$H$18,MATCH(E799,'04_MAQUINAS'!$A$2:$A$18,0))</f>
        <v>49.005</v>
      </c>
      <c r="N799" s="2" t="s">
        <v>629</v>
      </c>
    </row>
    <row r="800" customFormat="false" ht="15" hidden="false" customHeight="false" outlineLevel="0" collapsed="false">
      <c r="A800" s="2" t="s">
        <v>591</v>
      </c>
      <c r="B800" s="2" t="s">
        <v>94</v>
      </c>
      <c r="C800" s="4" t="n">
        <v>5</v>
      </c>
      <c r="D800" s="2" t="s">
        <v>443</v>
      </c>
      <c r="E800" s="2" t="s">
        <v>395</v>
      </c>
      <c r="F800" s="5" t="n">
        <f aca="false">INDEX('08_PEDIDOS'!$D$2:$D$97,MATCH(A800,'08_PEDIDOS'!$A$2:$A$97,0))</f>
        <v>6</v>
      </c>
      <c r="G800" s="5" t="n">
        <f aca="false">INDEX('08_PEDIDOS'!$H$2:$H$97,MATCH(A800,'08_PEDIDOS'!$A$2:$A$97,0))</f>
        <v>10</v>
      </c>
      <c r="H800" s="17" t="n">
        <f aca="false">SUMIFS('05_RUTAS'!$F$2:$F$407,'05_RUTAS'!$A$2:$A$407,B800,'05_RUTAS'!$C$2:$C$407,C800)</f>
        <v>3</v>
      </c>
      <c r="I800" s="18" t="n">
        <f aca="false">SUMIFS('05_RUTAS'!$G$2:$G$407,'05_RUTAS'!$A$2:$A$407,B800,'05_RUTAS'!$C$2:$C$407,C800)</f>
        <v>51</v>
      </c>
      <c r="J800" s="18" t="n">
        <f aca="false">(ROUNDUP(F800/G800,0)*H800+F800*I800)/60</f>
        <v>5.15</v>
      </c>
      <c r="K800" s="5" t="n">
        <f aca="false">MONTH(INDEX('08_PEDIDOS'!$F$2:$F$97,MATCH(A800,'08_PEDIDOS'!$A$2:$A$97,0)))</f>
        <v>9</v>
      </c>
      <c r="L800" s="16" t="n">
        <f aca="false">J800*N(INDEX('04_MAQUINAS'!$F$2:$F$18,MATCH(E800,'04_MAQUINAS'!$A$2:$A$18,0)))</f>
        <v>108.15</v>
      </c>
      <c r="M800" s="17" t="n">
        <f aca="false">J800*INDEX('04_MAQUINAS'!$G$2:$G$18,MATCH(E800,'04_MAQUINAS'!$A$2:$A$18,0))*INDEX('04_MAQUINAS'!$H$2:$H$18,MATCH(E800,'04_MAQUINAS'!$A$2:$A$18,0))</f>
        <v>3.8625</v>
      </c>
      <c r="N800" s="2" t="s">
        <v>629</v>
      </c>
    </row>
    <row r="801" customFormat="false" ht="15" hidden="false" customHeight="false" outlineLevel="0" collapsed="false">
      <c r="A801" s="2" t="s">
        <v>591</v>
      </c>
      <c r="B801" s="2" t="s">
        <v>94</v>
      </c>
      <c r="C801" s="4" t="n">
        <v>6</v>
      </c>
      <c r="D801" s="2" t="s">
        <v>444</v>
      </c>
      <c r="E801" s="2" t="s">
        <v>399</v>
      </c>
      <c r="F801" s="5" t="n">
        <f aca="false">INDEX('08_PEDIDOS'!$D$2:$D$97,MATCH(A801,'08_PEDIDOS'!$A$2:$A$97,0))</f>
        <v>6</v>
      </c>
      <c r="G801" s="5" t="n">
        <f aca="false">INDEX('08_PEDIDOS'!$H$2:$H$97,MATCH(A801,'08_PEDIDOS'!$A$2:$A$97,0))</f>
        <v>10</v>
      </c>
      <c r="H801" s="17" t="n">
        <f aca="false">SUMIFS('05_RUTAS'!$F$2:$F$407,'05_RUTAS'!$A$2:$A$407,B801,'05_RUTAS'!$C$2:$C$407,C801)</f>
        <v>6</v>
      </c>
      <c r="I801" s="18" t="n">
        <f aca="false">SUMIFS('05_RUTAS'!$G$2:$G$407,'05_RUTAS'!$A$2:$A$407,B801,'05_RUTAS'!$C$2:$C$407,C801)</f>
        <v>40.5152</v>
      </c>
      <c r="J801" s="18" t="n">
        <f aca="false">(ROUNDUP(F801/G801,0)*H801+F801*I801)/60</f>
        <v>4.15152</v>
      </c>
      <c r="K801" s="5" t="n">
        <f aca="false">MONTH(INDEX('08_PEDIDOS'!$F$2:$F$97,MATCH(A801,'08_PEDIDOS'!$A$2:$A$97,0)))</f>
        <v>9</v>
      </c>
      <c r="L801" s="16" t="n">
        <f aca="false">J801*N(INDEX('04_MAQUINAS'!$F$2:$F$18,MATCH(E801,'04_MAQUINAS'!$A$2:$A$18,0)))</f>
        <v>78.87888</v>
      </c>
      <c r="M801" s="17" t="n">
        <f aca="false">J801*INDEX('04_MAQUINAS'!$G$2:$G$18,MATCH(E801,'04_MAQUINAS'!$A$2:$A$18,0))*INDEX('04_MAQUINAS'!$H$2:$H$18,MATCH(E801,'04_MAQUINAS'!$A$2:$A$18,0))</f>
        <v>3.6533376</v>
      </c>
      <c r="N801" s="2" t="s">
        <v>629</v>
      </c>
    </row>
    <row r="802" customFormat="false" ht="15" hidden="false" customHeight="false" outlineLevel="0" collapsed="false">
      <c r="A802" s="2" t="s">
        <v>591</v>
      </c>
      <c r="B802" s="2" t="s">
        <v>94</v>
      </c>
      <c r="C802" s="4" t="n">
        <v>7</v>
      </c>
      <c r="D802" s="2" t="s">
        <v>445</v>
      </c>
      <c r="E802" s="2" t="s">
        <v>402</v>
      </c>
      <c r="F802" s="5" t="n">
        <f aca="false">INDEX('08_PEDIDOS'!$D$2:$D$97,MATCH(A802,'08_PEDIDOS'!$A$2:$A$97,0))</f>
        <v>6</v>
      </c>
      <c r="G802" s="5" t="n">
        <f aca="false">INDEX('08_PEDIDOS'!$H$2:$H$97,MATCH(A802,'08_PEDIDOS'!$A$2:$A$97,0))</f>
        <v>10</v>
      </c>
      <c r="H802" s="17" t="n">
        <f aca="false">SUMIFS('05_RUTAS'!$F$2:$F$407,'05_RUTAS'!$A$2:$A$407,B802,'05_RUTAS'!$C$2:$C$407,C802)</f>
        <v>12</v>
      </c>
      <c r="I802" s="18" t="n">
        <f aca="false">SUMIFS('05_RUTAS'!$G$2:$G$407,'05_RUTAS'!$A$2:$A$407,B802,'05_RUTAS'!$C$2:$C$407,C802)</f>
        <v>7.76</v>
      </c>
      <c r="J802" s="18" t="n">
        <f aca="false">(ROUNDUP(F802/G802,0)*H802+F802*I802)/60</f>
        <v>0.976</v>
      </c>
      <c r="K802" s="5" t="n">
        <f aca="false">MONTH(INDEX('08_PEDIDOS'!$F$2:$F$97,MATCH(A802,'08_PEDIDOS'!$A$2:$A$97,0)))</f>
        <v>9</v>
      </c>
      <c r="L802" s="16" t="n">
        <f aca="false">J802*N(INDEX('04_MAQUINAS'!$F$2:$F$18,MATCH(E802,'04_MAQUINAS'!$A$2:$A$18,0)))</f>
        <v>31.232</v>
      </c>
      <c r="M802" s="17" t="n">
        <f aca="false">J802*INDEX('04_MAQUINAS'!$G$2:$G$18,MATCH(E802,'04_MAQUINAS'!$A$2:$A$18,0))*INDEX('04_MAQUINAS'!$H$2:$H$18,MATCH(E802,'04_MAQUINAS'!$A$2:$A$18,0))</f>
        <v>1.0248</v>
      </c>
      <c r="N802" s="2" t="s">
        <v>629</v>
      </c>
    </row>
    <row r="803" customFormat="false" ht="15" hidden="false" customHeight="false" outlineLevel="0" collapsed="false">
      <c r="A803" s="2" t="s">
        <v>591</v>
      </c>
      <c r="B803" s="2" t="s">
        <v>94</v>
      </c>
      <c r="C803" s="4" t="n">
        <v>8</v>
      </c>
      <c r="D803" s="2" t="s">
        <v>447</v>
      </c>
      <c r="E803" s="2" t="s">
        <v>421</v>
      </c>
      <c r="F803" s="5" t="n">
        <f aca="false">INDEX('08_PEDIDOS'!$D$2:$D$97,MATCH(A803,'08_PEDIDOS'!$A$2:$A$97,0))</f>
        <v>6</v>
      </c>
      <c r="G803" s="5" t="n">
        <f aca="false">INDEX('08_PEDIDOS'!$H$2:$H$97,MATCH(A803,'08_PEDIDOS'!$A$2:$A$97,0))</f>
        <v>10</v>
      </c>
      <c r="H803" s="17" t="n">
        <f aca="false">SUMIFS('05_RUTAS'!$F$2:$F$407,'05_RUTAS'!$A$2:$A$407,B803,'05_RUTAS'!$C$2:$C$407,C803)</f>
        <v>45</v>
      </c>
      <c r="I803" s="18" t="n">
        <f aca="false">SUMIFS('05_RUTAS'!$G$2:$G$407,'05_RUTAS'!$A$2:$A$407,B803,'05_RUTAS'!$C$2:$C$407,C803)</f>
        <v>0</v>
      </c>
      <c r="J803" s="18" t="n">
        <f aca="false">(ROUNDUP(F803/G803,0)*H803+F803*I803)/60</f>
        <v>0.75</v>
      </c>
      <c r="K803" s="5" t="n">
        <f aca="false">MONTH(INDEX('08_PEDIDOS'!$F$2:$F$97,MATCH(A803,'08_PEDIDOS'!$A$2:$A$97,0)))</f>
        <v>9</v>
      </c>
      <c r="L803" s="16" t="n">
        <f aca="false">J803*N(INDEX('04_MAQUINAS'!$F$2:$F$18,MATCH(E803,'04_MAQUINAS'!$A$2:$A$18,0)))</f>
        <v>19.5</v>
      </c>
      <c r="M803" s="17" t="n">
        <f aca="false">J803*INDEX('04_MAQUINAS'!$G$2:$G$18,MATCH(E803,'04_MAQUINAS'!$A$2:$A$18,0))*INDEX('04_MAQUINAS'!$H$2:$H$18,MATCH(E803,'04_MAQUINAS'!$A$2:$A$18,0))</f>
        <v>10.8</v>
      </c>
      <c r="N803" s="2" t="s">
        <v>629</v>
      </c>
    </row>
    <row r="804" customFormat="false" ht="15" hidden="false" customHeight="false" outlineLevel="0" collapsed="false">
      <c r="A804" s="2" t="s">
        <v>591</v>
      </c>
      <c r="B804" s="2" t="s">
        <v>94</v>
      </c>
      <c r="C804" s="4" t="n">
        <v>9</v>
      </c>
      <c r="D804" s="2" t="s">
        <v>449</v>
      </c>
      <c r="E804" s="2" t="s">
        <v>423</v>
      </c>
      <c r="F804" s="5" t="n">
        <f aca="false">INDEX('08_PEDIDOS'!$D$2:$D$97,MATCH(A804,'08_PEDIDOS'!$A$2:$A$97,0))</f>
        <v>6</v>
      </c>
      <c r="G804" s="5" t="n">
        <f aca="false">INDEX('08_PEDIDOS'!$H$2:$H$97,MATCH(A804,'08_PEDIDOS'!$A$2:$A$97,0))</f>
        <v>10</v>
      </c>
      <c r="H804" s="17" t="n">
        <f aca="false">SUMIFS('05_RUTAS'!$F$2:$F$407,'05_RUTAS'!$A$2:$A$407,B804,'05_RUTAS'!$C$2:$C$407,C804)</f>
        <v>8</v>
      </c>
      <c r="I804" s="18" t="n">
        <f aca="false">SUMIFS('05_RUTAS'!$G$2:$G$407,'05_RUTAS'!$A$2:$A$407,B804,'05_RUTAS'!$C$2:$C$407,C804)</f>
        <v>2.63</v>
      </c>
      <c r="J804" s="18" t="n">
        <f aca="false">(ROUNDUP(F804/G804,0)*H804+F804*I804)/60</f>
        <v>0.396333333333333</v>
      </c>
      <c r="K804" s="5" t="n">
        <f aca="false">MONTH(INDEX('08_PEDIDOS'!$F$2:$F$97,MATCH(A804,'08_PEDIDOS'!$A$2:$A$97,0)))</f>
        <v>9</v>
      </c>
      <c r="L804" s="16" t="n">
        <f aca="false">J804*N(INDEX('04_MAQUINAS'!$F$2:$F$18,MATCH(E804,'04_MAQUINAS'!$A$2:$A$18,0)))</f>
        <v>6.34133333333333</v>
      </c>
      <c r="M804" s="17" t="n">
        <f aca="false">J804*INDEX('04_MAQUINAS'!$G$2:$G$18,MATCH(E804,'04_MAQUINAS'!$A$2:$A$18,0))*INDEX('04_MAQUINAS'!$H$2:$H$18,MATCH(E804,'04_MAQUINAS'!$A$2:$A$18,0))</f>
        <v>0.0990833333333333</v>
      </c>
      <c r="N804" s="2" t="s">
        <v>629</v>
      </c>
    </row>
    <row r="805" customFormat="false" ht="15" hidden="false" customHeight="false" outlineLevel="0" collapsed="false">
      <c r="A805" s="2" t="s">
        <v>591</v>
      </c>
      <c r="B805" s="2" t="s">
        <v>94</v>
      </c>
      <c r="C805" s="4" t="n">
        <v>10</v>
      </c>
      <c r="D805" s="2" t="s">
        <v>450</v>
      </c>
      <c r="E805" s="2" t="s">
        <v>406</v>
      </c>
      <c r="F805" s="5" t="n">
        <f aca="false">INDEX('08_PEDIDOS'!$D$2:$D$97,MATCH(A805,'08_PEDIDOS'!$A$2:$A$97,0))</f>
        <v>6</v>
      </c>
      <c r="G805" s="5" t="n">
        <f aca="false">INDEX('08_PEDIDOS'!$H$2:$H$97,MATCH(A805,'08_PEDIDOS'!$A$2:$A$97,0))</f>
        <v>10</v>
      </c>
      <c r="H805" s="17" t="n">
        <f aca="false">SUMIFS('05_RUTAS'!$F$2:$F$407,'05_RUTAS'!$A$2:$A$407,B805,'05_RUTAS'!$C$2:$C$407,C805)</f>
        <v>6</v>
      </c>
      <c r="I805" s="18" t="n">
        <f aca="false">SUMIFS('05_RUTAS'!$G$2:$G$407,'05_RUTAS'!$A$2:$A$407,B805,'05_RUTAS'!$C$2:$C$407,C805)</f>
        <v>69</v>
      </c>
      <c r="J805" s="18" t="n">
        <f aca="false">(ROUNDUP(F805/G805,0)*H805+F805*I805)/60</f>
        <v>7</v>
      </c>
      <c r="K805" s="5" t="n">
        <f aca="false">MONTH(INDEX('08_PEDIDOS'!$F$2:$F$97,MATCH(A805,'08_PEDIDOS'!$A$2:$A$97,0)))</f>
        <v>9</v>
      </c>
      <c r="L805" s="16" t="n">
        <f aca="false">J805*N(INDEX('04_MAQUINAS'!$F$2:$F$18,MATCH(E805,'04_MAQUINAS'!$A$2:$A$18,0)))</f>
        <v>133</v>
      </c>
      <c r="M805" s="17" t="n">
        <f aca="false">J805*INDEX('04_MAQUINAS'!$G$2:$G$18,MATCH(E805,'04_MAQUINAS'!$A$2:$A$18,0))*INDEX('04_MAQUINAS'!$H$2:$H$18,MATCH(E805,'04_MAQUINAS'!$A$2:$A$18,0))</f>
        <v>2.1</v>
      </c>
      <c r="N805" s="2" t="s">
        <v>629</v>
      </c>
    </row>
    <row r="806" customFormat="false" ht="15" hidden="false" customHeight="false" outlineLevel="0" collapsed="false">
      <c r="A806" s="2" t="s">
        <v>591</v>
      </c>
      <c r="B806" s="2" t="s">
        <v>94</v>
      </c>
      <c r="C806" s="4" t="n">
        <v>11</v>
      </c>
      <c r="D806" s="2" t="s">
        <v>451</v>
      </c>
      <c r="E806" s="2" t="s">
        <v>408</v>
      </c>
      <c r="F806" s="5" t="n">
        <f aca="false">INDEX('08_PEDIDOS'!$D$2:$D$97,MATCH(A806,'08_PEDIDOS'!$A$2:$A$97,0))</f>
        <v>6</v>
      </c>
      <c r="G806" s="5" t="n">
        <f aca="false">INDEX('08_PEDIDOS'!$H$2:$H$97,MATCH(A806,'08_PEDIDOS'!$A$2:$A$97,0))</f>
        <v>10</v>
      </c>
      <c r="H806" s="17" t="n">
        <f aca="false">SUMIFS('05_RUTAS'!$F$2:$F$407,'05_RUTAS'!$A$2:$A$407,B806,'05_RUTAS'!$C$2:$C$407,C806)</f>
        <v>2</v>
      </c>
      <c r="I806" s="18" t="n">
        <f aca="false">SUMIFS('05_RUTAS'!$G$2:$G$407,'05_RUTAS'!$A$2:$A$407,B806,'05_RUTAS'!$C$2:$C$407,C806)</f>
        <v>3.79</v>
      </c>
      <c r="J806" s="18" t="n">
        <f aca="false">(ROUNDUP(F806/G806,0)*H806+F806*I806)/60</f>
        <v>0.412333333333333</v>
      </c>
      <c r="K806" s="5" t="n">
        <f aca="false">MONTH(INDEX('08_PEDIDOS'!$F$2:$F$97,MATCH(A806,'08_PEDIDOS'!$A$2:$A$97,0)))</f>
        <v>9</v>
      </c>
      <c r="L806" s="16" t="n">
        <f aca="false">J806*N(INDEX('04_MAQUINAS'!$F$2:$F$18,MATCH(E806,'04_MAQUINAS'!$A$2:$A$18,0)))</f>
        <v>8.24666666666667</v>
      </c>
      <c r="M806" s="17" t="n">
        <f aca="false">J806*INDEX('04_MAQUINAS'!$G$2:$G$18,MATCH(E806,'04_MAQUINAS'!$A$2:$A$18,0))*INDEX('04_MAQUINAS'!$H$2:$H$18,MATCH(E806,'04_MAQUINAS'!$A$2:$A$18,0))</f>
        <v>0.0412333333333333</v>
      </c>
      <c r="N806" s="2" t="s">
        <v>629</v>
      </c>
    </row>
    <row r="807" customFormat="false" ht="15" hidden="false" customHeight="false" outlineLevel="0" collapsed="false">
      <c r="A807" s="2" t="s">
        <v>591</v>
      </c>
      <c r="B807" s="2" t="s">
        <v>94</v>
      </c>
      <c r="C807" s="4" t="n">
        <v>12</v>
      </c>
      <c r="D807" s="2" t="s">
        <v>452</v>
      </c>
      <c r="E807" s="2" t="s">
        <v>411</v>
      </c>
      <c r="F807" s="5" t="n">
        <f aca="false">INDEX('08_PEDIDOS'!$D$2:$D$97,MATCH(A807,'08_PEDIDOS'!$A$2:$A$97,0))</f>
        <v>6</v>
      </c>
      <c r="G807" s="5" t="n">
        <f aca="false">INDEX('08_PEDIDOS'!$H$2:$H$97,MATCH(A807,'08_PEDIDOS'!$A$2:$A$97,0))</f>
        <v>10</v>
      </c>
      <c r="H807" s="17" t="n">
        <f aca="false">SUMIFS('05_RUTAS'!$F$2:$F$407,'05_RUTAS'!$A$2:$A$407,B807,'05_RUTAS'!$C$2:$C$407,C807)</f>
        <v>2</v>
      </c>
      <c r="I807" s="18" t="n">
        <f aca="false">SUMIFS('05_RUTAS'!$G$2:$G$407,'05_RUTAS'!$A$2:$A$407,B807,'05_RUTAS'!$C$2:$C$407,C807)</f>
        <v>5.18</v>
      </c>
      <c r="J807" s="18" t="n">
        <f aca="false">(ROUNDUP(F807/G807,0)*H807+F807*I807)/60</f>
        <v>0.551333333333333</v>
      </c>
      <c r="K807" s="5" t="n">
        <f aca="false">MONTH(INDEX('08_PEDIDOS'!$F$2:$F$97,MATCH(A807,'08_PEDIDOS'!$A$2:$A$97,0)))</f>
        <v>9</v>
      </c>
      <c r="L807" s="16" t="n">
        <f aca="false">J807*N(INDEX('04_MAQUINAS'!$F$2:$F$18,MATCH(E807,'04_MAQUINAS'!$A$2:$A$18,0)))</f>
        <v>9.924</v>
      </c>
      <c r="M807" s="17" t="n">
        <f aca="false">J807*INDEX('04_MAQUINAS'!$G$2:$G$18,MATCH(E807,'04_MAQUINAS'!$A$2:$A$18,0))*INDEX('04_MAQUINAS'!$H$2:$H$18,MATCH(E807,'04_MAQUINAS'!$A$2:$A$18,0))</f>
        <v>0.04962</v>
      </c>
      <c r="N807" s="2" t="s">
        <v>629</v>
      </c>
    </row>
    <row r="808" customFormat="false" ht="15" hidden="false" customHeight="false" outlineLevel="0" collapsed="false">
      <c r="A808" s="2" t="s">
        <v>592</v>
      </c>
      <c r="B808" s="2" t="s">
        <v>96</v>
      </c>
      <c r="C808" s="4" t="n">
        <v>1</v>
      </c>
      <c r="D808" s="2" t="s">
        <v>437</v>
      </c>
      <c r="E808" s="2" t="s">
        <v>375</v>
      </c>
      <c r="F808" s="5" t="n">
        <f aca="false">INDEX('08_PEDIDOS'!$D$2:$D$97,MATCH(A808,'08_PEDIDOS'!$A$2:$A$97,0))</f>
        <v>7</v>
      </c>
      <c r="G808" s="5" t="n">
        <f aca="false">INDEX('08_PEDIDOS'!$H$2:$H$97,MATCH(A808,'08_PEDIDOS'!$A$2:$A$97,0))</f>
        <v>10</v>
      </c>
      <c r="H808" s="17" t="n">
        <f aca="false">SUMIFS('05_RUTAS'!$F$2:$F$407,'05_RUTAS'!$A$2:$A$407,B808,'05_RUTAS'!$C$2:$C$407,C808)</f>
        <v>8</v>
      </c>
      <c r="I808" s="18" t="n">
        <f aca="false">SUMIFS('05_RUTAS'!$G$2:$G$407,'05_RUTAS'!$A$2:$A$407,B808,'05_RUTAS'!$C$2:$C$407,C808)</f>
        <v>56.975</v>
      </c>
      <c r="J808" s="18" t="n">
        <f aca="false">(ROUNDUP(F808/G808,0)*H808+F808*I808)/60</f>
        <v>6.78041666666667</v>
      </c>
      <c r="K808" s="5" t="n">
        <f aca="false">MONTH(INDEX('08_PEDIDOS'!$F$2:$F$97,MATCH(A808,'08_PEDIDOS'!$A$2:$A$97,0)))</f>
        <v>9</v>
      </c>
      <c r="L808" s="16" t="n">
        <f aca="false">J808*N(INDEX('04_MAQUINAS'!$F$2:$F$18,MATCH(E808,'04_MAQUINAS'!$A$2:$A$18,0)))</f>
        <v>162.73</v>
      </c>
      <c r="M808" s="17" t="n">
        <f aca="false">J808*INDEX('04_MAQUINAS'!$G$2:$G$18,MATCH(E808,'04_MAQUINAS'!$A$2:$A$18,0))*INDEX('04_MAQUINAS'!$H$2:$H$18,MATCH(E808,'04_MAQUINAS'!$A$2:$A$18,0))</f>
        <v>18.6461458333333</v>
      </c>
      <c r="N808" s="2" t="s">
        <v>629</v>
      </c>
    </row>
    <row r="809" customFormat="false" ht="15" hidden="false" customHeight="false" outlineLevel="0" collapsed="false">
      <c r="A809" s="2" t="s">
        <v>592</v>
      </c>
      <c r="B809" s="2" t="s">
        <v>96</v>
      </c>
      <c r="C809" s="4" t="n">
        <v>2</v>
      </c>
      <c r="D809" s="2" t="s">
        <v>441</v>
      </c>
      <c r="E809" s="2" t="s">
        <v>380</v>
      </c>
      <c r="F809" s="5" t="n">
        <f aca="false">INDEX('08_PEDIDOS'!$D$2:$D$97,MATCH(A809,'08_PEDIDOS'!$A$2:$A$97,0))</f>
        <v>7</v>
      </c>
      <c r="G809" s="5" t="n">
        <f aca="false">INDEX('08_PEDIDOS'!$H$2:$H$97,MATCH(A809,'08_PEDIDOS'!$A$2:$A$97,0))</f>
        <v>10</v>
      </c>
      <c r="H809" s="17" t="n">
        <f aca="false">SUMIFS('05_RUTAS'!$F$2:$F$407,'05_RUTAS'!$A$2:$A$407,B809,'05_RUTAS'!$C$2:$C$407,C809)</f>
        <v>8</v>
      </c>
      <c r="I809" s="18" t="n">
        <f aca="false">SUMIFS('05_RUTAS'!$G$2:$G$407,'05_RUTAS'!$A$2:$A$407,B809,'05_RUTAS'!$C$2:$C$407,C809)</f>
        <v>6.28</v>
      </c>
      <c r="J809" s="18" t="n">
        <f aca="false">(ROUNDUP(F809/G809,0)*H809+F809*I809)/60</f>
        <v>0.866</v>
      </c>
      <c r="K809" s="5" t="n">
        <f aca="false">MONTH(INDEX('08_PEDIDOS'!$F$2:$F$97,MATCH(A809,'08_PEDIDOS'!$A$2:$A$97,0)))</f>
        <v>9</v>
      </c>
      <c r="L809" s="16" t="n">
        <f aca="false">J809*N(INDEX('04_MAQUINAS'!$F$2:$F$18,MATCH(E809,'04_MAQUINAS'!$A$2:$A$18,0)))</f>
        <v>19.052</v>
      </c>
      <c r="M809" s="17" t="n">
        <f aca="false">J809*INDEX('04_MAQUINAS'!$G$2:$G$18,MATCH(E809,'04_MAQUINAS'!$A$2:$A$18,0))*INDEX('04_MAQUINAS'!$H$2:$H$18,MATCH(E809,'04_MAQUINAS'!$A$2:$A$18,0))</f>
        <v>0.3897</v>
      </c>
      <c r="N809" s="2" t="s">
        <v>629</v>
      </c>
    </row>
    <row r="810" customFormat="false" ht="15" hidden="false" customHeight="false" outlineLevel="0" collapsed="false">
      <c r="A810" s="2" t="s">
        <v>592</v>
      </c>
      <c r="B810" s="2" t="s">
        <v>96</v>
      </c>
      <c r="C810" s="4" t="n">
        <v>3</v>
      </c>
      <c r="D810" s="2" t="s">
        <v>386</v>
      </c>
      <c r="E810" s="2" t="s">
        <v>383</v>
      </c>
      <c r="F810" s="5" t="n">
        <f aca="false">INDEX('08_PEDIDOS'!$D$2:$D$97,MATCH(A810,'08_PEDIDOS'!$A$2:$A$97,0))</f>
        <v>7</v>
      </c>
      <c r="G810" s="5" t="n">
        <f aca="false">INDEX('08_PEDIDOS'!$H$2:$H$97,MATCH(A810,'08_PEDIDOS'!$A$2:$A$97,0))</f>
        <v>10</v>
      </c>
      <c r="H810" s="17" t="n">
        <f aca="false">SUMIFS('05_RUTAS'!$F$2:$F$407,'05_RUTAS'!$A$2:$A$407,B810,'05_RUTAS'!$C$2:$C$407,C810)</f>
        <v>10</v>
      </c>
      <c r="I810" s="18" t="n">
        <f aca="false">SUMIFS('05_RUTAS'!$G$2:$G$407,'05_RUTAS'!$A$2:$A$407,B810,'05_RUTAS'!$C$2:$C$407,C810)</f>
        <v>67</v>
      </c>
      <c r="J810" s="18" t="n">
        <f aca="false">(ROUNDUP(F810/G810,0)*H810+F810*I810)/60</f>
        <v>7.98333333333333</v>
      </c>
      <c r="K810" s="5" t="n">
        <f aca="false">MONTH(INDEX('08_PEDIDOS'!$F$2:$F$97,MATCH(A810,'08_PEDIDOS'!$A$2:$A$97,0)))</f>
        <v>9</v>
      </c>
      <c r="L810" s="16" t="n">
        <f aca="false">J810*N(INDEX('04_MAQUINAS'!$F$2:$F$18,MATCH(E810,'04_MAQUINAS'!$A$2:$A$18,0)))</f>
        <v>175.633333333333</v>
      </c>
      <c r="M810" s="17" t="n">
        <f aca="false">J810*INDEX('04_MAQUINAS'!$G$2:$G$18,MATCH(E810,'04_MAQUINAS'!$A$2:$A$18,0))*INDEX('04_MAQUINAS'!$H$2:$H$18,MATCH(E810,'04_MAQUINAS'!$A$2:$A$18,0))</f>
        <v>2.19541666666667</v>
      </c>
      <c r="N810" s="2" t="s">
        <v>629</v>
      </c>
    </row>
    <row r="811" customFormat="false" ht="15" hidden="false" customHeight="false" outlineLevel="0" collapsed="false">
      <c r="A811" s="2" t="s">
        <v>592</v>
      </c>
      <c r="B811" s="2" t="s">
        <v>96</v>
      </c>
      <c r="C811" s="4" t="n">
        <v>4</v>
      </c>
      <c r="D811" s="2" t="s">
        <v>390</v>
      </c>
      <c r="E811" s="2" t="s">
        <v>387</v>
      </c>
      <c r="F811" s="5" t="n">
        <f aca="false">INDEX('08_PEDIDOS'!$D$2:$D$97,MATCH(A811,'08_PEDIDOS'!$A$2:$A$97,0))</f>
        <v>7</v>
      </c>
      <c r="G811" s="5" t="n">
        <f aca="false">INDEX('08_PEDIDOS'!$H$2:$H$97,MATCH(A811,'08_PEDIDOS'!$A$2:$A$97,0))</f>
        <v>10</v>
      </c>
      <c r="H811" s="17" t="n">
        <f aca="false">SUMIFS('05_RUTAS'!$F$2:$F$407,'05_RUTAS'!$A$2:$A$407,B811,'05_RUTAS'!$C$2:$C$407,C811)</f>
        <v>12</v>
      </c>
      <c r="I811" s="18" t="n">
        <f aca="false">SUMIFS('05_RUTAS'!$G$2:$G$407,'05_RUTAS'!$A$2:$A$407,B811,'05_RUTAS'!$C$2:$C$407,C811)</f>
        <v>124</v>
      </c>
      <c r="J811" s="18" t="n">
        <f aca="false">(ROUNDUP(F811/G811,0)*H811+F811*I811)/60</f>
        <v>14.6666666666667</v>
      </c>
      <c r="K811" s="5" t="n">
        <f aca="false">MONTH(INDEX('08_PEDIDOS'!$F$2:$F$97,MATCH(A811,'08_PEDIDOS'!$A$2:$A$97,0)))</f>
        <v>9</v>
      </c>
      <c r="L811" s="16" t="n">
        <f aca="false">J811*N(INDEX('04_MAQUINAS'!$F$2:$F$18,MATCH(E811,'04_MAQUINAS'!$A$2:$A$18,0)))</f>
        <v>410.666666666667</v>
      </c>
      <c r="M811" s="17" t="n">
        <f aca="false">J811*INDEX('04_MAQUINAS'!$G$2:$G$18,MATCH(E811,'04_MAQUINAS'!$A$2:$A$18,0))*INDEX('04_MAQUINAS'!$H$2:$H$18,MATCH(E811,'04_MAQUINAS'!$A$2:$A$18,0))</f>
        <v>36.3</v>
      </c>
      <c r="N811" s="2" t="s">
        <v>629</v>
      </c>
    </row>
    <row r="812" customFormat="false" ht="15" hidden="false" customHeight="false" outlineLevel="0" collapsed="false">
      <c r="A812" s="2" t="s">
        <v>592</v>
      </c>
      <c r="B812" s="2" t="s">
        <v>96</v>
      </c>
      <c r="C812" s="4" t="n">
        <v>5</v>
      </c>
      <c r="D812" s="2" t="s">
        <v>442</v>
      </c>
      <c r="E812" s="2" t="s">
        <v>391</v>
      </c>
      <c r="F812" s="5" t="n">
        <f aca="false">INDEX('08_PEDIDOS'!$D$2:$D$97,MATCH(A812,'08_PEDIDOS'!$A$2:$A$97,0))</f>
        <v>7</v>
      </c>
      <c r="G812" s="5" t="n">
        <f aca="false">INDEX('08_PEDIDOS'!$H$2:$H$97,MATCH(A812,'08_PEDIDOS'!$A$2:$A$97,0))</f>
        <v>10</v>
      </c>
      <c r="H812" s="17" t="n">
        <f aca="false">SUMIFS('05_RUTAS'!$F$2:$F$407,'05_RUTAS'!$A$2:$A$407,B812,'05_RUTAS'!$C$2:$C$407,C812)</f>
        <v>10</v>
      </c>
      <c r="I812" s="18" t="n">
        <f aca="false">SUMIFS('05_RUTAS'!$G$2:$G$407,'05_RUTAS'!$A$2:$A$407,B812,'05_RUTAS'!$C$2:$C$407,C812)</f>
        <v>5.6</v>
      </c>
      <c r="J812" s="18" t="n">
        <f aca="false">(ROUNDUP(F812/G812,0)*H812+F812*I812)/60</f>
        <v>0.82</v>
      </c>
      <c r="K812" s="5" t="n">
        <f aca="false">MONTH(INDEX('08_PEDIDOS'!$F$2:$F$97,MATCH(A812,'08_PEDIDOS'!$A$2:$A$97,0)))</f>
        <v>9</v>
      </c>
      <c r="L812" s="16" t="n">
        <f aca="false">J812*N(INDEX('04_MAQUINAS'!$F$2:$F$18,MATCH(E812,'04_MAQUINAS'!$A$2:$A$18,0)))</f>
        <v>26.24</v>
      </c>
      <c r="M812" s="17" t="n">
        <f aca="false">J812*INDEX('04_MAQUINAS'!$G$2:$G$18,MATCH(E812,'04_MAQUINAS'!$A$2:$A$18,0))*INDEX('04_MAQUINAS'!$H$2:$H$18,MATCH(E812,'04_MAQUINAS'!$A$2:$A$18,0))</f>
        <v>1.435</v>
      </c>
      <c r="N812" s="2" t="s">
        <v>629</v>
      </c>
    </row>
    <row r="813" customFormat="false" ht="15" hidden="false" customHeight="false" outlineLevel="0" collapsed="false">
      <c r="A813" s="2" t="s">
        <v>592</v>
      </c>
      <c r="B813" s="2" t="s">
        <v>96</v>
      </c>
      <c r="C813" s="4" t="n">
        <v>6</v>
      </c>
      <c r="D813" s="2" t="s">
        <v>443</v>
      </c>
      <c r="E813" s="2" t="s">
        <v>395</v>
      </c>
      <c r="F813" s="5" t="n">
        <f aca="false">INDEX('08_PEDIDOS'!$D$2:$D$97,MATCH(A813,'08_PEDIDOS'!$A$2:$A$97,0))</f>
        <v>7</v>
      </c>
      <c r="G813" s="5" t="n">
        <f aca="false">INDEX('08_PEDIDOS'!$H$2:$H$97,MATCH(A813,'08_PEDIDOS'!$A$2:$A$97,0))</f>
        <v>10</v>
      </c>
      <c r="H813" s="17" t="n">
        <f aca="false">SUMIFS('05_RUTAS'!$F$2:$F$407,'05_RUTAS'!$A$2:$A$407,B813,'05_RUTAS'!$C$2:$C$407,C813)</f>
        <v>3</v>
      </c>
      <c r="I813" s="18" t="n">
        <f aca="false">SUMIFS('05_RUTAS'!$G$2:$G$407,'05_RUTAS'!$A$2:$A$407,B813,'05_RUTAS'!$C$2:$C$407,C813)</f>
        <v>33</v>
      </c>
      <c r="J813" s="18" t="n">
        <f aca="false">(ROUNDUP(F813/G813,0)*H813+F813*I813)/60</f>
        <v>3.9</v>
      </c>
      <c r="K813" s="5" t="n">
        <f aca="false">MONTH(INDEX('08_PEDIDOS'!$F$2:$F$97,MATCH(A813,'08_PEDIDOS'!$A$2:$A$97,0)))</f>
        <v>9</v>
      </c>
      <c r="L813" s="16" t="n">
        <f aca="false">J813*N(INDEX('04_MAQUINAS'!$F$2:$F$18,MATCH(E813,'04_MAQUINAS'!$A$2:$A$18,0)))</f>
        <v>81.9</v>
      </c>
      <c r="M813" s="17" t="n">
        <f aca="false">J813*INDEX('04_MAQUINAS'!$G$2:$G$18,MATCH(E813,'04_MAQUINAS'!$A$2:$A$18,0))*INDEX('04_MAQUINAS'!$H$2:$H$18,MATCH(E813,'04_MAQUINAS'!$A$2:$A$18,0))</f>
        <v>2.925</v>
      </c>
      <c r="N813" s="2" t="s">
        <v>629</v>
      </c>
    </row>
    <row r="814" customFormat="false" ht="15" hidden="false" customHeight="false" outlineLevel="0" collapsed="false">
      <c r="A814" s="2" t="s">
        <v>592</v>
      </c>
      <c r="B814" s="2" t="s">
        <v>96</v>
      </c>
      <c r="C814" s="4" t="n">
        <v>7</v>
      </c>
      <c r="D814" s="2" t="s">
        <v>444</v>
      </c>
      <c r="E814" s="2" t="s">
        <v>399</v>
      </c>
      <c r="F814" s="5" t="n">
        <f aca="false">INDEX('08_PEDIDOS'!$D$2:$D$97,MATCH(A814,'08_PEDIDOS'!$A$2:$A$97,0))</f>
        <v>7</v>
      </c>
      <c r="G814" s="5" t="n">
        <f aca="false">INDEX('08_PEDIDOS'!$H$2:$H$97,MATCH(A814,'08_PEDIDOS'!$A$2:$A$97,0))</f>
        <v>10</v>
      </c>
      <c r="H814" s="17" t="n">
        <f aca="false">SUMIFS('05_RUTAS'!$F$2:$F$407,'05_RUTAS'!$A$2:$A$407,B814,'05_RUTAS'!$C$2:$C$407,C814)</f>
        <v>6</v>
      </c>
      <c r="I814" s="18" t="n">
        <f aca="false">SUMIFS('05_RUTAS'!$G$2:$G$407,'05_RUTAS'!$A$2:$A$407,B814,'05_RUTAS'!$C$2:$C$407,C814)</f>
        <v>27.0712</v>
      </c>
      <c r="J814" s="18" t="n">
        <f aca="false">(ROUNDUP(F814/G814,0)*H814+F814*I814)/60</f>
        <v>3.25830666666667</v>
      </c>
      <c r="K814" s="5" t="n">
        <f aca="false">MONTH(INDEX('08_PEDIDOS'!$F$2:$F$97,MATCH(A814,'08_PEDIDOS'!$A$2:$A$97,0)))</f>
        <v>9</v>
      </c>
      <c r="L814" s="16" t="n">
        <f aca="false">J814*N(INDEX('04_MAQUINAS'!$F$2:$F$18,MATCH(E814,'04_MAQUINAS'!$A$2:$A$18,0)))</f>
        <v>61.9078266666667</v>
      </c>
      <c r="M814" s="17" t="n">
        <f aca="false">J814*INDEX('04_MAQUINAS'!$G$2:$G$18,MATCH(E814,'04_MAQUINAS'!$A$2:$A$18,0))*INDEX('04_MAQUINAS'!$H$2:$H$18,MATCH(E814,'04_MAQUINAS'!$A$2:$A$18,0))</f>
        <v>2.86730986666667</v>
      </c>
      <c r="N814" s="2" t="s">
        <v>629</v>
      </c>
    </row>
    <row r="815" customFormat="false" ht="15" hidden="false" customHeight="false" outlineLevel="0" collapsed="false">
      <c r="A815" s="2" t="s">
        <v>592</v>
      </c>
      <c r="B815" s="2" t="s">
        <v>96</v>
      </c>
      <c r="C815" s="4" t="n">
        <v>8</v>
      </c>
      <c r="D815" s="2" t="s">
        <v>445</v>
      </c>
      <c r="E815" s="2" t="s">
        <v>402</v>
      </c>
      <c r="F815" s="5" t="n">
        <f aca="false">INDEX('08_PEDIDOS'!$D$2:$D$97,MATCH(A815,'08_PEDIDOS'!$A$2:$A$97,0))</f>
        <v>7</v>
      </c>
      <c r="G815" s="5" t="n">
        <f aca="false">INDEX('08_PEDIDOS'!$H$2:$H$97,MATCH(A815,'08_PEDIDOS'!$A$2:$A$97,0))</f>
        <v>10</v>
      </c>
      <c r="H815" s="17" t="n">
        <f aca="false">SUMIFS('05_RUTAS'!$F$2:$F$407,'05_RUTAS'!$A$2:$A$407,B815,'05_RUTAS'!$C$2:$C$407,C815)</f>
        <v>12</v>
      </c>
      <c r="I815" s="18" t="n">
        <f aca="false">SUMIFS('05_RUTAS'!$G$2:$G$407,'05_RUTAS'!$A$2:$A$407,B815,'05_RUTAS'!$C$2:$C$407,C815)</f>
        <v>7.34</v>
      </c>
      <c r="J815" s="18" t="n">
        <f aca="false">(ROUNDUP(F815/G815,0)*H815+F815*I815)/60</f>
        <v>1.05633333333333</v>
      </c>
      <c r="K815" s="5" t="n">
        <f aca="false">MONTH(INDEX('08_PEDIDOS'!$F$2:$F$97,MATCH(A815,'08_PEDIDOS'!$A$2:$A$97,0)))</f>
        <v>9</v>
      </c>
      <c r="L815" s="16" t="n">
        <f aca="false">J815*N(INDEX('04_MAQUINAS'!$F$2:$F$18,MATCH(E815,'04_MAQUINAS'!$A$2:$A$18,0)))</f>
        <v>33.8026666666667</v>
      </c>
      <c r="M815" s="17" t="n">
        <f aca="false">J815*INDEX('04_MAQUINAS'!$G$2:$G$18,MATCH(E815,'04_MAQUINAS'!$A$2:$A$18,0))*INDEX('04_MAQUINAS'!$H$2:$H$18,MATCH(E815,'04_MAQUINAS'!$A$2:$A$18,0))</f>
        <v>1.10915</v>
      </c>
      <c r="N815" s="2" t="s">
        <v>629</v>
      </c>
    </row>
    <row r="816" customFormat="false" ht="15" hidden="false" customHeight="false" outlineLevel="0" collapsed="false">
      <c r="A816" s="2" t="s">
        <v>592</v>
      </c>
      <c r="B816" s="2" t="s">
        <v>96</v>
      </c>
      <c r="C816" s="4" t="n">
        <v>9</v>
      </c>
      <c r="D816" s="2" t="s">
        <v>447</v>
      </c>
      <c r="E816" s="2" t="s">
        <v>421</v>
      </c>
      <c r="F816" s="5" t="n">
        <f aca="false">INDEX('08_PEDIDOS'!$D$2:$D$97,MATCH(A816,'08_PEDIDOS'!$A$2:$A$97,0))</f>
        <v>7</v>
      </c>
      <c r="G816" s="5" t="n">
        <f aca="false">INDEX('08_PEDIDOS'!$H$2:$H$97,MATCH(A816,'08_PEDIDOS'!$A$2:$A$97,0))</f>
        <v>10</v>
      </c>
      <c r="H816" s="17" t="n">
        <f aca="false">SUMIFS('05_RUTAS'!$F$2:$F$407,'05_RUTAS'!$A$2:$A$407,B816,'05_RUTAS'!$C$2:$C$407,C816)</f>
        <v>45</v>
      </c>
      <c r="I816" s="18" t="n">
        <f aca="false">SUMIFS('05_RUTAS'!$G$2:$G$407,'05_RUTAS'!$A$2:$A$407,B816,'05_RUTAS'!$C$2:$C$407,C816)</f>
        <v>0</v>
      </c>
      <c r="J816" s="18" t="n">
        <f aca="false">(ROUNDUP(F816/G816,0)*H816+F816*I816)/60</f>
        <v>0.75</v>
      </c>
      <c r="K816" s="5" t="n">
        <f aca="false">MONTH(INDEX('08_PEDIDOS'!$F$2:$F$97,MATCH(A816,'08_PEDIDOS'!$A$2:$A$97,0)))</f>
        <v>9</v>
      </c>
      <c r="L816" s="16" t="n">
        <f aca="false">J816*N(INDEX('04_MAQUINAS'!$F$2:$F$18,MATCH(E816,'04_MAQUINAS'!$A$2:$A$18,0)))</f>
        <v>19.5</v>
      </c>
      <c r="M816" s="17" t="n">
        <f aca="false">J816*INDEX('04_MAQUINAS'!$G$2:$G$18,MATCH(E816,'04_MAQUINAS'!$A$2:$A$18,0))*INDEX('04_MAQUINAS'!$H$2:$H$18,MATCH(E816,'04_MAQUINAS'!$A$2:$A$18,0))</f>
        <v>10.8</v>
      </c>
      <c r="N816" s="2" t="s">
        <v>629</v>
      </c>
    </row>
    <row r="817" customFormat="false" ht="15" hidden="false" customHeight="false" outlineLevel="0" collapsed="false">
      <c r="A817" s="2" t="s">
        <v>592</v>
      </c>
      <c r="B817" s="2" t="s">
        <v>96</v>
      </c>
      <c r="C817" s="4" t="n">
        <v>10</v>
      </c>
      <c r="D817" s="2" t="s">
        <v>449</v>
      </c>
      <c r="E817" s="2" t="s">
        <v>423</v>
      </c>
      <c r="F817" s="5" t="n">
        <f aca="false">INDEX('08_PEDIDOS'!$D$2:$D$97,MATCH(A817,'08_PEDIDOS'!$A$2:$A$97,0))</f>
        <v>7</v>
      </c>
      <c r="G817" s="5" t="n">
        <f aca="false">INDEX('08_PEDIDOS'!$H$2:$H$97,MATCH(A817,'08_PEDIDOS'!$A$2:$A$97,0))</f>
        <v>10</v>
      </c>
      <c r="H817" s="17" t="n">
        <f aca="false">SUMIFS('05_RUTAS'!$F$2:$F$407,'05_RUTAS'!$A$2:$A$407,B817,'05_RUTAS'!$C$2:$C$407,C817)</f>
        <v>8</v>
      </c>
      <c r="I817" s="18" t="n">
        <f aca="false">SUMIFS('05_RUTAS'!$G$2:$G$407,'05_RUTAS'!$A$2:$A$407,B817,'05_RUTAS'!$C$2:$C$407,C817)</f>
        <v>2.54</v>
      </c>
      <c r="J817" s="18" t="n">
        <f aca="false">(ROUNDUP(F817/G817,0)*H817+F817*I817)/60</f>
        <v>0.429666666666667</v>
      </c>
      <c r="K817" s="5" t="n">
        <f aca="false">MONTH(INDEX('08_PEDIDOS'!$F$2:$F$97,MATCH(A817,'08_PEDIDOS'!$A$2:$A$97,0)))</f>
        <v>9</v>
      </c>
      <c r="L817" s="16" t="n">
        <f aca="false">J817*N(INDEX('04_MAQUINAS'!$F$2:$F$18,MATCH(E817,'04_MAQUINAS'!$A$2:$A$18,0)))</f>
        <v>6.87466666666667</v>
      </c>
      <c r="M817" s="17" t="n">
        <f aca="false">J817*INDEX('04_MAQUINAS'!$G$2:$G$18,MATCH(E817,'04_MAQUINAS'!$A$2:$A$18,0))*INDEX('04_MAQUINAS'!$H$2:$H$18,MATCH(E817,'04_MAQUINAS'!$A$2:$A$18,0))</f>
        <v>0.107416666666667</v>
      </c>
      <c r="N817" s="2" t="s">
        <v>629</v>
      </c>
    </row>
    <row r="818" customFormat="false" ht="15" hidden="false" customHeight="false" outlineLevel="0" collapsed="false">
      <c r="A818" s="2" t="s">
        <v>592</v>
      </c>
      <c r="B818" s="2" t="s">
        <v>96</v>
      </c>
      <c r="C818" s="4" t="n">
        <v>11</v>
      </c>
      <c r="D818" s="2" t="s">
        <v>450</v>
      </c>
      <c r="E818" s="2" t="s">
        <v>406</v>
      </c>
      <c r="F818" s="5" t="n">
        <f aca="false">INDEX('08_PEDIDOS'!$D$2:$D$97,MATCH(A818,'08_PEDIDOS'!$A$2:$A$97,0))</f>
        <v>7</v>
      </c>
      <c r="G818" s="5" t="n">
        <f aca="false">INDEX('08_PEDIDOS'!$H$2:$H$97,MATCH(A818,'08_PEDIDOS'!$A$2:$A$97,0))</f>
        <v>10</v>
      </c>
      <c r="H818" s="17" t="n">
        <f aca="false">SUMIFS('05_RUTAS'!$F$2:$F$407,'05_RUTAS'!$A$2:$A$407,B818,'05_RUTAS'!$C$2:$C$407,C818)</f>
        <v>6</v>
      </c>
      <c r="I818" s="18" t="n">
        <f aca="false">SUMIFS('05_RUTAS'!$G$2:$G$407,'05_RUTAS'!$A$2:$A$407,B818,'05_RUTAS'!$C$2:$C$407,C818)</f>
        <v>48.75</v>
      </c>
      <c r="J818" s="18" t="n">
        <f aca="false">(ROUNDUP(F818/G818,0)*H818+F818*I818)/60</f>
        <v>5.7875</v>
      </c>
      <c r="K818" s="5" t="n">
        <f aca="false">MONTH(INDEX('08_PEDIDOS'!$F$2:$F$97,MATCH(A818,'08_PEDIDOS'!$A$2:$A$97,0)))</f>
        <v>9</v>
      </c>
      <c r="L818" s="16" t="n">
        <f aca="false">J818*N(INDEX('04_MAQUINAS'!$F$2:$F$18,MATCH(E818,'04_MAQUINAS'!$A$2:$A$18,0)))</f>
        <v>109.9625</v>
      </c>
      <c r="M818" s="17" t="n">
        <f aca="false">J818*INDEX('04_MAQUINAS'!$G$2:$G$18,MATCH(E818,'04_MAQUINAS'!$A$2:$A$18,0))*INDEX('04_MAQUINAS'!$H$2:$H$18,MATCH(E818,'04_MAQUINAS'!$A$2:$A$18,0))</f>
        <v>1.73625</v>
      </c>
      <c r="N818" s="2" t="s">
        <v>629</v>
      </c>
    </row>
    <row r="819" customFormat="false" ht="15" hidden="false" customHeight="false" outlineLevel="0" collapsed="false">
      <c r="A819" s="2" t="s">
        <v>592</v>
      </c>
      <c r="B819" s="2" t="s">
        <v>96</v>
      </c>
      <c r="C819" s="4" t="n">
        <v>12</v>
      </c>
      <c r="D819" s="2" t="s">
        <v>451</v>
      </c>
      <c r="E819" s="2" t="s">
        <v>408</v>
      </c>
      <c r="F819" s="5" t="n">
        <f aca="false">INDEX('08_PEDIDOS'!$D$2:$D$97,MATCH(A819,'08_PEDIDOS'!$A$2:$A$97,0))</f>
        <v>7</v>
      </c>
      <c r="G819" s="5" t="n">
        <f aca="false">INDEX('08_PEDIDOS'!$H$2:$H$97,MATCH(A819,'08_PEDIDOS'!$A$2:$A$97,0))</f>
        <v>10</v>
      </c>
      <c r="H819" s="17" t="n">
        <f aca="false">SUMIFS('05_RUTAS'!$F$2:$F$407,'05_RUTAS'!$A$2:$A$407,B819,'05_RUTAS'!$C$2:$C$407,C819)</f>
        <v>2</v>
      </c>
      <c r="I819" s="18" t="n">
        <f aca="false">SUMIFS('05_RUTAS'!$G$2:$G$407,'05_RUTAS'!$A$2:$A$407,B819,'05_RUTAS'!$C$2:$C$407,C819)</f>
        <v>3.67</v>
      </c>
      <c r="J819" s="18" t="n">
        <f aca="false">(ROUNDUP(F819/G819,0)*H819+F819*I819)/60</f>
        <v>0.4615</v>
      </c>
      <c r="K819" s="5" t="n">
        <f aca="false">MONTH(INDEX('08_PEDIDOS'!$F$2:$F$97,MATCH(A819,'08_PEDIDOS'!$A$2:$A$97,0)))</f>
        <v>9</v>
      </c>
      <c r="L819" s="16" t="n">
        <f aca="false">J819*N(INDEX('04_MAQUINAS'!$F$2:$F$18,MATCH(E819,'04_MAQUINAS'!$A$2:$A$18,0)))</f>
        <v>9.23</v>
      </c>
      <c r="M819" s="17" t="n">
        <f aca="false">J819*INDEX('04_MAQUINAS'!$G$2:$G$18,MATCH(E819,'04_MAQUINAS'!$A$2:$A$18,0))*INDEX('04_MAQUINAS'!$H$2:$H$18,MATCH(E819,'04_MAQUINAS'!$A$2:$A$18,0))</f>
        <v>0.04615</v>
      </c>
      <c r="N819" s="2" t="s">
        <v>629</v>
      </c>
    </row>
    <row r="820" customFormat="false" ht="15" hidden="false" customHeight="false" outlineLevel="0" collapsed="false">
      <c r="A820" s="2" t="s">
        <v>592</v>
      </c>
      <c r="B820" s="2" t="s">
        <v>96</v>
      </c>
      <c r="C820" s="4" t="n">
        <v>13</v>
      </c>
      <c r="D820" s="2" t="s">
        <v>452</v>
      </c>
      <c r="E820" s="2" t="s">
        <v>411</v>
      </c>
      <c r="F820" s="5" t="n">
        <f aca="false">INDEX('08_PEDIDOS'!$D$2:$D$97,MATCH(A820,'08_PEDIDOS'!$A$2:$A$97,0))</f>
        <v>7</v>
      </c>
      <c r="G820" s="5" t="n">
        <f aca="false">INDEX('08_PEDIDOS'!$H$2:$H$97,MATCH(A820,'08_PEDIDOS'!$A$2:$A$97,0))</f>
        <v>10</v>
      </c>
      <c r="H820" s="17" t="n">
        <f aca="false">SUMIFS('05_RUTAS'!$F$2:$F$407,'05_RUTAS'!$A$2:$A$407,B820,'05_RUTAS'!$C$2:$C$407,C820)</f>
        <v>2</v>
      </c>
      <c r="I820" s="18" t="n">
        <f aca="false">SUMIFS('05_RUTAS'!$G$2:$G$407,'05_RUTAS'!$A$2:$A$407,B820,'05_RUTAS'!$C$2:$C$407,C820)</f>
        <v>5</v>
      </c>
      <c r="J820" s="18" t="n">
        <f aca="false">(ROUNDUP(F820/G820,0)*H820+F820*I820)/60</f>
        <v>0.616666666666667</v>
      </c>
      <c r="K820" s="5" t="n">
        <f aca="false">MONTH(INDEX('08_PEDIDOS'!$F$2:$F$97,MATCH(A820,'08_PEDIDOS'!$A$2:$A$97,0)))</f>
        <v>9</v>
      </c>
      <c r="L820" s="16" t="n">
        <f aca="false">J820*N(INDEX('04_MAQUINAS'!$F$2:$F$18,MATCH(E820,'04_MAQUINAS'!$A$2:$A$18,0)))</f>
        <v>11.1</v>
      </c>
      <c r="M820" s="17" t="n">
        <f aca="false">J820*INDEX('04_MAQUINAS'!$G$2:$G$18,MATCH(E820,'04_MAQUINAS'!$A$2:$A$18,0))*INDEX('04_MAQUINAS'!$H$2:$H$18,MATCH(E820,'04_MAQUINAS'!$A$2:$A$18,0))</f>
        <v>0.0555</v>
      </c>
      <c r="N820" s="2" t="s">
        <v>629</v>
      </c>
    </row>
    <row r="821" customFormat="false" ht="15" hidden="false" customHeight="false" outlineLevel="0" collapsed="false">
      <c r="A821" s="2" t="s">
        <v>593</v>
      </c>
      <c r="B821" s="2" t="s">
        <v>106</v>
      </c>
      <c r="C821" s="4" t="n">
        <v>1</v>
      </c>
      <c r="D821" s="2" t="s">
        <v>437</v>
      </c>
      <c r="E821" s="2" t="s">
        <v>375</v>
      </c>
      <c r="F821" s="5" t="n">
        <f aca="false">INDEX('08_PEDIDOS'!$D$2:$D$97,MATCH(A821,'08_PEDIDOS'!$A$2:$A$97,0))</f>
        <v>5</v>
      </c>
      <c r="G821" s="5" t="n">
        <f aca="false">INDEX('08_PEDIDOS'!$H$2:$H$97,MATCH(A821,'08_PEDIDOS'!$A$2:$A$97,0))</f>
        <v>10</v>
      </c>
      <c r="H821" s="17" t="n">
        <f aca="false">SUMIFS('05_RUTAS'!$F$2:$F$407,'05_RUTAS'!$A$2:$A$407,B821,'05_RUTAS'!$C$2:$C$407,C821)</f>
        <v>8</v>
      </c>
      <c r="I821" s="18" t="n">
        <f aca="false">SUMIFS('05_RUTAS'!$G$2:$G$407,'05_RUTAS'!$A$2:$A$407,B821,'05_RUTAS'!$C$2:$C$407,C821)</f>
        <v>40.245</v>
      </c>
      <c r="J821" s="18" t="n">
        <f aca="false">(ROUNDUP(F821/G821,0)*H821+F821*I821)/60</f>
        <v>3.48708333333333</v>
      </c>
      <c r="K821" s="5" t="n">
        <f aca="false">MONTH(INDEX('08_PEDIDOS'!$F$2:$F$97,MATCH(A821,'08_PEDIDOS'!$A$2:$A$97,0)))</f>
        <v>9</v>
      </c>
      <c r="L821" s="16" t="n">
        <f aca="false">J821*N(INDEX('04_MAQUINAS'!$F$2:$F$18,MATCH(E821,'04_MAQUINAS'!$A$2:$A$18,0)))</f>
        <v>83.69</v>
      </c>
      <c r="M821" s="17" t="n">
        <f aca="false">J821*INDEX('04_MAQUINAS'!$G$2:$G$18,MATCH(E821,'04_MAQUINAS'!$A$2:$A$18,0))*INDEX('04_MAQUINAS'!$H$2:$H$18,MATCH(E821,'04_MAQUINAS'!$A$2:$A$18,0))</f>
        <v>9.58947916666667</v>
      </c>
      <c r="N821" s="2" t="s">
        <v>629</v>
      </c>
    </row>
    <row r="822" customFormat="false" ht="15" hidden="false" customHeight="false" outlineLevel="0" collapsed="false">
      <c r="A822" s="2" t="s">
        <v>593</v>
      </c>
      <c r="B822" s="2" t="s">
        <v>106</v>
      </c>
      <c r="C822" s="4" t="n">
        <v>2</v>
      </c>
      <c r="D822" s="2" t="s">
        <v>386</v>
      </c>
      <c r="E822" s="2" t="s">
        <v>383</v>
      </c>
      <c r="F822" s="5" t="n">
        <f aca="false">INDEX('08_PEDIDOS'!$D$2:$D$97,MATCH(A822,'08_PEDIDOS'!$A$2:$A$97,0))</f>
        <v>5</v>
      </c>
      <c r="G822" s="5" t="n">
        <f aca="false">INDEX('08_PEDIDOS'!$H$2:$H$97,MATCH(A822,'08_PEDIDOS'!$A$2:$A$97,0))</f>
        <v>10</v>
      </c>
      <c r="H822" s="17" t="n">
        <f aca="false">SUMIFS('05_RUTAS'!$F$2:$F$407,'05_RUTAS'!$A$2:$A$407,B822,'05_RUTAS'!$C$2:$C$407,C822)</f>
        <v>10</v>
      </c>
      <c r="I822" s="18" t="n">
        <f aca="false">SUMIFS('05_RUTAS'!$G$2:$G$407,'05_RUTAS'!$A$2:$A$407,B822,'05_RUTAS'!$C$2:$C$407,C822)</f>
        <v>14.8</v>
      </c>
      <c r="J822" s="18" t="n">
        <f aca="false">(ROUNDUP(F822/G822,0)*H822+F822*I822)/60</f>
        <v>1.4</v>
      </c>
      <c r="K822" s="5" t="n">
        <f aca="false">MONTH(INDEX('08_PEDIDOS'!$F$2:$F$97,MATCH(A822,'08_PEDIDOS'!$A$2:$A$97,0)))</f>
        <v>9</v>
      </c>
      <c r="L822" s="16" t="n">
        <f aca="false">J822*N(INDEX('04_MAQUINAS'!$F$2:$F$18,MATCH(E822,'04_MAQUINAS'!$A$2:$A$18,0)))</f>
        <v>30.8</v>
      </c>
      <c r="M822" s="17" t="n">
        <f aca="false">J822*INDEX('04_MAQUINAS'!$G$2:$G$18,MATCH(E822,'04_MAQUINAS'!$A$2:$A$18,0))*INDEX('04_MAQUINAS'!$H$2:$H$18,MATCH(E822,'04_MAQUINAS'!$A$2:$A$18,0))</f>
        <v>0.385</v>
      </c>
      <c r="N822" s="2" t="s">
        <v>629</v>
      </c>
    </row>
    <row r="823" customFormat="false" ht="15" hidden="false" customHeight="false" outlineLevel="0" collapsed="false">
      <c r="A823" s="2" t="s">
        <v>593</v>
      </c>
      <c r="B823" s="2" t="s">
        <v>106</v>
      </c>
      <c r="C823" s="4" t="n">
        <v>3</v>
      </c>
      <c r="D823" s="2" t="s">
        <v>390</v>
      </c>
      <c r="E823" s="2" t="s">
        <v>387</v>
      </c>
      <c r="F823" s="5" t="n">
        <f aca="false">INDEX('08_PEDIDOS'!$D$2:$D$97,MATCH(A823,'08_PEDIDOS'!$A$2:$A$97,0))</f>
        <v>5</v>
      </c>
      <c r="G823" s="5" t="n">
        <f aca="false">INDEX('08_PEDIDOS'!$H$2:$H$97,MATCH(A823,'08_PEDIDOS'!$A$2:$A$97,0))</f>
        <v>10</v>
      </c>
      <c r="H823" s="17" t="n">
        <f aca="false">SUMIFS('05_RUTAS'!$F$2:$F$407,'05_RUTAS'!$A$2:$A$407,B823,'05_RUTAS'!$C$2:$C$407,C823)</f>
        <v>12</v>
      </c>
      <c r="I823" s="18" t="n">
        <f aca="false">SUMIFS('05_RUTAS'!$G$2:$G$407,'05_RUTAS'!$A$2:$A$407,B823,'05_RUTAS'!$C$2:$C$407,C823)</f>
        <v>104</v>
      </c>
      <c r="J823" s="18" t="n">
        <f aca="false">(ROUNDUP(F823/G823,0)*H823+F823*I823)/60</f>
        <v>8.86666666666667</v>
      </c>
      <c r="K823" s="5" t="n">
        <f aca="false">MONTH(INDEX('08_PEDIDOS'!$F$2:$F$97,MATCH(A823,'08_PEDIDOS'!$A$2:$A$97,0)))</f>
        <v>9</v>
      </c>
      <c r="L823" s="16" t="n">
        <f aca="false">J823*N(INDEX('04_MAQUINAS'!$F$2:$F$18,MATCH(E823,'04_MAQUINAS'!$A$2:$A$18,0)))</f>
        <v>248.266666666667</v>
      </c>
      <c r="M823" s="17" t="n">
        <f aca="false">J823*INDEX('04_MAQUINAS'!$G$2:$G$18,MATCH(E823,'04_MAQUINAS'!$A$2:$A$18,0))*INDEX('04_MAQUINAS'!$H$2:$H$18,MATCH(E823,'04_MAQUINAS'!$A$2:$A$18,0))</f>
        <v>21.945</v>
      </c>
      <c r="N823" s="2" t="s">
        <v>629</v>
      </c>
    </row>
    <row r="824" customFormat="false" ht="15" hidden="false" customHeight="false" outlineLevel="0" collapsed="false">
      <c r="A824" s="2" t="s">
        <v>593</v>
      </c>
      <c r="B824" s="2" t="s">
        <v>106</v>
      </c>
      <c r="C824" s="4" t="n">
        <v>4</v>
      </c>
      <c r="D824" s="2" t="s">
        <v>443</v>
      </c>
      <c r="E824" s="2" t="s">
        <v>395</v>
      </c>
      <c r="F824" s="5" t="n">
        <f aca="false">INDEX('08_PEDIDOS'!$D$2:$D$97,MATCH(A824,'08_PEDIDOS'!$A$2:$A$97,0))</f>
        <v>5</v>
      </c>
      <c r="G824" s="5" t="n">
        <f aca="false">INDEX('08_PEDIDOS'!$H$2:$H$97,MATCH(A824,'08_PEDIDOS'!$A$2:$A$97,0))</f>
        <v>10</v>
      </c>
      <c r="H824" s="17" t="n">
        <f aca="false">SUMIFS('05_RUTAS'!$F$2:$F$407,'05_RUTAS'!$A$2:$A$407,B824,'05_RUTAS'!$C$2:$C$407,C824)</f>
        <v>3</v>
      </c>
      <c r="I824" s="18" t="n">
        <f aca="false">SUMIFS('05_RUTAS'!$G$2:$G$407,'05_RUTAS'!$A$2:$A$407,B824,'05_RUTAS'!$C$2:$C$407,C824)</f>
        <v>18</v>
      </c>
      <c r="J824" s="18" t="n">
        <f aca="false">(ROUNDUP(F824/G824,0)*H824+F824*I824)/60</f>
        <v>1.55</v>
      </c>
      <c r="K824" s="5" t="n">
        <f aca="false">MONTH(INDEX('08_PEDIDOS'!$F$2:$F$97,MATCH(A824,'08_PEDIDOS'!$A$2:$A$97,0)))</f>
        <v>9</v>
      </c>
      <c r="L824" s="16" t="n">
        <f aca="false">J824*N(INDEX('04_MAQUINAS'!$F$2:$F$18,MATCH(E824,'04_MAQUINAS'!$A$2:$A$18,0)))</f>
        <v>32.55</v>
      </c>
      <c r="M824" s="17" t="n">
        <f aca="false">J824*INDEX('04_MAQUINAS'!$G$2:$G$18,MATCH(E824,'04_MAQUINAS'!$A$2:$A$18,0))*INDEX('04_MAQUINAS'!$H$2:$H$18,MATCH(E824,'04_MAQUINAS'!$A$2:$A$18,0))</f>
        <v>1.1625</v>
      </c>
      <c r="N824" s="2" t="s">
        <v>629</v>
      </c>
    </row>
    <row r="825" customFormat="false" ht="15" hidden="false" customHeight="false" outlineLevel="0" collapsed="false">
      <c r="A825" s="2" t="s">
        <v>593</v>
      </c>
      <c r="B825" s="2" t="s">
        <v>106</v>
      </c>
      <c r="C825" s="4" t="n">
        <v>5</v>
      </c>
      <c r="D825" s="2" t="s">
        <v>444</v>
      </c>
      <c r="E825" s="2" t="s">
        <v>399</v>
      </c>
      <c r="F825" s="5" t="n">
        <f aca="false">INDEX('08_PEDIDOS'!$D$2:$D$97,MATCH(A825,'08_PEDIDOS'!$A$2:$A$97,0))</f>
        <v>5</v>
      </c>
      <c r="G825" s="5" t="n">
        <f aca="false">INDEX('08_PEDIDOS'!$H$2:$H$97,MATCH(A825,'08_PEDIDOS'!$A$2:$A$97,0))</f>
        <v>10</v>
      </c>
      <c r="H825" s="17" t="n">
        <f aca="false">SUMIFS('05_RUTAS'!$F$2:$F$407,'05_RUTAS'!$A$2:$A$407,B825,'05_RUTAS'!$C$2:$C$407,C825)</f>
        <v>6</v>
      </c>
      <c r="I825" s="18" t="n">
        <f aca="false">SUMIFS('05_RUTAS'!$G$2:$G$407,'05_RUTAS'!$A$2:$A$407,B825,'05_RUTAS'!$C$2:$C$407,C825)</f>
        <v>26.324</v>
      </c>
      <c r="J825" s="18" t="n">
        <f aca="false">(ROUNDUP(F825/G825,0)*H825+F825*I825)/60</f>
        <v>2.29366666666667</v>
      </c>
      <c r="K825" s="5" t="n">
        <f aca="false">MONTH(INDEX('08_PEDIDOS'!$F$2:$F$97,MATCH(A825,'08_PEDIDOS'!$A$2:$A$97,0)))</f>
        <v>9</v>
      </c>
      <c r="L825" s="16" t="n">
        <f aca="false">J825*N(INDEX('04_MAQUINAS'!$F$2:$F$18,MATCH(E825,'04_MAQUINAS'!$A$2:$A$18,0)))</f>
        <v>43.5796666666667</v>
      </c>
      <c r="M825" s="17" t="n">
        <f aca="false">J825*INDEX('04_MAQUINAS'!$G$2:$G$18,MATCH(E825,'04_MAQUINAS'!$A$2:$A$18,0))*INDEX('04_MAQUINAS'!$H$2:$H$18,MATCH(E825,'04_MAQUINAS'!$A$2:$A$18,0))</f>
        <v>2.01842666666667</v>
      </c>
      <c r="N825" s="2" t="s">
        <v>629</v>
      </c>
    </row>
    <row r="826" customFormat="false" ht="15" hidden="false" customHeight="false" outlineLevel="0" collapsed="false">
      <c r="A826" s="2" t="s">
        <v>593</v>
      </c>
      <c r="B826" s="2" t="s">
        <v>106</v>
      </c>
      <c r="C826" s="4" t="n">
        <v>6</v>
      </c>
      <c r="D826" s="2" t="s">
        <v>445</v>
      </c>
      <c r="E826" s="2" t="s">
        <v>402</v>
      </c>
      <c r="F826" s="5" t="n">
        <f aca="false">INDEX('08_PEDIDOS'!$D$2:$D$97,MATCH(A826,'08_PEDIDOS'!$A$2:$A$97,0))</f>
        <v>5</v>
      </c>
      <c r="G826" s="5" t="n">
        <f aca="false">INDEX('08_PEDIDOS'!$H$2:$H$97,MATCH(A826,'08_PEDIDOS'!$A$2:$A$97,0))</f>
        <v>10</v>
      </c>
      <c r="H826" s="17" t="n">
        <f aca="false">SUMIFS('05_RUTAS'!$F$2:$F$407,'05_RUTAS'!$A$2:$A$407,B826,'05_RUTAS'!$C$2:$C$407,C826)</f>
        <v>12</v>
      </c>
      <c r="I826" s="18" t="n">
        <f aca="false">SUMIFS('05_RUTAS'!$G$2:$G$407,'05_RUTAS'!$A$2:$A$407,B826,'05_RUTAS'!$C$2:$C$407,C826)</f>
        <v>6.83</v>
      </c>
      <c r="J826" s="18" t="n">
        <f aca="false">(ROUNDUP(F826/G826,0)*H826+F826*I826)/60</f>
        <v>0.769166666666667</v>
      </c>
      <c r="K826" s="5" t="n">
        <f aca="false">MONTH(INDEX('08_PEDIDOS'!$F$2:$F$97,MATCH(A826,'08_PEDIDOS'!$A$2:$A$97,0)))</f>
        <v>9</v>
      </c>
      <c r="L826" s="16" t="n">
        <f aca="false">J826*N(INDEX('04_MAQUINAS'!$F$2:$F$18,MATCH(E826,'04_MAQUINAS'!$A$2:$A$18,0)))</f>
        <v>24.6133333333333</v>
      </c>
      <c r="M826" s="17" t="n">
        <f aca="false">J826*INDEX('04_MAQUINAS'!$G$2:$G$18,MATCH(E826,'04_MAQUINAS'!$A$2:$A$18,0))*INDEX('04_MAQUINAS'!$H$2:$H$18,MATCH(E826,'04_MAQUINAS'!$A$2:$A$18,0))</f>
        <v>0.807625</v>
      </c>
      <c r="N826" s="2" t="s">
        <v>629</v>
      </c>
    </row>
    <row r="827" customFormat="false" ht="15" hidden="false" customHeight="false" outlineLevel="0" collapsed="false">
      <c r="A827" s="2" t="s">
        <v>593</v>
      </c>
      <c r="B827" s="2" t="s">
        <v>106</v>
      </c>
      <c r="C827" s="4" t="n">
        <v>7</v>
      </c>
      <c r="D827" s="2" t="s">
        <v>447</v>
      </c>
      <c r="E827" s="2" t="s">
        <v>421</v>
      </c>
      <c r="F827" s="5" t="n">
        <f aca="false">INDEX('08_PEDIDOS'!$D$2:$D$97,MATCH(A827,'08_PEDIDOS'!$A$2:$A$97,0))</f>
        <v>5</v>
      </c>
      <c r="G827" s="5" t="n">
        <f aca="false">INDEX('08_PEDIDOS'!$H$2:$H$97,MATCH(A827,'08_PEDIDOS'!$A$2:$A$97,0))</f>
        <v>10</v>
      </c>
      <c r="H827" s="17" t="n">
        <f aca="false">SUMIFS('05_RUTAS'!$F$2:$F$407,'05_RUTAS'!$A$2:$A$407,B827,'05_RUTAS'!$C$2:$C$407,C827)</f>
        <v>45</v>
      </c>
      <c r="I827" s="18" t="n">
        <f aca="false">SUMIFS('05_RUTAS'!$G$2:$G$407,'05_RUTAS'!$A$2:$A$407,B827,'05_RUTAS'!$C$2:$C$407,C827)</f>
        <v>0</v>
      </c>
      <c r="J827" s="18" t="n">
        <f aca="false">(ROUNDUP(F827/G827,0)*H827+F827*I827)/60</f>
        <v>0.75</v>
      </c>
      <c r="K827" s="5" t="n">
        <f aca="false">MONTH(INDEX('08_PEDIDOS'!$F$2:$F$97,MATCH(A827,'08_PEDIDOS'!$A$2:$A$97,0)))</f>
        <v>9</v>
      </c>
      <c r="L827" s="16" t="n">
        <f aca="false">J827*N(INDEX('04_MAQUINAS'!$F$2:$F$18,MATCH(E827,'04_MAQUINAS'!$A$2:$A$18,0)))</f>
        <v>19.5</v>
      </c>
      <c r="M827" s="17" t="n">
        <f aca="false">J827*INDEX('04_MAQUINAS'!$G$2:$G$18,MATCH(E827,'04_MAQUINAS'!$A$2:$A$18,0))*INDEX('04_MAQUINAS'!$H$2:$H$18,MATCH(E827,'04_MAQUINAS'!$A$2:$A$18,0))</f>
        <v>10.8</v>
      </c>
      <c r="N827" s="2" t="s">
        <v>629</v>
      </c>
    </row>
    <row r="828" customFormat="false" ht="15" hidden="false" customHeight="false" outlineLevel="0" collapsed="false">
      <c r="A828" s="2" t="s">
        <v>593</v>
      </c>
      <c r="B828" s="2" t="s">
        <v>106</v>
      </c>
      <c r="C828" s="4" t="n">
        <v>8</v>
      </c>
      <c r="D828" s="2" t="s">
        <v>449</v>
      </c>
      <c r="E828" s="2" t="s">
        <v>423</v>
      </c>
      <c r="F828" s="5" t="n">
        <f aca="false">INDEX('08_PEDIDOS'!$D$2:$D$97,MATCH(A828,'08_PEDIDOS'!$A$2:$A$97,0))</f>
        <v>5</v>
      </c>
      <c r="G828" s="5" t="n">
        <f aca="false">INDEX('08_PEDIDOS'!$H$2:$H$97,MATCH(A828,'08_PEDIDOS'!$A$2:$A$97,0))</f>
        <v>10</v>
      </c>
      <c r="H828" s="17" t="n">
        <f aca="false">SUMIFS('05_RUTAS'!$F$2:$F$407,'05_RUTAS'!$A$2:$A$407,B828,'05_RUTAS'!$C$2:$C$407,C828)</f>
        <v>8</v>
      </c>
      <c r="I828" s="18" t="n">
        <f aca="false">SUMIFS('05_RUTAS'!$G$2:$G$407,'05_RUTAS'!$A$2:$A$407,B828,'05_RUTAS'!$C$2:$C$407,C828)</f>
        <v>2.42</v>
      </c>
      <c r="J828" s="18" t="n">
        <f aca="false">(ROUNDUP(F828/G828,0)*H828+F828*I828)/60</f>
        <v>0.335</v>
      </c>
      <c r="K828" s="5" t="n">
        <f aca="false">MONTH(INDEX('08_PEDIDOS'!$F$2:$F$97,MATCH(A828,'08_PEDIDOS'!$A$2:$A$97,0)))</f>
        <v>9</v>
      </c>
      <c r="L828" s="16" t="n">
        <f aca="false">J828*N(INDEX('04_MAQUINAS'!$F$2:$F$18,MATCH(E828,'04_MAQUINAS'!$A$2:$A$18,0)))</f>
        <v>5.36</v>
      </c>
      <c r="M828" s="17" t="n">
        <f aca="false">J828*INDEX('04_MAQUINAS'!$G$2:$G$18,MATCH(E828,'04_MAQUINAS'!$A$2:$A$18,0))*INDEX('04_MAQUINAS'!$H$2:$H$18,MATCH(E828,'04_MAQUINAS'!$A$2:$A$18,0))</f>
        <v>0.08375</v>
      </c>
      <c r="N828" s="2" t="s">
        <v>629</v>
      </c>
    </row>
    <row r="829" customFormat="false" ht="15" hidden="false" customHeight="false" outlineLevel="0" collapsed="false">
      <c r="A829" s="2" t="s">
        <v>593</v>
      </c>
      <c r="B829" s="2" t="s">
        <v>106</v>
      </c>
      <c r="C829" s="4" t="n">
        <v>9</v>
      </c>
      <c r="D829" s="2" t="s">
        <v>450</v>
      </c>
      <c r="E829" s="2" t="s">
        <v>406</v>
      </c>
      <c r="F829" s="5" t="n">
        <f aca="false">INDEX('08_PEDIDOS'!$D$2:$D$97,MATCH(A829,'08_PEDIDOS'!$A$2:$A$97,0))</f>
        <v>5</v>
      </c>
      <c r="G829" s="5" t="n">
        <f aca="false">INDEX('08_PEDIDOS'!$H$2:$H$97,MATCH(A829,'08_PEDIDOS'!$A$2:$A$97,0))</f>
        <v>10</v>
      </c>
      <c r="H829" s="17" t="n">
        <f aca="false">SUMIFS('05_RUTAS'!$F$2:$F$407,'05_RUTAS'!$A$2:$A$407,B829,'05_RUTAS'!$C$2:$C$407,C829)</f>
        <v>6</v>
      </c>
      <c r="I829" s="18" t="n">
        <f aca="false">SUMIFS('05_RUTAS'!$G$2:$G$407,'05_RUTAS'!$A$2:$A$407,B829,'05_RUTAS'!$C$2:$C$407,C829)</f>
        <v>42</v>
      </c>
      <c r="J829" s="18" t="n">
        <f aca="false">(ROUNDUP(F829/G829,0)*H829+F829*I829)/60</f>
        <v>3.6</v>
      </c>
      <c r="K829" s="5" t="n">
        <f aca="false">MONTH(INDEX('08_PEDIDOS'!$F$2:$F$97,MATCH(A829,'08_PEDIDOS'!$A$2:$A$97,0)))</f>
        <v>9</v>
      </c>
      <c r="L829" s="16" t="n">
        <f aca="false">J829*N(INDEX('04_MAQUINAS'!$F$2:$F$18,MATCH(E829,'04_MAQUINAS'!$A$2:$A$18,0)))</f>
        <v>68.4</v>
      </c>
      <c r="M829" s="17" t="n">
        <f aca="false">J829*INDEX('04_MAQUINAS'!$G$2:$G$18,MATCH(E829,'04_MAQUINAS'!$A$2:$A$18,0))*INDEX('04_MAQUINAS'!$H$2:$H$18,MATCH(E829,'04_MAQUINAS'!$A$2:$A$18,0))</f>
        <v>1.08</v>
      </c>
      <c r="N829" s="2" t="s">
        <v>629</v>
      </c>
    </row>
    <row r="830" customFormat="false" ht="15" hidden="false" customHeight="false" outlineLevel="0" collapsed="false">
      <c r="A830" s="2" t="s">
        <v>593</v>
      </c>
      <c r="B830" s="2" t="s">
        <v>106</v>
      </c>
      <c r="C830" s="4" t="n">
        <v>10</v>
      </c>
      <c r="D830" s="2" t="s">
        <v>451</v>
      </c>
      <c r="E830" s="2" t="s">
        <v>408</v>
      </c>
      <c r="F830" s="5" t="n">
        <f aca="false">INDEX('08_PEDIDOS'!$D$2:$D$97,MATCH(A830,'08_PEDIDOS'!$A$2:$A$97,0))</f>
        <v>5</v>
      </c>
      <c r="G830" s="5" t="n">
        <f aca="false">INDEX('08_PEDIDOS'!$H$2:$H$97,MATCH(A830,'08_PEDIDOS'!$A$2:$A$97,0))</f>
        <v>10</v>
      </c>
      <c r="H830" s="17" t="n">
        <f aca="false">SUMIFS('05_RUTAS'!$F$2:$F$407,'05_RUTAS'!$A$2:$A$407,B830,'05_RUTAS'!$C$2:$C$407,C830)</f>
        <v>2</v>
      </c>
      <c r="I830" s="18" t="n">
        <f aca="false">SUMIFS('05_RUTAS'!$G$2:$G$407,'05_RUTAS'!$A$2:$A$407,B830,'05_RUTAS'!$C$2:$C$407,C830)</f>
        <v>3.52</v>
      </c>
      <c r="J830" s="18" t="n">
        <f aca="false">(ROUNDUP(F830/G830,0)*H830+F830*I830)/60</f>
        <v>0.326666666666667</v>
      </c>
      <c r="K830" s="5" t="n">
        <f aca="false">MONTH(INDEX('08_PEDIDOS'!$F$2:$F$97,MATCH(A830,'08_PEDIDOS'!$A$2:$A$97,0)))</f>
        <v>9</v>
      </c>
      <c r="L830" s="16" t="n">
        <f aca="false">J830*N(INDEX('04_MAQUINAS'!$F$2:$F$18,MATCH(E830,'04_MAQUINAS'!$A$2:$A$18,0)))</f>
        <v>6.53333333333333</v>
      </c>
      <c r="M830" s="17" t="n">
        <f aca="false">J830*INDEX('04_MAQUINAS'!$G$2:$G$18,MATCH(E830,'04_MAQUINAS'!$A$2:$A$18,0))*INDEX('04_MAQUINAS'!$H$2:$H$18,MATCH(E830,'04_MAQUINAS'!$A$2:$A$18,0))</f>
        <v>0.0326666666666667</v>
      </c>
      <c r="N830" s="2" t="s">
        <v>629</v>
      </c>
    </row>
    <row r="831" customFormat="false" ht="15" hidden="false" customHeight="false" outlineLevel="0" collapsed="false">
      <c r="A831" s="2" t="s">
        <v>593</v>
      </c>
      <c r="B831" s="2" t="s">
        <v>106</v>
      </c>
      <c r="C831" s="4" t="n">
        <v>11</v>
      </c>
      <c r="D831" s="2" t="s">
        <v>452</v>
      </c>
      <c r="E831" s="2" t="s">
        <v>411</v>
      </c>
      <c r="F831" s="5" t="n">
        <f aca="false">INDEX('08_PEDIDOS'!$D$2:$D$97,MATCH(A831,'08_PEDIDOS'!$A$2:$A$97,0))</f>
        <v>5</v>
      </c>
      <c r="G831" s="5" t="n">
        <f aca="false">INDEX('08_PEDIDOS'!$H$2:$H$97,MATCH(A831,'08_PEDIDOS'!$A$2:$A$97,0))</f>
        <v>10</v>
      </c>
      <c r="H831" s="17" t="n">
        <f aca="false">SUMIFS('05_RUTAS'!$F$2:$F$407,'05_RUTAS'!$A$2:$A$407,B831,'05_RUTAS'!$C$2:$C$407,C831)</f>
        <v>2</v>
      </c>
      <c r="I831" s="18" t="n">
        <f aca="false">SUMIFS('05_RUTAS'!$G$2:$G$407,'05_RUTAS'!$A$2:$A$407,B831,'05_RUTAS'!$C$2:$C$407,C831)</f>
        <v>4.78</v>
      </c>
      <c r="J831" s="18" t="n">
        <f aca="false">(ROUNDUP(F831/G831,0)*H831+F831*I831)/60</f>
        <v>0.431666666666667</v>
      </c>
      <c r="K831" s="5" t="n">
        <f aca="false">MONTH(INDEX('08_PEDIDOS'!$F$2:$F$97,MATCH(A831,'08_PEDIDOS'!$A$2:$A$97,0)))</f>
        <v>9</v>
      </c>
      <c r="L831" s="16" t="n">
        <f aca="false">J831*N(INDEX('04_MAQUINAS'!$F$2:$F$18,MATCH(E831,'04_MAQUINAS'!$A$2:$A$18,0)))</f>
        <v>7.77</v>
      </c>
      <c r="M831" s="17" t="n">
        <f aca="false">J831*INDEX('04_MAQUINAS'!$G$2:$G$18,MATCH(E831,'04_MAQUINAS'!$A$2:$A$18,0))*INDEX('04_MAQUINAS'!$H$2:$H$18,MATCH(E831,'04_MAQUINAS'!$A$2:$A$18,0))</f>
        <v>0.03885</v>
      </c>
      <c r="N831" s="2" t="s">
        <v>629</v>
      </c>
    </row>
    <row r="832" customFormat="false" ht="15" hidden="false" customHeight="false" outlineLevel="0" collapsed="false">
      <c r="A832" s="2" t="s">
        <v>594</v>
      </c>
      <c r="B832" s="2" t="s">
        <v>108</v>
      </c>
      <c r="C832" s="4" t="n">
        <v>1</v>
      </c>
      <c r="D832" s="2" t="s">
        <v>437</v>
      </c>
      <c r="E832" s="2" t="s">
        <v>375</v>
      </c>
      <c r="F832" s="5" t="n">
        <f aca="false">INDEX('08_PEDIDOS'!$D$2:$D$97,MATCH(A832,'08_PEDIDOS'!$A$2:$A$97,0))</f>
        <v>6</v>
      </c>
      <c r="G832" s="5" t="n">
        <f aca="false">INDEX('08_PEDIDOS'!$H$2:$H$97,MATCH(A832,'08_PEDIDOS'!$A$2:$A$97,0))</f>
        <v>10</v>
      </c>
      <c r="H832" s="17" t="n">
        <f aca="false">SUMIFS('05_RUTAS'!$F$2:$F$407,'05_RUTAS'!$A$2:$A$407,B832,'05_RUTAS'!$C$2:$C$407,C832)</f>
        <v>8</v>
      </c>
      <c r="I832" s="18" t="n">
        <f aca="false">SUMIFS('05_RUTAS'!$G$2:$G$407,'05_RUTAS'!$A$2:$A$407,B832,'05_RUTAS'!$C$2:$C$407,C832)</f>
        <v>57.14</v>
      </c>
      <c r="J832" s="18" t="n">
        <f aca="false">(ROUNDUP(F832/G832,0)*H832+F832*I832)/60</f>
        <v>5.84733333333333</v>
      </c>
      <c r="K832" s="5" t="n">
        <f aca="false">MONTH(INDEX('08_PEDIDOS'!$F$2:$F$97,MATCH(A832,'08_PEDIDOS'!$A$2:$A$97,0)))</f>
        <v>9</v>
      </c>
      <c r="L832" s="16" t="n">
        <f aca="false">J832*N(INDEX('04_MAQUINAS'!$F$2:$F$18,MATCH(E832,'04_MAQUINAS'!$A$2:$A$18,0)))</f>
        <v>140.336</v>
      </c>
      <c r="M832" s="17" t="n">
        <f aca="false">J832*INDEX('04_MAQUINAS'!$G$2:$G$18,MATCH(E832,'04_MAQUINAS'!$A$2:$A$18,0))*INDEX('04_MAQUINAS'!$H$2:$H$18,MATCH(E832,'04_MAQUINAS'!$A$2:$A$18,0))</f>
        <v>16.0801666666667</v>
      </c>
      <c r="N832" s="2" t="s">
        <v>629</v>
      </c>
    </row>
    <row r="833" customFormat="false" ht="15" hidden="false" customHeight="false" outlineLevel="0" collapsed="false">
      <c r="A833" s="2" t="s">
        <v>594</v>
      </c>
      <c r="B833" s="2" t="s">
        <v>108</v>
      </c>
      <c r="C833" s="4" t="n">
        <v>2</v>
      </c>
      <c r="D833" s="2" t="s">
        <v>386</v>
      </c>
      <c r="E833" s="2" t="s">
        <v>383</v>
      </c>
      <c r="F833" s="5" t="n">
        <f aca="false">INDEX('08_PEDIDOS'!$D$2:$D$97,MATCH(A833,'08_PEDIDOS'!$A$2:$A$97,0))</f>
        <v>6</v>
      </c>
      <c r="G833" s="5" t="n">
        <f aca="false">INDEX('08_PEDIDOS'!$H$2:$H$97,MATCH(A833,'08_PEDIDOS'!$A$2:$A$97,0))</f>
        <v>10</v>
      </c>
      <c r="H833" s="17" t="n">
        <f aca="false">SUMIFS('05_RUTAS'!$F$2:$F$407,'05_RUTAS'!$A$2:$A$407,B833,'05_RUTAS'!$C$2:$C$407,C833)</f>
        <v>10</v>
      </c>
      <c r="I833" s="18" t="n">
        <f aca="false">SUMIFS('05_RUTAS'!$G$2:$G$407,'05_RUTAS'!$A$2:$A$407,B833,'05_RUTAS'!$C$2:$C$407,C833)</f>
        <v>27</v>
      </c>
      <c r="J833" s="18" t="n">
        <f aca="false">(ROUNDUP(F833/G833,0)*H833+F833*I833)/60</f>
        <v>2.86666666666667</v>
      </c>
      <c r="K833" s="5" t="n">
        <f aca="false">MONTH(INDEX('08_PEDIDOS'!$F$2:$F$97,MATCH(A833,'08_PEDIDOS'!$A$2:$A$97,0)))</f>
        <v>9</v>
      </c>
      <c r="L833" s="16" t="n">
        <f aca="false">J833*N(INDEX('04_MAQUINAS'!$F$2:$F$18,MATCH(E833,'04_MAQUINAS'!$A$2:$A$18,0)))</f>
        <v>63.0666666666667</v>
      </c>
      <c r="M833" s="17" t="n">
        <f aca="false">J833*INDEX('04_MAQUINAS'!$G$2:$G$18,MATCH(E833,'04_MAQUINAS'!$A$2:$A$18,0))*INDEX('04_MAQUINAS'!$H$2:$H$18,MATCH(E833,'04_MAQUINAS'!$A$2:$A$18,0))</f>
        <v>0.788333333333333</v>
      </c>
      <c r="N833" s="2" t="s">
        <v>629</v>
      </c>
    </row>
    <row r="834" customFormat="false" ht="15" hidden="false" customHeight="false" outlineLevel="0" collapsed="false">
      <c r="A834" s="2" t="s">
        <v>594</v>
      </c>
      <c r="B834" s="2" t="s">
        <v>108</v>
      </c>
      <c r="C834" s="4" t="n">
        <v>3</v>
      </c>
      <c r="D834" s="2" t="s">
        <v>390</v>
      </c>
      <c r="E834" s="2" t="s">
        <v>387</v>
      </c>
      <c r="F834" s="5" t="n">
        <f aca="false">INDEX('08_PEDIDOS'!$D$2:$D$97,MATCH(A834,'08_PEDIDOS'!$A$2:$A$97,0))</f>
        <v>6</v>
      </c>
      <c r="G834" s="5" t="n">
        <f aca="false">INDEX('08_PEDIDOS'!$H$2:$H$97,MATCH(A834,'08_PEDIDOS'!$A$2:$A$97,0))</f>
        <v>10</v>
      </c>
      <c r="H834" s="17" t="n">
        <f aca="false">SUMIFS('05_RUTAS'!$F$2:$F$407,'05_RUTAS'!$A$2:$A$407,B834,'05_RUTAS'!$C$2:$C$407,C834)</f>
        <v>12</v>
      </c>
      <c r="I834" s="18" t="n">
        <f aca="false">SUMIFS('05_RUTAS'!$G$2:$G$407,'05_RUTAS'!$A$2:$A$407,B834,'05_RUTAS'!$C$2:$C$407,C834)</f>
        <v>149</v>
      </c>
      <c r="J834" s="18" t="n">
        <f aca="false">(ROUNDUP(F834/G834,0)*H834+F834*I834)/60</f>
        <v>15.1</v>
      </c>
      <c r="K834" s="5" t="n">
        <f aca="false">MONTH(INDEX('08_PEDIDOS'!$F$2:$F$97,MATCH(A834,'08_PEDIDOS'!$A$2:$A$97,0)))</f>
        <v>9</v>
      </c>
      <c r="L834" s="16" t="n">
        <f aca="false">J834*N(INDEX('04_MAQUINAS'!$F$2:$F$18,MATCH(E834,'04_MAQUINAS'!$A$2:$A$18,0)))</f>
        <v>422.8</v>
      </c>
      <c r="M834" s="17" t="n">
        <f aca="false">J834*INDEX('04_MAQUINAS'!$G$2:$G$18,MATCH(E834,'04_MAQUINAS'!$A$2:$A$18,0))*INDEX('04_MAQUINAS'!$H$2:$H$18,MATCH(E834,'04_MAQUINAS'!$A$2:$A$18,0))</f>
        <v>37.3725</v>
      </c>
      <c r="N834" s="2" t="s">
        <v>629</v>
      </c>
    </row>
    <row r="835" customFormat="false" ht="15" hidden="false" customHeight="false" outlineLevel="0" collapsed="false">
      <c r="A835" s="2" t="s">
        <v>594</v>
      </c>
      <c r="B835" s="2" t="s">
        <v>108</v>
      </c>
      <c r="C835" s="4" t="n">
        <v>4</v>
      </c>
      <c r="D835" s="2" t="s">
        <v>443</v>
      </c>
      <c r="E835" s="2" t="s">
        <v>395</v>
      </c>
      <c r="F835" s="5" t="n">
        <f aca="false">INDEX('08_PEDIDOS'!$D$2:$D$97,MATCH(A835,'08_PEDIDOS'!$A$2:$A$97,0))</f>
        <v>6</v>
      </c>
      <c r="G835" s="5" t="n">
        <f aca="false">INDEX('08_PEDIDOS'!$H$2:$H$97,MATCH(A835,'08_PEDIDOS'!$A$2:$A$97,0))</f>
        <v>10</v>
      </c>
      <c r="H835" s="17" t="n">
        <f aca="false">SUMIFS('05_RUTAS'!$F$2:$F$407,'05_RUTAS'!$A$2:$A$407,B835,'05_RUTAS'!$C$2:$C$407,C835)</f>
        <v>3</v>
      </c>
      <c r="I835" s="18" t="n">
        <f aca="false">SUMIFS('05_RUTAS'!$G$2:$G$407,'05_RUTAS'!$A$2:$A$407,B835,'05_RUTAS'!$C$2:$C$407,C835)</f>
        <v>25.5</v>
      </c>
      <c r="J835" s="18" t="n">
        <f aca="false">(ROUNDUP(F835/G835,0)*H835+F835*I835)/60</f>
        <v>2.6</v>
      </c>
      <c r="K835" s="5" t="n">
        <f aca="false">MONTH(INDEX('08_PEDIDOS'!$F$2:$F$97,MATCH(A835,'08_PEDIDOS'!$A$2:$A$97,0)))</f>
        <v>9</v>
      </c>
      <c r="L835" s="16" t="n">
        <f aca="false">J835*N(INDEX('04_MAQUINAS'!$F$2:$F$18,MATCH(E835,'04_MAQUINAS'!$A$2:$A$18,0)))</f>
        <v>54.6</v>
      </c>
      <c r="M835" s="17" t="n">
        <f aca="false">J835*INDEX('04_MAQUINAS'!$G$2:$G$18,MATCH(E835,'04_MAQUINAS'!$A$2:$A$18,0))*INDEX('04_MAQUINAS'!$H$2:$H$18,MATCH(E835,'04_MAQUINAS'!$A$2:$A$18,0))</f>
        <v>1.95</v>
      </c>
      <c r="N835" s="2" t="s">
        <v>629</v>
      </c>
    </row>
    <row r="836" customFormat="false" ht="15" hidden="false" customHeight="false" outlineLevel="0" collapsed="false">
      <c r="A836" s="2" t="s">
        <v>594</v>
      </c>
      <c r="B836" s="2" t="s">
        <v>108</v>
      </c>
      <c r="C836" s="4" t="n">
        <v>5</v>
      </c>
      <c r="D836" s="2" t="s">
        <v>444</v>
      </c>
      <c r="E836" s="2" t="s">
        <v>399</v>
      </c>
      <c r="F836" s="5" t="n">
        <f aca="false">INDEX('08_PEDIDOS'!$D$2:$D$97,MATCH(A836,'08_PEDIDOS'!$A$2:$A$97,0))</f>
        <v>6</v>
      </c>
      <c r="G836" s="5" t="n">
        <f aca="false">INDEX('08_PEDIDOS'!$H$2:$H$97,MATCH(A836,'08_PEDIDOS'!$A$2:$A$97,0))</f>
        <v>10</v>
      </c>
      <c r="H836" s="17" t="n">
        <f aca="false">SUMIFS('05_RUTAS'!$F$2:$F$407,'05_RUTAS'!$A$2:$A$407,B836,'05_RUTAS'!$C$2:$C$407,C836)</f>
        <v>6</v>
      </c>
      <c r="I836" s="18" t="n">
        <f aca="false">SUMIFS('05_RUTAS'!$G$2:$G$407,'05_RUTAS'!$A$2:$A$407,B836,'05_RUTAS'!$C$2:$C$407,C836)</f>
        <v>37.528</v>
      </c>
      <c r="J836" s="18" t="n">
        <f aca="false">(ROUNDUP(F836/G836,0)*H836+F836*I836)/60</f>
        <v>3.8528</v>
      </c>
      <c r="K836" s="5" t="n">
        <f aca="false">MONTH(INDEX('08_PEDIDOS'!$F$2:$F$97,MATCH(A836,'08_PEDIDOS'!$A$2:$A$97,0)))</f>
        <v>9</v>
      </c>
      <c r="L836" s="16" t="n">
        <f aca="false">J836*N(INDEX('04_MAQUINAS'!$F$2:$F$18,MATCH(E836,'04_MAQUINAS'!$A$2:$A$18,0)))</f>
        <v>73.2032</v>
      </c>
      <c r="M836" s="17" t="n">
        <f aca="false">J836*INDEX('04_MAQUINAS'!$G$2:$G$18,MATCH(E836,'04_MAQUINAS'!$A$2:$A$18,0))*INDEX('04_MAQUINAS'!$H$2:$H$18,MATCH(E836,'04_MAQUINAS'!$A$2:$A$18,0))</f>
        <v>3.390464</v>
      </c>
      <c r="N836" s="2" t="s">
        <v>629</v>
      </c>
    </row>
    <row r="837" customFormat="false" ht="15" hidden="false" customHeight="false" outlineLevel="0" collapsed="false">
      <c r="A837" s="2" t="s">
        <v>594</v>
      </c>
      <c r="B837" s="2" t="s">
        <v>108</v>
      </c>
      <c r="C837" s="4" t="n">
        <v>6</v>
      </c>
      <c r="D837" s="2" t="s">
        <v>445</v>
      </c>
      <c r="E837" s="2" t="s">
        <v>402</v>
      </c>
      <c r="F837" s="5" t="n">
        <f aca="false">INDEX('08_PEDIDOS'!$D$2:$D$97,MATCH(A837,'08_PEDIDOS'!$A$2:$A$97,0))</f>
        <v>6</v>
      </c>
      <c r="G837" s="5" t="n">
        <f aca="false">INDEX('08_PEDIDOS'!$H$2:$H$97,MATCH(A837,'08_PEDIDOS'!$A$2:$A$97,0))</f>
        <v>10</v>
      </c>
      <c r="H837" s="17" t="n">
        <f aca="false">SUMIFS('05_RUTAS'!$F$2:$F$407,'05_RUTAS'!$A$2:$A$407,B837,'05_RUTAS'!$C$2:$C$407,C837)</f>
        <v>12</v>
      </c>
      <c r="I837" s="18" t="n">
        <f aca="false">SUMIFS('05_RUTAS'!$G$2:$G$407,'05_RUTAS'!$A$2:$A$407,B837,'05_RUTAS'!$C$2:$C$407,C837)</f>
        <v>6.83</v>
      </c>
      <c r="J837" s="18" t="n">
        <f aca="false">(ROUNDUP(F837/G837,0)*H837+F837*I837)/60</f>
        <v>0.883</v>
      </c>
      <c r="K837" s="5" t="n">
        <f aca="false">MONTH(INDEX('08_PEDIDOS'!$F$2:$F$97,MATCH(A837,'08_PEDIDOS'!$A$2:$A$97,0)))</f>
        <v>9</v>
      </c>
      <c r="L837" s="16" t="n">
        <f aca="false">J837*N(INDEX('04_MAQUINAS'!$F$2:$F$18,MATCH(E837,'04_MAQUINAS'!$A$2:$A$18,0)))</f>
        <v>28.256</v>
      </c>
      <c r="M837" s="17" t="n">
        <f aca="false">J837*INDEX('04_MAQUINAS'!$G$2:$G$18,MATCH(E837,'04_MAQUINAS'!$A$2:$A$18,0))*INDEX('04_MAQUINAS'!$H$2:$H$18,MATCH(E837,'04_MAQUINAS'!$A$2:$A$18,0))</f>
        <v>0.92715</v>
      </c>
      <c r="N837" s="2" t="s">
        <v>629</v>
      </c>
    </row>
    <row r="838" customFormat="false" ht="15" hidden="false" customHeight="false" outlineLevel="0" collapsed="false">
      <c r="A838" s="2" t="s">
        <v>594</v>
      </c>
      <c r="B838" s="2" t="s">
        <v>108</v>
      </c>
      <c r="C838" s="4" t="n">
        <v>7</v>
      </c>
      <c r="D838" s="2" t="s">
        <v>447</v>
      </c>
      <c r="E838" s="2" t="s">
        <v>421</v>
      </c>
      <c r="F838" s="5" t="n">
        <f aca="false">INDEX('08_PEDIDOS'!$D$2:$D$97,MATCH(A838,'08_PEDIDOS'!$A$2:$A$97,0))</f>
        <v>6</v>
      </c>
      <c r="G838" s="5" t="n">
        <f aca="false">INDEX('08_PEDIDOS'!$H$2:$H$97,MATCH(A838,'08_PEDIDOS'!$A$2:$A$97,0))</f>
        <v>10</v>
      </c>
      <c r="H838" s="17" t="n">
        <f aca="false">SUMIFS('05_RUTAS'!$F$2:$F$407,'05_RUTAS'!$A$2:$A$407,B838,'05_RUTAS'!$C$2:$C$407,C838)</f>
        <v>45</v>
      </c>
      <c r="I838" s="18" t="n">
        <f aca="false">SUMIFS('05_RUTAS'!$G$2:$G$407,'05_RUTAS'!$A$2:$A$407,B838,'05_RUTAS'!$C$2:$C$407,C838)</f>
        <v>0</v>
      </c>
      <c r="J838" s="18" t="n">
        <f aca="false">(ROUNDUP(F838/G838,0)*H838+F838*I838)/60</f>
        <v>0.75</v>
      </c>
      <c r="K838" s="5" t="n">
        <f aca="false">MONTH(INDEX('08_PEDIDOS'!$F$2:$F$97,MATCH(A838,'08_PEDIDOS'!$A$2:$A$97,0)))</f>
        <v>9</v>
      </c>
      <c r="L838" s="16" t="n">
        <f aca="false">J838*N(INDEX('04_MAQUINAS'!$F$2:$F$18,MATCH(E838,'04_MAQUINAS'!$A$2:$A$18,0)))</f>
        <v>19.5</v>
      </c>
      <c r="M838" s="17" t="n">
        <f aca="false">J838*INDEX('04_MAQUINAS'!$G$2:$G$18,MATCH(E838,'04_MAQUINAS'!$A$2:$A$18,0))*INDEX('04_MAQUINAS'!$H$2:$H$18,MATCH(E838,'04_MAQUINAS'!$A$2:$A$18,0))</f>
        <v>10.8</v>
      </c>
      <c r="N838" s="2" t="s">
        <v>629</v>
      </c>
    </row>
    <row r="839" customFormat="false" ht="15" hidden="false" customHeight="false" outlineLevel="0" collapsed="false">
      <c r="A839" s="2" t="s">
        <v>594</v>
      </c>
      <c r="B839" s="2" t="s">
        <v>108</v>
      </c>
      <c r="C839" s="4" t="n">
        <v>8</v>
      </c>
      <c r="D839" s="2" t="s">
        <v>449</v>
      </c>
      <c r="E839" s="2" t="s">
        <v>423</v>
      </c>
      <c r="F839" s="5" t="n">
        <f aca="false">INDEX('08_PEDIDOS'!$D$2:$D$97,MATCH(A839,'08_PEDIDOS'!$A$2:$A$97,0))</f>
        <v>6</v>
      </c>
      <c r="G839" s="5" t="n">
        <f aca="false">INDEX('08_PEDIDOS'!$H$2:$H$97,MATCH(A839,'08_PEDIDOS'!$A$2:$A$97,0))</f>
        <v>10</v>
      </c>
      <c r="H839" s="17" t="n">
        <f aca="false">SUMIFS('05_RUTAS'!$F$2:$F$407,'05_RUTAS'!$A$2:$A$407,B839,'05_RUTAS'!$C$2:$C$407,C839)</f>
        <v>8</v>
      </c>
      <c r="I839" s="18" t="n">
        <f aca="false">SUMIFS('05_RUTAS'!$G$2:$G$407,'05_RUTAS'!$A$2:$A$407,B839,'05_RUTAS'!$C$2:$C$407,C839)</f>
        <v>2.42</v>
      </c>
      <c r="J839" s="18" t="n">
        <f aca="false">(ROUNDUP(F839/G839,0)*H839+F839*I839)/60</f>
        <v>0.375333333333333</v>
      </c>
      <c r="K839" s="5" t="n">
        <f aca="false">MONTH(INDEX('08_PEDIDOS'!$F$2:$F$97,MATCH(A839,'08_PEDIDOS'!$A$2:$A$97,0)))</f>
        <v>9</v>
      </c>
      <c r="L839" s="16" t="n">
        <f aca="false">J839*N(INDEX('04_MAQUINAS'!$F$2:$F$18,MATCH(E839,'04_MAQUINAS'!$A$2:$A$18,0)))</f>
        <v>6.00533333333333</v>
      </c>
      <c r="M839" s="17" t="n">
        <f aca="false">J839*INDEX('04_MAQUINAS'!$G$2:$G$18,MATCH(E839,'04_MAQUINAS'!$A$2:$A$18,0))*INDEX('04_MAQUINAS'!$H$2:$H$18,MATCH(E839,'04_MAQUINAS'!$A$2:$A$18,0))</f>
        <v>0.0938333333333333</v>
      </c>
      <c r="N839" s="2" t="s">
        <v>629</v>
      </c>
    </row>
    <row r="840" customFormat="false" ht="15" hidden="false" customHeight="false" outlineLevel="0" collapsed="false">
      <c r="A840" s="2" t="s">
        <v>594</v>
      </c>
      <c r="B840" s="2" t="s">
        <v>108</v>
      </c>
      <c r="C840" s="4" t="n">
        <v>9</v>
      </c>
      <c r="D840" s="2" t="s">
        <v>450</v>
      </c>
      <c r="E840" s="2" t="s">
        <v>406</v>
      </c>
      <c r="F840" s="5" t="n">
        <f aca="false">INDEX('08_PEDIDOS'!$D$2:$D$97,MATCH(A840,'08_PEDIDOS'!$A$2:$A$97,0))</f>
        <v>6</v>
      </c>
      <c r="G840" s="5" t="n">
        <f aca="false">INDEX('08_PEDIDOS'!$H$2:$H$97,MATCH(A840,'08_PEDIDOS'!$A$2:$A$97,0))</f>
        <v>10</v>
      </c>
      <c r="H840" s="17" t="n">
        <f aca="false">SUMIFS('05_RUTAS'!$F$2:$F$407,'05_RUTAS'!$A$2:$A$407,B840,'05_RUTAS'!$C$2:$C$407,C840)</f>
        <v>6</v>
      </c>
      <c r="I840" s="18" t="n">
        <f aca="false">SUMIFS('05_RUTAS'!$G$2:$G$407,'05_RUTAS'!$A$2:$A$407,B840,'05_RUTAS'!$C$2:$C$407,C840)</f>
        <v>56.25</v>
      </c>
      <c r="J840" s="18" t="n">
        <f aca="false">(ROUNDUP(F840/G840,0)*H840+F840*I840)/60</f>
        <v>5.725</v>
      </c>
      <c r="K840" s="5" t="n">
        <f aca="false">MONTH(INDEX('08_PEDIDOS'!$F$2:$F$97,MATCH(A840,'08_PEDIDOS'!$A$2:$A$97,0)))</f>
        <v>9</v>
      </c>
      <c r="L840" s="16" t="n">
        <f aca="false">J840*N(INDEX('04_MAQUINAS'!$F$2:$F$18,MATCH(E840,'04_MAQUINAS'!$A$2:$A$18,0)))</f>
        <v>108.775</v>
      </c>
      <c r="M840" s="17" t="n">
        <f aca="false">J840*INDEX('04_MAQUINAS'!$G$2:$G$18,MATCH(E840,'04_MAQUINAS'!$A$2:$A$18,0))*INDEX('04_MAQUINAS'!$H$2:$H$18,MATCH(E840,'04_MAQUINAS'!$A$2:$A$18,0))</f>
        <v>1.7175</v>
      </c>
      <c r="N840" s="2" t="s">
        <v>629</v>
      </c>
    </row>
    <row r="841" customFormat="false" ht="15" hidden="false" customHeight="false" outlineLevel="0" collapsed="false">
      <c r="A841" s="2" t="s">
        <v>594</v>
      </c>
      <c r="B841" s="2" t="s">
        <v>108</v>
      </c>
      <c r="C841" s="4" t="n">
        <v>10</v>
      </c>
      <c r="D841" s="2" t="s">
        <v>451</v>
      </c>
      <c r="E841" s="2" t="s">
        <v>408</v>
      </c>
      <c r="F841" s="5" t="n">
        <f aca="false">INDEX('08_PEDIDOS'!$D$2:$D$97,MATCH(A841,'08_PEDIDOS'!$A$2:$A$97,0))</f>
        <v>6</v>
      </c>
      <c r="G841" s="5" t="n">
        <f aca="false">INDEX('08_PEDIDOS'!$H$2:$H$97,MATCH(A841,'08_PEDIDOS'!$A$2:$A$97,0))</f>
        <v>10</v>
      </c>
      <c r="H841" s="17" t="n">
        <f aca="false">SUMIFS('05_RUTAS'!$F$2:$F$407,'05_RUTAS'!$A$2:$A$407,B841,'05_RUTAS'!$C$2:$C$407,C841)</f>
        <v>2</v>
      </c>
      <c r="I841" s="18" t="n">
        <f aca="false">SUMIFS('05_RUTAS'!$G$2:$G$407,'05_RUTAS'!$A$2:$A$407,B841,'05_RUTAS'!$C$2:$C$407,C841)</f>
        <v>3.52</v>
      </c>
      <c r="J841" s="18" t="n">
        <f aca="false">(ROUNDUP(F841/G841,0)*H841+F841*I841)/60</f>
        <v>0.385333333333333</v>
      </c>
      <c r="K841" s="5" t="n">
        <f aca="false">MONTH(INDEX('08_PEDIDOS'!$F$2:$F$97,MATCH(A841,'08_PEDIDOS'!$A$2:$A$97,0)))</f>
        <v>9</v>
      </c>
      <c r="L841" s="16" t="n">
        <f aca="false">J841*N(INDEX('04_MAQUINAS'!$F$2:$F$18,MATCH(E841,'04_MAQUINAS'!$A$2:$A$18,0)))</f>
        <v>7.70666666666667</v>
      </c>
      <c r="M841" s="17" t="n">
        <f aca="false">J841*INDEX('04_MAQUINAS'!$G$2:$G$18,MATCH(E841,'04_MAQUINAS'!$A$2:$A$18,0))*INDEX('04_MAQUINAS'!$H$2:$H$18,MATCH(E841,'04_MAQUINAS'!$A$2:$A$18,0))</f>
        <v>0.0385333333333333</v>
      </c>
      <c r="N841" s="2" t="s">
        <v>629</v>
      </c>
    </row>
    <row r="842" customFormat="false" ht="15" hidden="false" customHeight="false" outlineLevel="0" collapsed="false">
      <c r="A842" s="2" t="s">
        <v>594</v>
      </c>
      <c r="B842" s="2" t="s">
        <v>108</v>
      </c>
      <c r="C842" s="4" t="n">
        <v>11</v>
      </c>
      <c r="D842" s="2" t="s">
        <v>452</v>
      </c>
      <c r="E842" s="2" t="s">
        <v>411</v>
      </c>
      <c r="F842" s="5" t="n">
        <f aca="false">INDEX('08_PEDIDOS'!$D$2:$D$97,MATCH(A842,'08_PEDIDOS'!$A$2:$A$97,0))</f>
        <v>6</v>
      </c>
      <c r="G842" s="5" t="n">
        <f aca="false">INDEX('08_PEDIDOS'!$H$2:$H$97,MATCH(A842,'08_PEDIDOS'!$A$2:$A$97,0))</f>
        <v>10</v>
      </c>
      <c r="H842" s="17" t="n">
        <f aca="false">SUMIFS('05_RUTAS'!$F$2:$F$407,'05_RUTAS'!$A$2:$A$407,B842,'05_RUTAS'!$C$2:$C$407,C842)</f>
        <v>2</v>
      </c>
      <c r="I842" s="18" t="n">
        <f aca="false">SUMIFS('05_RUTAS'!$G$2:$G$407,'05_RUTAS'!$A$2:$A$407,B842,'05_RUTAS'!$C$2:$C$407,C842)</f>
        <v>4.78</v>
      </c>
      <c r="J842" s="18" t="n">
        <f aca="false">(ROUNDUP(F842/G842,0)*H842+F842*I842)/60</f>
        <v>0.511333333333333</v>
      </c>
      <c r="K842" s="5" t="n">
        <f aca="false">MONTH(INDEX('08_PEDIDOS'!$F$2:$F$97,MATCH(A842,'08_PEDIDOS'!$A$2:$A$97,0)))</f>
        <v>9</v>
      </c>
      <c r="L842" s="16" t="n">
        <f aca="false">J842*N(INDEX('04_MAQUINAS'!$F$2:$F$18,MATCH(E842,'04_MAQUINAS'!$A$2:$A$18,0)))</f>
        <v>9.204</v>
      </c>
      <c r="M842" s="17" t="n">
        <f aca="false">J842*INDEX('04_MAQUINAS'!$G$2:$G$18,MATCH(E842,'04_MAQUINAS'!$A$2:$A$18,0))*INDEX('04_MAQUINAS'!$H$2:$H$18,MATCH(E842,'04_MAQUINAS'!$A$2:$A$18,0))</f>
        <v>0.04602</v>
      </c>
      <c r="N842" s="2" t="s">
        <v>629</v>
      </c>
    </row>
    <row r="843" customFormat="false" ht="15" hidden="false" customHeight="false" outlineLevel="0" collapsed="false">
      <c r="A843" s="2" t="s">
        <v>595</v>
      </c>
      <c r="B843" s="2" t="s">
        <v>119</v>
      </c>
      <c r="C843" s="4" t="n">
        <v>1</v>
      </c>
      <c r="D843" s="2" t="s">
        <v>437</v>
      </c>
      <c r="E843" s="2" t="s">
        <v>375</v>
      </c>
      <c r="F843" s="5" t="n">
        <f aca="false">INDEX('08_PEDIDOS'!$D$2:$D$97,MATCH(A843,'08_PEDIDOS'!$A$2:$A$97,0))</f>
        <v>10</v>
      </c>
      <c r="G843" s="5" t="n">
        <f aca="false">INDEX('08_PEDIDOS'!$H$2:$H$97,MATCH(A843,'08_PEDIDOS'!$A$2:$A$97,0))</f>
        <v>10</v>
      </c>
      <c r="H843" s="17" t="n">
        <f aca="false">SUMIFS('05_RUTAS'!$F$2:$F$407,'05_RUTAS'!$A$2:$A$407,B843,'05_RUTAS'!$C$2:$C$407,C843)</f>
        <v>8</v>
      </c>
      <c r="I843" s="18" t="n">
        <f aca="false">SUMIFS('05_RUTAS'!$G$2:$G$407,'05_RUTAS'!$A$2:$A$407,B843,'05_RUTAS'!$C$2:$C$407,C843)</f>
        <v>35.56</v>
      </c>
      <c r="J843" s="18" t="n">
        <f aca="false">(ROUNDUP(F843/G843,0)*H843+F843*I843)/60</f>
        <v>6.06</v>
      </c>
      <c r="K843" s="5" t="n">
        <f aca="false">MONTH(INDEX('08_PEDIDOS'!$F$2:$F$97,MATCH(A843,'08_PEDIDOS'!$A$2:$A$97,0)))</f>
        <v>9</v>
      </c>
      <c r="L843" s="16" t="n">
        <f aca="false">J843*N(INDEX('04_MAQUINAS'!$F$2:$F$18,MATCH(E843,'04_MAQUINAS'!$A$2:$A$18,0)))</f>
        <v>145.44</v>
      </c>
      <c r="M843" s="17" t="n">
        <f aca="false">J843*INDEX('04_MAQUINAS'!$G$2:$G$18,MATCH(E843,'04_MAQUINAS'!$A$2:$A$18,0))*INDEX('04_MAQUINAS'!$H$2:$H$18,MATCH(E843,'04_MAQUINAS'!$A$2:$A$18,0))</f>
        <v>16.665</v>
      </c>
      <c r="N843" s="2" t="s">
        <v>629</v>
      </c>
    </row>
    <row r="844" customFormat="false" ht="15" hidden="false" customHeight="false" outlineLevel="0" collapsed="false">
      <c r="A844" s="2" t="s">
        <v>595</v>
      </c>
      <c r="B844" s="2" t="s">
        <v>119</v>
      </c>
      <c r="C844" s="4" t="n">
        <v>2</v>
      </c>
      <c r="D844" s="2" t="s">
        <v>386</v>
      </c>
      <c r="E844" s="2" t="s">
        <v>383</v>
      </c>
      <c r="F844" s="5" t="n">
        <f aca="false">INDEX('08_PEDIDOS'!$D$2:$D$97,MATCH(A844,'08_PEDIDOS'!$A$2:$A$97,0))</f>
        <v>10</v>
      </c>
      <c r="G844" s="5" t="n">
        <f aca="false">INDEX('08_PEDIDOS'!$H$2:$H$97,MATCH(A844,'08_PEDIDOS'!$A$2:$A$97,0))</f>
        <v>10</v>
      </c>
      <c r="H844" s="17" t="n">
        <f aca="false">SUMIFS('05_RUTAS'!$F$2:$F$407,'05_RUTAS'!$A$2:$A$407,B844,'05_RUTAS'!$C$2:$C$407,C844)</f>
        <v>10</v>
      </c>
      <c r="I844" s="18" t="n">
        <f aca="false">SUMIFS('05_RUTAS'!$G$2:$G$407,'05_RUTAS'!$A$2:$A$407,B844,'05_RUTAS'!$C$2:$C$407,C844)</f>
        <v>5.8</v>
      </c>
      <c r="J844" s="18" t="n">
        <f aca="false">(ROUNDUP(F844/G844,0)*H844+F844*I844)/60</f>
        <v>1.13333333333333</v>
      </c>
      <c r="K844" s="5" t="n">
        <f aca="false">MONTH(INDEX('08_PEDIDOS'!$F$2:$F$97,MATCH(A844,'08_PEDIDOS'!$A$2:$A$97,0)))</f>
        <v>9</v>
      </c>
      <c r="L844" s="16" t="n">
        <f aca="false">J844*N(INDEX('04_MAQUINAS'!$F$2:$F$18,MATCH(E844,'04_MAQUINAS'!$A$2:$A$18,0)))</f>
        <v>24.9333333333333</v>
      </c>
      <c r="M844" s="17" t="n">
        <f aca="false">J844*INDEX('04_MAQUINAS'!$G$2:$G$18,MATCH(E844,'04_MAQUINAS'!$A$2:$A$18,0))*INDEX('04_MAQUINAS'!$H$2:$H$18,MATCH(E844,'04_MAQUINAS'!$A$2:$A$18,0))</f>
        <v>0.311666666666667</v>
      </c>
      <c r="N844" s="2" t="s">
        <v>629</v>
      </c>
    </row>
    <row r="845" customFormat="false" ht="15" hidden="false" customHeight="false" outlineLevel="0" collapsed="false">
      <c r="A845" s="2" t="s">
        <v>595</v>
      </c>
      <c r="B845" s="2" t="s">
        <v>119</v>
      </c>
      <c r="C845" s="4" t="n">
        <v>3</v>
      </c>
      <c r="D845" s="2" t="s">
        <v>390</v>
      </c>
      <c r="E845" s="2" t="s">
        <v>387</v>
      </c>
      <c r="F845" s="5" t="n">
        <f aca="false">INDEX('08_PEDIDOS'!$D$2:$D$97,MATCH(A845,'08_PEDIDOS'!$A$2:$A$97,0))</f>
        <v>10</v>
      </c>
      <c r="G845" s="5" t="n">
        <f aca="false">INDEX('08_PEDIDOS'!$H$2:$H$97,MATCH(A845,'08_PEDIDOS'!$A$2:$A$97,0))</f>
        <v>10</v>
      </c>
      <c r="H845" s="17" t="n">
        <f aca="false">SUMIFS('05_RUTAS'!$F$2:$F$407,'05_RUTAS'!$A$2:$A$407,B845,'05_RUTAS'!$C$2:$C$407,C845)</f>
        <v>12</v>
      </c>
      <c r="I845" s="18" t="n">
        <f aca="false">SUMIFS('05_RUTAS'!$G$2:$G$407,'05_RUTAS'!$A$2:$A$407,B845,'05_RUTAS'!$C$2:$C$407,C845)</f>
        <v>86</v>
      </c>
      <c r="J845" s="18" t="n">
        <f aca="false">(ROUNDUP(F845/G845,0)*H845+F845*I845)/60</f>
        <v>14.5333333333333</v>
      </c>
      <c r="K845" s="5" t="n">
        <f aca="false">MONTH(INDEX('08_PEDIDOS'!$F$2:$F$97,MATCH(A845,'08_PEDIDOS'!$A$2:$A$97,0)))</f>
        <v>9</v>
      </c>
      <c r="L845" s="16" t="n">
        <f aca="false">J845*N(INDEX('04_MAQUINAS'!$F$2:$F$18,MATCH(E845,'04_MAQUINAS'!$A$2:$A$18,0)))</f>
        <v>406.933333333333</v>
      </c>
      <c r="M845" s="17" t="n">
        <f aca="false">J845*INDEX('04_MAQUINAS'!$G$2:$G$18,MATCH(E845,'04_MAQUINAS'!$A$2:$A$18,0))*INDEX('04_MAQUINAS'!$H$2:$H$18,MATCH(E845,'04_MAQUINAS'!$A$2:$A$18,0))</f>
        <v>35.97</v>
      </c>
      <c r="N845" s="2" t="s">
        <v>629</v>
      </c>
    </row>
    <row r="846" customFormat="false" ht="15" hidden="false" customHeight="false" outlineLevel="0" collapsed="false">
      <c r="A846" s="2" t="s">
        <v>595</v>
      </c>
      <c r="B846" s="2" t="s">
        <v>119</v>
      </c>
      <c r="C846" s="4" t="n">
        <v>4</v>
      </c>
      <c r="D846" s="2" t="s">
        <v>443</v>
      </c>
      <c r="E846" s="2" t="s">
        <v>395</v>
      </c>
      <c r="F846" s="5" t="n">
        <f aca="false">INDEX('08_PEDIDOS'!$D$2:$D$97,MATCH(A846,'08_PEDIDOS'!$A$2:$A$97,0))</f>
        <v>10</v>
      </c>
      <c r="G846" s="5" t="n">
        <f aca="false">INDEX('08_PEDIDOS'!$H$2:$H$97,MATCH(A846,'08_PEDIDOS'!$A$2:$A$97,0))</f>
        <v>10</v>
      </c>
      <c r="H846" s="17" t="n">
        <f aca="false">SUMIFS('05_RUTAS'!$F$2:$F$407,'05_RUTAS'!$A$2:$A$407,B846,'05_RUTAS'!$C$2:$C$407,C846)</f>
        <v>3</v>
      </c>
      <c r="I846" s="18" t="n">
        <f aca="false">SUMIFS('05_RUTAS'!$G$2:$G$407,'05_RUTAS'!$A$2:$A$407,B846,'05_RUTAS'!$C$2:$C$407,C846)</f>
        <v>15</v>
      </c>
      <c r="J846" s="18" t="n">
        <f aca="false">(ROUNDUP(F846/G846,0)*H846+F846*I846)/60</f>
        <v>2.55</v>
      </c>
      <c r="K846" s="5" t="n">
        <f aca="false">MONTH(INDEX('08_PEDIDOS'!$F$2:$F$97,MATCH(A846,'08_PEDIDOS'!$A$2:$A$97,0)))</f>
        <v>9</v>
      </c>
      <c r="L846" s="16" t="n">
        <f aca="false">J846*N(INDEX('04_MAQUINAS'!$F$2:$F$18,MATCH(E846,'04_MAQUINAS'!$A$2:$A$18,0)))</f>
        <v>53.55</v>
      </c>
      <c r="M846" s="17" t="n">
        <f aca="false">J846*INDEX('04_MAQUINAS'!$G$2:$G$18,MATCH(E846,'04_MAQUINAS'!$A$2:$A$18,0))*INDEX('04_MAQUINAS'!$H$2:$H$18,MATCH(E846,'04_MAQUINAS'!$A$2:$A$18,0))</f>
        <v>1.9125</v>
      </c>
      <c r="N846" s="2" t="s">
        <v>629</v>
      </c>
    </row>
    <row r="847" customFormat="false" ht="15" hidden="false" customHeight="false" outlineLevel="0" collapsed="false">
      <c r="A847" s="2" t="s">
        <v>595</v>
      </c>
      <c r="B847" s="2" t="s">
        <v>119</v>
      </c>
      <c r="C847" s="4" t="n">
        <v>5</v>
      </c>
      <c r="D847" s="2" t="s">
        <v>444</v>
      </c>
      <c r="E847" s="2" t="s">
        <v>399</v>
      </c>
      <c r="F847" s="5" t="n">
        <f aca="false">INDEX('08_PEDIDOS'!$D$2:$D$97,MATCH(A847,'08_PEDIDOS'!$A$2:$A$97,0))</f>
        <v>10</v>
      </c>
      <c r="G847" s="5" t="n">
        <f aca="false">INDEX('08_PEDIDOS'!$H$2:$H$97,MATCH(A847,'08_PEDIDOS'!$A$2:$A$97,0))</f>
        <v>10</v>
      </c>
      <c r="H847" s="17" t="n">
        <f aca="false">SUMIFS('05_RUTAS'!$F$2:$F$407,'05_RUTAS'!$A$2:$A$407,B847,'05_RUTAS'!$C$2:$C$407,C847)</f>
        <v>6</v>
      </c>
      <c r="I847" s="18" t="n">
        <f aca="false">SUMIFS('05_RUTAS'!$G$2:$G$407,'05_RUTAS'!$A$2:$A$407,B847,'05_RUTAS'!$C$2:$C$407,C847)</f>
        <v>25.712</v>
      </c>
      <c r="J847" s="18" t="n">
        <f aca="false">(ROUNDUP(F847/G847,0)*H847+F847*I847)/60</f>
        <v>4.38533333333333</v>
      </c>
      <c r="K847" s="5" t="n">
        <f aca="false">MONTH(INDEX('08_PEDIDOS'!$F$2:$F$97,MATCH(A847,'08_PEDIDOS'!$A$2:$A$97,0)))</f>
        <v>9</v>
      </c>
      <c r="L847" s="16" t="n">
        <f aca="false">J847*N(INDEX('04_MAQUINAS'!$F$2:$F$18,MATCH(E847,'04_MAQUINAS'!$A$2:$A$18,0)))</f>
        <v>83.3213333333333</v>
      </c>
      <c r="M847" s="17" t="n">
        <f aca="false">J847*INDEX('04_MAQUINAS'!$G$2:$G$18,MATCH(E847,'04_MAQUINAS'!$A$2:$A$18,0))*INDEX('04_MAQUINAS'!$H$2:$H$18,MATCH(E847,'04_MAQUINAS'!$A$2:$A$18,0))</f>
        <v>3.85909333333333</v>
      </c>
      <c r="N847" s="2" t="s">
        <v>629</v>
      </c>
    </row>
    <row r="848" customFormat="false" ht="15" hidden="false" customHeight="false" outlineLevel="0" collapsed="false">
      <c r="A848" s="2" t="s">
        <v>595</v>
      </c>
      <c r="B848" s="2" t="s">
        <v>119</v>
      </c>
      <c r="C848" s="4" t="n">
        <v>6</v>
      </c>
      <c r="D848" s="2" t="s">
        <v>445</v>
      </c>
      <c r="E848" s="2" t="s">
        <v>402</v>
      </c>
      <c r="F848" s="5" t="n">
        <f aca="false">INDEX('08_PEDIDOS'!$D$2:$D$97,MATCH(A848,'08_PEDIDOS'!$A$2:$A$97,0))</f>
        <v>10</v>
      </c>
      <c r="G848" s="5" t="n">
        <f aca="false">INDEX('08_PEDIDOS'!$H$2:$H$97,MATCH(A848,'08_PEDIDOS'!$A$2:$A$97,0))</f>
        <v>10</v>
      </c>
      <c r="H848" s="17" t="n">
        <f aca="false">SUMIFS('05_RUTAS'!$F$2:$F$407,'05_RUTAS'!$A$2:$A$407,B848,'05_RUTAS'!$C$2:$C$407,C848)</f>
        <v>12</v>
      </c>
      <c r="I848" s="18" t="n">
        <f aca="false">SUMIFS('05_RUTAS'!$G$2:$G$407,'05_RUTAS'!$A$2:$A$407,B848,'05_RUTAS'!$C$2:$C$407,C848)</f>
        <v>6.58</v>
      </c>
      <c r="J848" s="18" t="n">
        <f aca="false">(ROUNDUP(F848/G848,0)*H848+F848*I848)/60</f>
        <v>1.29666666666667</v>
      </c>
      <c r="K848" s="5" t="n">
        <f aca="false">MONTH(INDEX('08_PEDIDOS'!$F$2:$F$97,MATCH(A848,'08_PEDIDOS'!$A$2:$A$97,0)))</f>
        <v>9</v>
      </c>
      <c r="L848" s="16" t="n">
        <f aca="false">J848*N(INDEX('04_MAQUINAS'!$F$2:$F$18,MATCH(E848,'04_MAQUINAS'!$A$2:$A$18,0)))</f>
        <v>41.4933333333333</v>
      </c>
      <c r="M848" s="17" t="n">
        <f aca="false">J848*INDEX('04_MAQUINAS'!$G$2:$G$18,MATCH(E848,'04_MAQUINAS'!$A$2:$A$18,0))*INDEX('04_MAQUINAS'!$H$2:$H$18,MATCH(E848,'04_MAQUINAS'!$A$2:$A$18,0))</f>
        <v>1.3615</v>
      </c>
      <c r="N848" s="2" t="s">
        <v>629</v>
      </c>
    </row>
    <row r="849" customFormat="false" ht="15" hidden="false" customHeight="false" outlineLevel="0" collapsed="false">
      <c r="A849" s="2" t="s">
        <v>595</v>
      </c>
      <c r="B849" s="2" t="s">
        <v>119</v>
      </c>
      <c r="C849" s="4" t="n">
        <v>7</v>
      </c>
      <c r="D849" s="2" t="s">
        <v>447</v>
      </c>
      <c r="E849" s="2" t="s">
        <v>421</v>
      </c>
      <c r="F849" s="5" t="n">
        <f aca="false">INDEX('08_PEDIDOS'!$D$2:$D$97,MATCH(A849,'08_PEDIDOS'!$A$2:$A$97,0))</f>
        <v>10</v>
      </c>
      <c r="G849" s="5" t="n">
        <f aca="false">INDEX('08_PEDIDOS'!$H$2:$H$97,MATCH(A849,'08_PEDIDOS'!$A$2:$A$97,0))</f>
        <v>10</v>
      </c>
      <c r="H849" s="17" t="n">
        <f aca="false">SUMIFS('05_RUTAS'!$F$2:$F$407,'05_RUTAS'!$A$2:$A$407,B849,'05_RUTAS'!$C$2:$C$407,C849)</f>
        <v>45</v>
      </c>
      <c r="I849" s="18" t="n">
        <f aca="false">SUMIFS('05_RUTAS'!$G$2:$G$407,'05_RUTAS'!$A$2:$A$407,B849,'05_RUTAS'!$C$2:$C$407,C849)</f>
        <v>0</v>
      </c>
      <c r="J849" s="18" t="n">
        <f aca="false">(ROUNDUP(F849/G849,0)*H849+F849*I849)/60</f>
        <v>0.75</v>
      </c>
      <c r="K849" s="5" t="n">
        <f aca="false">MONTH(INDEX('08_PEDIDOS'!$F$2:$F$97,MATCH(A849,'08_PEDIDOS'!$A$2:$A$97,0)))</f>
        <v>9</v>
      </c>
      <c r="L849" s="16" t="n">
        <f aca="false">J849*N(INDEX('04_MAQUINAS'!$F$2:$F$18,MATCH(E849,'04_MAQUINAS'!$A$2:$A$18,0)))</f>
        <v>19.5</v>
      </c>
      <c r="M849" s="17" t="n">
        <f aca="false">J849*INDEX('04_MAQUINAS'!$G$2:$G$18,MATCH(E849,'04_MAQUINAS'!$A$2:$A$18,0))*INDEX('04_MAQUINAS'!$H$2:$H$18,MATCH(E849,'04_MAQUINAS'!$A$2:$A$18,0))</f>
        <v>10.8</v>
      </c>
      <c r="N849" s="2" t="s">
        <v>629</v>
      </c>
    </row>
    <row r="850" customFormat="false" ht="15" hidden="false" customHeight="false" outlineLevel="0" collapsed="false">
      <c r="A850" s="2" t="s">
        <v>595</v>
      </c>
      <c r="B850" s="2" t="s">
        <v>119</v>
      </c>
      <c r="C850" s="4" t="n">
        <v>8</v>
      </c>
      <c r="D850" s="2" t="s">
        <v>449</v>
      </c>
      <c r="E850" s="2" t="s">
        <v>423</v>
      </c>
      <c r="F850" s="5" t="n">
        <f aca="false">INDEX('08_PEDIDOS'!$D$2:$D$97,MATCH(A850,'08_PEDIDOS'!$A$2:$A$97,0))</f>
        <v>10</v>
      </c>
      <c r="G850" s="5" t="n">
        <f aca="false">INDEX('08_PEDIDOS'!$H$2:$H$97,MATCH(A850,'08_PEDIDOS'!$A$2:$A$97,0))</f>
        <v>10</v>
      </c>
      <c r="H850" s="17" t="n">
        <f aca="false">SUMIFS('05_RUTAS'!$F$2:$F$407,'05_RUTAS'!$A$2:$A$407,B850,'05_RUTAS'!$C$2:$C$407,C850)</f>
        <v>8</v>
      </c>
      <c r="I850" s="18" t="n">
        <f aca="false">SUMIFS('05_RUTAS'!$G$2:$G$407,'05_RUTAS'!$A$2:$A$407,B850,'05_RUTAS'!$C$2:$C$407,C850)</f>
        <v>2.36</v>
      </c>
      <c r="J850" s="18" t="n">
        <f aca="false">(ROUNDUP(F850/G850,0)*H850+F850*I850)/60</f>
        <v>0.526666666666667</v>
      </c>
      <c r="K850" s="5" t="n">
        <f aca="false">MONTH(INDEX('08_PEDIDOS'!$F$2:$F$97,MATCH(A850,'08_PEDIDOS'!$A$2:$A$97,0)))</f>
        <v>9</v>
      </c>
      <c r="L850" s="16" t="n">
        <f aca="false">J850*N(INDEX('04_MAQUINAS'!$F$2:$F$18,MATCH(E850,'04_MAQUINAS'!$A$2:$A$18,0)))</f>
        <v>8.42666666666667</v>
      </c>
      <c r="M850" s="17" t="n">
        <f aca="false">J850*INDEX('04_MAQUINAS'!$G$2:$G$18,MATCH(E850,'04_MAQUINAS'!$A$2:$A$18,0))*INDEX('04_MAQUINAS'!$H$2:$H$18,MATCH(E850,'04_MAQUINAS'!$A$2:$A$18,0))</f>
        <v>0.131666666666667</v>
      </c>
      <c r="N850" s="2" t="s">
        <v>629</v>
      </c>
    </row>
    <row r="851" customFormat="false" ht="15" hidden="false" customHeight="false" outlineLevel="0" collapsed="false">
      <c r="A851" s="2" t="s">
        <v>595</v>
      </c>
      <c r="B851" s="2" t="s">
        <v>119</v>
      </c>
      <c r="C851" s="4" t="n">
        <v>9</v>
      </c>
      <c r="D851" s="2" t="s">
        <v>450</v>
      </c>
      <c r="E851" s="2" t="s">
        <v>406</v>
      </c>
      <c r="F851" s="5" t="n">
        <f aca="false">INDEX('08_PEDIDOS'!$D$2:$D$97,MATCH(A851,'08_PEDIDOS'!$A$2:$A$97,0))</f>
        <v>10</v>
      </c>
      <c r="G851" s="5" t="n">
        <f aca="false">INDEX('08_PEDIDOS'!$H$2:$H$97,MATCH(A851,'08_PEDIDOS'!$A$2:$A$97,0))</f>
        <v>10</v>
      </c>
      <c r="H851" s="17" t="n">
        <f aca="false">SUMIFS('05_RUTAS'!$F$2:$F$407,'05_RUTAS'!$A$2:$A$407,B851,'05_RUTAS'!$C$2:$C$407,C851)</f>
        <v>6</v>
      </c>
      <c r="I851" s="18" t="n">
        <f aca="false">SUMIFS('05_RUTAS'!$G$2:$G$407,'05_RUTAS'!$A$2:$A$407,B851,'05_RUTAS'!$C$2:$C$407,C851)</f>
        <v>27</v>
      </c>
      <c r="J851" s="18" t="n">
        <f aca="false">(ROUNDUP(F851/G851,0)*H851+F851*I851)/60</f>
        <v>4.6</v>
      </c>
      <c r="K851" s="5" t="n">
        <f aca="false">MONTH(INDEX('08_PEDIDOS'!$F$2:$F$97,MATCH(A851,'08_PEDIDOS'!$A$2:$A$97,0)))</f>
        <v>9</v>
      </c>
      <c r="L851" s="16" t="n">
        <f aca="false">J851*N(INDEX('04_MAQUINAS'!$F$2:$F$18,MATCH(E851,'04_MAQUINAS'!$A$2:$A$18,0)))</f>
        <v>87.4</v>
      </c>
      <c r="M851" s="17" t="n">
        <f aca="false">J851*INDEX('04_MAQUINAS'!$G$2:$G$18,MATCH(E851,'04_MAQUINAS'!$A$2:$A$18,0))*INDEX('04_MAQUINAS'!$H$2:$H$18,MATCH(E851,'04_MAQUINAS'!$A$2:$A$18,0))</f>
        <v>1.38</v>
      </c>
      <c r="N851" s="2" t="s">
        <v>629</v>
      </c>
    </row>
    <row r="852" customFormat="false" ht="15" hidden="false" customHeight="false" outlineLevel="0" collapsed="false">
      <c r="A852" s="2" t="s">
        <v>595</v>
      </c>
      <c r="B852" s="2" t="s">
        <v>119</v>
      </c>
      <c r="C852" s="4" t="n">
        <v>10</v>
      </c>
      <c r="D852" s="2" t="s">
        <v>451</v>
      </c>
      <c r="E852" s="2" t="s">
        <v>408</v>
      </c>
      <c r="F852" s="5" t="n">
        <f aca="false">INDEX('08_PEDIDOS'!$D$2:$D$97,MATCH(A852,'08_PEDIDOS'!$A$2:$A$97,0))</f>
        <v>10</v>
      </c>
      <c r="G852" s="5" t="n">
        <f aca="false">INDEX('08_PEDIDOS'!$H$2:$H$97,MATCH(A852,'08_PEDIDOS'!$A$2:$A$97,0))</f>
        <v>10</v>
      </c>
      <c r="H852" s="17" t="n">
        <f aca="false">SUMIFS('05_RUTAS'!$F$2:$F$407,'05_RUTAS'!$A$2:$A$407,B852,'05_RUTAS'!$C$2:$C$407,C852)</f>
        <v>2</v>
      </c>
      <c r="I852" s="18" t="n">
        <f aca="false">SUMIFS('05_RUTAS'!$G$2:$G$407,'05_RUTAS'!$A$2:$A$407,B852,'05_RUTAS'!$C$2:$C$407,C852)</f>
        <v>3.45</v>
      </c>
      <c r="J852" s="18" t="n">
        <f aca="false">(ROUNDUP(F852/G852,0)*H852+F852*I852)/60</f>
        <v>0.608333333333333</v>
      </c>
      <c r="K852" s="5" t="n">
        <f aca="false">MONTH(INDEX('08_PEDIDOS'!$F$2:$F$97,MATCH(A852,'08_PEDIDOS'!$A$2:$A$97,0)))</f>
        <v>9</v>
      </c>
      <c r="L852" s="16" t="n">
        <f aca="false">J852*N(INDEX('04_MAQUINAS'!$F$2:$F$18,MATCH(E852,'04_MAQUINAS'!$A$2:$A$18,0)))</f>
        <v>12.1666666666667</v>
      </c>
      <c r="M852" s="17" t="n">
        <f aca="false">J852*INDEX('04_MAQUINAS'!$G$2:$G$18,MATCH(E852,'04_MAQUINAS'!$A$2:$A$18,0))*INDEX('04_MAQUINAS'!$H$2:$H$18,MATCH(E852,'04_MAQUINAS'!$A$2:$A$18,0))</f>
        <v>0.0608333333333333</v>
      </c>
      <c r="N852" s="2" t="s">
        <v>629</v>
      </c>
    </row>
    <row r="853" customFormat="false" ht="15" hidden="false" customHeight="false" outlineLevel="0" collapsed="false">
      <c r="A853" s="2" t="s">
        <v>595</v>
      </c>
      <c r="B853" s="2" t="s">
        <v>119</v>
      </c>
      <c r="C853" s="4" t="n">
        <v>11</v>
      </c>
      <c r="D853" s="2" t="s">
        <v>452</v>
      </c>
      <c r="E853" s="2" t="s">
        <v>411</v>
      </c>
      <c r="F853" s="5" t="n">
        <f aca="false">INDEX('08_PEDIDOS'!$D$2:$D$97,MATCH(A853,'08_PEDIDOS'!$A$2:$A$97,0))</f>
        <v>10</v>
      </c>
      <c r="G853" s="5" t="n">
        <f aca="false">INDEX('08_PEDIDOS'!$H$2:$H$97,MATCH(A853,'08_PEDIDOS'!$A$2:$A$97,0))</f>
        <v>10</v>
      </c>
      <c r="H853" s="17" t="n">
        <f aca="false">SUMIFS('05_RUTAS'!$F$2:$F$407,'05_RUTAS'!$A$2:$A$407,B853,'05_RUTAS'!$C$2:$C$407,C853)</f>
        <v>2</v>
      </c>
      <c r="I853" s="18" t="n">
        <f aca="false">SUMIFS('05_RUTAS'!$G$2:$G$407,'05_RUTAS'!$A$2:$A$407,B853,'05_RUTAS'!$C$2:$C$407,C853)</f>
        <v>4.67</v>
      </c>
      <c r="J853" s="18" t="n">
        <f aca="false">(ROUNDUP(F853/G853,0)*H853+F853*I853)/60</f>
        <v>0.811666666666667</v>
      </c>
      <c r="K853" s="5" t="n">
        <f aca="false">MONTH(INDEX('08_PEDIDOS'!$F$2:$F$97,MATCH(A853,'08_PEDIDOS'!$A$2:$A$97,0)))</f>
        <v>9</v>
      </c>
      <c r="L853" s="16" t="n">
        <f aca="false">J853*N(INDEX('04_MAQUINAS'!$F$2:$F$18,MATCH(E853,'04_MAQUINAS'!$A$2:$A$18,0)))</f>
        <v>14.61</v>
      </c>
      <c r="M853" s="17" t="n">
        <f aca="false">J853*INDEX('04_MAQUINAS'!$G$2:$G$18,MATCH(E853,'04_MAQUINAS'!$A$2:$A$18,0))*INDEX('04_MAQUINAS'!$H$2:$H$18,MATCH(E853,'04_MAQUINAS'!$A$2:$A$18,0))</f>
        <v>0.07305</v>
      </c>
      <c r="N853" s="2" t="s">
        <v>629</v>
      </c>
    </row>
    <row r="854" customFormat="false" ht="15" hidden="false" customHeight="false" outlineLevel="0" collapsed="false">
      <c r="A854" s="2" t="s">
        <v>596</v>
      </c>
      <c r="B854" s="2" t="s">
        <v>121</v>
      </c>
      <c r="C854" s="4" t="n">
        <v>1</v>
      </c>
      <c r="D854" s="2" t="s">
        <v>437</v>
      </c>
      <c r="E854" s="2" t="s">
        <v>375</v>
      </c>
      <c r="F854" s="5" t="n">
        <f aca="false">INDEX('08_PEDIDOS'!$D$2:$D$97,MATCH(A854,'08_PEDIDOS'!$A$2:$A$97,0))</f>
        <v>10</v>
      </c>
      <c r="G854" s="5" t="n">
        <f aca="false">INDEX('08_PEDIDOS'!$H$2:$H$97,MATCH(A854,'08_PEDIDOS'!$A$2:$A$97,0))</f>
        <v>10</v>
      </c>
      <c r="H854" s="17" t="n">
        <f aca="false">SUMIFS('05_RUTAS'!$F$2:$F$407,'05_RUTAS'!$A$2:$A$407,B854,'05_RUTAS'!$C$2:$C$407,C854)</f>
        <v>8</v>
      </c>
      <c r="I854" s="18" t="n">
        <f aca="false">SUMIFS('05_RUTAS'!$G$2:$G$407,'05_RUTAS'!$A$2:$A$407,B854,'05_RUTAS'!$C$2:$C$407,C854)</f>
        <v>35.92</v>
      </c>
      <c r="J854" s="18" t="n">
        <f aca="false">(ROUNDUP(F854/G854,0)*H854+F854*I854)/60</f>
        <v>6.12</v>
      </c>
      <c r="K854" s="5" t="n">
        <f aca="false">MONTH(INDEX('08_PEDIDOS'!$F$2:$F$97,MATCH(A854,'08_PEDIDOS'!$A$2:$A$97,0)))</f>
        <v>9</v>
      </c>
      <c r="L854" s="16" t="n">
        <f aca="false">J854*N(INDEX('04_MAQUINAS'!$F$2:$F$18,MATCH(E854,'04_MAQUINAS'!$A$2:$A$18,0)))</f>
        <v>146.88</v>
      </c>
      <c r="M854" s="17" t="n">
        <f aca="false">J854*INDEX('04_MAQUINAS'!$G$2:$G$18,MATCH(E854,'04_MAQUINAS'!$A$2:$A$18,0))*INDEX('04_MAQUINAS'!$H$2:$H$18,MATCH(E854,'04_MAQUINAS'!$A$2:$A$18,0))</f>
        <v>16.83</v>
      </c>
      <c r="N854" s="2" t="s">
        <v>629</v>
      </c>
    </row>
    <row r="855" customFormat="false" ht="15" hidden="false" customHeight="false" outlineLevel="0" collapsed="false">
      <c r="A855" s="2" t="s">
        <v>596</v>
      </c>
      <c r="B855" s="2" t="s">
        <v>121</v>
      </c>
      <c r="C855" s="4" t="n">
        <v>2</v>
      </c>
      <c r="D855" s="2" t="s">
        <v>441</v>
      </c>
      <c r="E855" s="2" t="s">
        <v>380</v>
      </c>
      <c r="F855" s="5" t="n">
        <f aca="false">INDEX('08_PEDIDOS'!$D$2:$D$97,MATCH(A855,'08_PEDIDOS'!$A$2:$A$97,0))</f>
        <v>10</v>
      </c>
      <c r="G855" s="5" t="n">
        <f aca="false">INDEX('08_PEDIDOS'!$H$2:$H$97,MATCH(A855,'08_PEDIDOS'!$A$2:$A$97,0))</f>
        <v>10</v>
      </c>
      <c r="H855" s="17" t="n">
        <f aca="false">SUMIFS('05_RUTAS'!$F$2:$F$407,'05_RUTAS'!$A$2:$A$407,B855,'05_RUTAS'!$C$2:$C$407,C855)</f>
        <v>8</v>
      </c>
      <c r="I855" s="18" t="n">
        <f aca="false">SUMIFS('05_RUTAS'!$G$2:$G$407,'05_RUTAS'!$A$2:$A$407,B855,'05_RUTAS'!$C$2:$C$407,C855)</f>
        <v>32.28</v>
      </c>
      <c r="J855" s="18" t="n">
        <f aca="false">(ROUNDUP(F855/G855,0)*H855+F855*I855)/60</f>
        <v>5.51333333333333</v>
      </c>
      <c r="K855" s="5" t="n">
        <f aca="false">MONTH(INDEX('08_PEDIDOS'!$F$2:$F$97,MATCH(A855,'08_PEDIDOS'!$A$2:$A$97,0)))</f>
        <v>9</v>
      </c>
      <c r="L855" s="16" t="n">
        <f aca="false">J855*N(INDEX('04_MAQUINAS'!$F$2:$F$18,MATCH(E855,'04_MAQUINAS'!$A$2:$A$18,0)))</f>
        <v>121.293333333333</v>
      </c>
      <c r="M855" s="17" t="n">
        <f aca="false">J855*INDEX('04_MAQUINAS'!$G$2:$G$18,MATCH(E855,'04_MAQUINAS'!$A$2:$A$18,0))*INDEX('04_MAQUINAS'!$H$2:$H$18,MATCH(E855,'04_MAQUINAS'!$A$2:$A$18,0))</f>
        <v>2.481</v>
      </c>
      <c r="N855" s="2" t="s">
        <v>629</v>
      </c>
    </row>
    <row r="856" customFormat="false" ht="15" hidden="false" customHeight="false" outlineLevel="0" collapsed="false">
      <c r="A856" s="2" t="s">
        <v>596</v>
      </c>
      <c r="B856" s="2" t="s">
        <v>121</v>
      </c>
      <c r="C856" s="4" t="n">
        <v>3</v>
      </c>
      <c r="D856" s="2" t="s">
        <v>386</v>
      </c>
      <c r="E856" s="2" t="s">
        <v>383</v>
      </c>
      <c r="F856" s="5" t="n">
        <f aca="false">INDEX('08_PEDIDOS'!$D$2:$D$97,MATCH(A856,'08_PEDIDOS'!$A$2:$A$97,0))</f>
        <v>10</v>
      </c>
      <c r="G856" s="5" t="n">
        <f aca="false">INDEX('08_PEDIDOS'!$H$2:$H$97,MATCH(A856,'08_PEDIDOS'!$A$2:$A$97,0))</f>
        <v>10</v>
      </c>
      <c r="H856" s="17" t="n">
        <f aca="false">SUMIFS('05_RUTAS'!$F$2:$F$407,'05_RUTAS'!$A$2:$A$407,B856,'05_RUTAS'!$C$2:$C$407,C856)</f>
        <v>10</v>
      </c>
      <c r="I856" s="18" t="n">
        <f aca="false">SUMIFS('05_RUTAS'!$G$2:$G$407,'05_RUTAS'!$A$2:$A$407,B856,'05_RUTAS'!$C$2:$C$407,C856)</f>
        <v>54.8</v>
      </c>
      <c r="J856" s="18" t="n">
        <f aca="false">(ROUNDUP(F856/G856,0)*H856+F856*I856)/60</f>
        <v>9.3</v>
      </c>
      <c r="K856" s="5" t="n">
        <f aca="false">MONTH(INDEX('08_PEDIDOS'!$F$2:$F$97,MATCH(A856,'08_PEDIDOS'!$A$2:$A$97,0)))</f>
        <v>9</v>
      </c>
      <c r="L856" s="16" t="n">
        <f aca="false">J856*N(INDEX('04_MAQUINAS'!$F$2:$F$18,MATCH(E856,'04_MAQUINAS'!$A$2:$A$18,0)))</f>
        <v>204.6</v>
      </c>
      <c r="M856" s="17" t="n">
        <f aca="false">J856*INDEX('04_MAQUINAS'!$G$2:$G$18,MATCH(E856,'04_MAQUINAS'!$A$2:$A$18,0))*INDEX('04_MAQUINAS'!$H$2:$H$18,MATCH(E856,'04_MAQUINAS'!$A$2:$A$18,0))</f>
        <v>2.5575</v>
      </c>
      <c r="N856" s="2" t="s">
        <v>629</v>
      </c>
    </row>
    <row r="857" customFormat="false" ht="15" hidden="false" customHeight="false" outlineLevel="0" collapsed="false">
      <c r="A857" s="2" t="s">
        <v>596</v>
      </c>
      <c r="B857" s="2" t="s">
        <v>121</v>
      </c>
      <c r="C857" s="4" t="n">
        <v>4</v>
      </c>
      <c r="D857" s="2" t="s">
        <v>390</v>
      </c>
      <c r="E857" s="2" t="s">
        <v>387</v>
      </c>
      <c r="F857" s="5" t="n">
        <f aca="false">INDEX('08_PEDIDOS'!$D$2:$D$97,MATCH(A857,'08_PEDIDOS'!$A$2:$A$97,0))</f>
        <v>10</v>
      </c>
      <c r="G857" s="5" t="n">
        <f aca="false">INDEX('08_PEDIDOS'!$H$2:$H$97,MATCH(A857,'08_PEDIDOS'!$A$2:$A$97,0))</f>
        <v>10</v>
      </c>
      <c r="H857" s="17" t="n">
        <f aca="false">SUMIFS('05_RUTAS'!$F$2:$F$407,'05_RUTAS'!$A$2:$A$407,B857,'05_RUTAS'!$C$2:$C$407,C857)</f>
        <v>12</v>
      </c>
      <c r="I857" s="18" t="n">
        <f aca="false">SUMIFS('05_RUTAS'!$G$2:$G$407,'05_RUTAS'!$A$2:$A$407,B857,'05_RUTAS'!$C$2:$C$407,C857)</f>
        <v>85</v>
      </c>
      <c r="J857" s="18" t="n">
        <f aca="false">(ROUNDUP(F857/G857,0)*H857+F857*I857)/60</f>
        <v>14.3666666666667</v>
      </c>
      <c r="K857" s="5" t="n">
        <f aca="false">MONTH(INDEX('08_PEDIDOS'!$F$2:$F$97,MATCH(A857,'08_PEDIDOS'!$A$2:$A$97,0)))</f>
        <v>9</v>
      </c>
      <c r="L857" s="16" t="n">
        <f aca="false">J857*N(INDEX('04_MAQUINAS'!$F$2:$F$18,MATCH(E857,'04_MAQUINAS'!$A$2:$A$18,0)))</f>
        <v>402.266666666667</v>
      </c>
      <c r="M857" s="17" t="n">
        <f aca="false">J857*INDEX('04_MAQUINAS'!$G$2:$G$18,MATCH(E857,'04_MAQUINAS'!$A$2:$A$18,0))*INDEX('04_MAQUINAS'!$H$2:$H$18,MATCH(E857,'04_MAQUINAS'!$A$2:$A$18,0))</f>
        <v>35.5575</v>
      </c>
      <c r="N857" s="2" t="s">
        <v>629</v>
      </c>
    </row>
    <row r="858" customFormat="false" ht="15" hidden="false" customHeight="false" outlineLevel="0" collapsed="false">
      <c r="A858" s="2" t="s">
        <v>596</v>
      </c>
      <c r="B858" s="2" t="s">
        <v>121</v>
      </c>
      <c r="C858" s="4" t="n">
        <v>5</v>
      </c>
      <c r="D858" s="2" t="s">
        <v>443</v>
      </c>
      <c r="E858" s="2" t="s">
        <v>395</v>
      </c>
      <c r="F858" s="5" t="n">
        <f aca="false">INDEX('08_PEDIDOS'!$D$2:$D$97,MATCH(A858,'08_PEDIDOS'!$A$2:$A$97,0))</f>
        <v>10</v>
      </c>
      <c r="G858" s="5" t="n">
        <f aca="false">INDEX('08_PEDIDOS'!$H$2:$H$97,MATCH(A858,'08_PEDIDOS'!$A$2:$A$97,0))</f>
        <v>10</v>
      </c>
      <c r="H858" s="17" t="n">
        <f aca="false">SUMIFS('05_RUTAS'!$F$2:$F$407,'05_RUTAS'!$A$2:$A$407,B858,'05_RUTAS'!$C$2:$C$407,C858)</f>
        <v>3</v>
      </c>
      <c r="I858" s="18" t="n">
        <f aca="false">SUMIFS('05_RUTAS'!$G$2:$G$407,'05_RUTAS'!$A$2:$A$407,B858,'05_RUTAS'!$C$2:$C$407,C858)</f>
        <v>37.5</v>
      </c>
      <c r="J858" s="18" t="n">
        <f aca="false">(ROUNDUP(F858/G858,0)*H858+F858*I858)/60</f>
        <v>6.3</v>
      </c>
      <c r="K858" s="5" t="n">
        <f aca="false">MONTH(INDEX('08_PEDIDOS'!$F$2:$F$97,MATCH(A858,'08_PEDIDOS'!$A$2:$A$97,0)))</f>
        <v>9</v>
      </c>
      <c r="L858" s="16" t="n">
        <f aca="false">J858*N(INDEX('04_MAQUINAS'!$F$2:$F$18,MATCH(E858,'04_MAQUINAS'!$A$2:$A$18,0)))</f>
        <v>132.3</v>
      </c>
      <c r="M858" s="17" t="n">
        <f aca="false">J858*INDEX('04_MAQUINAS'!$G$2:$G$18,MATCH(E858,'04_MAQUINAS'!$A$2:$A$18,0))*INDEX('04_MAQUINAS'!$H$2:$H$18,MATCH(E858,'04_MAQUINAS'!$A$2:$A$18,0))</f>
        <v>4.725</v>
      </c>
      <c r="N858" s="2" t="s">
        <v>629</v>
      </c>
    </row>
    <row r="859" customFormat="false" ht="15" hidden="false" customHeight="false" outlineLevel="0" collapsed="false">
      <c r="A859" s="2" t="s">
        <v>596</v>
      </c>
      <c r="B859" s="2" t="s">
        <v>121</v>
      </c>
      <c r="C859" s="4" t="n">
        <v>6</v>
      </c>
      <c r="D859" s="2" t="s">
        <v>444</v>
      </c>
      <c r="E859" s="2" t="s">
        <v>399</v>
      </c>
      <c r="F859" s="5" t="n">
        <f aca="false">INDEX('08_PEDIDOS'!$D$2:$D$97,MATCH(A859,'08_PEDIDOS'!$A$2:$A$97,0))</f>
        <v>10</v>
      </c>
      <c r="G859" s="5" t="n">
        <f aca="false">INDEX('08_PEDIDOS'!$H$2:$H$97,MATCH(A859,'08_PEDIDOS'!$A$2:$A$97,0))</f>
        <v>10</v>
      </c>
      <c r="H859" s="17" t="n">
        <f aca="false">SUMIFS('05_RUTAS'!$F$2:$F$407,'05_RUTAS'!$A$2:$A$407,B859,'05_RUTAS'!$C$2:$C$407,C859)</f>
        <v>6</v>
      </c>
      <c r="I859" s="18" t="n">
        <f aca="false">SUMIFS('05_RUTAS'!$G$2:$G$407,'05_RUTAS'!$A$2:$A$407,B859,'05_RUTAS'!$C$2:$C$407,C859)</f>
        <v>24.4752</v>
      </c>
      <c r="J859" s="18" t="n">
        <f aca="false">(ROUNDUP(F859/G859,0)*H859+F859*I859)/60</f>
        <v>4.1792</v>
      </c>
      <c r="K859" s="5" t="n">
        <f aca="false">MONTH(INDEX('08_PEDIDOS'!$F$2:$F$97,MATCH(A859,'08_PEDIDOS'!$A$2:$A$97,0)))</f>
        <v>9</v>
      </c>
      <c r="L859" s="16" t="n">
        <f aca="false">J859*N(INDEX('04_MAQUINAS'!$F$2:$F$18,MATCH(E859,'04_MAQUINAS'!$A$2:$A$18,0)))</f>
        <v>79.4048</v>
      </c>
      <c r="M859" s="17" t="n">
        <f aca="false">J859*INDEX('04_MAQUINAS'!$G$2:$G$18,MATCH(E859,'04_MAQUINAS'!$A$2:$A$18,0))*INDEX('04_MAQUINAS'!$H$2:$H$18,MATCH(E859,'04_MAQUINAS'!$A$2:$A$18,0))</f>
        <v>3.677696</v>
      </c>
      <c r="N859" s="2" t="s">
        <v>629</v>
      </c>
    </row>
    <row r="860" customFormat="false" ht="15" hidden="false" customHeight="false" outlineLevel="0" collapsed="false">
      <c r="A860" s="2" t="s">
        <v>596</v>
      </c>
      <c r="B860" s="2" t="s">
        <v>121</v>
      </c>
      <c r="C860" s="4" t="n">
        <v>7</v>
      </c>
      <c r="D860" s="2" t="s">
        <v>445</v>
      </c>
      <c r="E860" s="2" t="s">
        <v>402</v>
      </c>
      <c r="F860" s="5" t="n">
        <f aca="false">INDEX('08_PEDIDOS'!$D$2:$D$97,MATCH(A860,'08_PEDIDOS'!$A$2:$A$97,0))</f>
        <v>10</v>
      </c>
      <c r="G860" s="5" t="n">
        <f aca="false">INDEX('08_PEDIDOS'!$H$2:$H$97,MATCH(A860,'08_PEDIDOS'!$A$2:$A$97,0))</f>
        <v>10</v>
      </c>
      <c r="H860" s="17" t="n">
        <f aca="false">SUMIFS('05_RUTAS'!$F$2:$F$407,'05_RUTAS'!$A$2:$A$407,B860,'05_RUTAS'!$C$2:$C$407,C860)</f>
        <v>12</v>
      </c>
      <c r="I860" s="18" t="n">
        <f aca="false">SUMIFS('05_RUTAS'!$G$2:$G$407,'05_RUTAS'!$A$2:$A$407,B860,'05_RUTAS'!$C$2:$C$407,C860)</f>
        <v>6.58</v>
      </c>
      <c r="J860" s="18" t="n">
        <f aca="false">(ROUNDUP(F860/G860,0)*H860+F860*I860)/60</f>
        <v>1.29666666666667</v>
      </c>
      <c r="K860" s="5" t="n">
        <f aca="false">MONTH(INDEX('08_PEDIDOS'!$F$2:$F$97,MATCH(A860,'08_PEDIDOS'!$A$2:$A$97,0)))</f>
        <v>9</v>
      </c>
      <c r="L860" s="16" t="n">
        <f aca="false">J860*N(INDEX('04_MAQUINAS'!$F$2:$F$18,MATCH(E860,'04_MAQUINAS'!$A$2:$A$18,0)))</f>
        <v>41.4933333333333</v>
      </c>
      <c r="M860" s="17" t="n">
        <f aca="false">J860*INDEX('04_MAQUINAS'!$G$2:$G$18,MATCH(E860,'04_MAQUINAS'!$A$2:$A$18,0))*INDEX('04_MAQUINAS'!$H$2:$H$18,MATCH(E860,'04_MAQUINAS'!$A$2:$A$18,0))</f>
        <v>1.3615</v>
      </c>
      <c r="N860" s="2" t="s">
        <v>629</v>
      </c>
    </row>
    <row r="861" customFormat="false" ht="15" hidden="false" customHeight="false" outlineLevel="0" collapsed="false">
      <c r="A861" s="2" t="s">
        <v>596</v>
      </c>
      <c r="B861" s="2" t="s">
        <v>121</v>
      </c>
      <c r="C861" s="4" t="n">
        <v>8</v>
      </c>
      <c r="D861" s="2" t="s">
        <v>447</v>
      </c>
      <c r="E861" s="2" t="s">
        <v>421</v>
      </c>
      <c r="F861" s="5" t="n">
        <f aca="false">INDEX('08_PEDIDOS'!$D$2:$D$97,MATCH(A861,'08_PEDIDOS'!$A$2:$A$97,0))</f>
        <v>10</v>
      </c>
      <c r="G861" s="5" t="n">
        <f aca="false">INDEX('08_PEDIDOS'!$H$2:$H$97,MATCH(A861,'08_PEDIDOS'!$A$2:$A$97,0))</f>
        <v>10</v>
      </c>
      <c r="H861" s="17" t="n">
        <f aca="false">SUMIFS('05_RUTAS'!$F$2:$F$407,'05_RUTAS'!$A$2:$A$407,B861,'05_RUTAS'!$C$2:$C$407,C861)</f>
        <v>45</v>
      </c>
      <c r="I861" s="18" t="n">
        <f aca="false">SUMIFS('05_RUTAS'!$G$2:$G$407,'05_RUTAS'!$A$2:$A$407,B861,'05_RUTAS'!$C$2:$C$407,C861)</f>
        <v>0</v>
      </c>
      <c r="J861" s="18" t="n">
        <f aca="false">(ROUNDUP(F861/G861,0)*H861+F861*I861)/60</f>
        <v>0.75</v>
      </c>
      <c r="K861" s="5" t="n">
        <f aca="false">MONTH(INDEX('08_PEDIDOS'!$F$2:$F$97,MATCH(A861,'08_PEDIDOS'!$A$2:$A$97,0)))</f>
        <v>9</v>
      </c>
      <c r="L861" s="16" t="n">
        <f aca="false">J861*N(INDEX('04_MAQUINAS'!$F$2:$F$18,MATCH(E861,'04_MAQUINAS'!$A$2:$A$18,0)))</f>
        <v>19.5</v>
      </c>
      <c r="M861" s="17" t="n">
        <f aca="false">J861*INDEX('04_MAQUINAS'!$G$2:$G$18,MATCH(E861,'04_MAQUINAS'!$A$2:$A$18,0))*INDEX('04_MAQUINAS'!$H$2:$H$18,MATCH(E861,'04_MAQUINAS'!$A$2:$A$18,0))</f>
        <v>10.8</v>
      </c>
      <c r="N861" s="2" t="s">
        <v>629</v>
      </c>
    </row>
    <row r="862" customFormat="false" ht="15" hidden="false" customHeight="false" outlineLevel="0" collapsed="false">
      <c r="A862" s="2" t="s">
        <v>596</v>
      </c>
      <c r="B862" s="2" t="s">
        <v>121</v>
      </c>
      <c r="C862" s="4" t="n">
        <v>9</v>
      </c>
      <c r="D862" s="2" t="s">
        <v>449</v>
      </c>
      <c r="E862" s="2" t="s">
        <v>423</v>
      </c>
      <c r="F862" s="5" t="n">
        <f aca="false">INDEX('08_PEDIDOS'!$D$2:$D$97,MATCH(A862,'08_PEDIDOS'!$A$2:$A$97,0))</f>
        <v>10</v>
      </c>
      <c r="G862" s="5" t="n">
        <f aca="false">INDEX('08_PEDIDOS'!$H$2:$H$97,MATCH(A862,'08_PEDIDOS'!$A$2:$A$97,0))</f>
        <v>10</v>
      </c>
      <c r="H862" s="17" t="n">
        <f aca="false">SUMIFS('05_RUTAS'!$F$2:$F$407,'05_RUTAS'!$A$2:$A$407,B862,'05_RUTAS'!$C$2:$C$407,C862)</f>
        <v>8</v>
      </c>
      <c r="I862" s="18" t="n">
        <f aca="false">SUMIFS('05_RUTAS'!$G$2:$G$407,'05_RUTAS'!$A$2:$A$407,B862,'05_RUTAS'!$C$2:$C$407,C862)</f>
        <v>2.36</v>
      </c>
      <c r="J862" s="18" t="n">
        <f aca="false">(ROUNDUP(F862/G862,0)*H862+F862*I862)/60</f>
        <v>0.526666666666667</v>
      </c>
      <c r="K862" s="5" t="n">
        <f aca="false">MONTH(INDEX('08_PEDIDOS'!$F$2:$F$97,MATCH(A862,'08_PEDIDOS'!$A$2:$A$97,0)))</f>
        <v>9</v>
      </c>
      <c r="L862" s="16" t="n">
        <f aca="false">J862*N(INDEX('04_MAQUINAS'!$F$2:$F$18,MATCH(E862,'04_MAQUINAS'!$A$2:$A$18,0)))</f>
        <v>8.42666666666667</v>
      </c>
      <c r="M862" s="17" t="n">
        <f aca="false">J862*INDEX('04_MAQUINAS'!$G$2:$G$18,MATCH(E862,'04_MAQUINAS'!$A$2:$A$18,0))*INDEX('04_MAQUINAS'!$H$2:$H$18,MATCH(E862,'04_MAQUINAS'!$A$2:$A$18,0))</f>
        <v>0.131666666666667</v>
      </c>
      <c r="N862" s="2" t="s">
        <v>629</v>
      </c>
    </row>
    <row r="863" customFormat="false" ht="15" hidden="false" customHeight="false" outlineLevel="0" collapsed="false">
      <c r="A863" s="2" t="s">
        <v>596</v>
      </c>
      <c r="B863" s="2" t="s">
        <v>121</v>
      </c>
      <c r="C863" s="4" t="n">
        <v>10</v>
      </c>
      <c r="D863" s="2" t="s">
        <v>450</v>
      </c>
      <c r="E863" s="2" t="s">
        <v>406</v>
      </c>
      <c r="F863" s="5" t="n">
        <f aca="false">INDEX('08_PEDIDOS'!$D$2:$D$97,MATCH(A863,'08_PEDIDOS'!$A$2:$A$97,0))</f>
        <v>10</v>
      </c>
      <c r="G863" s="5" t="n">
        <f aca="false">INDEX('08_PEDIDOS'!$H$2:$H$97,MATCH(A863,'08_PEDIDOS'!$A$2:$A$97,0))</f>
        <v>10</v>
      </c>
      <c r="H863" s="17" t="n">
        <f aca="false">SUMIFS('05_RUTAS'!$F$2:$F$407,'05_RUTAS'!$A$2:$A$407,B863,'05_RUTAS'!$C$2:$C$407,C863)</f>
        <v>6</v>
      </c>
      <c r="I863" s="18" t="n">
        <f aca="false">SUMIFS('05_RUTAS'!$G$2:$G$407,'05_RUTAS'!$A$2:$A$407,B863,'05_RUTAS'!$C$2:$C$407,C863)</f>
        <v>61.5</v>
      </c>
      <c r="J863" s="18" t="n">
        <f aca="false">(ROUNDUP(F863/G863,0)*H863+F863*I863)/60</f>
        <v>10.35</v>
      </c>
      <c r="K863" s="5" t="n">
        <f aca="false">MONTH(INDEX('08_PEDIDOS'!$F$2:$F$97,MATCH(A863,'08_PEDIDOS'!$A$2:$A$97,0)))</f>
        <v>9</v>
      </c>
      <c r="L863" s="16" t="n">
        <f aca="false">J863*N(INDEX('04_MAQUINAS'!$F$2:$F$18,MATCH(E863,'04_MAQUINAS'!$A$2:$A$18,0)))</f>
        <v>196.65</v>
      </c>
      <c r="M863" s="17" t="n">
        <f aca="false">J863*INDEX('04_MAQUINAS'!$G$2:$G$18,MATCH(E863,'04_MAQUINAS'!$A$2:$A$18,0))*INDEX('04_MAQUINAS'!$H$2:$H$18,MATCH(E863,'04_MAQUINAS'!$A$2:$A$18,0))</f>
        <v>3.105</v>
      </c>
      <c r="N863" s="2" t="s">
        <v>629</v>
      </c>
    </row>
    <row r="864" customFormat="false" ht="15" hidden="false" customHeight="false" outlineLevel="0" collapsed="false">
      <c r="A864" s="2" t="s">
        <v>596</v>
      </c>
      <c r="B864" s="2" t="s">
        <v>121</v>
      </c>
      <c r="C864" s="4" t="n">
        <v>11</v>
      </c>
      <c r="D864" s="2" t="s">
        <v>451</v>
      </c>
      <c r="E864" s="2" t="s">
        <v>408</v>
      </c>
      <c r="F864" s="5" t="n">
        <f aca="false">INDEX('08_PEDIDOS'!$D$2:$D$97,MATCH(A864,'08_PEDIDOS'!$A$2:$A$97,0))</f>
        <v>10</v>
      </c>
      <c r="G864" s="5" t="n">
        <f aca="false">INDEX('08_PEDIDOS'!$H$2:$H$97,MATCH(A864,'08_PEDIDOS'!$A$2:$A$97,0))</f>
        <v>10</v>
      </c>
      <c r="H864" s="17" t="n">
        <f aca="false">SUMIFS('05_RUTAS'!$F$2:$F$407,'05_RUTAS'!$A$2:$A$407,B864,'05_RUTAS'!$C$2:$C$407,C864)</f>
        <v>2</v>
      </c>
      <c r="I864" s="18" t="n">
        <f aca="false">SUMIFS('05_RUTAS'!$G$2:$G$407,'05_RUTAS'!$A$2:$A$407,B864,'05_RUTAS'!$C$2:$C$407,C864)</f>
        <v>3.45</v>
      </c>
      <c r="J864" s="18" t="n">
        <f aca="false">(ROUNDUP(F864/G864,0)*H864+F864*I864)/60</f>
        <v>0.608333333333333</v>
      </c>
      <c r="K864" s="5" t="n">
        <f aca="false">MONTH(INDEX('08_PEDIDOS'!$F$2:$F$97,MATCH(A864,'08_PEDIDOS'!$A$2:$A$97,0)))</f>
        <v>9</v>
      </c>
      <c r="L864" s="16" t="n">
        <f aca="false">J864*N(INDEX('04_MAQUINAS'!$F$2:$F$18,MATCH(E864,'04_MAQUINAS'!$A$2:$A$18,0)))</f>
        <v>12.1666666666667</v>
      </c>
      <c r="M864" s="17" t="n">
        <f aca="false">J864*INDEX('04_MAQUINAS'!$G$2:$G$18,MATCH(E864,'04_MAQUINAS'!$A$2:$A$18,0))*INDEX('04_MAQUINAS'!$H$2:$H$18,MATCH(E864,'04_MAQUINAS'!$A$2:$A$18,0))</f>
        <v>0.0608333333333333</v>
      </c>
      <c r="N864" s="2" t="s">
        <v>629</v>
      </c>
    </row>
    <row r="865" customFormat="false" ht="15" hidden="false" customHeight="false" outlineLevel="0" collapsed="false">
      <c r="A865" s="2" t="s">
        <v>596</v>
      </c>
      <c r="B865" s="2" t="s">
        <v>121</v>
      </c>
      <c r="C865" s="4" t="n">
        <v>12</v>
      </c>
      <c r="D865" s="2" t="s">
        <v>452</v>
      </c>
      <c r="E865" s="2" t="s">
        <v>411</v>
      </c>
      <c r="F865" s="5" t="n">
        <f aca="false">INDEX('08_PEDIDOS'!$D$2:$D$97,MATCH(A865,'08_PEDIDOS'!$A$2:$A$97,0))</f>
        <v>10</v>
      </c>
      <c r="G865" s="5" t="n">
        <f aca="false">INDEX('08_PEDIDOS'!$H$2:$H$97,MATCH(A865,'08_PEDIDOS'!$A$2:$A$97,0))</f>
        <v>10</v>
      </c>
      <c r="H865" s="17" t="n">
        <f aca="false">SUMIFS('05_RUTAS'!$F$2:$F$407,'05_RUTAS'!$A$2:$A$407,B865,'05_RUTAS'!$C$2:$C$407,C865)</f>
        <v>2</v>
      </c>
      <c r="I865" s="18" t="n">
        <f aca="false">SUMIFS('05_RUTAS'!$G$2:$G$407,'05_RUTAS'!$A$2:$A$407,B865,'05_RUTAS'!$C$2:$C$407,C865)</f>
        <v>4.67</v>
      </c>
      <c r="J865" s="18" t="n">
        <f aca="false">(ROUNDUP(F865/G865,0)*H865+F865*I865)/60</f>
        <v>0.811666666666667</v>
      </c>
      <c r="K865" s="5" t="n">
        <f aca="false">MONTH(INDEX('08_PEDIDOS'!$F$2:$F$97,MATCH(A865,'08_PEDIDOS'!$A$2:$A$97,0)))</f>
        <v>9</v>
      </c>
      <c r="L865" s="16" t="n">
        <f aca="false">J865*N(INDEX('04_MAQUINAS'!$F$2:$F$18,MATCH(E865,'04_MAQUINAS'!$A$2:$A$18,0)))</f>
        <v>14.61</v>
      </c>
      <c r="M865" s="17" t="n">
        <f aca="false">J865*INDEX('04_MAQUINAS'!$G$2:$G$18,MATCH(E865,'04_MAQUINAS'!$A$2:$A$18,0))*INDEX('04_MAQUINAS'!$H$2:$H$18,MATCH(E865,'04_MAQUINAS'!$A$2:$A$18,0))</f>
        <v>0.07305</v>
      </c>
      <c r="N865" s="2" t="s">
        <v>629</v>
      </c>
    </row>
    <row r="866" customFormat="false" ht="15" hidden="false" customHeight="false" outlineLevel="0" collapsed="false">
      <c r="A866" s="2" t="s">
        <v>597</v>
      </c>
      <c r="B866" s="2" t="s">
        <v>80</v>
      </c>
      <c r="C866" s="4" t="n">
        <v>1</v>
      </c>
      <c r="D866" s="2" t="s">
        <v>437</v>
      </c>
      <c r="E866" s="2" t="s">
        <v>375</v>
      </c>
      <c r="F866" s="5" t="n">
        <f aca="false">INDEX('08_PEDIDOS'!$D$2:$D$97,MATCH(A866,'08_PEDIDOS'!$A$2:$A$97,0))</f>
        <v>12</v>
      </c>
      <c r="G866" s="5" t="n">
        <f aca="false">INDEX('08_PEDIDOS'!$H$2:$H$97,MATCH(A866,'08_PEDIDOS'!$A$2:$A$97,0))</f>
        <v>10</v>
      </c>
      <c r="H866" s="17" t="n">
        <f aca="false">SUMIFS('05_RUTAS'!$F$2:$F$407,'05_RUTAS'!$A$2:$A$407,B866,'05_RUTAS'!$C$2:$C$407,C866)</f>
        <v>8</v>
      </c>
      <c r="I866" s="18" t="n">
        <f aca="false">SUMIFS('05_RUTAS'!$G$2:$G$407,'05_RUTAS'!$A$2:$A$407,B866,'05_RUTAS'!$C$2:$C$407,C866)</f>
        <v>34.62</v>
      </c>
      <c r="J866" s="18" t="n">
        <f aca="false">(ROUNDUP(F866/G866,0)*H866+F866*I866)/60</f>
        <v>7.19066666666667</v>
      </c>
      <c r="K866" s="5" t="n">
        <f aca="false">MONTH(INDEX('08_PEDIDOS'!$F$2:$F$97,MATCH(A866,'08_PEDIDOS'!$A$2:$A$97,0)))</f>
        <v>10</v>
      </c>
      <c r="L866" s="16" t="n">
        <f aca="false">J866*N(INDEX('04_MAQUINAS'!$F$2:$F$18,MATCH(E866,'04_MAQUINAS'!$A$2:$A$18,0)))</f>
        <v>172.576</v>
      </c>
      <c r="M866" s="17" t="n">
        <f aca="false">J866*INDEX('04_MAQUINAS'!$G$2:$G$18,MATCH(E866,'04_MAQUINAS'!$A$2:$A$18,0))*INDEX('04_MAQUINAS'!$H$2:$H$18,MATCH(E866,'04_MAQUINAS'!$A$2:$A$18,0))</f>
        <v>19.7743333333333</v>
      </c>
      <c r="N866" s="2" t="s">
        <v>629</v>
      </c>
    </row>
    <row r="867" customFormat="false" ht="15" hidden="false" customHeight="false" outlineLevel="0" collapsed="false">
      <c r="A867" s="2" t="s">
        <v>597</v>
      </c>
      <c r="B867" s="2" t="s">
        <v>80</v>
      </c>
      <c r="C867" s="4" t="n">
        <v>2</v>
      </c>
      <c r="D867" s="2" t="s">
        <v>441</v>
      </c>
      <c r="E867" s="2" t="s">
        <v>380</v>
      </c>
      <c r="F867" s="5" t="n">
        <f aca="false">INDEX('08_PEDIDOS'!$D$2:$D$97,MATCH(A867,'08_PEDIDOS'!$A$2:$A$97,0))</f>
        <v>12</v>
      </c>
      <c r="G867" s="5" t="n">
        <f aca="false">INDEX('08_PEDIDOS'!$H$2:$H$97,MATCH(A867,'08_PEDIDOS'!$A$2:$A$97,0))</f>
        <v>10</v>
      </c>
      <c r="H867" s="17" t="n">
        <f aca="false">SUMIFS('05_RUTAS'!$F$2:$F$407,'05_RUTAS'!$A$2:$A$407,B867,'05_RUTAS'!$C$2:$C$407,C867)</f>
        <v>8</v>
      </c>
      <c r="I867" s="18" t="n">
        <f aca="false">SUMIFS('05_RUTAS'!$G$2:$G$407,'05_RUTAS'!$A$2:$A$407,B867,'05_RUTAS'!$C$2:$C$407,C867)</f>
        <v>43.52</v>
      </c>
      <c r="J867" s="18" t="n">
        <f aca="false">(ROUNDUP(F867/G867,0)*H867+F867*I867)/60</f>
        <v>8.97066666666667</v>
      </c>
      <c r="K867" s="5" t="n">
        <f aca="false">MONTH(INDEX('08_PEDIDOS'!$F$2:$F$97,MATCH(A867,'08_PEDIDOS'!$A$2:$A$97,0)))</f>
        <v>10</v>
      </c>
      <c r="L867" s="16" t="n">
        <f aca="false">J867*N(INDEX('04_MAQUINAS'!$F$2:$F$18,MATCH(E867,'04_MAQUINAS'!$A$2:$A$18,0)))</f>
        <v>197.354666666667</v>
      </c>
      <c r="M867" s="17" t="n">
        <f aca="false">J867*INDEX('04_MAQUINAS'!$G$2:$G$18,MATCH(E867,'04_MAQUINAS'!$A$2:$A$18,0))*INDEX('04_MAQUINAS'!$H$2:$H$18,MATCH(E867,'04_MAQUINAS'!$A$2:$A$18,0))</f>
        <v>4.0368</v>
      </c>
      <c r="N867" s="2" t="s">
        <v>629</v>
      </c>
    </row>
    <row r="868" customFormat="false" ht="15" hidden="false" customHeight="false" outlineLevel="0" collapsed="false">
      <c r="A868" s="2" t="s">
        <v>597</v>
      </c>
      <c r="B868" s="2" t="s">
        <v>80</v>
      </c>
      <c r="C868" s="4" t="n">
        <v>3</v>
      </c>
      <c r="D868" s="2" t="s">
        <v>386</v>
      </c>
      <c r="E868" s="2" t="s">
        <v>383</v>
      </c>
      <c r="F868" s="5" t="n">
        <f aca="false">INDEX('08_PEDIDOS'!$D$2:$D$97,MATCH(A868,'08_PEDIDOS'!$A$2:$A$97,0))</f>
        <v>12</v>
      </c>
      <c r="G868" s="5" t="n">
        <f aca="false">INDEX('08_PEDIDOS'!$H$2:$H$97,MATCH(A868,'08_PEDIDOS'!$A$2:$A$97,0))</f>
        <v>10</v>
      </c>
      <c r="H868" s="17" t="n">
        <f aca="false">SUMIFS('05_RUTAS'!$F$2:$F$407,'05_RUTAS'!$A$2:$A$407,B868,'05_RUTAS'!$C$2:$C$407,C868)</f>
        <v>10</v>
      </c>
      <c r="I868" s="18" t="n">
        <f aca="false">SUMIFS('05_RUTAS'!$G$2:$G$407,'05_RUTAS'!$A$2:$A$407,B868,'05_RUTAS'!$C$2:$C$407,C868)</f>
        <v>63.2</v>
      </c>
      <c r="J868" s="18" t="n">
        <f aca="false">(ROUNDUP(F868/G868,0)*H868+F868*I868)/60</f>
        <v>12.9733333333333</v>
      </c>
      <c r="K868" s="5" t="n">
        <f aca="false">MONTH(INDEX('08_PEDIDOS'!$F$2:$F$97,MATCH(A868,'08_PEDIDOS'!$A$2:$A$97,0)))</f>
        <v>10</v>
      </c>
      <c r="L868" s="16" t="n">
        <f aca="false">J868*N(INDEX('04_MAQUINAS'!$F$2:$F$18,MATCH(E868,'04_MAQUINAS'!$A$2:$A$18,0)))</f>
        <v>285.413333333333</v>
      </c>
      <c r="M868" s="17" t="n">
        <f aca="false">J868*INDEX('04_MAQUINAS'!$G$2:$G$18,MATCH(E868,'04_MAQUINAS'!$A$2:$A$18,0))*INDEX('04_MAQUINAS'!$H$2:$H$18,MATCH(E868,'04_MAQUINAS'!$A$2:$A$18,0))</f>
        <v>3.56766666666667</v>
      </c>
      <c r="N868" s="2" t="s">
        <v>629</v>
      </c>
    </row>
    <row r="869" customFormat="false" ht="15" hidden="false" customHeight="false" outlineLevel="0" collapsed="false">
      <c r="A869" s="2" t="s">
        <v>597</v>
      </c>
      <c r="B869" s="2" t="s">
        <v>80</v>
      </c>
      <c r="C869" s="4" t="n">
        <v>4</v>
      </c>
      <c r="D869" s="2" t="s">
        <v>390</v>
      </c>
      <c r="E869" s="2" t="s">
        <v>387</v>
      </c>
      <c r="F869" s="5" t="n">
        <f aca="false">INDEX('08_PEDIDOS'!$D$2:$D$97,MATCH(A869,'08_PEDIDOS'!$A$2:$A$97,0))</f>
        <v>12</v>
      </c>
      <c r="G869" s="5" t="n">
        <f aca="false">INDEX('08_PEDIDOS'!$H$2:$H$97,MATCH(A869,'08_PEDIDOS'!$A$2:$A$97,0))</f>
        <v>10</v>
      </c>
      <c r="H869" s="17" t="n">
        <f aca="false">SUMIFS('05_RUTAS'!$F$2:$F$407,'05_RUTAS'!$A$2:$A$407,B869,'05_RUTAS'!$C$2:$C$407,C869)</f>
        <v>12</v>
      </c>
      <c r="I869" s="18" t="n">
        <f aca="false">SUMIFS('05_RUTAS'!$G$2:$G$407,'05_RUTAS'!$A$2:$A$407,B869,'05_RUTAS'!$C$2:$C$407,C869)</f>
        <v>60</v>
      </c>
      <c r="J869" s="18" t="n">
        <f aca="false">(ROUNDUP(F869/G869,0)*H869+F869*I869)/60</f>
        <v>12.4</v>
      </c>
      <c r="K869" s="5" t="n">
        <f aca="false">MONTH(INDEX('08_PEDIDOS'!$F$2:$F$97,MATCH(A869,'08_PEDIDOS'!$A$2:$A$97,0)))</f>
        <v>10</v>
      </c>
      <c r="L869" s="16" t="n">
        <f aca="false">J869*N(INDEX('04_MAQUINAS'!$F$2:$F$18,MATCH(E869,'04_MAQUINAS'!$A$2:$A$18,0)))</f>
        <v>347.2</v>
      </c>
      <c r="M869" s="17" t="n">
        <f aca="false">J869*INDEX('04_MAQUINAS'!$G$2:$G$18,MATCH(E869,'04_MAQUINAS'!$A$2:$A$18,0))*INDEX('04_MAQUINAS'!$H$2:$H$18,MATCH(E869,'04_MAQUINAS'!$A$2:$A$18,0))</f>
        <v>30.69</v>
      </c>
      <c r="N869" s="2" t="s">
        <v>629</v>
      </c>
    </row>
    <row r="870" customFormat="false" ht="15" hidden="false" customHeight="false" outlineLevel="0" collapsed="false">
      <c r="A870" s="2" t="s">
        <v>597</v>
      </c>
      <c r="B870" s="2" t="s">
        <v>80</v>
      </c>
      <c r="C870" s="4" t="n">
        <v>5</v>
      </c>
      <c r="D870" s="2" t="s">
        <v>442</v>
      </c>
      <c r="E870" s="2" t="s">
        <v>391</v>
      </c>
      <c r="F870" s="5" t="n">
        <f aca="false">INDEX('08_PEDIDOS'!$D$2:$D$97,MATCH(A870,'08_PEDIDOS'!$A$2:$A$97,0))</f>
        <v>12</v>
      </c>
      <c r="G870" s="5" t="n">
        <f aca="false">INDEX('08_PEDIDOS'!$H$2:$H$97,MATCH(A870,'08_PEDIDOS'!$A$2:$A$97,0))</f>
        <v>10</v>
      </c>
      <c r="H870" s="17" t="n">
        <f aca="false">SUMIFS('05_RUTAS'!$F$2:$F$407,'05_RUTAS'!$A$2:$A$407,B870,'05_RUTAS'!$C$2:$C$407,C870)</f>
        <v>10</v>
      </c>
      <c r="I870" s="18" t="n">
        <f aca="false">SUMIFS('05_RUTAS'!$G$2:$G$407,'05_RUTAS'!$A$2:$A$407,B870,'05_RUTAS'!$C$2:$C$407,C870)</f>
        <v>78.4</v>
      </c>
      <c r="J870" s="18" t="n">
        <f aca="false">(ROUNDUP(F870/G870,0)*H870+F870*I870)/60</f>
        <v>16.0133333333333</v>
      </c>
      <c r="K870" s="5" t="n">
        <f aca="false">MONTH(INDEX('08_PEDIDOS'!$F$2:$F$97,MATCH(A870,'08_PEDIDOS'!$A$2:$A$97,0)))</f>
        <v>10</v>
      </c>
      <c r="L870" s="16" t="n">
        <f aca="false">J870*N(INDEX('04_MAQUINAS'!$F$2:$F$18,MATCH(E870,'04_MAQUINAS'!$A$2:$A$18,0)))</f>
        <v>512.426666666667</v>
      </c>
      <c r="M870" s="17" t="n">
        <f aca="false">J870*INDEX('04_MAQUINAS'!$G$2:$G$18,MATCH(E870,'04_MAQUINAS'!$A$2:$A$18,0))*INDEX('04_MAQUINAS'!$H$2:$H$18,MATCH(E870,'04_MAQUINAS'!$A$2:$A$18,0))</f>
        <v>28.0233333333333</v>
      </c>
      <c r="N870" s="2" t="s">
        <v>629</v>
      </c>
    </row>
    <row r="871" customFormat="false" ht="15" hidden="false" customHeight="false" outlineLevel="0" collapsed="false">
      <c r="A871" s="2" t="s">
        <v>597</v>
      </c>
      <c r="B871" s="2" t="s">
        <v>80</v>
      </c>
      <c r="C871" s="4" t="n">
        <v>6</v>
      </c>
      <c r="D871" s="2" t="s">
        <v>443</v>
      </c>
      <c r="E871" s="2" t="s">
        <v>395</v>
      </c>
      <c r="F871" s="5" t="n">
        <f aca="false">INDEX('08_PEDIDOS'!$D$2:$D$97,MATCH(A871,'08_PEDIDOS'!$A$2:$A$97,0))</f>
        <v>12</v>
      </c>
      <c r="G871" s="5" t="n">
        <f aca="false">INDEX('08_PEDIDOS'!$H$2:$H$97,MATCH(A871,'08_PEDIDOS'!$A$2:$A$97,0))</f>
        <v>10</v>
      </c>
      <c r="H871" s="17" t="n">
        <f aca="false">SUMIFS('05_RUTAS'!$F$2:$F$407,'05_RUTAS'!$A$2:$A$407,B871,'05_RUTAS'!$C$2:$C$407,C871)</f>
        <v>3</v>
      </c>
      <c r="I871" s="18" t="n">
        <f aca="false">SUMIFS('05_RUTAS'!$G$2:$G$407,'05_RUTAS'!$A$2:$A$407,B871,'05_RUTAS'!$C$2:$C$407,C871)</f>
        <v>42</v>
      </c>
      <c r="J871" s="18" t="n">
        <f aca="false">(ROUNDUP(F871/G871,0)*H871+F871*I871)/60</f>
        <v>8.5</v>
      </c>
      <c r="K871" s="5" t="n">
        <f aca="false">MONTH(INDEX('08_PEDIDOS'!$F$2:$F$97,MATCH(A871,'08_PEDIDOS'!$A$2:$A$97,0)))</f>
        <v>10</v>
      </c>
      <c r="L871" s="16" t="n">
        <f aca="false">J871*N(INDEX('04_MAQUINAS'!$F$2:$F$18,MATCH(E871,'04_MAQUINAS'!$A$2:$A$18,0)))</f>
        <v>178.5</v>
      </c>
      <c r="M871" s="17" t="n">
        <f aca="false">J871*INDEX('04_MAQUINAS'!$G$2:$G$18,MATCH(E871,'04_MAQUINAS'!$A$2:$A$18,0))*INDEX('04_MAQUINAS'!$H$2:$H$18,MATCH(E871,'04_MAQUINAS'!$A$2:$A$18,0))</f>
        <v>6.375</v>
      </c>
      <c r="N871" s="2" t="s">
        <v>629</v>
      </c>
    </row>
    <row r="872" customFormat="false" ht="15" hidden="false" customHeight="false" outlineLevel="0" collapsed="false">
      <c r="A872" s="2" t="s">
        <v>597</v>
      </c>
      <c r="B872" s="2" t="s">
        <v>80</v>
      </c>
      <c r="C872" s="4" t="n">
        <v>7</v>
      </c>
      <c r="D872" s="2" t="s">
        <v>444</v>
      </c>
      <c r="E872" s="2" t="s">
        <v>399</v>
      </c>
      <c r="F872" s="5" t="n">
        <f aca="false">INDEX('08_PEDIDOS'!$D$2:$D$97,MATCH(A872,'08_PEDIDOS'!$A$2:$A$97,0))</f>
        <v>12</v>
      </c>
      <c r="G872" s="5" t="n">
        <f aca="false">INDEX('08_PEDIDOS'!$H$2:$H$97,MATCH(A872,'08_PEDIDOS'!$A$2:$A$97,0))</f>
        <v>10</v>
      </c>
      <c r="H872" s="17" t="n">
        <f aca="false">SUMIFS('05_RUTAS'!$F$2:$F$407,'05_RUTAS'!$A$2:$A$407,B872,'05_RUTAS'!$C$2:$C$407,C872)</f>
        <v>6</v>
      </c>
      <c r="I872" s="18" t="n">
        <f aca="false">SUMIFS('05_RUTAS'!$G$2:$G$407,'05_RUTAS'!$A$2:$A$407,B872,'05_RUTAS'!$C$2:$C$407,C872)</f>
        <v>29.7248</v>
      </c>
      <c r="J872" s="18" t="n">
        <f aca="false">(ROUNDUP(F872/G872,0)*H872+F872*I872)/60</f>
        <v>6.14496</v>
      </c>
      <c r="K872" s="5" t="n">
        <f aca="false">MONTH(INDEX('08_PEDIDOS'!$F$2:$F$97,MATCH(A872,'08_PEDIDOS'!$A$2:$A$97,0)))</f>
        <v>10</v>
      </c>
      <c r="L872" s="16" t="n">
        <f aca="false">J872*N(INDEX('04_MAQUINAS'!$F$2:$F$18,MATCH(E872,'04_MAQUINAS'!$A$2:$A$18,0)))</f>
        <v>116.75424</v>
      </c>
      <c r="M872" s="17" t="n">
        <f aca="false">J872*INDEX('04_MAQUINAS'!$G$2:$G$18,MATCH(E872,'04_MAQUINAS'!$A$2:$A$18,0))*INDEX('04_MAQUINAS'!$H$2:$H$18,MATCH(E872,'04_MAQUINAS'!$A$2:$A$18,0))</f>
        <v>5.4075648</v>
      </c>
      <c r="N872" s="2" t="s">
        <v>629</v>
      </c>
    </row>
    <row r="873" customFormat="false" ht="15" hidden="false" customHeight="false" outlineLevel="0" collapsed="false">
      <c r="A873" s="2" t="s">
        <v>597</v>
      </c>
      <c r="B873" s="2" t="s">
        <v>80</v>
      </c>
      <c r="C873" s="4" t="n">
        <v>8</v>
      </c>
      <c r="D873" s="2" t="s">
        <v>445</v>
      </c>
      <c r="E873" s="2" t="s">
        <v>402</v>
      </c>
      <c r="F873" s="5" t="n">
        <f aca="false">INDEX('08_PEDIDOS'!$D$2:$D$97,MATCH(A873,'08_PEDIDOS'!$A$2:$A$97,0))</f>
        <v>12</v>
      </c>
      <c r="G873" s="5" t="n">
        <f aca="false">INDEX('08_PEDIDOS'!$H$2:$H$97,MATCH(A873,'08_PEDIDOS'!$A$2:$A$97,0))</f>
        <v>10</v>
      </c>
      <c r="H873" s="17" t="n">
        <f aca="false">SUMIFS('05_RUTAS'!$F$2:$F$407,'05_RUTAS'!$A$2:$A$407,B873,'05_RUTAS'!$C$2:$C$407,C873)</f>
        <v>12</v>
      </c>
      <c r="I873" s="18" t="n">
        <f aca="false">SUMIFS('05_RUTAS'!$G$2:$G$407,'05_RUTAS'!$A$2:$A$407,B873,'05_RUTAS'!$C$2:$C$407,C873)</f>
        <v>8.02</v>
      </c>
      <c r="J873" s="18" t="n">
        <f aca="false">(ROUNDUP(F873/G873,0)*H873+F873*I873)/60</f>
        <v>2.004</v>
      </c>
      <c r="K873" s="5" t="n">
        <f aca="false">MONTH(INDEX('08_PEDIDOS'!$F$2:$F$97,MATCH(A873,'08_PEDIDOS'!$A$2:$A$97,0)))</f>
        <v>10</v>
      </c>
      <c r="L873" s="16" t="n">
        <f aca="false">J873*N(INDEX('04_MAQUINAS'!$F$2:$F$18,MATCH(E873,'04_MAQUINAS'!$A$2:$A$18,0)))</f>
        <v>64.128</v>
      </c>
      <c r="M873" s="17" t="n">
        <f aca="false">J873*INDEX('04_MAQUINAS'!$G$2:$G$18,MATCH(E873,'04_MAQUINAS'!$A$2:$A$18,0))*INDEX('04_MAQUINAS'!$H$2:$H$18,MATCH(E873,'04_MAQUINAS'!$A$2:$A$18,0))</f>
        <v>2.1042</v>
      </c>
      <c r="N873" s="2" t="s">
        <v>629</v>
      </c>
    </row>
    <row r="874" customFormat="false" ht="15" hidden="false" customHeight="false" outlineLevel="0" collapsed="false">
      <c r="A874" s="2" t="s">
        <v>597</v>
      </c>
      <c r="B874" s="2" t="s">
        <v>80</v>
      </c>
      <c r="C874" s="4" t="n">
        <v>9</v>
      </c>
      <c r="D874" s="2" t="s">
        <v>447</v>
      </c>
      <c r="E874" s="2" t="s">
        <v>421</v>
      </c>
      <c r="F874" s="5" t="n">
        <f aca="false">INDEX('08_PEDIDOS'!$D$2:$D$97,MATCH(A874,'08_PEDIDOS'!$A$2:$A$97,0))</f>
        <v>12</v>
      </c>
      <c r="G874" s="5" t="n">
        <f aca="false">INDEX('08_PEDIDOS'!$H$2:$H$97,MATCH(A874,'08_PEDIDOS'!$A$2:$A$97,0))</f>
        <v>10</v>
      </c>
      <c r="H874" s="17" t="n">
        <f aca="false">SUMIFS('05_RUTAS'!$F$2:$F$407,'05_RUTAS'!$A$2:$A$407,B874,'05_RUTAS'!$C$2:$C$407,C874)</f>
        <v>45</v>
      </c>
      <c r="I874" s="18" t="n">
        <f aca="false">SUMIFS('05_RUTAS'!$G$2:$G$407,'05_RUTAS'!$A$2:$A$407,B874,'05_RUTAS'!$C$2:$C$407,C874)</f>
        <v>0</v>
      </c>
      <c r="J874" s="18" t="n">
        <f aca="false">(ROUNDUP(F874/G874,0)*H874+F874*I874)/60</f>
        <v>1.5</v>
      </c>
      <c r="K874" s="5" t="n">
        <f aca="false">MONTH(INDEX('08_PEDIDOS'!$F$2:$F$97,MATCH(A874,'08_PEDIDOS'!$A$2:$A$97,0)))</f>
        <v>10</v>
      </c>
      <c r="L874" s="16" t="n">
        <f aca="false">J874*N(INDEX('04_MAQUINAS'!$F$2:$F$18,MATCH(E874,'04_MAQUINAS'!$A$2:$A$18,0)))</f>
        <v>39</v>
      </c>
      <c r="M874" s="17" t="n">
        <f aca="false">J874*INDEX('04_MAQUINAS'!$G$2:$G$18,MATCH(E874,'04_MAQUINAS'!$A$2:$A$18,0))*INDEX('04_MAQUINAS'!$H$2:$H$18,MATCH(E874,'04_MAQUINAS'!$A$2:$A$18,0))</f>
        <v>21.6</v>
      </c>
      <c r="N874" s="2" t="s">
        <v>629</v>
      </c>
    </row>
    <row r="875" customFormat="false" ht="15" hidden="false" customHeight="false" outlineLevel="0" collapsed="false">
      <c r="A875" s="2" t="s">
        <v>597</v>
      </c>
      <c r="B875" s="2" t="s">
        <v>80</v>
      </c>
      <c r="C875" s="4" t="n">
        <v>10</v>
      </c>
      <c r="D875" s="2" t="s">
        <v>449</v>
      </c>
      <c r="E875" s="2" t="s">
        <v>423</v>
      </c>
      <c r="F875" s="5" t="n">
        <f aca="false">INDEX('08_PEDIDOS'!$D$2:$D$97,MATCH(A875,'08_PEDIDOS'!$A$2:$A$97,0))</f>
        <v>12</v>
      </c>
      <c r="G875" s="5" t="n">
        <f aca="false">INDEX('08_PEDIDOS'!$H$2:$H$97,MATCH(A875,'08_PEDIDOS'!$A$2:$A$97,0))</f>
        <v>10</v>
      </c>
      <c r="H875" s="17" t="n">
        <f aca="false">SUMIFS('05_RUTAS'!$F$2:$F$407,'05_RUTAS'!$A$2:$A$407,B875,'05_RUTAS'!$C$2:$C$407,C875)</f>
        <v>8</v>
      </c>
      <c r="I875" s="18" t="n">
        <f aca="false">SUMIFS('05_RUTAS'!$G$2:$G$407,'05_RUTAS'!$A$2:$A$407,B875,'05_RUTAS'!$C$2:$C$407,C875)</f>
        <v>2.69</v>
      </c>
      <c r="J875" s="18" t="n">
        <f aca="false">(ROUNDUP(F875/G875,0)*H875+F875*I875)/60</f>
        <v>0.804666666666667</v>
      </c>
      <c r="K875" s="5" t="n">
        <f aca="false">MONTH(INDEX('08_PEDIDOS'!$F$2:$F$97,MATCH(A875,'08_PEDIDOS'!$A$2:$A$97,0)))</f>
        <v>10</v>
      </c>
      <c r="L875" s="16" t="n">
        <f aca="false">J875*N(INDEX('04_MAQUINAS'!$F$2:$F$18,MATCH(E875,'04_MAQUINAS'!$A$2:$A$18,0)))</f>
        <v>12.8746666666667</v>
      </c>
      <c r="M875" s="17" t="n">
        <f aca="false">J875*INDEX('04_MAQUINAS'!$G$2:$G$18,MATCH(E875,'04_MAQUINAS'!$A$2:$A$18,0))*INDEX('04_MAQUINAS'!$H$2:$H$18,MATCH(E875,'04_MAQUINAS'!$A$2:$A$18,0))</f>
        <v>0.201166666666667</v>
      </c>
      <c r="N875" s="2" t="s">
        <v>629</v>
      </c>
    </row>
    <row r="876" customFormat="false" ht="15" hidden="false" customHeight="false" outlineLevel="0" collapsed="false">
      <c r="A876" s="2" t="s">
        <v>597</v>
      </c>
      <c r="B876" s="2" t="s">
        <v>80</v>
      </c>
      <c r="C876" s="4" t="n">
        <v>11</v>
      </c>
      <c r="D876" s="2" t="s">
        <v>450</v>
      </c>
      <c r="E876" s="2" t="s">
        <v>406</v>
      </c>
      <c r="F876" s="5" t="n">
        <f aca="false">INDEX('08_PEDIDOS'!$D$2:$D$97,MATCH(A876,'08_PEDIDOS'!$A$2:$A$97,0))</f>
        <v>12</v>
      </c>
      <c r="G876" s="5" t="n">
        <f aca="false">INDEX('08_PEDIDOS'!$H$2:$H$97,MATCH(A876,'08_PEDIDOS'!$A$2:$A$97,0))</f>
        <v>10</v>
      </c>
      <c r="H876" s="17" t="n">
        <f aca="false">SUMIFS('05_RUTAS'!$F$2:$F$407,'05_RUTAS'!$A$2:$A$407,B876,'05_RUTAS'!$C$2:$C$407,C876)</f>
        <v>6</v>
      </c>
      <c r="I876" s="18" t="n">
        <f aca="false">SUMIFS('05_RUTAS'!$G$2:$G$407,'05_RUTAS'!$A$2:$A$407,B876,'05_RUTAS'!$C$2:$C$407,C876)</f>
        <v>60</v>
      </c>
      <c r="J876" s="18" t="n">
        <f aca="false">(ROUNDUP(F876/G876,0)*H876+F876*I876)/60</f>
        <v>12.2</v>
      </c>
      <c r="K876" s="5" t="n">
        <f aca="false">MONTH(INDEX('08_PEDIDOS'!$F$2:$F$97,MATCH(A876,'08_PEDIDOS'!$A$2:$A$97,0)))</f>
        <v>10</v>
      </c>
      <c r="L876" s="16" t="n">
        <f aca="false">J876*N(INDEX('04_MAQUINAS'!$F$2:$F$18,MATCH(E876,'04_MAQUINAS'!$A$2:$A$18,0)))</f>
        <v>231.8</v>
      </c>
      <c r="M876" s="17" t="n">
        <f aca="false">J876*INDEX('04_MAQUINAS'!$G$2:$G$18,MATCH(E876,'04_MAQUINAS'!$A$2:$A$18,0))*INDEX('04_MAQUINAS'!$H$2:$H$18,MATCH(E876,'04_MAQUINAS'!$A$2:$A$18,0))</f>
        <v>3.66</v>
      </c>
      <c r="N876" s="2" t="s">
        <v>629</v>
      </c>
    </row>
    <row r="877" customFormat="false" ht="15" hidden="false" customHeight="false" outlineLevel="0" collapsed="false">
      <c r="A877" s="2" t="s">
        <v>597</v>
      </c>
      <c r="B877" s="2" t="s">
        <v>80</v>
      </c>
      <c r="C877" s="4" t="n">
        <v>12</v>
      </c>
      <c r="D877" s="2" t="s">
        <v>451</v>
      </c>
      <c r="E877" s="2" t="s">
        <v>408</v>
      </c>
      <c r="F877" s="5" t="n">
        <f aca="false">INDEX('08_PEDIDOS'!$D$2:$D$97,MATCH(A877,'08_PEDIDOS'!$A$2:$A$97,0))</f>
        <v>12</v>
      </c>
      <c r="G877" s="5" t="n">
        <f aca="false">INDEX('08_PEDIDOS'!$H$2:$H$97,MATCH(A877,'08_PEDIDOS'!$A$2:$A$97,0))</f>
        <v>10</v>
      </c>
      <c r="H877" s="17" t="n">
        <f aca="false">SUMIFS('05_RUTAS'!$F$2:$F$407,'05_RUTAS'!$A$2:$A$407,B877,'05_RUTAS'!$C$2:$C$407,C877)</f>
        <v>2</v>
      </c>
      <c r="I877" s="18" t="n">
        <f aca="false">SUMIFS('05_RUTAS'!$G$2:$G$407,'05_RUTAS'!$A$2:$A$407,B877,'05_RUTAS'!$C$2:$C$407,C877)</f>
        <v>3.86</v>
      </c>
      <c r="J877" s="18" t="n">
        <f aca="false">(ROUNDUP(F877/G877,0)*H877+F877*I877)/60</f>
        <v>0.838666666666667</v>
      </c>
      <c r="K877" s="5" t="n">
        <f aca="false">MONTH(INDEX('08_PEDIDOS'!$F$2:$F$97,MATCH(A877,'08_PEDIDOS'!$A$2:$A$97,0)))</f>
        <v>10</v>
      </c>
      <c r="L877" s="16" t="n">
        <f aca="false">J877*N(INDEX('04_MAQUINAS'!$F$2:$F$18,MATCH(E877,'04_MAQUINAS'!$A$2:$A$18,0)))</f>
        <v>16.7733333333333</v>
      </c>
      <c r="M877" s="17" t="n">
        <f aca="false">J877*INDEX('04_MAQUINAS'!$G$2:$G$18,MATCH(E877,'04_MAQUINAS'!$A$2:$A$18,0))*INDEX('04_MAQUINAS'!$H$2:$H$18,MATCH(E877,'04_MAQUINAS'!$A$2:$A$18,0))</f>
        <v>0.0838666666666667</v>
      </c>
      <c r="N877" s="2" t="s">
        <v>629</v>
      </c>
    </row>
    <row r="878" customFormat="false" ht="15" hidden="false" customHeight="false" outlineLevel="0" collapsed="false">
      <c r="A878" s="2" t="s">
        <v>597</v>
      </c>
      <c r="B878" s="2" t="s">
        <v>80</v>
      </c>
      <c r="C878" s="4" t="n">
        <v>13</v>
      </c>
      <c r="D878" s="2" t="s">
        <v>452</v>
      </c>
      <c r="E878" s="2" t="s">
        <v>411</v>
      </c>
      <c r="F878" s="5" t="n">
        <f aca="false">INDEX('08_PEDIDOS'!$D$2:$D$97,MATCH(A878,'08_PEDIDOS'!$A$2:$A$97,0))</f>
        <v>12</v>
      </c>
      <c r="G878" s="5" t="n">
        <f aca="false">INDEX('08_PEDIDOS'!$H$2:$H$97,MATCH(A878,'08_PEDIDOS'!$A$2:$A$97,0))</f>
        <v>10</v>
      </c>
      <c r="H878" s="17" t="n">
        <f aca="false">SUMIFS('05_RUTAS'!$F$2:$F$407,'05_RUTAS'!$A$2:$A$407,B878,'05_RUTAS'!$C$2:$C$407,C878)</f>
        <v>2</v>
      </c>
      <c r="I878" s="18" t="n">
        <f aca="false">SUMIFS('05_RUTAS'!$G$2:$G$407,'05_RUTAS'!$A$2:$A$407,B878,'05_RUTAS'!$C$2:$C$407,C878)</f>
        <v>5.3</v>
      </c>
      <c r="J878" s="18" t="n">
        <f aca="false">(ROUNDUP(F878/G878,0)*H878+F878*I878)/60</f>
        <v>1.12666666666667</v>
      </c>
      <c r="K878" s="5" t="n">
        <f aca="false">MONTH(INDEX('08_PEDIDOS'!$F$2:$F$97,MATCH(A878,'08_PEDIDOS'!$A$2:$A$97,0)))</f>
        <v>10</v>
      </c>
      <c r="L878" s="16" t="n">
        <f aca="false">J878*N(INDEX('04_MAQUINAS'!$F$2:$F$18,MATCH(E878,'04_MAQUINAS'!$A$2:$A$18,0)))</f>
        <v>20.28</v>
      </c>
      <c r="M878" s="17" t="n">
        <f aca="false">J878*INDEX('04_MAQUINAS'!$G$2:$G$18,MATCH(E878,'04_MAQUINAS'!$A$2:$A$18,0))*INDEX('04_MAQUINAS'!$H$2:$H$18,MATCH(E878,'04_MAQUINAS'!$A$2:$A$18,0))</f>
        <v>0.1014</v>
      </c>
      <c r="N878" s="2" t="s">
        <v>629</v>
      </c>
    </row>
    <row r="879" customFormat="false" ht="15" hidden="false" customHeight="false" outlineLevel="0" collapsed="false">
      <c r="A879" s="2" t="s">
        <v>598</v>
      </c>
      <c r="B879" s="2" t="s">
        <v>83</v>
      </c>
      <c r="C879" s="4" t="n">
        <v>1</v>
      </c>
      <c r="D879" s="2" t="s">
        <v>437</v>
      </c>
      <c r="E879" s="2" t="s">
        <v>375</v>
      </c>
      <c r="F879" s="5" t="n">
        <f aca="false">INDEX('08_PEDIDOS'!$D$2:$D$97,MATCH(A879,'08_PEDIDOS'!$A$2:$A$97,0))</f>
        <v>12</v>
      </c>
      <c r="G879" s="5" t="n">
        <f aca="false">INDEX('08_PEDIDOS'!$H$2:$H$97,MATCH(A879,'08_PEDIDOS'!$A$2:$A$97,0))</f>
        <v>10</v>
      </c>
      <c r="H879" s="17" t="n">
        <f aca="false">SUMIFS('05_RUTAS'!$F$2:$F$407,'05_RUTAS'!$A$2:$A$407,B879,'05_RUTAS'!$C$2:$C$407,C879)</f>
        <v>8</v>
      </c>
      <c r="I879" s="18" t="n">
        <f aca="false">SUMIFS('05_RUTAS'!$G$2:$G$407,'05_RUTAS'!$A$2:$A$407,B879,'05_RUTAS'!$C$2:$C$407,C879)</f>
        <v>36.67</v>
      </c>
      <c r="J879" s="18" t="n">
        <f aca="false">(ROUNDUP(F879/G879,0)*H879+F879*I879)/60</f>
        <v>7.60066666666667</v>
      </c>
      <c r="K879" s="5" t="n">
        <f aca="false">MONTH(INDEX('08_PEDIDOS'!$F$2:$F$97,MATCH(A879,'08_PEDIDOS'!$A$2:$A$97,0)))</f>
        <v>10</v>
      </c>
      <c r="L879" s="16" t="n">
        <f aca="false">J879*N(INDEX('04_MAQUINAS'!$F$2:$F$18,MATCH(E879,'04_MAQUINAS'!$A$2:$A$18,0)))</f>
        <v>182.416</v>
      </c>
      <c r="M879" s="17" t="n">
        <f aca="false">J879*INDEX('04_MAQUINAS'!$G$2:$G$18,MATCH(E879,'04_MAQUINAS'!$A$2:$A$18,0))*INDEX('04_MAQUINAS'!$H$2:$H$18,MATCH(E879,'04_MAQUINAS'!$A$2:$A$18,0))</f>
        <v>20.9018333333333</v>
      </c>
      <c r="N879" s="2" t="s">
        <v>629</v>
      </c>
    </row>
    <row r="880" customFormat="false" ht="15" hidden="false" customHeight="false" outlineLevel="0" collapsed="false">
      <c r="A880" s="2" t="s">
        <v>598</v>
      </c>
      <c r="B880" s="2" t="s">
        <v>83</v>
      </c>
      <c r="C880" s="4" t="n">
        <v>2</v>
      </c>
      <c r="D880" s="2" t="s">
        <v>441</v>
      </c>
      <c r="E880" s="2" t="s">
        <v>380</v>
      </c>
      <c r="F880" s="5" t="n">
        <f aca="false">INDEX('08_PEDIDOS'!$D$2:$D$97,MATCH(A880,'08_PEDIDOS'!$A$2:$A$97,0))</f>
        <v>12</v>
      </c>
      <c r="G880" s="5" t="n">
        <f aca="false">INDEX('08_PEDIDOS'!$H$2:$H$97,MATCH(A880,'08_PEDIDOS'!$A$2:$A$97,0))</f>
        <v>10</v>
      </c>
      <c r="H880" s="17" t="n">
        <f aca="false">SUMIFS('05_RUTAS'!$F$2:$F$407,'05_RUTAS'!$A$2:$A$407,B880,'05_RUTAS'!$C$2:$C$407,C880)</f>
        <v>8</v>
      </c>
      <c r="I880" s="18" t="n">
        <f aca="false">SUMIFS('05_RUTAS'!$G$2:$G$407,'05_RUTAS'!$A$2:$A$407,B880,'05_RUTAS'!$C$2:$C$407,C880)</f>
        <v>52</v>
      </c>
      <c r="J880" s="18" t="n">
        <f aca="false">(ROUNDUP(F880/G880,0)*H880+F880*I880)/60</f>
        <v>10.6666666666667</v>
      </c>
      <c r="K880" s="5" t="n">
        <f aca="false">MONTH(INDEX('08_PEDIDOS'!$F$2:$F$97,MATCH(A880,'08_PEDIDOS'!$A$2:$A$97,0)))</f>
        <v>10</v>
      </c>
      <c r="L880" s="16" t="n">
        <f aca="false">J880*N(INDEX('04_MAQUINAS'!$F$2:$F$18,MATCH(E880,'04_MAQUINAS'!$A$2:$A$18,0)))</f>
        <v>234.666666666667</v>
      </c>
      <c r="M880" s="17" t="n">
        <f aca="false">J880*INDEX('04_MAQUINAS'!$G$2:$G$18,MATCH(E880,'04_MAQUINAS'!$A$2:$A$18,0))*INDEX('04_MAQUINAS'!$H$2:$H$18,MATCH(E880,'04_MAQUINAS'!$A$2:$A$18,0))</f>
        <v>4.8</v>
      </c>
      <c r="N880" s="2" t="s">
        <v>629</v>
      </c>
    </row>
    <row r="881" customFormat="false" ht="15" hidden="false" customHeight="false" outlineLevel="0" collapsed="false">
      <c r="A881" s="2" t="s">
        <v>598</v>
      </c>
      <c r="B881" s="2" t="s">
        <v>83</v>
      </c>
      <c r="C881" s="4" t="n">
        <v>3</v>
      </c>
      <c r="D881" s="2" t="s">
        <v>386</v>
      </c>
      <c r="E881" s="2" t="s">
        <v>383</v>
      </c>
      <c r="F881" s="5" t="n">
        <f aca="false">INDEX('08_PEDIDOS'!$D$2:$D$97,MATCH(A881,'08_PEDIDOS'!$A$2:$A$97,0))</f>
        <v>12</v>
      </c>
      <c r="G881" s="5" t="n">
        <f aca="false">INDEX('08_PEDIDOS'!$H$2:$H$97,MATCH(A881,'08_PEDIDOS'!$A$2:$A$97,0))</f>
        <v>10</v>
      </c>
      <c r="H881" s="17" t="n">
        <f aca="false">SUMIFS('05_RUTAS'!$F$2:$F$407,'05_RUTAS'!$A$2:$A$407,B881,'05_RUTAS'!$C$2:$C$407,C881)</f>
        <v>10</v>
      </c>
      <c r="I881" s="18" t="n">
        <f aca="false">SUMIFS('05_RUTAS'!$G$2:$G$407,'05_RUTAS'!$A$2:$A$407,B881,'05_RUTAS'!$C$2:$C$407,C881)</f>
        <v>82.1</v>
      </c>
      <c r="J881" s="18" t="n">
        <f aca="false">(ROUNDUP(F881/G881,0)*H881+F881*I881)/60</f>
        <v>16.7533333333333</v>
      </c>
      <c r="K881" s="5" t="n">
        <f aca="false">MONTH(INDEX('08_PEDIDOS'!$F$2:$F$97,MATCH(A881,'08_PEDIDOS'!$A$2:$A$97,0)))</f>
        <v>10</v>
      </c>
      <c r="L881" s="16" t="n">
        <f aca="false">J881*N(INDEX('04_MAQUINAS'!$F$2:$F$18,MATCH(E881,'04_MAQUINAS'!$A$2:$A$18,0)))</f>
        <v>368.573333333333</v>
      </c>
      <c r="M881" s="17" t="n">
        <f aca="false">J881*INDEX('04_MAQUINAS'!$G$2:$G$18,MATCH(E881,'04_MAQUINAS'!$A$2:$A$18,0))*INDEX('04_MAQUINAS'!$H$2:$H$18,MATCH(E881,'04_MAQUINAS'!$A$2:$A$18,0))</f>
        <v>4.60716666666667</v>
      </c>
      <c r="N881" s="2" t="s">
        <v>629</v>
      </c>
    </row>
    <row r="882" customFormat="false" ht="15" hidden="false" customHeight="false" outlineLevel="0" collapsed="false">
      <c r="A882" s="2" t="s">
        <v>598</v>
      </c>
      <c r="B882" s="2" t="s">
        <v>83</v>
      </c>
      <c r="C882" s="4" t="n">
        <v>4</v>
      </c>
      <c r="D882" s="2" t="s">
        <v>390</v>
      </c>
      <c r="E882" s="2" t="s">
        <v>387</v>
      </c>
      <c r="F882" s="5" t="n">
        <f aca="false">INDEX('08_PEDIDOS'!$D$2:$D$97,MATCH(A882,'08_PEDIDOS'!$A$2:$A$97,0))</f>
        <v>12</v>
      </c>
      <c r="G882" s="5" t="n">
        <f aca="false">INDEX('08_PEDIDOS'!$H$2:$H$97,MATCH(A882,'08_PEDIDOS'!$A$2:$A$97,0))</f>
        <v>10</v>
      </c>
      <c r="H882" s="17" t="n">
        <f aca="false">SUMIFS('05_RUTAS'!$F$2:$F$407,'05_RUTAS'!$A$2:$A$407,B882,'05_RUTAS'!$C$2:$C$407,C882)</f>
        <v>12</v>
      </c>
      <c r="I882" s="18" t="n">
        <f aca="false">SUMIFS('05_RUTAS'!$G$2:$G$407,'05_RUTAS'!$A$2:$A$407,B882,'05_RUTAS'!$C$2:$C$407,C882)</f>
        <v>69</v>
      </c>
      <c r="J882" s="18" t="n">
        <f aca="false">(ROUNDUP(F882/G882,0)*H882+F882*I882)/60</f>
        <v>14.2</v>
      </c>
      <c r="K882" s="5" t="n">
        <f aca="false">MONTH(INDEX('08_PEDIDOS'!$F$2:$F$97,MATCH(A882,'08_PEDIDOS'!$A$2:$A$97,0)))</f>
        <v>10</v>
      </c>
      <c r="L882" s="16" t="n">
        <f aca="false">J882*N(INDEX('04_MAQUINAS'!$F$2:$F$18,MATCH(E882,'04_MAQUINAS'!$A$2:$A$18,0)))</f>
        <v>397.6</v>
      </c>
      <c r="M882" s="17" t="n">
        <f aca="false">J882*INDEX('04_MAQUINAS'!$G$2:$G$18,MATCH(E882,'04_MAQUINAS'!$A$2:$A$18,0))*INDEX('04_MAQUINAS'!$H$2:$H$18,MATCH(E882,'04_MAQUINAS'!$A$2:$A$18,0))</f>
        <v>35.145</v>
      </c>
      <c r="N882" s="2" t="s">
        <v>629</v>
      </c>
    </row>
    <row r="883" customFormat="false" ht="15" hidden="false" customHeight="false" outlineLevel="0" collapsed="false">
      <c r="A883" s="2" t="s">
        <v>598</v>
      </c>
      <c r="B883" s="2" t="s">
        <v>83</v>
      </c>
      <c r="C883" s="4" t="n">
        <v>5</v>
      </c>
      <c r="D883" s="2" t="s">
        <v>442</v>
      </c>
      <c r="E883" s="2" t="s">
        <v>391</v>
      </c>
      <c r="F883" s="5" t="n">
        <f aca="false">INDEX('08_PEDIDOS'!$D$2:$D$97,MATCH(A883,'08_PEDIDOS'!$A$2:$A$97,0))</f>
        <v>12</v>
      </c>
      <c r="G883" s="5" t="n">
        <f aca="false">INDEX('08_PEDIDOS'!$H$2:$H$97,MATCH(A883,'08_PEDIDOS'!$A$2:$A$97,0))</f>
        <v>10</v>
      </c>
      <c r="H883" s="17" t="n">
        <f aca="false">SUMIFS('05_RUTAS'!$F$2:$F$407,'05_RUTAS'!$A$2:$A$407,B883,'05_RUTAS'!$C$2:$C$407,C883)</f>
        <v>10</v>
      </c>
      <c r="I883" s="18" t="n">
        <f aca="false">SUMIFS('05_RUTAS'!$G$2:$G$407,'05_RUTAS'!$A$2:$A$407,B883,'05_RUTAS'!$C$2:$C$407,C883)</f>
        <v>78.4</v>
      </c>
      <c r="J883" s="18" t="n">
        <f aca="false">(ROUNDUP(F883/G883,0)*H883+F883*I883)/60</f>
        <v>16.0133333333333</v>
      </c>
      <c r="K883" s="5" t="n">
        <f aca="false">MONTH(INDEX('08_PEDIDOS'!$F$2:$F$97,MATCH(A883,'08_PEDIDOS'!$A$2:$A$97,0)))</f>
        <v>10</v>
      </c>
      <c r="L883" s="16" t="n">
        <f aca="false">J883*N(INDEX('04_MAQUINAS'!$F$2:$F$18,MATCH(E883,'04_MAQUINAS'!$A$2:$A$18,0)))</f>
        <v>512.426666666667</v>
      </c>
      <c r="M883" s="17" t="n">
        <f aca="false">J883*INDEX('04_MAQUINAS'!$G$2:$G$18,MATCH(E883,'04_MAQUINAS'!$A$2:$A$18,0))*INDEX('04_MAQUINAS'!$H$2:$H$18,MATCH(E883,'04_MAQUINAS'!$A$2:$A$18,0))</f>
        <v>28.0233333333333</v>
      </c>
      <c r="N883" s="2" t="s">
        <v>629</v>
      </c>
    </row>
    <row r="884" customFormat="false" ht="15" hidden="false" customHeight="false" outlineLevel="0" collapsed="false">
      <c r="A884" s="2" t="s">
        <v>598</v>
      </c>
      <c r="B884" s="2" t="s">
        <v>83</v>
      </c>
      <c r="C884" s="4" t="n">
        <v>6</v>
      </c>
      <c r="D884" s="2" t="s">
        <v>443</v>
      </c>
      <c r="E884" s="2" t="s">
        <v>395</v>
      </c>
      <c r="F884" s="5" t="n">
        <f aca="false">INDEX('08_PEDIDOS'!$D$2:$D$97,MATCH(A884,'08_PEDIDOS'!$A$2:$A$97,0))</f>
        <v>12</v>
      </c>
      <c r="G884" s="5" t="n">
        <f aca="false">INDEX('08_PEDIDOS'!$H$2:$H$97,MATCH(A884,'08_PEDIDOS'!$A$2:$A$97,0))</f>
        <v>10</v>
      </c>
      <c r="H884" s="17" t="n">
        <f aca="false">SUMIFS('05_RUTAS'!$F$2:$F$407,'05_RUTAS'!$A$2:$A$407,B884,'05_RUTAS'!$C$2:$C$407,C884)</f>
        <v>3</v>
      </c>
      <c r="I884" s="18" t="n">
        <f aca="false">SUMIFS('05_RUTAS'!$G$2:$G$407,'05_RUTAS'!$A$2:$A$407,B884,'05_RUTAS'!$C$2:$C$407,C884)</f>
        <v>49.5</v>
      </c>
      <c r="J884" s="18" t="n">
        <f aca="false">(ROUNDUP(F884/G884,0)*H884+F884*I884)/60</f>
        <v>10</v>
      </c>
      <c r="K884" s="5" t="n">
        <f aca="false">MONTH(INDEX('08_PEDIDOS'!$F$2:$F$97,MATCH(A884,'08_PEDIDOS'!$A$2:$A$97,0)))</f>
        <v>10</v>
      </c>
      <c r="L884" s="16" t="n">
        <f aca="false">J884*N(INDEX('04_MAQUINAS'!$F$2:$F$18,MATCH(E884,'04_MAQUINAS'!$A$2:$A$18,0)))</f>
        <v>210</v>
      </c>
      <c r="M884" s="17" t="n">
        <f aca="false">J884*INDEX('04_MAQUINAS'!$G$2:$G$18,MATCH(E884,'04_MAQUINAS'!$A$2:$A$18,0))*INDEX('04_MAQUINAS'!$H$2:$H$18,MATCH(E884,'04_MAQUINAS'!$A$2:$A$18,0))</f>
        <v>7.5</v>
      </c>
      <c r="N884" s="2" t="s">
        <v>629</v>
      </c>
    </row>
    <row r="885" customFormat="false" ht="15" hidden="false" customHeight="false" outlineLevel="0" collapsed="false">
      <c r="A885" s="2" t="s">
        <v>598</v>
      </c>
      <c r="B885" s="2" t="s">
        <v>83</v>
      </c>
      <c r="C885" s="4" t="n">
        <v>7</v>
      </c>
      <c r="D885" s="2" t="s">
        <v>444</v>
      </c>
      <c r="E885" s="2" t="s">
        <v>399</v>
      </c>
      <c r="F885" s="5" t="n">
        <f aca="false">INDEX('08_PEDIDOS'!$D$2:$D$97,MATCH(A885,'08_PEDIDOS'!$A$2:$A$97,0))</f>
        <v>12</v>
      </c>
      <c r="G885" s="5" t="n">
        <f aca="false">INDEX('08_PEDIDOS'!$H$2:$H$97,MATCH(A885,'08_PEDIDOS'!$A$2:$A$97,0))</f>
        <v>10</v>
      </c>
      <c r="H885" s="17" t="n">
        <f aca="false">SUMIFS('05_RUTAS'!$F$2:$F$407,'05_RUTAS'!$A$2:$A$407,B885,'05_RUTAS'!$C$2:$C$407,C885)</f>
        <v>6</v>
      </c>
      <c r="I885" s="18" t="n">
        <f aca="false">SUMIFS('05_RUTAS'!$G$2:$G$407,'05_RUTAS'!$A$2:$A$407,B885,'05_RUTAS'!$C$2:$C$407,C885)</f>
        <v>32.064</v>
      </c>
      <c r="J885" s="18" t="n">
        <f aca="false">(ROUNDUP(F885/G885,0)*H885+F885*I885)/60</f>
        <v>6.6128</v>
      </c>
      <c r="K885" s="5" t="n">
        <f aca="false">MONTH(INDEX('08_PEDIDOS'!$F$2:$F$97,MATCH(A885,'08_PEDIDOS'!$A$2:$A$97,0)))</f>
        <v>10</v>
      </c>
      <c r="L885" s="16" t="n">
        <f aca="false">J885*N(INDEX('04_MAQUINAS'!$F$2:$F$18,MATCH(E885,'04_MAQUINAS'!$A$2:$A$18,0)))</f>
        <v>125.6432</v>
      </c>
      <c r="M885" s="17" t="n">
        <f aca="false">J885*INDEX('04_MAQUINAS'!$G$2:$G$18,MATCH(E885,'04_MAQUINAS'!$A$2:$A$18,0))*INDEX('04_MAQUINAS'!$H$2:$H$18,MATCH(E885,'04_MAQUINAS'!$A$2:$A$18,0))</f>
        <v>5.819264</v>
      </c>
      <c r="N885" s="2" t="s">
        <v>629</v>
      </c>
    </row>
    <row r="886" customFormat="false" ht="15" hidden="false" customHeight="false" outlineLevel="0" collapsed="false">
      <c r="A886" s="2" t="s">
        <v>598</v>
      </c>
      <c r="B886" s="2" t="s">
        <v>83</v>
      </c>
      <c r="C886" s="4" t="n">
        <v>8</v>
      </c>
      <c r="D886" s="2" t="s">
        <v>445</v>
      </c>
      <c r="E886" s="2" t="s">
        <v>402</v>
      </c>
      <c r="F886" s="5" t="n">
        <f aca="false">INDEX('08_PEDIDOS'!$D$2:$D$97,MATCH(A886,'08_PEDIDOS'!$A$2:$A$97,0))</f>
        <v>12</v>
      </c>
      <c r="G886" s="5" t="n">
        <f aca="false">INDEX('08_PEDIDOS'!$H$2:$H$97,MATCH(A886,'08_PEDIDOS'!$A$2:$A$97,0))</f>
        <v>10</v>
      </c>
      <c r="H886" s="17" t="n">
        <f aca="false">SUMIFS('05_RUTAS'!$F$2:$F$407,'05_RUTAS'!$A$2:$A$407,B886,'05_RUTAS'!$C$2:$C$407,C886)</f>
        <v>12</v>
      </c>
      <c r="I886" s="18" t="n">
        <f aca="false">SUMIFS('05_RUTAS'!$G$2:$G$407,'05_RUTAS'!$A$2:$A$407,B886,'05_RUTAS'!$C$2:$C$407,C886)</f>
        <v>8.02</v>
      </c>
      <c r="J886" s="18" t="n">
        <f aca="false">(ROUNDUP(F886/G886,0)*H886+F886*I886)/60</f>
        <v>2.004</v>
      </c>
      <c r="K886" s="5" t="n">
        <f aca="false">MONTH(INDEX('08_PEDIDOS'!$F$2:$F$97,MATCH(A886,'08_PEDIDOS'!$A$2:$A$97,0)))</f>
        <v>10</v>
      </c>
      <c r="L886" s="16" t="n">
        <f aca="false">J886*N(INDEX('04_MAQUINAS'!$F$2:$F$18,MATCH(E886,'04_MAQUINAS'!$A$2:$A$18,0)))</f>
        <v>64.128</v>
      </c>
      <c r="M886" s="17" t="n">
        <f aca="false">J886*INDEX('04_MAQUINAS'!$G$2:$G$18,MATCH(E886,'04_MAQUINAS'!$A$2:$A$18,0))*INDEX('04_MAQUINAS'!$H$2:$H$18,MATCH(E886,'04_MAQUINAS'!$A$2:$A$18,0))</f>
        <v>2.1042</v>
      </c>
      <c r="N886" s="2" t="s">
        <v>629</v>
      </c>
    </row>
    <row r="887" customFormat="false" ht="15" hidden="false" customHeight="false" outlineLevel="0" collapsed="false">
      <c r="A887" s="2" t="s">
        <v>598</v>
      </c>
      <c r="B887" s="2" t="s">
        <v>83</v>
      </c>
      <c r="C887" s="4" t="n">
        <v>9</v>
      </c>
      <c r="D887" s="2" t="s">
        <v>447</v>
      </c>
      <c r="E887" s="2" t="s">
        <v>421</v>
      </c>
      <c r="F887" s="5" t="n">
        <f aca="false">INDEX('08_PEDIDOS'!$D$2:$D$97,MATCH(A887,'08_PEDIDOS'!$A$2:$A$97,0))</f>
        <v>12</v>
      </c>
      <c r="G887" s="5" t="n">
        <f aca="false">INDEX('08_PEDIDOS'!$H$2:$H$97,MATCH(A887,'08_PEDIDOS'!$A$2:$A$97,0))</f>
        <v>10</v>
      </c>
      <c r="H887" s="17" t="n">
        <f aca="false">SUMIFS('05_RUTAS'!$F$2:$F$407,'05_RUTAS'!$A$2:$A$407,B887,'05_RUTAS'!$C$2:$C$407,C887)</f>
        <v>45</v>
      </c>
      <c r="I887" s="18" t="n">
        <f aca="false">SUMIFS('05_RUTAS'!$G$2:$G$407,'05_RUTAS'!$A$2:$A$407,B887,'05_RUTAS'!$C$2:$C$407,C887)</f>
        <v>0</v>
      </c>
      <c r="J887" s="18" t="n">
        <f aca="false">(ROUNDUP(F887/G887,0)*H887+F887*I887)/60</f>
        <v>1.5</v>
      </c>
      <c r="K887" s="5" t="n">
        <f aca="false">MONTH(INDEX('08_PEDIDOS'!$F$2:$F$97,MATCH(A887,'08_PEDIDOS'!$A$2:$A$97,0)))</f>
        <v>10</v>
      </c>
      <c r="L887" s="16" t="n">
        <f aca="false">J887*N(INDEX('04_MAQUINAS'!$F$2:$F$18,MATCH(E887,'04_MAQUINAS'!$A$2:$A$18,0)))</f>
        <v>39</v>
      </c>
      <c r="M887" s="17" t="n">
        <f aca="false">J887*INDEX('04_MAQUINAS'!$G$2:$G$18,MATCH(E887,'04_MAQUINAS'!$A$2:$A$18,0))*INDEX('04_MAQUINAS'!$H$2:$H$18,MATCH(E887,'04_MAQUINAS'!$A$2:$A$18,0))</f>
        <v>21.6</v>
      </c>
      <c r="N887" s="2" t="s">
        <v>629</v>
      </c>
    </row>
    <row r="888" customFormat="false" ht="15" hidden="false" customHeight="false" outlineLevel="0" collapsed="false">
      <c r="A888" s="2" t="s">
        <v>598</v>
      </c>
      <c r="B888" s="2" t="s">
        <v>83</v>
      </c>
      <c r="C888" s="4" t="n">
        <v>10</v>
      </c>
      <c r="D888" s="2" t="s">
        <v>449</v>
      </c>
      <c r="E888" s="2" t="s">
        <v>423</v>
      </c>
      <c r="F888" s="5" t="n">
        <f aca="false">INDEX('08_PEDIDOS'!$D$2:$D$97,MATCH(A888,'08_PEDIDOS'!$A$2:$A$97,0))</f>
        <v>12</v>
      </c>
      <c r="G888" s="5" t="n">
        <f aca="false">INDEX('08_PEDIDOS'!$H$2:$H$97,MATCH(A888,'08_PEDIDOS'!$A$2:$A$97,0))</f>
        <v>10</v>
      </c>
      <c r="H888" s="17" t="n">
        <f aca="false">SUMIFS('05_RUTAS'!$F$2:$F$407,'05_RUTAS'!$A$2:$A$407,B888,'05_RUTAS'!$C$2:$C$407,C888)</f>
        <v>8</v>
      </c>
      <c r="I888" s="18" t="n">
        <f aca="false">SUMIFS('05_RUTAS'!$G$2:$G$407,'05_RUTAS'!$A$2:$A$407,B888,'05_RUTAS'!$C$2:$C$407,C888)</f>
        <v>2.69</v>
      </c>
      <c r="J888" s="18" t="n">
        <f aca="false">(ROUNDUP(F888/G888,0)*H888+F888*I888)/60</f>
        <v>0.804666666666667</v>
      </c>
      <c r="K888" s="5" t="n">
        <f aca="false">MONTH(INDEX('08_PEDIDOS'!$F$2:$F$97,MATCH(A888,'08_PEDIDOS'!$A$2:$A$97,0)))</f>
        <v>10</v>
      </c>
      <c r="L888" s="16" t="n">
        <f aca="false">J888*N(INDEX('04_MAQUINAS'!$F$2:$F$18,MATCH(E888,'04_MAQUINAS'!$A$2:$A$18,0)))</f>
        <v>12.8746666666667</v>
      </c>
      <c r="M888" s="17" t="n">
        <f aca="false">J888*INDEX('04_MAQUINAS'!$G$2:$G$18,MATCH(E888,'04_MAQUINAS'!$A$2:$A$18,0))*INDEX('04_MAQUINAS'!$H$2:$H$18,MATCH(E888,'04_MAQUINAS'!$A$2:$A$18,0))</f>
        <v>0.201166666666667</v>
      </c>
      <c r="N888" s="2" t="s">
        <v>629</v>
      </c>
    </row>
    <row r="889" customFormat="false" ht="15" hidden="false" customHeight="false" outlineLevel="0" collapsed="false">
      <c r="A889" s="2" t="s">
        <v>598</v>
      </c>
      <c r="B889" s="2" t="s">
        <v>83</v>
      </c>
      <c r="C889" s="4" t="n">
        <v>11</v>
      </c>
      <c r="D889" s="2" t="s">
        <v>450</v>
      </c>
      <c r="E889" s="2" t="s">
        <v>406</v>
      </c>
      <c r="F889" s="5" t="n">
        <f aca="false">INDEX('08_PEDIDOS'!$D$2:$D$97,MATCH(A889,'08_PEDIDOS'!$A$2:$A$97,0))</f>
        <v>12</v>
      </c>
      <c r="G889" s="5" t="n">
        <f aca="false">INDEX('08_PEDIDOS'!$H$2:$H$97,MATCH(A889,'08_PEDIDOS'!$A$2:$A$97,0))</f>
        <v>10</v>
      </c>
      <c r="H889" s="17" t="n">
        <f aca="false">SUMIFS('05_RUTAS'!$F$2:$F$407,'05_RUTAS'!$A$2:$A$407,B889,'05_RUTAS'!$C$2:$C$407,C889)</f>
        <v>6</v>
      </c>
      <c r="I889" s="18" t="n">
        <f aca="false">SUMIFS('05_RUTAS'!$G$2:$G$407,'05_RUTAS'!$A$2:$A$407,B889,'05_RUTAS'!$C$2:$C$407,C889)</f>
        <v>62.25</v>
      </c>
      <c r="J889" s="18" t="n">
        <f aca="false">(ROUNDUP(F889/G889,0)*H889+F889*I889)/60</f>
        <v>12.65</v>
      </c>
      <c r="K889" s="5" t="n">
        <f aca="false">MONTH(INDEX('08_PEDIDOS'!$F$2:$F$97,MATCH(A889,'08_PEDIDOS'!$A$2:$A$97,0)))</f>
        <v>10</v>
      </c>
      <c r="L889" s="16" t="n">
        <f aca="false">J889*N(INDEX('04_MAQUINAS'!$F$2:$F$18,MATCH(E889,'04_MAQUINAS'!$A$2:$A$18,0)))</f>
        <v>240.35</v>
      </c>
      <c r="M889" s="17" t="n">
        <f aca="false">J889*INDEX('04_MAQUINAS'!$G$2:$G$18,MATCH(E889,'04_MAQUINAS'!$A$2:$A$18,0))*INDEX('04_MAQUINAS'!$H$2:$H$18,MATCH(E889,'04_MAQUINAS'!$A$2:$A$18,0))</f>
        <v>3.795</v>
      </c>
      <c r="N889" s="2" t="s">
        <v>629</v>
      </c>
    </row>
    <row r="890" customFormat="false" ht="15" hidden="false" customHeight="false" outlineLevel="0" collapsed="false">
      <c r="A890" s="2" t="s">
        <v>598</v>
      </c>
      <c r="B890" s="2" t="s">
        <v>83</v>
      </c>
      <c r="C890" s="4" t="n">
        <v>12</v>
      </c>
      <c r="D890" s="2" t="s">
        <v>451</v>
      </c>
      <c r="E890" s="2" t="s">
        <v>408</v>
      </c>
      <c r="F890" s="5" t="n">
        <f aca="false">INDEX('08_PEDIDOS'!$D$2:$D$97,MATCH(A890,'08_PEDIDOS'!$A$2:$A$97,0))</f>
        <v>12</v>
      </c>
      <c r="G890" s="5" t="n">
        <f aca="false">INDEX('08_PEDIDOS'!$H$2:$H$97,MATCH(A890,'08_PEDIDOS'!$A$2:$A$97,0))</f>
        <v>10</v>
      </c>
      <c r="H890" s="17" t="n">
        <f aca="false">SUMIFS('05_RUTAS'!$F$2:$F$407,'05_RUTAS'!$A$2:$A$407,B890,'05_RUTAS'!$C$2:$C$407,C890)</f>
        <v>2</v>
      </c>
      <c r="I890" s="18" t="n">
        <f aca="false">SUMIFS('05_RUTAS'!$G$2:$G$407,'05_RUTAS'!$A$2:$A$407,B890,'05_RUTAS'!$C$2:$C$407,C890)</f>
        <v>3.86</v>
      </c>
      <c r="J890" s="18" t="n">
        <f aca="false">(ROUNDUP(F890/G890,0)*H890+F890*I890)/60</f>
        <v>0.838666666666667</v>
      </c>
      <c r="K890" s="5" t="n">
        <f aca="false">MONTH(INDEX('08_PEDIDOS'!$F$2:$F$97,MATCH(A890,'08_PEDIDOS'!$A$2:$A$97,0)))</f>
        <v>10</v>
      </c>
      <c r="L890" s="16" t="n">
        <f aca="false">J890*N(INDEX('04_MAQUINAS'!$F$2:$F$18,MATCH(E890,'04_MAQUINAS'!$A$2:$A$18,0)))</f>
        <v>16.7733333333333</v>
      </c>
      <c r="M890" s="17" t="n">
        <f aca="false">J890*INDEX('04_MAQUINAS'!$G$2:$G$18,MATCH(E890,'04_MAQUINAS'!$A$2:$A$18,0))*INDEX('04_MAQUINAS'!$H$2:$H$18,MATCH(E890,'04_MAQUINAS'!$A$2:$A$18,0))</f>
        <v>0.0838666666666667</v>
      </c>
      <c r="N890" s="2" t="s">
        <v>629</v>
      </c>
    </row>
    <row r="891" customFormat="false" ht="15" hidden="false" customHeight="false" outlineLevel="0" collapsed="false">
      <c r="A891" s="2" t="s">
        <v>598</v>
      </c>
      <c r="B891" s="2" t="s">
        <v>83</v>
      </c>
      <c r="C891" s="4" t="n">
        <v>13</v>
      </c>
      <c r="D891" s="2" t="s">
        <v>452</v>
      </c>
      <c r="E891" s="2" t="s">
        <v>411</v>
      </c>
      <c r="F891" s="5" t="n">
        <f aca="false">INDEX('08_PEDIDOS'!$D$2:$D$97,MATCH(A891,'08_PEDIDOS'!$A$2:$A$97,0))</f>
        <v>12</v>
      </c>
      <c r="G891" s="5" t="n">
        <f aca="false">INDEX('08_PEDIDOS'!$H$2:$H$97,MATCH(A891,'08_PEDIDOS'!$A$2:$A$97,0))</f>
        <v>10</v>
      </c>
      <c r="H891" s="17" t="n">
        <f aca="false">SUMIFS('05_RUTAS'!$F$2:$F$407,'05_RUTAS'!$A$2:$A$407,B891,'05_RUTAS'!$C$2:$C$407,C891)</f>
        <v>2</v>
      </c>
      <c r="I891" s="18" t="n">
        <f aca="false">SUMIFS('05_RUTAS'!$G$2:$G$407,'05_RUTAS'!$A$2:$A$407,B891,'05_RUTAS'!$C$2:$C$407,C891)</f>
        <v>5.3</v>
      </c>
      <c r="J891" s="18" t="n">
        <f aca="false">(ROUNDUP(F891/G891,0)*H891+F891*I891)/60</f>
        <v>1.12666666666667</v>
      </c>
      <c r="K891" s="5" t="n">
        <f aca="false">MONTH(INDEX('08_PEDIDOS'!$F$2:$F$97,MATCH(A891,'08_PEDIDOS'!$A$2:$A$97,0)))</f>
        <v>10</v>
      </c>
      <c r="L891" s="16" t="n">
        <f aca="false">J891*N(INDEX('04_MAQUINAS'!$F$2:$F$18,MATCH(E891,'04_MAQUINAS'!$A$2:$A$18,0)))</f>
        <v>20.28</v>
      </c>
      <c r="M891" s="17" t="n">
        <f aca="false">J891*INDEX('04_MAQUINAS'!$G$2:$G$18,MATCH(E891,'04_MAQUINAS'!$A$2:$A$18,0))*INDEX('04_MAQUINAS'!$H$2:$H$18,MATCH(E891,'04_MAQUINAS'!$A$2:$A$18,0))</f>
        <v>0.1014</v>
      </c>
      <c r="N891" s="2" t="s">
        <v>629</v>
      </c>
    </row>
    <row r="892" customFormat="false" ht="15" hidden="false" customHeight="false" outlineLevel="0" collapsed="false">
      <c r="A892" s="2" t="s">
        <v>599</v>
      </c>
      <c r="B892" s="2" t="s">
        <v>94</v>
      </c>
      <c r="C892" s="4" t="n">
        <v>1</v>
      </c>
      <c r="D892" s="2" t="s">
        <v>437</v>
      </c>
      <c r="E892" s="2" t="s">
        <v>375</v>
      </c>
      <c r="F892" s="5" t="n">
        <f aca="false">INDEX('08_PEDIDOS'!$D$2:$D$97,MATCH(A892,'08_PEDIDOS'!$A$2:$A$97,0))</f>
        <v>6</v>
      </c>
      <c r="G892" s="5" t="n">
        <f aca="false">INDEX('08_PEDIDOS'!$H$2:$H$97,MATCH(A892,'08_PEDIDOS'!$A$2:$A$97,0))</f>
        <v>10</v>
      </c>
      <c r="H892" s="17" t="n">
        <f aca="false">SUMIFS('05_RUTAS'!$F$2:$F$407,'05_RUTAS'!$A$2:$A$407,B892,'05_RUTAS'!$C$2:$C$407,C892)</f>
        <v>8</v>
      </c>
      <c r="I892" s="18" t="n">
        <f aca="false">SUMIFS('05_RUTAS'!$G$2:$G$407,'05_RUTAS'!$A$2:$A$407,B892,'05_RUTAS'!$C$2:$C$407,C892)</f>
        <v>90.38</v>
      </c>
      <c r="J892" s="18" t="n">
        <f aca="false">(ROUNDUP(F892/G892,0)*H892+F892*I892)/60</f>
        <v>9.17133333333333</v>
      </c>
      <c r="K892" s="5" t="n">
        <f aca="false">MONTH(INDEX('08_PEDIDOS'!$F$2:$F$97,MATCH(A892,'08_PEDIDOS'!$A$2:$A$97,0)))</f>
        <v>10</v>
      </c>
      <c r="L892" s="16" t="n">
        <f aca="false">J892*N(INDEX('04_MAQUINAS'!$F$2:$F$18,MATCH(E892,'04_MAQUINAS'!$A$2:$A$18,0)))</f>
        <v>220.112</v>
      </c>
      <c r="M892" s="17" t="n">
        <f aca="false">J892*INDEX('04_MAQUINAS'!$G$2:$G$18,MATCH(E892,'04_MAQUINAS'!$A$2:$A$18,0))*INDEX('04_MAQUINAS'!$H$2:$H$18,MATCH(E892,'04_MAQUINAS'!$A$2:$A$18,0))</f>
        <v>25.2211666666667</v>
      </c>
      <c r="N892" s="2" t="s">
        <v>629</v>
      </c>
    </row>
    <row r="893" customFormat="false" ht="15" hidden="false" customHeight="false" outlineLevel="0" collapsed="false">
      <c r="A893" s="2" t="s">
        <v>599</v>
      </c>
      <c r="B893" s="2" t="s">
        <v>94</v>
      </c>
      <c r="C893" s="4" t="n">
        <v>2</v>
      </c>
      <c r="D893" s="2" t="s">
        <v>441</v>
      </c>
      <c r="E893" s="2" t="s">
        <v>380</v>
      </c>
      <c r="F893" s="5" t="n">
        <f aca="false">INDEX('08_PEDIDOS'!$D$2:$D$97,MATCH(A893,'08_PEDIDOS'!$A$2:$A$97,0))</f>
        <v>6</v>
      </c>
      <c r="G893" s="5" t="n">
        <f aca="false">INDEX('08_PEDIDOS'!$H$2:$H$97,MATCH(A893,'08_PEDIDOS'!$A$2:$A$97,0))</f>
        <v>10</v>
      </c>
      <c r="H893" s="17" t="n">
        <f aca="false">SUMIFS('05_RUTAS'!$F$2:$F$407,'05_RUTAS'!$A$2:$A$407,B893,'05_RUTAS'!$C$2:$C$407,C893)</f>
        <v>8</v>
      </c>
      <c r="I893" s="18" t="n">
        <f aca="false">SUMIFS('05_RUTAS'!$G$2:$G$407,'05_RUTAS'!$A$2:$A$407,B893,'05_RUTAS'!$C$2:$C$407,C893)</f>
        <v>5.98</v>
      </c>
      <c r="J893" s="18" t="n">
        <f aca="false">(ROUNDUP(F893/G893,0)*H893+F893*I893)/60</f>
        <v>0.731333333333333</v>
      </c>
      <c r="K893" s="5" t="n">
        <f aca="false">MONTH(INDEX('08_PEDIDOS'!$F$2:$F$97,MATCH(A893,'08_PEDIDOS'!$A$2:$A$97,0)))</f>
        <v>10</v>
      </c>
      <c r="L893" s="16" t="n">
        <f aca="false">J893*N(INDEX('04_MAQUINAS'!$F$2:$F$18,MATCH(E893,'04_MAQUINAS'!$A$2:$A$18,0)))</f>
        <v>16.0893333333333</v>
      </c>
      <c r="M893" s="17" t="n">
        <f aca="false">J893*INDEX('04_MAQUINAS'!$G$2:$G$18,MATCH(E893,'04_MAQUINAS'!$A$2:$A$18,0))*INDEX('04_MAQUINAS'!$H$2:$H$18,MATCH(E893,'04_MAQUINAS'!$A$2:$A$18,0))</f>
        <v>0.3291</v>
      </c>
      <c r="N893" s="2" t="s">
        <v>629</v>
      </c>
    </row>
    <row r="894" customFormat="false" ht="15" hidden="false" customHeight="false" outlineLevel="0" collapsed="false">
      <c r="A894" s="2" t="s">
        <v>599</v>
      </c>
      <c r="B894" s="2" t="s">
        <v>94</v>
      </c>
      <c r="C894" s="4" t="n">
        <v>3</v>
      </c>
      <c r="D894" s="2" t="s">
        <v>386</v>
      </c>
      <c r="E894" s="2" t="s">
        <v>383</v>
      </c>
      <c r="F894" s="5" t="n">
        <f aca="false">INDEX('08_PEDIDOS'!$D$2:$D$97,MATCH(A894,'08_PEDIDOS'!$A$2:$A$97,0))</f>
        <v>6</v>
      </c>
      <c r="G894" s="5" t="n">
        <f aca="false">INDEX('08_PEDIDOS'!$H$2:$H$97,MATCH(A894,'08_PEDIDOS'!$A$2:$A$97,0))</f>
        <v>10</v>
      </c>
      <c r="H894" s="17" t="n">
        <f aca="false">SUMIFS('05_RUTAS'!$F$2:$F$407,'05_RUTAS'!$A$2:$A$407,B894,'05_RUTAS'!$C$2:$C$407,C894)</f>
        <v>10</v>
      </c>
      <c r="I894" s="18" t="n">
        <f aca="false">SUMIFS('05_RUTAS'!$G$2:$G$407,'05_RUTAS'!$A$2:$A$407,B894,'05_RUTAS'!$C$2:$C$407,C894)</f>
        <v>97</v>
      </c>
      <c r="J894" s="18" t="n">
        <f aca="false">(ROUNDUP(F894/G894,0)*H894+F894*I894)/60</f>
        <v>9.86666666666667</v>
      </c>
      <c r="K894" s="5" t="n">
        <f aca="false">MONTH(INDEX('08_PEDIDOS'!$F$2:$F$97,MATCH(A894,'08_PEDIDOS'!$A$2:$A$97,0)))</f>
        <v>10</v>
      </c>
      <c r="L894" s="16" t="n">
        <f aca="false">J894*N(INDEX('04_MAQUINAS'!$F$2:$F$18,MATCH(E894,'04_MAQUINAS'!$A$2:$A$18,0)))</f>
        <v>217.066666666667</v>
      </c>
      <c r="M894" s="17" t="n">
        <f aca="false">J894*INDEX('04_MAQUINAS'!$G$2:$G$18,MATCH(E894,'04_MAQUINAS'!$A$2:$A$18,0))*INDEX('04_MAQUINAS'!$H$2:$H$18,MATCH(E894,'04_MAQUINAS'!$A$2:$A$18,0))</f>
        <v>2.71333333333333</v>
      </c>
      <c r="N894" s="2" t="s">
        <v>629</v>
      </c>
    </row>
    <row r="895" customFormat="false" ht="15" hidden="false" customHeight="false" outlineLevel="0" collapsed="false">
      <c r="A895" s="2" t="s">
        <v>599</v>
      </c>
      <c r="B895" s="2" t="s">
        <v>94</v>
      </c>
      <c r="C895" s="4" t="n">
        <v>4</v>
      </c>
      <c r="D895" s="2" t="s">
        <v>390</v>
      </c>
      <c r="E895" s="2" t="s">
        <v>387</v>
      </c>
      <c r="F895" s="5" t="n">
        <f aca="false">INDEX('08_PEDIDOS'!$D$2:$D$97,MATCH(A895,'08_PEDIDOS'!$A$2:$A$97,0))</f>
        <v>6</v>
      </c>
      <c r="G895" s="5" t="n">
        <f aca="false">INDEX('08_PEDIDOS'!$H$2:$H$97,MATCH(A895,'08_PEDIDOS'!$A$2:$A$97,0))</f>
        <v>10</v>
      </c>
      <c r="H895" s="17" t="n">
        <f aca="false">SUMIFS('05_RUTAS'!$F$2:$F$407,'05_RUTAS'!$A$2:$A$407,B895,'05_RUTAS'!$C$2:$C$407,C895)</f>
        <v>12</v>
      </c>
      <c r="I895" s="18" t="n">
        <f aca="false">SUMIFS('05_RUTAS'!$G$2:$G$407,'05_RUTAS'!$A$2:$A$407,B895,'05_RUTAS'!$C$2:$C$407,C895)</f>
        <v>196</v>
      </c>
      <c r="J895" s="18" t="n">
        <f aca="false">(ROUNDUP(F895/G895,0)*H895+F895*I895)/60</f>
        <v>19.8</v>
      </c>
      <c r="K895" s="5" t="n">
        <f aca="false">MONTH(INDEX('08_PEDIDOS'!$F$2:$F$97,MATCH(A895,'08_PEDIDOS'!$A$2:$A$97,0)))</f>
        <v>10</v>
      </c>
      <c r="L895" s="16" t="n">
        <f aca="false">J895*N(INDEX('04_MAQUINAS'!$F$2:$F$18,MATCH(E895,'04_MAQUINAS'!$A$2:$A$18,0)))</f>
        <v>554.4</v>
      </c>
      <c r="M895" s="17" t="n">
        <f aca="false">J895*INDEX('04_MAQUINAS'!$G$2:$G$18,MATCH(E895,'04_MAQUINAS'!$A$2:$A$18,0))*INDEX('04_MAQUINAS'!$H$2:$H$18,MATCH(E895,'04_MAQUINAS'!$A$2:$A$18,0))</f>
        <v>49.005</v>
      </c>
      <c r="N895" s="2" t="s">
        <v>629</v>
      </c>
    </row>
    <row r="896" customFormat="false" ht="15" hidden="false" customHeight="false" outlineLevel="0" collapsed="false">
      <c r="A896" s="2" t="s">
        <v>599</v>
      </c>
      <c r="B896" s="2" t="s">
        <v>94</v>
      </c>
      <c r="C896" s="4" t="n">
        <v>5</v>
      </c>
      <c r="D896" s="2" t="s">
        <v>443</v>
      </c>
      <c r="E896" s="2" t="s">
        <v>395</v>
      </c>
      <c r="F896" s="5" t="n">
        <f aca="false">INDEX('08_PEDIDOS'!$D$2:$D$97,MATCH(A896,'08_PEDIDOS'!$A$2:$A$97,0))</f>
        <v>6</v>
      </c>
      <c r="G896" s="5" t="n">
        <f aca="false">INDEX('08_PEDIDOS'!$H$2:$H$97,MATCH(A896,'08_PEDIDOS'!$A$2:$A$97,0))</f>
        <v>10</v>
      </c>
      <c r="H896" s="17" t="n">
        <f aca="false">SUMIFS('05_RUTAS'!$F$2:$F$407,'05_RUTAS'!$A$2:$A$407,B896,'05_RUTAS'!$C$2:$C$407,C896)</f>
        <v>3</v>
      </c>
      <c r="I896" s="18" t="n">
        <f aca="false">SUMIFS('05_RUTAS'!$G$2:$G$407,'05_RUTAS'!$A$2:$A$407,B896,'05_RUTAS'!$C$2:$C$407,C896)</f>
        <v>51</v>
      </c>
      <c r="J896" s="18" t="n">
        <f aca="false">(ROUNDUP(F896/G896,0)*H896+F896*I896)/60</f>
        <v>5.15</v>
      </c>
      <c r="K896" s="5" t="n">
        <f aca="false">MONTH(INDEX('08_PEDIDOS'!$F$2:$F$97,MATCH(A896,'08_PEDIDOS'!$A$2:$A$97,0)))</f>
        <v>10</v>
      </c>
      <c r="L896" s="16" t="n">
        <f aca="false">J896*N(INDEX('04_MAQUINAS'!$F$2:$F$18,MATCH(E896,'04_MAQUINAS'!$A$2:$A$18,0)))</f>
        <v>108.15</v>
      </c>
      <c r="M896" s="17" t="n">
        <f aca="false">J896*INDEX('04_MAQUINAS'!$G$2:$G$18,MATCH(E896,'04_MAQUINAS'!$A$2:$A$18,0))*INDEX('04_MAQUINAS'!$H$2:$H$18,MATCH(E896,'04_MAQUINAS'!$A$2:$A$18,0))</f>
        <v>3.8625</v>
      </c>
      <c r="N896" s="2" t="s">
        <v>629</v>
      </c>
    </row>
    <row r="897" customFormat="false" ht="15" hidden="false" customHeight="false" outlineLevel="0" collapsed="false">
      <c r="A897" s="2" t="s">
        <v>599</v>
      </c>
      <c r="B897" s="2" t="s">
        <v>94</v>
      </c>
      <c r="C897" s="4" t="n">
        <v>6</v>
      </c>
      <c r="D897" s="2" t="s">
        <v>444</v>
      </c>
      <c r="E897" s="2" t="s">
        <v>399</v>
      </c>
      <c r="F897" s="5" t="n">
        <f aca="false">INDEX('08_PEDIDOS'!$D$2:$D$97,MATCH(A897,'08_PEDIDOS'!$A$2:$A$97,0))</f>
        <v>6</v>
      </c>
      <c r="G897" s="5" t="n">
        <f aca="false">INDEX('08_PEDIDOS'!$H$2:$H$97,MATCH(A897,'08_PEDIDOS'!$A$2:$A$97,0))</f>
        <v>10</v>
      </c>
      <c r="H897" s="17" t="n">
        <f aca="false">SUMIFS('05_RUTAS'!$F$2:$F$407,'05_RUTAS'!$A$2:$A$407,B897,'05_RUTAS'!$C$2:$C$407,C897)</f>
        <v>6</v>
      </c>
      <c r="I897" s="18" t="n">
        <f aca="false">SUMIFS('05_RUTAS'!$G$2:$G$407,'05_RUTAS'!$A$2:$A$407,B897,'05_RUTAS'!$C$2:$C$407,C897)</f>
        <v>40.5152</v>
      </c>
      <c r="J897" s="18" t="n">
        <f aca="false">(ROUNDUP(F897/G897,0)*H897+F897*I897)/60</f>
        <v>4.15152</v>
      </c>
      <c r="K897" s="5" t="n">
        <f aca="false">MONTH(INDEX('08_PEDIDOS'!$F$2:$F$97,MATCH(A897,'08_PEDIDOS'!$A$2:$A$97,0)))</f>
        <v>10</v>
      </c>
      <c r="L897" s="16" t="n">
        <f aca="false">J897*N(INDEX('04_MAQUINAS'!$F$2:$F$18,MATCH(E897,'04_MAQUINAS'!$A$2:$A$18,0)))</f>
        <v>78.87888</v>
      </c>
      <c r="M897" s="17" t="n">
        <f aca="false">J897*INDEX('04_MAQUINAS'!$G$2:$G$18,MATCH(E897,'04_MAQUINAS'!$A$2:$A$18,0))*INDEX('04_MAQUINAS'!$H$2:$H$18,MATCH(E897,'04_MAQUINAS'!$A$2:$A$18,0))</f>
        <v>3.6533376</v>
      </c>
      <c r="N897" s="2" t="s">
        <v>629</v>
      </c>
    </row>
    <row r="898" customFormat="false" ht="15" hidden="false" customHeight="false" outlineLevel="0" collapsed="false">
      <c r="A898" s="2" t="s">
        <v>599</v>
      </c>
      <c r="B898" s="2" t="s">
        <v>94</v>
      </c>
      <c r="C898" s="4" t="n">
        <v>7</v>
      </c>
      <c r="D898" s="2" t="s">
        <v>445</v>
      </c>
      <c r="E898" s="2" t="s">
        <v>402</v>
      </c>
      <c r="F898" s="5" t="n">
        <f aca="false">INDEX('08_PEDIDOS'!$D$2:$D$97,MATCH(A898,'08_PEDIDOS'!$A$2:$A$97,0))</f>
        <v>6</v>
      </c>
      <c r="G898" s="5" t="n">
        <f aca="false">INDEX('08_PEDIDOS'!$H$2:$H$97,MATCH(A898,'08_PEDIDOS'!$A$2:$A$97,0))</f>
        <v>10</v>
      </c>
      <c r="H898" s="17" t="n">
        <f aca="false">SUMIFS('05_RUTAS'!$F$2:$F$407,'05_RUTAS'!$A$2:$A$407,B898,'05_RUTAS'!$C$2:$C$407,C898)</f>
        <v>12</v>
      </c>
      <c r="I898" s="18" t="n">
        <f aca="false">SUMIFS('05_RUTAS'!$G$2:$G$407,'05_RUTAS'!$A$2:$A$407,B898,'05_RUTAS'!$C$2:$C$407,C898)</f>
        <v>7.76</v>
      </c>
      <c r="J898" s="18" t="n">
        <f aca="false">(ROUNDUP(F898/G898,0)*H898+F898*I898)/60</f>
        <v>0.976</v>
      </c>
      <c r="K898" s="5" t="n">
        <f aca="false">MONTH(INDEX('08_PEDIDOS'!$F$2:$F$97,MATCH(A898,'08_PEDIDOS'!$A$2:$A$97,0)))</f>
        <v>10</v>
      </c>
      <c r="L898" s="16" t="n">
        <f aca="false">J898*N(INDEX('04_MAQUINAS'!$F$2:$F$18,MATCH(E898,'04_MAQUINAS'!$A$2:$A$18,0)))</f>
        <v>31.232</v>
      </c>
      <c r="M898" s="17" t="n">
        <f aca="false">J898*INDEX('04_MAQUINAS'!$G$2:$G$18,MATCH(E898,'04_MAQUINAS'!$A$2:$A$18,0))*INDEX('04_MAQUINAS'!$H$2:$H$18,MATCH(E898,'04_MAQUINAS'!$A$2:$A$18,0))</f>
        <v>1.0248</v>
      </c>
      <c r="N898" s="2" t="s">
        <v>629</v>
      </c>
    </row>
    <row r="899" customFormat="false" ht="15" hidden="false" customHeight="false" outlineLevel="0" collapsed="false">
      <c r="A899" s="2" t="s">
        <v>599</v>
      </c>
      <c r="B899" s="2" t="s">
        <v>94</v>
      </c>
      <c r="C899" s="4" t="n">
        <v>8</v>
      </c>
      <c r="D899" s="2" t="s">
        <v>447</v>
      </c>
      <c r="E899" s="2" t="s">
        <v>421</v>
      </c>
      <c r="F899" s="5" t="n">
        <f aca="false">INDEX('08_PEDIDOS'!$D$2:$D$97,MATCH(A899,'08_PEDIDOS'!$A$2:$A$97,0))</f>
        <v>6</v>
      </c>
      <c r="G899" s="5" t="n">
        <f aca="false">INDEX('08_PEDIDOS'!$H$2:$H$97,MATCH(A899,'08_PEDIDOS'!$A$2:$A$97,0))</f>
        <v>10</v>
      </c>
      <c r="H899" s="17" t="n">
        <f aca="false">SUMIFS('05_RUTAS'!$F$2:$F$407,'05_RUTAS'!$A$2:$A$407,B899,'05_RUTAS'!$C$2:$C$407,C899)</f>
        <v>45</v>
      </c>
      <c r="I899" s="18" t="n">
        <f aca="false">SUMIFS('05_RUTAS'!$G$2:$G$407,'05_RUTAS'!$A$2:$A$407,B899,'05_RUTAS'!$C$2:$C$407,C899)</f>
        <v>0</v>
      </c>
      <c r="J899" s="18" t="n">
        <f aca="false">(ROUNDUP(F899/G899,0)*H899+F899*I899)/60</f>
        <v>0.75</v>
      </c>
      <c r="K899" s="5" t="n">
        <f aca="false">MONTH(INDEX('08_PEDIDOS'!$F$2:$F$97,MATCH(A899,'08_PEDIDOS'!$A$2:$A$97,0)))</f>
        <v>10</v>
      </c>
      <c r="L899" s="16" t="n">
        <f aca="false">J899*N(INDEX('04_MAQUINAS'!$F$2:$F$18,MATCH(E899,'04_MAQUINAS'!$A$2:$A$18,0)))</f>
        <v>19.5</v>
      </c>
      <c r="M899" s="17" t="n">
        <f aca="false">J899*INDEX('04_MAQUINAS'!$G$2:$G$18,MATCH(E899,'04_MAQUINAS'!$A$2:$A$18,0))*INDEX('04_MAQUINAS'!$H$2:$H$18,MATCH(E899,'04_MAQUINAS'!$A$2:$A$18,0))</f>
        <v>10.8</v>
      </c>
      <c r="N899" s="2" t="s">
        <v>629</v>
      </c>
    </row>
    <row r="900" customFormat="false" ht="15" hidden="false" customHeight="false" outlineLevel="0" collapsed="false">
      <c r="A900" s="2" t="s">
        <v>599</v>
      </c>
      <c r="B900" s="2" t="s">
        <v>94</v>
      </c>
      <c r="C900" s="4" t="n">
        <v>9</v>
      </c>
      <c r="D900" s="2" t="s">
        <v>449</v>
      </c>
      <c r="E900" s="2" t="s">
        <v>423</v>
      </c>
      <c r="F900" s="5" t="n">
        <f aca="false">INDEX('08_PEDIDOS'!$D$2:$D$97,MATCH(A900,'08_PEDIDOS'!$A$2:$A$97,0))</f>
        <v>6</v>
      </c>
      <c r="G900" s="5" t="n">
        <f aca="false">INDEX('08_PEDIDOS'!$H$2:$H$97,MATCH(A900,'08_PEDIDOS'!$A$2:$A$97,0))</f>
        <v>10</v>
      </c>
      <c r="H900" s="17" t="n">
        <f aca="false">SUMIFS('05_RUTAS'!$F$2:$F$407,'05_RUTAS'!$A$2:$A$407,B900,'05_RUTAS'!$C$2:$C$407,C900)</f>
        <v>8</v>
      </c>
      <c r="I900" s="18" t="n">
        <f aca="false">SUMIFS('05_RUTAS'!$G$2:$G$407,'05_RUTAS'!$A$2:$A$407,B900,'05_RUTAS'!$C$2:$C$407,C900)</f>
        <v>2.63</v>
      </c>
      <c r="J900" s="18" t="n">
        <f aca="false">(ROUNDUP(F900/G900,0)*H900+F900*I900)/60</f>
        <v>0.396333333333333</v>
      </c>
      <c r="K900" s="5" t="n">
        <f aca="false">MONTH(INDEX('08_PEDIDOS'!$F$2:$F$97,MATCH(A900,'08_PEDIDOS'!$A$2:$A$97,0)))</f>
        <v>10</v>
      </c>
      <c r="L900" s="16" t="n">
        <f aca="false">J900*N(INDEX('04_MAQUINAS'!$F$2:$F$18,MATCH(E900,'04_MAQUINAS'!$A$2:$A$18,0)))</f>
        <v>6.34133333333333</v>
      </c>
      <c r="M900" s="17" t="n">
        <f aca="false">J900*INDEX('04_MAQUINAS'!$G$2:$G$18,MATCH(E900,'04_MAQUINAS'!$A$2:$A$18,0))*INDEX('04_MAQUINAS'!$H$2:$H$18,MATCH(E900,'04_MAQUINAS'!$A$2:$A$18,0))</f>
        <v>0.0990833333333333</v>
      </c>
      <c r="N900" s="2" t="s">
        <v>629</v>
      </c>
    </row>
    <row r="901" customFormat="false" ht="15" hidden="false" customHeight="false" outlineLevel="0" collapsed="false">
      <c r="A901" s="2" t="s">
        <v>599</v>
      </c>
      <c r="B901" s="2" t="s">
        <v>94</v>
      </c>
      <c r="C901" s="4" t="n">
        <v>10</v>
      </c>
      <c r="D901" s="2" t="s">
        <v>450</v>
      </c>
      <c r="E901" s="2" t="s">
        <v>406</v>
      </c>
      <c r="F901" s="5" t="n">
        <f aca="false">INDEX('08_PEDIDOS'!$D$2:$D$97,MATCH(A901,'08_PEDIDOS'!$A$2:$A$97,0))</f>
        <v>6</v>
      </c>
      <c r="G901" s="5" t="n">
        <f aca="false">INDEX('08_PEDIDOS'!$H$2:$H$97,MATCH(A901,'08_PEDIDOS'!$A$2:$A$97,0))</f>
        <v>10</v>
      </c>
      <c r="H901" s="17" t="n">
        <f aca="false">SUMIFS('05_RUTAS'!$F$2:$F$407,'05_RUTAS'!$A$2:$A$407,B901,'05_RUTAS'!$C$2:$C$407,C901)</f>
        <v>6</v>
      </c>
      <c r="I901" s="18" t="n">
        <f aca="false">SUMIFS('05_RUTAS'!$G$2:$G$407,'05_RUTAS'!$A$2:$A$407,B901,'05_RUTAS'!$C$2:$C$407,C901)</f>
        <v>69</v>
      </c>
      <c r="J901" s="18" t="n">
        <f aca="false">(ROUNDUP(F901/G901,0)*H901+F901*I901)/60</f>
        <v>7</v>
      </c>
      <c r="K901" s="5" t="n">
        <f aca="false">MONTH(INDEX('08_PEDIDOS'!$F$2:$F$97,MATCH(A901,'08_PEDIDOS'!$A$2:$A$97,0)))</f>
        <v>10</v>
      </c>
      <c r="L901" s="16" t="n">
        <f aca="false">J901*N(INDEX('04_MAQUINAS'!$F$2:$F$18,MATCH(E901,'04_MAQUINAS'!$A$2:$A$18,0)))</f>
        <v>133</v>
      </c>
      <c r="M901" s="17" t="n">
        <f aca="false">J901*INDEX('04_MAQUINAS'!$G$2:$G$18,MATCH(E901,'04_MAQUINAS'!$A$2:$A$18,0))*INDEX('04_MAQUINAS'!$H$2:$H$18,MATCH(E901,'04_MAQUINAS'!$A$2:$A$18,0))</f>
        <v>2.1</v>
      </c>
      <c r="N901" s="2" t="s">
        <v>629</v>
      </c>
    </row>
    <row r="902" customFormat="false" ht="15" hidden="false" customHeight="false" outlineLevel="0" collapsed="false">
      <c r="A902" s="2" t="s">
        <v>599</v>
      </c>
      <c r="B902" s="2" t="s">
        <v>94</v>
      </c>
      <c r="C902" s="4" t="n">
        <v>11</v>
      </c>
      <c r="D902" s="2" t="s">
        <v>451</v>
      </c>
      <c r="E902" s="2" t="s">
        <v>408</v>
      </c>
      <c r="F902" s="5" t="n">
        <f aca="false">INDEX('08_PEDIDOS'!$D$2:$D$97,MATCH(A902,'08_PEDIDOS'!$A$2:$A$97,0))</f>
        <v>6</v>
      </c>
      <c r="G902" s="5" t="n">
        <f aca="false">INDEX('08_PEDIDOS'!$H$2:$H$97,MATCH(A902,'08_PEDIDOS'!$A$2:$A$97,0))</f>
        <v>10</v>
      </c>
      <c r="H902" s="17" t="n">
        <f aca="false">SUMIFS('05_RUTAS'!$F$2:$F$407,'05_RUTAS'!$A$2:$A$407,B902,'05_RUTAS'!$C$2:$C$407,C902)</f>
        <v>2</v>
      </c>
      <c r="I902" s="18" t="n">
        <f aca="false">SUMIFS('05_RUTAS'!$G$2:$G$407,'05_RUTAS'!$A$2:$A$407,B902,'05_RUTAS'!$C$2:$C$407,C902)</f>
        <v>3.79</v>
      </c>
      <c r="J902" s="18" t="n">
        <f aca="false">(ROUNDUP(F902/G902,0)*H902+F902*I902)/60</f>
        <v>0.412333333333333</v>
      </c>
      <c r="K902" s="5" t="n">
        <f aca="false">MONTH(INDEX('08_PEDIDOS'!$F$2:$F$97,MATCH(A902,'08_PEDIDOS'!$A$2:$A$97,0)))</f>
        <v>10</v>
      </c>
      <c r="L902" s="16" t="n">
        <f aca="false">J902*N(INDEX('04_MAQUINAS'!$F$2:$F$18,MATCH(E902,'04_MAQUINAS'!$A$2:$A$18,0)))</f>
        <v>8.24666666666667</v>
      </c>
      <c r="M902" s="17" t="n">
        <f aca="false">J902*INDEX('04_MAQUINAS'!$G$2:$G$18,MATCH(E902,'04_MAQUINAS'!$A$2:$A$18,0))*INDEX('04_MAQUINAS'!$H$2:$H$18,MATCH(E902,'04_MAQUINAS'!$A$2:$A$18,0))</f>
        <v>0.0412333333333333</v>
      </c>
      <c r="N902" s="2" t="s">
        <v>629</v>
      </c>
    </row>
    <row r="903" customFormat="false" ht="15" hidden="false" customHeight="false" outlineLevel="0" collapsed="false">
      <c r="A903" s="2" t="s">
        <v>599</v>
      </c>
      <c r="B903" s="2" t="s">
        <v>94</v>
      </c>
      <c r="C903" s="4" t="n">
        <v>12</v>
      </c>
      <c r="D903" s="2" t="s">
        <v>452</v>
      </c>
      <c r="E903" s="2" t="s">
        <v>411</v>
      </c>
      <c r="F903" s="5" t="n">
        <f aca="false">INDEX('08_PEDIDOS'!$D$2:$D$97,MATCH(A903,'08_PEDIDOS'!$A$2:$A$97,0))</f>
        <v>6</v>
      </c>
      <c r="G903" s="5" t="n">
        <f aca="false">INDEX('08_PEDIDOS'!$H$2:$H$97,MATCH(A903,'08_PEDIDOS'!$A$2:$A$97,0))</f>
        <v>10</v>
      </c>
      <c r="H903" s="17" t="n">
        <f aca="false">SUMIFS('05_RUTAS'!$F$2:$F$407,'05_RUTAS'!$A$2:$A$407,B903,'05_RUTAS'!$C$2:$C$407,C903)</f>
        <v>2</v>
      </c>
      <c r="I903" s="18" t="n">
        <f aca="false">SUMIFS('05_RUTAS'!$G$2:$G$407,'05_RUTAS'!$A$2:$A$407,B903,'05_RUTAS'!$C$2:$C$407,C903)</f>
        <v>5.18</v>
      </c>
      <c r="J903" s="18" t="n">
        <f aca="false">(ROUNDUP(F903/G903,0)*H903+F903*I903)/60</f>
        <v>0.551333333333333</v>
      </c>
      <c r="K903" s="5" t="n">
        <f aca="false">MONTH(INDEX('08_PEDIDOS'!$F$2:$F$97,MATCH(A903,'08_PEDIDOS'!$A$2:$A$97,0)))</f>
        <v>10</v>
      </c>
      <c r="L903" s="16" t="n">
        <f aca="false">J903*N(INDEX('04_MAQUINAS'!$F$2:$F$18,MATCH(E903,'04_MAQUINAS'!$A$2:$A$18,0)))</f>
        <v>9.924</v>
      </c>
      <c r="M903" s="17" t="n">
        <f aca="false">J903*INDEX('04_MAQUINAS'!$G$2:$G$18,MATCH(E903,'04_MAQUINAS'!$A$2:$A$18,0))*INDEX('04_MAQUINAS'!$H$2:$H$18,MATCH(E903,'04_MAQUINAS'!$A$2:$A$18,0))</f>
        <v>0.04962</v>
      </c>
      <c r="N903" s="2" t="s">
        <v>629</v>
      </c>
    </row>
    <row r="904" customFormat="false" ht="15" hidden="false" customHeight="false" outlineLevel="0" collapsed="false">
      <c r="A904" s="2" t="s">
        <v>600</v>
      </c>
      <c r="B904" s="2" t="s">
        <v>96</v>
      </c>
      <c r="C904" s="4" t="n">
        <v>1</v>
      </c>
      <c r="D904" s="2" t="s">
        <v>437</v>
      </c>
      <c r="E904" s="2" t="s">
        <v>375</v>
      </c>
      <c r="F904" s="5" t="n">
        <f aca="false">INDEX('08_PEDIDOS'!$D$2:$D$97,MATCH(A904,'08_PEDIDOS'!$A$2:$A$97,0))</f>
        <v>7</v>
      </c>
      <c r="G904" s="5" t="n">
        <f aca="false">INDEX('08_PEDIDOS'!$H$2:$H$97,MATCH(A904,'08_PEDIDOS'!$A$2:$A$97,0))</f>
        <v>10</v>
      </c>
      <c r="H904" s="17" t="n">
        <f aca="false">SUMIFS('05_RUTAS'!$F$2:$F$407,'05_RUTAS'!$A$2:$A$407,B904,'05_RUTAS'!$C$2:$C$407,C904)</f>
        <v>8</v>
      </c>
      <c r="I904" s="18" t="n">
        <f aca="false">SUMIFS('05_RUTAS'!$G$2:$G$407,'05_RUTAS'!$A$2:$A$407,B904,'05_RUTAS'!$C$2:$C$407,C904)</f>
        <v>56.975</v>
      </c>
      <c r="J904" s="18" t="n">
        <f aca="false">(ROUNDUP(F904/G904,0)*H904+F904*I904)/60</f>
        <v>6.78041666666667</v>
      </c>
      <c r="K904" s="5" t="n">
        <f aca="false">MONTH(INDEX('08_PEDIDOS'!$F$2:$F$97,MATCH(A904,'08_PEDIDOS'!$A$2:$A$97,0)))</f>
        <v>10</v>
      </c>
      <c r="L904" s="16" t="n">
        <f aca="false">J904*N(INDEX('04_MAQUINAS'!$F$2:$F$18,MATCH(E904,'04_MAQUINAS'!$A$2:$A$18,0)))</f>
        <v>162.73</v>
      </c>
      <c r="M904" s="17" t="n">
        <f aca="false">J904*INDEX('04_MAQUINAS'!$G$2:$G$18,MATCH(E904,'04_MAQUINAS'!$A$2:$A$18,0))*INDEX('04_MAQUINAS'!$H$2:$H$18,MATCH(E904,'04_MAQUINAS'!$A$2:$A$18,0))</f>
        <v>18.6461458333333</v>
      </c>
      <c r="N904" s="2" t="s">
        <v>629</v>
      </c>
    </row>
    <row r="905" customFormat="false" ht="15" hidden="false" customHeight="false" outlineLevel="0" collapsed="false">
      <c r="A905" s="2" t="s">
        <v>600</v>
      </c>
      <c r="B905" s="2" t="s">
        <v>96</v>
      </c>
      <c r="C905" s="4" t="n">
        <v>2</v>
      </c>
      <c r="D905" s="2" t="s">
        <v>441</v>
      </c>
      <c r="E905" s="2" t="s">
        <v>380</v>
      </c>
      <c r="F905" s="5" t="n">
        <f aca="false">INDEX('08_PEDIDOS'!$D$2:$D$97,MATCH(A905,'08_PEDIDOS'!$A$2:$A$97,0))</f>
        <v>7</v>
      </c>
      <c r="G905" s="5" t="n">
        <f aca="false">INDEX('08_PEDIDOS'!$H$2:$H$97,MATCH(A905,'08_PEDIDOS'!$A$2:$A$97,0))</f>
        <v>10</v>
      </c>
      <c r="H905" s="17" t="n">
        <f aca="false">SUMIFS('05_RUTAS'!$F$2:$F$407,'05_RUTAS'!$A$2:$A$407,B905,'05_RUTAS'!$C$2:$C$407,C905)</f>
        <v>8</v>
      </c>
      <c r="I905" s="18" t="n">
        <f aca="false">SUMIFS('05_RUTAS'!$G$2:$G$407,'05_RUTAS'!$A$2:$A$407,B905,'05_RUTAS'!$C$2:$C$407,C905)</f>
        <v>6.28</v>
      </c>
      <c r="J905" s="18" t="n">
        <f aca="false">(ROUNDUP(F905/G905,0)*H905+F905*I905)/60</f>
        <v>0.866</v>
      </c>
      <c r="K905" s="5" t="n">
        <f aca="false">MONTH(INDEX('08_PEDIDOS'!$F$2:$F$97,MATCH(A905,'08_PEDIDOS'!$A$2:$A$97,0)))</f>
        <v>10</v>
      </c>
      <c r="L905" s="16" t="n">
        <f aca="false">J905*N(INDEX('04_MAQUINAS'!$F$2:$F$18,MATCH(E905,'04_MAQUINAS'!$A$2:$A$18,0)))</f>
        <v>19.052</v>
      </c>
      <c r="M905" s="17" t="n">
        <f aca="false">J905*INDEX('04_MAQUINAS'!$G$2:$G$18,MATCH(E905,'04_MAQUINAS'!$A$2:$A$18,0))*INDEX('04_MAQUINAS'!$H$2:$H$18,MATCH(E905,'04_MAQUINAS'!$A$2:$A$18,0))</f>
        <v>0.3897</v>
      </c>
      <c r="N905" s="2" t="s">
        <v>629</v>
      </c>
    </row>
    <row r="906" customFormat="false" ht="15" hidden="false" customHeight="false" outlineLevel="0" collapsed="false">
      <c r="A906" s="2" t="s">
        <v>600</v>
      </c>
      <c r="B906" s="2" t="s">
        <v>96</v>
      </c>
      <c r="C906" s="4" t="n">
        <v>3</v>
      </c>
      <c r="D906" s="2" t="s">
        <v>386</v>
      </c>
      <c r="E906" s="2" t="s">
        <v>383</v>
      </c>
      <c r="F906" s="5" t="n">
        <f aca="false">INDEX('08_PEDIDOS'!$D$2:$D$97,MATCH(A906,'08_PEDIDOS'!$A$2:$A$97,0))</f>
        <v>7</v>
      </c>
      <c r="G906" s="5" t="n">
        <f aca="false">INDEX('08_PEDIDOS'!$H$2:$H$97,MATCH(A906,'08_PEDIDOS'!$A$2:$A$97,0))</f>
        <v>10</v>
      </c>
      <c r="H906" s="17" t="n">
        <f aca="false">SUMIFS('05_RUTAS'!$F$2:$F$407,'05_RUTAS'!$A$2:$A$407,B906,'05_RUTAS'!$C$2:$C$407,C906)</f>
        <v>10</v>
      </c>
      <c r="I906" s="18" t="n">
        <f aca="false">SUMIFS('05_RUTAS'!$G$2:$G$407,'05_RUTAS'!$A$2:$A$407,B906,'05_RUTAS'!$C$2:$C$407,C906)</f>
        <v>67</v>
      </c>
      <c r="J906" s="18" t="n">
        <f aca="false">(ROUNDUP(F906/G906,0)*H906+F906*I906)/60</f>
        <v>7.98333333333333</v>
      </c>
      <c r="K906" s="5" t="n">
        <f aca="false">MONTH(INDEX('08_PEDIDOS'!$F$2:$F$97,MATCH(A906,'08_PEDIDOS'!$A$2:$A$97,0)))</f>
        <v>10</v>
      </c>
      <c r="L906" s="16" t="n">
        <f aca="false">J906*N(INDEX('04_MAQUINAS'!$F$2:$F$18,MATCH(E906,'04_MAQUINAS'!$A$2:$A$18,0)))</f>
        <v>175.633333333333</v>
      </c>
      <c r="M906" s="17" t="n">
        <f aca="false">J906*INDEX('04_MAQUINAS'!$G$2:$G$18,MATCH(E906,'04_MAQUINAS'!$A$2:$A$18,0))*INDEX('04_MAQUINAS'!$H$2:$H$18,MATCH(E906,'04_MAQUINAS'!$A$2:$A$18,0))</f>
        <v>2.19541666666667</v>
      </c>
      <c r="N906" s="2" t="s">
        <v>629</v>
      </c>
    </row>
    <row r="907" customFormat="false" ht="15" hidden="false" customHeight="false" outlineLevel="0" collapsed="false">
      <c r="A907" s="2" t="s">
        <v>600</v>
      </c>
      <c r="B907" s="2" t="s">
        <v>96</v>
      </c>
      <c r="C907" s="4" t="n">
        <v>4</v>
      </c>
      <c r="D907" s="2" t="s">
        <v>390</v>
      </c>
      <c r="E907" s="2" t="s">
        <v>387</v>
      </c>
      <c r="F907" s="5" t="n">
        <f aca="false">INDEX('08_PEDIDOS'!$D$2:$D$97,MATCH(A907,'08_PEDIDOS'!$A$2:$A$97,0))</f>
        <v>7</v>
      </c>
      <c r="G907" s="5" t="n">
        <f aca="false">INDEX('08_PEDIDOS'!$H$2:$H$97,MATCH(A907,'08_PEDIDOS'!$A$2:$A$97,0))</f>
        <v>10</v>
      </c>
      <c r="H907" s="17" t="n">
        <f aca="false">SUMIFS('05_RUTAS'!$F$2:$F$407,'05_RUTAS'!$A$2:$A$407,B907,'05_RUTAS'!$C$2:$C$407,C907)</f>
        <v>12</v>
      </c>
      <c r="I907" s="18" t="n">
        <f aca="false">SUMIFS('05_RUTAS'!$G$2:$G$407,'05_RUTAS'!$A$2:$A$407,B907,'05_RUTAS'!$C$2:$C$407,C907)</f>
        <v>124</v>
      </c>
      <c r="J907" s="18" t="n">
        <f aca="false">(ROUNDUP(F907/G907,0)*H907+F907*I907)/60</f>
        <v>14.6666666666667</v>
      </c>
      <c r="K907" s="5" t="n">
        <f aca="false">MONTH(INDEX('08_PEDIDOS'!$F$2:$F$97,MATCH(A907,'08_PEDIDOS'!$A$2:$A$97,0)))</f>
        <v>10</v>
      </c>
      <c r="L907" s="16" t="n">
        <f aca="false">J907*N(INDEX('04_MAQUINAS'!$F$2:$F$18,MATCH(E907,'04_MAQUINAS'!$A$2:$A$18,0)))</f>
        <v>410.666666666667</v>
      </c>
      <c r="M907" s="17" t="n">
        <f aca="false">J907*INDEX('04_MAQUINAS'!$G$2:$G$18,MATCH(E907,'04_MAQUINAS'!$A$2:$A$18,0))*INDEX('04_MAQUINAS'!$H$2:$H$18,MATCH(E907,'04_MAQUINAS'!$A$2:$A$18,0))</f>
        <v>36.3</v>
      </c>
      <c r="N907" s="2" t="s">
        <v>629</v>
      </c>
    </row>
    <row r="908" customFormat="false" ht="15" hidden="false" customHeight="false" outlineLevel="0" collapsed="false">
      <c r="A908" s="2" t="s">
        <v>600</v>
      </c>
      <c r="B908" s="2" t="s">
        <v>96</v>
      </c>
      <c r="C908" s="4" t="n">
        <v>5</v>
      </c>
      <c r="D908" s="2" t="s">
        <v>442</v>
      </c>
      <c r="E908" s="2" t="s">
        <v>391</v>
      </c>
      <c r="F908" s="5" t="n">
        <f aca="false">INDEX('08_PEDIDOS'!$D$2:$D$97,MATCH(A908,'08_PEDIDOS'!$A$2:$A$97,0))</f>
        <v>7</v>
      </c>
      <c r="G908" s="5" t="n">
        <f aca="false">INDEX('08_PEDIDOS'!$H$2:$H$97,MATCH(A908,'08_PEDIDOS'!$A$2:$A$97,0))</f>
        <v>10</v>
      </c>
      <c r="H908" s="17" t="n">
        <f aca="false">SUMIFS('05_RUTAS'!$F$2:$F$407,'05_RUTAS'!$A$2:$A$407,B908,'05_RUTAS'!$C$2:$C$407,C908)</f>
        <v>10</v>
      </c>
      <c r="I908" s="18" t="n">
        <f aca="false">SUMIFS('05_RUTAS'!$G$2:$G$407,'05_RUTAS'!$A$2:$A$407,B908,'05_RUTAS'!$C$2:$C$407,C908)</f>
        <v>5.6</v>
      </c>
      <c r="J908" s="18" t="n">
        <f aca="false">(ROUNDUP(F908/G908,0)*H908+F908*I908)/60</f>
        <v>0.82</v>
      </c>
      <c r="K908" s="5" t="n">
        <f aca="false">MONTH(INDEX('08_PEDIDOS'!$F$2:$F$97,MATCH(A908,'08_PEDIDOS'!$A$2:$A$97,0)))</f>
        <v>10</v>
      </c>
      <c r="L908" s="16" t="n">
        <f aca="false">J908*N(INDEX('04_MAQUINAS'!$F$2:$F$18,MATCH(E908,'04_MAQUINAS'!$A$2:$A$18,0)))</f>
        <v>26.24</v>
      </c>
      <c r="M908" s="17" t="n">
        <f aca="false">J908*INDEX('04_MAQUINAS'!$G$2:$G$18,MATCH(E908,'04_MAQUINAS'!$A$2:$A$18,0))*INDEX('04_MAQUINAS'!$H$2:$H$18,MATCH(E908,'04_MAQUINAS'!$A$2:$A$18,0))</f>
        <v>1.435</v>
      </c>
      <c r="N908" s="2" t="s">
        <v>629</v>
      </c>
    </row>
    <row r="909" customFormat="false" ht="15" hidden="false" customHeight="false" outlineLevel="0" collapsed="false">
      <c r="A909" s="2" t="s">
        <v>600</v>
      </c>
      <c r="B909" s="2" t="s">
        <v>96</v>
      </c>
      <c r="C909" s="4" t="n">
        <v>6</v>
      </c>
      <c r="D909" s="2" t="s">
        <v>443</v>
      </c>
      <c r="E909" s="2" t="s">
        <v>395</v>
      </c>
      <c r="F909" s="5" t="n">
        <f aca="false">INDEX('08_PEDIDOS'!$D$2:$D$97,MATCH(A909,'08_PEDIDOS'!$A$2:$A$97,0))</f>
        <v>7</v>
      </c>
      <c r="G909" s="5" t="n">
        <f aca="false">INDEX('08_PEDIDOS'!$H$2:$H$97,MATCH(A909,'08_PEDIDOS'!$A$2:$A$97,0))</f>
        <v>10</v>
      </c>
      <c r="H909" s="17" t="n">
        <f aca="false">SUMIFS('05_RUTAS'!$F$2:$F$407,'05_RUTAS'!$A$2:$A$407,B909,'05_RUTAS'!$C$2:$C$407,C909)</f>
        <v>3</v>
      </c>
      <c r="I909" s="18" t="n">
        <f aca="false">SUMIFS('05_RUTAS'!$G$2:$G$407,'05_RUTAS'!$A$2:$A$407,B909,'05_RUTAS'!$C$2:$C$407,C909)</f>
        <v>33</v>
      </c>
      <c r="J909" s="18" t="n">
        <f aca="false">(ROUNDUP(F909/G909,0)*H909+F909*I909)/60</f>
        <v>3.9</v>
      </c>
      <c r="K909" s="5" t="n">
        <f aca="false">MONTH(INDEX('08_PEDIDOS'!$F$2:$F$97,MATCH(A909,'08_PEDIDOS'!$A$2:$A$97,0)))</f>
        <v>10</v>
      </c>
      <c r="L909" s="16" t="n">
        <f aca="false">J909*N(INDEX('04_MAQUINAS'!$F$2:$F$18,MATCH(E909,'04_MAQUINAS'!$A$2:$A$18,0)))</f>
        <v>81.9</v>
      </c>
      <c r="M909" s="17" t="n">
        <f aca="false">J909*INDEX('04_MAQUINAS'!$G$2:$G$18,MATCH(E909,'04_MAQUINAS'!$A$2:$A$18,0))*INDEX('04_MAQUINAS'!$H$2:$H$18,MATCH(E909,'04_MAQUINAS'!$A$2:$A$18,0))</f>
        <v>2.925</v>
      </c>
      <c r="N909" s="2" t="s">
        <v>629</v>
      </c>
    </row>
    <row r="910" customFormat="false" ht="15" hidden="false" customHeight="false" outlineLevel="0" collapsed="false">
      <c r="A910" s="2" t="s">
        <v>600</v>
      </c>
      <c r="B910" s="2" t="s">
        <v>96</v>
      </c>
      <c r="C910" s="4" t="n">
        <v>7</v>
      </c>
      <c r="D910" s="2" t="s">
        <v>444</v>
      </c>
      <c r="E910" s="2" t="s">
        <v>399</v>
      </c>
      <c r="F910" s="5" t="n">
        <f aca="false">INDEX('08_PEDIDOS'!$D$2:$D$97,MATCH(A910,'08_PEDIDOS'!$A$2:$A$97,0))</f>
        <v>7</v>
      </c>
      <c r="G910" s="5" t="n">
        <f aca="false">INDEX('08_PEDIDOS'!$H$2:$H$97,MATCH(A910,'08_PEDIDOS'!$A$2:$A$97,0))</f>
        <v>10</v>
      </c>
      <c r="H910" s="17" t="n">
        <f aca="false">SUMIFS('05_RUTAS'!$F$2:$F$407,'05_RUTAS'!$A$2:$A$407,B910,'05_RUTAS'!$C$2:$C$407,C910)</f>
        <v>6</v>
      </c>
      <c r="I910" s="18" t="n">
        <f aca="false">SUMIFS('05_RUTAS'!$G$2:$G$407,'05_RUTAS'!$A$2:$A$407,B910,'05_RUTAS'!$C$2:$C$407,C910)</f>
        <v>27.0712</v>
      </c>
      <c r="J910" s="18" t="n">
        <f aca="false">(ROUNDUP(F910/G910,0)*H910+F910*I910)/60</f>
        <v>3.25830666666667</v>
      </c>
      <c r="K910" s="5" t="n">
        <f aca="false">MONTH(INDEX('08_PEDIDOS'!$F$2:$F$97,MATCH(A910,'08_PEDIDOS'!$A$2:$A$97,0)))</f>
        <v>10</v>
      </c>
      <c r="L910" s="16" t="n">
        <f aca="false">J910*N(INDEX('04_MAQUINAS'!$F$2:$F$18,MATCH(E910,'04_MAQUINAS'!$A$2:$A$18,0)))</f>
        <v>61.9078266666667</v>
      </c>
      <c r="M910" s="17" t="n">
        <f aca="false">J910*INDEX('04_MAQUINAS'!$G$2:$G$18,MATCH(E910,'04_MAQUINAS'!$A$2:$A$18,0))*INDEX('04_MAQUINAS'!$H$2:$H$18,MATCH(E910,'04_MAQUINAS'!$A$2:$A$18,0))</f>
        <v>2.86730986666667</v>
      </c>
      <c r="N910" s="2" t="s">
        <v>629</v>
      </c>
    </row>
    <row r="911" customFormat="false" ht="15" hidden="false" customHeight="false" outlineLevel="0" collapsed="false">
      <c r="A911" s="2" t="s">
        <v>600</v>
      </c>
      <c r="B911" s="2" t="s">
        <v>96</v>
      </c>
      <c r="C911" s="4" t="n">
        <v>8</v>
      </c>
      <c r="D911" s="2" t="s">
        <v>445</v>
      </c>
      <c r="E911" s="2" t="s">
        <v>402</v>
      </c>
      <c r="F911" s="5" t="n">
        <f aca="false">INDEX('08_PEDIDOS'!$D$2:$D$97,MATCH(A911,'08_PEDIDOS'!$A$2:$A$97,0))</f>
        <v>7</v>
      </c>
      <c r="G911" s="5" t="n">
        <f aca="false">INDEX('08_PEDIDOS'!$H$2:$H$97,MATCH(A911,'08_PEDIDOS'!$A$2:$A$97,0))</f>
        <v>10</v>
      </c>
      <c r="H911" s="17" t="n">
        <f aca="false">SUMIFS('05_RUTAS'!$F$2:$F$407,'05_RUTAS'!$A$2:$A$407,B911,'05_RUTAS'!$C$2:$C$407,C911)</f>
        <v>12</v>
      </c>
      <c r="I911" s="18" t="n">
        <f aca="false">SUMIFS('05_RUTAS'!$G$2:$G$407,'05_RUTAS'!$A$2:$A$407,B911,'05_RUTAS'!$C$2:$C$407,C911)</f>
        <v>7.34</v>
      </c>
      <c r="J911" s="18" t="n">
        <f aca="false">(ROUNDUP(F911/G911,0)*H911+F911*I911)/60</f>
        <v>1.05633333333333</v>
      </c>
      <c r="K911" s="5" t="n">
        <f aca="false">MONTH(INDEX('08_PEDIDOS'!$F$2:$F$97,MATCH(A911,'08_PEDIDOS'!$A$2:$A$97,0)))</f>
        <v>10</v>
      </c>
      <c r="L911" s="16" t="n">
        <f aca="false">J911*N(INDEX('04_MAQUINAS'!$F$2:$F$18,MATCH(E911,'04_MAQUINAS'!$A$2:$A$18,0)))</f>
        <v>33.8026666666667</v>
      </c>
      <c r="M911" s="17" t="n">
        <f aca="false">J911*INDEX('04_MAQUINAS'!$G$2:$G$18,MATCH(E911,'04_MAQUINAS'!$A$2:$A$18,0))*INDEX('04_MAQUINAS'!$H$2:$H$18,MATCH(E911,'04_MAQUINAS'!$A$2:$A$18,0))</f>
        <v>1.10915</v>
      </c>
      <c r="N911" s="2" t="s">
        <v>629</v>
      </c>
    </row>
    <row r="912" customFormat="false" ht="15" hidden="false" customHeight="false" outlineLevel="0" collapsed="false">
      <c r="A912" s="2" t="s">
        <v>600</v>
      </c>
      <c r="B912" s="2" t="s">
        <v>96</v>
      </c>
      <c r="C912" s="4" t="n">
        <v>9</v>
      </c>
      <c r="D912" s="2" t="s">
        <v>447</v>
      </c>
      <c r="E912" s="2" t="s">
        <v>421</v>
      </c>
      <c r="F912" s="5" t="n">
        <f aca="false">INDEX('08_PEDIDOS'!$D$2:$D$97,MATCH(A912,'08_PEDIDOS'!$A$2:$A$97,0))</f>
        <v>7</v>
      </c>
      <c r="G912" s="5" t="n">
        <f aca="false">INDEX('08_PEDIDOS'!$H$2:$H$97,MATCH(A912,'08_PEDIDOS'!$A$2:$A$97,0))</f>
        <v>10</v>
      </c>
      <c r="H912" s="17" t="n">
        <f aca="false">SUMIFS('05_RUTAS'!$F$2:$F$407,'05_RUTAS'!$A$2:$A$407,B912,'05_RUTAS'!$C$2:$C$407,C912)</f>
        <v>45</v>
      </c>
      <c r="I912" s="18" t="n">
        <f aca="false">SUMIFS('05_RUTAS'!$G$2:$G$407,'05_RUTAS'!$A$2:$A$407,B912,'05_RUTAS'!$C$2:$C$407,C912)</f>
        <v>0</v>
      </c>
      <c r="J912" s="18" t="n">
        <f aca="false">(ROUNDUP(F912/G912,0)*H912+F912*I912)/60</f>
        <v>0.75</v>
      </c>
      <c r="K912" s="5" t="n">
        <f aca="false">MONTH(INDEX('08_PEDIDOS'!$F$2:$F$97,MATCH(A912,'08_PEDIDOS'!$A$2:$A$97,0)))</f>
        <v>10</v>
      </c>
      <c r="L912" s="16" t="n">
        <f aca="false">J912*N(INDEX('04_MAQUINAS'!$F$2:$F$18,MATCH(E912,'04_MAQUINAS'!$A$2:$A$18,0)))</f>
        <v>19.5</v>
      </c>
      <c r="M912" s="17" t="n">
        <f aca="false">J912*INDEX('04_MAQUINAS'!$G$2:$G$18,MATCH(E912,'04_MAQUINAS'!$A$2:$A$18,0))*INDEX('04_MAQUINAS'!$H$2:$H$18,MATCH(E912,'04_MAQUINAS'!$A$2:$A$18,0))</f>
        <v>10.8</v>
      </c>
      <c r="N912" s="2" t="s">
        <v>629</v>
      </c>
    </row>
    <row r="913" customFormat="false" ht="15" hidden="false" customHeight="false" outlineLevel="0" collapsed="false">
      <c r="A913" s="2" t="s">
        <v>600</v>
      </c>
      <c r="B913" s="2" t="s">
        <v>96</v>
      </c>
      <c r="C913" s="4" t="n">
        <v>10</v>
      </c>
      <c r="D913" s="2" t="s">
        <v>449</v>
      </c>
      <c r="E913" s="2" t="s">
        <v>423</v>
      </c>
      <c r="F913" s="5" t="n">
        <f aca="false">INDEX('08_PEDIDOS'!$D$2:$D$97,MATCH(A913,'08_PEDIDOS'!$A$2:$A$97,0))</f>
        <v>7</v>
      </c>
      <c r="G913" s="5" t="n">
        <f aca="false">INDEX('08_PEDIDOS'!$H$2:$H$97,MATCH(A913,'08_PEDIDOS'!$A$2:$A$97,0))</f>
        <v>10</v>
      </c>
      <c r="H913" s="17" t="n">
        <f aca="false">SUMIFS('05_RUTAS'!$F$2:$F$407,'05_RUTAS'!$A$2:$A$407,B913,'05_RUTAS'!$C$2:$C$407,C913)</f>
        <v>8</v>
      </c>
      <c r="I913" s="18" t="n">
        <f aca="false">SUMIFS('05_RUTAS'!$G$2:$G$407,'05_RUTAS'!$A$2:$A$407,B913,'05_RUTAS'!$C$2:$C$407,C913)</f>
        <v>2.54</v>
      </c>
      <c r="J913" s="18" t="n">
        <f aca="false">(ROUNDUP(F913/G913,0)*H913+F913*I913)/60</f>
        <v>0.429666666666667</v>
      </c>
      <c r="K913" s="5" t="n">
        <f aca="false">MONTH(INDEX('08_PEDIDOS'!$F$2:$F$97,MATCH(A913,'08_PEDIDOS'!$A$2:$A$97,0)))</f>
        <v>10</v>
      </c>
      <c r="L913" s="16" t="n">
        <f aca="false">J913*N(INDEX('04_MAQUINAS'!$F$2:$F$18,MATCH(E913,'04_MAQUINAS'!$A$2:$A$18,0)))</f>
        <v>6.87466666666667</v>
      </c>
      <c r="M913" s="17" t="n">
        <f aca="false">J913*INDEX('04_MAQUINAS'!$G$2:$G$18,MATCH(E913,'04_MAQUINAS'!$A$2:$A$18,0))*INDEX('04_MAQUINAS'!$H$2:$H$18,MATCH(E913,'04_MAQUINAS'!$A$2:$A$18,0))</f>
        <v>0.107416666666667</v>
      </c>
      <c r="N913" s="2" t="s">
        <v>629</v>
      </c>
    </row>
    <row r="914" customFormat="false" ht="15" hidden="false" customHeight="false" outlineLevel="0" collapsed="false">
      <c r="A914" s="2" t="s">
        <v>600</v>
      </c>
      <c r="B914" s="2" t="s">
        <v>96</v>
      </c>
      <c r="C914" s="4" t="n">
        <v>11</v>
      </c>
      <c r="D914" s="2" t="s">
        <v>450</v>
      </c>
      <c r="E914" s="2" t="s">
        <v>406</v>
      </c>
      <c r="F914" s="5" t="n">
        <f aca="false">INDEX('08_PEDIDOS'!$D$2:$D$97,MATCH(A914,'08_PEDIDOS'!$A$2:$A$97,0))</f>
        <v>7</v>
      </c>
      <c r="G914" s="5" t="n">
        <f aca="false">INDEX('08_PEDIDOS'!$H$2:$H$97,MATCH(A914,'08_PEDIDOS'!$A$2:$A$97,0))</f>
        <v>10</v>
      </c>
      <c r="H914" s="17" t="n">
        <f aca="false">SUMIFS('05_RUTAS'!$F$2:$F$407,'05_RUTAS'!$A$2:$A$407,B914,'05_RUTAS'!$C$2:$C$407,C914)</f>
        <v>6</v>
      </c>
      <c r="I914" s="18" t="n">
        <f aca="false">SUMIFS('05_RUTAS'!$G$2:$G$407,'05_RUTAS'!$A$2:$A$407,B914,'05_RUTAS'!$C$2:$C$407,C914)</f>
        <v>48.75</v>
      </c>
      <c r="J914" s="18" t="n">
        <f aca="false">(ROUNDUP(F914/G914,0)*H914+F914*I914)/60</f>
        <v>5.7875</v>
      </c>
      <c r="K914" s="5" t="n">
        <f aca="false">MONTH(INDEX('08_PEDIDOS'!$F$2:$F$97,MATCH(A914,'08_PEDIDOS'!$A$2:$A$97,0)))</f>
        <v>10</v>
      </c>
      <c r="L914" s="16" t="n">
        <f aca="false">J914*N(INDEX('04_MAQUINAS'!$F$2:$F$18,MATCH(E914,'04_MAQUINAS'!$A$2:$A$18,0)))</f>
        <v>109.9625</v>
      </c>
      <c r="M914" s="17" t="n">
        <f aca="false">J914*INDEX('04_MAQUINAS'!$G$2:$G$18,MATCH(E914,'04_MAQUINAS'!$A$2:$A$18,0))*INDEX('04_MAQUINAS'!$H$2:$H$18,MATCH(E914,'04_MAQUINAS'!$A$2:$A$18,0))</f>
        <v>1.73625</v>
      </c>
      <c r="N914" s="2" t="s">
        <v>629</v>
      </c>
    </row>
    <row r="915" customFormat="false" ht="15" hidden="false" customHeight="false" outlineLevel="0" collapsed="false">
      <c r="A915" s="2" t="s">
        <v>600</v>
      </c>
      <c r="B915" s="2" t="s">
        <v>96</v>
      </c>
      <c r="C915" s="4" t="n">
        <v>12</v>
      </c>
      <c r="D915" s="2" t="s">
        <v>451</v>
      </c>
      <c r="E915" s="2" t="s">
        <v>408</v>
      </c>
      <c r="F915" s="5" t="n">
        <f aca="false">INDEX('08_PEDIDOS'!$D$2:$D$97,MATCH(A915,'08_PEDIDOS'!$A$2:$A$97,0))</f>
        <v>7</v>
      </c>
      <c r="G915" s="5" t="n">
        <f aca="false">INDEX('08_PEDIDOS'!$H$2:$H$97,MATCH(A915,'08_PEDIDOS'!$A$2:$A$97,0))</f>
        <v>10</v>
      </c>
      <c r="H915" s="17" t="n">
        <f aca="false">SUMIFS('05_RUTAS'!$F$2:$F$407,'05_RUTAS'!$A$2:$A$407,B915,'05_RUTAS'!$C$2:$C$407,C915)</f>
        <v>2</v>
      </c>
      <c r="I915" s="18" t="n">
        <f aca="false">SUMIFS('05_RUTAS'!$G$2:$G$407,'05_RUTAS'!$A$2:$A$407,B915,'05_RUTAS'!$C$2:$C$407,C915)</f>
        <v>3.67</v>
      </c>
      <c r="J915" s="18" t="n">
        <f aca="false">(ROUNDUP(F915/G915,0)*H915+F915*I915)/60</f>
        <v>0.4615</v>
      </c>
      <c r="K915" s="5" t="n">
        <f aca="false">MONTH(INDEX('08_PEDIDOS'!$F$2:$F$97,MATCH(A915,'08_PEDIDOS'!$A$2:$A$97,0)))</f>
        <v>10</v>
      </c>
      <c r="L915" s="16" t="n">
        <f aca="false">J915*N(INDEX('04_MAQUINAS'!$F$2:$F$18,MATCH(E915,'04_MAQUINAS'!$A$2:$A$18,0)))</f>
        <v>9.23</v>
      </c>
      <c r="M915" s="17" t="n">
        <f aca="false">J915*INDEX('04_MAQUINAS'!$G$2:$G$18,MATCH(E915,'04_MAQUINAS'!$A$2:$A$18,0))*INDEX('04_MAQUINAS'!$H$2:$H$18,MATCH(E915,'04_MAQUINAS'!$A$2:$A$18,0))</f>
        <v>0.04615</v>
      </c>
      <c r="N915" s="2" t="s">
        <v>629</v>
      </c>
    </row>
    <row r="916" customFormat="false" ht="15" hidden="false" customHeight="false" outlineLevel="0" collapsed="false">
      <c r="A916" s="2" t="s">
        <v>600</v>
      </c>
      <c r="B916" s="2" t="s">
        <v>96</v>
      </c>
      <c r="C916" s="4" t="n">
        <v>13</v>
      </c>
      <c r="D916" s="2" t="s">
        <v>452</v>
      </c>
      <c r="E916" s="2" t="s">
        <v>411</v>
      </c>
      <c r="F916" s="5" t="n">
        <f aca="false">INDEX('08_PEDIDOS'!$D$2:$D$97,MATCH(A916,'08_PEDIDOS'!$A$2:$A$97,0))</f>
        <v>7</v>
      </c>
      <c r="G916" s="5" t="n">
        <f aca="false">INDEX('08_PEDIDOS'!$H$2:$H$97,MATCH(A916,'08_PEDIDOS'!$A$2:$A$97,0))</f>
        <v>10</v>
      </c>
      <c r="H916" s="17" t="n">
        <f aca="false">SUMIFS('05_RUTAS'!$F$2:$F$407,'05_RUTAS'!$A$2:$A$407,B916,'05_RUTAS'!$C$2:$C$407,C916)</f>
        <v>2</v>
      </c>
      <c r="I916" s="18" t="n">
        <f aca="false">SUMIFS('05_RUTAS'!$G$2:$G$407,'05_RUTAS'!$A$2:$A$407,B916,'05_RUTAS'!$C$2:$C$407,C916)</f>
        <v>5</v>
      </c>
      <c r="J916" s="18" t="n">
        <f aca="false">(ROUNDUP(F916/G916,0)*H916+F916*I916)/60</f>
        <v>0.616666666666667</v>
      </c>
      <c r="K916" s="5" t="n">
        <f aca="false">MONTH(INDEX('08_PEDIDOS'!$F$2:$F$97,MATCH(A916,'08_PEDIDOS'!$A$2:$A$97,0)))</f>
        <v>10</v>
      </c>
      <c r="L916" s="16" t="n">
        <f aca="false">J916*N(INDEX('04_MAQUINAS'!$F$2:$F$18,MATCH(E916,'04_MAQUINAS'!$A$2:$A$18,0)))</f>
        <v>11.1</v>
      </c>
      <c r="M916" s="17" t="n">
        <f aca="false">J916*INDEX('04_MAQUINAS'!$G$2:$G$18,MATCH(E916,'04_MAQUINAS'!$A$2:$A$18,0))*INDEX('04_MAQUINAS'!$H$2:$H$18,MATCH(E916,'04_MAQUINAS'!$A$2:$A$18,0))</f>
        <v>0.0555</v>
      </c>
      <c r="N916" s="2" t="s">
        <v>629</v>
      </c>
    </row>
    <row r="917" customFormat="false" ht="15" hidden="false" customHeight="false" outlineLevel="0" collapsed="false">
      <c r="A917" s="2" t="s">
        <v>601</v>
      </c>
      <c r="B917" s="2" t="s">
        <v>106</v>
      </c>
      <c r="C917" s="4" t="n">
        <v>1</v>
      </c>
      <c r="D917" s="2" t="s">
        <v>437</v>
      </c>
      <c r="E917" s="2" t="s">
        <v>375</v>
      </c>
      <c r="F917" s="5" t="n">
        <f aca="false">INDEX('08_PEDIDOS'!$D$2:$D$97,MATCH(A917,'08_PEDIDOS'!$A$2:$A$97,0))</f>
        <v>5</v>
      </c>
      <c r="G917" s="5" t="n">
        <f aca="false">INDEX('08_PEDIDOS'!$H$2:$H$97,MATCH(A917,'08_PEDIDOS'!$A$2:$A$97,0))</f>
        <v>10</v>
      </c>
      <c r="H917" s="17" t="n">
        <f aca="false">SUMIFS('05_RUTAS'!$F$2:$F$407,'05_RUTAS'!$A$2:$A$407,B917,'05_RUTAS'!$C$2:$C$407,C917)</f>
        <v>8</v>
      </c>
      <c r="I917" s="18" t="n">
        <f aca="false">SUMIFS('05_RUTAS'!$G$2:$G$407,'05_RUTAS'!$A$2:$A$407,B917,'05_RUTAS'!$C$2:$C$407,C917)</f>
        <v>40.245</v>
      </c>
      <c r="J917" s="18" t="n">
        <f aca="false">(ROUNDUP(F917/G917,0)*H917+F917*I917)/60</f>
        <v>3.48708333333333</v>
      </c>
      <c r="K917" s="5" t="n">
        <f aca="false">MONTH(INDEX('08_PEDIDOS'!$F$2:$F$97,MATCH(A917,'08_PEDIDOS'!$A$2:$A$97,0)))</f>
        <v>10</v>
      </c>
      <c r="L917" s="16" t="n">
        <f aca="false">J917*N(INDEX('04_MAQUINAS'!$F$2:$F$18,MATCH(E917,'04_MAQUINAS'!$A$2:$A$18,0)))</f>
        <v>83.69</v>
      </c>
      <c r="M917" s="17" t="n">
        <f aca="false">J917*INDEX('04_MAQUINAS'!$G$2:$G$18,MATCH(E917,'04_MAQUINAS'!$A$2:$A$18,0))*INDEX('04_MAQUINAS'!$H$2:$H$18,MATCH(E917,'04_MAQUINAS'!$A$2:$A$18,0))</f>
        <v>9.58947916666667</v>
      </c>
      <c r="N917" s="2" t="s">
        <v>629</v>
      </c>
    </row>
    <row r="918" customFormat="false" ht="15" hidden="false" customHeight="false" outlineLevel="0" collapsed="false">
      <c r="A918" s="2" t="s">
        <v>601</v>
      </c>
      <c r="B918" s="2" t="s">
        <v>106</v>
      </c>
      <c r="C918" s="4" t="n">
        <v>2</v>
      </c>
      <c r="D918" s="2" t="s">
        <v>386</v>
      </c>
      <c r="E918" s="2" t="s">
        <v>383</v>
      </c>
      <c r="F918" s="5" t="n">
        <f aca="false">INDEX('08_PEDIDOS'!$D$2:$D$97,MATCH(A918,'08_PEDIDOS'!$A$2:$A$97,0))</f>
        <v>5</v>
      </c>
      <c r="G918" s="5" t="n">
        <f aca="false">INDEX('08_PEDIDOS'!$H$2:$H$97,MATCH(A918,'08_PEDIDOS'!$A$2:$A$97,0))</f>
        <v>10</v>
      </c>
      <c r="H918" s="17" t="n">
        <f aca="false">SUMIFS('05_RUTAS'!$F$2:$F$407,'05_RUTAS'!$A$2:$A$407,B918,'05_RUTAS'!$C$2:$C$407,C918)</f>
        <v>10</v>
      </c>
      <c r="I918" s="18" t="n">
        <f aca="false">SUMIFS('05_RUTAS'!$G$2:$G$407,'05_RUTAS'!$A$2:$A$407,B918,'05_RUTAS'!$C$2:$C$407,C918)</f>
        <v>14.8</v>
      </c>
      <c r="J918" s="18" t="n">
        <f aca="false">(ROUNDUP(F918/G918,0)*H918+F918*I918)/60</f>
        <v>1.4</v>
      </c>
      <c r="K918" s="5" t="n">
        <f aca="false">MONTH(INDEX('08_PEDIDOS'!$F$2:$F$97,MATCH(A918,'08_PEDIDOS'!$A$2:$A$97,0)))</f>
        <v>10</v>
      </c>
      <c r="L918" s="16" t="n">
        <f aca="false">J918*N(INDEX('04_MAQUINAS'!$F$2:$F$18,MATCH(E918,'04_MAQUINAS'!$A$2:$A$18,0)))</f>
        <v>30.8</v>
      </c>
      <c r="M918" s="17" t="n">
        <f aca="false">J918*INDEX('04_MAQUINAS'!$G$2:$G$18,MATCH(E918,'04_MAQUINAS'!$A$2:$A$18,0))*INDEX('04_MAQUINAS'!$H$2:$H$18,MATCH(E918,'04_MAQUINAS'!$A$2:$A$18,0))</f>
        <v>0.385</v>
      </c>
      <c r="N918" s="2" t="s">
        <v>629</v>
      </c>
    </row>
    <row r="919" customFormat="false" ht="15" hidden="false" customHeight="false" outlineLevel="0" collapsed="false">
      <c r="A919" s="2" t="s">
        <v>601</v>
      </c>
      <c r="B919" s="2" t="s">
        <v>106</v>
      </c>
      <c r="C919" s="4" t="n">
        <v>3</v>
      </c>
      <c r="D919" s="2" t="s">
        <v>390</v>
      </c>
      <c r="E919" s="2" t="s">
        <v>387</v>
      </c>
      <c r="F919" s="5" t="n">
        <f aca="false">INDEX('08_PEDIDOS'!$D$2:$D$97,MATCH(A919,'08_PEDIDOS'!$A$2:$A$97,0))</f>
        <v>5</v>
      </c>
      <c r="G919" s="5" t="n">
        <f aca="false">INDEX('08_PEDIDOS'!$H$2:$H$97,MATCH(A919,'08_PEDIDOS'!$A$2:$A$97,0))</f>
        <v>10</v>
      </c>
      <c r="H919" s="17" t="n">
        <f aca="false">SUMIFS('05_RUTAS'!$F$2:$F$407,'05_RUTAS'!$A$2:$A$407,B919,'05_RUTAS'!$C$2:$C$407,C919)</f>
        <v>12</v>
      </c>
      <c r="I919" s="18" t="n">
        <f aca="false">SUMIFS('05_RUTAS'!$G$2:$G$407,'05_RUTAS'!$A$2:$A$407,B919,'05_RUTAS'!$C$2:$C$407,C919)</f>
        <v>104</v>
      </c>
      <c r="J919" s="18" t="n">
        <f aca="false">(ROUNDUP(F919/G919,0)*H919+F919*I919)/60</f>
        <v>8.86666666666667</v>
      </c>
      <c r="K919" s="5" t="n">
        <f aca="false">MONTH(INDEX('08_PEDIDOS'!$F$2:$F$97,MATCH(A919,'08_PEDIDOS'!$A$2:$A$97,0)))</f>
        <v>10</v>
      </c>
      <c r="L919" s="16" t="n">
        <f aca="false">J919*N(INDEX('04_MAQUINAS'!$F$2:$F$18,MATCH(E919,'04_MAQUINAS'!$A$2:$A$18,0)))</f>
        <v>248.266666666667</v>
      </c>
      <c r="M919" s="17" t="n">
        <f aca="false">J919*INDEX('04_MAQUINAS'!$G$2:$G$18,MATCH(E919,'04_MAQUINAS'!$A$2:$A$18,0))*INDEX('04_MAQUINAS'!$H$2:$H$18,MATCH(E919,'04_MAQUINAS'!$A$2:$A$18,0))</f>
        <v>21.945</v>
      </c>
      <c r="N919" s="2" t="s">
        <v>629</v>
      </c>
    </row>
    <row r="920" customFormat="false" ht="15" hidden="false" customHeight="false" outlineLevel="0" collapsed="false">
      <c r="A920" s="2" t="s">
        <v>601</v>
      </c>
      <c r="B920" s="2" t="s">
        <v>106</v>
      </c>
      <c r="C920" s="4" t="n">
        <v>4</v>
      </c>
      <c r="D920" s="2" t="s">
        <v>443</v>
      </c>
      <c r="E920" s="2" t="s">
        <v>395</v>
      </c>
      <c r="F920" s="5" t="n">
        <f aca="false">INDEX('08_PEDIDOS'!$D$2:$D$97,MATCH(A920,'08_PEDIDOS'!$A$2:$A$97,0))</f>
        <v>5</v>
      </c>
      <c r="G920" s="5" t="n">
        <f aca="false">INDEX('08_PEDIDOS'!$H$2:$H$97,MATCH(A920,'08_PEDIDOS'!$A$2:$A$97,0))</f>
        <v>10</v>
      </c>
      <c r="H920" s="17" t="n">
        <f aca="false">SUMIFS('05_RUTAS'!$F$2:$F$407,'05_RUTAS'!$A$2:$A$407,B920,'05_RUTAS'!$C$2:$C$407,C920)</f>
        <v>3</v>
      </c>
      <c r="I920" s="18" t="n">
        <f aca="false">SUMIFS('05_RUTAS'!$G$2:$G$407,'05_RUTAS'!$A$2:$A$407,B920,'05_RUTAS'!$C$2:$C$407,C920)</f>
        <v>18</v>
      </c>
      <c r="J920" s="18" t="n">
        <f aca="false">(ROUNDUP(F920/G920,0)*H920+F920*I920)/60</f>
        <v>1.55</v>
      </c>
      <c r="K920" s="5" t="n">
        <f aca="false">MONTH(INDEX('08_PEDIDOS'!$F$2:$F$97,MATCH(A920,'08_PEDIDOS'!$A$2:$A$97,0)))</f>
        <v>10</v>
      </c>
      <c r="L920" s="16" t="n">
        <f aca="false">J920*N(INDEX('04_MAQUINAS'!$F$2:$F$18,MATCH(E920,'04_MAQUINAS'!$A$2:$A$18,0)))</f>
        <v>32.55</v>
      </c>
      <c r="M920" s="17" t="n">
        <f aca="false">J920*INDEX('04_MAQUINAS'!$G$2:$G$18,MATCH(E920,'04_MAQUINAS'!$A$2:$A$18,0))*INDEX('04_MAQUINAS'!$H$2:$H$18,MATCH(E920,'04_MAQUINAS'!$A$2:$A$18,0))</f>
        <v>1.1625</v>
      </c>
      <c r="N920" s="2" t="s">
        <v>629</v>
      </c>
    </row>
    <row r="921" customFormat="false" ht="15" hidden="false" customHeight="false" outlineLevel="0" collapsed="false">
      <c r="A921" s="2" t="s">
        <v>601</v>
      </c>
      <c r="B921" s="2" t="s">
        <v>106</v>
      </c>
      <c r="C921" s="4" t="n">
        <v>5</v>
      </c>
      <c r="D921" s="2" t="s">
        <v>444</v>
      </c>
      <c r="E921" s="2" t="s">
        <v>399</v>
      </c>
      <c r="F921" s="5" t="n">
        <f aca="false">INDEX('08_PEDIDOS'!$D$2:$D$97,MATCH(A921,'08_PEDIDOS'!$A$2:$A$97,0))</f>
        <v>5</v>
      </c>
      <c r="G921" s="5" t="n">
        <f aca="false">INDEX('08_PEDIDOS'!$H$2:$H$97,MATCH(A921,'08_PEDIDOS'!$A$2:$A$97,0))</f>
        <v>10</v>
      </c>
      <c r="H921" s="17" t="n">
        <f aca="false">SUMIFS('05_RUTAS'!$F$2:$F$407,'05_RUTAS'!$A$2:$A$407,B921,'05_RUTAS'!$C$2:$C$407,C921)</f>
        <v>6</v>
      </c>
      <c r="I921" s="18" t="n">
        <f aca="false">SUMIFS('05_RUTAS'!$G$2:$G$407,'05_RUTAS'!$A$2:$A$407,B921,'05_RUTAS'!$C$2:$C$407,C921)</f>
        <v>26.324</v>
      </c>
      <c r="J921" s="18" t="n">
        <f aca="false">(ROUNDUP(F921/G921,0)*H921+F921*I921)/60</f>
        <v>2.29366666666667</v>
      </c>
      <c r="K921" s="5" t="n">
        <f aca="false">MONTH(INDEX('08_PEDIDOS'!$F$2:$F$97,MATCH(A921,'08_PEDIDOS'!$A$2:$A$97,0)))</f>
        <v>10</v>
      </c>
      <c r="L921" s="16" t="n">
        <f aca="false">J921*N(INDEX('04_MAQUINAS'!$F$2:$F$18,MATCH(E921,'04_MAQUINAS'!$A$2:$A$18,0)))</f>
        <v>43.5796666666667</v>
      </c>
      <c r="M921" s="17" t="n">
        <f aca="false">J921*INDEX('04_MAQUINAS'!$G$2:$G$18,MATCH(E921,'04_MAQUINAS'!$A$2:$A$18,0))*INDEX('04_MAQUINAS'!$H$2:$H$18,MATCH(E921,'04_MAQUINAS'!$A$2:$A$18,0))</f>
        <v>2.01842666666667</v>
      </c>
      <c r="N921" s="2" t="s">
        <v>629</v>
      </c>
    </row>
    <row r="922" customFormat="false" ht="15" hidden="false" customHeight="false" outlineLevel="0" collapsed="false">
      <c r="A922" s="2" t="s">
        <v>601</v>
      </c>
      <c r="B922" s="2" t="s">
        <v>106</v>
      </c>
      <c r="C922" s="4" t="n">
        <v>6</v>
      </c>
      <c r="D922" s="2" t="s">
        <v>445</v>
      </c>
      <c r="E922" s="2" t="s">
        <v>402</v>
      </c>
      <c r="F922" s="5" t="n">
        <f aca="false">INDEX('08_PEDIDOS'!$D$2:$D$97,MATCH(A922,'08_PEDIDOS'!$A$2:$A$97,0))</f>
        <v>5</v>
      </c>
      <c r="G922" s="5" t="n">
        <f aca="false">INDEX('08_PEDIDOS'!$H$2:$H$97,MATCH(A922,'08_PEDIDOS'!$A$2:$A$97,0))</f>
        <v>10</v>
      </c>
      <c r="H922" s="17" t="n">
        <f aca="false">SUMIFS('05_RUTAS'!$F$2:$F$407,'05_RUTAS'!$A$2:$A$407,B922,'05_RUTAS'!$C$2:$C$407,C922)</f>
        <v>12</v>
      </c>
      <c r="I922" s="18" t="n">
        <f aca="false">SUMIFS('05_RUTAS'!$G$2:$G$407,'05_RUTAS'!$A$2:$A$407,B922,'05_RUTAS'!$C$2:$C$407,C922)</f>
        <v>6.83</v>
      </c>
      <c r="J922" s="18" t="n">
        <f aca="false">(ROUNDUP(F922/G922,0)*H922+F922*I922)/60</f>
        <v>0.769166666666667</v>
      </c>
      <c r="K922" s="5" t="n">
        <f aca="false">MONTH(INDEX('08_PEDIDOS'!$F$2:$F$97,MATCH(A922,'08_PEDIDOS'!$A$2:$A$97,0)))</f>
        <v>10</v>
      </c>
      <c r="L922" s="16" t="n">
        <f aca="false">J922*N(INDEX('04_MAQUINAS'!$F$2:$F$18,MATCH(E922,'04_MAQUINAS'!$A$2:$A$18,0)))</f>
        <v>24.6133333333333</v>
      </c>
      <c r="M922" s="17" t="n">
        <f aca="false">J922*INDEX('04_MAQUINAS'!$G$2:$G$18,MATCH(E922,'04_MAQUINAS'!$A$2:$A$18,0))*INDEX('04_MAQUINAS'!$H$2:$H$18,MATCH(E922,'04_MAQUINAS'!$A$2:$A$18,0))</f>
        <v>0.807625</v>
      </c>
      <c r="N922" s="2" t="s">
        <v>629</v>
      </c>
    </row>
    <row r="923" customFormat="false" ht="15" hidden="false" customHeight="false" outlineLevel="0" collapsed="false">
      <c r="A923" s="2" t="s">
        <v>601</v>
      </c>
      <c r="B923" s="2" t="s">
        <v>106</v>
      </c>
      <c r="C923" s="4" t="n">
        <v>7</v>
      </c>
      <c r="D923" s="2" t="s">
        <v>447</v>
      </c>
      <c r="E923" s="2" t="s">
        <v>421</v>
      </c>
      <c r="F923" s="5" t="n">
        <f aca="false">INDEX('08_PEDIDOS'!$D$2:$D$97,MATCH(A923,'08_PEDIDOS'!$A$2:$A$97,0))</f>
        <v>5</v>
      </c>
      <c r="G923" s="5" t="n">
        <f aca="false">INDEX('08_PEDIDOS'!$H$2:$H$97,MATCH(A923,'08_PEDIDOS'!$A$2:$A$97,0))</f>
        <v>10</v>
      </c>
      <c r="H923" s="17" t="n">
        <f aca="false">SUMIFS('05_RUTAS'!$F$2:$F$407,'05_RUTAS'!$A$2:$A$407,B923,'05_RUTAS'!$C$2:$C$407,C923)</f>
        <v>45</v>
      </c>
      <c r="I923" s="18" t="n">
        <f aca="false">SUMIFS('05_RUTAS'!$G$2:$G$407,'05_RUTAS'!$A$2:$A$407,B923,'05_RUTAS'!$C$2:$C$407,C923)</f>
        <v>0</v>
      </c>
      <c r="J923" s="18" t="n">
        <f aca="false">(ROUNDUP(F923/G923,0)*H923+F923*I923)/60</f>
        <v>0.75</v>
      </c>
      <c r="K923" s="5" t="n">
        <f aca="false">MONTH(INDEX('08_PEDIDOS'!$F$2:$F$97,MATCH(A923,'08_PEDIDOS'!$A$2:$A$97,0)))</f>
        <v>10</v>
      </c>
      <c r="L923" s="16" t="n">
        <f aca="false">J923*N(INDEX('04_MAQUINAS'!$F$2:$F$18,MATCH(E923,'04_MAQUINAS'!$A$2:$A$18,0)))</f>
        <v>19.5</v>
      </c>
      <c r="M923" s="17" t="n">
        <f aca="false">J923*INDEX('04_MAQUINAS'!$G$2:$G$18,MATCH(E923,'04_MAQUINAS'!$A$2:$A$18,0))*INDEX('04_MAQUINAS'!$H$2:$H$18,MATCH(E923,'04_MAQUINAS'!$A$2:$A$18,0))</f>
        <v>10.8</v>
      </c>
      <c r="N923" s="2" t="s">
        <v>629</v>
      </c>
    </row>
    <row r="924" customFormat="false" ht="15" hidden="false" customHeight="false" outlineLevel="0" collapsed="false">
      <c r="A924" s="2" t="s">
        <v>601</v>
      </c>
      <c r="B924" s="2" t="s">
        <v>106</v>
      </c>
      <c r="C924" s="4" t="n">
        <v>8</v>
      </c>
      <c r="D924" s="2" t="s">
        <v>449</v>
      </c>
      <c r="E924" s="2" t="s">
        <v>423</v>
      </c>
      <c r="F924" s="5" t="n">
        <f aca="false">INDEX('08_PEDIDOS'!$D$2:$D$97,MATCH(A924,'08_PEDIDOS'!$A$2:$A$97,0))</f>
        <v>5</v>
      </c>
      <c r="G924" s="5" t="n">
        <f aca="false">INDEX('08_PEDIDOS'!$H$2:$H$97,MATCH(A924,'08_PEDIDOS'!$A$2:$A$97,0))</f>
        <v>10</v>
      </c>
      <c r="H924" s="17" t="n">
        <f aca="false">SUMIFS('05_RUTAS'!$F$2:$F$407,'05_RUTAS'!$A$2:$A$407,B924,'05_RUTAS'!$C$2:$C$407,C924)</f>
        <v>8</v>
      </c>
      <c r="I924" s="18" t="n">
        <f aca="false">SUMIFS('05_RUTAS'!$G$2:$G$407,'05_RUTAS'!$A$2:$A$407,B924,'05_RUTAS'!$C$2:$C$407,C924)</f>
        <v>2.42</v>
      </c>
      <c r="J924" s="18" t="n">
        <f aca="false">(ROUNDUP(F924/G924,0)*H924+F924*I924)/60</f>
        <v>0.335</v>
      </c>
      <c r="K924" s="5" t="n">
        <f aca="false">MONTH(INDEX('08_PEDIDOS'!$F$2:$F$97,MATCH(A924,'08_PEDIDOS'!$A$2:$A$97,0)))</f>
        <v>10</v>
      </c>
      <c r="L924" s="16" t="n">
        <f aca="false">J924*N(INDEX('04_MAQUINAS'!$F$2:$F$18,MATCH(E924,'04_MAQUINAS'!$A$2:$A$18,0)))</f>
        <v>5.36</v>
      </c>
      <c r="M924" s="17" t="n">
        <f aca="false">J924*INDEX('04_MAQUINAS'!$G$2:$G$18,MATCH(E924,'04_MAQUINAS'!$A$2:$A$18,0))*INDEX('04_MAQUINAS'!$H$2:$H$18,MATCH(E924,'04_MAQUINAS'!$A$2:$A$18,0))</f>
        <v>0.08375</v>
      </c>
      <c r="N924" s="2" t="s">
        <v>629</v>
      </c>
    </row>
    <row r="925" customFormat="false" ht="15" hidden="false" customHeight="false" outlineLevel="0" collapsed="false">
      <c r="A925" s="2" t="s">
        <v>601</v>
      </c>
      <c r="B925" s="2" t="s">
        <v>106</v>
      </c>
      <c r="C925" s="4" t="n">
        <v>9</v>
      </c>
      <c r="D925" s="2" t="s">
        <v>450</v>
      </c>
      <c r="E925" s="2" t="s">
        <v>406</v>
      </c>
      <c r="F925" s="5" t="n">
        <f aca="false">INDEX('08_PEDIDOS'!$D$2:$D$97,MATCH(A925,'08_PEDIDOS'!$A$2:$A$97,0))</f>
        <v>5</v>
      </c>
      <c r="G925" s="5" t="n">
        <f aca="false">INDEX('08_PEDIDOS'!$H$2:$H$97,MATCH(A925,'08_PEDIDOS'!$A$2:$A$97,0))</f>
        <v>10</v>
      </c>
      <c r="H925" s="17" t="n">
        <f aca="false">SUMIFS('05_RUTAS'!$F$2:$F$407,'05_RUTAS'!$A$2:$A$407,B925,'05_RUTAS'!$C$2:$C$407,C925)</f>
        <v>6</v>
      </c>
      <c r="I925" s="18" t="n">
        <f aca="false">SUMIFS('05_RUTAS'!$G$2:$G$407,'05_RUTAS'!$A$2:$A$407,B925,'05_RUTAS'!$C$2:$C$407,C925)</f>
        <v>42</v>
      </c>
      <c r="J925" s="18" t="n">
        <f aca="false">(ROUNDUP(F925/G925,0)*H925+F925*I925)/60</f>
        <v>3.6</v>
      </c>
      <c r="K925" s="5" t="n">
        <f aca="false">MONTH(INDEX('08_PEDIDOS'!$F$2:$F$97,MATCH(A925,'08_PEDIDOS'!$A$2:$A$97,0)))</f>
        <v>10</v>
      </c>
      <c r="L925" s="16" t="n">
        <f aca="false">J925*N(INDEX('04_MAQUINAS'!$F$2:$F$18,MATCH(E925,'04_MAQUINAS'!$A$2:$A$18,0)))</f>
        <v>68.4</v>
      </c>
      <c r="M925" s="17" t="n">
        <f aca="false">J925*INDEX('04_MAQUINAS'!$G$2:$G$18,MATCH(E925,'04_MAQUINAS'!$A$2:$A$18,0))*INDEX('04_MAQUINAS'!$H$2:$H$18,MATCH(E925,'04_MAQUINAS'!$A$2:$A$18,0))</f>
        <v>1.08</v>
      </c>
      <c r="N925" s="2" t="s">
        <v>629</v>
      </c>
    </row>
    <row r="926" customFormat="false" ht="15" hidden="false" customHeight="false" outlineLevel="0" collapsed="false">
      <c r="A926" s="2" t="s">
        <v>601</v>
      </c>
      <c r="B926" s="2" t="s">
        <v>106</v>
      </c>
      <c r="C926" s="4" t="n">
        <v>10</v>
      </c>
      <c r="D926" s="2" t="s">
        <v>451</v>
      </c>
      <c r="E926" s="2" t="s">
        <v>408</v>
      </c>
      <c r="F926" s="5" t="n">
        <f aca="false">INDEX('08_PEDIDOS'!$D$2:$D$97,MATCH(A926,'08_PEDIDOS'!$A$2:$A$97,0))</f>
        <v>5</v>
      </c>
      <c r="G926" s="5" t="n">
        <f aca="false">INDEX('08_PEDIDOS'!$H$2:$H$97,MATCH(A926,'08_PEDIDOS'!$A$2:$A$97,0))</f>
        <v>10</v>
      </c>
      <c r="H926" s="17" t="n">
        <f aca="false">SUMIFS('05_RUTAS'!$F$2:$F$407,'05_RUTAS'!$A$2:$A$407,B926,'05_RUTAS'!$C$2:$C$407,C926)</f>
        <v>2</v>
      </c>
      <c r="I926" s="18" t="n">
        <f aca="false">SUMIFS('05_RUTAS'!$G$2:$G$407,'05_RUTAS'!$A$2:$A$407,B926,'05_RUTAS'!$C$2:$C$407,C926)</f>
        <v>3.52</v>
      </c>
      <c r="J926" s="18" t="n">
        <f aca="false">(ROUNDUP(F926/G926,0)*H926+F926*I926)/60</f>
        <v>0.326666666666667</v>
      </c>
      <c r="K926" s="5" t="n">
        <f aca="false">MONTH(INDEX('08_PEDIDOS'!$F$2:$F$97,MATCH(A926,'08_PEDIDOS'!$A$2:$A$97,0)))</f>
        <v>10</v>
      </c>
      <c r="L926" s="16" t="n">
        <f aca="false">J926*N(INDEX('04_MAQUINAS'!$F$2:$F$18,MATCH(E926,'04_MAQUINAS'!$A$2:$A$18,0)))</f>
        <v>6.53333333333333</v>
      </c>
      <c r="M926" s="17" t="n">
        <f aca="false">J926*INDEX('04_MAQUINAS'!$G$2:$G$18,MATCH(E926,'04_MAQUINAS'!$A$2:$A$18,0))*INDEX('04_MAQUINAS'!$H$2:$H$18,MATCH(E926,'04_MAQUINAS'!$A$2:$A$18,0))</f>
        <v>0.0326666666666667</v>
      </c>
      <c r="N926" s="2" t="s">
        <v>629</v>
      </c>
    </row>
    <row r="927" customFormat="false" ht="15" hidden="false" customHeight="false" outlineLevel="0" collapsed="false">
      <c r="A927" s="2" t="s">
        <v>601</v>
      </c>
      <c r="B927" s="2" t="s">
        <v>106</v>
      </c>
      <c r="C927" s="4" t="n">
        <v>11</v>
      </c>
      <c r="D927" s="2" t="s">
        <v>452</v>
      </c>
      <c r="E927" s="2" t="s">
        <v>411</v>
      </c>
      <c r="F927" s="5" t="n">
        <f aca="false">INDEX('08_PEDIDOS'!$D$2:$D$97,MATCH(A927,'08_PEDIDOS'!$A$2:$A$97,0))</f>
        <v>5</v>
      </c>
      <c r="G927" s="5" t="n">
        <f aca="false">INDEX('08_PEDIDOS'!$H$2:$H$97,MATCH(A927,'08_PEDIDOS'!$A$2:$A$97,0))</f>
        <v>10</v>
      </c>
      <c r="H927" s="17" t="n">
        <f aca="false">SUMIFS('05_RUTAS'!$F$2:$F$407,'05_RUTAS'!$A$2:$A$407,B927,'05_RUTAS'!$C$2:$C$407,C927)</f>
        <v>2</v>
      </c>
      <c r="I927" s="18" t="n">
        <f aca="false">SUMIFS('05_RUTAS'!$G$2:$G$407,'05_RUTAS'!$A$2:$A$407,B927,'05_RUTAS'!$C$2:$C$407,C927)</f>
        <v>4.78</v>
      </c>
      <c r="J927" s="18" t="n">
        <f aca="false">(ROUNDUP(F927/G927,0)*H927+F927*I927)/60</f>
        <v>0.431666666666667</v>
      </c>
      <c r="K927" s="5" t="n">
        <f aca="false">MONTH(INDEX('08_PEDIDOS'!$F$2:$F$97,MATCH(A927,'08_PEDIDOS'!$A$2:$A$97,0)))</f>
        <v>10</v>
      </c>
      <c r="L927" s="16" t="n">
        <f aca="false">J927*N(INDEX('04_MAQUINAS'!$F$2:$F$18,MATCH(E927,'04_MAQUINAS'!$A$2:$A$18,0)))</f>
        <v>7.77</v>
      </c>
      <c r="M927" s="17" t="n">
        <f aca="false">J927*INDEX('04_MAQUINAS'!$G$2:$G$18,MATCH(E927,'04_MAQUINAS'!$A$2:$A$18,0))*INDEX('04_MAQUINAS'!$H$2:$H$18,MATCH(E927,'04_MAQUINAS'!$A$2:$A$18,0))</f>
        <v>0.03885</v>
      </c>
      <c r="N927" s="2" t="s">
        <v>629</v>
      </c>
    </row>
    <row r="928" customFormat="false" ht="15" hidden="false" customHeight="false" outlineLevel="0" collapsed="false">
      <c r="A928" s="2" t="s">
        <v>602</v>
      </c>
      <c r="B928" s="2" t="s">
        <v>108</v>
      </c>
      <c r="C928" s="4" t="n">
        <v>1</v>
      </c>
      <c r="D928" s="2" t="s">
        <v>437</v>
      </c>
      <c r="E928" s="2" t="s">
        <v>375</v>
      </c>
      <c r="F928" s="5" t="n">
        <f aca="false">INDEX('08_PEDIDOS'!$D$2:$D$97,MATCH(A928,'08_PEDIDOS'!$A$2:$A$97,0))</f>
        <v>6</v>
      </c>
      <c r="G928" s="5" t="n">
        <f aca="false">INDEX('08_PEDIDOS'!$H$2:$H$97,MATCH(A928,'08_PEDIDOS'!$A$2:$A$97,0))</f>
        <v>10</v>
      </c>
      <c r="H928" s="17" t="n">
        <f aca="false">SUMIFS('05_RUTAS'!$F$2:$F$407,'05_RUTAS'!$A$2:$A$407,B928,'05_RUTAS'!$C$2:$C$407,C928)</f>
        <v>8</v>
      </c>
      <c r="I928" s="18" t="n">
        <f aca="false">SUMIFS('05_RUTAS'!$G$2:$G$407,'05_RUTAS'!$A$2:$A$407,B928,'05_RUTAS'!$C$2:$C$407,C928)</f>
        <v>57.14</v>
      </c>
      <c r="J928" s="18" t="n">
        <f aca="false">(ROUNDUP(F928/G928,0)*H928+F928*I928)/60</f>
        <v>5.84733333333333</v>
      </c>
      <c r="K928" s="5" t="n">
        <f aca="false">MONTH(INDEX('08_PEDIDOS'!$F$2:$F$97,MATCH(A928,'08_PEDIDOS'!$A$2:$A$97,0)))</f>
        <v>10</v>
      </c>
      <c r="L928" s="16" t="n">
        <f aca="false">J928*N(INDEX('04_MAQUINAS'!$F$2:$F$18,MATCH(E928,'04_MAQUINAS'!$A$2:$A$18,0)))</f>
        <v>140.336</v>
      </c>
      <c r="M928" s="17" t="n">
        <f aca="false">J928*INDEX('04_MAQUINAS'!$G$2:$G$18,MATCH(E928,'04_MAQUINAS'!$A$2:$A$18,0))*INDEX('04_MAQUINAS'!$H$2:$H$18,MATCH(E928,'04_MAQUINAS'!$A$2:$A$18,0))</f>
        <v>16.0801666666667</v>
      </c>
      <c r="N928" s="2" t="s">
        <v>629</v>
      </c>
    </row>
    <row r="929" customFormat="false" ht="15" hidden="false" customHeight="false" outlineLevel="0" collapsed="false">
      <c r="A929" s="2" t="s">
        <v>602</v>
      </c>
      <c r="B929" s="2" t="s">
        <v>108</v>
      </c>
      <c r="C929" s="4" t="n">
        <v>2</v>
      </c>
      <c r="D929" s="2" t="s">
        <v>386</v>
      </c>
      <c r="E929" s="2" t="s">
        <v>383</v>
      </c>
      <c r="F929" s="5" t="n">
        <f aca="false">INDEX('08_PEDIDOS'!$D$2:$D$97,MATCH(A929,'08_PEDIDOS'!$A$2:$A$97,0))</f>
        <v>6</v>
      </c>
      <c r="G929" s="5" t="n">
        <f aca="false">INDEX('08_PEDIDOS'!$H$2:$H$97,MATCH(A929,'08_PEDIDOS'!$A$2:$A$97,0))</f>
        <v>10</v>
      </c>
      <c r="H929" s="17" t="n">
        <f aca="false">SUMIFS('05_RUTAS'!$F$2:$F$407,'05_RUTAS'!$A$2:$A$407,B929,'05_RUTAS'!$C$2:$C$407,C929)</f>
        <v>10</v>
      </c>
      <c r="I929" s="18" t="n">
        <f aca="false">SUMIFS('05_RUTAS'!$G$2:$G$407,'05_RUTAS'!$A$2:$A$407,B929,'05_RUTAS'!$C$2:$C$407,C929)</f>
        <v>27</v>
      </c>
      <c r="J929" s="18" t="n">
        <f aca="false">(ROUNDUP(F929/G929,0)*H929+F929*I929)/60</f>
        <v>2.86666666666667</v>
      </c>
      <c r="K929" s="5" t="n">
        <f aca="false">MONTH(INDEX('08_PEDIDOS'!$F$2:$F$97,MATCH(A929,'08_PEDIDOS'!$A$2:$A$97,0)))</f>
        <v>10</v>
      </c>
      <c r="L929" s="16" t="n">
        <f aca="false">J929*N(INDEX('04_MAQUINAS'!$F$2:$F$18,MATCH(E929,'04_MAQUINAS'!$A$2:$A$18,0)))</f>
        <v>63.0666666666667</v>
      </c>
      <c r="M929" s="17" t="n">
        <f aca="false">J929*INDEX('04_MAQUINAS'!$G$2:$G$18,MATCH(E929,'04_MAQUINAS'!$A$2:$A$18,0))*INDEX('04_MAQUINAS'!$H$2:$H$18,MATCH(E929,'04_MAQUINAS'!$A$2:$A$18,0))</f>
        <v>0.788333333333333</v>
      </c>
      <c r="N929" s="2" t="s">
        <v>629</v>
      </c>
    </row>
    <row r="930" customFormat="false" ht="15" hidden="false" customHeight="false" outlineLevel="0" collapsed="false">
      <c r="A930" s="2" t="s">
        <v>602</v>
      </c>
      <c r="B930" s="2" t="s">
        <v>108</v>
      </c>
      <c r="C930" s="4" t="n">
        <v>3</v>
      </c>
      <c r="D930" s="2" t="s">
        <v>390</v>
      </c>
      <c r="E930" s="2" t="s">
        <v>387</v>
      </c>
      <c r="F930" s="5" t="n">
        <f aca="false">INDEX('08_PEDIDOS'!$D$2:$D$97,MATCH(A930,'08_PEDIDOS'!$A$2:$A$97,0))</f>
        <v>6</v>
      </c>
      <c r="G930" s="5" t="n">
        <f aca="false">INDEX('08_PEDIDOS'!$H$2:$H$97,MATCH(A930,'08_PEDIDOS'!$A$2:$A$97,0))</f>
        <v>10</v>
      </c>
      <c r="H930" s="17" t="n">
        <f aca="false">SUMIFS('05_RUTAS'!$F$2:$F$407,'05_RUTAS'!$A$2:$A$407,B930,'05_RUTAS'!$C$2:$C$407,C930)</f>
        <v>12</v>
      </c>
      <c r="I930" s="18" t="n">
        <f aca="false">SUMIFS('05_RUTAS'!$G$2:$G$407,'05_RUTAS'!$A$2:$A$407,B930,'05_RUTAS'!$C$2:$C$407,C930)</f>
        <v>149</v>
      </c>
      <c r="J930" s="18" t="n">
        <f aca="false">(ROUNDUP(F930/G930,0)*H930+F930*I930)/60</f>
        <v>15.1</v>
      </c>
      <c r="K930" s="5" t="n">
        <f aca="false">MONTH(INDEX('08_PEDIDOS'!$F$2:$F$97,MATCH(A930,'08_PEDIDOS'!$A$2:$A$97,0)))</f>
        <v>10</v>
      </c>
      <c r="L930" s="16" t="n">
        <f aca="false">J930*N(INDEX('04_MAQUINAS'!$F$2:$F$18,MATCH(E930,'04_MAQUINAS'!$A$2:$A$18,0)))</f>
        <v>422.8</v>
      </c>
      <c r="M930" s="17" t="n">
        <f aca="false">J930*INDEX('04_MAQUINAS'!$G$2:$G$18,MATCH(E930,'04_MAQUINAS'!$A$2:$A$18,0))*INDEX('04_MAQUINAS'!$H$2:$H$18,MATCH(E930,'04_MAQUINAS'!$A$2:$A$18,0))</f>
        <v>37.3725</v>
      </c>
      <c r="N930" s="2" t="s">
        <v>629</v>
      </c>
    </row>
    <row r="931" customFormat="false" ht="15" hidden="false" customHeight="false" outlineLevel="0" collapsed="false">
      <c r="A931" s="2" t="s">
        <v>602</v>
      </c>
      <c r="B931" s="2" t="s">
        <v>108</v>
      </c>
      <c r="C931" s="4" t="n">
        <v>4</v>
      </c>
      <c r="D931" s="2" t="s">
        <v>443</v>
      </c>
      <c r="E931" s="2" t="s">
        <v>395</v>
      </c>
      <c r="F931" s="5" t="n">
        <f aca="false">INDEX('08_PEDIDOS'!$D$2:$D$97,MATCH(A931,'08_PEDIDOS'!$A$2:$A$97,0))</f>
        <v>6</v>
      </c>
      <c r="G931" s="5" t="n">
        <f aca="false">INDEX('08_PEDIDOS'!$H$2:$H$97,MATCH(A931,'08_PEDIDOS'!$A$2:$A$97,0))</f>
        <v>10</v>
      </c>
      <c r="H931" s="17" t="n">
        <f aca="false">SUMIFS('05_RUTAS'!$F$2:$F$407,'05_RUTAS'!$A$2:$A$407,B931,'05_RUTAS'!$C$2:$C$407,C931)</f>
        <v>3</v>
      </c>
      <c r="I931" s="18" t="n">
        <f aca="false">SUMIFS('05_RUTAS'!$G$2:$G$407,'05_RUTAS'!$A$2:$A$407,B931,'05_RUTAS'!$C$2:$C$407,C931)</f>
        <v>25.5</v>
      </c>
      <c r="J931" s="18" t="n">
        <f aca="false">(ROUNDUP(F931/G931,0)*H931+F931*I931)/60</f>
        <v>2.6</v>
      </c>
      <c r="K931" s="5" t="n">
        <f aca="false">MONTH(INDEX('08_PEDIDOS'!$F$2:$F$97,MATCH(A931,'08_PEDIDOS'!$A$2:$A$97,0)))</f>
        <v>10</v>
      </c>
      <c r="L931" s="16" t="n">
        <f aca="false">J931*N(INDEX('04_MAQUINAS'!$F$2:$F$18,MATCH(E931,'04_MAQUINAS'!$A$2:$A$18,0)))</f>
        <v>54.6</v>
      </c>
      <c r="M931" s="17" t="n">
        <f aca="false">J931*INDEX('04_MAQUINAS'!$G$2:$G$18,MATCH(E931,'04_MAQUINAS'!$A$2:$A$18,0))*INDEX('04_MAQUINAS'!$H$2:$H$18,MATCH(E931,'04_MAQUINAS'!$A$2:$A$18,0))</f>
        <v>1.95</v>
      </c>
      <c r="N931" s="2" t="s">
        <v>629</v>
      </c>
    </row>
    <row r="932" customFormat="false" ht="15" hidden="false" customHeight="false" outlineLevel="0" collapsed="false">
      <c r="A932" s="2" t="s">
        <v>602</v>
      </c>
      <c r="B932" s="2" t="s">
        <v>108</v>
      </c>
      <c r="C932" s="4" t="n">
        <v>5</v>
      </c>
      <c r="D932" s="2" t="s">
        <v>444</v>
      </c>
      <c r="E932" s="2" t="s">
        <v>399</v>
      </c>
      <c r="F932" s="5" t="n">
        <f aca="false">INDEX('08_PEDIDOS'!$D$2:$D$97,MATCH(A932,'08_PEDIDOS'!$A$2:$A$97,0))</f>
        <v>6</v>
      </c>
      <c r="G932" s="5" t="n">
        <f aca="false">INDEX('08_PEDIDOS'!$H$2:$H$97,MATCH(A932,'08_PEDIDOS'!$A$2:$A$97,0))</f>
        <v>10</v>
      </c>
      <c r="H932" s="17" t="n">
        <f aca="false">SUMIFS('05_RUTAS'!$F$2:$F$407,'05_RUTAS'!$A$2:$A$407,B932,'05_RUTAS'!$C$2:$C$407,C932)</f>
        <v>6</v>
      </c>
      <c r="I932" s="18" t="n">
        <f aca="false">SUMIFS('05_RUTAS'!$G$2:$G$407,'05_RUTAS'!$A$2:$A$407,B932,'05_RUTAS'!$C$2:$C$407,C932)</f>
        <v>37.528</v>
      </c>
      <c r="J932" s="18" t="n">
        <f aca="false">(ROUNDUP(F932/G932,0)*H932+F932*I932)/60</f>
        <v>3.8528</v>
      </c>
      <c r="K932" s="5" t="n">
        <f aca="false">MONTH(INDEX('08_PEDIDOS'!$F$2:$F$97,MATCH(A932,'08_PEDIDOS'!$A$2:$A$97,0)))</f>
        <v>10</v>
      </c>
      <c r="L932" s="16" t="n">
        <f aca="false">J932*N(INDEX('04_MAQUINAS'!$F$2:$F$18,MATCH(E932,'04_MAQUINAS'!$A$2:$A$18,0)))</f>
        <v>73.2032</v>
      </c>
      <c r="M932" s="17" t="n">
        <f aca="false">J932*INDEX('04_MAQUINAS'!$G$2:$G$18,MATCH(E932,'04_MAQUINAS'!$A$2:$A$18,0))*INDEX('04_MAQUINAS'!$H$2:$H$18,MATCH(E932,'04_MAQUINAS'!$A$2:$A$18,0))</f>
        <v>3.390464</v>
      </c>
      <c r="N932" s="2" t="s">
        <v>629</v>
      </c>
    </row>
    <row r="933" customFormat="false" ht="15" hidden="false" customHeight="false" outlineLevel="0" collapsed="false">
      <c r="A933" s="2" t="s">
        <v>602</v>
      </c>
      <c r="B933" s="2" t="s">
        <v>108</v>
      </c>
      <c r="C933" s="4" t="n">
        <v>6</v>
      </c>
      <c r="D933" s="2" t="s">
        <v>445</v>
      </c>
      <c r="E933" s="2" t="s">
        <v>402</v>
      </c>
      <c r="F933" s="5" t="n">
        <f aca="false">INDEX('08_PEDIDOS'!$D$2:$D$97,MATCH(A933,'08_PEDIDOS'!$A$2:$A$97,0))</f>
        <v>6</v>
      </c>
      <c r="G933" s="5" t="n">
        <f aca="false">INDEX('08_PEDIDOS'!$H$2:$H$97,MATCH(A933,'08_PEDIDOS'!$A$2:$A$97,0))</f>
        <v>10</v>
      </c>
      <c r="H933" s="17" t="n">
        <f aca="false">SUMIFS('05_RUTAS'!$F$2:$F$407,'05_RUTAS'!$A$2:$A$407,B933,'05_RUTAS'!$C$2:$C$407,C933)</f>
        <v>12</v>
      </c>
      <c r="I933" s="18" t="n">
        <f aca="false">SUMIFS('05_RUTAS'!$G$2:$G$407,'05_RUTAS'!$A$2:$A$407,B933,'05_RUTAS'!$C$2:$C$407,C933)</f>
        <v>6.83</v>
      </c>
      <c r="J933" s="18" t="n">
        <f aca="false">(ROUNDUP(F933/G933,0)*H933+F933*I933)/60</f>
        <v>0.883</v>
      </c>
      <c r="K933" s="5" t="n">
        <f aca="false">MONTH(INDEX('08_PEDIDOS'!$F$2:$F$97,MATCH(A933,'08_PEDIDOS'!$A$2:$A$97,0)))</f>
        <v>10</v>
      </c>
      <c r="L933" s="16" t="n">
        <f aca="false">J933*N(INDEX('04_MAQUINAS'!$F$2:$F$18,MATCH(E933,'04_MAQUINAS'!$A$2:$A$18,0)))</f>
        <v>28.256</v>
      </c>
      <c r="M933" s="17" t="n">
        <f aca="false">J933*INDEX('04_MAQUINAS'!$G$2:$G$18,MATCH(E933,'04_MAQUINAS'!$A$2:$A$18,0))*INDEX('04_MAQUINAS'!$H$2:$H$18,MATCH(E933,'04_MAQUINAS'!$A$2:$A$18,0))</f>
        <v>0.92715</v>
      </c>
      <c r="N933" s="2" t="s">
        <v>629</v>
      </c>
    </row>
    <row r="934" customFormat="false" ht="15" hidden="false" customHeight="false" outlineLevel="0" collapsed="false">
      <c r="A934" s="2" t="s">
        <v>602</v>
      </c>
      <c r="B934" s="2" t="s">
        <v>108</v>
      </c>
      <c r="C934" s="4" t="n">
        <v>7</v>
      </c>
      <c r="D934" s="2" t="s">
        <v>447</v>
      </c>
      <c r="E934" s="2" t="s">
        <v>421</v>
      </c>
      <c r="F934" s="5" t="n">
        <f aca="false">INDEX('08_PEDIDOS'!$D$2:$D$97,MATCH(A934,'08_PEDIDOS'!$A$2:$A$97,0))</f>
        <v>6</v>
      </c>
      <c r="G934" s="5" t="n">
        <f aca="false">INDEX('08_PEDIDOS'!$H$2:$H$97,MATCH(A934,'08_PEDIDOS'!$A$2:$A$97,0))</f>
        <v>10</v>
      </c>
      <c r="H934" s="17" t="n">
        <f aca="false">SUMIFS('05_RUTAS'!$F$2:$F$407,'05_RUTAS'!$A$2:$A$407,B934,'05_RUTAS'!$C$2:$C$407,C934)</f>
        <v>45</v>
      </c>
      <c r="I934" s="18" t="n">
        <f aca="false">SUMIFS('05_RUTAS'!$G$2:$G$407,'05_RUTAS'!$A$2:$A$407,B934,'05_RUTAS'!$C$2:$C$407,C934)</f>
        <v>0</v>
      </c>
      <c r="J934" s="18" t="n">
        <f aca="false">(ROUNDUP(F934/G934,0)*H934+F934*I934)/60</f>
        <v>0.75</v>
      </c>
      <c r="K934" s="5" t="n">
        <f aca="false">MONTH(INDEX('08_PEDIDOS'!$F$2:$F$97,MATCH(A934,'08_PEDIDOS'!$A$2:$A$97,0)))</f>
        <v>10</v>
      </c>
      <c r="L934" s="16" t="n">
        <f aca="false">J934*N(INDEX('04_MAQUINAS'!$F$2:$F$18,MATCH(E934,'04_MAQUINAS'!$A$2:$A$18,0)))</f>
        <v>19.5</v>
      </c>
      <c r="M934" s="17" t="n">
        <f aca="false">J934*INDEX('04_MAQUINAS'!$G$2:$G$18,MATCH(E934,'04_MAQUINAS'!$A$2:$A$18,0))*INDEX('04_MAQUINAS'!$H$2:$H$18,MATCH(E934,'04_MAQUINAS'!$A$2:$A$18,0))</f>
        <v>10.8</v>
      </c>
      <c r="N934" s="2" t="s">
        <v>629</v>
      </c>
    </row>
    <row r="935" customFormat="false" ht="15" hidden="false" customHeight="false" outlineLevel="0" collapsed="false">
      <c r="A935" s="2" t="s">
        <v>602</v>
      </c>
      <c r="B935" s="2" t="s">
        <v>108</v>
      </c>
      <c r="C935" s="4" t="n">
        <v>8</v>
      </c>
      <c r="D935" s="2" t="s">
        <v>449</v>
      </c>
      <c r="E935" s="2" t="s">
        <v>423</v>
      </c>
      <c r="F935" s="5" t="n">
        <f aca="false">INDEX('08_PEDIDOS'!$D$2:$D$97,MATCH(A935,'08_PEDIDOS'!$A$2:$A$97,0))</f>
        <v>6</v>
      </c>
      <c r="G935" s="5" t="n">
        <f aca="false">INDEX('08_PEDIDOS'!$H$2:$H$97,MATCH(A935,'08_PEDIDOS'!$A$2:$A$97,0))</f>
        <v>10</v>
      </c>
      <c r="H935" s="17" t="n">
        <f aca="false">SUMIFS('05_RUTAS'!$F$2:$F$407,'05_RUTAS'!$A$2:$A$407,B935,'05_RUTAS'!$C$2:$C$407,C935)</f>
        <v>8</v>
      </c>
      <c r="I935" s="18" t="n">
        <f aca="false">SUMIFS('05_RUTAS'!$G$2:$G$407,'05_RUTAS'!$A$2:$A$407,B935,'05_RUTAS'!$C$2:$C$407,C935)</f>
        <v>2.42</v>
      </c>
      <c r="J935" s="18" t="n">
        <f aca="false">(ROUNDUP(F935/G935,0)*H935+F935*I935)/60</f>
        <v>0.375333333333333</v>
      </c>
      <c r="K935" s="5" t="n">
        <f aca="false">MONTH(INDEX('08_PEDIDOS'!$F$2:$F$97,MATCH(A935,'08_PEDIDOS'!$A$2:$A$97,0)))</f>
        <v>10</v>
      </c>
      <c r="L935" s="16" t="n">
        <f aca="false">J935*N(INDEX('04_MAQUINAS'!$F$2:$F$18,MATCH(E935,'04_MAQUINAS'!$A$2:$A$18,0)))</f>
        <v>6.00533333333333</v>
      </c>
      <c r="M935" s="17" t="n">
        <f aca="false">J935*INDEX('04_MAQUINAS'!$G$2:$G$18,MATCH(E935,'04_MAQUINAS'!$A$2:$A$18,0))*INDEX('04_MAQUINAS'!$H$2:$H$18,MATCH(E935,'04_MAQUINAS'!$A$2:$A$18,0))</f>
        <v>0.0938333333333333</v>
      </c>
      <c r="N935" s="2" t="s">
        <v>629</v>
      </c>
    </row>
    <row r="936" customFormat="false" ht="15" hidden="false" customHeight="false" outlineLevel="0" collapsed="false">
      <c r="A936" s="2" t="s">
        <v>602</v>
      </c>
      <c r="B936" s="2" t="s">
        <v>108</v>
      </c>
      <c r="C936" s="4" t="n">
        <v>9</v>
      </c>
      <c r="D936" s="2" t="s">
        <v>450</v>
      </c>
      <c r="E936" s="2" t="s">
        <v>406</v>
      </c>
      <c r="F936" s="5" t="n">
        <f aca="false">INDEX('08_PEDIDOS'!$D$2:$D$97,MATCH(A936,'08_PEDIDOS'!$A$2:$A$97,0))</f>
        <v>6</v>
      </c>
      <c r="G936" s="5" t="n">
        <f aca="false">INDEX('08_PEDIDOS'!$H$2:$H$97,MATCH(A936,'08_PEDIDOS'!$A$2:$A$97,0))</f>
        <v>10</v>
      </c>
      <c r="H936" s="17" t="n">
        <f aca="false">SUMIFS('05_RUTAS'!$F$2:$F$407,'05_RUTAS'!$A$2:$A$407,B936,'05_RUTAS'!$C$2:$C$407,C936)</f>
        <v>6</v>
      </c>
      <c r="I936" s="18" t="n">
        <f aca="false">SUMIFS('05_RUTAS'!$G$2:$G$407,'05_RUTAS'!$A$2:$A$407,B936,'05_RUTAS'!$C$2:$C$407,C936)</f>
        <v>56.25</v>
      </c>
      <c r="J936" s="18" t="n">
        <f aca="false">(ROUNDUP(F936/G936,0)*H936+F936*I936)/60</f>
        <v>5.725</v>
      </c>
      <c r="K936" s="5" t="n">
        <f aca="false">MONTH(INDEX('08_PEDIDOS'!$F$2:$F$97,MATCH(A936,'08_PEDIDOS'!$A$2:$A$97,0)))</f>
        <v>10</v>
      </c>
      <c r="L936" s="16" t="n">
        <f aca="false">J936*N(INDEX('04_MAQUINAS'!$F$2:$F$18,MATCH(E936,'04_MAQUINAS'!$A$2:$A$18,0)))</f>
        <v>108.775</v>
      </c>
      <c r="M936" s="17" t="n">
        <f aca="false">J936*INDEX('04_MAQUINAS'!$G$2:$G$18,MATCH(E936,'04_MAQUINAS'!$A$2:$A$18,0))*INDEX('04_MAQUINAS'!$H$2:$H$18,MATCH(E936,'04_MAQUINAS'!$A$2:$A$18,0))</f>
        <v>1.7175</v>
      </c>
      <c r="N936" s="2" t="s">
        <v>629</v>
      </c>
    </row>
    <row r="937" customFormat="false" ht="15" hidden="false" customHeight="false" outlineLevel="0" collapsed="false">
      <c r="A937" s="2" t="s">
        <v>602</v>
      </c>
      <c r="B937" s="2" t="s">
        <v>108</v>
      </c>
      <c r="C937" s="4" t="n">
        <v>10</v>
      </c>
      <c r="D937" s="2" t="s">
        <v>451</v>
      </c>
      <c r="E937" s="2" t="s">
        <v>408</v>
      </c>
      <c r="F937" s="5" t="n">
        <f aca="false">INDEX('08_PEDIDOS'!$D$2:$D$97,MATCH(A937,'08_PEDIDOS'!$A$2:$A$97,0))</f>
        <v>6</v>
      </c>
      <c r="G937" s="5" t="n">
        <f aca="false">INDEX('08_PEDIDOS'!$H$2:$H$97,MATCH(A937,'08_PEDIDOS'!$A$2:$A$97,0))</f>
        <v>10</v>
      </c>
      <c r="H937" s="17" t="n">
        <f aca="false">SUMIFS('05_RUTAS'!$F$2:$F$407,'05_RUTAS'!$A$2:$A$407,B937,'05_RUTAS'!$C$2:$C$407,C937)</f>
        <v>2</v>
      </c>
      <c r="I937" s="18" t="n">
        <f aca="false">SUMIFS('05_RUTAS'!$G$2:$G$407,'05_RUTAS'!$A$2:$A$407,B937,'05_RUTAS'!$C$2:$C$407,C937)</f>
        <v>3.52</v>
      </c>
      <c r="J937" s="18" t="n">
        <f aca="false">(ROUNDUP(F937/G937,0)*H937+F937*I937)/60</f>
        <v>0.385333333333333</v>
      </c>
      <c r="K937" s="5" t="n">
        <f aca="false">MONTH(INDEX('08_PEDIDOS'!$F$2:$F$97,MATCH(A937,'08_PEDIDOS'!$A$2:$A$97,0)))</f>
        <v>10</v>
      </c>
      <c r="L937" s="16" t="n">
        <f aca="false">J937*N(INDEX('04_MAQUINAS'!$F$2:$F$18,MATCH(E937,'04_MAQUINAS'!$A$2:$A$18,0)))</f>
        <v>7.70666666666667</v>
      </c>
      <c r="M937" s="17" t="n">
        <f aca="false">J937*INDEX('04_MAQUINAS'!$G$2:$G$18,MATCH(E937,'04_MAQUINAS'!$A$2:$A$18,0))*INDEX('04_MAQUINAS'!$H$2:$H$18,MATCH(E937,'04_MAQUINAS'!$A$2:$A$18,0))</f>
        <v>0.0385333333333333</v>
      </c>
      <c r="N937" s="2" t="s">
        <v>629</v>
      </c>
    </row>
    <row r="938" customFormat="false" ht="15" hidden="false" customHeight="false" outlineLevel="0" collapsed="false">
      <c r="A938" s="2" t="s">
        <v>602</v>
      </c>
      <c r="B938" s="2" t="s">
        <v>108</v>
      </c>
      <c r="C938" s="4" t="n">
        <v>11</v>
      </c>
      <c r="D938" s="2" t="s">
        <v>452</v>
      </c>
      <c r="E938" s="2" t="s">
        <v>411</v>
      </c>
      <c r="F938" s="5" t="n">
        <f aca="false">INDEX('08_PEDIDOS'!$D$2:$D$97,MATCH(A938,'08_PEDIDOS'!$A$2:$A$97,0))</f>
        <v>6</v>
      </c>
      <c r="G938" s="5" t="n">
        <f aca="false">INDEX('08_PEDIDOS'!$H$2:$H$97,MATCH(A938,'08_PEDIDOS'!$A$2:$A$97,0))</f>
        <v>10</v>
      </c>
      <c r="H938" s="17" t="n">
        <f aca="false">SUMIFS('05_RUTAS'!$F$2:$F$407,'05_RUTAS'!$A$2:$A$407,B938,'05_RUTAS'!$C$2:$C$407,C938)</f>
        <v>2</v>
      </c>
      <c r="I938" s="18" t="n">
        <f aca="false">SUMIFS('05_RUTAS'!$G$2:$G$407,'05_RUTAS'!$A$2:$A$407,B938,'05_RUTAS'!$C$2:$C$407,C938)</f>
        <v>4.78</v>
      </c>
      <c r="J938" s="18" t="n">
        <f aca="false">(ROUNDUP(F938/G938,0)*H938+F938*I938)/60</f>
        <v>0.511333333333333</v>
      </c>
      <c r="K938" s="5" t="n">
        <f aca="false">MONTH(INDEX('08_PEDIDOS'!$F$2:$F$97,MATCH(A938,'08_PEDIDOS'!$A$2:$A$97,0)))</f>
        <v>10</v>
      </c>
      <c r="L938" s="16" t="n">
        <f aca="false">J938*N(INDEX('04_MAQUINAS'!$F$2:$F$18,MATCH(E938,'04_MAQUINAS'!$A$2:$A$18,0)))</f>
        <v>9.204</v>
      </c>
      <c r="M938" s="17" t="n">
        <f aca="false">J938*INDEX('04_MAQUINAS'!$G$2:$G$18,MATCH(E938,'04_MAQUINAS'!$A$2:$A$18,0))*INDEX('04_MAQUINAS'!$H$2:$H$18,MATCH(E938,'04_MAQUINAS'!$A$2:$A$18,0))</f>
        <v>0.04602</v>
      </c>
      <c r="N938" s="2" t="s">
        <v>629</v>
      </c>
    </row>
    <row r="939" customFormat="false" ht="15" hidden="false" customHeight="false" outlineLevel="0" collapsed="false">
      <c r="A939" s="2" t="s">
        <v>603</v>
      </c>
      <c r="B939" s="2" t="s">
        <v>119</v>
      </c>
      <c r="C939" s="4" t="n">
        <v>1</v>
      </c>
      <c r="D939" s="2" t="s">
        <v>437</v>
      </c>
      <c r="E939" s="2" t="s">
        <v>375</v>
      </c>
      <c r="F939" s="5" t="n">
        <f aca="false">INDEX('08_PEDIDOS'!$D$2:$D$97,MATCH(A939,'08_PEDIDOS'!$A$2:$A$97,0))</f>
        <v>10</v>
      </c>
      <c r="G939" s="5" t="n">
        <f aca="false">INDEX('08_PEDIDOS'!$H$2:$H$97,MATCH(A939,'08_PEDIDOS'!$A$2:$A$97,0))</f>
        <v>10</v>
      </c>
      <c r="H939" s="17" t="n">
        <f aca="false">SUMIFS('05_RUTAS'!$F$2:$F$407,'05_RUTAS'!$A$2:$A$407,B939,'05_RUTAS'!$C$2:$C$407,C939)</f>
        <v>8</v>
      </c>
      <c r="I939" s="18" t="n">
        <f aca="false">SUMIFS('05_RUTAS'!$G$2:$G$407,'05_RUTAS'!$A$2:$A$407,B939,'05_RUTAS'!$C$2:$C$407,C939)</f>
        <v>35.56</v>
      </c>
      <c r="J939" s="18" t="n">
        <f aca="false">(ROUNDUP(F939/G939,0)*H939+F939*I939)/60</f>
        <v>6.06</v>
      </c>
      <c r="K939" s="5" t="n">
        <f aca="false">MONTH(INDEX('08_PEDIDOS'!$F$2:$F$97,MATCH(A939,'08_PEDIDOS'!$A$2:$A$97,0)))</f>
        <v>10</v>
      </c>
      <c r="L939" s="16" t="n">
        <f aca="false">J939*N(INDEX('04_MAQUINAS'!$F$2:$F$18,MATCH(E939,'04_MAQUINAS'!$A$2:$A$18,0)))</f>
        <v>145.44</v>
      </c>
      <c r="M939" s="17" t="n">
        <f aca="false">J939*INDEX('04_MAQUINAS'!$G$2:$G$18,MATCH(E939,'04_MAQUINAS'!$A$2:$A$18,0))*INDEX('04_MAQUINAS'!$H$2:$H$18,MATCH(E939,'04_MAQUINAS'!$A$2:$A$18,0))</f>
        <v>16.665</v>
      </c>
      <c r="N939" s="2" t="s">
        <v>629</v>
      </c>
    </row>
    <row r="940" customFormat="false" ht="15" hidden="false" customHeight="false" outlineLevel="0" collapsed="false">
      <c r="A940" s="2" t="s">
        <v>603</v>
      </c>
      <c r="B940" s="2" t="s">
        <v>119</v>
      </c>
      <c r="C940" s="4" t="n">
        <v>2</v>
      </c>
      <c r="D940" s="2" t="s">
        <v>386</v>
      </c>
      <c r="E940" s="2" t="s">
        <v>383</v>
      </c>
      <c r="F940" s="5" t="n">
        <f aca="false">INDEX('08_PEDIDOS'!$D$2:$D$97,MATCH(A940,'08_PEDIDOS'!$A$2:$A$97,0))</f>
        <v>10</v>
      </c>
      <c r="G940" s="5" t="n">
        <f aca="false">INDEX('08_PEDIDOS'!$H$2:$H$97,MATCH(A940,'08_PEDIDOS'!$A$2:$A$97,0))</f>
        <v>10</v>
      </c>
      <c r="H940" s="17" t="n">
        <f aca="false">SUMIFS('05_RUTAS'!$F$2:$F$407,'05_RUTAS'!$A$2:$A$407,B940,'05_RUTAS'!$C$2:$C$407,C940)</f>
        <v>10</v>
      </c>
      <c r="I940" s="18" t="n">
        <f aca="false">SUMIFS('05_RUTAS'!$G$2:$G$407,'05_RUTAS'!$A$2:$A$407,B940,'05_RUTAS'!$C$2:$C$407,C940)</f>
        <v>5.8</v>
      </c>
      <c r="J940" s="18" t="n">
        <f aca="false">(ROUNDUP(F940/G940,0)*H940+F940*I940)/60</f>
        <v>1.13333333333333</v>
      </c>
      <c r="K940" s="5" t="n">
        <f aca="false">MONTH(INDEX('08_PEDIDOS'!$F$2:$F$97,MATCH(A940,'08_PEDIDOS'!$A$2:$A$97,0)))</f>
        <v>10</v>
      </c>
      <c r="L940" s="16" t="n">
        <f aca="false">J940*N(INDEX('04_MAQUINAS'!$F$2:$F$18,MATCH(E940,'04_MAQUINAS'!$A$2:$A$18,0)))</f>
        <v>24.9333333333333</v>
      </c>
      <c r="M940" s="17" t="n">
        <f aca="false">J940*INDEX('04_MAQUINAS'!$G$2:$G$18,MATCH(E940,'04_MAQUINAS'!$A$2:$A$18,0))*INDEX('04_MAQUINAS'!$H$2:$H$18,MATCH(E940,'04_MAQUINAS'!$A$2:$A$18,0))</f>
        <v>0.311666666666667</v>
      </c>
      <c r="N940" s="2" t="s">
        <v>629</v>
      </c>
    </row>
    <row r="941" customFormat="false" ht="15" hidden="false" customHeight="false" outlineLevel="0" collapsed="false">
      <c r="A941" s="2" t="s">
        <v>603</v>
      </c>
      <c r="B941" s="2" t="s">
        <v>119</v>
      </c>
      <c r="C941" s="4" t="n">
        <v>3</v>
      </c>
      <c r="D941" s="2" t="s">
        <v>390</v>
      </c>
      <c r="E941" s="2" t="s">
        <v>387</v>
      </c>
      <c r="F941" s="5" t="n">
        <f aca="false">INDEX('08_PEDIDOS'!$D$2:$D$97,MATCH(A941,'08_PEDIDOS'!$A$2:$A$97,0))</f>
        <v>10</v>
      </c>
      <c r="G941" s="5" t="n">
        <f aca="false">INDEX('08_PEDIDOS'!$H$2:$H$97,MATCH(A941,'08_PEDIDOS'!$A$2:$A$97,0))</f>
        <v>10</v>
      </c>
      <c r="H941" s="17" t="n">
        <f aca="false">SUMIFS('05_RUTAS'!$F$2:$F$407,'05_RUTAS'!$A$2:$A$407,B941,'05_RUTAS'!$C$2:$C$407,C941)</f>
        <v>12</v>
      </c>
      <c r="I941" s="18" t="n">
        <f aca="false">SUMIFS('05_RUTAS'!$G$2:$G$407,'05_RUTAS'!$A$2:$A$407,B941,'05_RUTAS'!$C$2:$C$407,C941)</f>
        <v>86</v>
      </c>
      <c r="J941" s="18" t="n">
        <f aca="false">(ROUNDUP(F941/G941,0)*H941+F941*I941)/60</f>
        <v>14.5333333333333</v>
      </c>
      <c r="K941" s="5" t="n">
        <f aca="false">MONTH(INDEX('08_PEDIDOS'!$F$2:$F$97,MATCH(A941,'08_PEDIDOS'!$A$2:$A$97,0)))</f>
        <v>10</v>
      </c>
      <c r="L941" s="16" t="n">
        <f aca="false">J941*N(INDEX('04_MAQUINAS'!$F$2:$F$18,MATCH(E941,'04_MAQUINAS'!$A$2:$A$18,0)))</f>
        <v>406.933333333333</v>
      </c>
      <c r="M941" s="17" t="n">
        <f aca="false">J941*INDEX('04_MAQUINAS'!$G$2:$G$18,MATCH(E941,'04_MAQUINAS'!$A$2:$A$18,0))*INDEX('04_MAQUINAS'!$H$2:$H$18,MATCH(E941,'04_MAQUINAS'!$A$2:$A$18,0))</f>
        <v>35.97</v>
      </c>
      <c r="N941" s="2" t="s">
        <v>629</v>
      </c>
    </row>
    <row r="942" customFormat="false" ht="15" hidden="false" customHeight="false" outlineLevel="0" collapsed="false">
      <c r="A942" s="2" t="s">
        <v>603</v>
      </c>
      <c r="B942" s="2" t="s">
        <v>119</v>
      </c>
      <c r="C942" s="4" t="n">
        <v>4</v>
      </c>
      <c r="D942" s="2" t="s">
        <v>443</v>
      </c>
      <c r="E942" s="2" t="s">
        <v>395</v>
      </c>
      <c r="F942" s="5" t="n">
        <f aca="false">INDEX('08_PEDIDOS'!$D$2:$D$97,MATCH(A942,'08_PEDIDOS'!$A$2:$A$97,0))</f>
        <v>10</v>
      </c>
      <c r="G942" s="5" t="n">
        <f aca="false">INDEX('08_PEDIDOS'!$H$2:$H$97,MATCH(A942,'08_PEDIDOS'!$A$2:$A$97,0))</f>
        <v>10</v>
      </c>
      <c r="H942" s="17" t="n">
        <f aca="false">SUMIFS('05_RUTAS'!$F$2:$F$407,'05_RUTAS'!$A$2:$A$407,B942,'05_RUTAS'!$C$2:$C$407,C942)</f>
        <v>3</v>
      </c>
      <c r="I942" s="18" t="n">
        <f aca="false">SUMIFS('05_RUTAS'!$G$2:$G$407,'05_RUTAS'!$A$2:$A$407,B942,'05_RUTAS'!$C$2:$C$407,C942)</f>
        <v>15</v>
      </c>
      <c r="J942" s="18" t="n">
        <f aca="false">(ROUNDUP(F942/G942,0)*H942+F942*I942)/60</f>
        <v>2.55</v>
      </c>
      <c r="K942" s="5" t="n">
        <f aca="false">MONTH(INDEX('08_PEDIDOS'!$F$2:$F$97,MATCH(A942,'08_PEDIDOS'!$A$2:$A$97,0)))</f>
        <v>10</v>
      </c>
      <c r="L942" s="16" t="n">
        <f aca="false">J942*N(INDEX('04_MAQUINAS'!$F$2:$F$18,MATCH(E942,'04_MAQUINAS'!$A$2:$A$18,0)))</f>
        <v>53.55</v>
      </c>
      <c r="M942" s="17" t="n">
        <f aca="false">J942*INDEX('04_MAQUINAS'!$G$2:$G$18,MATCH(E942,'04_MAQUINAS'!$A$2:$A$18,0))*INDEX('04_MAQUINAS'!$H$2:$H$18,MATCH(E942,'04_MAQUINAS'!$A$2:$A$18,0))</f>
        <v>1.9125</v>
      </c>
      <c r="N942" s="2" t="s">
        <v>629</v>
      </c>
    </row>
    <row r="943" customFormat="false" ht="15" hidden="false" customHeight="false" outlineLevel="0" collapsed="false">
      <c r="A943" s="2" t="s">
        <v>603</v>
      </c>
      <c r="B943" s="2" t="s">
        <v>119</v>
      </c>
      <c r="C943" s="4" t="n">
        <v>5</v>
      </c>
      <c r="D943" s="2" t="s">
        <v>444</v>
      </c>
      <c r="E943" s="2" t="s">
        <v>399</v>
      </c>
      <c r="F943" s="5" t="n">
        <f aca="false">INDEX('08_PEDIDOS'!$D$2:$D$97,MATCH(A943,'08_PEDIDOS'!$A$2:$A$97,0))</f>
        <v>10</v>
      </c>
      <c r="G943" s="5" t="n">
        <f aca="false">INDEX('08_PEDIDOS'!$H$2:$H$97,MATCH(A943,'08_PEDIDOS'!$A$2:$A$97,0))</f>
        <v>10</v>
      </c>
      <c r="H943" s="17" t="n">
        <f aca="false">SUMIFS('05_RUTAS'!$F$2:$F$407,'05_RUTAS'!$A$2:$A$407,B943,'05_RUTAS'!$C$2:$C$407,C943)</f>
        <v>6</v>
      </c>
      <c r="I943" s="18" t="n">
        <f aca="false">SUMIFS('05_RUTAS'!$G$2:$G$407,'05_RUTAS'!$A$2:$A$407,B943,'05_RUTAS'!$C$2:$C$407,C943)</f>
        <v>25.712</v>
      </c>
      <c r="J943" s="18" t="n">
        <f aca="false">(ROUNDUP(F943/G943,0)*H943+F943*I943)/60</f>
        <v>4.38533333333333</v>
      </c>
      <c r="K943" s="5" t="n">
        <f aca="false">MONTH(INDEX('08_PEDIDOS'!$F$2:$F$97,MATCH(A943,'08_PEDIDOS'!$A$2:$A$97,0)))</f>
        <v>10</v>
      </c>
      <c r="L943" s="16" t="n">
        <f aca="false">J943*N(INDEX('04_MAQUINAS'!$F$2:$F$18,MATCH(E943,'04_MAQUINAS'!$A$2:$A$18,0)))</f>
        <v>83.3213333333333</v>
      </c>
      <c r="M943" s="17" t="n">
        <f aca="false">J943*INDEX('04_MAQUINAS'!$G$2:$G$18,MATCH(E943,'04_MAQUINAS'!$A$2:$A$18,0))*INDEX('04_MAQUINAS'!$H$2:$H$18,MATCH(E943,'04_MAQUINAS'!$A$2:$A$18,0))</f>
        <v>3.85909333333333</v>
      </c>
      <c r="N943" s="2" t="s">
        <v>629</v>
      </c>
    </row>
    <row r="944" customFormat="false" ht="15" hidden="false" customHeight="false" outlineLevel="0" collapsed="false">
      <c r="A944" s="2" t="s">
        <v>603</v>
      </c>
      <c r="B944" s="2" t="s">
        <v>119</v>
      </c>
      <c r="C944" s="4" t="n">
        <v>6</v>
      </c>
      <c r="D944" s="2" t="s">
        <v>445</v>
      </c>
      <c r="E944" s="2" t="s">
        <v>402</v>
      </c>
      <c r="F944" s="5" t="n">
        <f aca="false">INDEX('08_PEDIDOS'!$D$2:$D$97,MATCH(A944,'08_PEDIDOS'!$A$2:$A$97,0))</f>
        <v>10</v>
      </c>
      <c r="G944" s="5" t="n">
        <f aca="false">INDEX('08_PEDIDOS'!$H$2:$H$97,MATCH(A944,'08_PEDIDOS'!$A$2:$A$97,0))</f>
        <v>10</v>
      </c>
      <c r="H944" s="17" t="n">
        <f aca="false">SUMIFS('05_RUTAS'!$F$2:$F$407,'05_RUTAS'!$A$2:$A$407,B944,'05_RUTAS'!$C$2:$C$407,C944)</f>
        <v>12</v>
      </c>
      <c r="I944" s="18" t="n">
        <f aca="false">SUMIFS('05_RUTAS'!$G$2:$G$407,'05_RUTAS'!$A$2:$A$407,B944,'05_RUTAS'!$C$2:$C$407,C944)</f>
        <v>6.58</v>
      </c>
      <c r="J944" s="18" t="n">
        <f aca="false">(ROUNDUP(F944/G944,0)*H944+F944*I944)/60</f>
        <v>1.29666666666667</v>
      </c>
      <c r="K944" s="5" t="n">
        <f aca="false">MONTH(INDEX('08_PEDIDOS'!$F$2:$F$97,MATCH(A944,'08_PEDIDOS'!$A$2:$A$97,0)))</f>
        <v>10</v>
      </c>
      <c r="L944" s="16" t="n">
        <f aca="false">J944*N(INDEX('04_MAQUINAS'!$F$2:$F$18,MATCH(E944,'04_MAQUINAS'!$A$2:$A$18,0)))</f>
        <v>41.4933333333333</v>
      </c>
      <c r="M944" s="17" t="n">
        <f aca="false">J944*INDEX('04_MAQUINAS'!$G$2:$G$18,MATCH(E944,'04_MAQUINAS'!$A$2:$A$18,0))*INDEX('04_MAQUINAS'!$H$2:$H$18,MATCH(E944,'04_MAQUINAS'!$A$2:$A$18,0))</f>
        <v>1.3615</v>
      </c>
      <c r="N944" s="2" t="s">
        <v>629</v>
      </c>
    </row>
    <row r="945" customFormat="false" ht="15" hidden="false" customHeight="false" outlineLevel="0" collapsed="false">
      <c r="A945" s="2" t="s">
        <v>603</v>
      </c>
      <c r="B945" s="2" t="s">
        <v>119</v>
      </c>
      <c r="C945" s="4" t="n">
        <v>7</v>
      </c>
      <c r="D945" s="2" t="s">
        <v>447</v>
      </c>
      <c r="E945" s="2" t="s">
        <v>421</v>
      </c>
      <c r="F945" s="5" t="n">
        <f aca="false">INDEX('08_PEDIDOS'!$D$2:$D$97,MATCH(A945,'08_PEDIDOS'!$A$2:$A$97,0))</f>
        <v>10</v>
      </c>
      <c r="G945" s="5" t="n">
        <f aca="false">INDEX('08_PEDIDOS'!$H$2:$H$97,MATCH(A945,'08_PEDIDOS'!$A$2:$A$97,0))</f>
        <v>10</v>
      </c>
      <c r="H945" s="17" t="n">
        <f aca="false">SUMIFS('05_RUTAS'!$F$2:$F$407,'05_RUTAS'!$A$2:$A$407,B945,'05_RUTAS'!$C$2:$C$407,C945)</f>
        <v>45</v>
      </c>
      <c r="I945" s="18" t="n">
        <f aca="false">SUMIFS('05_RUTAS'!$G$2:$G$407,'05_RUTAS'!$A$2:$A$407,B945,'05_RUTAS'!$C$2:$C$407,C945)</f>
        <v>0</v>
      </c>
      <c r="J945" s="18" t="n">
        <f aca="false">(ROUNDUP(F945/G945,0)*H945+F945*I945)/60</f>
        <v>0.75</v>
      </c>
      <c r="K945" s="5" t="n">
        <f aca="false">MONTH(INDEX('08_PEDIDOS'!$F$2:$F$97,MATCH(A945,'08_PEDIDOS'!$A$2:$A$97,0)))</f>
        <v>10</v>
      </c>
      <c r="L945" s="16" t="n">
        <f aca="false">J945*N(INDEX('04_MAQUINAS'!$F$2:$F$18,MATCH(E945,'04_MAQUINAS'!$A$2:$A$18,0)))</f>
        <v>19.5</v>
      </c>
      <c r="M945" s="17" t="n">
        <f aca="false">J945*INDEX('04_MAQUINAS'!$G$2:$G$18,MATCH(E945,'04_MAQUINAS'!$A$2:$A$18,0))*INDEX('04_MAQUINAS'!$H$2:$H$18,MATCH(E945,'04_MAQUINAS'!$A$2:$A$18,0))</f>
        <v>10.8</v>
      </c>
      <c r="N945" s="2" t="s">
        <v>629</v>
      </c>
    </row>
    <row r="946" customFormat="false" ht="15" hidden="false" customHeight="false" outlineLevel="0" collapsed="false">
      <c r="A946" s="2" t="s">
        <v>603</v>
      </c>
      <c r="B946" s="2" t="s">
        <v>119</v>
      </c>
      <c r="C946" s="4" t="n">
        <v>8</v>
      </c>
      <c r="D946" s="2" t="s">
        <v>449</v>
      </c>
      <c r="E946" s="2" t="s">
        <v>423</v>
      </c>
      <c r="F946" s="5" t="n">
        <f aca="false">INDEX('08_PEDIDOS'!$D$2:$D$97,MATCH(A946,'08_PEDIDOS'!$A$2:$A$97,0))</f>
        <v>10</v>
      </c>
      <c r="G946" s="5" t="n">
        <f aca="false">INDEX('08_PEDIDOS'!$H$2:$H$97,MATCH(A946,'08_PEDIDOS'!$A$2:$A$97,0))</f>
        <v>10</v>
      </c>
      <c r="H946" s="17" t="n">
        <f aca="false">SUMIFS('05_RUTAS'!$F$2:$F$407,'05_RUTAS'!$A$2:$A$407,B946,'05_RUTAS'!$C$2:$C$407,C946)</f>
        <v>8</v>
      </c>
      <c r="I946" s="18" t="n">
        <f aca="false">SUMIFS('05_RUTAS'!$G$2:$G$407,'05_RUTAS'!$A$2:$A$407,B946,'05_RUTAS'!$C$2:$C$407,C946)</f>
        <v>2.36</v>
      </c>
      <c r="J946" s="18" t="n">
        <f aca="false">(ROUNDUP(F946/G946,0)*H946+F946*I946)/60</f>
        <v>0.526666666666667</v>
      </c>
      <c r="K946" s="5" t="n">
        <f aca="false">MONTH(INDEX('08_PEDIDOS'!$F$2:$F$97,MATCH(A946,'08_PEDIDOS'!$A$2:$A$97,0)))</f>
        <v>10</v>
      </c>
      <c r="L946" s="16" t="n">
        <f aca="false">J946*N(INDEX('04_MAQUINAS'!$F$2:$F$18,MATCH(E946,'04_MAQUINAS'!$A$2:$A$18,0)))</f>
        <v>8.42666666666667</v>
      </c>
      <c r="M946" s="17" t="n">
        <f aca="false">J946*INDEX('04_MAQUINAS'!$G$2:$G$18,MATCH(E946,'04_MAQUINAS'!$A$2:$A$18,0))*INDEX('04_MAQUINAS'!$H$2:$H$18,MATCH(E946,'04_MAQUINAS'!$A$2:$A$18,0))</f>
        <v>0.131666666666667</v>
      </c>
      <c r="N946" s="2" t="s">
        <v>629</v>
      </c>
    </row>
    <row r="947" customFormat="false" ht="15" hidden="false" customHeight="false" outlineLevel="0" collapsed="false">
      <c r="A947" s="2" t="s">
        <v>603</v>
      </c>
      <c r="B947" s="2" t="s">
        <v>119</v>
      </c>
      <c r="C947" s="4" t="n">
        <v>9</v>
      </c>
      <c r="D947" s="2" t="s">
        <v>450</v>
      </c>
      <c r="E947" s="2" t="s">
        <v>406</v>
      </c>
      <c r="F947" s="5" t="n">
        <f aca="false">INDEX('08_PEDIDOS'!$D$2:$D$97,MATCH(A947,'08_PEDIDOS'!$A$2:$A$97,0))</f>
        <v>10</v>
      </c>
      <c r="G947" s="5" t="n">
        <f aca="false">INDEX('08_PEDIDOS'!$H$2:$H$97,MATCH(A947,'08_PEDIDOS'!$A$2:$A$97,0))</f>
        <v>10</v>
      </c>
      <c r="H947" s="17" t="n">
        <f aca="false">SUMIFS('05_RUTAS'!$F$2:$F$407,'05_RUTAS'!$A$2:$A$407,B947,'05_RUTAS'!$C$2:$C$407,C947)</f>
        <v>6</v>
      </c>
      <c r="I947" s="18" t="n">
        <f aca="false">SUMIFS('05_RUTAS'!$G$2:$G$407,'05_RUTAS'!$A$2:$A$407,B947,'05_RUTAS'!$C$2:$C$407,C947)</f>
        <v>27</v>
      </c>
      <c r="J947" s="18" t="n">
        <f aca="false">(ROUNDUP(F947/G947,0)*H947+F947*I947)/60</f>
        <v>4.6</v>
      </c>
      <c r="K947" s="5" t="n">
        <f aca="false">MONTH(INDEX('08_PEDIDOS'!$F$2:$F$97,MATCH(A947,'08_PEDIDOS'!$A$2:$A$97,0)))</f>
        <v>10</v>
      </c>
      <c r="L947" s="16" t="n">
        <f aca="false">J947*N(INDEX('04_MAQUINAS'!$F$2:$F$18,MATCH(E947,'04_MAQUINAS'!$A$2:$A$18,0)))</f>
        <v>87.4</v>
      </c>
      <c r="M947" s="17" t="n">
        <f aca="false">J947*INDEX('04_MAQUINAS'!$G$2:$G$18,MATCH(E947,'04_MAQUINAS'!$A$2:$A$18,0))*INDEX('04_MAQUINAS'!$H$2:$H$18,MATCH(E947,'04_MAQUINAS'!$A$2:$A$18,0))</f>
        <v>1.38</v>
      </c>
      <c r="N947" s="2" t="s">
        <v>629</v>
      </c>
    </row>
    <row r="948" customFormat="false" ht="15" hidden="false" customHeight="false" outlineLevel="0" collapsed="false">
      <c r="A948" s="2" t="s">
        <v>603</v>
      </c>
      <c r="B948" s="2" t="s">
        <v>119</v>
      </c>
      <c r="C948" s="4" t="n">
        <v>10</v>
      </c>
      <c r="D948" s="2" t="s">
        <v>451</v>
      </c>
      <c r="E948" s="2" t="s">
        <v>408</v>
      </c>
      <c r="F948" s="5" t="n">
        <f aca="false">INDEX('08_PEDIDOS'!$D$2:$D$97,MATCH(A948,'08_PEDIDOS'!$A$2:$A$97,0))</f>
        <v>10</v>
      </c>
      <c r="G948" s="5" t="n">
        <f aca="false">INDEX('08_PEDIDOS'!$H$2:$H$97,MATCH(A948,'08_PEDIDOS'!$A$2:$A$97,0))</f>
        <v>10</v>
      </c>
      <c r="H948" s="17" t="n">
        <f aca="false">SUMIFS('05_RUTAS'!$F$2:$F$407,'05_RUTAS'!$A$2:$A$407,B948,'05_RUTAS'!$C$2:$C$407,C948)</f>
        <v>2</v>
      </c>
      <c r="I948" s="18" t="n">
        <f aca="false">SUMIFS('05_RUTAS'!$G$2:$G$407,'05_RUTAS'!$A$2:$A$407,B948,'05_RUTAS'!$C$2:$C$407,C948)</f>
        <v>3.45</v>
      </c>
      <c r="J948" s="18" t="n">
        <f aca="false">(ROUNDUP(F948/G948,0)*H948+F948*I948)/60</f>
        <v>0.608333333333333</v>
      </c>
      <c r="K948" s="5" t="n">
        <f aca="false">MONTH(INDEX('08_PEDIDOS'!$F$2:$F$97,MATCH(A948,'08_PEDIDOS'!$A$2:$A$97,0)))</f>
        <v>10</v>
      </c>
      <c r="L948" s="16" t="n">
        <f aca="false">J948*N(INDEX('04_MAQUINAS'!$F$2:$F$18,MATCH(E948,'04_MAQUINAS'!$A$2:$A$18,0)))</f>
        <v>12.1666666666667</v>
      </c>
      <c r="M948" s="17" t="n">
        <f aca="false">J948*INDEX('04_MAQUINAS'!$G$2:$G$18,MATCH(E948,'04_MAQUINAS'!$A$2:$A$18,0))*INDEX('04_MAQUINAS'!$H$2:$H$18,MATCH(E948,'04_MAQUINAS'!$A$2:$A$18,0))</f>
        <v>0.0608333333333333</v>
      </c>
      <c r="N948" s="2" t="s">
        <v>629</v>
      </c>
    </row>
    <row r="949" customFormat="false" ht="15" hidden="false" customHeight="false" outlineLevel="0" collapsed="false">
      <c r="A949" s="2" t="s">
        <v>603</v>
      </c>
      <c r="B949" s="2" t="s">
        <v>119</v>
      </c>
      <c r="C949" s="4" t="n">
        <v>11</v>
      </c>
      <c r="D949" s="2" t="s">
        <v>452</v>
      </c>
      <c r="E949" s="2" t="s">
        <v>411</v>
      </c>
      <c r="F949" s="5" t="n">
        <f aca="false">INDEX('08_PEDIDOS'!$D$2:$D$97,MATCH(A949,'08_PEDIDOS'!$A$2:$A$97,0))</f>
        <v>10</v>
      </c>
      <c r="G949" s="5" t="n">
        <f aca="false">INDEX('08_PEDIDOS'!$H$2:$H$97,MATCH(A949,'08_PEDIDOS'!$A$2:$A$97,0))</f>
        <v>10</v>
      </c>
      <c r="H949" s="17" t="n">
        <f aca="false">SUMIFS('05_RUTAS'!$F$2:$F$407,'05_RUTAS'!$A$2:$A$407,B949,'05_RUTAS'!$C$2:$C$407,C949)</f>
        <v>2</v>
      </c>
      <c r="I949" s="18" t="n">
        <f aca="false">SUMIFS('05_RUTAS'!$G$2:$G$407,'05_RUTAS'!$A$2:$A$407,B949,'05_RUTAS'!$C$2:$C$407,C949)</f>
        <v>4.67</v>
      </c>
      <c r="J949" s="18" t="n">
        <f aca="false">(ROUNDUP(F949/G949,0)*H949+F949*I949)/60</f>
        <v>0.811666666666667</v>
      </c>
      <c r="K949" s="5" t="n">
        <f aca="false">MONTH(INDEX('08_PEDIDOS'!$F$2:$F$97,MATCH(A949,'08_PEDIDOS'!$A$2:$A$97,0)))</f>
        <v>10</v>
      </c>
      <c r="L949" s="16" t="n">
        <f aca="false">J949*N(INDEX('04_MAQUINAS'!$F$2:$F$18,MATCH(E949,'04_MAQUINAS'!$A$2:$A$18,0)))</f>
        <v>14.61</v>
      </c>
      <c r="M949" s="17" t="n">
        <f aca="false">J949*INDEX('04_MAQUINAS'!$G$2:$G$18,MATCH(E949,'04_MAQUINAS'!$A$2:$A$18,0))*INDEX('04_MAQUINAS'!$H$2:$H$18,MATCH(E949,'04_MAQUINAS'!$A$2:$A$18,0))</f>
        <v>0.07305</v>
      </c>
      <c r="N949" s="2" t="s">
        <v>629</v>
      </c>
    </row>
    <row r="950" customFormat="false" ht="15" hidden="false" customHeight="false" outlineLevel="0" collapsed="false">
      <c r="A950" s="2" t="s">
        <v>604</v>
      </c>
      <c r="B950" s="2" t="s">
        <v>121</v>
      </c>
      <c r="C950" s="4" t="n">
        <v>1</v>
      </c>
      <c r="D950" s="2" t="s">
        <v>437</v>
      </c>
      <c r="E950" s="2" t="s">
        <v>375</v>
      </c>
      <c r="F950" s="5" t="n">
        <f aca="false">INDEX('08_PEDIDOS'!$D$2:$D$97,MATCH(A950,'08_PEDIDOS'!$A$2:$A$97,0))</f>
        <v>10</v>
      </c>
      <c r="G950" s="5" t="n">
        <f aca="false">INDEX('08_PEDIDOS'!$H$2:$H$97,MATCH(A950,'08_PEDIDOS'!$A$2:$A$97,0))</f>
        <v>10</v>
      </c>
      <c r="H950" s="17" t="n">
        <f aca="false">SUMIFS('05_RUTAS'!$F$2:$F$407,'05_RUTAS'!$A$2:$A$407,B950,'05_RUTAS'!$C$2:$C$407,C950)</f>
        <v>8</v>
      </c>
      <c r="I950" s="18" t="n">
        <f aca="false">SUMIFS('05_RUTAS'!$G$2:$G$407,'05_RUTAS'!$A$2:$A$407,B950,'05_RUTAS'!$C$2:$C$407,C950)</f>
        <v>35.92</v>
      </c>
      <c r="J950" s="18" t="n">
        <f aca="false">(ROUNDUP(F950/G950,0)*H950+F950*I950)/60</f>
        <v>6.12</v>
      </c>
      <c r="K950" s="5" t="n">
        <f aca="false">MONTH(INDEX('08_PEDIDOS'!$F$2:$F$97,MATCH(A950,'08_PEDIDOS'!$A$2:$A$97,0)))</f>
        <v>10</v>
      </c>
      <c r="L950" s="16" t="n">
        <f aca="false">J950*N(INDEX('04_MAQUINAS'!$F$2:$F$18,MATCH(E950,'04_MAQUINAS'!$A$2:$A$18,0)))</f>
        <v>146.88</v>
      </c>
      <c r="M950" s="17" t="n">
        <f aca="false">J950*INDEX('04_MAQUINAS'!$G$2:$G$18,MATCH(E950,'04_MAQUINAS'!$A$2:$A$18,0))*INDEX('04_MAQUINAS'!$H$2:$H$18,MATCH(E950,'04_MAQUINAS'!$A$2:$A$18,0))</f>
        <v>16.83</v>
      </c>
      <c r="N950" s="2" t="s">
        <v>629</v>
      </c>
    </row>
    <row r="951" customFormat="false" ht="15" hidden="false" customHeight="false" outlineLevel="0" collapsed="false">
      <c r="A951" s="2" t="s">
        <v>604</v>
      </c>
      <c r="B951" s="2" t="s">
        <v>121</v>
      </c>
      <c r="C951" s="4" t="n">
        <v>2</v>
      </c>
      <c r="D951" s="2" t="s">
        <v>441</v>
      </c>
      <c r="E951" s="2" t="s">
        <v>380</v>
      </c>
      <c r="F951" s="5" t="n">
        <f aca="false">INDEX('08_PEDIDOS'!$D$2:$D$97,MATCH(A951,'08_PEDIDOS'!$A$2:$A$97,0))</f>
        <v>10</v>
      </c>
      <c r="G951" s="5" t="n">
        <f aca="false">INDEX('08_PEDIDOS'!$H$2:$H$97,MATCH(A951,'08_PEDIDOS'!$A$2:$A$97,0))</f>
        <v>10</v>
      </c>
      <c r="H951" s="17" t="n">
        <f aca="false">SUMIFS('05_RUTAS'!$F$2:$F$407,'05_RUTAS'!$A$2:$A$407,B951,'05_RUTAS'!$C$2:$C$407,C951)</f>
        <v>8</v>
      </c>
      <c r="I951" s="18" t="n">
        <f aca="false">SUMIFS('05_RUTAS'!$G$2:$G$407,'05_RUTAS'!$A$2:$A$407,B951,'05_RUTAS'!$C$2:$C$407,C951)</f>
        <v>32.28</v>
      </c>
      <c r="J951" s="18" t="n">
        <f aca="false">(ROUNDUP(F951/G951,0)*H951+F951*I951)/60</f>
        <v>5.51333333333333</v>
      </c>
      <c r="K951" s="5" t="n">
        <f aca="false">MONTH(INDEX('08_PEDIDOS'!$F$2:$F$97,MATCH(A951,'08_PEDIDOS'!$A$2:$A$97,0)))</f>
        <v>10</v>
      </c>
      <c r="L951" s="16" t="n">
        <f aca="false">J951*N(INDEX('04_MAQUINAS'!$F$2:$F$18,MATCH(E951,'04_MAQUINAS'!$A$2:$A$18,0)))</f>
        <v>121.293333333333</v>
      </c>
      <c r="M951" s="17" t="n">
        <f aca="false">J951*INDEX('04_MAQUINAS'!$G$2:$G$18,MATCH(E951,'04_MAQUINAS'!$A$2:$A$18,0))*INDEX('04_MAQUINAS'!$H$2:$H$18,MATCH(E951,'04_MAQUINAS'!$A$2:$A$18,0))</f>
        <v>2.481</v>
      </c>
      <c r="N951" s="2" t="s">
        <v>629</v>
      </c>
    </row>
    <row r="952" customFormat="false" ht="15" hidden="false" customHeight="false" outlineLevel="0" collapsed="false">
      <c r="A952" s="2" t="s">
        <v>604</v>
      </c>
      <c r="B952" s="2" t="s">
        <v>121</v>
      </c>
      <c r="C952" s="4" t="n">
        <v>3</v>
      </c>
      <c r="D952" s="2" t="s">
        <v>386</v>
      </c>
      <c r="E952" s="2" t="s">
        <v>383</v>
      </c>
      <c r="F952" s="5" t="n">
        <f aca="false">INDEX('08_PEDIDOS'!$D$2:$D$97,MATCH(A952,'08_PEDIDOS'!$A$2:$A$97,0))</f>
        <v>10</v>
      </c>
      <c r="G952" s="5" t="n">
        <f aca="false">INDEX('08_PEDIDOS'!$H$2:$H$97,MATCH(A952,'08_PEDIDOS'!$A$2:$A$97,0))</f>
        <v>10</v>
      </c>
      <c r="H952" s="17" t="n">
        <f aca="false">SUMIFS('05_RUTAS'!$F$2:$F$407,'05_RUTAS'!$A$2:$A$407,B952,'05_RUTAS'!$C$2:$C$407,C952)</f>
        <v>10</v>
      </c>
      <c r="I952" s="18" t="n">
        <f aca="false">SUMIFS('05_RUTAS'!$G$2:$G$407,'05_RUTAS'!$A$2:$A$407,B952,'05_RUTAS'!$C$2:$C$407,C952)</f>
        <v>54.8</v>
      </c>
      <c r="J952" s="18" t="n">
        <f aca="false">(ROUNDUP(F952/G952,0)*H952+F952*I952)/60</f>
        <v>9.3</v>
      </c>
      <c r="K952" s="5" t="n">
        <f aca="false">MONTH(INDEX('08_PEDIDOS'!$F$2:$F$97,MATCH(A952,'08_PEDIDOS'!$A$2:$A$97,0)))</f>
        <v>10</v>
      </c>
      <c r="L952" s="16" t="n">
        <f aca="false">J952*N(INDEX('04_MAQUINAS'!$F$2:$F$18,MATCH(E952,'04_MAQUINAS'!$A$2:$A$18,0)))</f>
        <v>204.6</v>
      </c>
      <c r="M952" s="17" t="n">
        <f aca="false">J952*INDEX('04_MAQUINAS'!$G$2:$G$18,MATCH(E952,'04_MAQUINAS'!$A$2:$A$18,0))*INDEX('04_MAQUINAS'!$H$2:$H$18,MATCH(E952,'04_MAQUINAS'!$A$2:$A$18,0))</f>
        <v>2.5575</v>
      </c>
      <c r="N952" s="2" t="s">
        <v>629</v>
      </c>
    </row>
    <row r="953" customFormat="false" ht="15" hidden="false" customHeight="false" outlineLevel="0" collapsed="false">
      <c r="A953" s="2" t="s">
        <v>604</v>
      </c>
      <c r="B953" s="2" t="s">
        <v>121</v>
      </c>
      <c r="C953" s="4" t="n">
        <v>4</v>
      </c>
      <c r="D953" s="2" t="s">
        <v>390</v>
      </c>
      <c r="E953" s="2" t="s">
        <v>387</v>
      </c>
      <c r="F953" s="5" t="n">
        <f aca="false">INDEX('08_PEDIDOS'!$D$2:$D$97,MATCH(A953,'08_PEDIDOS'!$A$2:$A$97,0))</f>
        <v>10</v>
      </c>
      <c r="G953" s="5" t="n">
        <f aca="false">INDEX('08_PEDIDOS'!$H$2:$H$97,MATCH(A953,'08_PEDIDOS'!$A$2:$A$97,0))</f>
        <v>10</v>
      </c>
      <c r="H953" s="17" t="n">
        <f aca="false">SUMIFS('05_RUTAS'!$F$2:$F$407,'05_RUTAS'!$A$2:$A$407,B953,'05_RUTAS'!$C$2:$C$407,C953)</f>
        <v>12</v>
      </c>
      <c r="I953" s="18" t="n">
        <f aca="false">SUMIFS('05_RUTAS'!$G$2:$G$407,'05_RUTAS'!$A$2:$A$407,B953,'05_RUTAS'!$C$2:$C$407,C953)</f>
        <v>85</v>
      </c>
      <c r="J953" s="18" t="n">
        <f aca="false">(ROUNDUP(F953/G953,0)*H953+F953*I953)/60</f>
        <v>14.3666666666667</v>
      </c>
      <c r="K953" s="5" t="n">
        <f aca="false">MONTH(INDEX('08_PEDIDOS'!$F$2:$F$97,MATCH(A953,'08_PEDIDOS'!$A$2:$A$97,0)))</f>
        <v>10</v>
      </c>
      <c r="L953" s="16" t="n">
        <f aca="false">J953*N(INDEX('04_MAQUINAS'!$F$2:$F$18,MATCH(E953,'04_MAQUINAS'!$A$2:$A$18,0)))</f>
        <v>402.266666666667</v>
      </c>
      <c r="M953" s="17" t="n">
        <f aca="false">J953*INDEX('04_MAQUINAS'!$G$2:$G$18,MATCH(E953,'04_MAQUINAS'!$A$2:$A$18,0))*INDEX('04_MAQUINAS'!$H$2:$H$18,MATCH(E953,'04_MAQUINAS'!$A$2:$A$18,0))</f>
        <v>35.5575</v>
      </c>
      <c r="N953" s="2" t="s">
        <v>629</v>
      </c>
    </row>
    <row r="954" customFormat="false" ht="15" hidden="false" customHeight="false" outlineLevel="0" collapsed="false">
      <c r="A954" s="2" t="s">
        <v>604</v>
      </c>
      <c r="B954" s="2" t="s">
        <v>121</v>
      </c>
      <c r="C954" s="4" t="n">
        <v>5</v>
      </c>
      <c r="D954" s="2" t="s">
        <v>443</v>
      </c>
      <c r="E954" s="2" t="s">
        <v>395</v>
      </c>
      <c r="F954" s="5" t="n">
        <f aca="false">INDEX('08_PEDIDOS'!$D$2:$D$97,MATCH(A954,'08_PEDIDOS'!$A$2:$A$97,0))</f>
        <v>10</v>
      </c>
      <c r="G954" s="5" t="n">
        <f aca="false">INDEX('08_PEDIDOS'!$H$2:$H$97,MATCH(A954,'08_PEDIDOS'!$A$2:$A$97,0))</f>
        <v>10</v>
      </c>
      <c r="H954" s="17" t="n">
        <f aca="false">SUMIFS('05_RUTAS'!$F$2:$F$407,'05_RUTAS'!$A$2:$A$407,B954,'05_RUTAS'!$C$2:$C$407,C954)</f>
        <v>3</v>
      </c>
      <c r="I954" s="18" t="n">
        <f aca="false">SUMIFS('05_RUTAS'!$G$2:$G$407,'05_RUTAS'!$A$2:$A$407,B954,'05_RUTAS'!$C$2:$C$407,C954)</f>
        <v>37.5</v>
      </c>
      <c r="J954" s="18" t="n">
        <f aca="false">(ROUNDUP(F954/G954,0)*H954+F954*I954)/60</f>
        <v>6.3</v>
      </c>
      <c r="K954" s="5" t="n">
        <f aca="false">MONTH(INDEX('08_PEDIDOS'!$F$2:$F$97,MATCH(A954,'08_PEDIDOS'!$A$2:$A$97,0)))</f>
        <v>10</v>
      </c>
      <c r="L954" s="16" t="n">
        <f aca="false">J954*N(INDEX('04_MAQUINAS'!$F$2:$F$18,MATCH(E954,'04_MAQUINAS'!$A$2:$A$18,0)))</f>
        <v>132.3</v>
      </c>
      <c r="M954" s="17" t="n">
        <f aca="false">J954*INDEX('04_MAQUINAS'!$G$2:$G$18,MATCH(E954,'04_MAQUINAS'!$A$2:$A$18,0))*INDEX('04_MAQUINAS'!$H$2:$H$18,MATCH(E954,'04_MAQUINAS'!$A$2:$A$18,0))</f>
        <v>4.725</v>
      </c>
      <c r="N954" s="2" t="s">
        <v>629</v>
      </c>
    </row>
    <row r="955" customFormat="false" ht="15" hidden="false" customHeight="false" outlineLevel="0" collapsed="false">
      <c r="A955" s="2" t="s">
        <v>604</v>
      </c>
      <c r="B955" s="2" t="s">
        <v>121</v>
      </c>
      <c r="C955" s="4" t="n">
        <v>6</v>
      </c>
      <c r="D955" s="2" t="s">
        <v>444</v>
      </c>
      <c r="E955" s="2" t="s">
        <v>399</v>
      </c>
      <c r="F955" s="5" t="n">
        <f aca="false">INDEX('08_PEDIDOS'!$D$2:$D$97,MATCH(A955,'08_PEDIDOS'!$A$2:$A$97,0))</f>
        <v>10</v>
      </c>
      <c r="G955" s="5" t="n">
        <f aca="false">INDEX('08_PEDIDOS'!$H$2:$H$97,MATCH(A955,'08_PEDIDOS'!$A$2:$A$97,0))</f>
        <v>10</v>
      </c>
      <c r="H955" s="17" t="n">
        <f aca="false">SUMIFS('05_RUTAS'!$F$2:$F$407,'05_RUTAS'!$A$2:$A$407,B955,'05_RUTAS'!$C$2:$C$407,C955)</f>
        <v>6</v>
      </c>
      <c r="I955" s="18" t="n">
        <f aca="false">SUMIFS('05_RUTAS'!$G$2:$G$407,'05_RUTAS'!$A$2:$A$407,B955,'05_RUTAS'!$C$2:$C$407,C955)</f>
        <v>24.4752</v>
      </c>
      <c r="J955" s="18" t="n">
        <f aca="false">(ROUNDUP(F955/G955,0)*H955+F955*I955)/60</f>
        <v>4.1792</v>
      </c>
      <c r="K955" s="5" t="n">
        <f aca="false">MONTH(INDEX('08_PEDIDOS'!$F$2:$F$97,MATCH(A955,'08_PEDIDOS'!$A$2:$A$97,0)))</f>
        <v>10</v>
      </c>
      <c r="L955" s="16" t="n">
        <f aca="false">J955*N(INDEX('04_MAQUINAS'!$F$2:$F$18,MATCH(E955,'04_MAQUINAS'!$A$2:$A$18,0)))</f>
        <v>79.4048</v>
      </c>
      <c r="M955" s="17" t="n">
        <f aca="false">J955*INDEX('04_MAQUINAS'!$G$2:$G$18,MATCH(E955,'04_MAQUINAS'!$A$2:$A$18,0))*INDEX('04_MAQUINAS'!$H$2:$H$18,MATCH(E955,'04_MAQUINAS'!$A$2:$A$18,0))</f>
        <v>3.677696</v>
      </c>
      <c r="N955" s="2" t="s">
        <v>629</v>
      </c>
    </row>
    <row r="956" customFormat="false" ht="15" hidden="false" customHeight="false" outlineLevel="0" collapsed="false">
      <c r="A956" s="2" t="s">
        <v>604</v>
      </c>
      <c r="B956" s="2" t="s">
        <v>121</v>
      </c>
      <c r="C956" s="4" t="n">
        <v>7</v>
      </c>
      <c r="D956" s="2" t="s">
        <v>445</v>
      </c>
      <c r="E956" s="2" t="s">
        <v>402</v>
      </c>
      <c r="F956" s="5" t="n">
        <f aca="false">INDEX('08_PEDIDOS'!$D$2:$D$97,MATCH(A956,'08_PEDIDOS'!$A$2:$A$97,0))</f>
        <v>10</v>
      </c>
      <c r="G956" s="5" t="n">
        <f aca="false">INDEX('08_PEDIDOS'!$H$2:$H$97,MATCH(A956,'08_PEDIDOS'!$A$2:$A$97,0))</f>
        <v>10</v>
      </c>
      <c r="H956" s="17" t="n">
        <f aca="false">SUMIFS('05_RUTAS'!$F$2:$F$407,'05_RUTAS'!$A$2:$A$407,B956,'05_RUTAS'!$C$2:$C$407,C956)</f>
        <v>12</v>
      </c>
      <c r="I956" s="18" t="n">
        <f aca="false">SUMIFS('05_RUTAS'!$G$2:$G$407,'05_RUTAS'!$A$2:$A$407,B956,'05_RUTAS'!$C$2:$C$407,C956)</f>
        <v>6.58</v>
      </c>
      <c r="J956" s="18" t="n">
        <f aca="false">(ROUNDUP(F956/G956,0)*H956+F956*I956)/60</f>
        <v>1.29666666666667</v>
      </c>
      <c r="K956" s="5" t="n">
        <f aca="false">MONTH(INDEX('08_PEDIDOS'!$F$2:$F$97,MATCH(A956,'08_PEDIDOS'!$A$2:$A$97,0)))</f>
        <v>10</v>
      </c>
      <c r="L956" s="16" t="n">
        <f aca="false">J956*N(INDEX('04_MAQUINAS'!$F$2:$F$18,MATCH(E956,'04_MAQUINAS'!$A$2:$A$18,0)))</f>
        <v>41.4933333333333</v>
      </c>
      <c r="M956" s="17" t="n">
        <f aca="false">J956*INDEX('04_MAQUINAS'!$G$2:$G$18,MATCH(E956,'04_MAQUINAS'!$A$2:$A$18,0))*INDEX('04_MAQUINAS'!$H$2:$H$18,MATCH(E956,'04_MAQUINAS'!$A$2:$A$18,0))</f>
        <v>1.3615</v>
      </c>
      <c r="N956" s="2" t="s">
        <v>629</v>
      </c>
    </row>
    <row r="957" customFormat="false" ht="15" hidden="false" customHeight="false" outlineLevel="0" collapsed="false">
      <c r="A957" s="2" t="s">
        <v>604</v>
      </c>
      <c r="B957" s="2" t="s">
        <v>121</v>
      </c>
      <c r="C957" s="4" t="n">
        <v>8</v>
      </c>
      <c r="D957" s="2" t="s">
        <v>447</v>
      </c>
      <c r="E957" s="2" t="s">
        <v>421</v>
      </c>
      <c r="F957" s="5" t="n">
        <f aca="false">INDEX('08_PEDIDOS'!$D$2:$D$97,MATCH(A957,'08_PEDIDOS'!$A$2:$A$97,0))</f>
        <v>10</v>
      </c>
      <c r="G957" s="5" t="n">
        <f aca="false">INDEX('08_PEDIDOS'!$H$2:$H$97,MATCH(A957,'08_PEDIDOS'!$A$2:$A$97,0))</f>
        <v>10</v>
      </c>
      <c r="H957" s="17" t="n">
        <f aca="false">SUMIFS('05_RUTAS'!$F$2:$F$407,'05_RUTAS'!$A$2:$A$407,B957,'05_RUTAS'!$C$2:$C$407,C957)</f>
        <v>45</v>
      </c>
      <c r="I957" s="18" t="n">
        <f aca="false">SUMIFS('05_RUTAS'!$G$2:$G$407,'05_RUTAS'!$A$2:$A$407,B957,'05_RUTAS'!$C$2:$C$407,C957)</f>
        <v>0</v>
      </c>
      <c r="J957" s="18" t="n">
        <f aca="false">(ROUNDUP(F957/G957,0)*H957+F957*I957)/60</f>
        <v>0.75</v>
      </c>
      <c r="K957" s="5" t="n">
        <f aca="false">MONTH(INDEX('08_PEDIDOS'!$F$2:$F$97,MATCH(A957,'08_PEDIDOS'!$A$2:$A$97,0)))</f>
        <v>10</v>
      </c>
      <c r="L957" s="16" t="n">
        <f aca="false">J957*N(INDEX('04_MAQUINAS'!$F$2:$F$18,MATCH(E957,'04_MAQUINAS'!$A$2:$A$18,0)))</f>
        <v>19.5</v>
      </c>
      <c r="M957" s="17" t="n">
        <f aca="false">J957*INDEX('04_MAQUINAS'!$G$2:$G$18,MATCH(E957,'04_MAQUINAS'!$A$2:$A$18,0))*INDEX('04_MAQUINAS'!$H$2:$H$18,MATCH(E957,'04_MAQUINAS'!$A$2:$A$18,0))</f>
        <v>10.8</v>
      </c>
      <c r="N957" s="2" t="s">
        <v>629</v>
      </c>
    </row>
    <row r="958" customFormat="false" ht="15" hidden="false" customHeight="false" outlineLevel="0" collapsed="false">
      <c r="A958" s="2" t="s">
        <v>604</v>
      </c>
      <c r="B958" s="2" t="s">
        <v>121</v>
      </c>
      <c r="C958" s="4" t="n">
        <v>9</v>
      </c>
      <c r="D958" s="2" t="s">
        <v>449</v>
      </c>
      <c r="E958" s="2" t="s">
        <v>423</v>
      </c>
      <c r="F958" s="5" t="n">
        <f aca="false">INDEX('08_PEDIDOS'!$D$2:$D$97,MATCH(A958,'08_PEDIDOS'!$A$2:$A$97,0))</f>
        <v>10</v>
      </c>
      <c r="G958" s="5" t="n">
        <f aca="false">INDEX('08_PEDIDOS'!$H$2:$H$97,MATCH(A958,'08_PEDIDOS'!$A$2:$A$97,0))</f>
        <v>10</v>
      </c>
      <c r="H958" s="17" t="n">
        <f aca="false">SUMIFS('05_RUTAS'!$F$2:$F$407,'05_RUTAS'!$A$2:$A$407,B958,'05_RUTAS'!$C$2:$C$407,C958)</f>
        <v>8</v>
      </c>
      <c r="I958" s="18" t="n">
        <f aca="false">SUMIFS('05_RUTAS'!$G$2:$G$407,'05_RUTAS'!$A$2:$A$407,B958,'05_RUTAS'!$C$2:$C$407,C958)</f>
        <v>2.36</v>
      </c>
      <c r="J958" s="18" t="n">
        <f aca="false">(ROUNDUP(F958/G958,0)*H958+F958*I958)/60</f>
        <v>0.526666666666667</v>
      </c>
      <c r="K958" s="5" t="n">
        <f aca="false">MONTH(INDEX('08_PEDIDOS'!$F$2:$F$97,MATCH(A958,'08_PEDIDOS'!$A$2:$A$97,0)))</f>
        <v>10</v>
      </c>
      <c r="L958" s="16" t="n">
        <f aca="false">J958*N(INDEX('04_MAQUINAS'!$F$2:$F$18,MATCH(E958,'04_MAQUINAS'!$A$2:$A$18,0)))</f>
        <v>8.42666666666667</v>
      </c>
      <c r="M958" s="17" t="n">
        <f aca="false">J958*INDEX('04_MAQUINAS'!$G$2:$G$18,MATCH(E958,'04_MAQUINAS'!$A$2:$A$18,0))*INDEX('04_MAQUINAS'!$H$2:$H$18,MATCH(E958,'04_MAQUINAS'!$A$2:$A$18,0))</f>
        <v>0.131666666666667</v>
      </c>
      <c r="N958" s="2" t="s">
        <v>629</v>
      </c>
    </row>
    <row r="959" customFormat="false" ht="15" hidden="false" customHeight="false" outlineLevel="0" collapsed="false">
      <c r="A959" s="2" t="s">
        <v>604</v>
      </c>
      <c r="B959" s="2" t="s">
        <v>121</v>
      </c>
      <c r="C959" s="4" t="n">
        <v>10</v>
      </c>
      <c r="D959" s="2" t="s">
        <v>450</v>
      </c>
      <c r="E959" s="2" t="s">
        <v>406</v>
      </c>
      <c r="F959" s="5" t="n">
        <f aca="false">INDEX('08_PEDIDOS'!$D$2:$D$97,MATCH(A959,'08_PEDIDOS'!$A$2:$A$97,0))</f>
        <v>10</v>
      </c>
      <c r="G959" s="5" t="n">
        <f aca="false">INDEX('08_PEDIDOS'!$H$2:$H$97,MATCH(A959,'08_PEDIDOS'!$A$2:$A$97,0))</f>
        <v>10</v>
      </c>
      <c r="H959" s="17" t="n">
        <f aca="false">SUMIFS('05_RUTAS'!$F$2:$F$407,'05_RUTAS'!$A$2:$A$407,B959,'05_RUTAS'!$C$2:$C$407,C959)</f>
        <v>6</v>
      </c>
      <c r="I959" s="18" t="n">
        <f aca="false">SUMIFS('05_RUTAS'!$G$2:$G$407,'05_RUTAS'!$A$2:$A$407,B959,'05_RUTAS'!$C$2:$C$407,C959)</f>
        <v>61.5</v>
      </c>
      <c r="J959" s="18" t="n">
        <f aca="false">(ROUNDUP(F959/G959,0)*H959+F959*I959)/60</f>
        <v>10.35</v>
      </c>
      <c r="K959" s="5" t="n">
        <f aca="false">MONTH(INDEX('08_PEDIDOS'!$F$2:$F$97,MATCH(A959,'08_PEDIDOS'!$A$2:$A$97,0)))</f>
        <v>10</v>
      </c>
      <c r="L959" s="16" t="n">
        <f aca="false">J959*N(INDEX('04_MAQUINAS'!$F$2:$F$18,MATCH(E959,'04_MAQUINAS'!$A$2:$A$18,0)))</f>
        <v>196.65</v>
      </c>
      <c r="M959" s="17" t="n">
        <f aca="false">J959*INDEX('04_MAQUINAS'!$G$2:$G$18,MATCH(E959,'04_MAQUINAS'!$A$2:$A$18,0))*INDEX('04_MAQUINAS'!$H$2:$H$18,MATCH(E959,'04_MAQUINAS'!$A$2:$A$18,0))</f>
        <v>3.105</v>
      </c>
      <c r="N959" s="2" t="s">
        <v>629</v>
      </c>
    </row>
    <row r="960" customFormat="false" ht="15" hidden="false" customHeight="false" outlineLevel="0" collapsed="false">
      <c r="A960" s="2" t="s">
        <v>604</v>
      </c>
      <c r="B960" s="2" t="s">
        <v>121</v>
      </c>
      <c r="C960" s="4" t="n">
        <v>11</v>
      </c>
      <c r="D960" s="2" t="s">
        <v>451</v>
      </c>
      <c r="E960" s="2" t="s">
        <v>408</v>
      </c>
      <c r="F960" s="5" t="n">
        <f aca="false">INDEX('08_PEDIDOS'!$D$2:$D$97,MATCH(A960,'08_PEDIDOS'!$A$2:$A$97,0))</f>
        <v>10</v>
      </c>
      <c r="G960" s="5" t="n">
        <f aca="false">INDEX('08_PEDIDOS'!$H$2:$H$97,MATCH(A960,'08_PEDIDOS'!$A$2:$A$97,0))</f>
        <v>10</v>
      </c>
      <c r="H960" s="17" t="n">
        <f aca="false">SUMIFS('05_RUTAS'!$F$2:$F$407,'05_RUTAS'!$A$2:$A$407,B960,'05_RUTAS'!$C$2:$C$407,C960)</f>
        <v>2</v>
      </c>
      <c r="I960" s="18" t="n">
        <f aca="false">SUMIFS('05_RUTAS'!$G$2:$G$407,'05_RUTAS'!$A$2:$A$407,B960,'05_RUTAS'!$C$2:$C$407,C960)</f>
        <v>3.45</v>
      </c>
      <c r="J960" s="18" t="n">
        <f aca="false">(ROUNDUP(F960/G960,0)*H960+F960*I960)/60</f>
        <v>0.608333333333333</v>
      </c>
      <c r="K960" s="5" t="n">
        <f aca="false">MONTH(INDEX('08_PEDIDOS'!$F$2:$F$97,MATCH(A960,'08_PEDIDOS'!$A$2:$A$97,0)))</f>
        <v>10</v>
      </c>
      <c r="L960" s="16" t="n">
        <f aca="false">J960*N(INDEX('04_MAQUINAS'!$F$2:$F$18,MATCH(E960,'04_MAQUINAS'!$A$2:$A$18,0)))</f>
        <v>12.1666666666667</v>
      </c>
      <c r="M960" s="17" t="n">
        <f aca="false">J960*INDEX('04_MAQUINAS'!$G$2:$G$18,MATCH(E960,'04_MAQUINAS'!$A$2:$A$18,0))*INDEX('04_MAQUINAS'!$H$2:$H$18,MATCH(E960,'04_MAQUINAS'!$A$2:$A$18,0))</f>
        <v>0.0608333333333333</v>
      </c>
      <c r="N960" s="2" t="s">
        <v>629</v>
      </c>
    </row>
    <row r="961" customFormat="false" ht="15" hidden="false" customHeight="false" outlineLevel="0" collapsed="false">
      <c r="A961" s="2" t="s">
        <v>604</v>
      </c>
      <c r="B961" s="2" t="s">
        <v>121</v>
      </c>
      <c r="C961" s="4" t="n">
        <v>12</v>
      </c>
      <c r="D961" s="2" t="s">
        <v>452</v>
      </c>
      <c r="E961" s="2" t="s">
        <v>411</v>
      </c>
      <c r="F961" s="5" t="n">
        <f aca="false">INDEX('08_PEDIDOS'!$D$2:$D$97,MATCH(A961,'08_PEDIDOS'!$A$2:$A$97,0))</f>
        <v>10</v>
      </c>
      <c r="G961" s="5" t="n">
        <f aca="false">INDEX('08_PEDIDOS'!$H$2:$H$97,MATCH(A961,'08_PEDIDOS'!$A$2:$A$97,0))</f>
        <v>10</v>
      </c>
      <c r="H961" s="17" t="n">
        <f aca="false">SUMIFS('05_RUTAS'!$F$2:$F$407,'05_RUTAS'!$A$2:$A$407,B961,'05_RUTAS'!$C$2:$C$407,C961)</f>
        <v>2</v>
      </c>
      <c r="I961" s="18" t="n">
        <f aca="false">SUMIFS('05_RUTAS'!$G$2:$G$407,'05_RUTAS'!$A$2:$A$407,B961,'05_RUTAS'!$C$2:$C$407,C961)</f>
        <v>4.67</v>
      </c>
      <c r="J961" s="18" t="n">
        <f aca="false">(ROUNDUP(F961/G961,0)*H961+F961*I961)/60</f>
        <v>0.811666666666667</v>
      </c>
      <c r="K961" s="5" t="n">
        <f aca="false">MONTH(INDEX('08_PEDIDOS'!$F$2:$F$97,MATCH(A961,'08_PEDIDOS'!$A$2:$A$97,0)))</f>
        <v>10</v>
      </c>
      <c r="L961" s="16" t="n">
        <f aca="false">J961*N(INDEX('04_MAQUINAS'!$F$2:$F$18,MATCH(E961,'04_MAQUINAS'!$A$2:$A$18,0)))</f>
        <v>14.61</v>
      </c>
      <c r="M961" s="17" t="n">
        <f aca="false">J961*INDEX('04_MAQUINAS'!$G$2:$G$18,MATCH(E961,'04_MAQUINAS'!$A$2:$A$18,0))*INDEX('04_MAQUINAS'!$H$2:$H$18,MATCH(E961,'04_MAQUINAS'!$A$2:$A$18,0))</f>
        <v>0.07305</v>
      </c>
      <c r="N961" s="2" t="s">
        <v>629</v>
      </c>
    </row>
    <row r="962" customFormat="false" ht="15" hidden="false" customHeight="false" outlineLevel="0" collapsed="false">
      <c r="A962" s="2" t="s">
        <v>605</v>
      </c>
      <c r="B962" s="2" t="s">
        <v>80</v>
      </c>
      <c r="C962" s="4" t="n">
        <v>1</v>
      </c>
      <c r="D962" s="2" t="s">
        <v>437</v>
      </c>
      <c r="E962" s="2" t="s">
        <v>375</v>
      </c>
      <c r="F962" s="5" t="n">
        <f aca="false">INDEX('08_PEDIDOS'!$D$2:$D$97,MATCH(A962,'08_PEDIDOS'!$A$2:$A$97,0))</f>
        <v>11</v>
      </c>
      <c r="G962" s="5" t="n">
        <f aca="false">INDEX('08_PEDIDOS'!$H$2:$H$97,MATCH(A962,'08_PEDIDOS'!$A$2:$A$97,0))</f>
        <v>10</v>
      </c>
      <c r="H962" s="17" t="n">
        <f aca="false">SUMIFS('05_RUTAS'!$F$2:$F$407,'05_RUTAS'!$A$2:$A$407,B962,'05_RUTAS'!$C$2:$C$407,C962)</f>
        <v>8</v>
      </c>
      <c r="I962" s="18" t="n">
        <f aca="false">SUMIFS('05_RUTAS'!$G$2:$G$407,'05_RUTAS'!$A$2:$A$407,B962,'05_RUTAS'!$C$2:$C$407,C962)</f>
        <v>34.62</v>
      </c>
      <c r="J962" s="18" t="n">
        <f aca="false">(ROUNDUP(F962/G962,0)*H962+F962*I962)/60</f>
        <v>6.61366666666667</v>
      </c>
      <c r="K962" s="5" t="n">
        <f aca="false">MONTH(INDEX('08_PEDIDOS'!$F$2:$F$97,MATCH(A962,'08_PEDIDOS'!$A$2:$A$97,0)))</f>
        <v>11</v>
      </c>
      <c r="L962" s="16" t="n">
        <f aca="false">J962*N(INDEX('04_MAQUINAS'!$F$2:$F$18,MATCH(E962,'04_MAQUINAS'!$A$2:$A$18,0)))</f>
        <v>158.728</v>
      </c>
      <c r="M962" s="17" t="n">
        <f aca="false">J962*INDEX('04_MAQUINAS'!$G$2:$G$18,MATCH(E962,'04_MAQUINAS'!$A$2:$A$18,0))*INDEX('04_MAQUINAS'!$H$2:$H$18,MATCH(E962,'04_MAQUINAS'!$A$2:$A$18,0))</f>
        <v>18.1875833333333</v>
      </c>
      <c r="N962" s="2" t="s">
        <v>629</v>
      </c>
    </row>
    <row r="963" customFormat="false" ht="15" hidden="false" customHeight="false" outlineLevel="0" collapsed="false">
      <c r="A963" s="2" t="s">
        <v>605</v>
      </c>
      <c r="B963" s="2" t="s">
        <v>80</v>
      </c>
      <c r="C963" s="4" t="n">
        <v>2</v>
      </c>
      <c r="D963" s="2" t="s">
        <v>441</v>
      </c>
      <c r="E963" s="2" t="s">
        <v>380</v>
      </c>
      <c r="F963" s="5" t="n">
        <f aca="false">INDEX('08_PEDIDOS'!$D$2:$D$97,MATCH(A963,'08_PEDIDOS'!$A$2:$A$97,0))</f>
        <v>11</v>
      </c>
      <c r="G963" s="5" t="n">
        <f aca="false">INDEX('08_PEDIDOS'!$H$2:$H$97,MATCH(A963,'08_PEDIDOS'!$A$2:$A$97,0))</f>
        <v>10</v>
      </c>
      <c r="H963" s="17" t="n">
        <f aca="false">SUMIFS('05_RUTAS'!$F$2:$F$407,'05_RUTAS'!$A$2:$A$407,B963,'05_RUTAS'!$C$2:$C$407,C963)</f>
        <v>8</v>
      </c>
      <c r="I963" s="18" t="n">
        <f aca="false">SUMIFS('05_RUTAS'!$G$2:$G$407,'05_RUTAS'!$A$2:$A$407,B963,'05_RUTAS'!$C$2:$C$407,C963)</f>
        <v>43.52</v>
      </c>
      <c r="J963" s="18" t="n">
        <f aca="false">(ROUNDUP(F963/G963,0)*H963+F963*I963)/60</f>
        <v>8.24533333333333</v>
      </c>
      <c r="K963" s="5" t="n">
        <f aca="false">MONTH(INDEX('08_PEDIDOS'!$F$2:$F$97,MATCH(A963,'08_PEDIDOS'!$A$2:$A$97,0)))</f>
        <v>11</v>
      </c>
      <c r="L963" s="16" t="n">
        <f aca="false">J963*N(INDEX('04_MAQUINAS'!$F$2:$F$18,MATCH(E963,'04_MAQUINAS'!$A$2:$A$18,0)))</f>
        <v>181.397333333333</v>
      </c>
      <c r="M963" s="17" t="n">
        <f aca="false">J963*INDEX('04_MAQUINAS'!$G$2:$G$18,MATCH(E963,'04_MAQUINAS'!$A$2:$A$18,0))*INDEX('04_MAQUINAS'!$H$2:$H$18,MATCH(E963,'04_MAQUINAS'!$A$2:$A$18,0))</f>
        <v>3.7104</v>
      </c>
      <c r="N963" s="2" t="s">
        <v>629</v>
      </c>
    </row>
    <row r="964" customFormat="false" ht="15" hidden="false" customHeight="false" outlineLevel="0" collapsed="false">
      <c r="A964" s="2" t="s">
        <v>605</v>
      </c>
      <c r="B964" s="2" t="s">
        <v>80</v>
      </c>
      <c r="C964" s="4" t="n">
        <v>3</v>
      </c>
      <c r="D964" s="2" t="s">
        <v>386</v>
      </c>
      <c r="E964" s="2" t="s">
        <v>383</v>
      </c>
      <c r="F964" s="5" t="n">
        <f aca="false">INDEX('08_PEDIDOS'!$D$2:$D$97,MATCH(A964,'08_PEDIDOS'!$A$2:$A$97,0))</f>
        <v>11</v>
      </c>
      <c r="G964" s="5" t="n">
        <f aca="false">INDEX('08_PEDIDOS'!$H$2:$H$97,MATCH(A964,'08_PEDIDOS'!$A$2:$A$97,0))</f>
        <v>10</v>
      </c>
      <c r="H964" s="17" t="n">
        <f aca="false">SUMIFS('05_RUTAS'!$F$2:$F$407,'05_RUTAS'!$A$2:$A$407,B964,'05_RUTAS'!$C$2:$C$407,C964)</f>
        <v>10</v>
      </c>
      <c r="I964" s="18" t="n">
        <f aca="false">SUMIFS('05_RUTAS'!$G$2:$G$407,'05_RUTAS'!$A$2:$A$407,B964,'05_RUTAS'!$C$2:$C$407,C964)</f>
        <v>63.2</v>
      </c>
      <c r="J964" s="18" t="n">
        <f aca="false">(ROUNDUP(F964/G964,0)*H964+F964*I964)/60</f>
        <v>11.92</v>
      </c>
      <c r="K964" s="5" t="n">
        <f aca="false">MONTH(INDEX('08_PEDIDOS'!$F$2:$F$97,MATCH(A964,'08_PEDIDOS'!$A$2:$A$97,0)))</f>
        <v>11</v>
      </c>
      <c r="L964" s="16" t="n">
        <f aca="false">J964*N(INDEX('04_MAQUINAS'!$F$2:$F$18,MATCH(E964,'04_MAQUINAS'!$A$2:$A$18,0)))</f>
        <v>262.24</v>
      </c>
      <c r="M964" s="17" t="n">
        <f aca="false">J964*INDEX('04_MAQUINAS'!$G$2:$G$18,MATCH(E964,'04_MAQUINAS'!$A$2:$A$18,0))*INDEX('04_MAQUINAS'!$H$2:$H$18,MATCH(E964,'04_MAQUINAS'!$A$2:$A$18,0))</f>
        <v>3.278</v>
      </c>
      <c r="N964" s="2" t="s">
        <v>629</v>
      </c>
    </row>
    <row r="965" customFormat="false" ht="15" hidden="false" customHeight="false" outlineLevel="0" collapsed="false">
      <c r="A965" s="2" t="s">
        <v>605</v>
      </c>
      <c r="B965" s="2" t="s">
        <v>80</v>
      </c>
      <c r="C965" s="4" t="n">
        <v>4</v>
      </c>
      <c r="D965" s="2" t="s">
        <v>390</v>
      </c>
      <c r="E965" s="2" t="s">
        <v>387</v>
      </c>
      <c r="F965" s="5" t="n">
        <f aca="false">INDEX('08_PEDIDOS'!$D$2:$D$97,MATCH(A965,'08_PEDIDOS'!$A$2:$A$97,0))</f>
        <v>11</v>
      </c>
      <c r="G965" s="5" t="n">
        <f aca="false">INDEX('08_PEDIDOS'!$H$2:$H$97,MATCH(A965,'08_PEDIDOS'!$A$2:$A$97,0))</f>
        <v>10</v>
      </c>
      <c r="H965" s="17" t="n">
        <f aca="false">SUMIFS('05_RUTAS'!$F$2:$F$407,'05_RUTAS'!$A$2:$A$407,B965,'05_RUTAS'!$C$2:$C$407,C965)</f>
        <v>12</v>
      </c>
      <c r="I965" s="18" t="n">
        <f aca="false">SUMIFS('05_RUTAS'!$G$2:$G$407,'05_RUTAS'!$A$2:$A$407,B965,'05_RUTAS'!$C$2:$C$407,C965)</f>
        <v>60</v>
      </c>
      <c r="J965" s="18" t="n">
        <f aca="false">(ROUNDUP(F965/G965,0)*H965+F965*I965)/60</f>
        <v>11.4</v>
      </c>
      <c r="K965" s="5" t="n">
        <f aca="false">MONTH(INDEX('08_PEDIDOS'!$F$2:$F$97,MATCH(A965,'08_PEDIDOS'!$A$2:$A$97,0)))</f>
        <v>11</v>
      </c>
      <c r="L965" s="16" t="n">
        <f aca="false">J965*N(INDEX('04_MAQUINAS'!$F$2:$F$18,MATCH(E965,'04_MAQUINAS'!$A$2:$A$18,0)))</f>
        <v>319.2</v>
      </c>
      <c r="M965" s="17" t="n">
        <f aca="false">J965*INDEX('04_MAQUINAS'!$G$2:$G$18,MATCH(E965,'04_MAQUINAS'!$A$2:$A$18,0))*INDEX('04_MAQUINAS'!$H$2:$H$18,MATCH(E965,'04_MAQUINAS'!$A$2:$A$18,0))</f>
        <v>28.215</v>
      </c>
      <c r="N965" s="2" t="s">
        <v>629</v>
      </c>
    </row>
    <row r="966" customFormat="false" ht="15" hidden="false" customHeight="false" outlineLevel="0" collapsed="false">
      <c r="A966" s="2" t="s">
        <v>605</v>
      </c>
      <c r="B966" s="2" t="s">
        <v>80</v>
      </c>
      <c r="C966" s="4" t="n">
        <v>5</v>
      </c>
      <c r="D966" s="2" t="s">
        <v>442</v>
      </c>
      <c r="E966" s="2" t="s">
        <v>391</v>
      </c>
      <c r="F966" s="5" t="n">
        <f aca="false">INDEX('08_PEDIDOS'!$D$2:$D$97,MATCH(A966,'08_PEDIDOS'!$A$2:$A$97,0))</f>
        <v>11</v>
      </c>
      <c r="G966" s="5" t="n">
        <f aca="false">INDEX('08_PEDIDOS'!$H$2:$H$97,MATCH(A966,'08_PEDIDOS'!$A$2:$A$97,0))</f>
        <v>10</v>
      </c>
      <c r="H966" s="17" t="n">
        <f aca="false">SUMIFS('05_RUTAS'!$F$2:$F$407,'05_RUTAS'!$A$2:$A$407,B966,'05_RUTAS'!$C$2:$C$407,C966)</f>
        <v>10</v>
      </c>
      <c r="I966" s="18" t="n">
        <f aca="false">SUMIFS('05_RUTAS'!$G$2:$G$407,'05_RUTAS'!$A$2:$A$407,B966,'05_RUTAS'!$C$2:$C$407,C966)</f>
        <v>78.4</v>
      </c>
      <c r="J966" s="18" t="n">
        <f aca="false">(ROUNDUP(F966/G966,0)*H966+F966*I966)/60</f>
        <v>14.7066666666667</v>
      </c>
      <c r="K966" s="5" t="n">
        <f aca="false">MONTH(INDEX('08_PEDIDOS'!$F$2:$F$97,MATCH(A966,'08_PEDIDOS'!$A$2:$A$97,0)))</f>
        <v>11</v>
      </c>
      <c r="L966" s="16" t="n">
        <f aca="false">J966*N(INDEX('04_MAQUINAS'!$F$2:$F$18,MATCH(E966,'04_MAQUINAS'!$A$2:$A$18,0)))</f>
        <v>470.613333333333</v>
      </c>
      <c r="M966" s="17" t="n">
        <f aca="false">J966*INDEX('04_MAQUINAS'!$G$2:$G$18,MATCH(E966,'04_MAQUINAS'!$A$2:$A$18,0))*INDEX('04_MAQUINAS'!$H$2:$H$18,MATCH(E966,'04_MAQUINAS'!$A$2:$A$18,0))</f>
        <v>25.7366666666667</v>
      </c>
      <c r="N966" s="2" t="s">
        <v>629</v>
      </c>
    </row>
    <row r="967" customFormat="false" ht="15" hidden="false" customHeight="false" outlineLevel="0" collapsed="false">
      <c r="A967" s="2" t="s">
        <v>605</v>
      </c>
      <c r="B967" s="2" t="s">
        <v>80</v>
      </c>
      <c r="C967" s="4" t="n">
        <v>6</v>
      </c>
      <c r="D967" s="2" t="s">
        <v>443</v>
      </c>
      <c r="E967" s="2" t="s">
        <v>395</v>
      </c>
      <c r="F967" s="5" t="n">
        <f aca="false">INDEX('08_PEDIDOS'!$D$2:$D$97,MATCH(A967,'08_PEDIDOS'!$A$2:$A$97,0))</f>
        <v>11</v>
      </c>
      <c r="G967" s="5" t="n">
        <f aca="false">INDEX('08_PEDIDOS'!$H$2:$H$97,MATCH(A967,'08_PEDIDOS'!$A$2:$A$97,0))</f>
        <v>10</v>
      </c>
      <c r="H967" s="17" t="n">
        <f aca="false">SUMIFS('05_RUTAS'!$F$2:$F$407,'05_RUTAS'!$A$2:$A$407,B967,'05_RUTAS'!$C$2:$C$407,C967)</f>
        <v>3</v>
      </c>
      <c r="I967" s="18" t="n">
        <f aca="false">SUMIFS('05_RUTAS'!$G$2:$G$407,'05_RUTAS'!$A$2:$A$407,B967,'05_RUTAS'!$C$2:$C$407,C967)</f>
        <v>42</v>
      </c>
      <c r="J967" s="18" t="n">
        <f aca="false">(ROUNDUP(F967/G967,0)*H967+F967*I967)/60</f>
        <v>7.8</v>
      </c>
      <c r="K967" s="5" t="n">
        <f aca="false">MONTH(INDEX('08_PEDIDOS'!$F$2:$F$97,MATCH(A967,'08_PEDIDOS'!$A$2:$A$97,0)))</f>
        <v>11</v>
      </c>
      <c r="L967" s="16" t="n">
        <f aca="false">J967*N(INDEX('04_MAQUINAS'!$F$2:$F$18,MATCH(E967,'04_MAQUINAS'!$A$2:$A$18,0)))</f>
        <v>163.8</v>
      </c>
      <c r="M967" s="17" t="n">
        <f aca="false">J967*INDEX('04_MAQUINAS'!$G$2:$G$18,MATCH(E967,'04_MAQUINAS'!$A$2:$A$18,0))*INDEX('04_MAQUINAS'!$H$2:$H$18,MATCH(E967,'04_MAQUINAS'!$A$2:$A$18,0))</f>
        <v>5.85</v>
      </c>
      <c r="N967" s="2" t="s">
        <v>629</v>
      </c>
    </row>
    <row r="968" customFormat="false" ht="15" hidden="false" customHeight="false" outlineLevel="0" collapsed="false">
      <c r="A968" s="2" t="s">
        <v>605</v>
      </c>
      <c r="B968" s="2" t="s">
        <v>80</v>
      </c>
      <c r="C968" s="4" t="n">
        <v>7</v>
      </c>
      <c r="D968" s="2" t="s">
        <v>444</v>
      </c>
      <c r="E968" s="2" t="s">
        <v>399</v>
      </c>
      <c r="F968" s="5" t="n">
        <f aca="false">INDEX('08_PEDIDOS'!$D$2:$D$97,MATCH(A968,'08_PEDIDOS'!$A$2:$A$97,0))</f>
        <v>11</v>
      </c>
      <c r="G968" s="5" t="n">
        <f aca="false">INDEX('08_PEDIDOS'!$H$2:$H$97,MATCH(A968,'08_PEDIDOS'!$A$2:$A$97,0))</f>
        <v>10</v>
      </c>
      <c r="H968" s="17" t="n">
        <f aca="false">SUMIFS('05_RUTAS'!$F$2:$F$407,'05_RUTAS'!$A$2:$A$407,B968,'05_RUTAS'!$C$2:$C$407,C968)</f>
        <v>6</v>
      </c>
      <c r="I968" s="18" t="n">
        <f aca="false">SUMIFS('05_RUTAS'!$G$2:$G$407,'05_RUTAS'!$A$2:$A$407,B968,'05_RUTAS'!$C$2:$C$407,C968)</f>
        <v>29.7248</v>
      </c>
      <c r="J968" s="18" t="n">
        <f aca="false">(ROUNDUP(F968/G968,0)*H968+F968*I968)/60</f>
        <v>5.64954666666667</v>
      </c>
      <c r="K968" s="5" t="n">
        <f aca="false">MONTH(INDEX('08_PEDIDOS'!$F$2:$F$97,MATCH(A968,'08_PEDIDOS'!$A$2:$A$97,0)))</f>
        <v>11</v>
      </c>
      <c r="L968" s="16" t="n">
        <f aca="false">J968*N(INDEX('04_MAQUINAS'!$F$2:$F$18,MATCH(E968,'04_MAQUINAS'!$A$2:$A$18,0)))</f>
        <v>107.341386666667</v>
      </c>
      <c r="M968" s="17" t="n">
        <f aca="false">J968*INDEX('04_MAQUINAS'!$G$2:$G$18,MATCH(E968,'04_MAQUINAS'!$A$2:$A$18,0))*INDEX('04_MAQUINAS'!$H$2:$H$18,MATCH(E968,'04_MAQUINAS'!$A$2:$A$18,0))</f>
        <v>4.97160106666667</v>
      </c>
      <c r="N968" s="2" t="s">
        <v>629</v>
      </c>
    </row>
    <row r="969" customFormat="false" ht="15" hidden="false" customHeight="false" outlineLevel="0" collapsed="false">
      <c r="A969" s="2" t="s">
        <v>605</v>
      </c>
      <c r="B969" s="2" t="s">
        <v>80</v>
      </c>
      <c r="C969" s="4" t="n">
        <v>8</v>
      </c>
      <c r="D969" s="2" t="s">
        <v>445</v>
      </c>
      <c r="E969" s="2" t="s">
        <v>402</v>
      </c>
      <c r="F969" s="5" t="n">
        <f aca="false">INDEX('08_PEDIDOS'!$D$2:$D$97,MATCH(A969,'08_PEDIDOS'!$A$2:$A$97,0))</f>
        <v>11</v>
      </c>
      <c r="G969" s="5" t="n">
        <f aca="false">INDEX('08_PEDIDOS'!$H$2:$H$97,MATCH(A969,'08_PEDIDOS'!$A$2:$A$97,0))</f>
        <v>10</v>
      </c>
      <c r="H969" s="17" t="n">
        <f aca="false">SUMIFS('05_RUTAS'!$F$2:$F$407,'05_RUTAS'!$A$2:$A$407,B969,'05_RUTAS'!$C$2:$C$407,C969)</f>
        <v>12</v>
      </c>
      <c r="I969" s="18" t="n">
        <f aca="false">SUMIFS('05_RUTAS'!$G$2:$G$407,'05_RUTAS'!$A$2:$A$407,B969,'05_RUTAS'!$C$2:$C$407,C969)</f>
        <v>8.02</v>
      </c>
      <c r="J969" s="18" t="n">
        <f aca="false">(ROUNDUP(F969/G969,0)*H969+F969*I969)/60</f>
        <v>1.87033333333333</v>
      </c>
      <c r="K969" s="5" t="n">
        <f aca="false">MONTH(INDEX('08_PEDIDOS'!$F$2:$F$97,MATCH(A969,'08_PEDIDOS'!$A$2:$A$97,0)))</f>
        <v>11</v>
      </c>
      <c r="L969" s="16" t="n">
        <f aca="false">J969*N(INDEX('04_MAQUINAS'!$F$2:$F$18,MATCH(E969,'04_MAQUINAS'!$A$2:$A$18,0)))</f>
        <v>59.8506666666667</v>
      </c>
      <c r="M969" s="17" t="n">
        <f aca="false">J969*INDEX('04_MAQUINAS'!$G$2:$G$18,MATCH(E969,'04_MAQUINAS'!$A$2:$A$18,0))*INDEX('04_MAQUINAS'!$H$2:$H$18,MATCH(E969,'04_MAQUINAS'!$A$2:$A$18,0))</f>
        <v>1.96385</v>
      </c>
      <c r="N969" s="2" t="s">
        <v>629</v>
      </c>
    </row>
    <row r="970" customFormat="false" ht="15" hidden="false" customHeight="false" outlineLevel="0" collapsed="false">
      <c r="A970" s="2" t="s">
        <v>605</v>
      </c>
      <c r="B970" s="2" t="s">
        <v>80</v>
      </c>
      <c r="C970" s="4" t="n">
        <v>9</v>
      </c>
      <c r="D970" s="2" t="s">
        <v>447</v>
      </c>
      <c r="E970" s="2" t="s">
        <v>421</v>
      </c>
      <c r="F970" s="5" t="n">
        <f aca="false">INDEX('08_PEDIDOS'!$D$2:$D$97,MATCH(A970,'08_PEDIDOS'!$A$2:$A$97,0))</f>
        <v>11</v>
      </c>
      <c r="G970" s="5" t="n">
        <f aca="false">INDEX('08_PEDIDOS'!$H$2:$H$97,MATCH(A970,'08_PEDIDOS'!$A$2:$A$97,0))</f>
        <v>10</v>
      </c>
      <c r="H970" s="17" t="n">
        <f aca="false">SUMIFS('05_RUTAS'!$F$2:$F$407,'05_RUTAS'!$A$2:$A$407,B970,'05_RUTAS'!$C$2:$C$407,C970)</f>
        <v>45</v>
      </c>
      <c r="I970" s="18" t="n">
        <f aca="false">SUMIFS('05_RUTAS'!$G$2:$G$407,'05_RUTAS'!$A$2:$A$407,B970,'05_RUTAS'!$C$2:$C$407,C970)</f>
        <v>0</v>
      </c>
      <c r="J970" s="18" t="n">
        <f aca="false">(ROUNDUP(F970/G970,0)*H970+F970*I970)/60</f>
        <v>1.5</v>
      </c>
      <c r="K970" s="5" t="n">
        <f aca="false">MONTH(INDEX('08_PEDIDOS'!$F$2:$F$97,MATCH(A970,'08_PEDIDOS'!$A$2:$A$97,0)))</f>
        <v>11</v>
      </c>
      <c r="L970" s="16" t="n">
        <f aca="false">J970*N(INDEX('04_MAQUINAS'!$F$2:$F$18,MATCH(E970,'04_MAQUINAS'!$A$2:$A$18,0)))</f>
        <v>39</v>
      </c>
      <c r="M970" s="17" t="n">
        <f aca="false">J970*INDEX('04_MAQUINAS'!$G$2:$G$18,MATCH(E970,'04_MAQUINAS'!$A$2:$A$18,0))*INDEX('04_MAQUINAS'!$H$2:$H$18,MATCH(E970,'04_MAQUINAS'!$A$2:$A$18,0))</f>
        <v>21.6</v>
      </c>
      <c r="N970" s="2" t="s">
        <v>629</v>
      </c>
    </row>
    <row r="971" customFormat="false" ht="15" hidden="false" customHeight="false" outlineLevel="0" collapsed="false">
      <c r="A971" s="2" t="s">
        <v>605</v>
      </c>
      <c r="B971" s="2" t="s">
        <v>80</v>
      </c>
      <c r="C971" s="4" t="n">
        <v>10</v>
      </c>
      <c r="D971" s="2" t="s">
        <v>449</v>
      </c>
      <c r="E971" s="2" t="s">
        <v>423</v>
      </c>
      <c r="F971" s="5" t="n">
        <f aca="false">INDEX('08_PEDIDOS'!$D$2:$D$97,MATCH(A971,'08_PEDIDOS'!$A$2:$A$97,0))</f>
        <v>11</v>
      </c>
      <c r="G971" s="5" t="n">
        <f aca="false">INDEX('08_PEDIDOS'!$H$2:$H$97,MATCH(A971,'08_PEDIDOS'!$A$2:$A$97,0))</f>
        <v>10</v>
      </c>
      <c r="H971" s="17" t="n">
        <f aca="false">SUMIFS('05_RUTAS'!$F$2:$F$407,'05_RUTAS'!$A$2:$A$407,B971,'05_RUTAS'!$C$2:$C$407,C971)</f>
        <v>8</v>
      </c>
      <c r="I971" s="18" t="n">
        <f aca="false">SUMIFS('05_RUTAS'!$G$2:$G$407,'05_RUTAS'!$A$2:$A$407,B971,'05_RUTAS'!$C$2:$C$407,C971)</f>
        <v>2.69</v>
      </c>
      <c r="J971" s="18" t="n">
        <f aca="false">(ROUNDUP(F971/G971,0)*H971+F971*I971)/60</f>
        <v>0.759833333333333</v>
      </c>
      <c r="K971" s="5" t="n">
        <f aca="false">MONTH(INDEX('08_PEDIDOS'!$F$2:$F$97,MATCH(A971,'08_PEDIDOS'!$A$2:$A$97,0)))</f>
        <v>11</v>
      </c>
      <c r="L971" s="16" t="n">
        <f aca="false">J971*N(INDEX('04_MAQUINAS'!$F$2:$F$18,MATCH(E971,'04_MAQUINAS'!$A$2:$A$18,0)))</f>
        <v>12.1573333333333</v>
      </c>
      <c r="M971" s="17" t="n">
        <f aca="false">J971*INDEX('04_MAQUINAS'!$G$2:$G$18,MATCH(E971,'04_MAQUINAS'!$A$2:$A$18,0))*INDEX('04_MAQUINAS'!$H$2:$H$18,MATCH(E971,'04_MAQUINAS'!$A$2:$A$18,0))</f>
        <v>0.189958333333333</v>
      </c>
      <c r="N971" s="2" t="s">
        <v>629</v>
      </c>
    </row>
    <row r="972" customFormat="false" ht="15" hidden="false" customHeight="false" outlineLevel="0" collapsed="false">
      <c r="A972" s="2" t="s">
        <v>605</v>
      </c>
      <c r="B972" s="2" t="s">
        <v>80</v>
      </c>
      <c r="C972" s="4" t="n">
        <v>11</v>
      </c>
      <c r="D972" s="2" t="s">
        <v>450</v>
      </c>
      <c r="E972" s="2" t="s">
        <v>406</v>
      </c>
      <c r="F972" s="5" t="n">
        <f aca="false">INDEX('08_PEDIDOS'!$D$2:$D$97,MATCH(A972,'08_PEDIDOS'!$A$2:$A$97,0))</f>
        <v>11</v>
      </c>
      <c r="G972" s="5" t="n">
        <f aca="false">INDEX('08_PEDIDOS'!$H$2:$H$97,MATCH(A972,'08_PEDIDOS'!$A$2:$A$97,0))</f>
        <v>10</v>
      </c>
      <c r="H972" s="17" t="n">
        <f aca="false">SUMIFS('05_RUTAS'!$F$2:$F$407,'05_RUTAS'!$A$2:$A$407,B972,'05_RUTAS'!$C$2:$C$407,C972)</f>
        <v>6</v>
      </c>
      <c r="I972" s="18" t="n">
        <f aca="false">SUMIFS('05_RUTAS'!$G$2:$G$407,'05_RUTAS'!$A$2:$A$407,B972,'05_RUTAS'!$C$2:$C$407,C972)</f>
        <v>60</v>
      </c>
      <c r="J972" s="18" t="n">
        <f aca="false">(ROUNDUP(F972/G972,0)*H972+F972*I972)/60</f>
        <v>11.2</v>
      </c>
      <c r="K972" s="5" t="n">
        <f aca="false">MONTH(INDEX('08_PEDIDOS'!$F$2:$F$97,MATCH(A972,'08_PEDIDOS'!$A$2:$A$97,0)))</f>
        <v>11</v>
      </c>
      <c r="L972" s="16" t="n">
        <f aca="false">J972*N(INDEX('04_MAQUINAS'!$F$2:$F$18,MATCH(E972,'04_MAQUINAS'!$A$2:$A$18,0)))</f>
        <v>212.8</v>
      </c>
      <c r="M972" s="17" t="n">
        <f aca="false">J972*INDEX('04_MAQUINAS'!$G$2:$G$18,MATCH(E972,'04_MAQUINAS'!$A$2:$A$18,0))*INDEX('04_MAQUINAS'!$H$2:$H$18,MATCH(E972,'04_MAQUINAS'!$A$2:$A$18,0))</f>
        <v>3.36</v>
      </c>
      <c r="N972" s="2" t="s">
        <v>629</v>
      </c>
    </row>
    <row r="973" customFormat="false" ht="15" hidden="false" customHeight="false" outlineLevel="0" collapsed="false">
      <c r="A973" s="2" t="s">
        <v>605</v>
      </c>
      <c r="B973" s="2" t="s">
        <v>80</v>
      </c>
      <c r="C973" s="4" t="n">
        <v>12</v>
      </c>
      <c r="D973" s="2" t="s">
        <v>451</v>
      </c>
      <c r="E973" s="2" t="s">
        <v>408</v>
      </c>
      <c r="F973" s="5" t="n">
        <f aca="false">INDEX('08_PEDIDOS'!$D$2:$D$97,MATCH(A973,'08_PEDIDOS'!$A$2:$A$97,0))</f>
        <v>11</v>
      </c>
      <c r="G973" s="5" t="n">
        <f aca="false">INDEX('08_PEDIDOS'!$H$2:$H$97,MATCH(A973,'08_PEDIDOS'!$A$2:$A$97,0))</f>
        <v>10</v>
      </c>
      <c r="H973" s="17" t="n">
        <f aca="false">SUMIFS('05_RUTAS'!$F$2:$F$407,'05_RUTAS'!$A$2:$A$407,B973,'05_RUTAS'!$C$2:$C$407,C973)</f>
        <v>2</v>
      </c>
      <c r="I973" s="18" t="n">
        <f aca="false">SUMIFS('05_RUTAS'!$G$2:$G$407,'05_RUTAS'!$A$2:$A$407,B973,'05_RUTAS'!$C$2:$C$407,C973)</f>
        <v>3.86</v>
      </c>
      <c r="J973" s="18" t="n">
        <f aca="false">(ROUNDUP(F973/G973,0)*H973+F973*I973)/60</f>
        <v>0.774333333333333</v>
      </c>
      <c r="K973" s="5" t="n">
        <f aca="false">MONTH(INDEX('08_PEDIDOS'!$F$2:$F$97,MATCH(A973,'08_PEDIDOS'!$A$2:$A$97,0)))</f>
        <v>11</v>
      </c>
      <c r="L973" s="16" t="n">
        <f aca="false">J973*N(INDEX('04_MAQUINAS'!$F$2:$F$18,MATCH(E973,'04_MAQUINAS'!$A$2:$A$18,0)))</f>
        <v>15.4866666666667</v>
      </c>
      <c r="M973" s="17" t="n">
        <f aca="false">J973*INDEX('04_MAQUINAS'!$G$2:$G$18,MATCH(E973,'04_MAQUINAS'!$A$2:$A$18,0))*INDEX('04_MAQUINAS'!$H$2:$H$18,MATCH(E973,'04_MAQUINAS'!$A$2:$A$18,0))</f>
        <v>0.0774333333333333</v>
      </c>
      <c r="N973" s="2" t="s">
        <v>629</v>
      </c>
    </row>
    <row r="974" customFormat="false" ht="15" hidden="false" customHeight="false" outlineLevel="0" collapsed="false">
      <c r="A974" s="2" t="s">
        <v>605</v>
      </c>
      <c r="B974" s="2" t="s">
        <v>80</v>
      </c>
      <c r="C974" s="4" t="n">
        <v>13</v>
      </c>
      <c r="D974" s="2" t="s">
        <v>452</v>
      </c>
      <c r="E974" s="2" t="s">
        <v>411</v>
      </c>
      <c r="F974" s="5" t="n">
        <f aca="false">INDEX('08_PEDIDOS'!$D$2:$D$97,MATCH(A974,'08_PEDIDOS'!$A$2:$A$97,0))</f>
        <v>11</v>
      </c>
      <c r="G974" s="5" t="n">
        <f aca="false">INDEX('08_PEDIDOS'!$H$2:$H$97,MATCH(A974,'08_PEDIDOS'!$A$2:$A$97,0))</f>
        <v>10</v>
      </c>
      <c r="H974" s="17" t="n">
        <f aca="false">SUMIFS('05_RUTAS'!$F$2:$F$407,'05_RUTAS'!$A$2:$A$407,B974,'05_RUTAS'!$C$2:$C$407,C974)</f>
        <v>2</v>
      </c>
      <c r="I974" s="18" t="n">
        <f aca="false">SUMIFS('05_RUTAS'!$G$2:$G$407,'05_RUTAS'!$A$2:$A$407,B974,'05_RUTAS'!$C$2:$C$407,C974)</f>
        <v>5.3</v>
      </c>
      <c r="J974" s="18" t="n">
        <f aca="false">(ROUNDUP(F974/G974,0)*H974+F974*I974)/60</f>
        <v>1.03833333333333</v>
      </c>
      <c r="K974" s="5" t="n">
        <f aca="false">MONTH(INDEX('08_PEDIDOS'!$F$2:$F$97,MATCH(A974,'08_PEDIDOS'!$A$2:$A$97,0)))</f>
        <v>11</v>
      </c>
      <c r="L974" s="16" t="n">
        <f aca="false">J974*N(INDEX('04_MAQUINAS'!$F$2:$F$18,MATCH(E974,'04_MAQUINAS'!$A$2:$A$18,0)))</f>
        <v>18.69</v>
      </c>
      <c r="M974" s="17" t="n">
        <f aca="false">J974*INDEX('04_MAQUINAS'!$G$2:$G$18,MATCH(E974,'04_MAQUINAS'!$A$2:$A$18,0))*INDEX('04_MAQUINAS'!$H$2:$H$18,MATCH(E974,'04_MAQUINAS'!$A$2:$A$18,0))</f>
        <v>0.09345</v>
      </c>
      <c r="N974" s="2" t="s">
        <v>629</v>
      </c>
    </row>
    <row r="975" customFormat="false" ht="15" hidden="false" customHeight="false" outlineLevel="0" collapsed="false">
      <c r="A975" s="2" t="s">
        <v>606</v>
      </c>
      <c r="B975" s="2" t="s">
        <v>83</v>
      </c>
      <c r="C975" s="4" t="n">
        <v>1</v>
      </c>
      <c r="D975" s="2" t="s">
        <v>437</v>
      </c>
      <c r="E975" s="2" t="s">
        <v>375</v>
      </c>
      <c r="F975" s="5" t="n">
        <f aca="false">INDEX('08_PEDIDOS'!$D$2:$D$97,MATCH(A975,'08_PEDIDOS'!$A$2:$A$97,0))</f>
        <v>12</v>
      </c>
      <c r="G975" s="5" t="n">
        <f aca="false">INDEX('08_PEDIDOS'!$H$2:$H$97,MATCH(A975,'08_PEDIDOS'!$A$2:$A$97,0))</f>
        <v>10</v>
      </c>
      <c r="H975" s="17" t="n">
        <f aca="false">SUMIFS('05_RUTAS'!$F$2:$F$407,'05_RUTAS'!$A$2:$A$407,B975,'05_RUTAS'!$C$2:$C$407,C975)</f>
        <v>8</v>
      </c>
      <c r="I975" s="18" t="n">
        <f aca="false">SUMIFS('05_RUTAS'!$G$2:$G$407,'05_RUTAS'!$A$2:$A$407,B975,'05_RUTAS'!$C$2:$C$407,C975)</f>
        <v>36.67</v>
      </c>
      <c r="J975" s="18" t="n">
        <f aca="false">(ROUNDUP(F975/G975,0)*H975+F975*I975)/60</f>
        <v>7.60066666666667</v>
      </c>
      <c r="K975" s="5" t="n">
        <f aca="false">MONTH(INDEX('08_PEDIDOS'!$F$2:$F$97,MATCH(A975,'08_PEDIDOS'!$A$2:$A$97,0)))</f>
        <v>11</v>
      </c>
      <c r="L975" s="16" t="n">
        <f aca="false">J975*N(INDEX('04_MAQUINAS'!$F$2:$F$18,MATCH(E975,'04_MAQUINAS'!$A$2:$A$18,0)))</f>
        <v>182.416</v>
      </c>
      <c r="M975" s="17" t="n">
        <f aca="false">J975*INDEX('04_MAQUINAS'!$G$2:$G$18,MATCH(E975,'04_MAQUINAS'!$A$2:$A$18,0))*INDEX('04_MAQUINAS'!$H$2:$H$18,MATCH(E975,'04_MAQUINAS'!$A$2:$A$18,0))</f>
        <v>20.9018333333333</v>
      </c>
      <c r="N975" s="2" t="s">
        <v>629</v>
      </c>
    </row>
    <row r="976" customFormat="false" ht="15" hidden="false" customHeight="false" outlineLevel="0" collapsed="false">
      <c r="A976" s="2" t="s">
        <v>606</v>
      </c>
      <c r="B976" s="2" t="s">
        <v>83</v>
      </c>
      <c r="C976" s="4" t="n">
        <v>2</v>
      </c>
      <c r="D976" s="2" t="s">
        <v>441</v>
      </c>
      <c r="E976" s="2" t="s">
        <v>380</v>
      </c>
      <c r="F976" s="5" t="n">
        <f aca="false">INDEX('08_PEDIDOS'!$D$2:$D$97,MATCH(A976,'08_PEDIDOS'!$A$2:$A$97,0))</f>
        <v>12</v>
      </c>
      <c r="G976" s="5" t="n">
        <f aca="false">INDEX('08_PEDIDOS'!$H$2:$H$97,MATCH(A976,'08_PEDIDOS'!$A$2:$A$97,0))</f>
        <v>10</v>
      </c>
      <c r="H976" s="17" t="n">
        <f aca="false">SUMIFS('05_RUTAS'!$F$2:$F$407,'05_RUTAS'!$A$2:$A$407,B976,'05_RUTAS'!$C$2:$C$407,C976)</f>
        <v>8</v>
      </c>
      <c r="I976" s="18" t="n">
        <f aca="false">SUMIFS('05_RUTAS'!$G$2:$G$407,'05_RUTAS'!$A$2:$A$407,B976,'05_RUTAS'!$C$2:$C$407,C976)</f>
        <v>52</v>
      </c>
      <c r="J976" s="18" t="n">
        <f aca="false">(ROUNDUP(F976/G976,0)*H976+F976*I976)/60</f>
        <v>10.6666666666667</v>
      </c>
      <c r="K976" s="5" t="n">
        <f aca="false">MONTH(INDEX('08_PEDIDOS'!$F$2:$F$97,MATCH(A976,'08_PEDIDOS'!$A$2:$A$97,0)))</f>
        <v>11</v>
      </c>
      <c r="L976" s="16" t="n">
        <f aca="false">J976*N(INDEX('04_MAQUINAS'!$F$2:$F$18,MATCH(E976,'04_MAQUINAS'!$A$2:$A$18,0)))</f>
        <v>234.666666666667</v>
      </c>
      <c r="M976" s="17" t="n">
        <f aca="false">J976*INDEX('04_MAQUINAS'!$G$2:$G$18,MATCH(E976,'04_MAQUINAS'!$A$2:$A$18,0))*INDEX('04_MAQUINAS'!$H$2:$H$18,MATCH(E976,'04_MAQUINAS'!$A$2:$A$18,0))</f>
        <v>4.8</v>
      </c>
      <c r="N976" s="2" t="s">
        <v>629</v>
      </c>
    </row>
    <row r="977" customFormat="false" ht="15" hidden="false" customHeight="false" outlineLevel="0" collapsed="false">
      <c r="A977" s="2" t="s">
        <v>606</v>
      </c>
      <c r="B977" s="2" t="s">
        <v>83</v>
      </c>
      <c r="C977" s="4" t="n">
        <v>3</v>
      </c>
      <c r="D977" s="2" t="s">
        <v>386</v>
      </c>
      <c r="E977" s="2" t="s">
        <v>383</v>
      </c>
      <c r="F977" s="5" t="n">
        <f aca="false">INDEX('08_PEDIDOS'!$D$2:$D$97,MATCH(A977,'08_PEDIDOS'!$A$2:$A$97,0))</f>
        <v>12</v>
      </c>
      <c r="G977" s="5" t="n">
        <f aca="false">INDEX('08_PEDIDOS'!$H$2:$H$97,MATCH(A977,'08_PEDIDOS'!$A$2:$A$97,0))</f>
        <v>10</v>
      </c>
      <c r="H977" s="17" t="n">
        <f aca="false">SUMIFS('05_RUTAS'!$F$2:$F$407,'05_RUTAS'!$A$2:$A$407,B977,'05_RUTAS'!$C$2:$C$407,C977)</f>
        <v>10</v>
      </c>
      <c r="I977" s="18" t="n">
        <f aca="false">SUMIFS('05_RUTAS'!$G$2:$G$407,'05_RUTAS'!$A$2:$A$407,B977,'05_RUTAS'!$C$2:$C$407,C977)</f>
        <v>82.1</v>
      </c>
      <c r="J977" s="18" t="n">
        <f aca="false">(ROUNDUP(F977/G977,0)*H977+F977*I977)/60</f>
        <v>16.7533333333333</v>
      </c>
      <c r="K977" s="5" t="n">
        <f aca="false">MONTH(INDEX('08_PEDIDOS'!$F$2:$F$97,MATCH(A977,'08_PEDIDOS'!$A$2:$A$97,0)))</f>
        <v>11</v>
      </c>
      <c r="L977" s="16" t="n">
        <f aca="false">J977*N(INDEX('04_MAQUINAS'!$F$2:$F$18,MATCH(E977,'04_MAQUINAS'!$A$2:$A$18,0)))</f>
        <v>368.573333333333</v>
      </c>
      <c r="M977" s="17" t="n">
        <f aca="false">J977*INDEX('04_MAQUINAS'!$G$2:$G$18,MATCH(E977,'04_MAQUINAS'!$A$2:$A$18,0))*INDEX('04_MAQUINAS'!$H$2:$H$18,MATCH(E977,'04_MAQUINAS'!$A$2:$A$18,0))</f>
        <v>4.60716666666667</v>
      </c>
      <c r="N977" s="2" t="s">
        <v>629</v>
      </c>
    </row>
    <row r="978" customFormat="false" ht="15" hidden="false" customHeight="false" outlineLevel="0" collapsed="false">
      <c r="A978" s="2" t="s">
        <v>606</v>
      </c>
      <c r="B978" s="2" t="s">
        <v>83</v>
      </c>
      <c r="C978" s="4" t="n">
        <v>4</v>
      </c>
      <c r="D978" s="2" t="s">
        <v>390</v>
      </c>
      <c r="E978" s="2" t="s">
        <v>387</v>
      </c>
      <c r="F978" s="5" t="n">
        <f aca="false">INDEX('08_PEDIDOS'!$D$2:$D$97,MATCH(A978,'08_PEDIDOS'!$A$2:$A$97,0))</f>
        <v>12</v>
      </c>
      <c r="G978" s="5" t="n">
        <f aca="false">INDEX('08_PEDIDOS'!$H$2:$H$97,MATCH(A978,'08_PEDIDOS'!$A$2:$A$97,0))</f>
        <v>10</v>
      </c>
      <c r="H978" s="17" t="n">
        <f aca="false">SUMIFS('05_RUTAS'!$F$2:$F$407,'05_RUTAS'!$A$2:$A$407,B978,'05_RUTAS'!$C$2:$C$407,C978)</f>
        <v>12</v>
      </c>
      <c r="I978" s="18" t="n">
        <f aca="false">SUMIFS('05_RUTAS'!$G$2:$G$407,'05_RUTAS'!$A$2:$A$407,B978,'05_RUTAS'!$C$2:$C$407,C978)</f>
        <v>69</v>
      </c>
      <c r="J978" s="18" t="n">
        <f aca="false">(ROUNDUP(F978/G978,0)*H978+F978*I978)/60</f>
        <v>14.2</v>
      </c>
      <c r="K978" s="5" t="n">
        <f aca="false">MONTH(INDEX('08_PEDIDOS'!$F$2:$F$97,MATCH(A978,'08_PEDIDOS'!$A$2:$A$97,0)))</f>
        <v>11</v>
      </c>
      <c r="L978" s="16" t="n">
        <f aca="false">J978*N(INDEX('04_MAQUINAS'!$F$2:$F$18,MATCH(E978,'04_MAQUINAS'!$A$2:$A$18,0)))</f>
        <v>397.6</v>
      </c>
      <c r="M978" s="17" t="n">
        <f aca="false">J978*INDEX('04_MAQUINAS'!$G$2:$G$18,MATCH(E978,'04_MAQUINAS'!$A$2:$A$18,0))*INDEX('04_MAQUINAS'!$H$2:$H$18,MATCH(E978,'04_MAQUINAS'!$A$2:$A$18,0))</f>
        <v>35.145</v>
      </c>
      <c r="N978" s="2" t="s">
        <v>629</v>
      </c>
    </row>
    <row r="979" customFormat="false" ht="15" hidden="false" customHeight="false" outlineLevel="0" collapsed="false">
      <c r="A979" s="2" t="s">
        <v>606</v>
      </c>
      <c r="B979" s="2" t="s">
        <v>83</v>
      </c>
      <c r="C979" s="4" t="n">
        <v>5</v>
      </c>
      <c r="D979" s="2" t="s">
        <v>442</v>
      </c>
      <c r="E979" s="2" t="s">
        <v>391</v>
      </c>
      <c r="F979" s="5" t="n">
        <f aca="false">INDEX('08_PEDIDOS'!$D$2:$D$97,MATCH(A979,'08_PEDIDOS'!$A$2:$A$97,0))</f>
        <v>12</v>
      </c>
      <c r="G979" s="5" t="n">
        <f aca="false">INDEX('08_PEDIDOS'!$H$2:$H$97,MATCH(A979,'08_PEDIDOS'!$A$2:$A$97,0))</f>
        <v>10</v>
      </c>
      <c r="H979" s="17" t="n">
        <f aca="false">SUMIFS('05_RUTAS'!$F$2:$F$407,'05_RUTAS'!$A$2:$A$407,B979,'05_RUTAS'!$C$2:$C$407,C979)</f>
        <v>10</v>
      </c>
      <c r="I979" s="18" t="n">
        <f aca="false">SUMIFS('05_RUTAS'!$G$2:$G$407,'05_RUTAS'!$A$2:$A$407,B979,'05_RUTAS'!$C$2:$C$407,C979)</f>
        <v>78.4</v>
      </c>
      <c r="J979" s="18" t="n">
        <f aca="false">(ROUNDUP(F979/G979,0)*H979+F979*I979)/60</f>
        <v>16.0133333333333</v>
      </c>
      <c r="K979" s="5" t="n">
        <f aca="false">MONTH(INDEX('08_PEDIDOS'!$F$2:$F$97,MATCH(A979,'08_PEDIDOS'!$A$2:$A$97,0)))</f>
        <v>11</v>
      </c>
      <c r="L979" s="16" t="n">
        <f aca="false">J979*N(INDEX('04_MAQUINAS'!$F$2:$F$18,MATCH(E979,'04_MAQUINAS'!$A$2:$A$18,0)))</f>
        <v>512.426666666667</v>
      </c>
      <c r="M979" s="17" t="n">
        <f aca="false">J979*INDEX('04_MAQUINAS'!$G$2:$G$18,MATCH(E979,'04_MAQUINAS'!$A$2:$A$18,0))*INDEX('04_MAQUINAS'!$H$2:$H$18,MATCH(E979,'04_MAQUINAS'!$A$2:$A$18,0))</f>
        <v>28.0233333333333</v>
      </c>
      <c r="N979" s="2" t="s">
        <v>629</v>
      </c>
    </row>
    <row r="980" customFormat="false" ht="15" hidden="false" customHeight="false" outlineLevel="0" collapsed="false">
      <c r="A980" s="2" t="s">
        <v>606</v>
      </c>
      <c r="B980" s="2" t="s">
        <v>83</v>
      </c>
      <c r="C980" s="4" t="n">
        <v>6</v>
      </c>
      <c r="D980" s="2" t="s">
        <v>443</v>
      </c>
      <c r="E980" s="2" t="s">
        <v>395</v>
      </c>
      <c r="F980" s="5" t="n">
        <f aca="false">INDEX('08_PEDIDOS'!$D$2:$D$97,MATCH(A980,'08_PEDIDOS'!$A$2:$A$97,0))</f>
        <v>12</v>
      </c>
      <c r="G980" s="5" t="n">
        <f aca="false">INDEX('08_PEDIDOS'!$H$2:$H$97,MATCH(A980,'08_PEDIDOS'!$A$2:$A$97,0))</f>
        <v>10</v>
      </c>
      <c r="H980" s="17" t="n">
        <f aca="false">SUMIFS('05_RUTAS'!$F$2:$F$407,'05_RUTAS'!$A$2:$A$407,B980,'05_RUTAS'!$C$2:$C$407,C980)</f>
        <v>3</v>
      </c>
      <c r="I980" s="18" t="n">
        <f aca="false">SUMIFS('05_RUTAS'!$G$2:$G$407,'05_RUTAS'!$A$2:$A$407,B980,'05_RUTAS'!$C$2:$C$407,C980)</f>
        <v>49.5</v>
      </c>
      <c r="J980" s="18" t="n">
        <f aca="false">(ROUNDUP(F980/G980,0)*H980+F980*I980)/60</f>
        <v>10</v>
      </c>
      <c r="K980" s="5" t="n">
        <f aca="false">MONTH(INDEX('08_PEDIDOS'!$F$2:$F$97,MATCH(A980,'08_PEDIDOS'!$A$2:$A$97,0)))</f>
        <v>11</v>
      </c>
      <c r="L980" s="16" t="n">
        <f aca="false">J980*N(INDEX('04_MAQUINAS'!$F$2:$F$18,MATCH(E980,'04_MAQUINAS'!$A$2:$A$18,0)))</f>
        <v>210</v>
      </c>
      <c r="M980" s="17" t="n">
        <f aca="false">J980*INDEX('04_MAQUINAS'!$G$2:$G$18,MATCH(E980,'04_MAQUINAS'!$A$2:$A$18,0))*INDEX('04_MAQUINAS'!$H$2:$H$18,MATCH(E980,'04_MAQUINAS'!$A$2:$A$18,0))</f>
        <v>7.5</v>
      </c>
      <c r="N980" s="2" t="s">
        <v>629</v>
      </c>
    </row>
    <row r="981" customFormat="false" ht="15" hidden="false" customHeight="false" outlineLevel="0" collapsed="false">
      <c r="A981" s="2" t="s">
        <v>606</v>
      </c>
      <c r="B981" s="2" t="s">
        <v>83</v>
      </c>
      <c r="C981" s="4" t="n">
        <v>7</v>
      </c>
      <c r="D981" s="2" t="s">
        <v>444</v>
      </c>
      <c r="E981" s="2" t="s">
        <v>399</v>
      </c>
      <c r="F981" s="5" t="n">
        <f aca="false">INDEX('08_PEDIDOS'!$D$2:$D$97,MATCH(A981,'08_PEDIDOS'!$A$2:$A$97,0))</f>
        <v>12</v>
      </c>
      <c r="G981" s="5" t="n">
        <f aca="false">INDEX('08_PEDIDOS'!$H$2:$H$97,MATCH(A981,'08_PEDIDOS'!$A$2:$A$97,0))</f>
        <v>10</v>
      </c>
      <c r="H981" s="17" t="n">
        <f aca="false">SUMIFS('05_RUTAS'!$F$2:$F$407,'05_RUTAS'!$A$2:$A$407,B981,'05_RUTAS'!$C$2:$C$407,C981)</f>
        <v>6</v>
      </c>
      <c r="I981" s="18" t="n">
        <f aca="false">SUMIFS('05_RUTAS'!$G$2:$G$407,'05_RUTAS'!$A$2:$A$407,B981,'05_RUTAS'!$C$2:$C$407,C981)</f>
        <v>32.064</v>
      </c>
      <c r="J981" s="18" t="n">
        <f aca="false">(ROUNDUP(F981/G981,0)*H981+F981*I981)/60</f>
        <v>6.6128</v>
      </c>
      <c r="K981" s="5" t="n">
        <f aca="false">MONTH(INDEX('08_PEDIDOS'!$F$2:$F$97,MATCH(A981,'08_PEDIDOS'!$A$2:$A$97,0)))</f>
        <v>11</v>
      </c>
      <c r="L981" s="16" t="n">
        <f aca="false">J981*N(INDEX('04_MAQUINAS'!$F$2:$F$18,MATCH(E981,'04_MAQUINAS'!$A$2:$A$18,0)))</f>
        <v>125.6432</v>
      </c>
      <c r="M981" s="17" t="n">
        <f aca="false">J981*INDEX('04_MAQUINAS'!$G$2:$G$18,MATCH(E981,'04_MAQUINAS'!$A$2:$A$18,0))*INDEX('04_MAQUINAS'!$H$2:$H$18,MATCH(E981,'04_MAQUINAS'!$A$2:$A$18,0))</f>
        <v>5.819264</v>
      </c>
      <c r="N981" s="2" t="s">
        <v>629</v>
      </c>
    </row>
    <row r="982" customFormat="false" ht="15" hidden="false" customHeight="false" outlineLevel="0" collapsed="false">
      <c r="A982" s="2" t="s">
        <v>606</v>
      </c>
      <c r="B982" s="2" t="s">
        <v>83</v>
      </c>
      <c r="C982" s="4" t="n">
        <v>8</v>
      </c>
      <c r="D982" s="2" t="s">
        <v>445</v>
      </c>
      <c r="E982" s="2" t="s">
        <v>402</v>
      </c>
      <c r="F982" s="5" t="n">
        <f aca="false">INDEX('08_PEDIDOS'!$D$2:$D$97,MATCH(A982,'08_PEDIDOS'!$A$2:$A$97,0))</f>
        <v>12</v>
      </c>
      <c r="G982" s="5" t="n">
        <f aca="false">INDEX('08_PEDIDOS'!$H$2:$H$97,MATCH(A982,'08_PEDIDOS'!$A$2:$A$97,0))</f>
        <v>10</v>
      </c>
      <c r="H982" s="17" t="n">
        <f aca="false">SUMIFS('05_RUTAS'!$F$2:$F$407,'05_RUTAS'!$A$2:$A$407,B982,'05_RUTAS'!$C$2:$C$407,C982)</f>
        <v>12</v>
      </c>
      <c r="I982" s="18" t="n">
        <f aca="false">SUMIFS('05_RUTAS'!$G$2:$G$407,'05_RUTAS'!$A$2:$A$407,B982,'05_RUTAS'!$C$2:$C$407,C982)</f>
        <v>8.02</v>
      </c>
      <c r="J982" s="18" t="n">
        <f aca="false">(ROUNDUP(F982/G982,0)*H982+F982*I982)/60</f>
        <v>2.004</v>
      </c>
      <c r="K982" s="5" t="n">
        <f aca="false">MONTH(INDEX('08_PEDIDOS'!$F$2:$F$97,MATCH(A982,'08_PEDIDOS'!$A$2:$A$97,0)))</f>
        <v>11</v>
      </c>
      <c r="L982" s="16" t="n">
        <f aca="false">J982*N(INDEX('04_MAQUINAS'!$F$2:$F$18,MATCH(E982,'04_MAQUINAS'!$A$2:$A$18,0)))</f>
        <v>64.128</v>
      </c>
      <c r="M982" s="17" t="n">
        <f aca="false">J982*INDEX('04_MAQUINAS'!$G$2:$G$18,MATCH(E982,'04_MAQUINAS'!$A$2:$A$18,0))*INDEX('04_MAQUINAS'!$H$2:$H$18,MATCH(E982,'04_MAQUINAS'!$A$2:$A$18,0))</f>
        <v>2.1042</v>
      </c>
      <c r="N982" s="2" t="s">
        <v>629</v>
      </c>
    </row>
    <row r="983" customFormat="false" ht="15" hidden="false" customHeight="false" outlineLevel="0" collapsed="false">
      <c r="A983" s="2" t="s">
        <v>606</v>
      </c>
      <c r="B983" s="2" t="s">
        <v>83</v>
      </c>
      <c r="C983" s="4" t="n">
        <v>9</v>
      </c>
      <c r="D983" s="2" t="s">
        <v>447</v>
      </c>
      <c r="E983" s="2" t="s">
        <v>421</v>
      </c>
      <c r="F983" s="5" t="n">
        <f aca="false">INDEX('08_PEDIDOS'!$D$2:$D$97,MATCH(A983,'08_PEDIDOS'!$A$2:$A$97,0))</f>
        <v>12</v>
      </c>
      <c r="G983" s="5" t="n">
        <f aca="false">INDEX('08_PEDIDOS'!$H$2:$H$97,MATCH(A983,'08_PEDIDOS'!$A$2:$A$97,0))</f>
        <v>10</v>
      </c>
      <c r="H983" s="17" t="n">
        <f aca="false">SUMIFS('05_RUTAS'!$F$2:$F$407,'05_RUTAS'!$A$2:$A$407,B983,'05_RUTAS'!$C$2:$C$407,C983)</f>
        <v>45</v>
      </c>
      <c r="I983" s="18" t="n">
        <f aca="false">SUMIFS('05_RUTAS'!$G$2:$G$407,'05_RUTAS'!$A$2:$A$407,B983,'05_RUTAS'!$C$2:$C$407,C983)</f>
        <v>0</v>
      </c>
      <c r="J983" s="18" t="n">
        <f aca="false">(ROUNDUP(F983/G983,0)*H983+F983*I983)/60</f>
        <v>1.5</v>
      </c>
      <c r="K983" s="5" t="n">
        <f aca="false">MONTH(INDEX('08_PEDIDOS'!$F$2:$F$97,MATCH(A983,'08_PEDIDOS'!$A$2:$A$97,0)))</f>
        <v>11</v>
      </c>
      <c r="L983" s="16" t="n">
        <f aca="false">J983*N(INDEX('04_MAQUINAS'!$F$2:$F$18,MATCH(E983,'04_MAQUINAS'!$A$2:$A$18,0)))</f>
        <v>39</v>
      </c>
      <c r="M983" s="17" t="n">
        <f aca="false">J983*INDEX('04_MAQUINAS'!$G$2:$G$18,MATCH(E983,'04_MAQUINAS'!$A$2:$A$18,0))*INDEX('04_MAQUINAS'!$H$2:$H$18,MATCH(E983,'04_MAQUINAS'!$A$2:$A$18,0))</f>
        <v>21.6</v>
      </c>
      <c r="N983" s="2" t="s">
        <v>629</v>
      </c>
    </row>
    <row r="984" customFormat="false" ht="15" hidden="false" customHeight="false" outlineLevel="0" collapsed="false">
      <c r="A984" s="2" t="s">
        <v>606</v>
      </c>
      <c r="B984" s="2" t="s">
        <v>83</v>
      </c>
      <c r="C984" s="4" t="n">
        <v>10</v>
      </c>
      <c r="D984" s="2" t="s">
        <v>449</v>
      </c>
      <c r="E984" s="2" t="s">
        <v>423</v>
      </c>
      <c r="F984" s="5" t="n">
        <f aca="false">INDEX('08_PEDIDOS'!$D$2:$D$97,MATCH(A984,'08_PEDIDOS'!$A$2:$A$97,0))</f>
        <v>12</v>
      </c>
      <c r="G984" s="5" t="n">
        <f aca="false">INDEX('08_PEDIDOS'!$H$2:$H$97,MATCH(A984,'08_PEDIDOS'!$A$2:$A$97,0))</f>
        <v>10</v>
      </c>
      <c r="H984" s="17" t="n">
        <f aca="false">SUMIFS('05_RUTAS'!$F$2:$F$407,'05_RUTAS'!$A$2:$A$407,B984,'05_RUTAS'!$C$2:$C$407,C984)</f>
        <v>8</v>
      </c>
      <c r="I984" s="18" t="n">
        <f aca="false">SUMIFS('05_RUTAS'!$G$2:$G$407,'05_RUTAS'!$A$2:$A$407,B984,'05_RUTAS'!$C$2:$C$407,C984)</f>
        <v>2.69</v>
      </c>
      <c r="J984" s="18" t="n">
        <f aca="false">(ROUNDUP(F984/G984,0)*H984+F984*I984)/60</f>
        <v>0.804666666666667</v>
      </c>
      <c r="K984" s="5" t="n">
        <f aca="false">MONTH(INDEX('08_PEDIDOS'!$F$2:$F$97,MATCH(A984,'08_PEDIDOS'!$A$2:$A$97,0)))</f>
        <v>11</v>
      </c>
      <c r="L984" s="16" t="n">
        <f aca="false">J984*N(INDEX('04_MAQUINAS'!$F$2:$F$18,MATCH(E984,'04_MAQUINAS'!$A$2:$A$18,0)))</f>
        <v>12.8746666666667</v>
      </c>
      <c r="M984" s="17" t="n">
        <f aca="false">J984*INDEX('04_MAQUINAS'!$G$2:$G$18,MATCH(E984,'04_MAQUINAS'!$A$2:$A$18,0))*INDEX('04_MAQUINAS'!$H$2:$H$18,MATCH(E984,'04_MAQUINAS'!$A$2:$A$18,0))</f>
        <v>0.201166666666667</v>
      </c>
      <c r="N984" s="2" t="s">
        <v>629</v>
      </c>
    </row>
    <row r="985" customFormat="false" ht="15" hidden="false" customHeight="false" outlineLevel="0" collapsed="false">
      <c r="A985" s="2" t="s">
        <v>606</v>
      </c>
      <c r="B985" s="2" t="s">
        <v>83</v>
      </c>
      <c r="C985" s="4" t="n">
        <v>11</v>
      </c>
      <c r="D985" s="2" t="s">
        <v>450</v>
      </c>
      <c r="E985" s="2" t="s">
        <v>406</v>
      </c>
      <c r="F985" s="5" t="n">
        <f aca="false">INDEX('08_PEDIDOS'!$D$2:$D$97,MATCH(A985,'08_PEDIDOS'!$A$2:$A$97,0))</f>
        <v>12</v>
      </c>
      <c r="G985" s="5" t="n">
        <f aca="false">INDEX('08_PEDIDOS'!$H$2:$H$97,MATCH(A985,'08_PEDIDOS'!$A$2:$A$97,0))</f>
        <v>10</v>
      </c>
      <c r="H985" s="17" t="n">
        <f aca="false">SUMIFS('05_RUTAS'!$F$2:$F$407,'05_RUTAS'!$A$2:$A$407,B985,'05_RUTAS'!$C$2:$C$407,C985)</f>
        <v>6</v>
      </c>
      <c r="I985" s="18" t="n">
        <f aca="false">SUMIFS('05_RUTAS'!$G$2:$G$407,'05_RUTAS'!$A$2:$A$407,B985,'05_RUTAS'!$C$2:$C$407,C985)</f>
        <v>62.25</v>
      </c>
      <c r="J985" s="18" t="n">
        <f aca="false">(ROUNDUP(F985/G985,0)*H985+F985*I985)/60</f>
        <v>12.65</v>
      </c>
      <c r="K985" s="5" t="n">
        <f aca="false">MONTH(INDEX('08_PEDIDOS'!$F$2:$F$97,MATCH(A985,'08_PEDIDOS'!$A$2:$A$97,0)))</f>
        <v>11</v>
      </c>
      <c r="L985" s="16" t="n">
        <f aca="false">J985*N(INDEX('04_MAQUINAS'!$F$2:$F$18,MATCH(E985,'04_MAQUINAS'!$A$2:$A$18,0)))</f>
        <v>240.35</v>
      </c>
      <c r="M985" s="17" t="n">
        <f aca="false">J985*INDEX('04_MAQUINAS'!$G$2:$G$18,MATCH(E985,'04_MAQUINAS'!$A$2:$A$18,0))*INDEX('04_MAQUINAS'!$H$2:$H$18,MATCH(E985,'04_MAQUINAS'!$A$2:$A$18,0))</f>
        <v>3.795</v>
      </c>
      <c r="N985" s="2" t="s">
        <v>629</v>
      </c>
    </row>
    <row r="986" customFormat="false" ht="15" hidden="false" customHeight="false" outlineLevel="0" collapsed="false">
      <c r="A986" s="2" t="s">
        <v>606</v>
      </c>
      <c r="B986" s="2" t="s">
        <v>83</v>
      </c>
      <c r="C986" s="4" t="n">
        <v>12</v>
      </c>
      <c r="D986" s="2" t="s">
        <v>451</v>
      </c>
      <c r="E986" s="2" t="s">
        <v>408</v>
      </c>
      <c r="F986" s="5" t="n">
        <f aca="false">INDEX('08_PEDIDOS'!$D$2:$D$97,MATCH(A986,'08_PEDIDOS'!$A$2:$A$97,0))</f>
        <v>12</v>
      </c>
      <c r="G986" s="5" t="n">
        <f aca="false">INDEX('08_PEDIDOS'!$H$2:$H$97,MATCH(A986,'08_PEDIDOS'!$A$2:$A$97,0))</f>
        <v>10</v>
      </c>
      <c r="H986" s="17" t="n">
        <f aca="false">SUMIFS('05_RUTAS'!$F$2:$F$407,'05_RUTAS'!$A$2:$A$407,B986,'05_RUTAS'!$C$2:$C$407,C986)</f>
        <v>2</v>
      </c>
      <c r="I986" s="18" t="n">
        <f aca="false">SUMIFS('05_RUTAS'!$G$2:$G$407,'05_RUTAS'!$A$2:$A$407,B986,'05_RUTAS'!$C$2:$C$407,C986)</f>
        <v>3.86</v>
      </c>
      <c r="J986" s="18" t="n">
        <f aca="false">(ROUNDUP(F986/G986,0)*H986+F986*I986)/60</f>
        <v>0.838666666666667</v>
      </c>
      <c r="K986" s="5" t="n">
        <f aca="false">MONTH(INDEX('08_PEDIDOS'!$F$2:$F$97,MATCH(A986,'08_PEDIDOS'!$A$2:$A$97,0)))</f>
        <v>11</v>
      </c>
      <c r="L986" s="16" t="n">
        <f aca="false">J986*N(INDEX('04_MAQUINAS'!$F$2:$F$18,MATCH(E986,'04_MAQUINAS'!$A$2:$A$18,0)))</f>
        <v>16.7733333333333</v>
      </c>
      <c r="M986" s="17" t="n">
        <f aca="false">J986*INDEX('04_MAQUINAS'!$G$2:$G$18,MATCH(E986,'04_MAQUINAS'!$A$2:$A$18,0))*INDEX('04_MAQUINAS'!$H$2:$H$18,MATCH(E986,'04_MAQUINAS'!$A$2:$A$18,0))</f>
        <v>0.0838666666666667</v>
      </c>
      <c r="N986" s="2" t="s">
        <v>629</v>
      </c>
    </row>
    <row r="987" customFormat="false" ht="15" hidden="false" customHeight="false" outlineLevel="0" collapsed="false">
      <c r="A987" s="2" t="s">
        <v>606</v>
      </c>
      <c r="B987" s="2" t="s">
        <v>83</v>
      </c>
      <c r="C987" s="4" t="n">
        <v>13</v>
      </c>
      <c r="D987" s="2" t="s">
        <v>452</v>
      </c>
      <c r="E987" s="2" t="s">
        <v>411</v>
      </c>
      <c r="F987" s="5" t="n">
        <f aca="false">INDEX('08_PEDIDOS'!$D$2:$D$97,MATCH(A987,'08_PEDIDOS'!$A$2:$A$97,0))</f>
        <v>12</v>
      </c>
      <c r="G987" s="5" t="n">
        <f aca="false">INDEX('08_PEDIDOS'!$H$2:$H$97,MATCH(A987,'08_PEDIDOS'!$A$2:$A$97,0))</f>
        <v>10</v>
      </c>
      <c r="H987" s="17" t="n">
        <f aca="false">SUMIFS('05_RUTAS'!$F$2:$F$407,'05_RUTAS'!$A$2:$A$407,B987,'05_RUTAS'!$C$2:$C$407,C987)</f>
        <v>2</v>
      </c>
      <c r="I987" s="18" t="n">
        <f aca="false">SUMIFS('05_RUTAS'!$G$2:$G$407,'05_RUTAS'!$A$2:$A$407,B987,'05_RUTAS'!$C$2:$C$407,C987)</f>
        <v>5.3</v>
      </c>
      <c r="J987" s="18" t="n">
        <f aca="false">(ROUNDUP(F987/G987,0)*H987+F987*I987)/60</f>
        <v>1.12666666666667</v>
      </c>
      <c r="K987" s="5" t="n">
        <f aca="false">MONTH(INDEX('08_PEDIDOS'!$F$2:$F$97,MATCH(A987,'08_PEDIDOS'!$A$2:$A$97,0)))</f>
        <v>11</v>
      </c>
      <c r="L987" s="16" t="n">
        <f aca="false">J987*N(INDEX('04_MAQUINAS'!$F$2:$F$18,MATCH(E987,'04_MAQUINAS'!$A$2:$A$18,0)))</f>
        <v>20.28</v>
      </c>
      <c r="M987" s="17" t="n">
        <f aca="false">J987*INDEX('04_MAQUINAS'!$G$2:$G$18,MATCH(E987,'04_MAQUINAS'!$A$2:$A$18,0))*INDEX('04_MAQUINAS'!$H$2:$H$18,MATCH(E987,'04_MAQUINAS'!$A$2:$A$18,0))</f>
        <v>0.1014</v>
      </c>
      <c r="N987" s="2" t="s">
        <v>629</v>
      </c>
    </row>
    <row r="988" customFormat="false" ht="15" hidden="false" customHeight="false" outlineLevel="0" collapsed="false">
      <c r="A988" s="2" t="s">
        <v>607</v>
      </c>
      <c r="B988" s="2" t="s">
        <v>94</v>
      </c>
      <c r="C988" s="4" t="n">
        <v>1</v>
      </c>
      <c r="D988" s="2" t="s">
        <v>437</v>
      </c>
      <c r="E988" s="2" t="s">
        <v>375</v>
      </c>
      <c r="F988" s="5" t="n">
        <f aca="false">INDEX('08_PEDIDOS'!$D$2:$D$97,MATCH(A988,'08_PEDIDOS'!$A$2:$A$97,0))</f>
        <v>6</v>
      </c>
      <c r="G988" s="5" t="n">
        <f aca="false">INDEX('08_PEDIDOS'!$H$2:$H$97,MATCH(A988,'08_PEDIDOS'!$A$2:$A$97,0))</f>
        <v>10</v>
      </c>
      <c r="H988" s="17" t="n">
        <f aca="false">SUMIFS('05_RUTAS'!$F$2:$F$407,'05_RUTAS'!$A$2:$A$407,B988,'05_RUTAS'!$C$2:$C$407,C988)</f>
        <v>8</v>
      </c>
      <c r="I988" s="18" t="n">
        <f aca="false">SUMIFS('05_RUTAS'!$G$2:$G$407,'05_RUTAS'!$A$2:$A$407,B988,'05_RUTAS'!$C$2:$C$407,C988)</f>
        <v>90.38</v>
      </c>
      <c r="J988" s="18" t="n">
        <f aca="false">(ROUNDUP(F988/G988,0)*H988+F988*I988)/60</f>
        <v>9.17133333333333</v>
      </c>
      <c r="K988" s="5" t="n">
        <f aca="false">MONTH(INDEX('08_PEDIDOS'!$F$2:$F$97,MATCH(A988,'08_PEDIDOS'!$A$2:$A$97,0)))</f>
        <v>11</v>
      </c>
      <c r="L988" s="16" t="n">
        <f aca="false">J988*N(INDEX('04_MAQUINAS'!$F$2:$F$18,MATCH(E988,'04_MAQUINAS'!$A$2:$A$18,0)))</f>
        <v>220.112</v>
      </c>
      <c r="M988" s="17" t="n">
        <f aca="false">J988*INDEX('04_MAQUINAS'!$G$2:$G$18,MATCH(E988,'04_MAQUINAS'!$A$2:$A$18,0))*INDEX('04_MAQUINAS'!$H$2:$H$18,MATCH(E988,'04_MAQUINAS'!$A$2:$A$18,0))</f>
        <v>25.2211666666667</v>
      </c>
      <c r="N988" s="2" t="s">
        <v>629</v>
      </c>
    </row>
    <row r="989" customFormat="false" ht="15" hidden="false" customHeight="false" outlineLevel="0" collapsed="false">
      <c r="A989" s="2" t="s">
        <v>607</v>
      </c>
      <c r="B989" s="2" t="s">
        <v>94</v>
      </c>
      <c r="C989" s="4" t="n">
        <v>2</v>
      </c>
      <c r="D989" s="2" t="s">
        <v>441</v>
      </c>
      <c r="E989" s="2" t="s">
        <v>380</v>
      </c>
      <c r="F989" s="5" t="n">
        <f aca="false">INDEX('08_PEDIDOS'!$D$2:$D$97,MATCH(A989,'08_PEDIDOS'!$A$2:$A$97,0))</f>
        <v>6</v>
      </c>
      <c r="G989" s="5" t="n">
        <f aca="false">INDEX('08_PEDIDOS'!$H$2:$H$97,MATCH(A989,'08_PEDIDOS'!$A$2:$A$97,0))</f>
        <v>10</v>
      </c>
      <c r="H989" s="17" t="n">
        <f aca="false">SUMIFS('05_RUTAS'!$F$2:$F$407,'05_RUTAS'!$A$2:$A$407,B989,'05_RUTAS'!$C$2:$C$407,C989)</f>
        <v>8</v>
      </c>
      <c r="I989" s="18" t="n">
        <f aca="false">SUMIFS('05_RUTAS'!$G$2:$G$407,'05_RUTAS'!$A$2:$A$407,B989,'05_RUTAS'!$C$2:$C$407,C989)</f>
        <v>5.98</v>
      </c>
      <c r="J989" s="18" t="n">
        <f aca="false">(ROUNDUP(F989/G989,0)*H989+F989*I989)/60</f>
        <v>0.731333333333333</v>
      </c>
      <c r="K989" s="5" t="n">
        <f aca="false">MONTH(INDEX('08_PEDIDOS'!$F$2:$F$97,MATCH(A989,'08_PEDIDOS'!$A$2:$A$97,0)))</f>
        <v>11</v>
      </c>
      <c r="L989" s="16" t="n">
        <f aca="false">J989*N(INDEX('04_MAQUINAS'!$F$2:$F$18,MATCH(E989,'04_MAQUINAS'!$A$2:$A$18,0)))</f>
        <v>16.0893333333333</v>
      </c>
      <c r="M989" s="17" t="n">
        <f aca="false">J989*INDEX('04_MAQUINAS'!$G$2:$G$18,MATCH(E989,'04_MAQUINAS'!$A$2:$A$18,0))*INDEX('04_MAQUINAS'!$H$2:$H$18,MATCH(E989,'04_MAQUINAS'!$A$2:$A$18,0))</f>
        <v>0.3291</v>
      </c>
      <c r="N989" s="2" t="s">
        <v>629</v>
      </c>
    </row>
    <row r="990" customFormat="false" ht="15" hidden="false" customHeight="false" outlineLevel="0" collapsed="false">
      <c r="A990" s="2" t="s">
        <v>607</v>
      </c>
      <c r="B990" s="2" t="s">
        <v>94</v>
      </c>
      <c r="C990" s="4" t="n">
        <v>3</v>
      </c>
      <c r="D990" s="2" t="s">
        <v>386</v>
      </c>
      <c r="E990" s="2" t="s">
        <v>383</v>
      </c>
      <c r="F990" s="5" t="n">
        <f aca="false">INDEX('08_PEDIDOS'!$D$2:$D$97,MATCH(A990,'08_PEDIDOS'!$A$2:$A$97,0))</f>
        <v>6</v>
      </c>
      <c r="G990" s="5" t="n">
        <f aca="false">INDEX('08_PEDIDOS'!$H$2:$H$97,MATCH(A990,'08_PEDIDOS'!$A$2:$A$97,0))</f>
        <v>10</v>
      </c>
      <c r="H990" s="17" t="n">
        <f aca="false">SUMIFS('05_RUTAS'!$F$2:$F$407,'05_RUTAS'!$A$2:$A$407,B990,'05_RUTAS'!$C$2:$C$407,C990)</f>
        <v>10</v>
      </c>
      <c r="I990" s="18" t="n">
        <f aca="false">SUMIFS('05_RUTAS'!$G$2:$G$407,'05_RUTAS'!$A$2:$A$407,B990,'05_RUTAS'!$C$2:$C$407,C990)</f>
        <v>97</v>
      </c>
      <c r="J990" s="18" t="n">
        <f aca="false">(ROUNDUP(F990/G990,0)*H990+F990*I990)/60</f>
        <v>9.86666666666667</v>
      </c>
      <c r="K990" s="5" t="n">
        <f aca="false">MONTH(INDEX('08_PEDIDOS'!$F$2:$F$97,MATCH(A990,'08_PEDIDOS'!$A$2:$A$97,0)))</f>
        <v>11</v>
      </c>
      <c r="L990" s="16" t="n">
        <f aca="false">J990*N(INDEX('04_MAQUINAS'!$F$2:$F$18,MATCH(E990,'04_MAQUINAS'!$A$2:$A$18,0)))</f>
        <v>217.066666666667</v>
      </c>
      <c r="M990" s="17" t="n">
        <f aca="false">J990*INDEX('04_MAQUINAS'!$G$2:$G$18,MATCH(E990,'04_MAQUINAS'!$A$2:$A$18,0))*INDEX('04_MAQUINAS'!$H$2:$H$18,MATCH(E990,'04_MAQUINAS'!$A$2:$A$18,0))</f>
        <v>2.71333333333333</v>
      </c>
      <c r="N990" s="2" t="s">
        <v>629</v>
      </c>
    </row>
    <row r="991" customFormat="false" ht="15" hidden="false" customHeight="false" outlineLevel="0" collapsed="false">
      <c r="A991" s="2" t="s">
        <v>607</v>
      </c>
      <c r="B991" s="2" t="s">
        <v>94</v>
      </c>
      <c r="C991" s="4" t="n">
        <v>4</v>
      </c>
      <c r="D991" s="2" t="s">
        <v>390</v>
      </c>
      <c r="E991" s="2" t="s">
        <v>387</v>
      </c>
      <c r="F991" s="5" t="n">
        <f aca="false">INDEX('08_PEDIDOS'!$D$2:$D$97,MATCH(A991,'08_PEDIDOS'!$A$2:$A$97,0))</f>
        <v>6</v>
      </c>
      <c r="G991" s="5" t="n">
        <f aca="false">INDEX('08_PEDIDOS'!$H$2:$H$97,MATCH(A991,'08_PEDIDOS'!$A$2:$A$97,0))</f>
        <v>10</v>
      </c>
      <c r="H991" s="17" t="n">
        <f aca="false">SUMIFS('05_RUTAS'!$F$2:$F$407,'05_RUTAS'!$A$2:$A$407,B991,'05_RUTAS'!$C$2:$C$407,C991)</f>
        <v>12</v>
      </c>
      <c r="I991" s="18" t="n">
        <f aca="false">SUMIFS('05_RUTAS'!$G$2:$G$407,'05_RUTAS'!$A$2:$A$407,B991,'05_RUTAS'!$C$2:$C$407,C991)</f>
        <v>196</v>
      </c>
      <c r="J991" s="18" t="n">
        <f aca="false">(ROUNDUP(F991/G991,0)*H991+F991*I991)/60</f>
        <v>19.8</v>
      </c>
      <c r="K991" s="5" t="n">
        <f aca="false">MONTH(INDEX('08_PEDIDOS'!$F$2:$F$97,MATCH(A991,'08_PEDIDOS'!$A$2:$A$97,0)))</f>
        <v>11</v>
      </c>
      <c r="L991" s="16" t="n">
        <f aca="false">J991*N(INDEX('04_MAQUINAS'!$F$2:$F$18,MATCH(E991,'04_MAQUINAS'!$A$2:$A$18,0)))</f>
        <v>554.4</v>
      </c>
      <c r="M991" s="17" t="n">
        <f aca="false">J991*INDEX('04_MAQUINAS'!$G$2:$G$18,MATCH(E991,'04_MAQUINAS'!$A$2:$A$18,0))*INDEX('04_MAQUINAS'!$H$2:$H$18,MATCH(E991,'04_MAQUINAS'!$A$2:$A$18,0))</f>
        <v>49.005</v>
      </c>
      <c r="N991" s="2" t="s">
        <v>629</v>
      </c>
    </row>
    <row r="992" customFormat="false" ht="15" hidden="false" customHeight="false" outlineLevel="0" collapsed="false">
      <c r="A992" s="2" t="s">
        <v>607</v>
      </c>
      <c r="B992" s="2" t="s">
        <v>94</v>
      </c>
      <c r="C992" s="4" t="n">
        <v>5</v>
      </c>
      <c r="D992" s="2" t="s">
        <v>443</v>
      </c>
      <c r="E992" s="2" t="s">
        <v>395</v>
      </c>
      <c r="F992" s="5" t="n">
        <f aca="false">INDEX('08_PEDIDOS'!$D$2:$D$97,MATCH(A992,'08_PEDIDOS'!$A$2:$A$97,0))</f>
        <v>6</v>
      </c>
      <c r="G992" s="5" t="n">
        <f aca="false">INDEX('08_PEDIDOS'!$H$2:$H$97,MATCH(A992,'08_PEDIDOS'!$A$2:$A$97,0))</f>
        <v>10</v>
      </c>
      <c r="H992" s="17" t="n">
        <f aca="false">SUMIFS('05_RUTAS'!$F$2:$F$407,'05_RUTAS'!$A$2:$A$407,B992,'05_RUTAS'!$C$2:$C$407,C992)</f>
        <v>3</v>
      </c>
      <c r="I992" s="18" t="n">
        <f aca="false">SUMIFS('05_RUTAS'!$G$2:$G$407,'05_RUTAS'!$A$2:$A$407,B992,'05_RUTAS'!$C$2:$C$407,C992)</f>
        <v>51</v>
      </c>
      <c r="J992" s="18" t="n">
        <f aca="false">(ROUNDUP(F992/G992,0)*H992+F992*I992)/60</f>
        <v>5.15</v>
      </c>
      <c r="K992" s="5" t="n">
        <f aca="false">MONTH(INDEX('08_PEDIDOS'!$F$2:$F$97,MATCH(A992,'08_PEDIDOS'!$A$2:$A$97,0)))</f>
        <v>11</v>
      </c>
      <c r="L992" s="16" t="n">
        <f aca="false">J992*N(INDEX('04_MAQUINAS'!$F$2:$F$18,MATCH(E992,'04_MAQUINAS'!$A$2:$A$18,0)))</f>
        <v>108.15</v>
      </c>
      <c r="M992" s="17" t="n">
        <f aca="false">J992*INDEX('04_MAQUINAS'!$G$2:$G$18,MATCH(E992,'04_MAQUINAS'!$A$2:$A$18,0))*INDEX('04_MAQUINAS'!$H$2:$H$18,MATCH(E992,'04_MAQUINAS'!$A$2:$A$18,0))</f>
        <v>3.8625</v>
      </c>
      <c r="N992" s="2" t="s">
        <v>629</v>
      </c>
    </row>
    <row r="993" customFormat="false" ht="15" hidden="false" customHeight="false" outlineLevel="0" collapsed="false">
      <c r="A993" s="2" t="s">
        <v>607</v>
      </c>
      <c r="B993" s="2" t="s">
        <v>94</v>
      </c>
      <c r="C993" s="4" t="n">
        <v>6</v>
      </c>
      <c r="D993" s="2" t="s">
        <v>444</v>
      </c>
      <c r="E993" s="2" t="s">
        <v>399</v>
      </c>
      <c r="F993" s="5" t="n">
        <f aca="false">INDEX('08_PEDIDOS'!$D$2:$D$97,MATCH(A993,'08_PEDIDOS'!$A$2:$A$97,0))</f>
        <v>6</v>
      </c>
      <c r="G993" s="5" t="n">
        <f aca="false">INDEX('08_PEDIDOS'!$H$2:$H$97,MATCH(A993,'08_PEDIDOS'!$A$2:$A$97,0))</f>
        <v>10</v>
      </c>
      <c r="H993" s="17" t="n">
        <f aca="false">SUMIFS('05_RUTAS'!$F$2:$F$407,'05_RUTAS'!$A$2:$A$407,B993,'05_RUTAS'!$C$2:$C$407,C993)</f>
        <v>6</v>
      </c>
      <c r="I993" s="18" t="n">
        <f aca="false">SUMIFS('05_RUTAS'!$G$2:$G$407,'05_RUTAS'!$A$2:$A$407,B993,'05_RUTAS'!$C$2:$C$407,C993)</f>
        <v>40.5152</v>
      </c>
      <c r="J993" s="18" t="n">
        <f aca="false">(ROUNDUP(F993/G993,0)*H993+F993*I993)/60</f>
        <v>4.15152</v>
      </c>
      <c r="K993" s="5" t="n">
        <f aca="false">MONTH(INDEX('08_PEDIDOS'!$F$2:$F$97,MATCH(A993,'08_PEDIDOS'!$A$2:$A$97,0)))</f>
        <v>11</v>
      </c>
      <c r="L993" s="16" t="n">
        <f aca="false">J993*N(INDEX('04_MAQUINAS'!$F$2:$F$18,MATCH(E993,'04_MAQUINAS'!$A$2:$A$18,0)))</f>
        <v>78.87888</v>
      </c>
      <c r="M993" s="17" t="n">
        <f aca="false">J993*INDEX('04_MAQUINAS'!$G$2:$G$18,MATCH(E993,'04_MAQUINAS'!$A$2:$A$18,0))*INDEX('04_MAQUINAS'!$H$2:$H$18,MATCH(E993,'04_MAQUINAS'!$A$2:$A$18,0))</f>
        <v>3.6533376</v>
      </c>
      <c r="N993" s="2" t="s">
        <v>629</v>
      </c>
    </row>
    <row r="994" customFormat="false" ht="15" hidden="false" customHeight="false" outlineLevel="0" collapsed="false">
      <c r="A994" s="2" t="s">
        <v>607</v>
      </c>
      <c r="B994" s="2" t="s">
        <v>94</v>
      </c>
      <c r="C994" s="4" t="n">
        <v>7</v>
      </c>
      <c r="D994" s="2" t="s">
        <v>445</v>
      </c>
      <c r="E994" s="2" t="s">
        <v>402</v>
      </c>
      <c r="F994" s="5" t="n">
        <f aca="false">INDEX('08_PEDIDOS'!$D$2:$D$97,MATCH(A994,'08_PEDIDOS'!$A$2:$A$97,0))</f>
        <v>6</v>
      </c>
      <c r="G994" s="5" t="n">
        <f aca="false">INDEX('08_PEDIDOS'!$H$2:$H$97,MATCH(A994,'08_PEDIDOS'!$A$2:$A$97,0))</f>
        <v>10</v>
      </c>
      <c r="H994" s="17" t="n">
        <f aca="false">SUMIFS('05_RUTAS'!$F$2:$F$407,'05_RUTAS'!$A$2:$A$407,B994,'05_RUTAS'!$C$2:$C$407,C994)</f>
        <v>12</v>
      </c>
      <c r="I994" s="18" t="n">
        <f aca="false">SUMIFS('05_RUTAS'!$G$2:$G$407,'05_RUTAS'!$A$2:$A$407,B994,'05_RUTAS'!$C$2:$C$407,C994)</f>
        <v>7.76</v>
      </c>
      <c r="J994" s="18" t="n">
        <f aca="false">(ROUNDUP(F994/G994,0)*H994+F994*I994)/60</f>
        <v>0.976</v>
      </c>
      <c r="K994" s="5" t="n">
        <f aca="false">MONTH(INDEX('08_PEDIDOS'!$F$2:$F$97,MATCH(A994,'08_PEDIDOS'!$A$2:$A$97,0)))</f>
        <v>11</v>
      </c>
      <c r="L994" s="16" t="n">
        <f aca="false">J994*N(INDEX('04_MAQUINAS'!$F$2:$F$18,MATCH(E994,'04_MAQUINAS'!$A$2:$A$18,0)))</f>
        <v>31.232</v>
      </c>
      <c r="M994" s="17" t="n">
        <f aca="false">J994*INDEX('04_MAQUINAS'!$G$2:$G$18,MATCH(E994,'04_MAQUINAS'!$A$2:$A$18,0))*INDEX('04_MAQUINAS'!$H$2:$H$18,MATCH(E994,'04_MAQUINAS'!$A$2:$A$18,0))</f>
        <v>1.0248</v>
      </c>
      <c r="N994" s="2" t="s">
        <v>629</v>
      </c>
    </row>
    <row r="995" customFormat="false" ht="15" hidden="false" customHeight="false" outlineLevel="0" collapsed="false">
      <c r="A995" s="2" t="s">
        <v>607</v>
      </c>
      <c r="B995" s="2" t="s">
        <v>94</v>
      </c>
      <c r="C995" s="4" t="n">
        <v>8</v>
      </c>
      <c r="D995" s="2" t="s">
        <v>447</v>
      </c>
      <c r="E995" s="2" t="s">
        <v>421</v>
      </c>
      <c r="F995" s="5" t="n">
        <f aca="false">INDEX('08_PEDIDOS'!$D$2:$D$97,MATCH(A995,'08_PEDIDOS'!$A$2:$A$97,0))</f>
        <v>6</v>
      </c>
      <c r="G995" s="5" t="n">
        <f aca="false">INDEX('08_PEDIDOS'!$H$2:$H$97,MATCH(A995,'08_PEDIDOS'!$A$2:$A$97,0))</f>
        <v>10</v>
      </c>
      <c r="H995" s="17" t="n">
        <f aca="false">SUMIFS('05_RUTAS'!$F$2:$F$407,'05_RUTAS'!$A$2:$A$407,B995,'05_RUTAS'!$C$2:$C$407,C995)</f>
        <v>45</v>
      </c>
      <c r="I995" s="18" t="n">
        <f aca="false">SUMIFS('05_RUTAS'!$G$2:$G$407,'05_RUTAS'!$A$2:$A$407,B995,'05_RUTAS'!$C$2:$C$407,C995)</f>
        <v>0</v>
      </c>
      <c r="J995" s="18" t="n">
        <f aca="false">(ROUNDUP(F995/G995,0)*H995+F995*I995)/60</f>
        <v>0.75</v>
      </c>
      <c r="K995" s="5" t="n">
        <f aca="false">MONTH(INDEX('08_PEDIDOS'!$F$2:$F$97,MATCH(A995,'08_PEDIDOS'!$A$2:$A$97,0)))</f>
        <v>11</v>
      </c>
      <c r="L995" s="16" t="n">
        <f aca="false">J995*N(INDEX('04_MAQUINAS'!$F$2:$F$18,MATCH(E995,'04_MAQUINAS'!$A$2:$A$18,0)))</f>
        <v>19.5</v>
      </c>
      <c r="M995" s="17" t="n">
        <f aca="false">J995*INDEX('04_MAQUINAS'!$G$2:$G$18,MATCH(E995,'04_MAQUINAS'!$A$2:$A$18,0))*INDEX('04_MAQUINAS'!$H$2:$H$18,MATCH(E995,'04_MAQUINAS'!$A$2:$A$18,0))</f>
        <v>10.8</v>
      </c>
      <c r="N995" s="2" t="s">
        <v>629</v>
      </c>
    </row>
    <row r="996" customFormat="false" ht="15" hidden="false" customHeight="false" outlineLevel="0" collapsed="false">
      <c r="A996" s="2" t="s">
        <v>607</v>
      </c>
      <c r="B996" s="2" t="s">
        <v>94</v>
      </c>
      <c r="C996" s="4" t="n">
        <v>9</v>
      </c>
      <c r="D996" s="2" t="s">
        <v>449</v>
      </c>
      <c r="E996" s="2" t="s">
        <v>423</v>
      </c>
      <c r="F996" s="5" t="n">
        <f aca="false">INDEX('08_PEDIDOS'!$D$2:$D$97,MATCH(A996,'08_PEDIDOS'!$A$2:$A$97,0))</f>
        <v>6</v>
      </c>
      <c r="G996" s="5" t="n">
        <f aca="false">INDEX('08_PEDIDOS'!$H$2:$H$97,MATCH(A996,'08_PEDIDOS'!$A$2:$A$97,0))</f>
        <v>10</v>
      </c>
      <c r="H996" s="17" t="n">
        <f aca="false">SUMIFS('05_RUTAS'!$F$2:$F$407,'05_RUTAS'!$A$2:$A$407,B996,'05_RUTAS'!$C$2:$C$407,C996)</f>
        <v>8</v>
      </c>
      <c r="I996" s="18" t="n">
        <f aca="false">SUMIFS('05_RUTAS'!$G$2:$G$407,'05_RUTAS'!$A$2:$A$407,B996,'05_RUTAS'!$C$2:$C$407,C996)</f>
        <v>2.63</v>
      </c>
      <c r="J996" s="18" t="n">
        <f aca="false">(ROUNDUP(F996/G996,0)*H996+F996*I996)/60</f>
        <v>0.396333333333333</v>
      </c>
      <c r="K996" s="5" t="n">
        <f aca="false">MONTH(INDEX('08_PEDIDOS'!$F$2:$F$97,MATCH(A996,'08_PEDIDOS'!$A$2:$A$97,0)))</f>
        <v>11</v>
      </c>
      <c r="L996" s="16" t="n">
        <f aca="false">J996*N(INDEX('04_MAQUINAS'!$F$2:$F$18,MATCH(E996,'04_MAQUINAS'!$A$2:$A$18,0)))</f>
        <v>6.34133333333333</v>
      </c>
      <c r="M996" s="17" t="n">
        <f aca="false">J996*INDEX('04_MAQUINAS'!$G$2:$G$18,MATCH(E996,'04_MAQUINAS'!$A$2:$A$18,0))*INDEX('04_MAQUINAS'!$H$2:$H$18,MATCH(E996,'04_MAQUINAS'!$A$2:$A$18,0))</f>
        <v>0.0990833333333333</v>
      </c>
      <c r="N996" s="2" t="s">
        <v>629</v>
      </c>
    </row>
    <row r="997" customFormat="false" ht="15" hidden="false" customHeight="false" outlineLevel="0" collapsed="false">
      <c r="A997" s="2" t="s">
        <v>607</v>
      </c>
      <c r="B997" s="2" t="s">
        <v>94</v>
      </c>
      <c r="C997" s="4" t="n">
        <v>10</v>
      </c>
      <c r="D997" s="2" t="s">
        <v>450</v>
      </c>
      <c r="E997" s="2" t="s">
        <v>406</v>
      </c>
      <c r="F997" s="5" t="n">
        <f aca="false">INDEX('08_PEDIDOS'!$D$2:$D$97,MATCH(A997,'08_PEDIDOS'!$A$2:$A$97,0))</f>
        <v>6</v>
      </c>
      <c r="G997" s="5" t="n">
        <f aca="false">INDEX('08_PEDIDOS'!$H$2:$H$97,MATCH(A997,'08_PEDIDOS'!$A$2:$A$97,0))</f>
        <v>10</v>
      </c>
      <c r="H997" s="17" t="n">
        <f aca="false">SUMIFS('05_RUTAS'!$F$2:$F$407,'05_RUTAS'!$A$2:$A$407,B997,'05_RUTAS'!$C$2:$C$407,C997)</f>
        <v>6</v>
      </c>
      <c r="I997" s="18" t="n">
        <f aca="false">SUMIFS('05_RUTAS'!$G$2:$G$407,'05_RUTAS'!$A$2:$A$407,B997,'05_RUTAS'!$C$2:$C$407,C997)</f>
        <v>69</v>
      </c>
      <c r="J997" s="18" t="n">
        <f aca="false">(ROUNDUP(F997/G997,0)*H997+F997*I997)/60</f>
        <v>7</v>
      </c>
      <c r="K997" s="5" t="n">
        <f aca="false">MONTH(INDEX('08_PEDIDOS'!$F$2:$F$97,MATCH(A997,'08_PEDIDOS'!$A$2:$A$97,0)))</f>
        <v>11</v>
      </c>
      <c r="L997" s="16" t="n">
        <f aca="false">J997*N(INDEX('04_MAQUINAS'!$F$2:$F$18,MATCH(E997,'04_MAQUINAS'!$A$2:$A$18,0)))</f>
        <v>133</v>
      </c>
      <c r="M997" s="17" t="n">
        <f aca="false">J997*INDEX('04_MAQUINAS'!$G$2:$G$18,MATCH(E997,'04_MAQUINAS'!$A$2:$A$18,0))*INDEX('04_MAQUINAS'!$H$2:$H$18,MATCH(E997,'04_MAQUINAS'!$A$2:$A$18,0))</f>
        <v>2.1</v>
      </c>
      <c r="N997" s="2" t="s">
        <v>629</v>
      </c>
    </row>
    <row r="998" customFormat="false" ht="15" hidden="false" customHeight="false" outlineLevel="0" collapsed="false">
      <c r="A998" s="2" t="s">
        <v>607</v>
      </c>
      <c r="B998" s="2" t="s">
        <v>94</v>
      </c>
      <c r="C998" s="4" t="n">
        <v>11</v>
      </c>
      <c r="D998" s="2" t="s">
        <v>451</v>
      </c>
      <c r="E998" s="2" t="s">
        <v>408</v>
      </c>
      <c r="F998" s="5" t="n">
        <f aca="false">INDEX('08_PEDIDOS'!$D$2:$D$97,MATCH(A998,'08_PEDIDOS'!$A$2:$A$97,0))</f>
        <v>6</v>
      </c>
      <c r="G998" s="5" t="n">
        <f aca="false">INDEX('08_PEDIDOS'!$H$2:$H$97,MATCH(A998,'08_PEDIDOS'!$A$2:$A$97,0))</f>
        <v>10</v>
      </c>
      <c r="H998" s="17" t="n">
        <f aca="false">SUMIFS('05_RUTAS'!$F$2:$F$407,'05_RUTAS'!$A$2:$A$407,B998,'05_RUTAS'!$C$2:$C$407,C998)</f>
        <v>2</v>
      </c>
      <c r="I998" s="18" t="n">
        <f aca="false">SUMIFS('05_RUTAS'!$G$2:$G$407,'05_RUTAS'!$A$2:$A$407,B998,'05_RUTAS'!$C$2:$C$407,C998)</f>
        <v>3.79</v>
      </c>
      <c r="J998" s="18" t="n">
        <f aca="false">(ROUNDUP(F998/G998,0)*H998+F998*I998)/60</f>
        <v>0.412333333333333</v>
      </c>
      <c r="K998" s="5" t="n">
        <f aca="false">MONTH(INDEX('08_PEDIDOS'!$F$2:$F$97,MATCH(A998,'08_PEDIDOS'!$A$2:$A$97,0)))</f>
        <v>11</v>
      </c>
      <c r="L998" s="16" t="n">
        <f aca="false">J998*N(INDEX('04_MAQUINAS'!$F$2:$F$18,MATCH(E998,'04_MAQUINAS'!$A$2:$A$18,0)))</f>
        <v>8.24666666666667</v>
      </c>
      <c r="M998" s="17" t="n">
        <f aca="false">J998*INDEX('04_MAQUINAS'!$G$2:$G$18,MATCH(E998,'04_MAQUINAS'!$A$2:$A$18,0))*INDEX('04_MAQUINAS'!$H$2:$H$18,MATCH(E998,'04_MAQUINAS'!$A$2:$A$18,0))</f>
        <v>0.0412333333333333</v>
      </c>
      <c r="N998" s="2" t="s">
        <v>629</v>
      </c>
    </row>
    <row r="999" customFormat="false" ht="15" hidden="false" customHeight="false" outlineLevel="0" collapsed="false">
      <c r="A999" s="2" t="s">
        <v>607</v>
      </c>
      <c r="B999" s="2" t="s">
        <v>94</v>
      </c>
      <c r="C999" s="4" t="n">
        <v>12</v>
      </c>
      <c r="D999" s="2" t="s">
        <v>452</v>
      </c>
      <c r="E999" s="2" t="s">
        <v>411</v>
      </c>
      <c r="F999" s="5" t="n">
        <f aca="false">INDEX('08_PEDIDOS'!$D$2:$D$97,MATCH(A999,'08_PEDIDOS'!$A$2:$A$97,0))</f>
        <v>6</v>
      </c>
      <c r="G999" s="5" t="n">
        <f aca="false">INDEX('08_PEDIDOS'!$H$2:$H$97,MATCH(A999,'08_PEDIDOS'!$A$2:$A$97,0))</f>
        <v>10</v>
      </c>
      <c r="H999" s="17" t="n">
        <f aca="false">SUMIFS('05_RUTAS'!$F$2:$F$407,'05_RUTAS'!$A$2:$A$407,B999,'05_RUTAS'!$C$2:$C$407,C999)</f>
        <v>2</v>
      </c>
      <c r="I999" s="18" t="n">
        <f aca="false">SUMIFS('05_RUTAS'!$G$2:$G$407,'05_RUTAS'!$A$2:$A$407,B999,'05_RUTAS'!$C$2:$C$407,C999)</f>
        <v>5.18</v>
      </c>
      <c r="J999" s="18" t="n">
        <f aca="false">(ROUNDUP(F999/G999,0)*H999+F999*I999)/60</f>
        <v>0.551333333333333</v>
      </c>
      <c r="K999" s="5" t="n">
        <f aca="false">MONTH(INDEX('08_PEDIDOS'!$F$2:$F$97,MATCH(A999,'08_PEDIDOS'!$A$2:$A$97,0)))</f>
        <v>11</v>
      </c>
      <c r="L999" s="16" t="n">
        <f aca="false">J999*N(INDEX('04_MAQUINAS'!$F$2:$F$18,MATCH(E999,'04_MAQUINAS'!$A$2:$A$18,0)))</f>
        <v>9.924</v>
      </c>
      <c r="M999" s="17" t="n">
        <f aca="false">J999*INDEX('04_MAQUINAS'!$G$2:$G$18,MATCH(E999,'04_MAQUINAS'!$A$2:$A$18,0))*INDEX('04_MAQUINAS'!$H$2:$H$18,MATCH(E999,'04_MAQUINAS'!$A$2:$A$18,0))</f>
        <v>0.04962</v>
      </c>
      <c r="N999" s="2" t="s">
        <v>629</v>
      </c>
    </row>
    <row r="1000" customFormat="false" ht="15" hidden="false" customHeight="false" outlineLevel="0" collapsed="false">
      <c r="A1000" s="2" t="s">
        <v>608</v>
      </c>
      <c r="B1000" s="2" t="s">
        <v>96</v>
      </c>
      <c r="C1000" s="4" t="n">
        <v>1</v>
      </c>
      <c r="D1000" s="2" t="s">
        <v>437</v>
      </c>
      <c r="E1000" s="2" t="s">
        <v>375</v>
      </c>
      <c r="F1000" s="5" t="n">
        <f aca="false">INDEX('08_PEDIDOS'!$D$2:$D$97,MATCH(A1000,'08_PEDIDOS'!$A$2:$A$97,0))</f>
        <v>7</v>
      </c>
      <c r="G1000" s="5" t="n">
        <f aca="false">INDEX('08_PEDIDOS'!$H$2:$H$97,MATCH(A1000,'08_PEDIDOS'!$A$2:$A$97,0))</f>
        <v>10</v>
      </c>
      <c r="H1000" s="17" t="n">
        <f aca="false">SUMIFS('05_RUTAS'!$F$2:$F$407,'05_RUTAS'!$A$2:$A$407,B1000,'05_RUTAS'!$C$2:$C$407,C1000)</f>
        <v>8</v>
      </c>
      <c r="I1000" s="18" t="n">
        <f aca="false">SUMIFS('05_RUTAS'!$G$2:$G$407,'05_RUTAS'!$A$2:$A$407,B1000,'05_RUTAS'!$C$2:$C$407,C1000)</f>
        <v>56.975</v>
      </c>
      <c r="J1000" s="18" t="n">
        <f aca="false">(ROUNDUP(F1000/G1000,0)*H1000+F1000*I1000)/60</f>
        <v>6.78041666666667</v>
      </c>
      <c r="K1000" s="5" t="n">
        <f aca="false">MONTH(INDEX('08_PEDIDOS'!$F$2:$F$97,MATCH(A1000,'08_PEDIDOS'!$A$2:$A$97,0)))</f>
        <v>11</v>
      </c>
      <c r="L1000" s="16" t="n">
        <f aca="false">J1000*N(INDEX('04_MAQUINAS'!$F$2:$F$18,MATCH(E1000,'04_MAQUINAS'!$A$2:$A$18,0)))</f>
        <v>162.73</v>
      </c>
      <c r="M1000" s="17" t="n">
        <f aca="false">J1000*INDEX('04_MAQUINAS'!$G$2:$G$18,MATCH(E1000,'04_MAQUINAS'!$A$2:$A$18,0))*INDEX('04_MAQUINAS'!$H$2:$H$18,MATCH(E1000,'04_MAQUINAS'!$A$2:$A$18,0))</f>
        <v>18.6461458333333</v>
      </c>
      <c r="N1000" s="2" t="s">
        <v>629</v>
      </c>
    </row>
    <row r="1001" customFormat="false" ht="15" hidden="false" customHeight="false" outlineLevel="0" collapsed="false">
      <c r="A1001" s="2" t="s">
        <v>608</v>
      </c>
      <c r="B1001" s="2" t="s">
        <v>96</v>
      </c>
      <c r="C1001" s="4" t="n">
        <v>2</v>
      </c>
      <c r="D1001" s="2" t="s">
        <v>441</v>
      </c>
      <c r="E1001" s="2" t="s">
        <v>380</v>
      </c>
      <c r="F1001" s="5" t="n">
        <f aca="false">INDEX('08_PEDIDOS'!$D$2:$D$97,MATCH(A1001,'08_PEDIDOS'!$A$2:$A$97,0))</f>
        <v>7</v>
      </c>
      <c r="G1001" s="5" t="n">
        <f aca="false">INDEX('08_PEDIDOS'!$H$2:$H$97,MATCH(A1001,'08_PEDIDOS'!$A$2:$A$97,0))</f>
        <v>10</v>
      </c>
      <c r="H1001" s="17" t="n">
        <f aca="false">SUMIFS('05_RUTAS'!$F$2:$F$407,'05_RUTAS'!$A$2:$A$407,B1001,'05_RUTAS'!$C$2:$C$407,C1001)</f>
        <v>8</v>
      </c>
      <c r="I1001" s="18" t="n">
        <f aca="false">SUMIFS('05_RUTAS'!$G$2:$G$407,'05_RUTAS'!$A$2:$A$407,B1001,'05_RUTAS'!$C$2:$C$407,C1001)</f>
        <v>6.28</v>
      </c>
      <c r="J1001" s="18" t="n">
        <f aca="false">(ROUNDUP(F1001/G1001,0)*H1001+F1001*I1001)/60</f>
        <v>0.866</v>
      </c>
      <c r="K1001" s="5" t="n">
        <f aca="false">MONTH(INDEX('08_PEDIDOS'!$F$2:$F$97,MATCH(A1001,'08_PEDIDOS'!$A$2:$A$97,0)))</f>
        <v>11</v>
      </c>
      <c r="L1001" s="16" t="n">
        <f aca="false">J1001*N(INDEX('04_MAQUINAS'!$F$2:$F$18,MATCH(E1001,'04_MAQUINAS'!$A$2:$A$18,0)))</f>
        <v>19.052</v>
      </c>
      <c r="M1001" s="17" t="n">
        <f aca="false">J1001*INDEX('04_MAQUINAS'!$G$2:$G$18,MATCH(E1001,'04_MAQUINAS'!$A$2:$A$18,0))*INDEX('04_MAQUINAS'!$H$2:$H$18,MATCH(E1001,'04_MAQUINAS'!$A$2:$A$18,0))</f>
        <v>0.3897</v>
      </c>
      <c r="N1001" s="2" t="s">
        <v>629</v>
      </c>
    </row>
    <row r="1002" customFormat="false" ht="15" hidden="false" customHeight="false" outlineLevel="0" collapsed="false">
      <c r="A1002" s="2" t="s">
        <v>608</v>
      </c>
      <c r="B1002" s="2" t="s">
        <v>96</v>
      </c>
      <c r="C1002" s="4" t="n">
        <v>3</v>
      </c>
      <c r="D1002" s="2" t="s">
        <v>386</v>
      </c>
      <c r="E1002" s="2" t="s">
        <v>383</v>
      </c>
      <c r="F1002" s="5" t="n">
        <f aca="false">INDEX('08_PEDIDOS'!$D$2:$D$97,MATCH(A1002,'08_PEDIDOS'!$A$2:$A$97,0))</f>
        <v>7</v>
      </c>
      <c r="G1002" s="5" t="n">
        <f aca="false">INDEX('08_PEDIDOS'!$H$2:$H$97,MATCH(A1002,'08_PEDIDOS'!$A$2:$A$97,0))</f>
        <v>10</v>
      </c>
      <c r="H1002" s="17" t="n">
        <f aca="false">SUMIFS('05_RUTAS'!$F$2:$F$407,'05_RUTAS'!$A$2:$A$407,B1002,'05_RUTAS'!$C$2:$C$407,C1002)</f>
        <v>10</v>
      </c>
      <c r="I1002" s="18" t="n">
        <f aca="false">SUMIFS('05_RUTAS'!$G$2:$G$407,'05_RUTAS'!$A$2:$A$407,B1002,'05_RUTAS'!$C$2:$C$407,C1002)</f>
        <v>67</v>
      </c>
      <c r="J1002" s="18" t="n">
        <f aca="false">(ROUNDUP(F1002/G1002,0)*H1002+F1002*I1002)/60</f>
        <v>7.98333333333333</v>
      </c>
      <c r="K1002" s="5" t="n">
        <f aca="false">MONTH(INDEX('08_PEDIDOS'!$F$2:$F$97,MATCH(A1002,'08_PEDIDOS'!$A$2:$A$97,0)))</f>
        <v>11</v>
      </c>
      <c r="L1002" s="16" t="n">
        <f aca="false">J1002*N(INDEX('04_MAQUINAS'!$F$2:$F$18,MATCH(E1002,'04_MAQUINAS'!$A$2:$A$18,0)))</f>
        <v>175.633333333333</v>
      </c>
      <c r="M1002" s="17" t="n">
        <f aca="false">J1002*INDEX('04_MAQUINAS'!$G$2:$G$18,MATCH(E1002,'04_MAQUINAS'!$A$2:$A$18,0))*INDEX('04_MAQUINAS'!$H$2:$H$18,MATCH(E1002,'04_MAQUINAS'!$A$2:$A$18,0))</f>
        <v>2.19541666666667</v>
      </c>
      <c r="N1002" s="2" t="s">
        <v>629</v>
      </c>
    </row>
    <row r="1003" customFormat="false" ht="15" hidden="false" customHeight="false" outlineLevel="0" collapsed="false">
      <c r="A1003" s="2" t="s">
        <v>608</v>
      </c>
      <c r="B1003" s="2" t="s">
        <v>96</v>
      </c>
      <c r="C1003" s="4" t="n">
        <v>4</v>
      </c>
      <c r="D1003" s="2" t="s">
        <v>390</v>
      </c>
      <c r="E1003" s="2" t="s">
        <v>387</v>
      </c>
      <c r="F1003" s="5" t="n">
        <f aca="false">INDEX('08_PEDIDOS'!$D$2:$D$97,MATCH(A1003,'08_PEDIDOS'!$A$2:$A$97,0))</f>
        <v>7</v>
      </c>
      <c r="G1003" s="5" t="n">
        <f aca="false">INDEX('08_PEDIDOS'!$H$2:$H$97,MATCH(A1003,'08_PEDIDOS'!$A$2:$A$97,0))</f>
        <v>10</v>
      </c>
      <c r="H1003" s="17" t="n">
        <f aca="false">SUMIFS('05_RUTAS'!$F$2:$F$407,'05_RUTAS'!$A$2:$A$407,B1003,'05_RUTAS'!$C$2:$C$407,C1003)</f>
        <v>12</v>
      </c>
      <c r="I1003" s="18" t="n">
        <f aca="false">SUMIFS('05_RUTAS'!$G$2:$G$407,'05_RUTAS'!$A$2:$A$407,B1003,'05_RUTAS'!$C$2:$C$407,C1003)</f>
        <v>124</v>
      </c>
      <c r="J1003" s="18" t="n">
        <f aca="false">(ROUNDUP(F1003/G1003,0)*H1003+F1003*I1003)/60</f>
        <v>14.6666666666667</v>
      </c>
      <c r="K1003" s="5" t="n">
        <f aca="false">MONTH(INDEX('08_PEDIDOS'!$F$2:$F$97,MATCH(A1003,'08_PEDIDOS'!$A$2:$A$97,0)))</f>
        <v>11</v>
      </c>
      <c r="L1003" s="16" t="n">
        <f aca="false">J1003*N(INDEX('04_MAQUINAS'!$F$2:$F$18,MATCH(E1003,'04_MAQUINAS'!$A$2:$A$18,0)))</f>
        <v>410.666666666667</v>
      </c>
      <c r="M1003" s="17" t="n">
        <f aca="false">J1003*INDEX('04_MAQUINAS'!$G$2:$G$18,MATCH(E1003,'04_MAQUINAS'!$A$2:$A$18,0))*INDEX('04_MAQUINAS'!$H$2:$H$18,MATCH(E1003,'04_MAQUINAS'!$A$2:$A$18,0))</f>
        <v>36.3</v>
      </c>
      <c r="N1003" s="2" t="s">
        <v>629</v>
      </c>
    </row>
    <row r="1004" customFormat="false" ht="15" hidden="false" customHeight="false" outlineLevel="0" collapsed="false">
      <c r="A1004" s="2" t="s">
        <v>608</v>
      </c>
      <c r="B1004" s="2" t="s">
        <v>96</v>
      </c>
      <c r="C1004" s="4" t="n">
        <v>5</v>
      </c>
      <c r="D1004" s="2" t="s">
        <v>442</v>
      </c>
      <c r="E1004" s="2" t="s">
        <v>391</v>
      </c>
      <c r="F1004" s="5" t="n">
        <f aca="false">INDEX('08_PEDIDOS'!$D$2:$D$97,MATCH(A1004,'08_PEDIDOS'!$A$2:$A$97,0))</f>
        <v>7</v>
      </c>
      <c r="G1004" s="5" t="n">
        <f aca="false">INDEX('08_PEDIDOS'!$H$2:$H$97,MATCH(A1004,'08_PEDIDOS'!$A$2:$A$97,0))</f>
        <v>10</v>
      </c>
      <c r="H1004" s="17" t="n">
        <f aca="false">SUMIFS('05_RUTAS'!$F$2:$F$407,'05_RUTAS'!$A$2:$A$407,B1004,'05_RUTAS'!$C$2:$C$407,C1004)</f>
        <v>10</v>
      </c>
      <c r="I1004" s="18" t="n">
        <f aca="false">SUMIFS('05_RUTAS'!$G$2:$G$407,'05_RUTAS'!$A$2:$A$407,B1004,'05_RUTAS'!$C$2:$C$407,C1004)</f>
        <v>5.6</v>
      </c>
      <c r="J1004" s="18" t="n">
        <f aca="false">(ROUNDUP(F1004/G1004,0)*H1004+F1004*I1004)/60</f>
        <v>0.82</v>
      </c>
      <c r="K1004" s="5" t="n">
        <f aca="false">MONTH(INDEX('08_PEDIDOS'!$F$2:$F$97,MATCH(A1004,'08_PEDIDOS'!$A$2:$A$97,0)))</f>
        <v>11</v>
      </c>
      <c r="L1004" s="16" t="n">
        <f aca="false">J1004*N(INDEX('04_MAQUINAS'!$F$2:$F$18,MATCH(E1004,'04_MAQUINAS'!$A$2:$A$18,0)))</f>
        <v>26.24</v>
      </c>
      <c r="M1004" s="17" t="n">
        <f aca="false">J1004*INDEX('04_MAQUINAS'!$G$2:$G$18,MATCH(E1004,'04_MAQUINAS'!$A$2:$A$18,0))*INDEX('04_MAQUINAS'!$H$2:$H$18,MATCH(E1004,'04_MAQUINAS'!$A$2:$A$18,0))</f>
        <v>1.435</v>
      </c>
      <c r="N1004" s="2" t="s">
        <v>629</v>
      </c>
    </row>
    <row r="1005" customFormat="false" ht="15" hidden="false" customHeight="false" outlineLevel="0" collapsed="false">
      <c r="A1005" s="2" t="s">
        <v>608</v>
      </c>
      <c r="B1005" s="2" t="s">
        <v>96</v>
      </c>
      <c r="C1005" s="4" t="n">
        <v>6</v>
      </c>
      <c r="D1005" s="2" t="s">
        <v>443</v>
      </c>
      <c r="E1005" s="2" t="s">
        <v>395</v>
      </c>
      <c r="F1005" s="5" t="n">
        <f aca="false">INDEX('08_PEDIDOS'!$D$2:$D$97,MATCH(A1005,'08_PEDIDOS'!$A$2:$A$97,0))</f>
        <v>7</v>
      </c>
      <c r="G1005" s="5" t="n">
        <f aca="false">INDEX('08_PEDIDOS'!$H$2:$H$97,MATCH(A1005,'08_PEDIDOS'!$A$2:$A$97,0))</f>
        <v>10</v>
      </c>
      <c r="H1005" s="17" t="n">
        <f aca="false">SUMIFS('05_RUTAS'!$F$2:$F$407,'05_RUTAS'!$A$2:$A$407,B1005,'05_RUTAS'!$C$2:$C$407,C1005)</f>
        <v>3</v>
      </c>
      <c r="I1005" s="18" t="n">
        <f aca="false">SUMIFS('05_RUTAS'!$G$2:$G$407,'05_RUTAS'!$A$2:$A$407,B1005,'05_RUTAS'!$C$2:$C$407,C1005)</f>
        <v>33</v>
      </c>
      <c r="J1005" s="18" t="n">
        <f aca="false">(ROUNDUP(F1005/G1005,0)*H1005+F1005*I1005)/60</f>
        <v>3.9</v>
      </c>
      <c r="K1005" s="5" t="n">
        <f aca="false">MONTH(INDEX('08_PEDIDOS'!$F$2:$F$97,MATCH(A1005,'08_PEDIDOS'!$A$2:$A$97,0)))</f>
        <v>11</v>
      </c>
      <c r="L1005" s="16" t="n">
        <f aca="false">J1005*N(INDEX('04_MAQUINAS'!$F$2:$F$18,MATCH(E1005,'04_MAQUINAS'!$A$2:$A$18,0)))</f>
        <v>81.9</v>
      </c>
      <c r="M1005" s="17" t="n">
        <f aca="false">J1005*INDEX('04_MAQUINAS'!$G$2:$G$18,MATCH(E1005,'04_MAQUINAS'!$A$2:$A$18,0))*INDEX('04_MAQUINAS'!$H$2:$H$18,MATCH(E1005,'04_MAQUINAS'!$A$2:$A$18,0))</f>
        <v>2.925</v>
      </c>
      <c r="N1005" s="2" t="s">
        <v>629</v>
      </c>
    </row>
    <row r="1006" customFormat="false" ht="15" hidden="false" customHeight="false" outlineLevel="0" collapsed="false">
      <c r="A1006" s="2" t="s">
        <v>608</v>
      </c>
      <c r="B1006" s="2" t="s">
        <v>96</v>
      </c>
      <c r="C1006" s="4" t="n">
        <v>7</v>
      </c>
      <c r="D1006" s="2" t="s">
        <v>444</v>
      </c>
      <c r="E1006" s="2" t="s">
        <v>399</v>
      </c>
      <c r="F1006" s="5" t="n">
        <f aca="false">INDEX('08_PEDIDOS'!$D$2:$D$97,MATCH(A1006,'08_PEDIDOS'!$A$2:$A$97,0))</f>
        <v>7</v>
      </c>
      <c r="G1006" s="5" t="n">
        <f aca="false">INDEX('08_PEDIDOS'!$H$2:$H$97,MATCH(A1006,'08_PEDIDOS'!$A$2:$A$97,0))</f>
        <v>10</v>
      </c>
      <c r="H1006" s="17" t="n">
        <f aca="false">SUMIFS('05_RUTAS'!$F$2:$F$407,'05_RUTAS'!$A$2:$A$407,B1006,'05_RUTAS'!$C$2:$C$407,C1006)</f>
        <v>6</v>
      </c>
      <c r="I1006" s="18" t="n">
        <f aca="false">SUMIFS('05_RUTAS'!$G$2:$G$407,'05_RUTAS'!$A$2:$A$407,B1006,'05_RUTAS'!$C$2:$C$407,C1006)</f>
        <v>27.0712</v>
      </c>
      <c r="J1006" s="18" t="n">
        <f aca="false">(ROUNDUP(F1006/G1006,0)*H1006+F1006*I1006)/60</f>
        <v>3.25830666666667</v>
      </c>
      <c r="K1006" s="5" t="n">
        <f aca="false">MONTH(INDEX('08_PEDIDOS'!$F$2:$F$97,MATCH(A1006,'08_PEDIDOS'!$A$2:$A$97,0)))</f>
        <v>11</v>
      </c>
      <c r="L1006" s="16" t="n">
        <f aca="false">J1006*N(INDEX('04_MAQUINAS'!$F$2:$F$18,MATCH(E1006,'04_MAQUINAS'!$A$2:$A$18,0)))</f>
        <v>61.9078266666667</v>
      </c>
      <c r="M1006" s="17" t="n">
        <f aca="false">J1006*INDEX('04_MAQUINAS'!$G$2:$G$18,MATCH(E1006,'04_MAQUINAS'!$A$2:$A$18,0))*INDEX('04_MAQUINAS'!$H$2:$H$18,MATCH(E1006,'04_MAQUINAS'!$A$2:$A$18,0))</f>
        <v>2.86730986666667</v>
      </c>
      <c r="N1006" s="2" t="s">
        <v>629</v>
      </c>
    </row>
    <row r="1007" customFormat="false" ht="15" hidden="false" customHeight="false" outlineLevel="0" collapsed="false">
      <c r="A1007" s="2" t="s">
        <v>608</v>
      </c>
      <c r="B1007" s="2" t="s">
        <v>96</v>
      </c>
      <c r="C1007" s="4" t="n">
        <v>8</v>
      </c>
      <c r="D1007" s="2" t="s">
        <v>445</v>
      </c>
      <c r="E1007" s="2" t="s">
        <v>402</v>
      </c>
      <c r="F1007" s="5" t="n">
        <f aca="false">INDEX('08_PEDIDOS'!$D$2:$D$97,MATCH(A1007,'08_PEDIDOS'!$A$2:$A$97,0))</f>
        <v>7</v>
      </c>
      <c r="G1007" s="5" t="n">
        <f aca="false">INDEX('08_PEDIDOS'!$H$2:$H$97,MATCH(A1007,'08_PEDIDOS'!$A$2:$A$97,0))</f>
        <v>10</v>
      </c>
      <c r="H1007" s="17" t="n">
        <f aca="false">SUMIFS('05_RUTAS'!$F$2:$F$407,'05_RUTAS'!$A$2:$A$407,B1007,'05_RUTAS'!$C$2:$C$407,C1007)</f>
        <v>12</v>
      </c>
      <c r="I1007" s="18" t="n">
        <f aca="false">SUMIFS('05_RUTAS'!$G$2:$G$407,'05_RUTAS'!$A$2:$A$407,B1007,'05_RUTAS'!$C$2:$C$407,C1007)</f>
        <v>7.34</v>
      </c>
      <c r="J1007" s="18" t="n">
        <f aca="false">(ROUNDUP(F1007/G1007,0)*H1007+F1007*I1007)/60</f>
        <v>1.05633333333333</v>
      </c>
      <c r="K1007" s="5" t="n">
        <f aca="false">MONTH(INDEX('08_PEDIDOS'!$F$2:$F$97,MATCH(A1007,'08_PEDIDOS'!$A$2:$A$97,0)))</f>
        <v>11</v>
      </c>
      <c r="L1007" s="16" t="n">
        <f aca="false">J1007*N(INDEX('04_MAQUINAS'!$F$2:$F$18,MATCH(E1007,'04_MAQUINAS'!$A$2:$A$18,0)))</f>
        <v>33.8026666666667</v>
      </c>
      <c r="M1007" s="17" t="n">
        <f aca="false">J1007*INDEX('04_MAQUINAS'!$G$2:$G$18,MATCH(E1007,'04_MAQUINAS'!$A$2:$A$18,0))*INDEX('04_MAQUINAS'!$H$2:$H$18,MATCH(E1007,'04_MAQUINAS'!$A$2:$A$18,0))</f>
        <v>1.10915</v>
      </c>
      <c r="N1007" s="2" t="s">
        <v>629</v>
      </c>
    </row>
    <row r="1008" customFormat="false" ht="15" hidden="false" customHeight="false" outlineLevel="0" collapsed="false">
      <c r="A1008" s="2" t="s">
        <v>608</v>
      </c>
      <c r="B1008" s="2" t="s">
        <v>96</v>
      </c>
      <c r="C1008" s="4" t="n">
        <v>9</v>
      </c>
      <c r="D1008" s="2" t="s">
        <v>447</v>
      </c>
      <c r="E1008" s="2" t="s">
        <v>421</v>
      </c>
      <c r="F1008" s="5" t="n">
        <f aca="false">INDEX('08_PEDIDOS'!$D$2:$D$97,MATCH(A1008,'08_PEDIDOS'!$A$2:$A$97,0))</f>
        <v>7</v>
      </c>
      <c r="G1008" s="5" t="n">
        <f aca="false">INDEX('08_PEDIDOS'!$H$2:$H$97,MATCH(A1008,'08_PEDIDOS'!$A$2:$A$97,0))</f>
        <v>10</v>
      </c>
      <c r="H1008" s="17" t="n">
        <f aca="false">SUMIFS('05_RUTAS'!$F$2:$F$407,'05_RUTAS'!$A$2:$A$407,B1008,'05_RUTAS'!$C$2:$C$407,C1008)</f>
        <v>45</v>
      </c>
      <c r="I1008" s="18" t="n">
        <f aca="false">SUMIFS('05_RUTAS'!$G$2:$G$407,'05_RUTAS'!$A$2:$A$407,B1008,'05_RUTAS'!$C$2:$C$407,C1008)</f>
        <v>0</v>
      </c>
      <c r="J1008" s="18" t="n">
        <f aca="false">(ROUNDUP(F1008/G1008,0)*H1008+F1008*I1008)/60</f>
        <v>0.75</v>
      </c>
      <c r="K1008" s="5" t="n">
        <f aca="false">MONTH(INDEX('08_PEDIDOS'!$F$2:$F$97,MATCH(A1008,'08_PEDIDOS'!$A$2:$A$97,0)))</f>
        <v>11</v>
      </c>
      <c r="L1008" s="16" t="n">
        <f aca="false">J1008*N(INDEX('04_MAQUINAS'!$F$2:$F$18,MATCH(E1008,'04_MAQUINAS'!$A$2:$A$18,0)))</f>
        <v>19.5</v>
      </c>
      <c r="M1008" s="17" t="n">
        <f aca="false">J1008*INDEX('04_MAQUINAS'!$G$2:$G$18,MATCH(E1008,'04_MAQUINAS'!$A$2:$A$18,0))*INDEX('04_MAQUINAS'!$H$2:$H$18,MATCH(E1008,'04_MAQUINAS'!$A$2:$A$18,0))</f>
        <v>10.8</v>
      </c>
      <c r="N1008" s="2" t="s">
        <v>629</v>
      </c>
    </row>
    <row r="1009" customFormat="false" ht="15" hidden="false" customHeight="false" outlineLevel="0" collapsed="false">
      <c r="A1009" s="2" t="s">
        <v>608</v>
      </c>
      <c r="B1009" s="2" t="s">
        <v>96</v>
      </c>
      <c r="C1009" s="4" t="n">
        <v>10</v>
      </c>
      <c r="D1009" s="2" t="s">
        <v>449</v>
      </c>
      <c r="E1009" s="2" t="s">
        <v>423</v>
      </c>
      <c r="F1009" s="5" t="n">
        <f aca="false">INDEX('08_PEDIDOS'!$D$2:$D$97,MATCH(A1009,'08_PEDIDOS'!$A$2:$A$97,0))</f>
        <v>7</v>
      </c>
      <c r="G1009" s="5" t="n">
        <f aca="false">INDEX('08_PEDIDOS'!$H$2:$H$97,MATCH(A1009,'08_PEDIDOS'!$A$2:$A$97,0))</f>
        <v>10</v>
      </c>
      <c r="H1009" s="17" t="n">
        <f aca="false">SUMIFS('05_RUTAS'!$F$2:$F$407,'05_RUTAS'!$A$2:$A$407,B1009,'05_RUTAS'!$C$2:$C$407,C1009)</f>
        <v>8</v>
      </c>
      <c r="I1009" s="18" t="n">
        <f aca="false">SUMIFS('05_RUTAS'!$G$2:$G$407,'05_RUTAS'!$A$2:$A$407,B1009,'05_RUTAS'!$C$2:$C$407,C1009)</f>
        <v>2.54</v>
      </c>
      <c r="J1009" s="18" t="n">
        <f aca="false">(ROUNDUP(F1009/G1009,0)*H1009+F1009*I1009)/60</f>
        <v>0.429666666666667</v>
      </c>
      <c r="K1009" s="5" t="n">
        <f aca="false">MONTH(INDEX('08_PEDIDOS'!$F$2:$F$97,MATCH(A1009,'08_PEDIDOS'!$A$2:$A$97,0)))</f>
        <v>11</v>
      </c>
      <c r="L1009" s="16" t="n">
        <f aca="false">J1009*N(INDEX('04_MAQUINAS'!$F$2:$F$18,MATCH(E1009,'04_MAQUINAS'!$A$2:$A$18,0)))</f>
        <v>6.87466666666667</v>
      </c>
      <c r="M1009" s="17" t="n">
        <f aca="false">J1009*INDEX('04_MAQUINAS'!$G$2:$G$18,MATCH(E1009,'04_MAQUINAS'!$A$2:$A$18,0))*INDEX('04_MAQUINAS'!$H$2:$H$18,MATCH(E1009,'04_MAQUINAS'!$A$2:$A$18,0))</f>
        <v>0.107416666666667</v>
      </c>
      <c r="N1009" s="2" t="s">
        <v>629</v>
      </c>
    </row>
    <row r="1010" customFormat="false" ht="15" hidden="false" customHeight="false" outlineLevel="0" collapsed="false">
      <c r="A1010" s="2" t="s">
        <v>608</v>
      </c>
      <c r="B1010" s="2" t="s">
        <v>96</v>
      </c>
      <c r="C1010" s="4" t="n">
        <v>11</v>
      </c>
      <c r="D1010" s="2" t="s">
        <v>450</v>
      </c>
      <c r="E1010" s="2" t="s">
        <v>406</v>
      </c>
      <c r="F1010" s="5" t="n">
        <f aca="false">INDEX('08_PEDIDOS'!$D$2:$D$97,MATCH(A1010,'08_PEDIDOS'!$A$2:$A$97,0))</f>
        <v>7</v>
      </c>
      <c r="G1010" s="5" t="n">
        <f aca="false">INDEX('08_PEDIDOS'!$H$2:$H$97,MATCH(A1010,'08_PEDIDOS'!$A$2:$A$97,0))</f>
        <v>10</v>
      </c>
      <c r="H1010" s="17" t="n">
        <f aca="false">SUMIFS('05_RUTAS'!$F$2:$F$407,'05_RUTAS'!$A$2:$A$407,B1010,'05_RUTAS'!$C$2:$C$407,C1010)</f>
        <v>6</v>
      </c>
      <c r="I1010" s="18" t="n">
        <f aca="false">SUMIFS('05_RUTAS'!$G$2:$G$407,'05_RUTAS'!$A$2:$A$407,B1010,'05_RUTAS'!$C$2:$C$407,C1010)</f>
        <v>48.75</v>
      </c>
      <c r="J1010" s="18" t="n">
        <f aca="false">(ROUNDUP(F1010/G1010,0)*H1010+F1010*I1010)/60</f>
        <v>5.7875</v>
      </c>
      <c r="K1010" s="5" t="n">
        <f aca="false">MONTH(INDEX('08_PEDIDOS'!$F$2:$F$97,MATCH(A1010,'08_PEDIDOS'!$A$2:$A$97,0)))</f>
        <v>11</v>
      </c>
      <c r="L1010" s="16" t="n">
        <f aca="false">J1010*N(INDEX('04_MAQUINAS'!$F$2:$F$18,MATCH(E1010,'04_MAQUINAS'!$A$2:$A$18,0)))</f>
        <v>109.9625</v>
      </c>
      <c r="M1010" s="17" t="n">
        <f aca="false">J1010*INDEX('04_MAQUINAS'!$G$2:$G$18,MATCH(E1010,'04_MAQUINAS'!$A$2:$A$18,0))*INDEX('04_MAQUINAS'!$H$2:$H$18,MATCH(E1010,'04_MAQUINAS'!$A$2:$A$18,0))</f>
        <v>1.73625</v>
      </c>
      <c r="N1010" s="2" t="s">
        <v>629</v>
      </c>
    </row>
    <row r="1011" customFormat="false" ht="15" hidden="false" customHeight="false" outlineLevel="0" collapsed="false">
      <c r="A1011" s="2" t="s">
        <v>608</v>
      </c>
      <c r="B1011" s="2" t="s">
        <v>96</v>
      </c>
      <c r="C1011" s="4" t="n">
        <v>12</v>
      </c>
      <c r="D1011" s="2" t="s">
        <v>451</v>
      </c>
      <c r="E1011" s="2" t="s">
        <v>408</v>
      </c>
      <c r="F1011" s="5" t="n">
        <f aca="false">INDEX('08_PEDIDOS'!$D$2:$D$97,MATCH(A1011,'08_PEDIDOS'!$A$2:$A$97,0))</f>
        <v>7</v>
      </c>
      <c r="G1011" s="5" t="n">
        <f aca="false">INDEX('08_PEDIDOS'!$H$2:$H$97,MATCH(A1011,'08_PEDIDOS'!$A$2:$A$97,0))</f>
        <v>10</v>
      </c>
      <c r="H1011" s="17" t="n">
        <f aca="false">SUMIFS('05_RUTAS'!$F$2:$F$407,'05_RUTAS'!$A$2:$A$407,B1011,'05_RUTAS'!$C$2:$C$407,C1011)</f>
        <v>2</v>
      </c>
      <c r="I1011" s="18" t="n">
        <f aca="false">SUMIFS('05_RUTAS'!$G$2:$G$407,'05_RUTAS'!$A$2:$A$407,B1011,'05_RUTAS'!$C$2:$C$407,C1011)</f>
        <v>3.67</v>
      </c>
      <c r="J1011" s="18" t="n">
        <f aca="false">(ROUNDUP(F1011/G1011,0)*H1011+F1011*I1011)/60</f>
        <v>0.4615</v>
      </c>
      <c r="K1011" s="5" t="n">
        <f aca="false">MONTH(INDEX('08_PEDIDOS'!$F$2:$F$97,MATCH(A1011,'08_PEDIDOS'!$A$2:$A$97,0)))</f>
        <v>11</v>
      </c>
      <c r="L1011" s="16" t="n">
        <f aca="false">J1011*N(INDEX('04_MAQUINAS'!$F$2:$F$18,MATCH(E1011,'04_MAQUINAS'!$A$2:$A$18,0)))</f>
        <v>9.23</v>
      </c>
      <c r="M1011" s="17" t="n">
        <f aca="false">J1011*INDEX('04_MAQUINAS'!$G$2:$G$18,MATCH(E1011,'04_MAQUINAS'!$A$2:$A$18,0))*INDEX('04_MAQUINAS'!$H$2:$H$18,MATCH(E1011,'04_MAQUINAS'!$A$2:$A$18,0))</f>
        <v>0.04615</v>
      </c>
      <c r="N1011" s="2" t="s">
        <v>629</v>
      </c>
    </row>
    <row r="1012" customFormat="false" ht="15" hidden="false" customHeight="false" outlineLevel="0" collapsed="false">
      <c r="A1012" s="2" t="s">
        <v>608</v>
      </c>
      <c r="B1012" s="2" t="s">
        <v>96</v>
      </c>
      <c r="C1012" s="4" t="n">
        <v>13</v>
      </c>
      <c r="D1012" s="2" t="s">
        <v>452</v>
      </c>
      <c r="E1012" s="2" t="s">
        <v>411</v>
      </c>
      <c r="F1012" s="5" t="n">
        <f aca="false">INDEX('08_PEDIDOS'!$D$2:$D$97,MATCH(A1012,'08_PEDIDOS'!$A$2:$A$97,0))</f>
        <v>7</v>
      </c>
      <c r="G1012" s="5" t="n">
        <f aca="false">INDEX('08_PEDIDOS'!$H$2:$H$97,MATCH(A1012,'08_PEDIDOS'!$A$2:$A$97,0))</f>
        <v>10</v>
      </c>
      <c r="H1012" s="17" t="n">
        <f aca="false">SUMIFS('05_RUTAS'!$F$2:$F$407,'05_RUTAS'!$A$2:$A$407,B1012,'05_RUTAS'!$C$2:$C$407,C1012)</f>
        <v>2</v>
      </c>
      <c r="I1012" s="18" t="n">
        <f aca="false">SUMIFS('05_RUTAS'!$G$2:$G$407,'05_RUTAS'!$A$2:$A$407,B1012,'05_RUTAS'!$C$2:$C$407,C1012)</f>
        <v>5</v>
      </c>
      <c r="J1012" s="18" t="n">
        <f aca="false">(ROUNDUP(F1012/G1012,0)*H1012+F1012*I1012)/60</f>
        <v>0.616666666666667</v>
      </c>
      <c r="K1012" s="5" t="n">
        <f aca="false">MONTH(INDEX('08_PEDIDOS'!$F$2:$F$97,MATCH(A1012,'08_PEDIDOS'!$A$2:$A$97,0)))</f>
        <v>11</v>
      </c>
      <c r="L1012" s="16" t="n">
        <f aca="false">J1012*N(INDEX('04_MAQUINAS'!$F$2:$F$18,MATCH(E1012,'04_MAQUINAS'!$A$2:$A$18,0)))</f>
        <v>11.1</v>
      </c>
      <c r="M1012" s="17" t="n">
        <f aca="false">J1012*INDEX('04_MAQUINAS'!$G$2:$G$18,MATCH(E1012,'04_MAQUINAS'!$A$2:$A$18,0))*INDEX('04_MAQUINAS'!$H$2:$H$18,MATCH(E1012,'04_MAQUINAS'!$A$2:$A$18,0))</f>
        <v>0.0555</v>
      </c>
      <c r="N1012" s="2" t="s">
        <v>629</v>
      </c>
    </row>
    <row r="1013" customFormat="false" ht="15" hidden="false" customHeight="false" outlineLevel="0" collapsed="false">
      <c r="A1013" s="2" t="s">
        <v>609</v>
      </c>
      <c r="B1013" s="2" t="s">
        <v>106</v>
      </c>
      <c r="C1013" s="4" t="n">
        <v>1</v>
      </c>
      <c r="D1013" s="2" t="s">
        <v>437</v>
      </c>
      <c r="E1013" s="2" t="s">
        <v>375</v>
      </c>
      <c r="F1013" s="5" t="n">
        <f aca="false">INDEX('08_PEDIDOS'!$D$2:$D$97,MATCH(A1013,'08_PEDIDOS'!$A$2:$A$97,0))</f>
        <v>5</v>
      </c>
      <c r="G1013" s="5" t="n">
        <f aca="false">INDEX('08_PEDIDOS'!$H$2:$H$97,MATCH(A1013,'08_PEDIDOS'!$A$2:$A$97,0))</f>
        <v>10</v>
      </c>
      <c r="H1013" s="17" t="n">
        <f aca="false">SUMIFS('05_RUTAS'!$F$2:$F$407,'05_RUTAS'!$A$2:$A$407,B1013,'05_RUTAS'!$C$2:$C$407,C1013)</f>
        <v>8</v>
      </c>
      <c r="I1013" s="18" t="n">
        <f aca="false">SUMIFS('05_RUTAS'!$G$2:$G$407,'05_RUTAS'!$A$2:$A$407,B1013,'05_RUTAS'!$C$2:$C$407,C1013)</f>
        <v>40.245</v>
      </c>
      <c r="J1013" s="18" t="n">
        <f aca="false">(ROUNDUP(F1013/G1013,0)*H1013+F1013*I1013)/60</f>
        <v>3.48708333333333</v>
      </c>
      <c r="K1013" s="5" t="n">
        <f aca="false">MONTH(INDEX('08_PEDIDOS'!$F$2:$F$97,MATCH(A1013,'08_PEDIDOS'!$A$2:$A$97,0)))</f>
        <v>11</v>
      </c>
      <c r="L1013" s="16" t="n">
        <f aca="false">J1013*N(INDEX('04_MAQUINAS'!$F$2:$F$18,MATCH(E1013,'04_MAQUINAS'!$A$2:$A$18,0)))</f>
        <v>83.69</v>
      </c>
      <c r="M1013" s="17" t="n">
        <f aca="false">J1013*INDEX('04_MAQUINAS'!$G$2:$G$18,MATCH(E1013,'04_MAQUINAS'!$A$2:$A$18,0))*INDEX('04_MAQUINAS'!$H$2:$H$18,MATCH(E1013,'04_MAQUINAS'!$A$2:$A$18,0))</f>
        <v>9.58947916666667</v>
      </c>
      <c r="N1013" s="2" t="s">
        <v>629</v>
      </c>
    </row>
    <row r="1014" customFormat="false" ht="15" hidden="false" customHeight="false" outlineLevel="0" collapsed="false">
      <c r="A1014" s="2" t="s">
        <v>609</v>
      </c>
      <c r="B1014" s="2" t="s">
        <v>106</v>
      </c>
      <c r="C1014" s="4" t="n">
        <v>2</v>
      </c>
      <c r="D1014" s="2" t="s">
        <v>386</v>
      </c>
      <c r="E1014" s="2" t="s">
        <v>383</v>
      </c>
      <c r="F1014" s="5" t="n">
        <f aca="false">INDEX('08_PEDIDOS'!$D$2:$D$97,MATCH(A1014,'08_PEDIDOS'!$A$2:$A$97,0))</f>
        <v>5</v>
      </c>
      <c r="G1014" s="5" t="n">
        <f aca="false">INDEX('08_PEDIDOS'!$H$2:$H$97,MATCH(A1014,'08_PEDIDOS'!$A$2:$A$97,0))</f>
        <v>10</v>
      </c>
      <c r="H1014" s="17" t="n">
        <f aca="false">SUMIFS('05_RUTAS'!$F$2:$F$407,'05_RUTAS'!$A$2:$A$407,B1014,'05_RUTAS'!$C$2:$C$407,C1014)</f>
        <v>10</v>
      </c>
      <c r="I1014" s="18" t="n">
        <f aca="false">SUMIFS('05_RUTAS'!$G$2:$G$407,'05_RUTAS'!$A$2:$A$407,B1014,'05_RUTAS'!$C$2:$C$407,C1014)</f>
        <v>14.8</v>
      </c>
      <c r="J1014" s="18" t="n">
        <f aca="false">(ROUNDUP(F1014/G1014,0)*H1014+F1014*I1014)/60</f>
        <v>1.4</v>
      </c>
      <c r="K1014" s="5" t="n">
        <f aca="false">MONTH(INDEX('08_PEDIDOS'!$F$2:$F$97,MATCH(A1014,'08_PEDIDOS'!$A$2:$A$97,0)))</f>
        <v>11</v>
      </c>
      <c r="L1014" s="16" t="n">
        <f aca="false">J1014*N(INDEX('04_MAQUINAS'!$F$2:$F$18,MATCH(E1014,'04_MAQUINAS'!$A$2:$A$18,0)))</f>
        <v>30.8</v>
      </c>
      <c r="M1014" s="17" t="n">
        <f aca="false">J1014*INDEX('04_MAQUINAS'!$G$2:$G$18,MATCH(E1014,'04_MAQUINAS'!$A$2:$A$18,0))*INDEX('04_MAQUINAS'!$H$2:$H$18,MATCH(E1014,'04_MAQUINAS'!$A$2:$A$18,0))</f>
        <v>0.385</v>
      </c>
      <c r="N1014" s="2" t="s">
        <v>629</v>
      </c>
    </row>
    <row r="1015" customFormat="false" ht="15" hidden="false" customHeight="false" outlineLevel="0" collapsed="false">
      <c r="A1015" s="2" t="s">
        <v>609</v>
      </c>
      <c r="B1015" s="2" t="s">
        <v>106</v>
      </c>
      <c r="C1015" s="4" t="n">
        <v>3</v>
      </c>
      <c r="D1015" s="2" t="s">
        <v>390</v>
      </c>
      <c r="E1015" s="2" t="s">
        <v>387</v>
      </c>
      <c r="F1015" s="5" t="n">
        <f aca="false">INDEX('08_PEDIDOS'!$D$2:$D$97,MATCH(A1015,'08_PEDIDOS'!$A$2:$A$97,0))</f>
        <v>5</v>
      </c>
      <c r="G1015" s="5" t="n">
        <f aca="false">INDEX('08_PEDIDOS'!$H$2:$H$97,MATCH(A1015,'08_PEDIDOS'!$A$2:$A$97,0))</f>
        <v>10</v>
      </c>
      <c r="H1015" s="17" t="n">
        <f aca="false">SUMIFS('05_RUTAS'!$F$2:$F$407,'05_RUTAS'!$A$2:$A$407,B1015,'05_RUTAS'!$C$2:$C$407,C1015)</f>
        <v>12</v>
      </c>
      <c r="I1015" s="18" t="n">
        <f aca="false">SUMIFS('05_RUTAS'!$G$2:$G$407,'05_RUTAS'!$A$2:$A$407,B1015,'05_RUTAS'!$C$2:$C$407,C1015)</f>
        <v>104</v>
      </c>
      <c r="J1015" s="18" t="n">
        <f aca="false">(ROUNDUP(F1015/G1015,0)*H1015+F1015*I1015)/60</f>
        <v>8.86666666666667</v>
      </c>
      <c r="K1015" s="5" t="n">
        <f aca="false">MONTH(INDEX('08_PEDIDOS'!$F$2:$F$97,MATCH(A1015,'08_PEDIDOS'!$A$2:$A$97,0)))</f>
        <v>11</v>
      </c>
      <c r="L1015" s="16" t="n">
        <f aca="false">J1015*N(INDEX('04_MAQUINAS'!$F$2:$F$18,MATCH(E1015,'04_MAQUINAS'!$A$2:$A$18,0)))</f>
        <v>248.266666666667</v>
      </c>
      <c r="M1015" s="17" t="n">
        <f aca="false">J1015*INDEX('04_MAQUINAS'!$G$2:$G$18,MATCH(E1015,'04_MAQUINAS'!$A$2:$A$18,0))*INDEX('04_MAQUINAS'!$H$2:$H$18,MATCH(E1015,'04_MAQUINAS'!$A$2:$A$18,0))</f>
        <v>21.945</v>
      </c>
      <c r="N1015" s="2" t="s">
        <v>629</v>
      </c>
    </row>
    <row r="1016" customFormat="false" ht="15" hidden="false" customHeight="false" outlineLevel="0" collapsed="false">
      <c r="A1016" s="2" t="s">
        <v>609</v>
      </c>
      <c r="B1016" s="2" t="s">
        <v>106</v>
      </c>
      <c r="C1016" s="4" t="n">
        <v>4</v>
      </c>
      <c r="D1016" s="2" t="s">
        <v>443</v>
      </c>
      <c r="E1016" s="2" t="s">
        <v>395</v>
      </c>
      <c r="F1016" s="5" t="n">
        <f aca="false">INDEX('08_PEDIDOS'!$D$2:$D$97,MATCH(A1016,'08_PEDIDOS'!$A$2:$A$97,0))</f>
        <v>5</v>
      </c>
      <c r="G1016" s="5" t="n">
        <f aca="false">INDEX('08_PEDIDOS'!$H$2:$H$97,MATCH(A1016,'08_PEDIDOS'!$A$2:$A$97,0))</f>
        <v>10</v>
      </c>
      <c r="H1016" s="17" t="n">
        <f aca="false">SUMIFS('05_RUTAS'!$F$2:$F$407,'05_RUTAS'!$A$2:$A$407,B1016,'05_RUTAS'!$C$2:$C$407,C1016)</f>
        <v>3</v>
      </c>
      <c r="I1016" s="18" t="n">
        <f aca="false">SUMIFS('05_RUTAS'!$G$2:$G$407,'05_RUTAS'!$A$2:$A$407,B1016,'05_RUTAS'!$C$2:$C$407,C1016)</f>
        <v>18</v>
      </c>
      <c r="J1016" s="18" t="n">
        <f aca="false">(ROUNDUP(F1016/G1016,0)*H1016+F1016*I1016)/60</f>
        <v>1.55</v>
      </c>
      <c r="K1016" s="5" t="n">
        <f aca="false">MONTH(INDEX('08_PEDIDOS'!$F$2:$F$97,MATCH(A1016,'08_PEDIDOS'!$A$2:$A$97,0)))</f>
        <v>11</v>
      </c>
      <c r="L1016" s="16" t="n">
        <f aca="false">J1016*N(INDEX('04_MAQUINAS'!$F$2:$F$18,MATCH(E1016,'04_MAQUINAS'!$A$2:$A$18,0)))</f>
        <v>32.55</v>
      </c>
      <c r="M1016" s="17" t="n">
        <f aca="false">J1016*INDEX('04_MAQUINAS'!$G$2:$G$18,MATCH(E1016,'04_MAQUINAS'!$A$2:$A$18,0))*INDEX('04_MAQUINAS'!$H$2:$H$18,MATCH(E1016,'04_MAQUINAS'!$A$2:$A$18,0))</f>
        <v>1.1625</v>
      </c>
      <c r="N1016" s="2" t="s">
        <v>629</v>
      </c>
    </row>
    <row r="1017" customFormat="false" ht="15" hidden="false" customHeight="false" outlineLevel="0" collapsed="false">
      <c r="A1017" s="2" t="s">
        <v>609</v>
      </c>
      <c r="B1017" s="2" t="s">
        <v>106</v>
      </c>
      <c r="C1017" s="4" t="n">
        <v>5</v>
      </c>
      <c r="D1017" s="2" t="s">
        <v>444</v>
      </c>
      <c r="E1017" s="2" t="s">
        <v>399</v>
      </c>
      <c r="F1017" s="5" t="n">
        <f aca="false">INDEX('08_PEDIDOS'!$D$2:$D$97,MATCH(A1017,'08_PEDIDOS'!$A$2:$A$97,0))</f>
        <v>5</v>
      </c>
      <c r="G1017" s="5" t="n">
        <f aca="false">INDEX('08_PEDIDOS'!$H$2:$H$97,MATCH(A1017,'08_PEDIDOS'!$A$2:$A$97,0))</f>
        <v>10</v>
      </c>
      <c r="H1017" s="17" t="n">
        <f aca="false">SUMIFS('05_RUTAS'!$F$2:$F$407,'05_RUTAS'!$A$2:$A$407,B1017,'05_RUTAS'!$C$2:$C$407,C1017)</f>
        <v>6</v>
      </c>
      <c r="I1017" s="18" t="n">
        <f aca="false">SUMIFS('05_RUTAS'!$G$2:$G$407,'05_RUTAS'!$A$2:$A$407,B1017,'05_RUTAS'!$C$2:$C$407,C1017)</f>
        <v>26.324</v>
      </c>
      <c r="J1017" s="18" t="n">
        <f aca="false">(ROUNDUP(F1017/G1017,0)*H1017+F1017*I1017)/60</f>
        <v>2.29366666666667</v>
      </c>
      <c r="K1017" s="5" t="n">
        <f aca="false">MONTH(INDEX('08_PEDIDOS'!$F$2:$F$97,MATCH(A1017,'08_PEDIDOS'!$A$2:$A$97,0)))</f>
        <v>11</v>
      </c>
      <c r="L1017" s="16" t="n">
        <f aca="false">J1017*N(INDEX('04_MAQUINAS'!$F$2:$F$18,MATCH(E1017,'04_MAQUINAS'!$A$2:$A$18,0)))</f>
        <v>43.5796666666667</v>
      </c>
      <c r="M1017" s="17" t="n">
        <f aca="false">J1017*INDEX('04_MAQUINAS'!$G$2:$G$18,MATCH(E1017,'04_MAQUINAS'!$A$2:$A$18,0))*INDEX('04_MAQUINAS'!$H$2:$H$18,MATCH(E1017,'04_MAQUINAS'!$A$2:$A$18,0))</f>
        <v>2.01842666666667</v>
      </c>
      <c r="N1017" s="2" t="s">
        <v>629</v>
      </c>
    </row>
    <row r="1018" customFormat="false" ht="15" hidden="false" customHeight="false" outlineLevel="0" collapsed="false">
      <c r="A1018" s="2" t="s">
        <v>609</v>
      </c>
      <c r="B1018" s="2" t="s">
        <v>106</v>
      </c>
      <c r="C1018" s="4" t="n">
        <v>6</v>
      </c>
      <c r="D1018" s="2" t="s">
        <v>445</v>
      </c>
      <c r="E1018" s="2" t="s">
        <v>402</v>
      </c>
      <c r="F1018" s="5" t="n">
        <f aca="false">INDEX('08_PEDIDOS'!$D$2:$D$97,MATCH(A1018,'08_PEDIDOS'!$A$2:$A$97,0))</f>
        <v>5</v>
      </c>
      <c r="G1018" s="5" t="n">
        <f aca="false">INDEX('08_PEDIDOS'!$H$2:$H$97,MATCH(A1018,'08_PEDIDOS'!$A$2:$A$97,0))</f>
        <v>10</v>
      </c>
      <c r="H1018" s="17" t="n">
        <f aca="false">SUMIFS('05_RUTAS'!$F$2:$F$407,'05_RUTAS'!$A$2:$A$407,B1018,'05_RUTAS'!$C$2:$C$407,C1018)</f>
        <v>12</v>
      </c>
      <c r="I1018" s="18" t="n">
        <f aca="false">SUMIFS('05_RUTAS'!$G$2:$G$407,'05_RUTAS'!$A$2:$A$407,B1018,'05_RUTAS'!$C$2:$C$407,C1018)</f>
        <v>6.83</v>
      </c>
      <c r="J1018" s="18" t="n">
        <f aca="false">(ROUNDUP(F1018/G1018,0)*H1018+F1018*I1018)/60</f>
        <v>0.769166666666667</v>
      </c>
      <c r="K1018" s="5" t="n">
        <f aca="false">MONTH(INDEX('08_PEDIDOS'!$F$2:$F$97,MATCH(A1018,'08_PEDIDOS'!$A$2:$A$97,0)))</f>
        <v>11</v>
      </c>
      <c r="L1018" s="16" t="n">
        <f aca="false">J1018*N(INDEX('04_MAQUINAS'!$F$2:$F$18,MATCH(E1018,'04_MAQUINAS'!$A$2:$A$18,0)))</f>
        <v>24.6133333333333</v>
      </c>
      <c r="M1018" s="17" t="n">
        <f aca="false">J1018*INDEX('04_MAQUINAS'!$G$2:$G$18,MATCH(E1018,'04_MAQUINAS'!$A$2:$A$18,0))*INDEX('04_MAQUINAS'!$H$2:$H$18,MATCH(E1018,'04_MAQUINAS'!$A$2:$A$18,0))</f>
        <v>0.807625</v>
      </c>
      <c r="N1018" s="2" t="s">
        <v>629</v>
      </c>
    </row>
    <row r="1019" customFormat="false" ht="15" hidden="false" customHeight="false" outlineLevel="0" collapsed="false">
      <c r="A1019" s="2" t="s">
        <v>609</v>
      </c>
      <c r="B1019" s="2" t="s">
        <v>106</v>
      </c>
      <c r="C1019" s="4" t="n">
        <v>7</v>
      </c>
      <c r="D1019" s="2" t="s">
        <v>447</v>
      </c>
      <c r="E1019" s="2" t="s">
        <v>421</v>
      </c>
      <c r="F1019" s="5" t="n">
        <f aca="false">INDEX('08_PEDIDOS'!$D$2:$D$97,MATCH(A1019,'08_PEDIDOS'!$A$2:$A$97,0))</f>
        <v>5</v>
      </c>
      <c r="G1019" s="5" t="n">
        <f aca="false">INDEX('08_PEDIDOS'!$H$2:$H$97,MATCH(A1019,'08_PEDIDOS'!$A$2:$A$97,0))</f>
        <v>10</v>
      </c>
      <c r="H1019" s="17" t="n">
        <f aca="false">SUMIFS('05_RUTAS'!$F$2:$F$407,'05_RUTAS'!$A$2:$A$407,B1019,'05_RUTAS'!$C$2:$C$407,C1019)</f>
        <v>45</v>
      </c>
      <c r="I1019" s="18" t="n">
        <f aca="false">SUMIFS('05_RUTAS'!$G$2:$G$407,'05_RUTAS'!$A$2:$A$407,B1019,'05_RUTAS'!$C$2:$C$407,C1019)</f>
        <v>0</v>
      </c>
      <c r="J1019" s="18" t="n">
        <f aca="false">(ROUNDUP(F1019/G1019,0)*H1019+F1019*I1019)/60</f>
        <v>0.75</v>
      </c>
      <c r="K1019" s="5" t="n">
        <f aca="false">MONTH(INDEX('08_PEDIDOS'!$F$2:$F$97,MATCH(A1019,'08_PEDIDOS'!$A$2:$A$97,0)))</f>
        <v>11</v>
      </c>
      <c r="L1019" s="16" t="n">
        <f aca="false">J1019*N(INDEX('04_MAQUINAS'!$F$2:$F$18,MATCH(E1019,'04_MAQUINAS'!$A$2:$A$18,0)))</f>
        <v>19.5</v>
      </c>
      <c r="M1019" s="17" t="n">
        <f aca="false">J1019*INDEX('04_MAQUINAS'!$G$2:$G$18,MATCH(E1019,'04_MAQUINAS'!$A$2:$A$18,0))*INDEX('04_MAQUINAS'!$H$2:$H$18,MATCH(E1019,'04_MAQUINAS'!$A$2:$A$18,0))</f>
        <v>10.8</v>
      </c>
      <c r="N1019" s="2" t="s">
        <v>629</v>
      </c>
    </row>
    <row r="1020" customFormat="false" ht="15" hidden="false" customHeight="false" outlineLevel="0" collapsed="false">
      <c r="A1020" s="2" t="s">
        <v>609</v>
      </c>
      <c r="B1020" s="2" t="s">
        <v>106</v>
      </c>
      <c r="C1020" s="4" t="n">
        <v>8</v>
      </c>
      <c r="D1020" s="2" t="s">
        <v>449</v>
      </c>
      <c r="E1020" s="2" t="s">
        <v>423</v>
      </c>
      <c r="F1020" s="5" t="n">
        <f aca="false">INDEX('08_PEDIDOS'!$D$2:$D$97,MATCH(A1020,'08_PEDIDOS'!$A$2:$A$97,0))</f>
        <v>5</v>
      </c>
      <c r="G1020" s="5" t="n">
        <f aca="false">INDEX('08_PEDIDOS'!$H$2:$H$97,MATCH(A1020,'08_PEDIDOS'!$A$2:$A$97,0))</f>
        <v>10</v>
      </c>
      <c r="H1020" s="17" t="n">
        <f aca="false">SUMIFS('05_RUTAS'!$F$2:$F$407,'05_RUTAS'!$A$2:$A$407,B1020,'05_RUTAS'!$C$2:$C$407,C1020)</f>
        <v>8</v>
      </c>
      <c r="I1020" s="18" t="n">
        <f aca="false">SUMIFS('05_RUTAS'!$G$2:$G$407,'05_RUTAS'!$A$2:$A$407,B1020,'05_RUTAS'!$C$2:$C$407,C1020)</f>
        <v>2.42</v>
      </c>
      <c r="J1020" s="18" t="n">
        <f aca="false">(ROUNDUP(F1020/G1020,0)*H1020+F1020*I1020)/60</f>
        <v>0.335</v>
      </c>
      <c r="K1020" s="5" t="n">
        <f aca="false">MONTH(INDEX('08_PEDIDOS'!$F$2:$F$97,MATCH(A1020,'08_PEDIDOS'!$A$2:$A$97,0)))</f>
        <v>11</v>
      </c>
      <c r="L1020" s="16" t="n">
        <f aca="false">J1020*N(INDEX('04_MAQUINAS'!$F$2:$F$18,MATCH(E1020,'04_MAQUINAS'!$A$2:$A$18,0)))</f>
        <v>5.36</v>
      </c>
      <c r="M1020" s="17" t="n">
        <f aca="false">J1020*INDEX('04_MAQUINAS'!$G$2:$G$18,MATCH(E1020,'04_MAQUINAS'!$A$2:$A$18,0))*INDEX('04_MAQUINAS'!$H$2:$H$18,MATCH(E1020,'04_MAQUINAS'!$A$2:$A$18,0))</f>
        <v>0.08375</v>
      </c>
      <c r="N1020" s="2" t="s">
        <v>629</v>
      </c>
    </row>
    <row r="1021" customFormat="false" ht="15" hidden="false" customHeight="false" outlineLevel="0" collapsed="false">
      <c r="A1021" s="2" t="s">
        <v>609</v>
      </c>
      <c r="B1021" s="2" t="s">
        <v>106</v>
      </c>
      <c r="C1021" s="4" t="n">
        <v>9</v>
      </c>
      <c r="D1021" s="2" t="s">
        <v>450</v>
      </c>
      <c r="E1021" s="2" t="s">
        <v>406</v>
      </c>
      <c r="F1021" s="5" t="n">
        <f aca="false">INDEX('08_PEDIDOS'!$D$2:$D$97,MATCH(A1021,'08_PEDIDOS'!$A$2:$A$97,0))</f>
        <v>5</v>
      </c>
      <c r="G1021" s="5" t="n">
        <f aca="false">INDEX('08_PEDIDOS'!$H$2:$H$97,MATCH(A1021,'08_PEDIDOS'!$A$2:$A$97,0))</f>
        <v>10</v>
      </c>
      <c r="H1021" s="17" t="n">
        <f aca="false">SUMIFS('05_RUTAS'!$F$2:$F$407,'05_RUTAS'!$A$2:$A$407,B1021,'05_RUTAS'!$C$2:$C$407,C1021)</f>
        <v>6</v>
      </c>
      <c r="I1021" s="18" t="n">
        <f aca="false">SUMIFS('05_RUTAS'!$G$2:$G$407,'05_RUTAS'!$A$2:$A$407,B1021,'05_RUTAS'!$C$2:$C$407,C1021)</f>
        <v>42</v>
      </c>
      <c r="J1021" s="18" t="n">
        <f aca="false">(ROUNDUP(F1021/G1021,0)*H1021+F1021*I1021)/60</f>
        <v>3.6</v>
      </c>
      <c r="K1021" s="5" t="n">
        <f aca="false">MONTH(INDEX('08_PEDIDOS'!$F$2:$F$97,MATCH(A1021,'08_PEDIDOS'!$A$2:$A$97,0)))</f>
        <v>11</v>
      </c>
      <c r="L1021" s="16" t="n">
        <f aca="false">J1021*N(INDEX('04_MAQUINAS'!$F$2:$F$18,MATCH(E1021,'04_MAQUINAS'!$A$2:$A$18,0)))</f>
        <v>68.4</v>
      </c>
      <c r="M1021" s="17" t="n">
        <f aca="false">J1021*INDEX('04_MAQUINAS'!$G$2:$G$18,MATCH(E1021,'04_MAQUINAS'!$A$2:$A$18,0))*INDEX('04_MAQUINAS'!$H$2:$H$18,MATCH(E1021,'04_MAQUINAS'!$A$2:$A$18,0))</f>
        <v>1.08</v>
      </c>
      <c r="N1021" s="2" t="s">
        <v>629</v>
      </c>
    </row>
    <row r="1022" customFormat="false" ht="15" hidden="false" customHeight="false" outlineLevel="0" collapsed="false">
      <c r="A1022" s="2" t="s">
        <v>609</v>
      </c>
      <c r="B1022" s="2" t="s">
        <v>106</v>
      </c>
      <c r="C1022" s="4" t="n">
        <v>10</v>
      </c>
      <c r="D1022" s="2" t="s">
        <v>451</v>
      </c>
      <c r="E1022" s="2" t="s">
        <v>408</v>
      </c>
      <c r="F1022" s="5" t="n">
        <f aca="false">INDEX('08_PEDIDOS'!$D$2:$D$97,MATCH(A1022,'08_PEDIDOS'!$A$2:$A$97,0))</f>
        <v>5</v>
      </c>
      <c r="G1022" s="5" t="n">
        <f aca="false">INDEX('08_PEDIDOS'!$H$2:$H$97,MATCH(A1022,'08_PEDIDOS'!$A$2:$A$97,0))</f>
        <v>10</v>
      </c>
      <c r="H1022" s="17" t="n">
        <f aca="false">SUMIFS('05_RUTAS'!$F$2:$F$407,'05_RUTAS'!$A$2:$A$407,B1022,'05_RUTAS'!$C$2:$C$407,C1022)</f>
        <v>2</v>
      </c>
      <c r="I1022" s="18" t="n">
        <f aca="false">SUMIFS('05_RUTAS'!$G$2:$G$407,'05_RUTAS'!$A$2:$A$407,B1022,'05_RUTAS'!$C$2:$C$407,C1022)</f>
        <v>3.52</v>
      </c>
      <c r="J1022" s="18" t="n">
        <f aca="false">(ROUNDUP(F1022/G1022,0)*H1022+F1022*I1022)/60</f>
        <v>0.326666666666667</v>
      </c>
      <c r="K1022" s="5" t="n">
        <f aca="false">MONTH(INDEX('08_PEDIDOS'!$F$2:$F$97,MATCH(A1022,'08_PEDIDOS'!$A$2:$A$97,0)))</f>
        <v>11</v>
      </c>
      <c r="L1022" s="16" t="n">
        <f aca="false">J1022*N(INDEX('04_MAQUINAS'!$F$2:$F$18,MATCH(E1022,'04_MAQUINAS'!$A$2:$A$18,0)))</f>
        <v>6.53333333333333</v>
      </c>
      <c r="M1022" s="17" t="n">
        <f aca="false">J1022*INDEX('04_MAQUINAS'!$G$2:$G$18,MATCH(E1022,'04_MAQUINAS'!$A$2:$A$18,0))*INDEX('04_MAQUINAS'!$H$2:$H$18,MATCH(E1022,'04_MAQUINAS'!$A$2:$A$18,0))</f>
        <v>0.0326666666666667</v>
      </c>
      <c r="N1022" s="2" t="s">
        <v>629</v>
      </c>
    </row>
    <row r="1023" customFormat="false" ht="15" hidden="false" customHeight="false" outlineLevel="0" collapsed="false">
      <c r="A1023" s="2" t="s">
        <v>609</v>
      </c>
      <c r="B1023" s="2" t="s">
        <v>106</v>
      </c>
      <c r="C1023" s="4" t="n">
        <v>11</v>
      </c>
      <c r="D1023" s="2" t="s">
        <v>452</v>
      </c>
      <c r="E1023" s="2" t="s">
        <v>411</v>
      </c>
      <c r="F1023" s="5" t="n">
        <f aca="false">INDEX('08_PEDIDOS'!$D$2:$D$97,MATCH(A1023,'08_PEDIDOS'!$A$2:$A$97,0))</f>
        <v>5</v>
      </c>
      <c r="G1023" s="5" t="n">
        <f aca="false">INDEX('08_PEDIDOS'!$H$2:$H$97,MATCH(A1023,'08_PEDIDOS'!$A$2:$A$97,0))</f>
        <v>10</v>
      </c>
      <c r="H1023" s="17" t="n">
        <f aca="false">SUMIFS('05_RUTAS'!$F$2:$F$407,'05_RUTAS'!$A$2:$A$407,B1023,'05_RUTAS'!$C$2:$C$407,C1023)</f>
        <v>2</v>
      </c>
      <c r="I1023" s="18" t="n">
        <f aca="false">SUMIFS('05_RUTAS'!$G$2:$G$407,'05_RUTAS'!$A$2:$A$407,B1023,'05_RUTAS'!$C$2:$C$407,C1023)</f>
        <v>4.78</v>
      </c>
      <c r="J1023" s="18" t="n">
        <f aca="false">(ROUNDUP(F1023/G1023,0)*H1023+F1023*I1023)/60</f>
        <v>0.431666666666667</v>
      </c>
      <c r="K1023" s="5" t="n">
        <f aca="false">MONTH(INDEX('08_PEDIDOS'!$F$2:$F$97,MATCH(A1023,'08_PEDIDOS'!$A$2:$A$97,0)))</f>
        <v>11</v>
      </c>
      <c r="L1023" s="16" t="n">
        <f aca="false">J1023*N(INDEX('04_MAQUINAS'!$F$2:$F$18,MATCH(E1023,'04_MAQUINAS'!$A$2:$A$18,0)))</f>
        <v>7.77</v>
      </c>
      <c r="M1023" s="17" t="n">
        <f aca="false">J1023*INDEX('04_MAQUINAS'!$G$2:$G$18,MATCH(E1023,'04_MAQUINAS'!$A$2:$A$18,0))*INDEX('04_MAQUINAS'!$H$2:$H$18,MATCH(E1023,'04_MAQUINAS'!$A$2:$A$18,0))</f>
        <v>0.03885</v>
      </c>
      <c r="N1023" s="2" t="s">
        <v>629</v>
      </c>
    </row>
    <row r="1024" customFormat="false" ht="15" hidden="false" customHeight="false" outlineLevel="0" collapsed="false">
      <c r="A1024" s="2" t="s">
        <v>610</v>
      </c>
      <c r="B1024" s="2" t="s">
        <v>108</v>
      </c>
      <c r="C1024" s="4" t="n">
        <v>1</v>
      </c>
      <c r="D1024" s="2" t="s">
        <v>437</v>
      </c>
      <c r="E1024" s="2" t="s">
        <v>375</v>
      </c>
      <c r="F1024" s="5" t="n">
        <f aca="false">INDEX('08_PEDIDOS'!$D$2:$D$97,MATCH(A1024,'08_PEDIDOS'!$A$2:$A$97,0))</f>
        <v>6</v>
      </c>
      <c r="G1024" s="5" t="n">
        <f aca="false">INDEX('08_PEDIDOS'!$H$2:$H$97,MATCH(A1024,'08_PEDIDOS'!$A$2:$A$97,0))</f>
        <v>10</v>
      </c>
      <c r="H1024" s="17" t="n">
        <f aca="false">SUMIFS('05_RUTAS'!$F$2:$F$407,'05_RUTAS'!$A$2:$A$407,B1024,'05_RUTAS'!$C$2:$C$407,C1024)</f>
        <v>8</v>
      </c>
      <c r="I1024" s="18" t="n">
        <f aca="false">SUMIFS('05_RUTAS'!$G$2:$G$407,'05_RUTAS'!$A$2:$A$407,B1024,'05_RUTAS'!$C$2:$C$407,C1024)</f>
        <v>57.14</v>
      </c>
      <c r="J1024" s="18" t="n">
        <f aca="false">(ROUNDUP(F1024/G1024,0)*H1024+F1024*I1024)/60</f>
        <v>5.84733333333333</v>
      </c>
      <c r="K1024" s="5" t="n">
        <f aca="false">MONTH(INDEX('08_PEDIDOS'!$F$2:$F$97,MATCH(A1024,'08_PEDIDOS'!$A$2:$A$97,0)))</f>
        <v>11</v>
      </c>
      <c r="L1024" s="16" t="n">
        <f aca="false">J1024*N(INDEX('04_MAQUINAS'!$F$2:$F$18,MATCH(E1024,'04_MAQUINAS'!$A$2:$A$18,0)))</f>
        <v>140.336</v>
      </c>
      <c r="M1024" s="17" t="n">
        <f aca="false">J1024*INDEX('04_MAQUINAS'!$G$2:$G$18,MATCH(E1024,'04_MAQUINAS'!$A$2:$A$18,0))*INDEX('04_MAQUINAS'!$H$2:$H$18,MATCH(E1024,'04_MAQUINAS'!$A$2:$A$18,0))</f>
        <v>16.0801666666667</v>
      </c>
      <c r="N1024" s="2" t="s">
        <v>629</v>
      </c>
    </row>
    <row r="1025" customFormat="false" ht="15" hidden="false" customHeight="false" outlineLevel="0" collapsed="false">
      <c r="A1025" s="2" t="s">
        <v>610</v>
      </c>
      <c r="B1025" s="2" t="s">
        <v>108</v>
      </c>
      <c r="C1025" s="4" t="n">
        <v>2</v>
      </c>
      <c r="D1025" s="2" t="s">
        <v>386</v>
      </c>
      <c r="E1025" s="2" t="s">
        <v>383</v>
      </c>
      <c r="F1025" s="5" t="n">
        <f aca="false">INDEX('08_PEDIDOS'!$D$2:$D$97,MATCH(A1025,'08_PEDIDOS'!$A$2:$A$97,0))</f>
        <v>6</v>
      </c>
      <c r="G1025" s="5" t="n">
        <f aca="false">INDEX('08_PEDIDOS'!$H$2:$H$97,MATCH(A1025,'08_PEDIDOS'!$A$2:$A$97,0))</f>
        <v>10</v>
      </c>
      <c r="H1025" s="17" t="n">
        <f aca="false">SUMIFS('05_RUTAS'!$F$2:$F$407,'05_RUTAS'!$A$2:$A$407,B1025,'05_RUTAS'!$C$2:$C$407,C1025)</f>
        <v>10</v>
      </c>
      <c r="I1025" s="18" t="n">
        <f aca="false">SUMIFS('05_RUTAS'!$G$2:$G$407,'05_RUTAS'!$A$2:$A$407,B1025,'05_RUTAS'!$C$2:$C$407,C1025)</f>
        <v>27</v>
      </c>
      <c r="J1025" s="18" t="n">
        <f aca="false">(ROUNDUP(F1025/G1025,0)*H1025+F1025*I1025)/60</f>
        <v>2.86666666666667</v>
      </c>
      <c r="K1025" s="5" t="n">
        <f aca="false">MONTH(INDEX('08_PEDIDOS'!$F$2:$F$97,MATCH(A1025,'08_PEDIDOS'!$A$2:$A$97,0)))</f>
        <v>11</v>
      </c>
      <c r="L1025" s="16" t="n">
        <f aca="false">J1025*N(INDEX('04_MAQUINAS'!$F$2:$F$18,MATCH(E1025,'04_MAQUINAS'!$A$2:$A$18,0)))</f>
        <v>63.0666666666667</v>
      </c>
      <c r="M1025" s="17" t="n">
        <f aca="false">J1025*INDEX('04_MAQUINAS'!$G$2:$G$18,MATCH(E1025,'04_MAQUINAS'!$A$2:$A$18,0))*INDEX('04_MAQUINAS'!$H$2:$H$18,MATCH(E1025,'04_MAQUINAS'!$A$2:$A$18,0))</f>
        <v>0.788333333333333</v>
      </c>
      <c r="N1025" s="2" t="s">
        <v>629</v>
      </c>
    </row>
    <row r="1026" customFormat="false" ht="15" hidden="false" customHeight="false" outlineLevel="0" collapsed="false">
      <c r="A1026" s="2" t="s">
        <v>610</v>
      </c>
      <c r="B1026" s="2" t="s">
        <v>108</v>
      </c>
      <c r="C1026" s="4" t="n">
        <v>3</v>
      </c>
      <c r="D1026" s="2" t="s">
        <v>390</v>
      </c>
      <c r="E1026" s="2" t="s">
        <v>387</v>
      </c>
      <c r="F1026" s="5" t="n">
        <f aca="false">INDEX('08_PEDIDOS'!$D$2:$D$97,MATCH(A1026,'08_PEDIDOS'!$A$2:$A$97,0))</f>
        <v>6</v>
      </c>
      <c r="G1026" s="5" t="n">
        <f aca="false">INDEX('08_PEDIDOS'!$H$2:$H$97,MATCH(A1026,'08_PEDIDOS'!$A$2:$A$97,0))</f>
        <v>10</v>
      </c>
      <c r="H1026" s="17" t="n">
        <f aca="false">SUMIFS('05_RUTAS'!$F$2:$F$407,'05_RUTAS'!$A$2:$A$407,B1026,'05_RUTAS'!$C$2:$C$407,C1026)</f>
        <v>12</v>
      </c>
      <c r="I1026" s="18" t="n">
        <f aca="false">SUMIFS('05_RUTAS'!$G$2:$G$407,'05_RUTAS'!$A$2:$A$407,B1026,'05_RUTAS'!$C$2:$C$407,C1026)</f>
        <v>149</v>
      </c>
      <c r="J1026" s="18" t="n">
        <f aca="false">(ROUNDUP(F1026/G1026,0)*H1026+F1026*I1026)/60</f>
        <v>15.1</v>
      </c>
      <c r="K1026" s="5" t="n">
        <f aca="false">MONTH(INDEX('08_PEDIDOS'!$F$2:$F$97,MATCH(A1026,'08_PEDIDOS'!$A$2:$A$97,0)))</f>
        <v>11</v>
      </c>
      <c r="L1026" s="16" t="n">
        <f aca="false">J1026*N(INDEX('04_MAQUINAS'!$F$2:$F$18,MATCH(E1026,'04_MAQUINAS'!$A$2:$A$18,0)))</f>
        <v>422.8</v>
      </c>
      <c r="M1026" s="17" t="n">
        <f aca="false">J1026*INDEX('04_MAQUINAS'!$G$2:$G$18,MATCH(E1026,'04_MAQUINAS'!$A$2:$A$18,0))*INDEX('04_MAQUINAS'!$H$2:$H$18,MATCH(E1026,'04_MAQUINAS'!$A$2:$A$18,0))</f>
        <v>37.3725</v>
      </c>
      <c r="N1026" s="2" t="s">
        <v>629</v>
      </c>
    </row>
    <row r="1027" customFormat="false" ht="15" hidden="false" customHeight="false" outlineLevel="0" collapsed="false">
      <c r="A1027" s="2" t="s">
        <v>610</v>
      </c>
      <c r="B1027" s="2" t="s">
        <v>108</v>
      </c>
      <c r="C1027" s="4" t="n">
        <v>4</v>
      </c>
      <c r="D1027" s="2" t="s">
        <v>443</v>
      </c>
      <c r="E1027" s="2" t="s">
        <v>395</v>
      </c>
      <c r="F1027" s="5" t="n">
        <f aca="false">INDEX('08_PEDIDOS'!$D$2:$D$97,MATCH(A1027,'08_PEDIDOS'!$A$2:$A$97,0))</f>
        <v>6</v>
      </c>
      <c r="G1027" s="5" t="n">
        <f aca="false">INDEX('08_PEDIDOS'!$H$2:$H$97,MATCH(A1027,'08_PEDIDOS'!$A$2:$A$97,0))</f>
        <v>10</v>
      </c>
      <c r="H1027" s="17" t="n">
        <f aca="false">SUMIFS('05_RUTAS'!$F$2:$F$407,'05_RUTAS'!$A$2:$A$407,B1027,'05_RUTAS'!$C$2:$C$407,C1027)</f>
        <v>3</v>
      </c>
      <c r="I1027" s="18" t="n">
        <f aca="false">SUMIFS('05_RUTAS'!$G$2:$G$407,'05_RUTAS'!$A$2:$A$407,B1027,'05_RUTAS'!$C$2:$C$407,C1027)</f>
        <v>25.5</v>
      </c>
      <c r="J1027" s="18" t="n">
        <f aca="false">(ROUNDUP(F1027/G1027,0)*H1027+F1027*I1027)/60</f>
        <v>2.6</v>
      </c>
      <c r="K1027" s="5" t="n">
        <f aca="false">MONTH(INDEX('08_PEDIDOS'!$F$2:$F$97,MATCH(A1027,'08_PEDIDOS'!$A$2:$A$97,0)))</f>
        <v>11</v>
      </c>
      <c r="L1027" s="16" t="n">
        <f aca="false">J1027*N(INDEX('04_MAQUINAS'!$F$2:$F$18,MATCH(E1027,'04_MAQUINAS'!$A$2:$A$18,0)))</f>
        <v>54.6</v>
      </c>
      <c r="M1027" s="17" t="n">
        <f aca="false">J1027*INDEX('04_MAQUINAS'!$G$2:$G$18,MATCH(E1027,'04_MAQUINAS'!$A$2:$A$18,0))*INDEX('04_MAQUINAS'!$H$2:$H$18,MATCH(E1027,'04_MAQUINAS'!$A$2:$A$18,0))</f>
        <v>1.95</v>
      </c>
      <c r="N1027" s="2" t="s">
        <v>629</v>
      </c>
    </row>
    <row r="1028" customFormat="false" ht="15" hidden="false" customHeight="false" outlineLevel="0" collapsed="false">
      <c r="A1028" s="2" t="s">
        <v>610</v>
      </c>
      <c r="B1028" s="2" t="s">
        <v>108</v>
      </c>
      <c r="C1028" s="4" t="n">
        <v>5</v>
      </c>
      <c r="D1028" s="2" t="s">
        <v>444</v>
      </c>
      <c r="E1028" s="2" t="s">
        <v>399</v>
      </c>
      <c r="F1028" s="5" t="n">
        <f aca="false">INDEX('08_PEDIDOS'!$D$2:$D$97,MATCH(A1028,'08_PEDIDOS'!$A$2:$A$97,0))</f>
        <v>6</v>
      </c>
      <c r="G1028" s="5" t="n">
        <f aca="false">INDEX('08_PEDIDOS'!$H$2:$H$97,MATCH(A1028,'08_PEDIDOS'!$A$2:$A$97,0))</f>
        <v>10</v>
      </c>
      <c r="H1028" s="17" t="n">
        <f aca="false">SUMIFS('05_RUTAS'!$F$2:$F$407,'05_RUTAS'!$A$2:$A$407,B1028,'05_RUTAS'!$C$2:$C$407,C1028)</f>
        <v>6</v>
      </c>
      <c r="I1028" s="18" t="n">
        <f aca="false">SUMIFS('05_RUTAS'!$G$2:$G$407,'05_RUTAS'!$A$2:$A$407,B1028,'05_RUTAS'!$C$2:$C$407,C1028)</f>
        <v>37.528</v>
      </c>
      <c r="J1028" s="18" t="n">
        <f aca="false">(ROUNDUP(F1028/G1028,0)*H1028+F1028*I1028)/60</f>
        <v>3.8528</v>
      </c>
      <c r="K1028" s="5" t="n">
        <f aca="false">MONTH(INDEX('08_PEDIDOS'!$F$2:$F$97,MATCH(A1028,'08_PEDIDOS'!$A$2:$A$97,0)))</f>
        <v>11</v>
      </c>
      <c r="L1028" s="16" t="n">
        <f aca="false">J1028*N(INDEX('04_MAQUINAS'!$F$2:$F$18,MATCH(E1028,'04_MAQUINAS'!$A$2:$A$18,0)))</f>
        <v>73.2032</v>
      </c>
      <c r="M1028" s="17" t="n">
        <f aca="false">J1028*INDEX('04_MAQUINAS'!$G$2:$G$18,MATCH(E1028,'04_MAQUINAS'!$A$2:$A$18,0))*INDEX('04_MAQUINAS'!$H$2:$H$18,MATCH(E1028,'04_MAQUINAS'!$A$2:$A$18,0))</f>
        <v>3.390464</v>
      </c>
      <c r="N1028" s="2" t="s">
        <v>629</v>
      </c>
    </row>
    <row r="1029" customFormat="false" ht="15" hidden="false" customHeight="false" outlineLevel="0" collapsed="false">
      <c r="A1029" s="2" t="s">
        <v>610</v>
      </c>
      <c r="B1029" s="2" t="s">
        <v>108</v>
      </c>
      <c r="C1029" s="4" t="n">
        <v>6</v>
      </c>
      <c r="D1029" s="2" t="s">
        <v>445</v>
      </c>
      <c r="E1029" s="2" t="s">
        <v>402</v>
      </c>
      <c r="F1029" s="5" t="n">
        <f aca="false">INDEX('08_PEDIDOS'!$D$2:$D$97,MATCH(A1029,'08_PEDIDOS'!$A$2:$A$97,0))</f>
        <v>6</v>
      </c>
      <c r="G1029" s="5" t="n">
        <f aca="false">INDEX('08_PEDIDOS'!$H$2:$H$97,MATCH(A1029,'08_PEDIDOS'!$A$2:$A$97,0))</f>
        <v>10</v>
      </c>
      <c r="H1029" s="17" t="n">
        <f aca="false">SUMIFS('05_RUTAS'!$F$2:$F$407,'05_RUTAS'!$A$2:$A$407,B1029,'05_RUTAS'!$C$2:$C$407,C1029)</f>
        <v>12</v>
      </c>
      <c r="I1029" s="18" t="n">
        <f aca="false">SUMIFS('05_RUTAS'!$G$2:$G$407,'05_RUTAS'!$A$2:$A$407,B1029,'05_RUTAS'!$C$2:$C$407,C1029)</f>
        <v>6.83</v>
      </c>
      <c r="J1029" s="18" t="n">
        <f aca="false">(ROUNDUP(F1029/G1029,0)*H1029+F1029*I1029)/60</f>
        <v>0.883</v>
      </c>
      <c r="K1029" s="5" t="n">
        <f aca="false">MONTH(INDEX('08_PEDIDOS'!$F$2:$F$97,MATCH(A1029,'08_PEDIDOS'!$A$2:$A$97,0)))</f>
        <v>11</v>
      </c>
      <c r="L1029" s="16" t="n">
        <f aca="false">J1029*N(INDEX('04_MAQUINAS'!$F$2:$F$18,MATCH(E1029,'04_MAQUINAS'!$A$2:$A$18,0)))</f>
        <v>28.256</v>
      </c>
      <c r="M1029" s="17" t="n">
        <f aca="false">J1029*INDEX('04_MAQUINAS'!$G$2:$G$18,MATCH(E1029,'04_MAQUINAS'!$A$2:$A$18,0))*INDEX('04_MAQUINAS'!$H$2:$H$18,MATCH(E1029,'04_MAQUINAS'!$A$2:$A$18,0))</f>
        <v>0.92715</v>
      </c>
      <c r="N1029" s="2" t="s">
        <v>629</v>
      </c>
    </row>
    <row r="1030" customFormat="false" ht="15" hidden="false" customHeight="false" outlineLevel="0" collapsed="false">
      <c r="A1030" s="2" t="s">
        <v>610</v>
      </c>
      <c r="B1030" s="2" t="s">
        <v>108</v>
      </c>
      <c r="C1030" s="4" t="n">
        <v>7</v>
      </c>
      <c r="D1030" s="2" t="s">
        <v>447</v>
      </c>
      <c r="E1030" s="2" t="s">
        <v>421</v>
      </c>
      <c r="F1030" s="5" t="n">
        <f aca="false">INDEX('08_PEDIDOS'!$D$2:$D$97,MATCH(A1030,'08_PEDIDOS'!$A$2:$A$97,0))</f>
        <v>6</v>
      </c>
      <c r="G1030" s="5" t="n">
        <f aca="false">INDEX('08_PEDIDOS'!$H$2:$H$97,MATCH(A1030,'08_PEDIDOS'!$A$2:$A$97,0))</f>
        <v>10</v>
      </c>
      <c r="H1030" s="17" t="n">
        <f aca="false">SUMIFS('05_RUTAS'!$F$2:$F$407,'05_RUTAS'!$A$2:$A$407,B1030,'05_RUTAS'!$C$2:$C$407,C1030)</f>
        <v>45</v>
      </c>
      <c r="I1030" s="18" t="n">
        <f aca="false">SUMIFS('05_RUTAS'!$G$2:$G$407,'05_RUTAS'!$A$2:$A$407,B1030,'05_RUTAS'!$C$2:$C$407,C1030)</f>
        <v>0</v>
      </c>
      <c r="J1030" s="18" t="n">
        <f aca="false">(ROUNDUP(F1030/G1030,0)*H1030+F1030*I1030)/60</f>
        <v>0.75</v>
      </c>
      <c r="K1030" s="5" t="n">
        <f aca="false">MONTH(INDEX('08_PEDIDOS'!$F$2:$F$97,MATCH(A1030,'08_PEDIDOS'!$A$2:$A$97,0)))</f>
        <v>11</v>
      </c>
      <c r="L1030" s="16" t="n">
        <f aca="false">J1030*N(INDEX('04_MAQUINAS'!$F$2:$F$18,MATCH(E1030,'04_MAQUINAS'!$A$2:$A$18,0)))</f>
        <v>19.5</v>
      </c>
      <c r="M1030" s="17" t="n">
        <f aca="false">J1030*INDEX('04_MAQUINAS'!$G$2:$G$18,MATCH(E1030,'04_MAQUINAS'!$A$2:$A$18,0))*INDEX('04_MAQUINAS'!$H$2:$H$18,MATCH(E1030,'04_MAQUINAS'!$A$2:$A$18,0))</f>
        <v>10.8</v>
      </c>
      <c r="N1030" s="2" t="s">
        <v>629</v>
      </c>
    </row>
    <row r="1031" customFormat="false" ht="15" hidden="false" customHeight="false" outlineLevel="0" collapsed="false">
      <c r="A1031" s="2" t="s">
        <v>610</v>
      </c>
      <c r="B1031" s="2" t="s">
        <v>108</v>
      </c>
      <c r="C1031" s="4" t="n">
        <v>8</v>
      </c>
      <c r="D1031" s="2" t="s">
        <v>449</v>
      </c>
      <c r="E1031" s="2" t="s">
        <v>423</v>
      </c>
      <c r="F1031" s="5" t="n">
        <f aca="false">INDEX('08_PEDIDOS'!$D$2:$D$97,MATCH(A1031,'08_PEDIDOS'!$A$2:$A$97,0))</f>
        <v>6</v>
      </c>
      <c r="G1031" s="5" t="n">
        <f aca="false">INDEX('08_PEDIDOS'!$H$2:$H$97,MATCH(A1031,'08_PEDIDOS'!$A$2:$A$97,0))</f>
        <v>10</v>
      </c>
      <c r="H1031" s="17" t="n">
        <f aca="false">SUMIFS('05_RUTAS'!$F$2:$F$407,'05_RUTAS'!$A$2:$A$407,B1031,'05_RUTAS'!$C$2:$C$407,C1031)</f>
        <v>8</v>
      </c>
      <c r="I1031" s="18" t="n">
        <f aca="false">SUMIFS('05_RUTAS'!$G$2:$G$407,'05_RUTAS'!$A$2:$A$407,B1031,'05_RUTAS'!$C$2:$C$407,C1031)</f>
        <v>2.42</v>
      </c>
      <c r="J1031" s="18" t="n">
        <f aca="false">(ROUNDUP(F1031/G1031,0)*H1031+F1031*I1031)/60</f>
        <v>0.375333333333333</v>
      </c>
      <c r="K1031" s="5" t="n">
        <f aca="false">MONTH(INDEX('08_PEDIDOS'!$F$2:$F$97,MATCH(A1031,'08_PEDIDOS'!$A$2:$A$97,0)))</f>
        <v>11</v>
      </c>
      <c r="L1031" s="16" t="n">
        <f aca="false">J1031*N(INDEX('04_MAQUINAS'!$F$2:$F$18,MATCH(E1031,'04_MAQUINAS'!$A$2:$A$18,0)))</f>
        <v>6.00533333333333</v>
      </c>
      <c r="M1031" s="17" t="n">
        <f aca="false">J1031*INDEX('04_MAQUINAS'!$G$2:$G$18,MATCH(E1031,'04_MAQUINAS'!$A$2:$A$18,0))*INDEX('04_MAQUINAS'!$H$2:$H$18,MATCH(E1031,'04_MAQUINAS'!$A$2:$A$18,0))</f>
        <v>0.0938333333333333</v>
      </c>
      <c r="N1031" s="2" t="s">
        <v>629</v>
      </c>
    </row>
    <row r="1032" customFormat="false" ht="15" hidden="false" customHeight="false" outlineLevel="0" collapsed="false">
      <c r="A1032" s="2" t="s">
        <v>610</v>
      </c>
      <c r="B1032" s="2" t="s">
        <v>108</v>
      </c>
      <c r="C1032" s="4" t="n">
        <v>9</v>
      </c>
      <c r="D1032" s="2" t="s">
        <v>450</v>
      </c>
      <c r="E1032" s="2" t="s">
        <v>406</v>
      </c>
      <c r="F1032" s="5" t="n">
        <f aca="false">INDEX('08_PEDIDOS'!$D$2:$D$97,MATCH(A1032,'08_PEDIDOS'!$A$2:$A$97,0))</f>
        <v>6</v>
      </c>
      <c r="G1032" s="5" t="n">
        <f aca="false">INDEX('08_PEDIDOS'!$H$2:$H$97,MATCH(A1032,'08_PEDIDOS'!$A$2:$A$97,0))</f>
        <v>10</v>
      </c>
      <c r="H1032" s="17" t="n">
        <f aca="false">SUMIFS('05_RUTAS'!$F$2:$F$407,'05_RUTAS'!$A$2:$A$407,B1032,'05_RUTAS'!$C$2:$C$407,C1032)</f>
        <v>6</v>
      </c>
      <c r="I1032" s="18" t="n">
        <f aca="false">SUMIFS('05_RUTAS'!$G$2:$G$407,'05_RUTAS'!$A$2:$A$407,B1032,'05_RUTAS'!$C$2:$C$407,C1032)</f>
        <v>56.25</v>
      </c>
      <c r="J1032" s="18" t="n">
        <f aca="false">(ROUNDUP(F1032/G1032,0)*H1032+F1032*I1032)/60</f>
        <v>5.725</v>
      </c>
      <c r="K1032" s="5" t="n">
        <f aca="false">MONTH(INDEX('08_PEDIDOS'!$F$2:$F$97,MATCH(A1032,'08_PEDIDOS'!$A$2:$A$97,0)))</f>
        <v>11</v>
      </c>
      <c r="L1032" s="16" t="n">
        <f aca="false">J1032*N(INDEX('04_MAQUINAS'!$F$2:$F$18,MATCH(E1032,'04_MAQUINAS'!$A$2:$A$18,0)))</f>
        <v>108.775</v>
      </c>
      <c r="M1032" s="17" t="n">
        <f aca="false">J1032*INDEX('04_MAQUINAS'!$G$2:$G$18,MATCH(E1032,'04_MAQUINAS'!$A$2:$A$18,0))*INDEX('04_MAQUINAS'!$H$2:$H$18,MATCH(E1032,'04_MAQUINAS'!$A$2:$A$18,0))</f>
        <v>1.7175</v>
      </c>
      <c r="N1032" s="2" t="s">
        <v>629</v>
      </c>
    </row>
    <row r="1033" customFormat="false" ht="15" hidden="false" customHeight="false" outlineLevel="0" collapsed="false">
      <c r="A1033" s="2" t="s">
        <v>610</v>
      </c>
      <c r="B1033" s="2" t="s">
        <v>108</v>
      </c>
      <c r="C1033" s="4" t="n">
        <v>10</v>
      </c>
      <c r="D1033" s="2" t="s">
        <v>451</v>
      </c>
      <c r="E1033" s="2" t="s">
        <v>408</v>
      </c>
      <c r="F1033" s="5" t="n">
        <f aca="false">INDEX('08_PEDIDOS'!$D$2:$D$97,MATCH(A1033,'08_PEDIDOS'!$A$2:$A$97,0))</f>
        <v>6</v>
      </c>
      <c r="G1033" s="5" t="n">
        <f aca="false">INDEX('08_PEDIDOS'!$H$2:$H$97,MATCH(A1033,'08_PEDIDOS'!$A$2:$A$97,0))</f>
        <v>10</v>
      </c>
      <c r="H1033" s="17" t="n">
        <f aca="false">SUMIFS('05_RUTAS'!$F$2:$F$407,'05_RUTAS'!$A$2:$A$407,B1033,'05_RUTAS'!$C$2:$C$407,C1033)</f>
        <v>2</v>
      </c>
      <c r="I1033" s="18" t="n">
        <f aca="false">SUMIFS('05_RUTAS'!$G$2:$G$407,'05_RUTAS'!$A$2:$A$407,B1033,'05_RUTAS'!$C$2:$C$407,C1033)</f>
        <v>3.52</v>
      </c>
      <c r="J1033" s="18" t="n">
        <f aca="false">(ROUNDUP(F1033/G1033,0)*H1033+F1033*I1033)/60</f>
        <v>0.385333333333333</v>
      </c>
      <c r="K1033" s="5" t="n">
        <f aca="false">MONTH(INDEX('08_PEDIDOS'!$F$2:$F$97,MATCH(A1033,'08_PEDIDOS'!$A$2:$A$97,0)))</f>
        <v>11</v>
      </c>
      <c r="L1033" s="16" t="n">
        <f aca="false">J1033*N(INDEX('04_MAQUINAS'!$F$2:$F$18,MATCH(E1033,'04_MAQUINAS'!$A$2:$A$18,0)))</f>
        <v>7.70666666666667</v>
      </c>
      <c r="M1033" s="17" t="n">
        <f aca="false">J1033*INDEX('04_MAQUINAS'!$G$2:$G$18,MATCH(E1033,'04_MAQUINAS'!$A$2:$A$18,0))*INDEX('04_MAQUINAS'!$H$2:$H$18,MATCH(E1033,'04_MAQUINAS'!$A$2:$A$18,0))</f>
        <v>0.0385333333333333</v>
      </c>
      <c r="N1033" s="2" t="s">
        <v>629</v>
      </c>
    </row>
    <row r="1034" customFormat="false" ht="15" hidden="false" customHeight="false" outlineLevel="0" collapsed="false">
      <c r="A1034" s="2" t="s">
        <v>610</v>
      </c>
      <c r="B1034" s="2" t="s">
        <v>108</v>
      </c>
      <c r="C1034" s="4" t="n">
        <v>11</v>
      </c>
      <c r="D1034" s="2" t="s">
        <v>452</v>
      </c>
      <c r="E1034" s="2" t="s">
        <v>411</v>
      </c>
      <c r="F1034" s="5" t="n">
        <f aca="false">INDEX('08_PEDIDOS'!$D$2:$D$97,MATCH(A1034,'08_PEDIDOS'!$A$2:$A$97,0))</f>
        <v>6</v>
      </c>
      <c r="G1034" s="5" t="n">
        <f aca="false">INDEX('08_PEDIDOS'!$H$2:$H$97,MATCH(A1034,'08_PEDIDOS'!$A$2:$A$97,0))</f>
        <v>10</v>
      </c>
      <c r="H1034" s="17" t="n">
        <f aca="false">SUMIFS('05_RUTAS'!$F$2:$F$407,'05_RUTAS'!$A$2:$A$407,B1034,'05_RUTAS'!$C$2:$C$407,C1034)</f>
        <v>2</v>
      </c>
      <c r="I1034" s="18" t="n">
        <f aca="false">SUMIFS('05_RUTAS'!$G$2:$G$407,'05_RUTAS'!$A$2:$A$407,B1034,'05_RUTAS'!$C$2:$C$407,C1034)</f>
        <v>4.78</v>
      </c>
      <c r="J1034" s="18" t="n">
        <f aca="false">(ROUNDUP(F1034/G1034,0)*H1034+F1034*I1034)/60</f>
        <v>0.511333333333333</v>
      </c>
      <c r="K1034" s="5" t="n">
        <f aca="false">MONTH(INDEX('08_PEDIDOS'!$F$2:$F$97,MATCH(A1034,'08_PEDIDOS'!$A$2:$A$97,0)))</f>
        <v>11</v>
      </c>
      <c r="L1034" s="16" t="n">
        <f aca="false">J1034*N(INDEX('04_MAQUINAS'!$F$2:$F$18,MATCH(E1034,'04_MAQUINAS'!$A$2:$A$18,0)))</f>
        <v>9.204</v>
      </c>
      <c r="M1034" s="17" t="n">
        <f aca="false">J1034*INDEX('04_MAQUINAS'!$G$2:$G$18,MATCH(E1034,'04_MAQUINAS'!$A$2:$A$18,0))*INDEX('04_MAQUINAS'!$H$2:$H$18,MATCH(E1034,'04_MAQUINAS'!$A$2:$A$18,0))</f>
        <v>0.04602</v>
      </c>
      <c r="N1034" s="2" t="s">
        <v>629</v>
      </c>
    </row>
    <row r="1035" customFormat="false" ht="15" hidden="false" customHeight="false" outlineLevel="0" collapsed="false">
      <c r="A1035" s="2" t="s">
        <v>611</v>
      </c>
      <c r="B1035" s="2" t="s">
        <v>119</v>
      </c>
      <c r="C1035" s="4" t="n">
        <v>1</v>
      </c>
      <c r="D1035" s="2" t="s">
        <v>437</v>
      </c>
      <c r="E1035" s="2" t="s">
        <v>375</v>
      </c>
      <c r="F1035" s="5" t="n">
        <f aca="false">INDEX('08_PEDIDOS'!$D$2:$D$97,MATCH(A1035,'08_PEDIDOS'!$A$2:$A$97,0))</f>
        <v>10</v>
      </c>
      <c r="G1035" s="5" t="n">
        <f aca="false">INDEX('08_PEDIDOS'!$H$2:$H$97,MATCH(A1035,'08_PEDIDOS'!$A$2:$A$97,0))</f>
        <v>10</v>
      </c>
      <c r="H1035" s="17" t="n">
        <f aca="false">SUMIFS('05_RUTAS'!$F$2:$F$407,'05_RUTAS'!$A$2:$A$407,B1035,'05_RUTAS'!$C$2:$C$407,C1035)</f>
        <v>8</v>
      </c>
      <c r="I1035" s="18" t="n">
        <f aca="false">SUMIFS('05_RUTAS'!$G$2:$G$407,'05_RUTAS'!$A$2:$A$407,B1035,'05_RUTAS'!$C$2:$C$407,C1035)</f>
        <v>35.56</v>
      </c>
      <c r="J1035" s="18" t="n">
        <f aca="false">(ROUNDUP(F1035/G1035,0)*H1035+F1035*I1035)/60</f>
        <v>6.06</v>
      </c>
      <c r="K1035" s="5" t="n">
        <f aca="false">MONTH(INDEX('08_PEDIDOS'!$F$2:$F$97,MATCH(A1035,'08_PEDIDOS'!$A$2:$A$97,0)))</f>
        <v>11</v>
      </c>
      <c r="L1035" s="16" t="n">
        <f aca="false">J1035*N(INDEX('04_MAQUINAS'!$F$2:$F$18,MATCH(E1035,'04_MAQUINAS'!$A$2:$A$18,0)))</f>
        <v>145.44</v>
      </c>
      <c r="M1035" s="17" t="n">
        <f aca="false">J1035*INDEX('04_MAQUINAS'!$G$2:$G$18,MATCH(E1035,'04_MAQUINAS'!$A$2:$A$18,0))*INDEX('04_MAQUINAS'!$H$2:$H$18,MATCH(E1035,'04_MAQUINAS'!$A$2:$A$18,0))</f>
        <v>16.665</v>
      </c>
      <c r="N1035" s="2" t="s">
        <v>629</v>
      </c>
    </row>
    <row r="1036" customFormat="false" ht="15" hidden="false" customHeight="false" outlineLevel="0" collapsed="false">
      <c r="A1036" s="2" t="s">
        <v>611</v>
      </c>
      <c r="B1036" s="2" t="s">
        <v>119</v>
      </c>
      <c r="C1036" s="4" t="n">
        <v>2</v>
      </c>
      <c r="D1036" s="2" t="s">
        <v>386</v>
      </c>
      <c r="E1036" s="2" t="s">
        <v>383</v>
      </c>
      <c r="F1036" s="5" t="n">
        <f aca="false">INDEX('08_PEDIDOS'!$D$2:$D$97,MATCH(A1036,'08_PEDIDOS'!$A$2:$A$97,0))</f>
        <v>10</v>
      </c>
      <c r="G1036" s="5" t="n">
        <f aca="false">INDEX('08_PEDIDOS'!$H$2:$H$97,MATCH(A1036,'08_PEDIDOS'!$A$2:$A$97,0))</f>
        <v>10</v>
      </c>
      <c r="H1036" s="17" t="n">
        <f aca="false">SUMIFS('05_RUTAS'!$F$2:$F$407,'05_RUTAS'!$A$2:$A$407,B1036,'05_RUTAS'!$C$2:$C$407,C1036)</f>
        <v>10</v>
      </c>
      <c r="I1036" s="18" t="n">
        <f aca="false">SUMIFS('05_RUTAS'!$G$2:$G$407,'05_RUTAS'!$A$2:$A$407,B1036,'05_RUTAS'!$C$2:$C$407,C1036)</f>
        <v>5.8</v>
      </c>
      <c r="J1036" s="18" t="n">
        <f aca="false">(ROUNDUP(F1036/G1036,0)*H1036+F1036*I1036)/60</f>
        <v>1.13333333333333</v>
      </c>
      <c r="K1036" s="5" t="n">
        <f aca="false">MONTH(INDEX('08_PEDIDOS'!$F$2:$F$97,MATCH(A1036,'08_PEDIDOS'!$A$2:$A$97,0)))</f>
        <v>11</v>
      </c>
      <c r="L1036" s="16" t="n">
        <f aca="false">J1036*N(INDEX('04_MAQUINAS'!$F$2:$F$18,MATCH(E1036,'04_MAQUINAS'!$A$2:$A$18,0)))</f>
        <v>24.9333333333333</v>
      </c>
      <c r="M1036" s="17" t="n">
        <f aca="false">J1036*INDEX('04_MAQUINAS'!$G$2:$G$18,MATCH(E1036,'04_MAQUINAS'!$A$2:$A$18,0))*INDEX('04_MAQUINAS'!$H$2:$H$18,MATCH(E1036,'04_MAQUINAS'!$A$2:$A$18,0))</f>
        <v>0.311666666666667</v>
      </c>
      <c r="N1036" s="2" t="s">
        <v>629</v>
      </c>
    </row>
    <row r="1037" customFormat="false" ht="15" hidden="false" customHeight="false" outlineLevel="0" collapsed="false">
      <c r="A1037" s="2" t="s">
        <v>611</v>
      </c>
      <c r="B1037" s="2" t="s">
        <v>119</v>
      </c>
      <c r="C1037" s="4" t="n">
        <v>3</v>
      </c>
      <c r="D1037" s="2" t="s">
        <v>390</v>
      </c>
      <c r="E1037" s="2" t="s">
        <v>387</v>
      </c>
      <c r="F1037" s="5" t="n">
        <f aca="false">INDEX('08_PEDIDOS'!$D$2:$D$97,MATCH(A1037,'08_PEDIDOS'!$A$2:$A$97,0))</f>
        <v>10</v>
      </c>
      <c r="G1037" s="5" t="n">
        <f aca="false">INDEX('08_PEDIDOS'!$H$2:$H$97,MATCH(A1037,'08_PEDIDOS'!$A$2:$A$97,0))</f>
        <v>10</v>
      </c>
      <c r="H1037" s="17" t="n">
        <f aca="false">SUMIFS('05_RUTAS'!$F$2:$F$407,'05_RUTAS'!$A$2:$A$407,B1037,'05_RUTAS'!$C$2:$C$407,C1037)</f>
        <v>12</v>
      </c>
      <c r="I1037" s="18" t="n">
        <f aca="false">SUMIFS('05_RUTAS'!$G$2:$G$407,'05_RUTAS'!$A$2:$A$407,B1037,'05_RUTAS'!$C$2:$C$407,C1037)</f>
        <v>86</v>
      </c>
      <c r="J1037" s="18" t="n">
        <f aca="false">(ROUNDUP(F1037/G1037,0)*H1037+F1037*I1037)/60</f>
        <v>14.5333333333333</v>
      </c>
      <c r="K1037" s="5" t="n">
        <f aca="false">MONTH(INDEX('08_PEDIDOS'!$F$2:$F$97,MATCH(A1037,'08_PEDIDOS'!$A$2:$A$97,0)))</f>
        <v>11</v>
      </c>
      <c r="L1037" s="16" t="n">
        <f aca="false">J1037*N(INDEX('04_MAQUINAS'!$F$2:$F$18,MATCH(E1037,'04_MAQUINAS'!$A$2:$A$18,0)))</f>
        <v>406.933333333333</v>
      </c>
      <c r="M1037" s="17" t="n">
        <f aca="false">J1037*INDEX('04_MAQUINAS'!$G$2:$G$18,MATCH(E1037,'04_MAQUINAS'!$A$2:$A$18,0))*INDEX('04_MAQUINAS'!$H$2:$H$18,MATCH(E1037,'04_MAQUINAS'!$A$2:$A$18,0))</f>
        <v>35.97</v>
      </c>
      <c r="N1037" s="2" t="s">
        <v>629</v>
      </c>
    </row>
    <row r="1038" customFormat="false" ht="15" hidden="false" customHeight="false" outlineLevel="0" collapsed="false">
      <c r="A1038" s="2" t="s">
        <v>611</v>
      </c>
      <c r="B1038" s="2" t="s">
        <v>119</v>
      </c>
      <c r="C1038" s="4" t="n">
        <v>4</v>
      </c>
      <c r="D1038" s="2" t="s">
        <v>443</v>
      </c>
      <c r="E1038" s="2" t="s">
        <v>395</v>
      </c>
      <c r="F1038" s="5" t="n">
        <f aca="false">INDEX('08_PEDIDOS'!$D$2:$D$97,MATCH(A1038,'08_PEDIDOS'!$A$2:$A$97,0))</f>
        <v>10</v>
      </c>
      <c r="G1038" s="5" t="n">
        <f aca="false">INDEX('08_PEDIDOS'!$H$2:$H$97,MATCH(A1038,'08_PEDIDOS'!$A$2:$A$97,0))</f>
        <v>10</v>
      </c>
      <c r="H1038" s="17" t="n">
        <f aca="false">SUMIFS('05_RUTAS'!$F$2:$F$407,'05_RUTAS'!$A$2:$A$407,B1038,'05_RUTAS'!$C$2:$C$407,C1038)</f>
        <v>3</v>
      </c>
      <c r="I1038" s="18" t="n">
        <f aca="false">SUMIFS('05_RUTAS'!$G$2:$G$407,'05_RUTAS'!$A$2:$A$407,B1038,'05_RUTAS'!$C$2:$C$407,C1038)</f>
        <v>15</v>
      </c>
      <c r="J1038" s="18" t="n">
        <f aca="false">(ROUNDUP(F1038/G1038,0)*H1038+F1038*I1038)/60</f>
        <v>2.55</v>
      </c>
      <c r="K1038" s="5" t="n">
        <f aca="false">MONTH(INDEX('08_PEDIDOS'!$F$2:$F$97,MATCH(A1038,'08_PEDIDOS'!$A$2:$A$97,0)))</f>
        <v>11</v>
      </c>
      <c r="L1038" s="16" t="n">
        <f aca="false">J1038*N(INDEX('04_MAQUINAS'!$F$2:$F$18,MATCH(E1038,'04_MAQUINAS'!$A$2:$A$18,0)))</f>
        <v>53.55</v>
      </c>
      <c r="M1038" s="17" t="n">
        <f aca="false">J1038*INDEX('04_MAQUINAS'!$G$2:$G$18,MATCH(E1038,'04_MAQUINAS'!$A$2:$A$18,0))*INDEX('04_MAQUINAS'!$H$2:$H$18,MATCH(E1038,'04_MAQUINAS'!$A$2:$A$18,0))</f>
        <v>1.9125</v>
      </c>
      <c r="N1038" s="2" t="s">
        <v>629</v>
      </c>
    </row>
    <row r="1039" customFormat="false" ht="15" hidden="false" customHeight="false" outlineLevel="0" collapsed="false">
      <c r="A1039" s="2" t="s">
        <v>611</v>
      </c>
      <c r="B1039" s="2" t="s">
        <v>119</v>
      </c>
      <c r="C1039" s="4" t="n">
        <v>5</v>
      </c>
      <c r="D1039" s="2" t="s">
        <v>444</v>
      </c>
      <c r="E1039" s="2" t="s">
        <v>399</v>
      </c>
      <c r="F1039" s="5" t="n">
        <f aca="false">INDEX('08_PEDIDOS'!$D$2:$D$97,MATCH(A1039,'08_PEDIDOS'!$A$2:$A$97,0))</f>
        <v>10</v>
      </c>
      <c r="G1039" s="5" t="n">
        <f aca="false">INDEX('08_PEDIDOS'!$H$2:$H$97,MATCH(A1039,'08_PEDIDOS'!$A$2:$A$97,0))</f>
        <v>10</v>
      </c>
      <c r="H1039" s="17" t="n">
        <f aca="false">SUMIFS('05_RUTAS'!$F$2:$F$407,'05_RUTAS'!$A$2:$A$407,B1039,'05_RUTAS'!$C$2:$C$407,C1039)</f>
        <v>6</v>
      </c>
      <c r="I1039" s="18" t="n">
        <f aca="false">SUMIFS('05_RUTAS'!$G$2:$G$407,'05_RUTAS'!$A$2:$A$407,B1039,'05_RUTAS'!$C$2:$C$407,C1039)</f>
        <v>25.712</v>
      </c>
      <c r="J1039" s="18" t="n">
        <f aca="false">(ROUNDUP(F1039/G1039,0)*H1039+F1039*I1039)/60</f>
        <v>4.38533333333333</v>
      </c>
      <c r="K1039" s="5" t="n">
        <f aca="false">MONTH(INDEX('08_PEDIDOS'!$F$2:$F$97,MATCH(A1039,'08_PEDIDOS'!$A$2:$A$97,0)))</f>
        <v>11</v>
      </c>
      <c r="L1039" s="16" t="n">
        <f aca="false">J1039*N(INDEX('04_MAQUINAS'!$F$2:$F$18,MATCH(E1039,'04_MAQUINAS'!$A$2:$A$18,0)))</f>
        <v>83.3213333333333</v>
      </c>
      <c r="M1039" s="17" t="n">
        <f aca="false">J1039*INDEX('04_MAQUINAS'!$G$2:$G$18,MATCH(E1039,'04_MAQUINAS'!$A$2:$A$18,0))*INDEX('04_MAQUINAS'!$H$2:$H$18,MATCH(E1039,'04_MAQUINAS'!$A$2:$A$18,0))</f>
        <v>3.85909333333333</v>
      </c>
      <c r="N1039" s="2" t="s">
        <v>629</v>
      </c>
    </row>
    <row r="1040" customFormat="false" ht="15" hidden="false" customHeight="false" outlineLevel="0" collapsed="false">
      <c r="A1040" s="2" t="s">
        <v>611</v>
      </c>
      <c r="B1040" s="2" t="s">
        <v>119</v>
      </c>
      <c r="C1040" s="4" t="n">
        <v>6</v>
      </c>
      <c r="D1040" s="2" t="s">
        <v>445</v>
      </c>
      <c r="E1040" s="2" t="s">
        <v>402</v>
      </c>
      <c r="F1040" s="5" t="n">
        <f aca="false">INDEX('08_PEDIDOS'!$D$2:$D$97,MATCH(A1040,'08_PEDIDOS'!$A$2:$A$97,0))</f>
        <v>10</v>
      </c>
      <c r="G1040" s="5" t="n">
        <f aca="false">INDEX('08_PEDIDOS'!$H$2:$H$97,MATCH(A1040,'08_PEDIDOS'!$A$2:$A$97,0))</f>
        <v>10</v>
      </c>
      <c r="H1040" s="17" t="n">
        <f aca="false">SUMIFS('05_RUTAS'!$F$2:$F$407,'05_RUTAS'!$A$2:$A$407,B1040,'05_RUTAS'!$C$2:$C$407,C1040)</f>
        <v>12</v>
      </c>
      <c r="I1040" s="18" t="n">
        <f aca="false">SUMIFS('05_RUTAS'!$G$2:$G$407,'05_RUTAS'!$A$2:$A$407,B1040,'05_RUTAS'!$C$2:$C$407,C1040)</f>
        <v>6.58</v>
      </c>
      <c r="J1040" s="18" t="n">
        <f aca="false">(ROUNDUP(F1040/G1040,0)*H1040+F1040*I1040)/60</f>
        <v>1.29666666666667</v>
      </c>
      <c r="K1040" s="5" t="n">
        <f aca="false">MONTH(INDEX('08_PEDIDOS'!$F$2:$F$97,MATCH(A1040,'08_PEDIDOS'!$A$2:$A$97,0)))</f>
        <v>11</v>
      </c>
      <c r="L1040" s="16" t="n">
        <f aca="false">J1040*N(INDEX('04_MAQUINAS'!$F$2:$F$18,MATCH(E1040,'04_MAQUINAS'!$A$2:$A$18,0)))</f>
        <v>41.4933333333333</v>
      </c>
      <c r="M1040" s="17" t="n">
        <f aca="false">J1040*INDEX('04_MAQUINAS'!$G$2:$G$18,MATCH(E1040,'04_MAQUINAS'!$A$2:$A$18,0))*INDEX('04_MAQUINAS'!$H$2:$H$18,MATCH(E1040,'04_MAQUINAS'!$A$2:$A$18,0))</f>
        <v>1.3615</v>
      </c>
      <c r="N1040" s="2" t="s">
        <v>629</v>
      </c>
    </row>
    <row r="1041" customFormat="false" ht="15" hidden="false" customHeight="false" outlineLevel="0" collapsed="false">
      <c r="A1041" s="2" t="s">
        <v>611</v>
      </c>
      <c r="B1041" s="2" t="s">
        <v>119</v>
      </c>
      <c r="C1041" s="4" t="n">
        <v>7</v>
      </c>
      <c r="D1041" s="2" t="s">
        <v>447</v>
      </c>
      <c r="E1041" s="2" t="s">
        <v>421</v>
      </c>
      <c r="F1041" s="5" t="n">
        <f aca="false">INDEX('08_PEDIDOS'!$D$2:$D$97,MATCH(A1041,'08_PEDIDOS'!$A$2:$A$97,0))</f>
        <v>10</v>
      </c>
      <c r="G1041" s="5" t="n">
        <f aca="false">INDEX('08_PEDIDOS'!$H$2:$H$97,MATCH(A1041,'08_PEDIDOS'!$A$2:$A$97,0))</f>
        <v>10</v>
      </c>
      <c r="H1041" s="17" t="n">
        <f aca="false">SUMIFS('05_RUTAS'!$F$2:$F$407,'05_RUTAS'!$A$2:$A$407,B1041,'05_RUTAS'!$C$2:$C$407,C1041)</f>
        <v>45</v>
      </c>
      <c r="I1041" s="18" t="n">
        <f aca="false">SUMIFS('05_RUTAS'!$G$2:$G$407,'05_RUTAS'!$A$2:$A$407,B1041,'05_RUTAS'!$C$2:$C$407,C1041)</f>
        <v>0</v>
      </c>
      <c r="J1041" s="18" t="n">
        <f aca="false">(ROUNDUP(F1041/G1041,0)*H1041+F1041*I1041)/60</f>
        <v>0.75</v>
      </c>
      <c r="K1041" s="5" t="n">
        <f aca="false">MONTH(INDEX('08_PEDIDOS'!$F$2:$F$97,MATCH(A1041,'08_PEDIDOS'!$A$2:$A$97,0)))</f>
        <v>11</v>
      </c>
      <c r="L1041" s="16" t="n">
        <f aca="false">J1041*N(INDEX('04_MAQUINAS'!$F$2:$F$18,MATCH(E1041,'04_MAQUINAS'!$A$2:$A$18,0)))</f>
        <v>19.5</v>
      </c>
      <c r="M1041" s="17" t="n">
        <f aca="false">J1041*INDEX('04_MAQUINAS'!$G$2:$G$18,MATCH(E1041,'04_MAQUINAS'!$A$2:$A$18,0))*INDEX('04_MAQUINAS'!$H$2:$H$18,MATCH(E1041,'04_MAQUINAS'!$A$2:$A$18,0))</f>
        <v>10.8</v>
      </c>
      <c r="N1041" s="2" t="s">
        <v>629</v>
      </c>
    </row>
    <row r="1042" customFormat="false" ht="15" hidden="false" customHeight="false" outlineLevel="0" collapsed="false">
      <c r="A1042" s="2" t="s">
        <v>611</v>
      </c>
      <c r="B1042" s="2" t="s">
        <v>119</v>
      </c>
      <c r="C1042" s="4" t="n">
        <v>8</v>
      </c>
      <c r="D1042" s="2" t="s">
        <v>449</v>
      </c>
      <c r="E1042" s="2" t="s">
        <v>423</v>
      </c>
      <c r="F1042" s="5" t="n">
        <f aca="false">INDEX('08_PEDIDOS'!$D$2:$D$97,MATCH(A1042,'08_PEDIDOS'!$A$2:$A$97,0))</f>
        <v>10</v>
      </c>
      <c r="G1042" s="5" t="n">
        <f aca="false">INDEX('08_PEDIDOS'!$H$2:$H$97,MATCH(A1042,'08_PEDIDOS'!$A$2:$A$97,0))</f>
        <v>10</v>
      </c>
      <c r="H1042" s="17" t="n">
        <f aca="false">SUMIFS('05_RUTAS'!$F$2:$F$407,'05_RUTAS'!$A$2:$A$407,B1042,'05_RUTAS'!$C$2:$C$407,C1042)</f>
        <v>8</v>
      </c>
      <c r="I1042" s="18" t="n">
        <f aca="false">SUMIFS('05_RUTAS'!$G$2:$G$407,'05_RUTAS'!$A$2:$A$407,B1042,'05_RUTAS'!$C$2:$C$407,C1042)</f>
        <v>2.36</v>
      </c>
      <c r="J1042" s="18" t="n">
        <f aca="false">(ROUNDUP(F1042/G1042,0)*H1042+F1042*I1042)/60</f>
        <v>0.526666666666667</v>
      </c>
      <c r="K1042" s="5" t="n">
        <f aca="false">MONTH(INDEX('08_PEDIDOS'!$F$2:$F$97,MATCH(A1042,'08_PEDIDOS'!$A$2:$A$97,0)))</f>
        <v>11</v>
      </c>
      <c r="L1042" s="16" t="n">
        <f aca="false">J1042*N(INDEX('04_MAQUINAS'!$F$2:$F$18,MATCH(E1042,'04_MAQUINAS'!$A$2:$A$18,0)))</f>
        <v>8.42666666666667</v>
      </c>
      <c r="M1042" s="17" t="n">
        <f aca="false">J1042*INDEX('04_MAQUINAS'!$G$2:$G$18,MATCH(E1042,'04_MAQUINAS'!$A$2:$A$18,0))*INDEX('04_MAQUINAS'!$H$2:$H$18,MATCH(E1042,'04_MAQUINAS'!$A$2:$A$18,0))</f>
        <v>0.131666666666667</v>
      </c>
      <c r="N1042" s="2" t="s">
        <v>629</v>
      </c>
    </row>
    <row r="1043" customFormat="false" ht="15" hidden="false" customHeight="false" outlineLevel="0" collapsed="false">
      <c r="A1043" s="2" t="s">
        <v>611</v>
      </c>
      <c r="B1043" s="2" t="s">
        <v>119</v>
      </c>
      <c r="C1043" s="4" t="n">
        <v>9</v>
      </c>
      <c r="D1043" s="2" t="s">
        <v>450</v>
      </c>
      <c r="E1043" s="2" t="s">
        <v>406</v>
      </c>
      <c r="F1043" s="5" t="n">
        <f aca="false">INDEX('08_PEDIDOS'!$D$2:$D$97,MATCH(A1043,'08_PEDIDOS'!$A$2:$A$97,0))</f>
        <v>10</v>
      </c>
      <c r="G1043" s="5" t="n">
        <f aca="false">INDEX('08_PEDIDOS'!$H$2:$H$97,MATCH(A1043,'08_PEDIDOS'!$A$2:$A$97,0))</f>
        <v>10</v>
      </c>
      <c r="H1043" s="17" t="n">
        <f aca="false">SUMIFS('05_RUTAS'!$F$2:$F$407,'05_RUTAS'!$A$2:$A$407,B1043,'05_RUTAS'!$C$2:$C$407,C1043)</f>
        <v>6</v>
      </c>
      <c r="I1043" s="18" t="n">
        <f aca="false">SUMIFS('05_RUTAS'!$G$2:$G$407,'05_RUTAS'!$A$2:$A$407,B1043,'05_RUTAS'!$C$2:$C$407,C1043)</f>
        <v>27</v>
      </c>
      <c r="J1043" s="18" t="n">
        <f aca="false">(ROUNDUP(F1043/G1043,0)*H1043+F1043*I1043)/60</f>
        <v>4.6</v>
      </c>
      <c r="K1043" s="5" t="n">
        <f aca="false">MONTH(INDEX('08_PEDIDOS'!$F$2:$F$97,MATCH(A1043,'08_PEDIDOS'!$A$2:$A$97,0)))</f>
        <v>11</v>
      </c>
      <c r="L1043" s="16" t="n">
        <f aca="false">J1043*N(INDEX('04_MAQUINAS'!$F$2:$F$18,MATCH(E1043,'04_MAQUINAS'!$A$2:$A$18,0)))</f>
        <v>87.4</v>
      </c>
      <c r="M1043" s="17" t="n">
        <f aca="false">J1043*INDEX('04_MAQUINAS'!$G$2:$G$18,MATCH(E1043,'04_MAQUINAS'!$A$2:$A$18,0))*INDEX('04_MAQUINAS'!$H$2:$H$18,MATCH(E1043,'04_MAQUINAS'!$A$2:$A$18,0))</f>
        <v>1.38</v>
      </c>
      <c r="N1043" s="2" t="s">
        <v>629</v>
      </c>
    </row>
    <row r="1044" customFormat="false" ht="15" hidden="false" customHeight="false" outlineLevel="0" collapsed="false">
      <c r="A1044" s="2" t="s">
        <v>611</v>
      </c>
      <c r="B1044" s="2" t="s">
        <v>119</v>
      </c>
      <c r="C1044" s="4" t="n">
        <v>10</v>
      </c>
      <c r="D1044" s="2" t="s">
        <v>451</v>
      </c>
      <c r="E1044" s="2" t="s">
        <v>408</v>
      </c>
      <c r="F1044" s="5" t="n">
        <f aca="false">INDEX('08_PEDIDOS'!$D$2:$D$97,MATCH(A1044,'08_PEDIDOS'!$A$2:$A$97,0))</f>
        <v>10</v>
      </c>
      <c r="G1044" s="5" t="n">
        <f aca="false">INDEX('08_PEDIDOS'!$H$2:$H$97,MATCH(A1044,'08_PEDIDOS'!$A$2:$A$97,0))</f>
        <v>10</v>
      </c>
      <c r="H1044" s="17" t="n">
        <f aca="false">SUMIFS('05_RUTAS'!$F$2:$F$407,'05_RUTAS'!$A$2:$A$407,B1044,'05_RUTAS'!$C$2:$C$407,C1044)</f>
        <v>2</v>
      </c>
      <c r="I1044" s="18" t="n">
        <f aca="false">SUMIFS('05_RUTAS'!$G$2:$G$407,'05_RUTAS'!$A$2:$A$407,B1044,'05_RUTAS'!$C$2:$C$407,C1044)</f>
        <v>3.45</v>
      </c>
      <c r="J1044" s="18" t="n">
        <f aca="false">(ROUNDUP(F1044/G1044,0)*H1044+F1044*I1044)/60</f>
        <v>0.608333333333333</v>
      </c>
      <c r="K1044" s="5" t="n">
        <f aca="false">MONTH(INDEX('08_PEDIDOS'!$F$2:$F$97,MATCH(A1044,'08_PEDIDOS'!$A$2:$A$97,0)))</f>
        <v>11</v>
      </c>
      <c r="L1044" s="16" t="n">
        <f aca="false">J1044*N(INDEX('04_MAQUINAS'!$F$2:$F$18,MATCH(E1044,'04_MAQUINAS'!$A$2:$A$18,0)))</f>
        <v>12.1666666666667</v>
      </c>
      <c r="M1044" s="17" t="n">
        <f aca="false">J1044*INDEX('04_MAQUINAS'!$G$2:$G$18,MATCH(E1044,'04_MAQUINAS'!$A$2:$A$18,0))*INDEX('04_MAQUINAS'!$H$2:$H$18,MATCH(E1044,'04_MAQUINAS'!$A$2:$A$18,0))</f>
        <v>0.0608333333333333</v>
      </c>
      <c r="N1044" s="2" t="s">
        <v>629</v>
      </c>
    </row>
    <row r="1045" customFormat="false" ht="15" hidden="false" customHeight="false" outlineLevel="0" collapsed="false">
      <c r="A1045" s="2" t="s">
        <v>611</v>
      </c>
      <c r="B1045" s="2" t="s">
        <v>119</v>
      </c>
      <c r="C1045" s="4" t="n">
        <v>11</v>
      </c>
      <c r="D1045" s="2" t="s">
        <v>452</v>
      </c>
      <c r="E1045" s="2" t="s">
        <v>411</v>
      </c>
      <c r="F1045" s="5" t="n">
        <f aca="false">INDEX('08_PEDIDOS'!$D$2:$D$97,MATCH(A1045,'08_PEDIDOS'!$A$2:$A$97,0))</f>
        <v>10</v>
      </c>
      <c r="G1045" s="5" t="n">
        <f aca="false">INDEX('08_PEDIDOS'!$H$2:$H$97,MATCH(A1045,'08_PEDIDOS'!$A$2:$A$97,0))</f>
        <v>10</v>
      </c>
      <c r="H1045" s="17" t="n">
        <f aca="false">SUMIFS('05_RUTAS'!$F$2:$F$407,'05_RUTAS'!$A$2:$A$407,B1045,'05_RUTAS'!$C$2:$C$407,C1045)</f>
        <v>2</v>
      </c>
      <c r="I1045" s="18" t="n">
        <f aca="false">SUMIFS('05_RUTAS'!$G$2:$G$407,'05_RUTAS'!$A$2:$A$407,B1045,'05_RUTAS'!$C$2:$C$407,C1045)</f>
        <v>4.67</v>
      </c>
      <c r="J1045" s="18" t="n">
        <f aca="false">(ROUNDUP(F1045/G1045,0)*H1045+F1045*I1045)/60</f>
        <v>0.811666666666667</v>
      </c>
      <c r="K1045" s="5" t="n">
        <f aca="false">MONTH(INDEX('08_PEDIDOS'!$F$2:$F$97,MATCH(A1045,'08_PEDIDOS'!$A$2:$A$97,0)))</f>
        <v>11</v>
      </c>
      <c r="L1045" s="16" t="n">
        <f aca="false">J1045*N(INDEX('04_MAQUINAS'!$F$2:$F$18,MATCH(E1045,'04_MAQUINAS'!$A$2:$A$18,0)))</f>
        <v>14.61</v>
      </c>
      <c r="M1045" s="17" t="n">
        <f aca="false">J1045*INDEX('04_MAQUINAS'!$G$2:$G$18,MATCH(E1045,'04_MAQUINAS'!$A$2:$A$18,0))*INDEX('04_MAQUINAS'!$H$2:$H$18,MATCH(E1045,'04_MAQUINAS'!$A$2:$A$18,0))</f>
        <v>0.07305</v>
      </c>
      <c r="N1045" s="2" t="s">
        <v>629</v>
      </c>
    </row>
    <row r="1046" customFormat="false" ht="15" hidden="false" customHeight="false" outlineLevel="0" collapsed="false">
      <c r="A1046" s="2" t="s">
        <v>612</v>
      </c>
      <c r="B1046" s="2" t="s">
        <v>121</v>
      </c>
      <c r="C1046" s="4" t="n">
        <v>1</v>
      </c>
      <c r="D1046" s="2" t="s">
        <v>437</v>
      </c>
      <c r="E1046" s="2" t="s">
        <v>375</v>
      </c>
      <c r="F1046" s="5" t="n">
        <f aca="false">INDEX('08_PEDIDOS'!$D$2:$D$97,MATCH(A1046,'08_PEDIDOS'!$A$2:$A$97,0))</f>
        <v>10</v>
      </c>
      <c r="G1046" s="5" t="n">
        <f aca="false">INDEX('08_PEDIDOS'!$H$2:$H$97,MATCH(A1046,'08_PEDIDOS'!$A$2:$A$97,0))</f>
        <v>10</v>
      </c>
      <c r="H1046" s="17" t="n">
        <f aca="false">SUMIFS('05_RUTAS'!$F$2:$F$407,'05_RUTAS'!$A$2:$A$407,B1046,'05_RUTAS'!$C$2:$C$407,C1046)</f>
        <v>8</v>
      </c>
      <c r="I1046" s="18" t="n">
        <f aca="false">SUMIFS('05_RUTAS'!$G$2:$G$407,'05_RUTAS'!$A$2:$A$407,B1046,'05_RUTAS'!$C$2:$C$407,C1046)</f>
        <v>35.92</v>
      </c>
      <c r="J1046" s="18" t="n">
        <f aca="false">(ROUNDUP(F1046/G1046,0)*H1046+F1046*I1046)/60</f>
        <v>6.12</v>
      </c>
      <c r="K1046" s="5" t="n">
        <f aca="false">MONTH(INDEX('08_PEDIDOS'!$F$2:$F$97,MATCH(A1046,'08_PEDIDOS'!$A$2:$A$97,0)))</f>
        <v>11</v>
      </c>
      <c r="L1046" s="16" t="n">
        <f aca="false">J1046*N(INDEX('04_MAQUINAS'!$F$2:$F$18,MATCH(E1046,'04_MAQUINAS'!$A$2:$A$18,0)))</f>
        <v>146.88</v>
      </c>
      <c r="M1046" s="17" t="n">
        <f aca="false">J1046*INDEX('04_MAQUINAS'!$G$2:$G$18,MATCH(E1046,'04_MAQUINAS'!$A$2:$A$18,0))*INDEX('04_MAQUINAS'!$H$2:$H$18,MATCH(E1046,'04_MAQUINAS'!$A$2:$A$18,0))</f>
        <v>16.83</v>
      </c>
      <c r="N1046" s="2" t="s">
        <v>629</v>
      </c>
    </row>
    <row r="1047" customFormat="false" ht="15" hidden="false" customHeight="false" outlineLevel="0" collapsed="false">
      <c r="A1047" s="2" t="s">
        <v>612</v>
      </c>
      <c r="B1047" s="2" t="s">
        <v>121</v>
      </c>
      <c r="C1047" s="4" t="n">
        <v>2</v>
      </c>
      <c r="D1047" s="2" t="s">
        <v>441</v>
      </c>
      <c r="E1047" s="2" t="s">
        <v>380</v>
      </c>
      <c r="F1047" s="5" t="n">
        <f aca="false">INDEX('08_PEDIDOS'!$D$2:$D$97,MATCH(A1047,'08_PEDIDOS'!$A$2:$A$97,0))</f>
        <v>10</v>
      </c>
      <c r="G1047" s="5" t="n">
        <f aca="false">INDEX('08_PEDIDOS'!$H$2:$H$97,MATCH(A1047,'08_PEDIDOS'!$A$2:$A$97,0))</f>
        <v>10</v>
      </c>
      <c r="H1047" s="17" t="n">
        <f aca="false">SUMIFS('05_RUTAS'!$F$2:$F$407,'05_RUTAS'!$A$2:$A$407,B1047,'05_RUTAS'!$C$2:$C$407,C1047)</f>
        <v>8</v>
      </c>
      <c r="I1047" s="18" t="n">
        <f aca="false">SUMIFS('05_RUTAS'!$G$2:$G$407,'05_RUTAS'!$A$2:$A$407,B1047,'05_RUTAS'!$C$2:$C$407,C1047)</f>
        <v>32.28</v>
      </c>
      <c r="J1047" s="18" t="n">
        <f aca="false">(ROUNDUP(F1047/G1047,0)*H1047+F1047*I1047)/60</f>
        <v>5.51333333333333</v>
      </c>
      <c r="K1047" s="5" t="n">
        <f aca="false">MONTH(INDEX('08_PEDIDOS'!$F$2:$F$97,MATCH(A1047,'08_PEDIDOS'!$A$2:$A$97,0)))</f>
        <v>11</v>
      </c>
      <c r="L1047" s="16" t="n">
        <f aca="false">J1047*N(INDEX('04_MAQUINAS'!$F$2:$F$18,MATCH(E1047,'04_MAQUINAS'!$A$2:$A$18,0)))</f>
        <v>121.293333333333</v>
      </c>
      <c r="M1047" s="17" t="n">
        <f aca="false">J1047*INDEX('04_MAQUINAS'!$G$2:$G$18,MATCH(E1047,'04_MAQUINAS'!$A$2:$A$18,0))*INDEX('04_MAQUINAS'!$H$2:$H$18,MATCH(E1047,'04_MAQUINAS'!$A$2:$A$18,0))</f>
        <v>2.481</v>
      </c>
      <c r="N1047" s="2" t="s">
        <v>629</v>
      </c>
    </row>
    <row r="1048" customFormat="false" ht="15" hidden="false" customHeight="false" outlineLevel="0" collapsed="false">
      <c r="A1048" s="2" t="s">
        <v>612</v>
      </c>
      <c r="B1048" s="2" t="s">
        <v>121</v>
      </c>
      <c r="C1048" s="4" t="n">
        <v>3</v>
      </c>
      <c r="D1048" s="2" t="s">
        <v>386</v>
      </c>
      <c r="E1048" s="2" t="s">
        <v>383</v>
      </c>
      <c r="F1048" s="5" t="n">
        <f aca="false">INDEX('08_PEDIDOS'!$D$2:$D$97,MATCH(A1048,'08_PEDIDOS'!$A$2:$A$97,0))</f>
        <v>10</v>
      </c>
      <c r="G1048" s="5" t="n">
        <f aca="false">INDEX('08_PEDIDOS'!$H$2:$H$97,MATCH(A1048,'08_PEDIDOS'!$A$2:$A$97,0))</f>
        <v>10</v>
      </c>
      <c r="H1048" s="17" t="n">
        <f aca="false">SUMIFS('05_RUTAS'!$F$2:$F$407,'05_RUTAS'!$A$2:$A$407,B1048,'05_RUTAS'!$C$2:$C$407,C1048)</f>
        <v>10</v>
      </c>
      <c r="I1048" s="18" t="n">
        <f aca="false">SUMIFS('05_RUTAS'!$G$2:$G$407,'05_RUTAS'!$A$2:$A$407,B1048,'05_RUTAS'!$C$2:$C$407,C1048)</f>
        <v>54.8</v>
      </c>
      <c r="J1048" s="18" t="n">
        <f aca="false">(ROUNDUP(F1048/G1048,0)*H1048+F1048*I1048)/60</f>
        <v>9.3</v>
      </c>
      <c r="K1048" s="5" t="n">
        <f aca="false">MONTH(INDEX('08_PEDIDOS'!$F$2:$F$97,MATCH(A1048,'08_PEDIDOS'!$A$2:$A$97,0)))</f>
        <v>11</v>
      </c>
      <c r="L1048" s="16" t="n">
        <f aca="false">J1048*N(INDEX('04_MAQUINAS'!$F$2:$F$18,MATCH(E1048,'04_MAQUINAS'!$A$2:$A$18,0)))</f>
        <v>204.6</v>
      </c>
      <c r="M1048" s="17" t="n">
        <f aca="false">J1048*INDEX('04_MAQUINAS'!$G$2:$G$18,MATCH(E1048,'04_MAQUINAS'!$A$2:$A$18,0))*INDEX('04_MAQUINAS'!$H$2:$H$18,MATCH(E1048,'04_MAQUINAS'!$A$2:$A$18,0))</f>
        <v>2.5575</v>
      </c>
      <c r="N1048" s="2" t="s">
        <v>629</v>
      </c>
    </row>
    <row r="1049" customFormat="false" ht="15" hidden="false" customHeight="false" outlineLevel="0" collapsed="false">
      <c r="A1049" s="2" t="s">
        <v>612</v>
      </c>
      <c r="B1049" s="2" t="s">
        <v>121</v>
      </c>
      <c r="C1049" s="4" t="n">
        <v>4</v>
      </c>
      <c r="D1049" s="2" t="s">
        <v>390</v>
      </c>
      <c r="E1049" s="2" t="s">
        <v>387</v>
      </c>
      <c r="F1049" s="5" t="n">
        <f aca="false">INDEX('08_PEDIDOS'!$D$2:$D$97,MATCH(A1049,'08_PEDIDOS'!$A$2:$A$97,0))</f>
        <v>10</v>
      </c>
      <c r="G1049" s="5" t="n">
        <f aca="false">INDEX('08_PEDIDOS'!$H$2:$H$97,MATCH(A1049,'08_PEDIDOS'!$A$2:$A$97,0))</f>
        <v>10</v>
      </c>
      <c r="H1049" s="17" t="n">
        <f aca="false">SUMIFS('05_RUTAS'!$F$2:$F$407,'05_RUTAS'!$A$2:$A$407,B1049,'05_RUTAS'!$C$2:$C$407,C1049)</f>
        <v>12</v>
      </c>
      <c r="I1049" s="18" t="n">
        <f aca="false">SUMIFS('05_RUTAS'!$G$2:$G$407,'05_RUTAS'!$A$2:$A$407,B1049,'05_RUTAS'!$C$2:$C$407,C1049)</f>
        <v>85</v>
      </c>
      <c r="J1049" s="18" t="n">
        <f aca="false">(ROUNDUP(F1049/G1049,0)*H1049+F1049*I1049)/60</f>
        <v>14.3666666666667</v>
      </c>
      <c r="K1049" s="5" t="n">
        <f aca="false">MONTH(INDEX('08_PEDIDOS'!$F$2:$F$97,MATCH(A1049,'08_PEDIDOS'!$A$2:$A$97,0)))</f>
        <v>11</v>
      </c>
      <c r="L1049" s="16" t="n">
        <f aca="false">J1049*N(INDEX('04_MAQUINAS'!$F$2:$F$18,MATCH(E1049,'04_MAQUINAS'!$A$2:$A$18,0)))</f>
        <v>402.266666666667</v>
      </c>
      <c r="M1049" s="17" t="n">
        <f aca="false">J1049*INDEX('04_MAQUINAS'!$G$2:$G$18,MATCH(E1049,'04_MAQUINAS'!$A$2:$A$18,0))*INDEX('04_MAQUINAS'!$H$2:$H$18,MATCH(E1049,'04_MAQUINAS'!$A$2:$A$18,0))</f>
        <v>35.5575</v>
      </c>
      <c r="N1049" s="2" t="s">
        <v>629</v>
      </c>
    </row>
    <row r="1050" customFormat="false" ht="15" hidden="false" customHeight="false" outlineLevel="0" collapsed="false">
      <c r="A1050" s="2" t="s">
        <v>612</v>
      </c>
      <c r="B1050" s="2" t="s">
        <v>121</v>
      </c>
      <c r="C1050" s="4" t="n">
        <v>5</v>
      </c>
      <c r="D1050" s="2" t="s">
        <v>443</v>
      </c>
      <c r="E1050" s="2" t="s">
        <v>395</v>
      </c>
      <c r="F1050" s="5" t="n">
        <f aca="false">INDEX('08_PEDIDOS'!$D$2:$D$97,MATCH(A1050,'08_PEDIDOS'!$A$2:$A$97,0))</f>
        <v>10</v>
      </c>
      <c r="G1050" s="5" t="n">
        <f aca="false">INDEX('08_PEDIDOS'!$H$2:$H$97,MATCH(A1050,'08_PEDIDOS'!$A$2:$A$97,0))</f>
        <v>10</v>
      </c>
      <c r="H1050" s="17" t="n">
        <f aca="false">SUMIFS('05_RUTAS'!$F$2:$F$407,'05_RUTAS'!$A$2:$A$407,B1050,'05_RUTAS'!$C$2:$C$407,C1050)</f>
        <v>3</v>
      </c>
      <c r="I1050" s="18" t="n">
        <f aca="false">SUMIFS('05_RUTAS'!$G$2:$G$407,'05_RUTAS'!$A$2:$A$407,B1050,'05_RUTAS'!$C$2:$C$407,C1050)</f>
        <v>37.5</v>
      </c>
      <c r="J1050" s="18" t="n">
        <f aca="false">(ROUNDUP(F1050/G1050,0)*H1050+F1050*I1050)/60</f>
        <v>6.3</v>
      </c>
      <c r="K1050" s="5" t="n">
        <f aca="false">MONTH(INDEX('08_PEDIDOS'!$F$2:$F$97,MATCH(A1050,'08_PEDIDOS'!$A$2:$A$97,0)))</f>
        <v>11</v>
      </c>
      <c r="L1050" s="16" t="n">
        <f aca="false">J1050*N(INDEX('04_MAQUINAS'!$F$2:$F$18,MATCH(E1050,'04_MAQUINAS'!$A$2:$A$18,0)))</f>
        <v>132.3</v>
      </c>
      <c r="M1050" s="17" t="n">
        <f aca="false">J1050*INDEX('04_MAQUINAS'!$G$2:$G$18,MATCH(E1050,'04_MAQUINAS'!$A$2:$A$18,0))*INDEX('04_MAQUINAS'!$H$2:$H$18,MATCH(E1050,'04_MAQUINAS'!$A$2:$A$18,0))</f>
        <v>4.725</v>
      </c>
      <c r="N1050" s="2" t="s">
        <v>629</v>
      </c>
    </row>
    <row r="1051" customFormat="false" ht="15" hidden="false" customHeight="false" outlineLevel="0" collapsed="false">
      <c r="A1051" s="2" t="s">
        <v>612</v>
      </c>
      <c r="B1051" s="2" t="s">
        <v>121</v>
      </c>
      <c r="C1051" s="4" t="n">
        <v>6</v>
      </c>
      <c r="D1051" s="2" t="s">
        <v>444</v>
      </c>
      <c r="E1051" s="2" t="s">
        <v>399</v>
      </c>
      <c r="F1051" s="5" t="n">
        <f aca="false">INDEX('08_PEDIDOS'!$D$2:$D$97,MATCH(A1051,'08_PEDIDOS'!$A$2:$A$97,0))</f>
        <v>10</v>
      </c>
      <c r="G1051" s="5" t="n">
        <f aca="false">INDEX('08_PEDIDOS'!$H$2:$H$97,MATCH(A1051,'08_PEDIDOS'!$A$2:$A$97,0))</f>
        <v>10</v>
      </c>
      <c r="H1051" s="17" t="n">
        <f aca="false">SUMIFS('05_RUTAS'!$F$2:$F$407,'05_RUTAS'!$A$2:$A$407,B1051,'05_RUTAS'!$C$2:$C$407,C1051)</f>
        <v>6</v>
      </c>
      <c r="I1051" s="18" t="n">
        <f aca="false">SUMIFS('05_RUTAS'!$G$2:$G$407,'05_RUTAS'!$A$2:$A$407,B1051,'05_RUTAS'!$C$2:$C$407,C1051)</f>
        <v>24.4752</v>
      </c>
      <c r="J1051" s="18" t="n">
        <f aca="false">(ROUNDUP(F1051/G1051,0)*H1051+F1051*I1051)/60</f>
        <v>4.1792</v>
      </c>
      <c r="K1051" s="5" t="n">
        <f aca="false">MONTH(INDEX('08_PEDIDOS'!$F$2:$F$97,MATCH(A1051,'08_PEDIDOS'!$A$2:$A$97,0)))</f>
        <v>11</v>
      </c>
      <c r="L1051" s="16" t="n">
        <f aca="false">J1051*N(INDEX('04_MAQUINAS'!$F$2:$F$18,MATCH(E1051,'04_MAQUINAS'!$A$2:$A$18,0)))</f>
        <v>79.4048</v>
      </c>
      <c r="M1051" s="17" t="n">
        <f aca="false">J1051*INDEX('04_MAQUINAS'!$G$2:$G$18,MATCH(E1051,'04_MAQUINAS'!$A$2:$A$18,0))*INDEX('04_MAQUINAS'!$H$2:$H$18,MATCH(E1051,'04_MAQUINAS'!$A$2:$A$18,0))</f>
        <v>3.677696</v>
      </c>
      <c r="N1051" s="2" t="s">
        <v>629</v>
      </c>
    </row>
    <row r="1052" customFormat="false" ht="15" hidden="false" customHeight="false" outlineLevel="0" collapsed="false">
      <c r="A1052" s="2" t="s">
        <v>612</v>
      </c>
      <c r="B1052" s="2" t="s">
        <v>121</v>
      </c>
      <c r="C1052" s="4" t="n">
        <v>7</v>
      </c>
      <c r="D1052" s="2" t="s">
        <v>445</v>
      </c>
      <c r="E1052" s="2" t="s">
        <v>402</v>
      </c>
      <c r="F1052" s="5" t="n">
        <f aca="false">INDEX('08_PEDIDOS'!$D$2:$D$97,MATCH(A1052,'08_PEDIDOS'!$A$2:$A$97,0))</f>
        <v>10</v>
      </c>
      <c r="G1052" s="5" t="n">
        <f aca="false">INDEX('08_PEDIDOS'!$H$2:$H$97,MATCH(A1052,'08_PEDIDOS'!$A$2:$A$97,0))</f>
        <v>10</v>
      </c>
      <c r="H1052" s="17" t="n">
        <f aca="false">SUMIFS('05_RUTAS'!$F$2:$F$407,'05_RUTAS'!$A$2:$A$407,B1052,'05_RUTAS'!$C$2:$C$407,C1052)</f>
        <v>12</v>
      </c>
      <c r="I1052" s="18" t="n">
        <f aca="false">SUMIFS('05_RUTAS'!$G$2:$G$407,'05_RUTAS'!$A$2:$A$407,B1052,'05_RUTAS'!$C$2:$C$407,C1052)</f>
        <v>6.58</v>
      </c>
      <c r="J1052" s="18" t="n">
        <f aca="false">(ROUNDUP(F1052/G1052,0)*H1052+F1052*I1052)/60</f>
        <v>1.29666666666667</v>
      </c>
      <c r="K1052" s="5" t="n">
        <f aca="false">MONTH(INDEX('08_PEDIDOS'!$F$2:$F$97,MATCH(A1052,'08_PEDIDOS'!$A$2:$A$97,0)))</f>
        <v>11</v>
      </c>
      <c r="L1052" s="16" t="n">
        <f aca="false">J1052*N(INDEX('04_MAQUINAS'!$F$2:$F$18,MATCH(E1052,'04_MAQUINAS'!$A$2:$A$18,0)))</f>
        <v>41.4933333333333</v>
      </c>
      <c r="M1052" s="17" t="n">
        <f aca="false">J1052*INDEX('04_MAQUINAS'!$G$2:$G$18,MATCH(E1052,'04_MAQUINAS'!$A$2:$A$18,0))*INDEX('04_MAQUINAS'!$H$2:$H$18,MATCH(E1052,'04_MAQUINAS'!$A$2:$A$18,0))</f>
        <v>1.3615</v>
      </c>
      <c r="N1052" s="2" t="s">
        <v>629</v>
      </c>
    </row>
    <row r="1053" customFormat="false" ht="15" hidden="false" customHeight="false" outlineLevel="0" collapsed="false">
      <c r="A1053" s="2" t="s">
        <v>612</v>
      </c>
      <c r="B1053" s="2" t="s">
        <v>121</v>
      </c>
      <c r="C1053" s="4" t="n">
        <v>8</v>
      </c>
      <c r="D1053" s="2" t="s">
        <v>447</v>
      </c>
      <c r="E1053" s="2" t="s">
        <v>421</v>
      </c>
      <c r="F1053" s="5" t="n">
        <f aca="false">INDEX('08_PEDIDOS'!$D$2:$D$97,MATCH(A1053,'08_PEDIDOS'!$A$2:$A$97,0))</f>
        <v>10</v>
      </c>
      <c r="G1053" s="5" t="n">
        <f aca="false">INDEX('08_PEDIDOS'!$H$2:$H$97,MATCH(A1053,'08_PEDIDOS'!$A$2:$A$97,0))</f>
        <v>10</v>
      </c>
      <c r="H1053" s="17" t="n">
        <f aca="false">SUMIFS('05_RUTAS'!$F$2:$F$407,'05_RUTAS'!$A$2:$A$407,B1053,'05_RUTAS'!$C$2:$C$407,C1053)</f>
        <v>45</v>
      </c>
      <c r="I1053" s="18" t="n">
        <f aca="false">SUMIFS('05_RUTAS'!$G$2:$G$407,'05_RUTAS'!$A$2:$A$407,B1053,'05_RUTAS'!$C$2:$C$407,C1053)</f>
        <v>0</v>
      </c>
      <c r="J1053" s="18" t="n">
        <f aca="false">(ROUNDUP(F1053/G1053,0)*H1053+F1053*I1053)/60</f>
        <v>0.75</v>
      </c>
      <c r="K1053" s="5" t="n">
        <f aca="false">MONTH(INDEX('08_PEDIDOS'!$F$2:$F$97,MATCH(A1053,'08_PEDIDOS'!$A$2:$A$97,0)))</f>
        <v>11</v>
      </c>
      <c r="L1053" s="16" t="n">
        <f aca="false">J1053*N(INDEX('04_MAQUINAS'!$F$2:$F$18,MATCH(E1053,'04_MAQUINAS'!$A$2:$A$18,0)))</f>
        <v>19.5</v>
      </c>
      <c r="M1053" s="17" t="n">
        <f aca="false">J1053*INDEX('04_MAQUINAS'!$G$2:$G$18,MATCH(E1053,'04_MAQUINAS'!$A$2:$A$18,0))*INDEX('04_MAQUINAS'!$H$2:$H$18,MATCH(E1053,'04_MAQUINAS'!$A$2:$A$18,0))</f>
        <v>10.8</v>
      </c>
      <c r="N1053" s="2" t="s">
        <v>629</v>
      </c>
    </row>
    <row r="1054" customFormat="false" ht="15" hidden="false" customHeight="false" outlineLevel="0" collapsed="false">
      <c r="A1054" s="2" t="s">
        <v>612</v>
      </c>
      <c r="B1054" s="2" t="s">
        <v>121</v>
      </c>
      <c r="C1054" s="4" t="n">
        <v>9</v>
      </c>
      <c r="D1054" s="2" t="s">
        <v>449</v>
      </c>
      <c r="E1054" s="2" t="s">
        <v>423</v>
      </c>
      <c r="F1054" s="5" t="n">
        <f aca="false">INDEX('08_PEDIDOS'!$D$2:$D$97,MATCH(A1054,'08_PEDIDOS'!$A$2:$A$97,0))</f>
        <v>10</v>
      </c>
      <c r="G1054" s="5" t="n">
        <f aca="false">INDEX('08_PEDIDOS'!$H$2:$H$97,MATCH(A1054,'08_PEDIDOS'!$A$2:$A$97,0))</f>
        <v>10</v>
      </c>
      <c r="H1054" s="17" t="n">
        <f aca="false">SUMIFS('05_RUTAS'!$F$2:$F$407,'05_RUTAS'!$A$2:$A$407,B1054,'05_RUTAS'!$C$2:$C$407,C1054)</f>
        <v>8</v>
      </c>
      <c r="I1054" s="18" t="n">
        <f aca="false">SUMIFS('05_RUTAS'!$G$2:$G$407,'05_RUTAS'!$A$2:$A$407,B1054,'05_RUTAS'!$C$2:$C$407,C1054)</f>
        <v>2.36</v>
      </c>
      <c r="J1054" s="18" t="n">
        <f aca="false">(ROUNDUP(F1054/G1054,0)*H1054+F1054*I1054)/60</f>
        <v>0.526666666666667</v>
      </c>
      <c r="K1054" s="5" t="n">
        <f aca="false">MONTH(INDEX('08_PEDIDOS'!$F$2:$F$97,MATCH(A1054,'08_PEDIDOS'!$A$2:$A$97,0)))</f>
        <v>11</v>
      </c>
      <c r="L1054" s="16" t="n">
        <f aca="false">J1054*N(INDEX('04_MAQUINAS'!$F$2:$F$18,MATCH(E1054,'04_MAQUINAS'!$A$2:$A$18,0)))</f>
        <v>8.42666666666667</v>
      </c>
      <c r="M1054" s="17" t="n">
        <f aca="false">J1054*INDEX('04_MAQUINAS'!$G$2:$G$18,MATCH(E1054,'04_MAQUINAS'!$A$2:$A$18,0))*INDEX('04_MAQUINAS'!$H$2:$H$18,MATCH(E1054,'04_MAQUINAS'!$A$2:$A$18,0))</f>
        <v>0.131666666666667</v>
      </c>
      <c r="N1054" s="2" t="s">
        <v>629</v>
      </c>
    </row>
    <row r="1055" customFormat="false" ht="15" hidden="false" customHeight="false" outlineLevel="0" collapsed="false">
      <c r="A1055" s="2" t="s">
        <v>612</v>
      </c>
      <c r="B1055" s="2" t="s">
        <v>121</v>
      </c>
      <c r="C1055" s="4" t="n">
        <v>10</v>
      </c>
      <c r="D1055" s="2" t="s">
        <v>450</v>
      </c>
      <c r="E1055" s="2" t="s">
        <v>406</v>
      </c>
      <c r="F1055" s="5" t="n">
        <f aca="false">INDEX('08_PEDIDOS'!$D$2:$D$97,MATCH(A1055,'08_PEDIDOS'!$A$2:$A$97,0))</f>
        <v>10</v>
      </c>
      <c r="G1055" s="5" t="n">
        <f aca="false">INDEX('08_PEDIDOS'!$H$2:$H$97,MATCH(A1055,'08_PEDIDOS'!$A$2:$A$97,0))</f>
        <v>10</v>
      </c>
      <c r="H1055" s="17" t="n">
        <f aca="false">SUMIFS('05_RUTAS'!$F$2:$F$407,'05_RUTAS'!$A$2:$A$407,B1055,'05_RUTAS'!$C$2:$C$407,C1055)</f>
        <v>6</v>
      </c>
      <c r="I1055" s="18" t="n">
        <f aca="false">SUMIFS('05_RUTAS'!$G$2:$G$407,'05_RUTAS'!$A$2:$A$407,B1055,'05_RUTAS'!$C$2:$C$407,C1055)</f>
        <v>61.5</v>
      </c>
      <c r="J1055" s="18" t="n">
        <f aca="false">(ROUNDUP(F1055/G1055,0)*H1055+F1055*I1055)/60</f>
        <v>10.35</v>
      </c>
      <c r="K1055" s="5" t="n">
        <f aca="false">MONTH(INDEX('08_PEDIDOS'!$F$2:$F$97,MATCH(A1055,'08_PEDIDOS'!$A$2:$A$97,0)))</f>
        <v>11</v>
      </c>
      <c r="L1055" s="16" t="n">
        <f aca="false">J1055*N(INDEX('04_MAQUINAS'!$F$2:$F$18,MATCH(E1055,'04_MAQUINAS'!$A$2:$A$18,0)))</f>
        <v>196.65</v>
      </c>
      <c r="M1055" s="17" t="n">
        <f aca="false">J1055*INDEX('04_MAQUINAS'!$G$2:$G$18,MATCH(E1055,'04_MAQUINAS'!$A$2:$A$18,0))*INDEX('04_MAQUINAS'!$H$2:$H$18,MATCH(E1055,'04_MAQUINAS'!$A$2:$A$18,0))</f>
        <v>3.105</v>
      </c>
      <c r="N1055" s="2" t="s">
        <v>629</v>
      </c>
    </row>
    <row r="1056" customFormat="false" ht="15" hidden="false" customHeight="false" outlineLevel="0" collapsed="false">
      <c r="A1056" s="2" t="s">
        <v>612</v>
      </c>
      <c r="B1056" s="2" t="s">
        <v>121</v>
      </c>
      <c r="C1056" s="4" t="n">
        <v>11</v>
      </c>
      <c r="D1056" s="2" t="s">
        <v>451</v>
      </c>
      <c r="E1056" s="2" t="s">
        <v>408</v>
      </c>
      <c r="F1056" s="5" t="n">
        <f aca="false">INDEX('08_PEDIDOS'!$D$2:$D$97,MATCH(A1056,'08_PEDIDOS'!$A$2:$A$97,0))</f>
        <v>10</v>
      </c>
      <c r="G1056" s="5" t="n">
        <f aca="false">INDEX('08_PEDIDOS'!$H$2:$H$97,MATCH(A1056,'08_PEDIDOS'!$A$2:$A$97,0))</f>
        <v>10</v>
      </c>
      <c r="H1056" s="17" t="n">
        <f aca="false">SUMIFS('05_RUTAS'!$F$2:$F$407,'05_RUTAS'!$A$2:$A$407,B1056,'05_RUTAS'!$C$2:$C$407,C1056)</f>
        <v>2</v>
      </c>
      <c r="I1056" s="18" t="n">
        <f aca="false">SUMIFS('05_RUTAS'!$G$2:$G$407,'05_RUTAS'!$A$2:$A$407,B1056,'05_RUTAS'!$C$2:$C$407,C1056)</f>
        <v>3.45</v>
      </c>
      <c r="J1056" s="18" t="n">
        <f aca="false">(ROUNDUP(F1056/G1056,0)*H1056+F1056*I1056)/60</f>
        <v>0.608333333333333</v>
      </c>
      <c r="K1056" s="5" t="n">
        <f aca="false">MONTH(INDEX('08_PEDIDOS'!$F$2:$F$97,MATCH(A1056,'08_PEDIDOS'!$A$2:$A$97,0)))</f>
        <v>11</v>
      </c>
      <c r="L1056" s="16" t="n">
        <f aca="false">J1056*N(INDEX('04_MAQUINAS'!$F$2:$F$18,MATCH(E1056,'04_MAQUINAS'!$A$2:$A$18,0)))</f>
        <v>12.1666666666667</v>
      </c>
      <c r="M1056" s="17" t="n">
        <f aca="false">J1056*INDEX('04_MAQUINAS'!$G$2:$G$18,MATCH(E1056,'04_MAQUINAS'!$A$2:$A$18,0))*INDEX('04_MAQUINAS'!$H$2:$H$18,MATCH(E1056,'04_MAQUINAS'!$A$2:$A$18,0))</f>
        <v>0.0608333333333333</v>
      </c>
      <c r="N1056" s="2" t="s">
        <v>629</v>
      </c>
    </row>
    <row r="1057" customFormat="false" ht="15" hidden="false" customHeight="false" outlineLevel="0" collapsed="false">
      <c r="A1057" s="2" t="s">
        <v>612</v>
      </c>
      <c r="B1057" s="2" t="s">
        <v>121</v>
      </c>
      <c r="C1057" s="4" t="n">
        <v>12</v>
      </c>
      <c r="D1057" s="2" t="s">
        <v>452</v>
      </c>
      <c r="E1057" s="2" t="s">
        <v>411</v>
      </c>
      <c r="F1057" s="5" t="n">
        <f aca="false">INDEX('08_PEDIDOS'!$D$2:$D$97,MATCH(A1057,'08_PEDIDOS'!$A$2:$A$97,0))</f>
        <v>10</v>
      </c>
      <c r="G1057" s="5" t="n">
        <f aca="false">INDEX('08_PEDIDOS'!$H$2:$H$97,MATCH(A1057,'08_PEDIDOS'!$A$2:$A$97,0))</f>
        <v>10</v>
      </c>
      <c r="H1057" s="17" t="n">
        <f aca="false">SUMIFS('05_RUTAS'!$F$2:$F$407,'05_RUTAS'!$A$2:$A$407,B1057,'05_RUTAS'!$C$2:$C$407,C1057)</f>
        <v>2</v>
      </c>
      <c r="I1057" s="18" t="n">
        <f aca="false">SUMIFS('05_RUTAS'!$G$2:$G$407,'05_RUTAS'!$A$2:$A$407,B1057,'05_RUTAS'!$C$2:$C$407,C1057)</f>
        <v>4.67</v>
      </c>
      <c r="J1057" s="18" t="n">
        <f aca="false">(ROUNDUP(F1057/G1057,0)*H1057+F1057*I1057)/60</f>
        <v>0.811666666666667</v>
      </c>
      <c r="K1057" s="5" t="n">
        <f aca="false">MONTH(INDEX('08_PEDIDOS'!$F$2:$F$97,MATCH(A1057,'08_PEDIDOS'!$A$2:$A$97,0)))</f>
        <v>11</v>
      </c>
      <c r="L1057" s="16" t="n">
        <f aca="false">J1057*N(INDEX('04_MAQUINAS'!$F$2:$F$18,MATCH(E1057,'04_MAQUINAS'!$A$2:$A$18,0)))</f>
        <v>14.61</v>
      </c>
      <c r="M1057" s="17" t="n">
        <f aca="false">J1057*INDEX('04_MAQUINAS'!$G$2:$G$18,MATCH(E1057,'04_MAQUINAS'!$A$2:$A$18,0))*INDEX('04_MAQUINAS'!$H$2:$H$18,MATCH(E1057,'04_MAQUINAS'!$A$2:$A$18,0))</f>
        <v>0.07305</v>
      </c>
      <c r="N1057" s="2" t="s">
        <v>629</v>
      </c>
    </row>
    <row r="1058" customFormat="false" ht="15" hidden="false" customHeight="false" outlineLevel="0" collapsed="false">
      <c r="A1058" s="2" t="s">
        <v>613</v>
      </c>
      <c r="B1058" s="2" t="s">
        <v>80</v>
      </c>
      <c r="C1058" s="4" t="n">
        <v>1</v>
      </c>
      <c r="D1058" s="2" t="s">
        <v>437</v>
      </c>
      <c r="E1058" s="2" t="s">
        <v>375</v>
      </c>
      <c r="F1058" s="5" t="n">
        <f aca="false">INDEX('08_PEDIDOS'!$D$2:$D$97,MATCH(A1058,'08_PEDIDOS'!$A$2:$A$97,0))</f>
        <v>11</v>
      </c>
      <c r="G1058" s="5" t="n">
        <f aca="false">INDEX('08_PEDIDOS'!$H$2:$H$97,MATCH(A1058,'08_PEDIDOS'!$A$2:$A$97,0))</f>
        <v>10</v>
      </c>
      <c r="H1058" s="17" t="n">
        <f aca="false">SUMIFS('05_RUTAS'!$F$2:$F$407,'05_RUTAS'!$A$2:$A$407,B1058,'05_RUTAS'!$C$2:$C$407,C1058)</f>
        <v>8</v>
      </c>
      <c r="I1058" s="18" t="n">
        <f aca="false">SUMIFS('05_RUTAS'!$G$2:$G$407,'05_RUTAS'!$A$2:$A$407,B1058,'05_RUTAS'!$C$2:$C$407,C1058)</f>
        <v>34.62</v>
      </c>
      <c r="J1058" s="18" t="n">
        <f aca="false">(ROUNDUP(F1058/G1058,0)*H1058+F1058*I1058)/60</f>
        <v>6.61366666666667</v>
      </c>
      <c r="K1058" s="5" t="n">
        <f aca="false">MONTH(INDEX('08_PEDIDOS'!$F$2:$F$97,MATCH(A1058,'08_PEDIDOS'!$A$2:$A$97,0)))</f>
        <v>12</v>
      </c>
      <c r="L1058" s="16" t="n">
        <f aca="false">J1058*N(INDEX('04_MAQUINAS'!$F$2:$F$18,MATCH(E1058,'04_MAQUINAS'!$A$2:$A$18,0)))</f>
        <v>158.728</v>
      </c>
      <c r="M1058" s="17" t="n">
        <f aca="false">J1058*INDEX('04_MAQUINAS'!$G$2:$G$18,MATCH(E1058,'04_MAQUINAS'!$A$2:$A$18,0))*INDEX('04_MAQUINAS'!$H$2:$H$18,MATCH(E1058,'04_MAQUINAS'!$A$2:$A$18,0))</f>
        <v>18.1875833333333</v>
      </c>
      <c r="N1058" s="2" t="s">
        <v>629</v>
      </c>
    </row>
    <row r="1059" customFormat="false" ht="15" hidden="false" customHeight="false" outlineLevel="0" collapsed="false">
      <c r="A1059" s="2" t="s">
        <v>613</v>
      </c>
      <c r="B1059" s="2" t="s">
        <v>80</v>
      </c>
      <c r="C1059" s="4" t="n">
        <v>2</v>
      </c>
      <c r="D1059" s="2" t="s">
        <v>441</v>
      </c>
      <c r="E1059" s="2" t="s">
        <v>380</v>
      </c>
      <c r="F1059" s="5" t="n">
        <f aca="false">INDEX('08_PEDIDOS'!$D$2:$D$97,MATCH(A1059,'08_PEDIDOS'!$A$2:$A$97,0))</f>
        <v>11</v>
      </c>
      <c r="G1059" s="5" t="n">
        <f aca="false">INDEX('08_PEDIDOS'!$H$2:$H$97,MATCH(A1059,'08_PEDIDOS'!$A$2:$A$97,0))</f>
        <v>10</v>
      </c>
      <c r="H1059" s="17" t="n">
        <f aca="false">SUMIFS('05_RUTAS'!$F$2:$F$407,'05_RUTAS'!$A$2:$A$407,B1059,'05_RUTAS'!$C$2:$C$407,C1059)</f>
        <v>8</v>
      </c>
      <c r="I1059" s="18" t="n">
        <f aca="false">SUMIFS('05_RUTAS'!$G$2:$G$407,'05_RUTAS'!$A$2:$A$407,B1059,'05_RUTAS'!$C$2:$C$407,C1059)</f>
        <v>43.52</v>
      </c>
      <c r="J1059" s="18" t="n">
        <f aca="false">(ROUNDUP(F1059/G1059,0)*H1059+F1059*I1059)/60</f>
        <v>8.24533333333333</v>
      </c>
      <c r="K1059" s="5" t="n">
        <f aca="false">MONTH(INDEX('08_PEDIDOS'!$F$2:$F$97,MATCH(A1059,'08_PEDIDOS'!$A$2:$A$97,0)))</f>
        <v>12</v>
      </c>
      <c r="L1059" s="16" t="n">
        <f aca="false">J1059*N(INDEX('04_MAQUINAS'!$F$2:$F$18,MATCH(E1059,'04_MAQUINAS'!$A$2:$A$18,0)))</f>
        <v>181.397333333333</v>
      </c>
      <c r="M1059" s="17" t="n">
        <f aca="false">J1059*INDEX('04_MAQUINAS'!$G$2:$G$18,MATCH(E1059,'04_MAQUINAS'!$A$2:$A$18,0))*INDEX('04_MAQUINAS'!$H$2:$H$18,MATCH(E1059,'04_MAQUINAS'!$A$2:$A$18,0))</f>
        <v>3.7104</v>
      </c>
      <c r="N1059" s="2" t="s">
        <v>629</v>
      </c>
    </row>
    <row r="1060" customFormat="false" ht="15" hidden="false" customHeight="false" outlineLevel="0" collapsed="false">
      <c r="A1060" s="2" t="s">
        <v>613</v>
      </c>
      <c r="B1060" s="2" t="s">
        <v>80</v>
      </c>
      <c r="C1060" s="4" t="n">
        <v>3</v>
      </c>
      <c r="D1060" s="2" t="s">
        <v>386</v>
      </c>
      <c r="E1060" s="2" t="s">
        <v>383</v>
      </c>
      <c r="F1060" s="5" t="n">
        <f aca="false">INDEX('08_PEDIDOS'!$D$2:$D$97,MATCH(A1060,'08_PEDIDOS'!$A$2:$A$97,0))</f>
        <v>11</v>
      </c>
      <c r="G1060" s="5" t="n">
        <f aca="false">INDEX('08_PEDIDOS'!$H$2:$H$97,MATCH(A1060,'08_PEDIDOS'!$A$2:$A$97,0))</f>
        <v>10</v>
      </c>
      <c r="H1060" s="17" t="n">
        <f aca="false">SUMIFS('05_RUTAS'!$F$2:$F$407,'05_RUTAS'!$A$2:$A$407,B1060,'05_RUTAS'!$C$2:$C$407,C1060)</f>
        <v>10</v>
      </c>
      <c r="I1060" s="18" t="n">
        <f aca="false">SUMIFS('05_RUTAS'!$G$2:$G$407,'05_RUTAS'!$A$2:$A$407,B1060,'05_RUTAS'!$C$2:$C$407,C1060)</f>
        <v>63.2</v>
      </c>
      <c r="J1060" s="18" t="n">
        <f aca="false">(ROUNDUP(F1060/G1060,0)*H1060+F1060*I1060)/60</f>
        <v>11.92</v>
      </c>
      <c r="K1060" s="5" t="n">
        <f aca="false">MONTH(INDEX('08_PEDIDOS'!$F$2:$F$97,MATCH(A1060,'08_PEDIDOS'!$A$2:$A$97,0)))</f>
        <v>12</v>
      </c>
      <c r="L1060" s="16" t="n">
        <f aca="false">J1060*N(INDEX('04_MAQUINAS'!$F$2:$F$18,MATCH(E1060,'04_MAQUINAS'!$A$2:$A$18,0)))</f>
        <v>262.24</v>
      </c>
      <c r="M1060" s="17" t="n">
        <f aca="false">J1060*INDEX('04_MAQUINAS'!$G$2:$G$18,MATCH(E1060,'04_MAQUINAS'!$A$2:$A$18,0))*INDEX('04_MAQUINAS'!$H$2:$H$18,MATCH(E1060,'04_MAQUINAS'!$A$2:$A$18,0))</f>
        <v>3.278</v>
      </c>
      <c r="N1060" s="2" t="s">
        <v>629</v>
      </c>
    </row>
    <row r="1061" customFormat="false" ht="15" hidden="false" customHeight="false" outlineLevel="0" collapsed="false">
      <c r="A1061" s="2" t="s">
        <v>613</v>
      </c>
      <c r="B1061" s="2" t="s">
        <v>80</v>
      </c>
      <c r="C1061" s="4" t="n">
        <v>4</v>
      </c>
      <c r="D1061" s="2" t="s">
        <v>390</v>
      </c>
      <c r="E1061" s="2" t="s">
        <v>387</v>
      </c>
      <c r="F1061" s="5" t="n">
        <f aca="false">INDEX('08_PEDIDOS'!$D$2:$D$97,MATCH(A1061,'08_PEDIDOS'!$A$2:$A$97,0))</f>
        <v>11</v>
      </c>
      <c r="G1061" s="5" t="n">
        <f aca="false">INDEX('08_PEDIDOS'!$H$2:$H$97,MATCH(A1061,'08_PEDIDOS'!$A$2:$A$97,0))</f>
        <v>10</v>
      </c>
      <c r="H1061" s="17" t="n">
        <f aca="false">SUMIFS('05_RUTAS'!$F$2:$F$407,'05_RUTAS'!$A$2:$A$407,B1061,'05_RUTAS'!$C$2:$C$407,C1061)</f>
        <v>12</v>
      </c>
      <c r="I1061" s="18" t="n">
        <f aca="false">SUMIFS('05_RUTAS'!$G$2:$G$407,'05_RUTAS'!$A$2:$A$407,B1061,'05_RUTAS'!$C$2:$C$407,C1061)</f>
        <v>60</v>
      </c>
      <c r="J1061" s="18" t="n">
        <f aca="false">(ROUNDUP(F1061/G1061,0)*H1061+F1061*I1061)/60</f>
        <v>11.4</v>
      </c>
      <c r="K1061" s="5" t="n">
        <f aca="false">MONTH(INDEX('08_PEDIDOS'!$F$2:$F$97,MATCH(A1061,'08_PEDIDOS'!$A$2:$A$97,0)))</f>
        <v>12</v>
      </c>
      <c r="L1061" s="16" t="n">
        <f aca="false">J1061*N(INDEX('04_MAQUINAS'!$F$2:$F$18,MATCH(E1061,'04_MAQUINAS'!$A$2:$A$18,0)))</f>
        <v>319.2</v>
      </c>
      <c r="M1061" s="17" t="n">
        <f aca="false">J1061*INDEX('04_MAQUINAS'!$G$2:$G$18,MATCH(E1061,'04_MAQUINAS'!$A$2:$A$18,0))*INDEX('04_MAQUINAS'!$H$2:$H$18,MATCH(E1061,'04_MAQUINAS'!$A$2:$A$18,0))</f>
        <v>28.215</v>
      </c>
      <c r="N1061" s="2" t="s">
        <v>629</v>
      </c>
    </row>
    <row r="1062" customFormat="false" ht="15" hidden="false" customHeight="false" outlineLevel="0" collapsed="false">
      <c r="A1062" s="2" t="s">
        <v>613</v>
      </c>
      <c r="B1062" s="2" t="s">
        <v>80</v>
      </c>
      <c r="C1062" s="4" t="n">
        <v>5</v>
      </c>
      <c r="D1062" s="2" t="s">
        <v>442</v>
      </c>
      <c r="E1062" s="2" t="s">
        <v>391</v>
      </c>
      <c r="F1062" s="5" t="n">
        <f aca="false">INDEX('08_PEDIDOS'!$D$2:$D$97,MATCH(A1062,'08_PEDIDOS'!$A$2:$A$97,0))</f>
        <v>11</v>
      </c>
      <c r="G1062" s="5" t="n">
        <f aca="false">INDEX('08_PEDIDOS'!$H$2:$H$97,MATCH(A1062,'08_PEDIDOS'!$A$2:$A$97,0))</f>
        <v>10</v>
      </c>
      <c r="H1062" s="17" t="n">
        <f aca="false">SUMIFS('05_RUTAS'!$F$2:$F$407,'05_RUTAS'!$A$2:$A$407,B1062,'05_RUTAS'!$C$2:$C$407,C1062)</f>
        <v>10</v>
      </c>
      <c r="I1062" s="18" t="n">
        <f aca="false">SUMIFS('05_RUTAS'!$G$2:$G$407,'05_RUTAS'!$A$2:$A$407,B1062,'05_RUTAS'!$C$2:$C$407,C1062)</f>
        <v>78.4</v>
      </c>
      <c r="J1062" s="18" t="n">
        <f aca="false">(ROUNDUP(F1062/G1062,0)*H1062+F1062*I1062)/60</f>
        <v>14.7066666666667</v>
      </c>
      <c r="K1062" s="5" t="n">
        <f aca="false">MONTH(INDEX('08_PEDIDOS'!$F$2:$F$97,MATCH(A1062,'08_PEDIDOS'!$A$2:$A$97,0)))</f>
        <v>12</v>
      </c>
      <c r="L1062" s="16" t="n">
        <f aca="false">J1062*N(INDEX('04_MAQUINAS'!$F$2:$F$18,MATCH(E1062,'04_MAQUINAS'!$A$2:$A$18,0)))</f>
        <v>470.613333333333</v>
      </c>
      <c r="M1062" s="17" t="n">
        <f aca="false">J1062*INDEX('04_MAQUINAS'!$G$2:$G$18,MATCH(E1062,'04_MAQUINAS'!$A$2:$A$18,0))*INDEX('04_MAQUINAS'!$H$2:$H$18,MATCH(E1062,'04_MAQUINAS'!$A$2:$A$18,0))</f>
        <v>25.7366666666667</v>
      </c>
      <c r="N1062" s="2" t="s">
        <v>629</v>
      </c>
    </row>
    <row r="1063" customFormat="false" ht="15" hidden="false" customHeight="false" outlineLevel="0" collapsed="false">
      <c r="A1063" s="2" t="s">
        <v>613</v>
      </c>
      <c r="B1063" s="2" t="s">
        <v>80</v>
      </c>
      <c r="C1063" s="4" t="n">
        <v>6</v>
      </c>
      <c r="D1063" s="2" t="s">
        <v>443</v>
      </c>
      <c r="E1063" s="2" t="s">
        <v>395</v>
      </c>
      <c r="F1063" s="5" t="n">
        <f aca="false">INDEX('08_PEDIDOS'!$D$2:$D$97,MATCH(A1063,'08_PEDIDOS'!$A$2:$A$97,0))</f>
        <v>11</v>
      </c>
      <c r="G1063" s="5" t="n">
        <f aca="false">INDEX('08_PEDIDOS'!$H$2:$H$97,MATCH(A1063,'08_PEDIDOS'!$A$2:$A$97,0))</f>
        <v>10</v>
      </c>
      <c r="H1063" s="17" t="n">
        <f aca="false">SUMIFS('05_RUTAS'!$F$2:$F$407,'05_RUTAS'!$A$2:$A$407,B1063,'05_RUTAS'!$C$2:$C$407,C1063)</f>
        <v>3</v>
      </c>
      <c r="I1063" s="18" t="n">
        <f aca="false">SUMIFS('05_RUTAS'!$G$2:$G$407,'05_RUTAS'!$A$2:$A$407,B1063,'05_RUTAS'!$C$2:$C$407,C1063)</f>
        <v>42</v>
      </c>
      <c r="J1063" s="18" t="n">
        <f aca="false">(ROUNDUP(F1063/G1063,0)*H1063+F1063*I1063)/60</f>
        <v>7.8</v>
      </c>
      <c r="K1063" s="5" t="n">
        <f aca="false">MONTH(INDEX('08_PEDIDOS'!$F$2:$F$97,MATCH(A1063,'08_PEDIDOS'!$A$2:$A$97,0)))</f>
        <v>12</v>
      </c>
      <c r="L1063" s="16" t="n">
        <f aca="false">J1063*N(INDEX('04_MAQUINAS'!$F$2:$F$18,MATCH(E1063,'04_MAQUINAS'!$A$2:$A$18,0)))</f>
        <v>163.8</v>
      </c>
      <c r="M1063" s="17" t="n">
        <f aca="false">J1063*INDEX('04_MAQUINAS'!$G$2:$G$18,MATCH(E1063,'04_MAQUINAS'!$A$2:$A$18,0))*INDEX('04_MAQUINAS'!$H$2:$H$18,MATCH(E1063,'04_MAQUINAS'!$A$2:$A$18,0))</f>
        <v>5.85</v>
      </c>
      <c r="N1063" s="2" t="s">
        <v>629</v>
      </c>
    </row>
    <row r="1064" customFormat="false" ht="15" hidden="false" customHeight="false" outlineLevel="0" collapsed="false">
      <c r="A1064" s="2" t="s">
        <v>613</v>
      </c>
      <c r="B1064" s="2" t="s">
        <v>80</v>
      </c>
      <c r="C1064" s="4" t="n">
        <v>7</v>
      </c>
      <c r="D1064" s="2" t="s">
        <v>444</v>
      </c>
      <c r="E1064" s="2" t="s">
        <v>399</v>
      </c>
      <c r="F1064" s="5" t="n">
        <f aca="false">INDEX('08_PEDIDOS'!$D$2:$D$97,MATCH(A1064,'08_PEDIDOS'!$A$2:$A$97,0))</f>
        <v>11</v>
      </c>
      <c r="G1064" s="5" t="n">
        <f aca="false">INDEX('08_PEDIDOS'!$H$2:$H$97,MATCH(A1064,'08_PEDIDOS'!$A$2:$A$97,0))</f>
        <v>10</v>
      </c>
      <c r="H1064" s="17" t="n">
        <f aca="false">SUMIFS('05_RUTAS'!$F$2:$F$407,'05_RUTAS'!$A$2:$A$407,B1064,'05_RUTAS'!$C$2:$C$407,C1064)</f>
        <v>6</v>
      </c>
      <c r="I1064" s="18" t="n">
        <f aca="false">SUMIFS('05_RUTAS'!$G$2:$G$407,'05_RUTAS'!$A$2:$A$407,B1064,'05_RUTAS'!$C$2:$C$407,C1064)</f>
        <v>29.7248</v>
      </c>
      <c r="J1064" s="18" t="n">
        <f aca="false">(ROUNDUP(F1064/G1064,0)*H1064+F1064*I1064)/60</f>
        <v>5.64954666666667</v>
      </c>
      <c r="K1064" s="5" t="n">
        <f aca="false">MONTH(INDEX('08_PEDIDOS'!$F$2:$F$97,MATCH(A1064,'08_PEDIDOS'!$A$2:$A$97,0)))</f>
        <v>12</v>
      </c>
      <c r="L1064" s="16" t="n">
        <f aca="false">J1064*N(INDEX('04_MAQUINAS'!$F$2:$F$18,MATCH(E1064,'04_MAQUINAS'!$A$2:$A$18,0)))</f>
        <v>107.341386666667</v>
      </c>
      <c r="M1064" s="17" t="n">
        <f aca="false">J1064*INDEX('04_MAQUINAS'!$G$2:$G$18,MATCH(E1064,'04_MAQUINAS'!$A$2:$A$18,0))*INDEX('04_MAQUINAS'!$H$2:$H$18,MATCH(E1064,'04_MAQUINAS'!$A$2:$A$18,0))</f>
        <v>4.97160106666667</v>
      </c>
      <c r="N1064" s="2" t="s">
        <v>629</v>
      </c>
    </row>
    <row r="1065" customFormat="false" ht="15" hidden="false" customHeight="false" outlineLevel="0" collapsed="false">
      <c r="A1065" s="2" t="s">
        <v>613</v>
      </c>
      <c r="B1065" s="2" t="s">
        <v>80</v>
      </c>
      <c r="C1065" s="4" t="n">
        <v>8</v>
      </c>
      <c r="D1065" s="2" t="s">
        <v>445</v>
      </c>
      <c r="E1065" s="2" t="s">
        <v>402</v>
      </c>
      <c r="F1065" s="5" t="n">
        <f aca="false">INDEX('08_PEDIDOS'!$D$2:$D$97,MATCH(A1065,'08_PEDIDOS'!$A$2:$A$97,0))</f>
        <v>11</v>
      </c>
      <c r="G1065" s="5" t="n">
        <f aca="false">INDEX('08_PEDIDOS'!$H$2:$H$97,MATCH(A1065,'08_PEDIDOS'!$A$2:$A$97,0))</f>
        <v>10</v>
      </c>
      <c r="H1065" s="17" t="n">
        <f aca="false">SUMIFS('05_RUTAS'!$F$2:$F$407,'05_RUTAS'!$A$2:$A$407,B1065,'05_RUTAS'!$C$2:$C$407,C1065)</f>
        <v>12</v>
      </c>
      <c r="I1065" s="18" t="n">
        <f aca="false">SUMIFS('05_RUTAS'!$G$2:$G$407,'05_RUTAS'!$A$2:$A$407,B1065,'05_RUTAS'!$C$2:$C$407,C1065)</f>
        <v>8.02</v>
      </c>
      <c r="J1065" s="18" t="n">
        <f aca="false">(ROUNDUP(F1065/G1065,0)*H1065+F1065*I1065)/60</f>
        <v>1.87033333333333</v>
      </c>
      <c r="K1065" s="5" t="n">
        <f aca="false">MONTH(INDEX('08_PEDIDOS'!$F$2:$F$97,MATCH(A1065,'08_PEDIDOS'!$A$2:$A$97,0)))</f>
        <v>12</v>
      </c>
      <c r="L1065" s="16" t="n">
        <f aca="false">J1065*N(INDEX('04_MAQUINAS'!$F$2:$F$18,MATCH(E1065,'04_MAQUINAS'!$A$2:$A$18,0)))</f>
        <v>59.8506666666667</v>
      </c>
      <c r="M1065" s="17" t="n">
        <f aca="false">J1065*INDEX('04_MAQUINAS'!$G$2:$G$18,MATCH(E1065,'04_MAQUINAS'!$A$2:$A$18,0))*INDEX('04_MAQUINAS'!$H$2:$H$18,MATCH(E1065,'04_MAQUINAS'!$A$2:$A$18,0))</f>
        <v>1.96385</v>
      </c>
      <c r="N1065" s="2" t="s">
        <v>629</v>
      </c>
    </row>
    <row r="1066" customFormat="false" ht="15" hidden="false" customHeight="false" outlineLevel="0" collapsed="false">
      <c r="A1066" s="2" t="s">
        <v>613</v>
      </c>
      <c r="B1066" s="2" t="s">
        <v>80</v>
      </c>
      <c r="C1066" s="4" t="n">
        <v>9</v>
      </c>
      <c r="D1066" s="2" t="s">
        <v>447</v>
      </c>
      <c r="E1066" s="2" t="s">
        <v>421</v>
      </c>
      <c r="F1066" s="5" t="n">
        <f aca="false">INDEX('08_PEDIDOS'!$D$2:$D$97,MATCH(A1066,'08_PEDIDOS'!$A$2:$A$97,0))</f>
        <v>11</v>
      </c>
      <c r="G1066" s="5" t="n">
        <f aca="false">INDEX('08_PEDIDOS'!$H$2:$H$97,MATCH(A1066,'08_PEDIDOS'!$A$2:$A$97,0))</f>
        <v>10</v>
      </c>
      <c r="H1066" s="17" t="n">
        <f aca="false">SUMIFS('05_RUTAS'!$F$2:$F$407,'05_RUTAS'!$A$2:$A$407,B1066,'05_RUTAS'!$C$2:$C$407,C1066)</f>
        <v>45</v>
      </c>
      <c r="I1066" s="18" t="n">
        <f aca="false">SUMIFS('05_RUTAS'!$G$2:$G$407,'05_RUTAS'!$A$2:$A$407,B1066,'05_RUTAS'!$C$2:$C$407,C1066)</f>
        <v>0</v>
      </c>
      <c r="J1066" s="18" t="n">
        <f aca="false">(ROUNDUP(F1066/G1066,0)*H1066+F1066*I1066)/60</f>
        <v>1.5</v>
      </c>
      <c r="K1066" s="5" t="n">
        <f aca="false">MONTH(INDEX('08_PEDIDOS'!$F$2:$F$97,MATCH(A1066,'08_PEDIDOS'!$A$2:$A$97,0)))</f>
        <v>12</v>
      </c>
      <c r="L1066" s="16" t="n">
        <f aca="false">J1066*N(INDEX('04_MAQUINAS'!$F$2:$F$18,MATCH(E1066,'04_MAQUINAS'!$A$2:$A$18,0)))</f>
        <v>39</v>
      </c>
      <c r="M1066" s="17" t="n">
        <f aca="false">J1066*INDEX('04_MAQUINAS'!$G$2:$G$18,MATCH(E1066,'04_MAQUINAS'!$A$2:$A$18,0))*INDEX('04_MAQUINAS'!$H$2:$H$18,MATCH(E1066,'04_MAQUINAS'!$A$2:$A$18,0))</f>
        <v>21.6</v>
      </c>
      <c r="N1066" s="2" t="s">
        <v>629</v>
      </c>
    </row>
    <row r="1067" customFormat="false" ht="15" hidden="false" customHeight="false" outlineLevel="0" collapsed="false">
      <c r="A1067" s="2" t="s">
        <v>613</v>
      </c>
      <c r="B1067" s="2" t="s">
        <v>80</v>
      </c>
      <c r="C1067" s="4" t="n">
        <v>10</v>
      </c>
      <c r="D1067" s="2" t="s">
        <v>449</v>
      </c>
      <c r="E1067" s="2" t="s">
        <v>423</v>
      </c>
      <c r="F1067" s="5" t="n">
        <f aca="false">INDEX('08_PEDIDOS'!$D$2:$D$97,MATCH(A1067,'08_PEDIDOS'!$A$2:$A$97,0))</f>
        <v>11</v>
      </c>
      <c r="G1067" s="5" t="n">
        <f aca="false">INDEX('08_PEDIDOS'!$H$2:$H$97,MATCH(A1067,'08_PEDIDOS'!$A$2:$A$97,0))</f>
        <v>10</v>
      </c>
      <c r="H1067" s="17" t="n">
        <f aca="false">SUMIFS('05_RUTAS'!$F$2:$F$407,'05_RUTAS'!$A$2:$A$407,B1067,'05_RUTAS'!$C$2:$C$407,C1067)</f>
        <v>8</v>
      </c>
      <c r="I1067" s="18" t="n">
        <f aca="false">SUMIFS('05_RUTAS'!$G$2:$G$407,'05_RUTAS'!$A$2:$A$407,B1067,'05_RUTAS'!$C$2:$C$407,C1067)</f>
        <v>2.69</v>
      </c>
      <c r="J1067" s="18" t="n">
        <f aca="false">(ROUNDUP(F1067/G1067,0)*H1067+F1067*I1067)/60</f>
        <v>0.759833333333333</v>
      </c>
      <c r="K1067" s="5" t="n">
        <f aca="false">MONTH(INDEX('08_PEDIDOS'!$F$2:$F$97,MATCH(A1067,'08_PEDIDOS'!$A$2:$A$97,0)))</f>
        <v>12</v>
      </c>
      <c r="L1067" s="16" t="n">
        <f aca="false">J1067*N(INDEX('04_MAQUINAS'!$F$2:$F$18,MATCH(E1067,'04_MAQUINAS'!$A$2:$A$18,0)))</f>
        <v>12.1573333333333</v>
      </c>
      <c r="M1067" s="17" t="n">
        <f aca="false">J1067*INDEX('04_MAQUINAS'!$G$2:$G$18,MATCH(E1067,'04_MAQUINAS'!$A$2:$A$18,0))*INDEX('04_MAQUINAS'!$H$2:$H$18,MATCH(E1067,'04_MAQUINAS'!$A$2:$A$18,0))</f>
        <v>0.189958333333333</v>
      </c>
      <c r="N1067" s="2" t="s">
        <v>629</v>
      </c>
    </row>
    <row r="1068" customFormat="false" ht="15" hidden="false" customHeight="false" outlineLevel="0" collapsed="false">
      <c r="A1068" s="2" t="s">
        <v>613</v>
      </c>
      <c r="B1068" s="2" t="s">
        <v>80</v>
      </c>
      <c r="C1068" s="4" t="n">
        <v>11</v>
      </c>
      <c r="D1068" s="2" t="s">
        <v>450</v>
      </c>
      <c r="E1068" s="2" t="s">
        <v>406</v>
      </c>
      <c r="F1068" s="5" t="n">
        <f aca="false">INDEX('08_PEDIDOS'!$D$2:$D$97,MATCH(A1068,'08_PEDIDOS'!$A$2:$A$97,0))</f>
        <v>11</v>
      </c>
      <c r="G1068" s="5" t="n">
        <f aca="false">INDEX('08_PEDIDOS'!$H$2:$H$97,MATCH(A1068,'08_PEDIDOS'!$A$2:$A$97,0))</f>
        <v>10</v>
      </c>
      <c r="H1068" s="17" t="n">
        <f aca="false">SUMIFS('05_RUTAS'!$F$2:$F$407,'05_RUTAS'!$A$2:$A$407,B1068,'05_RUTAS'!$C$2:$C$407,C1068)</f>
        <v>6</v>
      </c>
      <c r="I1068" s="18" t="n">
        <f aca="false">SUMIFS('05_RUTAS'!$G$2:$G$407,'05_RUTAS'!$A$2:$A$407,B1068,'05_RUTAS'!$C$2:$C$407,C1068)</f>
        <v>60</v>
      </c>
      <c r="J1068" s="18" t="n">
        <f aca="false">(ROUNDUP(F1068/G1068,0)*H1068+F1068*I1068)/60</f>
        <v>11.2</v>
      </c>
      <c r="K1068" s="5" t="n">
        <f aca="false">MONTH(INDEX('08_PEDIDOS'!$F$2:$F$97,MATCH(A1068,'08_PEDIDOS'!$A$2:$A$97,0)))</f>
        <v>12</v>
      </c>
      <c r="L1068" s="16" t="n">
        <f aca="false">J1068*N(INDEX('04_MAQUINAS'!$F$2:$F$18,MATCH(E1068,'04_MAQUINAS'!$A$2:$A$18,0)))</f>
        <v>212.8</v>
      </c>
      <c r="M1068" s="17" t="n">
        <f aca="false">J1068*INDEX('04_MAQUINAS'!$G$2:$G$18,MATCH(E1068,'04_MAQUINAS'!$A$2:$A$18,0))*INDEX('04_MAQUINAS'!$H$2:$H$18,MATCH(E1068,'04_MAQUINAS'!$A$2:$A$18,0))</f>
        <v>3.36</v>
      </c>
      <c r="N1068" s="2" t="s">
        <v>629</v>
      </c>
    </row>
    <row r="1069" customFormat="false" ht="15" hidden="false" customHeight="false" outlineLevel="0" collapsed="false">
      <c r="A1069" s="2" t="s">
        <v>613</v>
      </c>
      <c r="B1069" s="2" t="s">
        <v>80</v>
      </c>
      <c r="C1069" s="4" t="n">
        <v>12</v>
      </c>
      <c r="D1069" s="2" t="s">
        <v>451</v>
      </c>
      <c r="E1069" s="2" t="s">
        <v>408</v>
      </c>
      <c r="F1069" s="5" t="n">
        <f aca="false">INDEX('08_PEDIDOS'!$D$2:$D$97,MATCH(A1069,'08_PEDIDOS'!$A$2:$A$97,0))</f>
        <v>11</v>
      </c>
      <c r="G1069" s="5" t="n">
        <f aca="false">INDEX('08_PEDIDOS'!$H$2:$H$97,MATCH(A1069,'08_PEDIDOS'!$A$2:$A$97,0))</f>
        <v>10</v>
      </c>
      <c r="H1069" s="17" t="n">
        <f aca="false">SUMIFS('05_RUTAS'!$F$2:$F$407,'05_RUTAS'!$A$2:$A$407,B1069,'05_RUTAS'!$C$2:$C$407,C1069)</f>
        <v>2</v>
      </c>
      <c r="I1069" s="18" t="n">
        <f aca="false">SUMIFS('05_RUTAS'!$G$2:$G$407,'05_RUTAS'!$A$2:$A$407,B1069,'05_RUTAS'!$C$2:$C$407,C1069)</f>
        <v>3.86</v>
      </c>
      <c r="J1069" s="18" t="n">
        <f aca="false">(ROUNDUP(F1069/G1069,0)*H1069+F1069*I1069)/60</f>
        <v>0.774333333333333</v>
      </c>
      <c r="K1069" s="5" t="n">
        <f aca="false">MONTH(INDEX('08_PEDIDOS'!$F$2:$F$97,MATCH(A1069,'08_PEDIDOS'!$A$2:$A$97,0)))</f>
        <v>12</v>
      </c>
      <c r="L1069" s="16" t="n">
        <f aca="false">J1069*N(INDEX('04_MAQUINAS'!$F$2:$F$18,MATCH(E1069,'04_MAQUINAS'!$A$2:$A$18,0)))</f>
        <v>15.4866666666667</v>
      </c>
      <c r="M1069" s="17" t="n">
        <f aca="false">J1069*INDEX('04_MAQUINAS'!$G$2:$G$18,MATCH(E1069,'04_MAQUINAS'!$A$2:$A$18,0))*INDEX('04_MAQUINAS'!$H$2:$H$18,MATCH(E1069,'04_MAQUINAS'!$A$2:$A$18,0))</f>
        <v>0.0774333333333333</v>
      </c>
      <c r="N1069" s="2" t="s">
        <v>629</v>
      </c>
    </row>
    <row r="1070" customFormat="false" ht="15" hidden="false" customHeight="false" outlineLevel="0" collapsed="false">
      <c r="A1070" s="2" t="s">
        <v>613</v>
      </c>
      <c r="B1070" s="2" t="s">
        <v>80</v>
      </c>
      <c r="C1070" s="4" t="n">
        <v>13</v>
      </c>
      <c r="D1070" s="2" t="s">
        <v>452</v>
      </c>
      <c r="E1070" s="2" t="s">
        <v>411</v>
      </c>
      <c r="F1070" s="5" t="n">
        <f aca="false">INDEX('08_PEDIDOS'!$D$2:$D$97,MATCH(A1070,'08_PEDIDOS'!$A$2:$A$97,0))</f>
        <v>11</v>
      </c>
      <c r="G1070" s="5" t="n">
        <f aca="false">INDEX('08_PEDIDOS'!$H$2:$H$97,MATCH(A1070,'08_PEDIDOS'!$A$2:$A$97,0))</f>
        <v>10</v>
      </c>
      <c r="H1070" s="17" t="n">
        <f aca="false">SUMIFS('05_RUTAS'!$F$2:$F$407,'05_RUTAS'!$A$2:$A$407,B1070,'05_RUTAS'!$C$2:$C$407,C1070)</f>
        <v>2</v>
      </c>
      <c r="I1070" s="18" t="n">
        <f aca="false">SUMIFS('05_RUTAS'!$G$2:$G$407,'05_RUTAS'!$A$2:$A$407,B1070,'05_RUTAS'!$C$2:$C$407,C1070)</f>
        <v>5.3</v>
      </c>
      <c r="J1070" s="18" t="n">
        <f aca="false">(ROUNDUP(F1070/G1070,0)*H1070+F1070*I1070)/60</f>
        <v>1.03833333333333</v>
      </c>
      <c r="K1070" s="5" t="n">
        <f aca="false">MONTH(INDEX('08_PEDIDOS'!$F$2:$F$97,MATCH(A1070,'08_PEDIDOS'!$A$2:$A$97,0)))</f>
        <v>12</v>
      </c>
      <c r="L1070" s="16" t="n">
        <f aca="false">J1070*N(INDEX('04_MAQUINAS'!$F$2:$F$18,MATCH(E1070,'04_MAQUINAS'!$A$2:$A$18,0)))</f>
        <v>18.69</v>
      </c>
      <c r="M1070" s="17" t="n">
        <f aca="false">J1070*INDEX('04_MAQUINAS'!$G$2:$G$18,MATCH(E1070,'04_MAQUINAS'!$A$2:$A$18,0))*INDEX('04_MAQUINAS'!$H$2:$H$18,MATCH(E1070,'04_MAQUINAS'!$A$2:$A$18,0))</f>
        <v>0.09345</v>
      </c>
      <c r="N1070" s="2" t="s">
        <v>629</v>
      </c>
    </row>
    <row r="1071" customFormat="false" ht="15" hidden="false" customHeight="false" outlineLevel="0" collapsed="false">
      <c r="A1071" s="2" t="s">
        <v>614</v>
      </c>
      <c r="B1071" s="2" t="s">
        <v>83</v>
      </c>
      <c r="C1071" s="4" t="n">
        <v>1</v>
      </c>
      <c r="D1071" s="2" t="s">
        <v>437</v>
      </c>
      <c r="E1071" s="2" t="s">
        <v>375</v>
      </c>
      <c r="F1071" s="5" t="n">
        <f aca="false">INDEX('08_PEDIDOS'!$D$2:$D$97,MATCH(A1071,'08_PEDIDOS'!$A$2:$A$97,0))</f>
        <v>12</v>
      </c>
      <c r="G1071" s="5" t="n">
        <f aca="false">INDEX('08_PEDIDOS'!$H$2:$H$97,MATCH(A1071,'08_PEDIDOS'!$A$2:$A$97,0))</f>
        <v>10</v>
      </c>
      <c r="H1071" s="17" t="n">
        <f aca="false">SUMIFS('05_RUTAS'!$F$2:$F$407,'05_RUTAS'!$A$2:$A$407,B1071,'05_RUTAS'!$C$2:$C$407,C1071)</f>
        <v>8</v>
      </c>
      <c r="I1071" s="18" t="n">
        <f aca="false">SUMIFS('05_RUTAS'!$G$2:$G$407,'05_RUTAS'!$A$2:$A$407,B1071,'05_RUTAS'!$C$2:$C$407,C1071)</f>
        <v>36.67</v>
      </c>
      <c r="J1071" s="18" t="n">
        <f aca="false">(ROUNDUP(F1071/G1071,0)*H1071+F1071*I1071)/60</f>
        <v>7.60066666666667</v>
      </c>
      <c r="K1071" s="5" t="n">
        <f aca="false">MONTH(INDEX('08_PEDIDOS'!$F$2:$F$97,MATCH(A1071,'08_PEDIDOS'!$A$2:$A$97,0)))</f>
        <v>12</v>
      </c>
      <c r="L1071" s="16" t="n">
        <f aca="false">J1071*N(INDEX('04_MAQUINAS'!$F$2:$F$18,MATCH(E1071,'04_MAQUINAS'!$A$2:$A$18,0)))</f>
        <v>182.416</v>
      </c>
      <c r="M1071" s="17" t="n">
        <f aca="false">J1071*INDEX('04_MAQUINAS'!$G$2:$G$18,MATCH(E1071,'04_MAQUINAS'!$A$2:$A$18,0))*INDEX('04_MAQUINAS'!$H$2:$H$18,MATCH(E1071,'04_MAQUINAS'!$A$2:$A$18,0))</f>
        <v>20.9018333333333</v>
      </c>
      <c r="N1071" s="2" t="s">
        <v>629</v>
      </c>
    </row>
    <row r="1072" customFormat="false" ht="15" hidden="false" customHeight="false" outlineLevel="0" collapsed="false">
      <c r="A1072" s="2" t="s">
        <v>614</v>
      </c>
      <c r="B1072" s="2" t="s">
        <v>83</v>
      </c>
      <c r="C1072" s="4" t="n">
        <v>2</v>
      </c>
      <c r="D1072" s="2" t="s">
        <v>441</v>
      </c>
      <c r="E1072" s="2" t="s">
        <v>380</v>
      </c>
      <c r="F1072" s="5" t="n">
        <f aca="false">INDEX('08_PEDIDOS'!$D$2:$D$97,MATCH(A1072,'08_PEDIDOS'!$A$2:$A$97,0))</f>
        <v>12</v>
      </c>
      <c r="G1072" s="5" t="n">
        <f aca="false">INDEX('08_PEDIDOS'!$H$2:$H$97,MATCH(A1072,'08_PEDIDOS'!$A$2:$A$97,0))</f>
        <v>10</v>
      </c>
      <c r="H1072" s="17" t="n">
        <f aca="false">SUMIFS('05_RUTAS'!$F$2:$F$407,'05_RUTAS'!$A$2:$A$407,B1072,'05_RUTAS'!$C$2:$C$407,C1072)</f>
        <v>8</v>
      </c>
      <c r="I1072" s="18" t="n">
        <f aca="false">SUMIFS('05_RUTAS'!$G$2:$G$407,'05_RUTAS'!$A$2:$A$407,B1072,'05_RUTAS'!$C$2:$C$407,C1072)</f>
        <v>52</v>
      </c>
      <c r="J1072" s="18" t="n">
        <f aca="false">(ROUNDUP(F1072/G1072,0)*H1072+F1072*I1072)/60</f>
        <v>10.6666666666667</v>
      </c>
      <c r="K1072" s="5" t="n">
        <f aca="false">MONTH(INDEX('08_PEDIDOS'!$F$2:$F$97,MATCH(A1072,'08_PEDIDOS'!$A$2:$A$97,0)))</f>
        <v>12</v>
      </c>
      <c r="L1072" s="16" t="n">
        <f aca="false">J1072*N(INDEX('04_MAQUINAS'!$F$2:$F$18,MATCH(E1072,'04_MAQUINAS'!$A$2:$A$18,0)))</f>
        <v>234.666666666667</v>
      </c>
      <c r="M1072" s="17" t="n">
        <f aca="false">J1072*INDEX('04_MAQUINAS'!$G$2:$G$18,MATCH(E1072,'04_MAQUINAS'!$A$2:$A$18,0))*INDEX('04_MAQUINAS'!$H$2:$H$18,MATCH(E1072,'04_MAQUINAS'!$A$2:$A$18,0))</f>
        <v>4.8</v>
      </c>
      <c r="N1072" s="2" t="s">
        <v>629</v>
      </c>
    </row>
    <row r="1073" customFormat="false" ht="15" hidden="false" customHeight="false" outlineLevel="0" collapsed="false">
      <c r="A1073" s="2" t="s">
        <v>614</v>
      </c>
      <c r="B1073" s="2" t="s">
        <v>83</v>
      </c>
      <c r="C1073" s="4" t="n">
        <v>3</v>
      </c>
      <c r="D1073" s="2" t="s">
        <v>386</v>
      </c>
      <c r="E1073" s="2" t="s">
        <v>383</v>
      </c>
      <c r="F1073" s="5" t="n">
        <f aca="false">INDEX('08_PEDIDOS'!$D$2:$D$97,MATCH(A1073,'08_PEDIDOS'!$A$2:$A$97,0))</f>
        <v>12</v>
      </c>
      <c r="G1073" s="5" t="n">
        <f aca="false">INDEX('08_PEDIDOS'!$H$2:$H$97,MATCH(A1073,'08_PEDIDOS'!$A$2:$A$97,0))</f>
        <v>10</v>
      </c>
      <c r="H1073" s="17" t="n">
        <f aca="false">SUMIFS('05_RUTAS'!$F$2:$F$407,'05_RUTAS'!$A$2:$A$407,B1073,'05_RUTAS'!$C$2:$C$407,C1073)</f>
        <v>10</v>
      </c>
      <c r="I1073" s="18" t="n">
        <f aca="false">SUMIFS('05_RUTAS'!$G$2:$G$407,'05_RUTAS'!$A$2:$A$407,B1073,'05_RUTAS'!$C$2:$C$407,C1073)</f>
        <v>82.1</v>
      </c>
      <c r="J1073" s="18" t="n">
        <f aca="false">(ROUNDUP(F1073/G1073,0)*H1073+F1073*I1073)/60</f>
        <v>16.7533333333333</v>
      </c>
      <c r="K1073" s="5" t="n">
        <f aca="false">MONTH(INDEX('08_PEDIDOS'!$F$2:$F$97,MATCH(A1073,'08_PEDIDOS'!$A$2:$A$97,0)))</f>
        <v>12</v>
      </c>
      <c r="L1073" s="16" t="n">
        <f aca="false">J1073*N(INDEX('04_MAQUINAS'!$F$2:$F$18,MATCH(E1073,'04_MAQUINAS'!$A$2:$A$18,0)))</f>
        <v>368.573333333333</v>
      </c>
      <c r="M1073" s="17" t="n">
        <f aca="false">J1073*INDEX('04_MAQUINAS'!$G$2:$G$18,MATCH(E1073,'04_MAQUINAS'!$A$2:$A$18,0))*INDEX('04_MAQUINAS'!$H$2:$H$18,MATCH(E1073,'04_MAQUINAS'!$A$2:$A$18,0))</f>
        <v>4.60716666666667</v>
      </c>
      <c r="N1073" s="2" t="s">
        <v>629</v>
      </c>
    </row>
    <row r="1074" customFormat="false" ht="15" hidden="false" customHeight="false" outlineLevel="0" collapsed="false">
      <c r="A1074" s="2" t="s">
        <v>614</v>
      </c>
      <c r="B1074" s="2" t="s">
        <v>83</v>
      </c>
      <c r="C1074" s="4" t="n">
        <v>4</v>
      </c>
      <c r="D1074" s="2" t="s">
        <v>390</v>
      </c>
      <c r="E1074" s="2" t="s">
        <v>387</v>
      </c>
      <c r="F1074" s="5" t="n">
        <f aca="false">INDEX('08_PEDIDOS'!$D$2:$D$97,MATCH(A1074,'08_PEDIDOS'!$A$2:$A$97,0))</f>
        <v>12</v>
      </c>
      <c r="G1074" s="5" t="n">
        <f aca="false">INDEX('08_PEDIDOS'!$H$2:$H$97,MATCH(A1074,'08_PEDIDOS'!$A$2:$A$97,0))</f>
        <v>10</v>
      </c>
      <c r="H1074" s="17" t="n">
        <f aca="false">SUMIFS('05_RUTAS'!$F$2:$F$407,'05_RUTAS'!$A$2:$A$407,B1074,'05_RUTAS'!$C$2:$C$407,C1074)</f>
        <v>12</v>
      </c>
      <c r="I1074" s="18" t="n">
        <f aca="false">SUMIFS('05_RUTAS'!$G$2:$G$407,'05_RUTAS'!$A$2:$A$407,B1074,'05_RUTAS'!$C$2:$C$407,C1074)</f>
        <v>69</v>
      </c>
      <c r="J1074" s="18" t="n">
        <f aca="false">(ROUNDUP(F1074/G1074,0)*H1074+F1074*I1074)/60</f>
        <v>14.2</v>
      </c>
      <c r="K1074" s="5" t="n">
        <f aca="false">MONTH(INDEX('08_PEDIDOS'!$F$2:$F$97,MATCH(A1074,'08_PEDIDOS'!$A$2:$A$97,0)))</f>
        <v>12</v>
      </c>
      <c r="L1074" s="16" t="n">
        <f aca="false">J1074*N(INDEX('04_MAQUINAS'!$F$2:$F$18,MATCH(E1074,'04_MAQUINAS'!$A$2:$A$18,0)))</f>
        <v>397.6</v>
      </c>
      <c r="M1074" s="17" t="n">
        <f aca="false">J1074*INDEX('04_MAQUINAS'!$G$2:$G$18,MATCH(E1074,'04_MAQUINAS'!$A$2:$A$18,0))*INDEX('04_MAQUINAS'!$H$2:$H$18,MATCH(E1074,'04_MAQUINAS'!$A$2:$A$18,0))</f>
        <v>35.145</v>
      </c>
      <c r="N1074" s="2" t="s">
        <v>629</v>
      </c>
    </row>
    <row r="1075" customFormat="false" ht="15" hidden="false" customHeight="false" outlineLevel="0" collapsed="false">
      <c r="A1075" s="2" t="s">
        <v>614</v>
      </c>
      <c r="B1075" s="2" t="s">
        <v>83</v>
      </c>
      <c r="C1075" s="4" t="n">
        <v>5</v>
      </c>
      <c r="D1075" s="2" t="s">
        <v>442</v>
      </c>
      <c r="E1075" s="2" t="s">
        <v>391</v>
      </c>
      <c r="F1075" s="5" t="n">
        <f aca="false">INDEX('08_PEDIDOS'!$D$2:$D$97,MATCH(A1075,'08_PEDIDOS'!$A$2:$A$97,0))</f>
        <v>12</v>
      </c>
      <c r="G1075" s="5" t="n">
        <f aca="false">INDEX('08_PEDIDOS'!$H$2:$H$97,MATCH(A1075,'08_PEDIDOS'!$A$2:$A$97,0))</f>
        <v>10</v>
      </c>
      <c r="H1075" s="17" t="n">
        <f aca="false">SUMIFS('05_RUTAS'!$F$2:$F$407,'05_RUTAS'!$A$2:$A$407,B1075,'05_RUTAS'!$C$2:$C$407,C1075)</f>
        <v>10</v>
      </c>
      <c r="I1075" s="18" t="n">
        <f aca="false">SUMIFS('05_RUTAS'!$G$2:$G$407,'05_RUTAS'!$A$2:$A$407,B1075,'05_RUTAS'!$C$2:$C$407,C1075)</f>
        <v>78.4</v>
      </c>
      <c r="J1075" s="18" t="n">
        <f aca="false">(ROUNDUP(F1075/G1075,0)*H1075+F1075*I1075)/60</f>
        <v>16.0133333333333</v>
      </c>
      <c r="K1075" s="5" t="n">
        <f aca="false">MONTH(INDEX('08_PEDIDOS'!$F$2:$F$97,MATCH(A1075,'08_PEDIDOS'!$A$2:$A$97,0)))</f>
        <v>12</v>
      </c>
      <c r="L1075" s="16" t="n">
        <f aca="false">J1075*N(INDEX('04_MAQUINAS'!$F$2:$F$18,MATCH(E1075,'04_MAQUINAS'!$A$2:$A$18,0)))</f>
        <v>512.426666666667</v>
      </c>
      <c r="M1075" s="17" t="n">
        <f aca="false">J1075*INDEX('04_MAQUINAS'!$G$2:$G$18,MATCH(E1075,'04_MAQUINAS'!$A$2:$A$18,0))*INDEX('04_MAQUINAS'!$H$2:$H$18,MATCH(E1075,'04_MAQUINAS'!$A$2:$A$18,0))</f>
        <v>28.0233333333333</v>
      </c>
      <c r="N1075" s="2" t="s">
        <v>629</v>
      </c>
    </row>
    <row r="1076" customFormat="false" ht="15" hidden="false" customHeight="false" outlineLevel="0" collapsed="false">
      <c r="A1076" s="2" t="s">
        <v>614</v>
      </c>
      <c r="B1076" s="2" t="s">
        <v>83</v>
      </c>
      <c r="C1076" s="4" t="n">
        <v>6</v>
      </c>
      <c r="D1076" s="2" t="s">
        <v>443</v>
      </c>
      <c r="E1076" s="2" t="s">
        <v>395</v>
      </c>
      <c r="F1076" s="5" t="n">
        <f aca="false">INDEX('08_PEDIDOS'!$D$2:$D$97,MATCH(A1076,'08_PEDIDOS'!$A$2:$A$97,0))</f>
        <v>12</v>
      </c>
      <c r="G1076" s="5" t="n">
        <f aca="false">INDEX('08_PEDIDOS'!$H$2:$H$97,MATCH(A1076,'08_PEDIDOS'!$A$2:$A$97,0))</f>
        <v>10</v>
      </c>
      <c r="H1076" s="17" t="n">
        <f aca="false">SUMIFS('05_RUTAS'!$F$2:$F$407,'05_RUTAS'!$A$2:$A$407,B1076,'05_RUTAS'!$C$2:$C$407,C1076)</f>
        <v>3</v>
      </c>
      <c r="I1076" s="18" t="n">
        <f aca="false">SUMIFS('05_RUTAS'!$G$2:$G$407,'05_RUTAS'!$A$2:$A$407,B1076,'05_RUTAS'!$C$2:$C$407,C1076)</f>
        <v>49.5</v>
      </c>
      <c r="J1076" s="18" t="n">
        <f aca="false">(ROUNDUP(F1076/G1076,0)*H1076+F1076*I1076)/60</f>
        <v>10</v>
      </c>
      <c r="K1076" s="5" t="n">
        <f aca="false">MONTH(INDEX('08_PEDIDOS'!$F$2:$F$97,MATCH(A1076,'08_PEDIDOS'!$A$2:$A$97,0)))</f>
        <v>12</v>
      </c>
      <c r="L1076" s="16" t="n">
        <f aca="false">J1076*N(INDEX('04_MAQUINAS'!$F$2:$F$18,MATCH(E1076,'04_MAQUINAS'!$A$2:$A$18,0)))</f>
        <v>210</v>
      </c>
      <c r="M1076" s="17" t="n">
        <f aca="false">J1076*INDEX('04_MAQUINAS'!$G$2:$G$18,MATCH(E1076,'04_MAQUINAS'!$A$2:$A$18,0))*INDEX('04_MAQUINAS'!$H$2:$H$18,MATCH(E1076,'04_MAQUINAS'!$A$2:$A$18,0))</f>
        <v>7.5</v>
      </c>
      <c r="N1076" s="2" t="s">
        <v>629</v>
      </c>
    </row>
    <row r="1077" customFormat="false" ht="15" hidden="false" customHeight="false" outlineLevel="0" collapsed="false">
      <c r="A1077" s="2" t="s">
        <v>614</v>
      </c>
      <c r="B1077" s="2" t="s">
        <v>83</v>
      </c>
      <c r="C1077" s="4" t="n">
        <v>7</v>
      </c>
      <c r="D1077" s="2" t="s">
        <v>444</v>
      </c>
      <c r="E1077" s="2" t="s">
        <v>399</v>
      </c>
      <c r="F1077" s="5" t="n">
        <f aca="false">INDEX('08_PEDIDOS'!$D$2:$D$97,MATCH(A1077,'08_PEDIDOS'!$A$2:$A$97,0))</f>
        <v>12</v>
      </c>
      <c r="G1077" s="5" t="n">
        <f aca="false">INDEX('08_PEDIDOS'!$H$2:$H$97,MATCH(A1077,'08_PEDIDOS'!$A$2:$A$97,0))</f>
        <v>10</v>
      </c>
      <c r="H1077" s="17" t="n">
        <f aca="false">SUMIFS('05_RUTAS'!$F$2:$F$407,'05_RUTAS'!$A$2:$A$407,B1077,'05_RUTAS'!$C$2:$C$407,C1077)</f>
        <v>6</v>
      </c>
      <c r="I1077" s="18" t="n">
        <f aca="false">SUMIFS('05_RUTAS'!$G$2:$G$407,'05_RUTAS'!$A$2:$A$407,B1077,'05_RUTAS'!$C$2:$C$407,C1077)</f>
        <v>32.064</v>
      </c>
      <c r="J1077" s="18" t="n">
        <f aca="false">(ROUNDUP(F1077/G1077,0)*H1077+F1077*I1077)/60</f>
        <v>6.6128</v>
      </c>
      <c r="K1077" s="5" t="n">
        <f aca="false">MONTH(INDEX('08_PEDIDOS'!$F$2:$F$97,MATCH(A1077,'08_PEDIDOS'!$A$2:$A$97,0)))</f>
        <v>12</v>
      </c>
      <c r="L1077" s="16" t="n">
        <f aca="false">J1077*N(INDEX('04_MAQUINAS'!$F$2:$F$18,MATCH(E1077,'04_MAQUINAS'!$A$2:$A$18,0)))</f>
        <v>125.6432</v>
      </c>
      <c r="M1077" s="17" t="n">
        <f aca="false">J1077*INDEX('04_MAQUINAS'!$G$2:$G$18,MATCH(E1077,'04_MAQUINAS'!$A$2:$A$18,0))*INDEX('04_MAQUINAS'!$H$2:$H$18,MATCH(E1077,'04_MAQUINAS'!$A$2:$A$18,0))</f>
        <v>5.819264</v>
      </c>
      <c r="N1077" s="2" t="s">
        <v>629</v>
      </c>
    </row>
    <row r="1078" customFormat="false" ht="15" hidden="false" customHeight="false" outlineLevel="0" collapsed="false">
      <c r="A1078" s="2" t="s">
        <v>614</v>
      </c>
      <c r="B1078" s="2" t="s">
        <v>83</v>
      </c>
      <c r="C1078" s="4" t="n">
        <v>8</v>
      </c>
      <c r="D1078" s="2" t="s">
        <v>445</v>
      </c>
      <c r="E1078" s="2" t="s">
        <v>402</v>
      </c>
      <c r="F1078" s="5" t="n">
        <f aca="false">INDEX('08_PEDIDOS'!$D$2:$D$97,MATCH(A1078,'08_PEDIDOS'!$A$2:$A$97,0))</f>
        <v>12</v>
      </c>
      <c r="G1078" s="5" t="n">
        <f aca="false">INDEX('08_PEDIDOS'!$H$2:$H$97,MATCH(A1078,'08_PEDIDOS'!$A$2:$A$97,0))</f>
        <v>10</v>
      </c>
      <c r="H1078" s="17" t="n">
        <f aca="false">SUMIFS('05_RUTAS'!$F$2:$F$407,'05_RUTAS'!$A$2:$A$407,B1078,'05_RUTAS'!$C$2:$C$407,C1078)</f>
        <v>12</v>
      </c>
      <c r="I1078" s="18" t="n">
        <f aca="false">SUMIFS('05_RUTAS'!$G$2:$G$407,'05_RUTAS'!$A$2:$A$407,B1078,'05_RUTAS'!$C$2:$C$407,C1078)</f>
        <v>8.02</v>
      </c>
      <c r="J1078" s="18" t="n">
        <f aca="false">(ROUNDUP(F1078/G1078,0)*H1078+F1078*I1078)/60</f>
        <v>2.004</v>
      </c>
      <c r="K1078" s="5" t="n">
        <f aca="false">MONTH(INDEX('08_PEDIDOS'!$F$2:$F$97,MATCH(A1078,'08_PEDIDOS'!$A$2:$A$97,0)))</f>
        <v>12</v>
      </c>
      <c r="L1078" s="16" t="n">
        <f aca="false">J1078*N(INDEX('04_MAQUINAS'!$F$2:$F$18,MATCH(E1078,'04_MAQUINAS'!$A$2:$A$18,0)))</f>
        <v>64.128</v>
      </c>
      <c r="M1078" s="17" t="n">
        <f aca="false">J1078*INDEX('04_MAQUINAS'!$G$2:$G$18,MATCH(E1078,'04_MAQUINAS'!$A$2:$A$18,0))*INDEX('04_MAQUINAS'!$H$2:$H$18,MATCH(E1078,'04_MAQUINAS'!$A$2:$A$18,0))</f>
        <v>2.1042</v>
      </c>
      <c r="N1078" s="2" t="s">
        <v>629</v>
      </c>
    </row>
    <row r="1079" customFormat="false" ht="15" hidden="false" customHeight="false" outlineLevel="0" collapsed="false">
      <c r="A1079" s="2" t="s">
        <v>614</v>
      </c>
      <c r="B1079" s="2" t="s">
        <v>83</v>
      </c>
      <c r="C1079" s="4" t="n">
        <v>9</v>
      </c>
      <c r="D1079" s="2" t="s">
        <v>447</v>
      </c>
      <c r="E1079" s="2" t="s">
        <v>421</v>
      </c>
      <c r="F1079" s="5" t="n">
        <f aca="false">INDEX('08_PEDIDOS'!$D$2:$D$97,MATCH(A1079,'08_PEDIDOS'!$A$2:$A$97,0))</f>
        <v>12</v>
      </c>
      <c r="G1079" s="5" t="n">
        <f aca="false">INDEX('08_PEDIDOS'!$H$2:$H$97,MATCH(A1079,'08_PEDIDOS'!$A$2:$A$97,0))</f>
        <v>10</v>
      </c>
      <c r="H1079" s="17" t="n">
        <f aca="false">SUMIFS('05_RUTAS'!$F$2:$F$407,'05_RUTAS'!$A$2:$A$407,B1079,'05_RUTAS'!$C$2:$C$407,C1079)</f>
        <v>45</v>
      </c>
      <c r="I1079" s="18" t="n">
        <f aca="false">SUMIFS('05_RUTAS'!$G$2:$G$407,'05_RUTAS'!$A$2:$A$407,B1079,'05_RUTAS'!$C$2:$C$407,C1079)</f>
        <v>0</v>
      </c>
      <c r="J1079" s="18" t="n">
        <f aca="false">(ROUNDUP(F1079/G1079,0)*H1079+F1079*I1079)/60</f>
        <v>1.5</v>
      </c>
      <c r="K1079" s="5" t="n">
        <f aca="false">MONTH(INDEX('08_PEDIDOS'!$F$2:$F$97,MATCH(A1079,'08_PEDIDOS'!$A$2:$A$97,0)))</f>
        <v>12</v>
      </c>
      <c r="L1079" s="16" t="n">
        <f aca="false">J1079*N(INDEX('04_MAQUINAS'!$F$2:$F$18,MATCH(E1079,'04_MAQUINAS'!$A$2:$A$18,0)))</f>
        <v>39</v>
      </c>
      <c r="M1079" s="17" t="n">
        <f aca="false">J1079*INDEX('04_MAQUINAS'!$G$2:$G$18,MATCH(E1079,'04_MAQUINAS'!$A$2:$A$18,0))*INDEX('04_MAQUINAS'!$H$2:$H$18,MATCH(E1079,'04_MAQUINAS'!$A$2:$A$18,0))</f>
        <v>21.6</v>
      </c>
      <c r="N1079" s="2" t="s">
        <v>629</v>
      </c>
    </row>
    <row r="1080" customFormat="false" ht="15" hidden="false" customHeight="false" outlineLevel="0" collapsed="false">
      <c r="A1080" s="2" t="s">
        <v>614</v>
      </c>
      <c r="B1080" s="2" t="s">
        <v>83</v>
      </c>
      <c r="C1080" s="4" t="n">
        <v>10</v>
      </c>
      <c r="D1080" s="2" t="s">
        <v>449</v>
      </c>
      <c r="E1080" s="2" t="s">
        <v>423</v>
      </c>
      <c r="F1080" s="5" t="n">
        <f aca="false">INDEX('08_PEDIDOS'!$D$2:$D$97,MATCH(A1080,'08_PEDIDOS'!$A$2:$A$97,0))</f>
        <v>12</v>
      </c>
      <c r="G1080" s="5" t="n">
        <f aca="false">INDEX('08_PEDIDOS'!$H$2:$H$97,MATCH(A1080,'08_PEDIDOS'!$A$2:$A$97,0))</f>
        <v>10</v>
      </c>
      <c r="H1080" s="17" t="n">
        <f aca="false">SUMIFS('05_RUTAS'!$F$2:$F$407,'05_RUTAS'!$A$2:$A$407,B1080,'05_RUTAS'!$C$2:$C$407,C1080)</f>
        <v>8</v>
      </c>
      <c r="I1080" s="18" t="n">
        <f aca="false">SUMIFS('05_RUTAS'!$G$2:$G$407,'05_RUTAS'!$A$2:$A$407,B1080,'05_RUTAS'!$C$2:$C$407,C1080)</f>
        <v>2.69</v>
      </c>
      <c r="J1080" s="18" t="n">
        <f aca="false">(ROUNDUP(F1080/G1080,0)*H1080+F1080*I1080)/60</f>
        <v>0.804666666666667</v>
      </c>
      <c r="K1080" s="5" t="n">
        <f aca="false">MONTH(INDEX('08_PEDIDOS'!$F$2:$F$97,MATCH(A1080,'08_PEDIDOS'!$A$2:$A$97,0)))</f>
        <v>12</v>
      </c>
      <c r="L1080" s="16" t="n">
        <f aca="false">J1080*N(INDEX('04_MAQUINAS'!$F$2:$F$18,MATCH(E1080,'04_MAQUINAS'!$A$2:$A$18,0)))</f>
        <v>12.8746666666667</v>
      </c>
      <c r="M1080" s="17" t="n">
        <f aca="false">J1080*INDEX('04_MAQUINAS'!$G$2:$G$18,MATCH(E1080,'04_MAQUINAS'!$A$2:$A$18,0))*INDEX('04_MAQUINAS'!$H$2:$H$18,MATCH(E1080,'04_MAQUINAS'!$A$2:$A$18,0))</f>
        <v>0.201166666666667</v>
      </c>
      <c r="N1080" s="2" t="s">
        <v>629</v>
      </c>
    </row>
    <row r="1081" customFormat="false" ht="15" hidden="false" customHeight="false" outlineLevel="0" collapsed="false">
      <c r="A1081" s="2" t="s">
        <v>614</v>
      </c>
      <c r="B1081" s="2" t="s">
        <v>83</v>
      </c>
      <c r="C1081" s="4" t="n">
        <v>11</v>
      </c>
      <c r="D1081" s="2" t="s">
        <v>450</v>
      </c>
      <c r="E1081" s="2" t="s">
        <v>406</v>
      </c>
      <c r="F1081" s="5" t="n">
        <f aca="false">INDEX('08_PEDIDOS'!$D$2:$D$97,MATCH(A1081,'08_PEDIDOS'!$A$2:$A$97,0))</f>
        <v>12</v>
      </c>
      <c r="G1081" s="5" t="n">
        <f aca="false">INDEX('08_PEDIDOS'!$H$2:$H$97,MATCH(A1081,'08_PEDIDOS'!$A$2:$A$97,0))</f>
        <v>10</v>
      </c>
      <c r="H1081" s="17" t="n">
        <f aca="false">SUMIFS('05_RUTAS'!$F$2:$F$407,'05_RUTAS'!$A$2:$A$407,B1081,'05_RUTAS'!$C$2:$C$407,C1081)</f>
        <v>6</v>
      </c>
      <c r="I1081" s="18" t="n">
        <f aca="false">SUMIFS('05_RUTAS'!$G$2:$G$407,'05_RUTAS'!$A$2:$A$407,B1081,'05_RUTAS'!$C$2:$C$407,C1081)</f>
        <v>62.25</v>
      </c>
      <c r="J1081" s="18" t="n">
        <f aca="false">(ROUNDUP(F1081/G1081,0)*H1081+F1081*I1081)/60</f>
        <v>12.65</v>
      </c>
      <c r="K1081" s="5" t="n">
        <f aca="false">MONTH(INDEX('08_PEDIDOS'!$F$2:$F$97,MATCH(A1081,'08_PEDIDOS'!$A$2:$A$97,0)))</f>
        <v>12</v>
      </c>
      <c r="L1081" s="16" t="n">
        <f aca="false">J1081*N(INDEX('04_MAQUINAS'!$F$2:$F$18,MATCH(E1081,'04_MAQUINAS'!$A$2:$A$18,0)))</f>
        <v>240.35</v>
      </c>
      <c r="M1081" s="17" t="n">
        <f aca="false">J1081*INDEX('04_MAQUINAS'!$G$2:$G$18,MATCH(E1081,'04_MAQUINAS'!$A$2:$A$18,0))*INDEX('04_MAQUINAS'!$H$2:$H$18,MATCH(E1081,'04_MAQUINAS'!$A$2:$A$18,0))</f>
        <v>3.795</v>
      </c>
      <c r="N1081" s="2" t="s">
        <v>629</v>
      </c>
    </row>
    <row r="1082" customFormat="false" ht="15" hidden="false" customHeight="false" outlineLevel="0" collapsed="false">
      <c r="A1082" s="2" t="s">
        <v>614</v>
      </c>
      <c r="B1082" s="2" t="s">
        <v>83</v>
      </c>
      <c r="C1082" s="4" t="n">
        <v>12</v>
      </c>
      <c r="D1082" s="2" t="s">
        <v>451</v>
      </c>
      <c r="E1082" s="2" t="s">
        <v>408</v>
      </c>
      <c r="F1082" s="5" t="n">
        <f aca="false">INDEX('08_PEDIDOS'!$D$2:$D$97,MATCH(A1082,'08_PEDIDOS'!$A$2:$A$97,0))</f>
        <v>12</v>
      </c>
      <c r="G1082" s="5" t="n">
        <f aca="false">INDEX('08_PEDIDOS'!$H$2:$H$97,MATCH(A1082,'08_PEDIDOS'!$A$2:$A$97,0))</f>
        <v>10</v>
      </c>
      <c r="H1082" s="17" t="n">
        <f aca="false">SUMIFS('05_RUTAS'!$F$2:$F$407,'05_RUTAS'!$A$2:$A$407,B1082,'05_RUTAS'!$C$2:$C$407,C1082)</f>
        <v>2</v>
      </c>
      <c r="I1082" s="18" t="n">
        <f aca="false">SUMIFS('05_RUTAS'!$G$2:$G$407,'05_RUTAS'!$A$2:$A$407,B1082,'05_RUTAS'!$C$2:$C$407,C1082)</f>
        <v>3.86</v>
      </c>
      <c r="J1082" s="18" t="n">
        <f aca="false">(ROUNDUP(F1082/G1082,0)*H1082+F1082*I1082)/60</f>
        <v>0.838666666666667</v>
      </c>
      <c r="K1082" s="5" t="n">
        <f aca="false">MONTH(INDEX('08_PEDIDOS'!$F$2:$F$97,MATCH(A1082,'08_PEDIDOS'!$A$2:$A$97,0)))</f>
        <v>12</v>
      </c>
      <c r="L1082" s="16" t="n">
        <f aca="false">J1082*N(INDEX('04_MAQUINAS'!$F$2:$F$18,MATCH(E1082,'04_MAQUINAS'!$A$2:$A$18,0)))</f>
        <v>16.7733333333333</v>
      </c>
      <c r="M1082" s="17" t="n">
        <f aca="false">J1082*INDEX('04_MAQUINAS'!$G$2:$G$18,MATCH(E1082,'04_MAQUINAS'!$A$2:$A$18,0))*INDEX('04_MAQUINAS'!$H$2:$H$18,MATCH(E1082,'04_MAQUINAS'!$A$2:$A$18,0))</f>
        <v>0.0838666666666667</v>
      </c>
      <c r="N1082" s="2" t="s">
        <v>629</v>
      </c>
    </row>
    <row r="1083" customFormat="false" ht="15" hidden="false" customHeight="false" outlineLevel="0" collapsed="false">
      <c r="A1083" s="2" t="s">
        <v>614</v>
      </c>
      <c r="B1083" s="2" t="s">
        <v>83</v>
      </c>
      <c r="C1083" s="4" t="n">
        <v>13</v>
      </c>
      <c r="D1083" s="2" t="s">
        <v>452</v>
      </c>
      <c r="E1083" s="2" t="s">
        <v>411</v>
      </c>
      <c r="F1083" s="5" t="n">
        <f aca="false">INDEX('08_PEDIDOS'!$D$2:$D$97,MATCH(A1083,'08_PEDIDOS'!$A$2:$A$97,0))</f>
        <v>12</v>
      </c>
      <c r="G1083" s="5" t="n">
        <f aca="false">INDEX('08_PEDIDOS'!$H$2:$H$97,MATCH(A1083,'08_PEDIDOS'!$A$2:$A$97,0))</f>
        <v>10</v>
      </c>
      <c r="H1083" s="17" t="n">
        <f aca="false">SUMIFS('05_RUTAS'!$F$2:$F$407,'05_RUTAS'!$A$2:$A$407,B1083,'05_RUTAS'!$C$2:$C$407,C1083)</f>
        <v>2</v>
      </c>
      <c r="I1083" s="18" t="n">
        <f aca="false">SUMIFS('05_RUTAS'!$G$2:$G$407,'05_RUTAS'!$A$2:$A$407,B1083,'05_RUTAS'!$C$2:$C$407,C1083)</f>
        <v>5.3</v>
      </c>
      <c r="J1083" s="18" t="n">
        <f aca="false">(ROUNDUP(F1083/G1083,0)*H1083+F1083*I1083)/60</f>
        <v>1.12666666666667</v>
      </c>
      <c r="K1083" s="5" t="n">
        <f aca="false">MONTH(INDEX('08_PEDIDOS'!$F$2:$F$97,MATCH(A1083,'08_PEDIDOS'!$A$2:$A$97,0)))</f>
        <v>12</v>
      </c>
      <c r="L1083" s="16" t="n">
        <f aca="false">J1083*N(INDEX('04_MAQUINAS'!$F$2:$F$18,MATCH(E1083,'04_MAQUINAS'!$A$2:$A$18,0)))</f>
        <v>20.28</v>
      </c>
      <c r="M1083" s="17" t="n">
        <f aca="false">J1083*INDEX('04_MAQUINAS'!$G$2:$G$18,MATCH(E1083,'04_MAQUINAS'!$A$2:$A$18,0))*INDEX('04_MAQUINAS'!$H$2:$H$18,MATCH(E1083,'04_MAQUINAS'!$A$2:$A$18,0))</f>
        <v>0.1014</v>
      </c>
      <c r="N1083" s="2" t="s">
        <v>629</v>
      </c>
    </row>
    <row r="1084" customFormat="false" ht="15" hidden="false" customHeight="false" outlineLevel="0" collapsed="false">
      <c r="A1084" s="2" t="s">
        <v>615</v>
      </c>
      <c r="B1084" s="2" t="s">
        <v>94</v>
      </c>
      <c r="C1084" s="4" t="n">
        <v>1</v>
      </c>
      <c r="D1084" s="2" t="s">
        <v>437</v>
      </c>
      <c r="E1084" s="2" t="s">
        <v>375</v>
      </c>
      <c r="F1084" s="5" t="n">
        <f aca="false">INDEX('08_PEDIDOS'!$D$2:$D$97,MATCH(A1084,'08_PEDIDOS'!$A$2:$A$97,0))</f>
        <v>6</v>
      </c>
      <c r="G1084" s="5" t="n">
        <f aca="false">INDEX('08_PEDIDOS'!$H$2:$H$97,MATCH(A1084,'08_PEDIDOS'!$A$2:$A$97,0))</f>
        <v>10</v>
      </c>
      <c r="H1084" s="17" t="n">
        <f aca="false">SUMIFS('05_RUTAS'!$F$2:$F$407,'05_RUTAS'!$A$2:$A$407,B1084,'05_RUTAS'!$C$2:$C$407,C1084)</f>
        <v>8</v>
      </c>
      <c r="I1084" s="18" t="n">
        <f aca="false">SUMIFS('05_RUTAS'!$G$2:$G$407,'05_RUTAS'!$A$2:$A$407,B1084,'05_RUTAS'!$C$2:$C$407,C1084)</f>
        <v>90.38</v>
      </c>
      <c r="J1084" s="18" t="n">
        <f aca="false">(ROUNDUP(F1084/G1084,0)*H1084+F1084*I1084)/60</f>
        <v>9.17133333333333</v>
      </c>
      <c r="K1084" s="5" t="n">
        <f aca="false">MONTH(INDEX('08_PEDIDOS'!$F$2:$F$97,MATCH(A1084,'08_PEDIDOS'!$A$2:$A$97,0)))</f>
        <v>12</v>
      </c>
      <c r="L1084" s="16" t="n">
        <f aca="false">J1084*N(INDEX('04_MAQUINAS'!$F$2:$F$18,MATCH(E1084,'04_MAQUINAS'!$A$2:$A$18,0)))</f>
        <v>220.112</v>
      </c>
      <c r="M1084" s="17" t="n">
        <f aca="false">J1084*INDEX('04_MAQUINAS'!$G$2:$G$18,MATCH(E1084,'04_MAQUINAS'!$A$2:$A$18,0))*INDEX('04_MAQUINAS'!$H$2:$H$18,MATCH(E1084,'04_MAQUINAS'!$A$2:$A$18,0))</f>
        <v>25.2211666666667</v>
      </c>
      <c r="N1084" s="2" t="s">
        <v>629</v>
      </c>
    </row>
    <row r="1085" customFormat="false" ht="15" hidden="false" customHeight="false" outlineLevel="0" collapsed="false">
      <c r="A1085" s="2" t="s">
        <v>615</v>
      </c>
      <c r="B1085" s="2" t="s">
        <v>94</v>
      </c>
      <c r="C1085" s="4" t="n">
        <v>2</v>
      </c>
      <c r="D1085" s="2" t="s">
        <v>441</v>
      </c>
      <c r="E1085" s="2" t="s">
        <v>380</v>
      </c>
      <c r="F1085" s="5" t="n">
        <f aca="false">INDEX('08_PEDIDOS'!$D$2:$D$97,MATCH(A1085,'08_PEDIDOS'!$A$2:$A$97,0))</f>
        <v>6</v>
      </c>
      <c r="G1085" s="5" t="n">
        <f aca="false">INDEX('08_PEDIDOS'!$H$2:$H$97,MATCH(A1085,'08_PEDIDOS'!$A$2:$A$97,0))</f>
        <v>10</v>
      </c>
      <c r="H1085" s="17" t="n">
        <f aca="false">SUMIFS('05_RUTAS'!$F$2:$F$407,'05_RUTAS'!$A$2:$A$407,B1085,'05_RUTAS'!$C$2:$C$407,C1085)</f>
        <v>8</v>
      </c>
      <c r="I1085" s="18" t="n">
        <f aca="false">SUMIFS('05_RUTAS'!$G$2:$G$407,'05_RUTAS'!$A$2:$A$407,B1085,'05_RUTAS'!$C$2:$C$407,C1085)</f>
        <v>5.98</v>
      </c>
      <c r="J1085" s="18" t="n">
        <f aca="false">(ROUNDUP(F1085/G1085,0)*H1085+F1085*I1085)/60</f>
        <v>0.731333333333333</v>
      </c>
      <c r="K1085" s="5" t="n">
        <f aca="false">MONTH(INDEX('08_PEDIDOS'!$F$2:$F$97,MATCH(A1085,'08_PEDIDOS'!$A$2:$A$97,0)))</f>
        <v>12</v>
      </c>
      <c r="L1085" s="16" t="n">
        <f aca="false">J1085*N(INDEX('04_MAQUINAS'!$F$2:$F$18,MATCH(E1085,'04_MAQUINAS'!$A$2:$A$18,0)))</f>
        <v>16.0893333333333</v>
      </c>
      <c r="M1085" s="17" t="n">
        <f aca="false">J1085*INDEX('04_MAQUINAS'!$G$2:$G$18,MATCH(E1085,'04_MAQUINAS'!$A$2:$A$18,0))*INDEX('04_MAQUINAS'!$H$2:$H$18,MATCH(E1085,'04_MAQUINAS'!$A$2:$A$18,0))</f>
        <v>0.3291</v>
      </c>
      <c r="N1085" s="2" t="s">
        <v>629</v>
      </c>
    </row>
    <row r="1086" customFormat="false" ht="15" hidden="false" customHeight="false" outlineLevel="0" collapsed="false">
      <c r="A1086" s="2" t="s">
        <v>615</v>
      </c>
      <c r="B1086" s="2" t="s">
        <v>94</v>
      </c>
      <c r="C1086" s="4" t="n">
        <v>3</v>
      </c>
      <c r="D1086" s="2" t="s">
        <v>386</v>
      </c>
      <c r="E1086" s="2" t="s">
        <v>383</v>
      </c>
      <c r="F1086" s="5" t="n">
        <f aca="false">INDEX('08_PEDIDOS'!$D$2:$D$97,MATCH(A1086,'08_PEDIDOS'!$A$2:$A$97,0))</f>
        <v>6</v>
      </c>
      <c r="G1086" s="5" t="n">
        <f aca="false">INDEX('08_PEDIDOS'!$H$2:$H$97,MATCH(A1086,'08_PEDIDOS'!$A$2:$A$97,0))</f>
        <v>10</v>
      </c>
      <c r="H1086" s="17" t="n">
        <f aca="false">SUMIFS('05_RUTAS'!$F$2:$F$407,'05_RUTAS'!$A$2:$A$407,B1086,'05_RUTAS'!$C$2:$C$407,C1086)</f>
        <v>10</v>
      </c>
      <c r="I1086" s="18" t="n">
        <f aca="false">SUMIFS('05_RUTAS'!$G$2:$G$407,'05_RUTAS'!$A$2:$A$407,B1086,'05_RUTAS'!$C$2:$C$407,C1086)</f>
        <v>97</v>
      </c>
      <c r="J1086" s="18" t="n">
        <f aca="false">(ROUNDUP(F1086/G1086,0)*H1086+F1086*I1086)/60</f>
        <v>9.86666666666667</v>
      </c>
      <c r="K1086" s="5" t="n">
        <f aca="false">MONTH(INDEX('08_PEDIDOS'!$F$2:$F$97,MATCH(A1086,'08_PEDIDOS'!$A$2:$A$97,0)))</f>
        <v>12</v>
      </c>
      <c r="L1086" s="16" t="n">
        <f aca="false">J1086*N(INDEX('04_MAQUINAS'!$F$2:$F$18,MATCH(E1086,'04_MAQUINAS'!$A$2:$A$18,0)))</f>
        <v>217.066666666667</v>
      </c>
      <c r="M1086" s="17" t="n">
        <f aca="false">J1086*INDEX('04_MAQUINAS'!$G$2:$G$18,MATCH(E1086,'04_MAQUINAS'!$A$2:$A$18,0))*INDEX('04_MAQUINAS'!$H$2:$H$18,MATCH(E1086,'04_MAQUINAS'!$A$2:$A$18,0))</f>
        <v>2.71333333333333</v>
      </c>
      <c r="N1086" s="2" t="s">
        <v>629</v>
      </c>
    </row>
    <row r="1087" customFormat="false" ht="15" hidden="false" customHeight="false" outlineLevel="0" collapsed="false">
      <c r="A1087" s="2" t="s">
        <v>615</v>
      </c>
      <c r="B1087" s="2" t="s">
        <v>94</v>
      </c>
      <c r="C1087" s="4" t="n">
        <v>4</v>
      </c>
      <c r="D1087" s="2" t="s">
        <v>390</v>
      </c>
      <c r="E1087" s="2" t="s">
        <v>387</v>
      </c>
      <c r="F1087" s="5" t="n">
        <f aca="false">INDEX('08_PEDIDOS'!$D$2:$D$97,MATCH(A1087,'08_PEDIDOS'!$A$2:$A$97,0))</f>
        <v>6</v>
      </c>
      <c r="G1087" s="5" t="n">
        <f aca="false">INDEX('08_PEDIDOS'!$H$2:$H$97,MATCH(A1087,'08_PEDIDOS'!$A$2:$A$97,0))</f>
        <v>10</v>
      </c>
      <c r="H1087" s="17" t="n">
        <f aca="false">SUMIFS('05_RUTAS'!$F$2:$F$407,'05_RUTAS'!$A$2:$A$407,B1087,'05_RUTAS'!$C$2:$C$407,C1087)</f>
        <v>12</v>
      </c>
      <c r="I1087" s="18" t="n">
        <f aca="false">SUMIFS('05_RUTAS'!$G$2:$G$407,'05_RUTAS'!$A$2:$A$407,B1087,'05_RUTAS'!$C$2:$C$407,C1087)</f>
        <v>196</v>
      </c>
      <c r="J1087" s="18" t="n">
        <f aca="false">(ROUNDUP(F1087/G1087,0)*H1087+F1087*I1087)/60</f>
        <v>19.8</v>
      </c>
      <c r="K1087" s="5" t="n">
        <f aca="false">MONTH(INDEX('08_PEDIDOS'!$F$2:$F$97,MATCH(A1087,'08_PEDIDOS'!$A$2:$A$97,0)))</f>
        <v>12</v>
      </c>
      <c r="L1087" s="16" t="n">
        <f aca="false">J1087*N(INDEX('04_MAQUINAS'!$F$2:$F$18,MATCH(E1087,'04_MAQUINAS'!$A$2:$A$18,0)))</f>
        <v>554.4</v>
      </c>
      <c r="M1087" s="17" t="n">
        <f aca="false">J1087*INDEX('04_MAQUINAS'!$G$2:$G$18,MATCH(E1087,'04_MAQUINAS'!$A$2:$A$18,0))*INDEX('04_MAQUINAS'!$H$2:$H$18,MATCH(E1087,'04_MAQUINAS'!$A$2:$A$18,0))</f>
        <v>49.005</v>
      </c>
      <c r="N1087" s="2" t="s">
        <v>629</v>
      </c>
    </row>
    <row r="1088" customFormat="false" ht="15" hidden="false" customHeight="false" outlineLevel="0" collapsed="false">
      <c r="A1088" s="2" t="s">
        <v>615</v>
      </c>
      <c r="B1088" s="2" t="s">
        <v>94</v>
      </c>
      <c r="C1088" s="4" t="n">
        <v>5</v>
      </c>
      <c r="D1088" s="2" t="s">
        <v>443</v>
      </c>
      <c r="E1088" s="2" t="s">
        <v>395</v>
      </c>
      <c r="F1088" s="5" t="n">
        <f aca="false">INDEX('08_PEDIDOS'!$D$2:$D$97,MATCH(A1088,'08_PEDIDOS'!$A$2:$A$97,0))</f>
        <v>6</v>
      </c>
      <c r="G1088" s="5" t="n">
        <f aca="false">INDEX('08_PEDIDOS'!$H$2:$H$97,MATCH(A1088,'08_PEDIDOS'!$A$2:$A$97,0))</f>
        <v>10</v>
      </c>
      <c r="H1088" s="17" t="n">
        <f aca="false">SUMIFS('05_RUTAS'!$F$2:$F$407,'05_RUTAS'!$A$2:$A$407,B1088,'05_RUTAS'!$C$2:$C$407,C1088)</f>
        <v>3</v>
      </c>
      <c r="I1088" s="18" t="n">
        <f aca="false">SUMIFS('05_RUTAS'!$G$2:$G$407,'05_RUTAS'!$A$2:$A$407,B1088,'05_RUTAS'!$C$2:$C$407,C1088)</f>
        <v>51</v>
      </c>
      <c r="J1088" s="18" t="n">
        <f aca="false">(ROUNDUP(F1088/G1088,0)*H1088+F1088*I1088)/60</f>
        <v>5.15</v>
      </c>
      <c r="K1088" s="5" t="n">
        <f aca="false">MONTH(INDEX('08_PEDIDOS'!$F$2:$F$97,MATCH(A1088,'08_PEDIDOS'!$A$2:$A$97,0)))</f>
        <v>12</v>
      </c>
      <c r="L1088" s="16" t="n">
        <f aca="false">J1088*N(INDEX('04_MAQUINAS'!$F$2:$F$18,MATCH(E1088,'04_MAQUINAS'!$A$2:$A$18,0)))</f>
        <v>108.15</v>
      </c>
      <c r="M1088" s="17" t="n">
        <f aca="false">J1088*INDEX('04_MAQUINAS'!$G$2:$G$18,MATCH(E1088,'04_MAQUINAS'!$A$2:$A$18,0))*INDEX('04_MAQUINAS'!$H$2:$H$18,MATCH(E1088,'04_MAQUINAS'!$A$2:$A$18,0))</f>
        <v>3.8625</v>
      </c>
      <c r="N1088" s="2" t="s">
        <v>629</v>
      </c>
    </row>
    <row r="1089" customFormat="false" ht="15" hidden="false" customHeight="false" outlineLevel="0" collapsed="false">
      <c r="A1089" s="2" t="s">
        <v>615</v>
      </c>
      <c r="B1089" s="2" t="s">
        <v>94</v>
      </c>
      <c r="C1089" s="4" t="n">
        <v>6</v>
      </c>
      <c r="D1089" s="2" t="s">
        <v>444</v>
      </c>
      <c r="E1089" s="2" t="s">
        <v>399</v>
      </c>
      <c r="F1089" s="5" t="n">
        <f aca="false">INDEX('08_PEDIDOS'!$D$2:$D$97,MATCH(A1089,'08_PEDIDOS'!$A$2:$A$97,0))</f>
        <v>6</v>
      </c>
      <c r="G1089" s="5" t="n">
        <f aca="false">INDEX('08_PEDIDOS'!$H$2:$H$97,MATCH(A1089,'08_PEDIDOS'!$A$2:$A$97,0))</f>
        <v>10</v>
      </c>
      <c r="H1089" s="17" t="n">
        <f aca="false">SUMIFS('05_RUTAS'!$F$2:$F$407,'05_RUTAS'!$A$2:$A$407,B1089,'05_RUTAS'!$C$2:$C$407,C1089)</f>
        <v>6</v>
      </c>
      <c r="I1089" s="18" t="n">
        <f aca="false">SUMIFS('05_RUTAS'!$G$2:$G$407,'05_RUTAS'!$A$2:$A$407,B1089,'05_RUTAS'!$C$2:$C$407,C1089)</f>
        <v>40.5152</v>
      </c>
      <c r="J1089" s="18" t="n">
        <f aca="false">(ROUNDUP(F1089/G1089,0)*H1089+F1089*I1089)/60</f>
        <v>4.15152</v>
      </c>
      <c r="K1089" s="5" t="n">
        <f aca="false">MONTH(INDEX('08_PEDIDOS'!$F$2:$F$97,MATCH(A1089,'08_PEDIDOS'!$A$2:$A$97,0)))</f>
        <v>12</v>
      </c>
      <c r="L1089" s="16" t="n">
        <f aca="false">J1089*N(INDEX('04_MAQUINAS'!$F$2:$F$18,MATCH(E1089,'04_MAQUINAS'!$A$2:$A$18,0)))</f>
        <v>78.87888</v>
      </c>
      <c r="M1089" s="17" t="n">
        <f aca="false">J1089*INDEX('04_MAQUINAS'!$G$2:$G$18,MATCH(E1089,'04_MAQUINAS'!$A$2:$A$18,0))*INDEX('04_MAQUINAS'!$H$2:$H$18,MATCH(E1089,'04_MAQUINAS'!$A$2:$A$18,0))</f>
        <v>3.6533376</v>
      </c>
      <c r="N1089" s="2" t="s">
        <v>629</v>
      </c>
    </row>
    <row r="1090" customFormat="false" ht="15" hidden="false" customHeight="false" outlineLevel="0" collapsed="false">
      <c r="A1090" s="2" t="s">
        <v>615</v>
      </c>
      <c r="B1090" s="2" t="s">
        <v>94</v>
      </c>
      <c r="C1090" s="4" t="n">
        <v>7</v>
      </c>
      <c r="D1090" s="2" t="s">
        <v>445</v>
      </c>
      <c r="E1090" s="2" t="s">
        <v>402</v>
      </c>
      <c r="F1090" s="5" t="n">
        <f aca="false">INDEX('08_PEDIDOS'!$D$2:$D$97,MATCH(A1090,'08_PEDIDOS'!$A$2:$A$97,0))</f>
        <v>6</v>
      </c>
      <c r="G1090" s="5" t="n">
        <f aca="false">INDEX('08_PEDIDOS'!$H$2:$H$97,MATCH(A1090,'08_PEDIDOS'!$A$2:$A$97,0))</f>
        <v>10</v>
      </c>
      <c r="H1090" s="17" t="n">
        <f aca="false">SUMIFS('05_RUTAS'!$F$2:$F$407,'05_RUTAS'!$A$2:$A$407,B1090,'05_RUTAS'!$C$2:$C$407,C1090)</f>
        <v>12</v>
      </c>
      <c r="I1090" s="18" t="n">
        <f aca="false">SUMIFS('05_RUTAS'!$G$2:$G$407,'05_RUTAS'!$A$2:$A$407,B1090,'05_RUTAS'!$C$2:$C$407,C1090)</f>
        <v>7.76</v>
      </c>
      <c r="J1090" s="18" t="n">
        <f aca="false">(ROUNDUP(F1090/G1090,0)*H1090+F1090*I1090)/60</f>
        <v>0.976</v>
      </c>
      <c r="K1090" s="5" t="n">
        <f aca="false">MONTH(INDEX('08_PEDIDOS'!$F$2:$F$97,MATCH(A1090,'08_PEDIDOS'!$A$2:$A$97,0)))</f>
        <v>12</v>
      </c>
      <c r="L1090" s="16" t="n">
        <f aca="false">J1090*N(INDEX('04_MAQUINAS'!$F$2:$F$18,MATCH(E1090,'04_MAQUINAS'!$A$2:$A$18,0)))</f>
        <v>31.232</v>
      </c>
      <c r="M1090" s="17" t="n">
        <f aca="false">J1090*INDEX('04_MAQUINAS'!$G$2:$G$18,MATCH(E1090,'04_MAQUINAS'!$A$2:$A$18,0))*INDEX('04_MAQUINAS'!$H$2:$H$18,MATCH(E1090,'04_MAQUINAS'!$A$2:$A$18,0))</f>
        <v>1.0248</v>
      </c>
      <c r="N1090" s="2" t="s">
        <v>629</v>
      </c>
    </row>
    <row r="1091" customFormat="false" ht="15" hidden="false" customHeight="false" outlineLevel="0" collapsed="false">
      <c r="A1091" s="2" t="s">
        <v>615</v>
      </c>
      <c r="B1091" s="2" t="s">
        <v>94</v>
      </c>
      <c r="C1091" s="4" t="n">
        <v>8</v>
      </c>
      <c r="D1091" s="2" t="s">
        <v>447</v>
      </c>
      <c r="E1091" s="2" t="s">
        <v>421</v>
      </c>
      <c r="F1091" s="5" t="n">
        <f aca="false">INDEX('08_PEDIDOS'!$D$2:$D$97,MATCH(A1091,'08_PEDIDOS'!$A$2:$A$97,0))</f>
        <v>6</v>
      </c>
      <c r="G1091" s="5" t="n">
        <f aca="false">INDEX('08_PEDIDOS'!$H$2:$H$97,MATCH(A1091,'08_PEDIDOS'!$A$2:$A$97,0))</f>
        <v>10</v>
      </c>
      <c r="H1091" s="17" t="n">
        <f aca="false">SUMIFS('05_RUTAS'!$F$2:$F$407,'05_RUTAS'!$A$2:$A$407,B1091,'05_RUTAS'!$C$2:$C$407,C1091)</f>
        <v>45</v>
      </c>
      <c r="I1091" s="18" t="n">
        <f aca="false">SUMIFS('05_RUTAS'!$G$2:$G$407,'05_RUTAS'!$A$2:$A$407,B1091,'05_RUTAS'!$C$2:$C$407,C1091)</f>
        <v>0</v>
      </c>
      <c r="J1091" s="18" t="n">
        <f aca="false">(ROUNDUP(F1091/G1091,0)*H1091+F1091*I1091)/60</f>
        <v>0.75</v>
      </c>
      <c r="K1091" s="5" t="n">
        <f aca="false">MONTH(INDEX('08_PEDIDOS'!$F$2:$F$97,MATCH(A1091,'08_PEDIDOS'!$A$2:$A$97,0)))</f>
        <v>12</v>
      </c>
      <c r="L1091" s="16" t="n">
        <f aca="false">J1091*N(INDEX('04_MAQUINAS'!$F$2:$F$18,MATCH(E1091,'04_MAQUINAS'!$A$2:$A$18,0)))</f>
        <v>19.5</v>
      </c>
      <c r="M1091" s="17" t="n">
        <f aca="false">J1091*INDEX('04_MAQUINAS'!$G$2:$G$18,MATCH(E1091,'04_MAQUINAS'!$A$2:$A$18,0))*INDEX('04_MAQUINAS'!$H$2:$H$18,MATCH(E1091,'04_MAQUINAS'!$A$2:$A$18,0))</f>
        <v>10.8</v>
      </c>
      <c r="N1091" s="2" t="s">
        <v>629</v>
      </c>
    </row>
    <row r="1092" customFormat="false" ht="15" hidden="false" customHeight="false" outlineLevel="0" collapsed="false">
      <c r="A1092" s="2" t="s">
        <v>615</v>
      </c>
      <c r="B1092" s="2" t="s">
        <v>94</v>
      </c>
      <c r="C1092" s="4" t="n">
        <v>9</v>
      </c>
      <c r="D1092" s="2" t="s">
        <v>449</v>
      </c>
      <c r="E1092" s="2" t="s">
        <v>423</v>
      </c>
      <c r="F1092" s="5" t="n">
        <f aca="false">INDEX('08_PEDIDOS'!$D$2:$D$97,MATCH(A1092,'08_PEDIDOS'!$A$2:$A$97,0))</f>
        <v>6</v>
      </c>
      <c r="G1092" s="5" t="n">
        <f aca="false">INDEX('08_PEDIDOS'!$H$2:$H$97,MATCH(A1092,'08_PEDIDOS'!$A$2:$A$97,0))</f>
        <v>10</v>
      </c>
      <c r="H1092" s="17" t="n">
        <f aca="false">SUMIFS('05_RUTAS'!$F$2:$F$407,'05_RUTAS'!$A$2:$A$407,B1092,'05_RUTAS'!$C$2:$C$407,C1092)</f>
        <v>8</v>
      </c>
      <c r="I1092" s="18" t="n">
        <f aca="false">SUMIFS('05_RUTAS'!$G$2:$G$407,'05_RUTAS'!$A$2:$A$407,B1092,'05_RUTAS'!$C$2:$C$407,C1092)</f>
        <v>2.63</v>
      </c>
      <c r="J1092" s="18" t="n">
        <f aca="false">(ROUNDUP(F1092/G1092,0)*H1092+F1092*I1092)/60</f>
        <v>0.396333333333333</v>
      </c>
      <c r="K1092" s="5" t="n">
        <f aca="false">MONTH(INDEX('08_PEDIDOS'!$F$2:$F$97,MATCH(A1092,'08_PEDIDOS'!$A$2:$A$97,0)))</f>
        <v>12</v>
      </c>
      <c r="L1092" s="16" t="n">
        <f aca="false">J1092*N(INDEX('04_MAQUINAS'!$F$2:$F$18,MATCH(E1092,'04_MAQUINAS'!$A$2:$A$18,0)))</f>
        <v>6.34133333333333</v>
      </c>
      <c r="M1092" s="17" t="n">
        <f aca="false">J1092*INDEX('04_MAQUINAS'!$G$2:$G$18,MATCH(E1092,'04_MAQUINAS'!$A$2:$A$18,0))*INDEX('04_MAQUINAS'!$H$2:$H$18,MATCH(E1092,'04_MAQUINAS'!$A$2:$A$18,0))</f>
        <v>0.0990833333333333</v>
      </c>
      <c r="N1092" s="2" t="s">
        <v>629</v>
      </c>
    </row>
    <row r="1093" customFormat="false" ht="15" hidden="false" customHeight="false" outlineLevel="0" collapsed="false">
      <c r="A1093" s="2" t="s">
        <v>615</v>
      </c>
      <c r="B1093" s="2" t="s">
        <v>94</v>
      </c>
      <c r="C1093" s="4" t="n">
        <v>10</v>
      </c>
      <c r="D1093" s="2" t="s">
        <v>450</v>
      </c>
      <c r="E1093" s="2" t="s">
        <v>406</v>
      </c>
      <c r="F1093" s="5" t="n">
        <f aca="false">INDEX('08_PEDIDOS'!$D$2:$D$97,MATCH(A1093,'08_PEDIDOS'!$A$2:$A$97,0))</f>
        <v>6</v>
      </c>
      <c r="G1093" s="5" t="n">
        <f aca="false">INDEX('08_PEDIDOS'!$H$2:$H$97,MATCH(A1093,'08_PEDIDOS'!$A$2:$A$97,0))</f>
        <v>10</v>
      </c>
      <c r="H1093" s="17" t="n">
        <f aca="false">SUMIFS('05_RUTAS'!$F$2:$F$407,'05_RUTAS'!$A$2:$A$407,B1093,'05_RUTAS'!$C$2:$C$407,C1093)</f>
        <v>6</v>
      </c>
      <c r="I1093" s="18" t="n">
        <f aca="false">SUMIFS('05_RUTAS'!$G$2:$G$407,'05_RUTAS'!$A$2:$A$407,B1093,'05_RUTAS'!$C$2:$C$407,C1093)</f>
        <v>69</v>
      </c>
      <c r="J1093" s="18" t="n">
        <f aca="false">(ROUNDUP(F1093/G1093,0)*H1093+F1093*I1093)/60</f>
        <v>7</v>
      </c>
      <c r="K1093" s="5" t="n">
        <f aca="false">MONTH(INDEX('08_PEDIDOS'!$F$2:$F$97,MATCH(A1093,'08_PEDIDOS'!$A$2:$A$97,0)))</f>
        <v>12</v>
      </c>
      <c r="L1093" s="16" t="n">
        <f aca="false">J1093*N(INDEX('04_MAQUINAS'!$F$2:$F$18,MATCH(E1093,'04_MAQUINAS'!$A$2:$A$18,0)))</f>
        <v>133</v>
      </c>
      <c r="M1093" s="17" t="n">
        <f aca="false">J1093*INDEX('04_MAQUINAS'!$G$2:$G$18,MATCH(E1093,'04_MAQUINAS'!$A$2:$A$18,0))*INDEX('04_MAQUINAS'!$H$2:$H$18,MATCH(E1093,'04_MAQUINAS'!$A$2:$A$18,0))</f>
        <v>2.1</v>
      </c>
      <c r="N1093" s="2" t="s">
        <v>629</v>
      </c>
    </row>
    <row r="1094" customFormat="false" ht="15" hidden="false" customHeight="false" outlineLevel="0" collapsed="false">
      <c r="A1094" s="2" t="s">
        <v>615</v>
      </c>
      <c r="B1094" s="2" t="s">
        <v>94</v>
      </c>
      <c r="C1094" s="4" t="n">
        <v>11</v>
      </c>
      <c r="D1094" s="2" t="s">
        <v>451</v>
      </c>
      <c r="E1094" s="2" t="s">
        <v>408</v>
      </c>
      <c r="F1094" s="5" t="n">
        <f aca="false">INDEX('08_PEDIDOS'!$D$2:$D$97,MATCH(A1094,'08_PEDIDOS'!$A$2:$A$97,0))</f>
        <v>6</v>
      </c>
      <c r="G1094" s="5" t="n">
        <f aca="false">INDEX('08_PEDIDOS'!$H$2:$H$97,MATCH(A1094,'08_PEDIDOS'!$A$2:$A$97,0))</f>
        <v>10</v>
      </c>
      <c r="H1094" s="17" t="n">
        <f aca="false">SUMIFS('05_RUTAS'!$F$2:$F$407,'05_RUTAS'!$A$2:$A$407,B1094,'05_RUTAS'!$C$2:$C$407,C1094)</f>
        <v>2</v>
      </c>
      <c r="I1094" s="18" t="n">
        <f aca="false">SUMIFS('05_RUTAS'!$G$2:$G$407,'05_RUTAS'!$A$2:$A$407,B1094,'05_RUTAS'!$C$2:$C$407,C1094)</f>
        <v>3.79</v>
      </c>
      <c r="J1094" s="18" t="n">
        <f aca="false">(ROUNDUP(F1094/G1094,0)*H1094+F1094*I1094)/60</f>
        <v>0.412333333333333</v>
      </c>
      <c r="K1094" s="5" t="n">
        <f aca="false">MONTH(INDEX('08_PEDIDOS'!$F$2:$F$97,MATCH(A1094,'08_PEDIDOS'!$A$2:$A$97,0)))</f>
        <v>12</v>
      </c>
      <c r="L1094" s="16" t="n">
        <f aca="false">J1094*N(INDEX('04_MAQUINAS'!$F$2:$F$18,MATCH(E1094,'04_MAQUINAS'!$A$2:$A$18,0)))</f>
        <v>8.24666666666667</v>
      </c>
      <c r="M1094" s="17" t="n">
        <f aca="false">J1094*INDEX('04_MAQUINAS'!$G$2:$G$18,MATCH(E1094,'04_MAQUINAS'!$A$2:$A$18,0))*INDEX('04_MAQUINAS'!$H$2:$H$18,MATCH(E1094,'04_MAQUINAS'!$A$2:$A$18,0))</f>
        <v>0.0412333333333333</v>
      </c>
      <c r="N1094" s="2" t="s">
        <v>629</v>
      </c>
    </row>
    <row r="1095" customFormat="false" ht="15" hidden="false" customHeight="false" outlineLevel="0" collapsed="false">
      <c r="A1095" s="2" t="s">
        <v>615</v>
      </c>
      <c r="B1095" s="2" t="s">
        <v>94</v>
      </c>
      <c r="C1095" s="4" t="n">
        <v>12</v>
      </c>
      <c r="D1095" s="2" t="s">
        <v>452</v>
      </c>
      <c r="E1095" s="2" t="s">
        <v>411</v>
      </c>
      <c r="F1095" s="5" t="n">
        <f aca="false">INDEX('08_PEDIDOS'!$D$2:$D$97,MATCH(A1095,'08_PEDIDOS'!$A$2:$A$97,0))</f>
        <v>6</v>
      </c>
      <c r="G1095" s="5" t="n">
        <f aca="false">INDEX('08_PEDIDOS'!$H$2:$H$97,MATCH(A1095,'08_PEDIDOS'!$A$2:$A$97,0))</f>
        <v>10</v>
      </c>
      <c r="H1095" s="17" t="n">
        <f aca="false">SUMIFS('05_RUTAS'!$F$2:$F$407,'05_RUTAS'!$A$2:$A$407,B1095,'05_RUTAS'!$C$2:$C$407,C1095)</f>
        <v>2</v>
      </c>
      <c r="I1095" s="18" t="n">
        <f aca="false">SUMIFS('05_RUTAS'!$G$2:$G$407,'05_RUTAS'!$A$2:$A$407,B1095,'05_RUTAS'!$C$2:$C$407,C1095)</f>
        <v>5.18</v>
      </c>
      <c r="J1095" s="18" t="n">
        <f aca="false">(ROUNDUP(F1095/G1095,0)*H1095+F1095*I1095)/60</f>
        <v>0.551333333333333</v>
      </c>
      <c r="K1095" s="5" t="n">
        <f aca="false">MONTH(INDEX('08_PEDIDOS'!$F$2:$F$97,MATCH(A1095,'08_PEDIDOS'!$A$2:$A$97,0)))</f>
        <v>12</v>
      </c>
      <c r="L1095" s="16" t="n">
        <f aca="false">J1095*N(INDEX('04_MAQUINAS'!$F$2:$F$18,MATCH(E1095,'04_MAQUINAS'!$A$2:$A$18,0)))</f>
        <v>9.924</v>
      </c>
      <c r="M1095" s="17" t="n">
        <f aca="false">J1095*INDEX('04_MAQUINAS'!$G$2:$G$18,MATCH(E1095,'04_MAQUINAS'!$A$2:$A$18,0))*INDEX('04_MAQUINAS'!$H$2:$H$18,MATCH(E1095,'04_MAQUINAS'!$A$2:$A$18,0))</f>
        <v>0.04962</v>
      </c>
      <c r="N1095" s="2" t="s">
        <v>629</v>
      </c>
    </row>
    <row r="1096" customFormat="false" ht="15" hidden="false" customHeight="false" outlineLevel="0" collapsed="false">
      <c r="A1096" s="2" t="s">
        <v>616</v>
      </c>
      <c r="B1096" s="2" t="s">
        <v>96</v>
      </c>
      <c r="C1096" s="4" t="n">
        <v>1</v>
      </c>
      <c r="D1096" s="2" t="s">
        <v>437</v>
      </c>
      <c r="E1096" s="2" t="s">
        <v>375</v>
      </c>
      <c r="F1096" s="5" t="n">
        <f aca="false">INDEX('08_PEDIDOS'!$D$2:$D$97,MATCH(A1096,'08_PEDIDOS'!$A$2:$A$97,0))</f>
        <v>7</v>
      </c>
      <c r="G1096" s="5" t="n">
        <f aca="false">INDEX('08_PEDIDOS'!$H$2:$H$97,MATCH(A1096,'08_PEDIDOS'!$A$2:$A$97,0))</f>
        <v>10</v>
      </c>
      <c r="H1096" s="17" t="n">
        <f aca="false">SUMIFS('05_RUTAS'!$F$2:$F$407,'05_RUTAS'!$A$2:$A$407,B1096,'05_RUTAS'!$C$2:$C$407,C1096)</f>
        <v>8</v>
      </c>
      <c r="I1096" s="18" t="n">
        <f aca="false">SUMIFS('05_RUTAS'!$G$2:$G$407,'05_RUTAS'!$A$2:$A$407,B1096,'05_RUTAS'!$C$2:$C$407,C1096)</f>
        <v>56.975</v>
      </c>
      <c r="J1096" s="18" t="n">
        <f aca="false">(ROUNDUP(F1096/G1096,0)*H1096+F1096*I1096)/60</f>
        <v>6.78041666666667</v>
      </c>
      <c r="K1096" s="5" t="n">
        <f aca="false">MONTH(INDEX('08_PEDIDOS'!$F$2:$F$97,MATCH(A1096,'08_PEDIDOS'!$A$2:$A$97,0)))</f>
        <v>12</v>
      </c>
      <c r="L1096" s="16" t="n">
        <f aca="false">J1096*N(INDEX('04_MAQUINAS'!$F$2:$F$18,MATCH(E1096,'04_MAQUINAS'!$A$2:$A$18,0)))</f>
        <v>162.73</v>
      </c>
      <c r="M1096" s="17" t="n">
        <f aca="false">J1096*INDEX('04_MAQUINAS'!$G$2:$G$18,MATCH(E1096,'04_MAQUINAS'!$A$2:$A$18,0))*INDEX('04_MAQUINAS'!$H$2:$H$18,MATCH(E1096,'04_MAQUINAS'!$A$2:$A$18,0))</f>
        <v>18.6461458333333</v>
      </c>
      <c r="N1096" s="2" t="s">
        <v>629</v>
      </c>
    </row>
    <row r="1097" customFormat="false" ht="15" hidden="false" customHeight="false" outlineLevel="0" collapsed="false">
      <c r="A1097" s="2" t="s">
        <v>616</v>
      </c>
      <c r="B1097" s="2" t="s">
        <v>96</v>
      </c>
      <c r="C1097" s="4" t="n">
        <v>2</v>
      </c>
      <c r="D1097" s="2" t="s">
        <v>441</v>
      </c>
      <c r="E1097" s="2" t="s">
        <v>380</v>
      </c>
      <c r="F1097" s="5" t="n">
        <f aca="false">INDEX('08_PEDIDOS'!$D$2:$D$97,MATCH(A1097,'08_PEDIDOS'!$A$2:$A$97,0))</f>
        <v>7</v>
      </c>
      <c r="G1097" s="5" t="n">
        <f aca="false">INDEX('08_PEDIDOS'!$H$2:$H$97,MATCH(A1097,'08_PEDIDOS'!$A$2:$A$97,0))</f>
        <v>10</v>
      </c>
      <c r="H1097" s="17" t="n">
        <f aca="false">SUMIFS('05_RUTAS'!$F$2:$F$407,'05_RUTAS'!$A$2:$A$407,B1097,'05_RUTAS'!$C$2:$C$407,C1097)</f>
        <v>8</v>
      </c>
      <c r="I1097" s="18" t="n">
        <f aca="false">SUMIFS('05_RUTAS'!$G$2:$G$407,'05_RUTAS'!$A$2:$A$407,B1097,'05_RUTAS'!$C$2:$C$407,C1097)</f>
        <v>6.28</v>
      </c>
      <c r="J1097" s="18" t="n">
        <f aca="false">(ROUNDUP(F1097/G1097,0)*H1097+F1097*I1097)/60</f>
        <v>0.866</v>
      </c>
      <c r="K1097" s="5" t="n">
        <f aca="false">MONTH(INDEX('08_PEDIDOS'!$F$2:$F$97,MATCH(A1097,'08_PEDIDOS'!$A$2:$A$97,0)))</f>
        <v>12</v>
      </c>
      <c r="L1097" s="16" t="n">
        <f aca="false">J1097*N(INDEX('04_MAQUINAS'!$F$2:$F$18,MATCH(E1097,'04_MAQUINAS'!$A$2:$A$18,0)))</f>
        <v>19.052</v>
      </c>
      <c r="M1097" s="17" t="n">
        <f aca="false">J1097*INDEX('04_MAQUINAS'!$G$2:$G$18,MATCH(E1097,'04_MAQUINAS'!$A$2:$A$18,0))*INDEX('04_MAQUINAS'!$H$2:$H$18,MATCH(E1097,'04_MAQUINAS'!$A$2:$A$18,0))</f>
        <v>0.3897</v>
      </c>
      <c r="N1097" s="2" t="s">
        <v>629</v>
      </c>
    </row>
    <row r="1098" customFormat="false" ht="15" hidden="false" customHeight="false" outlineLevel="0" collapsed="false">
      <c r="A1098" s="2" t="s">
        <v>616</v>
      </c>
      <c r="B1098" s="2" t="s">
        <v>96</v>
      </c>
      <c r="C1098" s="4" t="n">
        <v>3</v>
      </c>
      <c r="D1098" s="2" t="s">
        <v>386</v>
      </c>
      <c r="E1098" s="2" t="s">
        <v>383</v>
      </c>
      <c r="F1098" s="5" t="n">
        <f aca="false">INDEX('08_PEDIDOS'!$D$2:$D$97,MATCH(A1098,'08_PEDIDOS'!$A$2:$A$97,0))</f>
        <v>7</v>
      </c>
      <c r="G1098" s="5" t="n">
        <f aca="false">INDEX('08_PEDIDOS'!$H$2:$H$97,MATCH(A1098,'08_PEDIDOS'!$A$2:$A$97,0))</f>
        <v>10</v>
      </c>
      <c r="H1098" s="17" t="n">
        <f aca="false">SUMIFS('05_RUTAS'!$F$2:$F$407,'05_RUTAS'!$A$2:$A$407,B1098,'05_RUTAS'!$C$2:$C$407,C1098)</f>
        <v>10</v>
      </c>
      <c r="I1098" s="18" t="n">
        <f aca="false">SUMIFS('05_RUTAS'!$G$2:$G$407,'05_RUTAS'!$A$2:$A$407,B1098,'05_RUTAS'!$C$2:$C$407,C1098)</f>
        <v>67</v>
      </c>
      <c r="J1098" s="18" t="n">
        <f aca="false">(ROUNDUP(F1098/G1098,0)*H1098+F1098*I1098)/60</f>
        <v>7.98333333333333</v>
      </c>
      <c r="K1098" s="5" t="n">
        <f aca="false">MONTH(INDEX('08_PEDIDOS'!$F$2:$F$97,MATCH(A1098,'08_PEDIDOS'!$A$2:$A$97,0)))</f>
        <v>12</v>
      </c>
      <c r="L1098" s="16" t="n">
        <f aca="false">J1098*N(INDEX('04_MAQUINAS'!$F$2:$F$18,MATCH(E1098,'04_MAQUINAS'!$A$2:$A$18,0)))</f>
        <v>175.633333333333</v>
      </c>
      <c r="M1098" s="17" t="n">
        <f aca="false">J1098*INDEX('04_MAQUINAS'!$G$2:$G$18,MATCH(E1098,'04_MAQUINAS'!$A$2:$A$18,0))*INDEX('04_MAQUINAS'!$H$2:$H$18,MATCH(E1098,'04_MAQUINAS'!$A$2:$A$18,0))</f>
        <v>2.19541666666667</v>
      </c>
      <c r="N1098" s="2" t="s">
        <v>629</v>
      </c>
    </row>
    <row r="1099" customFormat="false" ht="15" hidden="false" customHeight="false" outlineLevel="0" collapsed="false">
      <c r="A1099" s="2" t="s">
        <v>616</v>
      </c>
      <c r="B1099" s="2" t="s">
        <v>96</v>
      </c>
      <c r="C1099" s="4" t="n">
        <v>4</v>
      </c>
      <c r="D1099" s="2" t="s">
        <v>390</v>
      </c>
      <c r="E1099" s="2" t="s">
        <v>387</v>
      </c>
      <c r="F1099" s="5" t="n">
        <f aca="false">INDEX('08_PEDIDOS'!$D$2:$D$97,MATCH(A1099,'08_PEDIDOS'!$A$2:$A$97,0))</f>
        <v>7</v>
      </c>
      <c r="G1099" s="5" t="n">
        <f aca="false">INDEX('08_PEDIDOS'!$H$2:$H$97,MATCH(A1099,'08_PEDIDOS'!$A$2:$A$97,0))</f>
        <v>10</v>
      </c>
      <c r="H1099" s="17" t="n">
        <f aca="false">SUMIFS('05_RUTAS'!$F$2:$F$407,'05_RUTAS'!$A$2:$A$407,B1099,'05_RUTAS'!$C$2:$C$407,C1099)</f>
        <v>12</v>
      </c>
      <c r="I1099" s="18" t="n">
        <f aca="false">SUMIFS('05_RUTAS'!$G$2:$G$407,'05_RUTAS'!$A$2:$A$407,B1099,'05_RUTAS'!$C$2:$C$407,C1099)</f>
        <v>124</v>
      </c>
      <c r="J1099" s="18" t="n">
        <f aca="false">(ROUNDUP(F1099/G1099,0)*H1099+F1099*I1099)/60</f>
        <v>14.6666666666667</v>
      </c>
      <c r="K1099" s="5" t="n">
        <f aca="false">MONTH(INDEX('08_PEDIDOS'!$F$2:$F$97,MATCH(A1099,'08_PEDIDOS'!$A$2:$A$97,0)))</f>
        <v>12</v>
      </c>
      <c r="L1099" s="16" t="n">
        <f aca="false">J1099*N(INDEX('04_MAQUINAS'!$F$2:$F$18,MATCH(E1099,'04_MAQUINAS'!$A$2:$A$18,0)))</f>
        <v>410.666666666667</v>
      </c>
      <c r="M1099" s="17" t="n">
        <f aca="false">J1099*INDEX('04_MAQUINAS'!$G$2:$G$18,MATCH(E1099,'04_MAQUINAS'!$A$2:$A$18,0))*INDEX('04_MAQUINAS'!$H$2:$H$18,MATCH(E1099,'04_MAQUINAS'!$A$2:$A$18,0))</f>
        <v>36.3</v>
      </c>
      <c r="N1099" s="2" t="s">
        <v>629</v>
      </c>
    </row>
    <row r="1100" customFormat="false" ht="15" hidden="false" customHeight="false" outlineLevel="0" collapsed="false">
      <c r="A1100" s="2" t="s">
        <v>616</v>
      </c>
      <c r="B1100" s="2" t="s">
        <v>96</v>
      </c>
      <c r="C1100" s="4" t="n">
        <v>5</v>
      </c>
      <c r="D1100" s="2" t="s">
        <v>442</v>
      </c>
      <c r="E1100" s="2" t="s">
        <v>391</v>
      </c>
      <c r="F1100" s="5" t="n">
        <f aca="false">INDEX('08_PEDIDOS'!$D$2:$D$97,MATCH(A1100,'08_PEDIDOS'!$A$2:$A$97,0))</f>
        <v>7</v>
      </c>
      <c r="G1100" s="5" t="n">
        <f aca="false">INDEX('08_PEDIDOS'!$H$2:$H$97,MATCH(A1100,'08_PEDIDOS'!$A$2:$A$97,0))</f>
        <v>10</v>
      </c>
      <c r="H1100" s="17" t="n">
        <f aca="false">SUMIFS('05_RUTAS'!$F$2:$F$407,'05_RUTAS'!$A$2:$A$407,B1100,'05_RUTAS'!$C$2:$C$407,C1100)</f>
        <v>10</v>
      </c>
      <c r="I1100" s="18" t="n">
        <f aca="false">SUMIFS('05_RUTAS'!$G$2:$G$407,'05_RUTAS'!$A$2:$A$407,B1100,'05_RUTAS'!$C$2:$C$407,C1100)</f>
        <v>5.6</v>
      </c>
      <c r="J1100" s="18" t="n">
        <f aca="false">(ROUNDUP(F1100/G1100,0)*H1100+F1100*I1100)/60</f>
        <v>0.82</v>
      </c>
      <c r="K1100" s="5" t="n">
        <f aca="false">MONTH(INDEX('08_PEDIDOS'!$F$2:$F$97,MATCH(A1100,'08_PEDIDOS'!$A$2:$A$97,0)))</f>
        <v>12</v>
      </c>
      <c r="L1100" s="16" t="n">
        <f aca="false">J1100*N(INDEX('04_MAQUINAS'!$F$2:$F$18,MATCH(E1100,'04_MAQUINAS'!$A$2:$A$18,0)))</f>
        <v>26.24</v>
      </c>
      <c r="M1100" s="17" t="n">
        <f aca="false">J1100*INDEX('04_MAQUINAS'!$G$2:$G$18,MATCH(E1100,'04_MAQUINAS'!$A$2:$A$18,0))*INDEX('04_MAQUINAS'!$H$2:$H$18,MATCH(E1100,'04_MAQUINAS'!$A$2:$A$18,0))</f>
        <v>1.435</v>
      </c>
      <c r="N1100" s="2" t="s">
        <v>629</v>
      </c>
    </row>
    <row r="1101" customFormat="false" ht="15" hidden="false" customHeight="false" outlineLevel="0" collapsed="false">
      <c r="A1101" s="2" t="s">
        <v>616</v>
      </c>
      <c r="B1101" s="2" t="s">
        <v>96</v>
      </c>
      <c r="C1101" s="4" t="n">
        <v>6</v>
      </c>
      <c r="D1101" s="2" t="s">
        <v>443</v>
      </c>
      <c r="E1101" s="2" t="s">
        <v>395</v>
      </c>
      <c r="F1101" s="5" t="n">
        <f aca="false">INDEX('08_PEDIDOS'!$D$2:$D$97,MATCH(A1101,'08_PEDIDOS'!$A$2:$A$97,0))</f>
        <v>7</v>
      </c>
      <c r="G1101" s="5" t="n">
        <f aca="false">INDEX('08_PEDIDOS'!$H$2:$H$97,MATCH(A1101,'08_PEDIDOS'!$A$2:$A$97,0))</f>
        <v>10</v>
      </c>
      <c r="H1101" s="17" t="n">
        <f aca="false">SUMIFS('05_RUTAS'!$F$2:$F$407,'05_RUTAS'!$A$2:$A$407,B1101,'05_RUTAS'!$C$2:$C$407,C1101)</f>
        <v>3</v>
      </c>
      <c r="I1101" s="18" t="n">
        <f aca="false">SUMIFS('05_RUTAS'!$G$2:$G$407,'05_RUTAS'!$A$2:$A$407,B1101,'05_RUTAS'!$C$2:$C$407,C1101)</f>
        <v>33</v>
      </c>
      <c r="J1101" s="18" t="n">
        <f aca="false">(ROUNDUP(F1101/G1101,0)*H1101+F1101*I1101)/60</f>
        <v>3.9</v>
      </c>
      <c r="K1101" s="5" t="n">
        <f aca="false">MONTH(INDEX('08_PEDIDOS'!$F$2:$F$97,MATCH(A1101,'08_PEDIDOS'!$A$2:$A$97,0)))</f>
        <v>12</v>
      </c>
      <c r="L1101" s="16" t="n">
        <f aca="false">J1101*N(INDEX('04_MAQUINAS'!$F$2:$F$18,MATCH(E1101,'04_MAQUINAS'!$A$2:$A$18,0)))</f>
        <v>81.9</v>
      </c>
      <c r="M1101" s="17" t="n">
        <f aca="false">J1101*INDEX('04_MAQUINAS'!$G$2:$G$18,MATCH(E1101,'04_MAQUINAS'!$A$2:$A$18,0))*INDEX('04_MAQUINAS'!$H$2:$H$18,MATCH(E1101,'04_MAQUINAS'!$A$2:$A$18,0))</f>
        <v>2.925</v>
      </c>
      <c r="N1101" s="2" t="s">
        <v>629</v>
      </c>
    </row>
    <row r="1102" customFormat="false" ht="15" hidden="false" customHeight="false" outlineLevel="0" collapsed="false">
      <c r="A1102" s="2" t="s">
        <v>616</v>
      </c>
      <c r="B1102" s="2" t="s">
        <v>96</v>
      </c>
      <c r="C1102" s="4" t="n">
        <v>7</v>
      </c>
      <c r="D1102" s="2" t="s">
        <v>444</v>
      </c>
      <c r="E1102" s="2" t="s">
        <v>399</v>
      </c>
      <c r="F1102" s="5" t="n">
        <f aca="false">INDEX('08_PEDIDOS'!$D$2:$D$97,MATCH(A1102,'08_PEDIDOS'!$A$2:$A$97,0))</f>
        <v>7</v>
      </c>
      <c r="G1102" s="5" t="n">
        <f aca="false">INDEX('08_PEDIDOS'!$H$2:$H$97,MATCH(A1102,'08_PEDIDOS'!$A$2:$A$97,0))</f>
        <v>10</v>
      </c>
      <c r="H1102" s="17" t="n">
        <f aca="false">SUMIFS('05_RUTAS'!$F$2:$F$407,'05_RUTAS'!$A$2:$A$407,B1102,'05_RUTAS'!$C$2:$C$407,C1102)</f>
        <v>6</v>
      </c>
      <c r="I1102" s="18" t="n">
        <f aca="false">SUMIFS('05_RUTAS'!$G$2:$G$407,'05_RUTAS'!$A$2:$A$407,B1102,'05_RUTAS'!$C$2:$C$407,C1102)</f>
        <v>27.0712</v>
      </c>
      <c r="J1102" s="18" t="n">
        <f aca="false">(ROUNDUP(F1102/G1102,0)*H1102+F1102*I1102)/60</f>
        <v>3.25830666666667</v>
      </c>
      <c r="K1102" s="5" t="n">
        <f aca="false">MONTH(INDEX('08_PEDIDOS'!$F$2:$F$97,MATCH(A1102,'08_PEDIDOS'!$A$2:$A$97,0)))</f>
        <v>12</v>
      </c>
      <c r="L1102" s="16" t="n">
        <f aca="false">J1102*N(INDEX('04_MAQUINAS'!$F$2:$F$18,MATCH(E1102,'04_MAQUINAS'!$A$2:$A$18,0)))</f>
        <v>61.9078266666667</v>
      </c>
      <c r="M1102" s="17" t="n">
        <f aca="false">J1102*INDEX('04_MAQUINAS'!$G$2:$G$18,MATCH(E1102,'04_MAQUINAS'!$A$2:$A$18,0))*INDEX('04_MAQUINAS'!$H$2:$H$18,MATCH(E1102,'04_MAQUINAS'!$A$2:$A$18,0))</f>
        <v>2.86730986666667</v>
      </c>
      <c r="N1102" s="2" t="s">
        <v>629</v>
      </c>
    </row>
    <row r="1103" customFormat="false" ht="15" hidden="false" customHeight="false" outlineLevel="0" collapsed="false">
      <c r="A1103" s="2" t="s">
        <v>616</v>
      </c>
      <c r="B1103" s="2" t="s">
        <v>96</v>
      </c>
      <c r="C1103" s="4" t="n">
        <v>8</v>
      </c>
      <c r="D1103" s="2" t="s">
        <v>445</v>
      </c>
      <c r="E1103" s="2" t="s">
        <v>402</v>
      </c>
      <c r="F1103" s="5" t="n">
        <f aca="false">INDEX('08_PEDIDOS'!$D$2:$D$97,MATCH(A1103,'08_PEDIDOS'!$A$2:$A$97,0))</f>
        <v>7</v>
      </c>
      <c r="G1103" s="5" t="n">
        <f aca="false">INDEX('08_PEDIDOS'!$H$2:$H$97,MATCH(A1103,'08_PEDIDOS'!$A$2:$A$97,0))</f>
        <v>10</v>
      </c>
      <c r="H1103" s="17" t="n">
        <f aca="false">SUMIFS('05_RUTAS'!$F$2:$F$407,'05_RUTAS'!$A$2:$A$407,B1103,'05_RUTAS'!$C$2:$C$407,C1103)</f>
        <v>12</v>
      </c>
      <c r="I1103" s="18" t="n">
        <f aca="false">SUMIFS('05_RUTAS'!$G$2:$G$407,'05_RUTAS'!$A$2:$A$407,B1103,'05_RUTAS'!$C$2:$C$407,C1103)</f>
        <v>7.34</v>
      </c>
      <c r="J1103" s="18" t="n">
        <f aca="false">(ROUNDUP(F1103/G1103,0)*H1103+F1103*I1103)/60</f>
        <v>1.05633333333333</v>
      </c>
      <c r="K1103" s="5" t="n">
        <f aca="false">MONTH(INDEX('08_PEDIDOS'!$F$2:$F$97,MATCH(A1103,'08_PEDIDOS'!$A$2:$A$97,0)))</f>
        <v>12</v>
      </c>
      <c r="L1103" s="16" t="n">
        <f aca="false">J1103*N(INDEX('04_MAQUINAS'!$F$2:$F$18,MATCH(E1103,'04_MAQUINAS'!$A$2:$A$18,0)))</f>
        <v>33.8026666666667</v>
      </c>
      <c r="M1103" s="17" t="n">
        <f aca="false">J1103*INDEX('04_MAQUINAS'!$G$2:$G$18,MATCH(E1103,'04_MAQUINAS'!$A$2:$A$18,0))*INDEX('04_MAQUINAS'!$H$2:$H$18,MATCH(E1103,'04_MAQUINAS'!$A$2:$A$18,0))</f>
        <v>1.10915</v>
      </c>
      <c r="N1103" s="2" t="s">
        <v>629</v>
      </c>
    </row>
    <row r="1104" customFormat="false" ht="15" hidden="false" customHeight="false" outlineLevel="0" collapsed="false">
      <c r="A1104" s="2" t="s">
        <v>616</v>
      </c>
      <c r="B1104" s="2" t="s">
        <v>96</v>
      </c>
      <c r="C1104" s="4" t="n">
        <v>9</v>
      </c>
      <c r="D1104" s="2" t="s">
        <v>447</v>
      </c>
      <c r="E1104" s="2" t="s">
        <v>421</v>
      </c>
      <c r="F1104" s="5" t="n">
        <f aca="false">INDEX('08_PEDIDOS'!$D$2:$D$97,MATCH(A1104,'08_PEDIDOS'!$A$2:$A$97,0))</f>
        <v>7</v>
      </c>
      <c r="G1104" s="5" t="n">
        <f aca="false">INDEX('08_PEDIDOS'!$H$2:$H$97,MATCH(A1104,'08_PEDIDOS'!$A$2:$A$97,0))</f>
        <v>10</v>
      </c>
      <c r="H1104" s="17" t="n">
        <f aca="false">SUMIFS('05_RUTAS'!$F$2:$F$407,'05_RUTAS'!$A$2:$A$407,B1104,'05_RUTAS'!$C$2:$C$407,C1104)</f>
        <v>45</v>
      </c>
      <c r="I1104" s="18" t="n">
        <f aca="false">SUMIFS('05_RUTAS'!$G$2:$G$407,'05_RUTAS'!$A$2:$A$407,B1104,'05_RUTAS'!$C$2:$C$407,C1104)</f>
        <v>0</v>
      </c>
      <c r="J1104" s="18" t="n">
        <f aca="false">(ROUNDUP(F1104/G1104,0)*H1104+F1104*I1104)/60</f>
        <v>0.75</v>
      </c>
      <c r="K1104" s="5" t="n">
        <f aca="false">MONTH(INDEX('08_PEDIDOS'!$F$2:$F$97,MATCH(A1104,'08_PEDIDOS'!$A$2:$A$97,0)))</f>
        <v>12</v>
      </c>
      <c r="L1104" s="16" t="n">
        <f aca="false">J1104*N(INDEX('04_MAQUINAS'!$F$2:$F$18,MATCH(E1104,'04_MAQUINAS'!$A$2:$A$18,0)))</f>
        <v>19.5</v>
      </c>
      <c r="M1104" s="17" t="n">
        <f aca="false">J1104*INDEX('04_MAQUINAS'!$G$2:$G$18,MATCH(E1104,'04_MAQUINAS'!$A$2:$A$18,0))*INDEX('04_MAQUINAS'!$H$2:$H$18,MATCH(E1104,'04_MAQUINAS'!$A$2:$A$18,0))</f>
        <v>10.8</v>
      </c>
      <c r="N1104" s="2" t="s">
        <v>629</v>
      </c>
    </row>
    <row r="1105" customFormat="false" ht="15" hidden="false" customHeight="false" outlineLevel="0" collapsed="false">
      <c r="A1105" s="2" t="s">
        <v>616</v>
      </c>
      <c r="B1105" s="2" t="s">
        <v>96</v>
      </c>
      <c r="C1105" s="4" t="n">
        <v>10</v>
      </c>
      <c r="D1105" s="2" t="s">
        <v>449</v>
      </c>
      <c r="E1105" s="2" t="s">
        <v>423</v>
      </c>
      <c r="F1105" s="5" t="n">
        <f aca="false">INDEX('08_PEDIDOS'!$D$2:$D$97,MATCH(A1105,'08_PEDIDOS'!$A$2:$A$97,0))</f>
        <v>7</v>
      </c>
      <c r="G1105" s="5" t="n">
        <f aca="false">INDEX('08_PEDIDOS'!$H$2:$H$97,MATCH(A1105,'08_PEDIDOS'!$A$2:$A$97,0))</f>
        <v>10</v>
      </c>
      <c r="H1105" s="17" t="n">
        <f aca="false">SUMIFS('05_RUTAS'!$F$2:$F$407,'05_RUTAS'!$A$2:$A$407,B1105,'05_RUTAS'!$C$2:$C$407,C1105)</f>
        <v>8</v>
      </c>
      <c r="I1105" s="18" t="n">
        <f aca="false">SUMIFS('05_RUTAS'!$G$2:$G$407,'05_RUTAS'!$A$2:$A$407,B1105,'05_RUTAS'!$C$2:$C$407,C1105)</f>
        <v>2.54</v>
      </c>
      <c r="J1105" s="18" t="n">
        <f aca="false">(ROUNDUP(F1105/G1105,0)*H1105+F1105*I1105)/60</f>
        <v>0.429666666666667</v>
      </c>
      <c r="K1105" s="5" t="n">
        <f aca="false">MONTH(INDEX('08_PEDIDOS'!$F$2:$F$97,MATCH(A1105,'08_PEDIDOS'!$A$2:$A$97,0)))</f>
        <v>12</v>
      </c>
      <c r="L1105" s="16" t="n">
        <f aca="false">J1105*N(INDEX('04_MAQUINAS'!$F$2:$F$18,MATCH(E1105,'04_MAQUINAS'!$A$2:$A$18,0)))</f>
        <v>6.87466666666667</v>
      </c>
      <c r="M1105" s="17" t="n">
        <f aca="false">J1105*INDEX('04_MAQUINAS'!$G$2:$G$18,MATCH(E1105,'04_MAQUINAS'!$A$2:$A$18,0))*INDEX('04_MAQUINAS'!$H$2:$H$18,MATCH(E1105,'04_MAQUINAS'!$A$2:$A$18,0))</f>
        <v>0.107416666666667</v>
      </c>
      <c r="N1105" s="2" t="s">
        <v>629</v>
      </c>
    </row>
    <row r="1106" customFormat="false" ht="15" hidden="false" customHeight="false" outlineLevel="0" collapsed="false">
      <c r="A1106" s="2" t="s">
        <v>616</v>
      </c>
      <c r="B1106" s="2" t="s">
        <v>96</v>
      </c>
      <c r="C1106" s="4" t="n">
        <v>11</v>
      </c>
      <c r="D1106" s="2" t="s">
        <v>450</v>
      </c>
      <c r="E1106" s="2" t="s">
        <v>406</v>
      </c>
      <c r="F1106" s="5" t="n">
        <f aca="false">INDEX('08_PEDIDOS'!$D$2:$D$97,MATCH(A1106,'08_PEDIDOS'!$A$2:$A$97,0))</f>
        <v>7</v>
      </c>
      <c r="G1106" s="5" t="n">
        <f aca="false">INDEX('08_PEDIDOS'!$H$2:$H$97,MATCH(A1106,'08_PEDIDOS'!$A$2:$A$97,0))</f>
        <v>10</v>
      </c>
      <c r="H1106" s="17" t="n">
        <f aca="false">SUMIFS('05_RUTAS'!$F$2:$F$407,'05_RUTAS'!$A$2:$A$407,B1106,'05_RUTAS'!$C$2:$C$407,C1106)</f>
        <v>6</v>
      </c>
      <c r="I1106" s="18" t="n">
        <f aca="false">SUMIFS('05_RUTAS'!$G$2:$G$407,'05_RUTAS'!$A$2:$A$407,B1106,'05_RUTAS'!$C$2:$C$407,C1106)</f>
        <v>48.75</v>
      </c>
      <c r="J1106" s="18" t="n">
        <f aca="false">(ROUNDUP(F1106/G1106,0)*H1106+F1106*I1106)/60</f>
        <v>5.7875</v>
      </c>
      <c r="K1106" s="5" t="n">
        <f aca="false">MONTH(INDEX('08_PEDIDOS'!$F$2:$F$97,MATCH(A1106,'08_PEDIDOS'!$A$2:$A$97,0)))</f>
        <v>12</v>
      </c>
      <c r="L1106" s="16" t="n">
        <f aca="false">J1106*N(INDEX('04_MAQUINAS'!$F$2:$F$18,MATCH(E1106,'04_MAQUINAS'!$A$2:$A$18,0)))</f>
        <v>109.9625</v>
      </c>
      <c r="M1106" s="17" t="n">
        <f aca="false">J1106*INDEX('04_MAQUINAS'!$G$2:$G$18,MATCH(E1106,'04_MAQUINAS'!$A$2:$A$18,0))*INDEX('04_MAQUINAS'!$H$2:$H$18,MATCH(E1106,'04_MAQUINAS'!$A$2:$A$18,0))</f>
        <v>1.73625</v>
      </c>
      <c r="N1106" s="2" t="s">
        <v>629</v>
      </c>
    </row>
    <row r="1107" customFormat="false" ht="15" hidden="false" customHeight="false" outlineLevel="0" collapsed="false">
      <c r="A1107" s="2" t="s">
        <v>616</v>
      </c>
      <c r="B1107" s="2" t="s">
        <v>96</v>
      </c>
      <c r="C1107" s="4" t="n">
        <v>12</v>
      </c>
      <c r="D1107" s="2" t="s">
        <v>451</v>
      </c>
      <c r="E1107" s="2" t="s">
        <v>408</v>
      </c>
      <c r="F1107" s="5" t="n">
        <f aca="false">INDEX('08_PEDIDOS'!$D$2:$D$97,MATCH(A1107,'08_PEDIDOS'!$A$2:$A$97,0))</f>
        <v>7</v>
      </c>
      <c r="G1107" s="5" t="n">
        <f aca="false">INDEX('08_PEDIDOS'!$H$2:$H$97,MATCH(A1107,'08_PEDIDOS'!$A$2:$A$97,0))</f>
        <v>10</v>
      </c>
      <c r="H1107" s="17" t="n">
        <f aca="false">SUMIFS('05_RUTAS'!$F$2:$F$407,'05_RUTAS'!$A$2:$A$407,B1107,'05_RUTAS'!$C$2:$C$407,C1107)</f>
        <v>2</v>
      </c>
      <c r="I1107" s="18" t="n">
        <f aca="false">SUMIFS('05_RUTAS'!$G$2:$G$407,'05_RUTAS'!$A$2:$A$407,B1107,'05_RUTAS'!$C$2:$C$407,C1107)</f>
        <v>3.67</v>
      </c>
      <c r="J1107" s="18" t="n">
        <f aca="false">(ROUNDUP(F1107/G1107,0)*H1107+F1107*I1107)/60</f>
        <v>0.4615</v>
      </c>
      <c r="K1107" s="5" t="n">
        <f aca="false">MONTH(INDEX('08_PEDIDOS'!$F$2:$F$97,MATCH(A1107,'08_PEDIDOS'!$A$2:$A$97,0)))</f>
        <v>12</v>
      </c>
      <c r="L1107" s="16" t="n">
        <f aca="false">J1107*N(INDEX('04_MAQUINAS'!$F$2:$F$18,MATCH(E1107,'04_MAQUINAS'!$A$2:$A$18,0)))</f>
        <v>9.23</v>
      </c>
      <c r="M1107" s="17" t="n">
        <f aca="false">J1107*INDEX('04_MAQUINAS'!$G$2:$G$18,MATCH(E1107,'04_MAQUINAS'!$A$2:$A$18,0))*INDEX('04_MAQUINAS'!$H$2:$H$18,MATCH(E1107,'04_MAQUINAS'!$A$2:$A$18,0))</f>
        <v>0.04615</v>
      </c>
      <c r="N1107" s="2" t="s">
        <v>629</v>
      </c>
    </row>
    <row r="1108" customFormat="false" ht="15" hidden="false" customHeight="false" outlineLevel="0" collapsed="false">
      <c r="A1108" s="2" t="s">
        <v>616</v>
      </c>
      <c r="B1108" s="2" t="s">
        <v>96</v>
      </c>
      <c r="C1108" s="4" t="n">
        <v>13</v>
      </c>
      <c r="D1108" s="2" t="s">
        <v>452</v>
      </c>
      <c r="E1108" s="2" t="s">
        <v>411</v>
      </c>
      <c r="F1108" s="5" t="n">
        <f aca="false">INDEX('08_PEDIDOS'!$D$2:$D$97,MATCH(A1108,'08_PEDIDOS'!$A$2:$A$97,0))</f>
        <v>7</v>
      </c>
      <c r="G1108" s="5" t="n">
        <f aca="false">INDEX('08_PEDIDOS'!$H$2:$H$97,MATCH(A1108,'08_PEDIDOS'!$A$2:$A$97,0))</f>
        <v>10</v>
      </c>
      <c r="H1108" s="17" t="n">
        <f aca="false">SUMIFS('05_RUTAS'!$F$2:$F$407,'05_RUTAS'!$A$2:$A$407,B1108,'05_RUTAS'!$C$2:$C$407,C1108)</f>
        <v>2</v>
      </c>
      <c r="I1108" s="18" t="n">
        <f aca="false">SUMIFS('05_RUTAS'!$G$2:$G$407,'05_RUTAS'!$A$2:$A$407,B1108,'05_RUTAS'!$C$2:$C$407,C1108)</f>
        <v>5</v>
      </c>
      <c r="J1108" s="18" t="n">
        <f aca="false">(ROUNDUP(F1108/G1108,0)*H1108+F1108*I1108)/60</f>
        <v>0.616666666666667</v>
      </c>
      <c r="K1108" s="5" t="n">
        <f aca="false">MONTH(INDEX('08_PEDIDOS'!$F$2:$F$97,MATCH(A1108,'08_PEDIDOS'!$A$2:$A$97,0)))</f>
        <v>12</v>
      </c>
      <c r="L1108" s="16" t="n">
        <f aca="false">J1108*N(INDEX('04_MAQUINAS'!$F$2:$F$18,MATCH(E1108,'04_MAQUINAS'!$A$2:$A$18,0)))</f>
        <v>11.1</v>
      </c>
      <c r="M1108" s="17" t="n">
        <f aca="false">J1108*INDEX('04_MAQUINAS'!$G$2:$G$18,MATCH(E1108,'04_MAQUINAS'!$A$2:$A$18,0))*INDEX('04_MAQUINAS'!$H$2:$H$18,MATCH(E1108,'04_MAQUINAS'!$A$2:$A$18,0))</f>
        <v>0.0555</v>
      </c>
      <c r="N1108" s="2" t="s">
        <v>629</v>
      </c>
    </row>
    <row r="1109" customFormat="false" ht="15" hidden="false" customHeight="false" outlineLevel="0" collapsed="false">
      <c r="A1109" s="2" t="s">
        <v>617</v>
      </c>
      <c r="B1109" s="2" t="s">
        <v>106</v>
      </c>
      <c r="C1109" s="4" t="n">
        <v>1</v>
      </c>
      <c r="D1109" s="2" t="s">
        <v>437</v>
      </c>
      <c r="E1109" s="2" t="s">
        <v>375</v>
      </c>
      <c r="F1109" s="5" t="n">
        <f aca="false">INDEX('08_PEDIDOS'!$D$2:$D$97,MATCH(A1109,'08_PEDIDOS'!$A$2:$A$97,0))</f>
        <v>5</v>
      </c>
      <c r="G1109" s="5" t="n">
        <f aca="false">INDEX('08_PEDIDOS'!$H$2:$H$97,MATCH(A1109,'08_PEDIDOS'!$A$2:$A$97,0))</f>
        <v>10</v>
      </c>
      <c r="H1109" s="17" t="n">
        <f aca="false">SUMIFS('05_RUTAS'!$F$2:$F$407,'05_RUTAS'!$A$2:$A$407,B1109,'05_RUTAS'!$C$2:$C$407,C1109)</f>
        <v>8</v>
      </c>
      <c r="I1109" s="18" t="n">
        <f aca="false">SUMIFS('05_RUTAS'!$G$2:$G$407,'05_RUTAS'!$A$2:$A$407,B1109,'05_RUTAS'!$C$2:$C$407,C1109)</f>
        <v>40.245</v>
      </c>
      <c r="J1109" s="18" t="n">
        <f aca="false">(ROUNDUP(F1109/G1109,0)*H1109+F1109*I1109)/60</f>
        <v>3.48708333333333</v>
      </c>
      <c r="K1109" s="5" t="n">
        <f aca="false">MONTH(INDEX('08_PEDIDOS'!$F$2:$F$97,MATCH(A1109,'08_PEDIDOS'!$A$2:$A$97,0)))</f>
        <v>12</v>
      </c>
      <c r="L1109" s="16" t="n">
        <f aca="false">J1109*N(INDEX('04_MAQUINAS'!$F$2:$F$18,MATCH(E1109,'04_MAQUINAS'!$A$2:$A$18,0)))</f>
        <v>83.69</v>
      </c>
      <c r="M1109" s="17" t="n">
        <f aca="false">J1109*INDEX('04_MAQUINAS'!$G$2:$G$18,MATCH(E1109,'04_MAQUINAS'!$A$2:$A$18,0))*INDEX('04_MAQUINAS'!$H$2:$H$18,MATCH(E1109,'04_MAQUINAS'!$A$2:$A$18,0))</f>
        <v>9.58947916666667</v>
      </c>
      <c r="N1109" s="2" t="s">
        <v>629</v>
      </c>
    </row>
    <row r="1110" customFormat="false" ht="15" hidden="false" customHeight="false" outlineLevel="0" collapsed="false">
      <c r="A1110" s="2" t="s">
        <v>617</v>
      </c>
      <c r="B1110" s="2" t="s">
        <v>106</v>
      </c>
      <c r="C1110" s="4" t="n">
        <v>2</v>
      </c>
      <c r="D1110" s="2" t="s">
        <v>386</v>
      </c>
      <c r="E1110" s="2" t="s">
        <v>383</v>
      </c>
      <c r="F1110" s="5" t="n">
        <f aca="false">INDEX('08_PEDIDOS'!$D$2:$D$97,MATCH(A1110,'08_PEDIDOS'!$A$2:$A$97,0))</f>
        <v>5</v>
      </c>
      <c r="G1110" s="5" t="n">
        <f aca="false">INDEX('08_PEDIDOS'!$H$2:$H$97,MATCH(A1110,'08_PEDIDOS'!$A$2:$A$97,0))</f>
        <v>10</v>
      </c>
      <c r="H1110" s="17" t="n">
        <f aca="false">SUMIFS('05_RUTAS'!$F$2:$F$407,'05_RUTAS'!$A$2:$A$407,B1110,'05_RUTAS'!$C$2:$C$407,C1110)</f>
        <v>10</v>
      </c>
      <c r="I1110" s="18" t="n">
        <f aca="false">SUMIFS('05_RUTAS'!$G$2:$G$407,'05_RUTAS'!$A$2:$A$407,B1110,'05_RUTAS'!$C$2:$C$407,C1110)</f>
        <v>14.8</v>
      </c>
      <c r="J1110" s="18" t="n">
        <f aca="false">(ROUNDUP(F1110/G1110,0)*H1110+F1110*I1110)/60</f>
        <v>1.4</v>
      </c>
      <c r="K1110" s="5" t="n">
        <f aca="false">MONTH(INDEX('08_PEDIDOS'!$F$2:$F$97,MATCH(A1110,'08_PEDIDOS'!$A$2:$A$97,0)))</f>
        <v>12</v>
      </c>
      <c r="L1110" s="16" t="n">
        <f aca="false">J1110*N(INDEX('04_MAQUINAS'!$F$2:$F$18,MATCH(E1110,'04_MAQUINAS'!$A$2:$A$18,0)))</f>
        <v>30.8</v>
      </c>
      <c r="M1110" s="17" t="n">
        <f aca="false">J1110*INDEX('04_MAQUINAS'!$G$2:$G$18,MATCH(E1110,'04_MAQUINAS'!$A$2:$A$18,0))*INDEX('04_MAQUINAS'!$H$2:$H$18,MATCH(E1110,'04_MAQUINAS'!$A$2:$A$18,0))</f>
        <v>0.385</v>
      </c>
      <c r="N1110" s="2" t="s">
        <v>629</v>
      </c>
    </row>
    <row r="1111" customFormat="false" ht="15" hidden="false" customHeight="false" outlineLevel="0" collapsed="false">
      <c r="A1111" s="2" t="s">
        <v>617</v>
      </c>
      <c r="B1111" s="2" t="s">
        <v>106</v>
      </c>
      <c r="C1111" s="4" t="n">
        <v>3</v>
      </c>
      <c r="D1111" s="2" t="s">
        <v>390</v>
      </c>
      <c r="E1111" s="2" t="s">
        <v>387</v>
      </c>
      <c r="F1111" s="5" t="n">
        <f aca="false">INDEX('08_PEDIDOS'!$D$2:$D$97,MATCH(A1111,'08_PEDIDOS'!$A$2:$A$97,0))</f>
        <v>5</v>
      </c>
      <c r="G1111" s="5" t="n">
        <f aca="false">INDEX('08_PEDIDOS'!$H$2:$H$97,MATCH(A1111,'08_PEDIDOS'!$A$2:$A$97,0))</f>
        <v>10</v>
      </c>
      <c r="H1111" s="17" t="n">
        <f aca="false">SUMIFS('05_RUTAS'!$F$2:$F$407,'05_RUTAS'!$A$2:$A$407,B1111,'05_RUTAS'!$C$2:$C$407,C1111)</f>
        <v>12</v>
      </c>
      <c r="I1111" s="18" t="n">
        <f aca="false">SUMIFS('05_RUTAS'!$G$2:$G$407,'05_RUTAS'!$A$2:$A$407,B1111,'05_RUTAS'!$C$2:$C$407,C1111)</f>
        <v>104</v>
      </c>
      <c r="J1111" s="18" t="n">
        <f aca="false">(ROUNDUP(F1111/G1111,0)*H1111+F1111*I1111)/60</f>
        <v>8.86666666666667</v>
      </c>
      <c r="K1111" s="5" t="n">
        <f aca="false">MONTH(INDEX('08_PEDIDOS'!$F$2:$F$97,MATCH(A1111,'08_PEDIDOS'!$A$2:$A$97,0)))</f>
        <v>12</v>
      </c>
      <c r="L1111" s="16" t="n">
        <f aca="false">J1111*N(INDEX('04_MAQUINAS'!$F$2:$F$18,MATCH(E1111,'04_MAQUINAS'!$A$2:$A$18,0)))</f>
        <v>248.266666666667</v>
      </c>
      <c r="M1111" s="17" t="n">
        <f aca="false">J1111*INDEX('04_MAQUINAS'!$G$2:$G$18,MATCH(E1111,'04_MAQUINAS'!$A$2:$A$18,0))*INDEX('04_MAQUINAS'!$H$2:$H$18,MATCH(E1111,'04_MAQUINAS'!$A$2:$A$18,0))</f>
        <v>21.945</v>
      </c>
      <c r="N1111" s="2" t="s">
        <v>629</v>
      </c>
    </row>
    <row r="1112" customFormat="false" ht="15" hidden="false" customHeight="false" outlineLevel="0" collapsed="false">
      <c r="A1112" s="2" t="s">
        <v>617</v>
      </c>
      <c r="B1112" s="2" t="s">
        <v>106</v>
      </c>
      <c r="C1112" s="4" t="n">
        <v>4</v>
      </c>
      <c r="D1112" s="2" t="s">
        <v>443</v>
      </c>
      <c r="E1112" s="2" t="s">
        <v>395</v>
      </c>
      <c r="F1112" s="5" t="n">
        <f aca="false">INDEX('08_PEDIDOS'!$D$2:$D$97,MATCH(A1112,'08_PEDIDOS'!$A$2:$A$97,0))</f>
        <v>5</v>
      </c>
      <c r="G1112" s="5" t="n">
        <f aca="false">INDEX('08_PEDIDOS'!$H$2:$H$97,MATCH(A1112,'08_PEDIDOS'!$A$2:$A$97,0))</f>
        <v>10</v>
      </c>
      <c r="H1112" s="17" t="n">
        <f aca="false">SUMIFS('05_RUTAS'!$F$2:$F$407,'05_RUTAS'!$A$2:$A$407,B1112,'05_RUTAS'!$C$2:$C$407,C1112)</f>
        <v>3</v>
      </c>
      <c r="I1112" s="18" t="n">
        <f aca="false">SUMIFS('05_RUTAS'!$G$2:$G$407,'05_RUTAS'!$A$2:$A$407,B1112,'05_RUTAS'!$C$2:$C$407,C1112)</f>
        <v>18</v>
      </c>
      <c r="J1112" s="18" t="n">
        <f aca="false">(ROUNDUP(F1112/G1112,0)*H1112+F1112*I1112)/60</f>
        <v>1.55</v>
      </c>
      <c r="K1112" s="5" t="n">
        <f aca="false">MONTH(INDEX('08_PEDIDOS'!$F$2:$F$97,MATCH(A1112,'08_PEDIDOS'!$A$2:$A$97,0)))</f>
        <v>12</v>
      </c>
      <c r="L1112" s="16" t="n">
        <f aca="false">J1112*N(INDEX('04_MAQUINAS'!$F$2:$F$18,MATCH(E1112,'04_MAQUINAS'!$A$2:$A$18,0)))</f>
        <v>32.55</v>
      </c>
      <c r="M1112" s="17" t="n">
        <f aca="false">J1112*INDEX('04_MAQUINAS'!$G$2:$G$18,MATCH(E1112,'04_MAQUINAS'!$A$2:$A$18,0))*INDEX('04_MAQUINAS'!$H$2:$H$18,MATCH(E1112,'04_MAQUINAS'!$A$2:$A$18,0))</f>
        <v>1.1625</v>
      </c>
      <c r="N1112" s="2" t="s">
        <v>629</v>
      </c>
    </row>
    <row r="1113" customFormat="false" ht="15" hidden="false" customHeight="false" outlineLevel="0" collapsed="false">
      <c r="A1113" s="2" t="s">
        <v>617</v>
      </c>
      <c r="B1113" s="2" t="s">
        <v>106</v>
      </c>
      <c r="C1113" s="4" t="n">
        <v>5</v>
      </c>
      <c r="D1113" s="2" t="s">
        <v>444</v>
      </c>
      <c r="E1113" s="2" t="s">
        <v>399</v>
      </c>
      <c r="F1113" s="5" t="n">
        <f aca="false">INDEX('08_PEDIDOS'!$D$2:$D$97,MATCH(A1113,'08_PEDIDOS'!$A$2:$A$97,0))</f>
        <v>5</v>
      </c>
      <c r="G1113" s="5" t="n">
        <f aca="false">INDEX('08_PEDIDOS'!$H$2:$H$97,MATCH(A1113,'08_PEDIDOS'!$A$2:$A$97,0))</f>
        <v>10</v>
      </c>
      <c r="H1113" s="17" t="n">
        <f aca="false">SUMIFS('05_RUTAS'!$F$2:$F$407,'05_RUTAS'!$A$2:$A$407,B1113,'05_RUTAS'!$C$2:$C$407,C1113)</f>
        <v>6</v>
      </c>
      <c r="I1113" s="18" t="n">
        <f aca="false">SUMIFS('05_RUTAS'!$G$2:$G$407,'05_RUTAS'!$A$2:$A$407,B1113,'05_RUTAS'!$C$2:$C$407,C1113)</f>
        <v>26.324</v>
      </c>
      <c r="J1113" s="18" t="n">
        <f aca="false">(ROUNDUP(F1113/G1113,0)*H1113+F1113*I1113)/60</f>
        <v>2.29366666666667</v>
      </c>
      <c r="K1113" s="5" t="n">
        <f aca="false">MONTH(INDEX('08_PEDIDOS'!$F$2:$F$97,MATCH(A1113,'08_PEDIDOS'!$A$2:$A$97,0)))</f>
        <v>12</v>
      </c>
      <c r="L1113" s="16" t="n">
        <f aca="false">J1113*N(INDEX('04_MAQUINAS'!$F$2:$F$18,MATCH(E1113,'04_MAQUINAS'!$A$2:$A$18,0)))</f>
        <v>43.5796666666667</v>
      </c>
      <c r="M1113" s="17" t="n">
        <f aca="false">J1113*INDEX('04_MAQUINAS'!$G$2:$G$18,MATCH(E1113,'04_MAQUINAS'!$A$2:$A$18,0))*INDEX('04_MAQUINAS'!$H$2:$H$18,MATCH(E1113,'04_MAQUINAS'!$A$2:$A$18,0))</f>
        <v>2.01842666666667</v>
      </c>
      <c r="N1113" s="2" t="s">
        <v>629</v>
      </c>
    </row>
    <row r="1114" customFormat="false" ht="15" hidden="false" customHeight="false" outlineLevel="0" collapsed="false">
      <c r="A1114" s="2" t="s">
        <v>617</v>
      </c>
      <c r="B1114" s="2" t="s">
        <v>106</v>
      </c>
      <c r="C1114" s="4" t="n">
        <v>6</v>
      </c>
      <c r="D1114" s="2" t="s">
        <v>445</v>
      </c>
      <c r="E1114" s="2" t="s">
        <v>402</v>
      </c>
      <c r="F1114" s="5" t="n">
        <f aca="false">INDEX('08_PEDIDOS'!$D$2:$D$97,MATCH(A1114,'08_PEDIDOS'!$A$2:$A$97,0))</f>
        <v>5</v>
      </c>
      <c r="G1114" s="5" t="n">
        <f aca="false">INDEX('08_PEDIDOS'!$H$2:$H$97,MATCH(A1114,'08_PEDIDOS'!$A$2:$A$97,0))</f>
        <v>10</v>
      </c>
      <c r="H1114" s="17" t="n">
        <f aca="false">SUMIFS('05_RUTAS'!$F$2:$F$407,'05_RUTAS'!$A$2:$A$407,B1114,'05_RUTAS'!$C$2:$C$407,C1114)</f>
        <v>12</v>
      </c>
      <c r="I1114" s="18" t="n">
        <f aca="false">SUMIFS('05_RUTAS'!$G$2:$G$407,'05_RUTAS'!$A$2:$A$407,B1114,'05_RUTAS'!$C$2:$C$407,C1114)</f>
        <v>6.83</v>
      </c>
      <c r="J1114" s="18" t="n">
        <f aca="false">(ROUNDUP(F1114/G1114,0)*H1114+F1114*I1114)/60</f>
        <v>0.769166666666667</v>
      </c>
      <c r="K1114" s="5" t="n">
        <f aca="false">MONTH(INDEX('08_PEDIDOS'!$F$2:$F$97,MATCH(A1114,'08_PEDIDOS'!$A$2:$A$97,0)))</f>
        <v>12</v>
      </c>
      <c r="L1114" s="16" t="n">
        <f aca="false">J1114*N(INDEX('04_MAQUINAS'!$F$2:$F$18,MATCH(E1114,'04_MAQUINAS'!$A$2:$A$18,0)))</f>
        <v>24.6133333333333</v>
      </c>
      <c r="M1114" s="17" t="n">
        <f aca="false">J1114*INDEX('04_MAQUINAS'!$G$2:$G$18,MATCH(E1114,'04_MAQUINAS'!$A$2:$A$18,0))*INDEX('04_MAQUINAS'!$H$2:$H$18,MATCH(E1114,'04_MAQUINAS'!$A$2:$A$18,0))</f>
        <v>0.807625</v>
      </c>
      <c r="N1114" s="2" t="s">
        <v>629</v>
      </c>
    </row>
    <row r="1115" customFormat="false" ht="15" hidden="false" customHeight="false" outlineLevel="0" collapsed="false">
      <c r="A1115" s="2" t="s">
        <v>617</v>
      </c>
      <c r="B1115" s="2" t="s">
        <v>106</v>
      </c>
      <c r="C1115" s="4" t="n">
        <v>7</v>
      </c>
      <c r="D1115" s="2" t="s">
        <v>447</v>
      </c>
      <c r="E1115" s="2" t="s">
        <v>421</v>
      </c>
      <c r="F1115" s="5" t="n">
        <f aca="false">INDEX('08_PEDIDOS'!$D$2:$D$97,MATCH(A1115,'08_PEDIDOS'!$A$2:$A$97,0))</f>
        <v>5</v>
      </c>
      <c r="G1115" s="5" t="n">
        <f aca="false">INDEX('08_PEDIDOS'!$H$2:$H$97,MATCH(A1115,'08_PEDIDOS'!$A$2:$A$97,0))</f>
        <v>10</v>
      </c>
      <c r="H1115" s="17" t="n">
        <f aca="false">SUMIFS('05_RUTAS'!$F$2:$F$407,'05_RUTAS'!$A$2:$A$407,B1115,'05_RUTAS'!$C$2:$C$407,C1115)</f>
        <v>45</v>
      </c>
      <c r="I1115" s="18" t="n">
        <f aca="false">SUMIFS('05_RUTAS'!$G$2:$G$407,'05_RUTAS'!$A$2:$A$407,B1115,'05_RUTAS'!$C$2:$C$407,C1115)</f>
        <v>0</v>
      </c>
      <c r="J1115" s="18" t="n">
        <f aca="false">(ROUNDUP(F1115/G1115,0)*H1115+F1115*I1115)/60</f>
        <v>0.75</v>
      </c>
      <c r="K1115" s="5" t="n">
        <f aca="false">MONTH(INDEX('08_PEDIDOS'!$F$2:$F$97,MATCH(A1115,'08_PEDIDOS'!$A$2:$A$97,0)))</f>
        <v>12</v>
      </c>
      <c r="L1115" s="16" t="n">
        <f aca="false">J1115*N(INDEX('04_MAQUINAS'!$F$2:$F$18,MATCH(E1115,'04_MAQUINAS'!$A$2:$A$18,0)))</f>
        <v>19.5</v>
      </c>
      <c r="M1115" s="17" t="n">
        <f aca="false">J1115*INDEX('04_MAQUINAS'!$G$2:$G$18,MATCH(E1115,'04_MAQUINAS'!$A$2:$A$18,0))*INDEX('04_MAQUINAS'!$H$2:$H$18,MATCH(E1115,'04_MAQUINAS'!$A$2:$A$18,0))</f>
        <v>10.8</v>
      </c>
      <c r="N1115" s="2" t="s">
        <v>629</v>
      </c>
    </row>
    <row r="1116" customFormat="false" ht="15" hidden="false" customHeight="false" outlineLevel="0" collapsed="false">
      <c r="A1116" s="2" t="s">
        <v>617</v>
      </c>
      <c r="B1116" s="2" t="s">
        <v>106</v>
      </c>
      <c r="C1116" s="4" t="n">
        <v>8</v>
      </c>
      <c r="D1116" s="2" t="s">
        <v>449</v>
      </c>
      <c r="E1116" s="2" t="s">
        <v>423</v>
      </c>
      <c r="F1116" s="5" t="n">
        <f aca="false">INDEX('08_PEDIDOS'!$D$2:$D$97,MATCH(A1116,'08_PEDIDOS'!$A$2:$A$97,0))</f>
        <v>5</v>
      </c>
      <c r="G1116" s="5" t="n">
        <f aca="false">INDEX('08_PEDIDOS'!$H$2:$H$97,MATCH(A1116,'08_PEDIDOS'!$A$2:$A$97,0))</f>
        <v>10</v>
      </c>
      <c r="H1116" s="17" t="n">
        <f aca="false">SUMIFS('05_RUTAS'!$F$2:$F$407,'05_RUTAS'!$A$2:$A$407,B1116,'05_RUTAS'!$C$2:$C$407,C1116)</f>
        <v>8</v>
      </c>
      <c r="I1116" s="18" t="n">
        <f aca="false">SUMIFS('05_RUTAS'!$G$2:$G$407,'05_RUTAS'!$A$2:$A$407,B1116,'05_RUTAS'!$C$2:$C$407,C1116)</f>
        <v>2.42</v>
      </c>
      <c r="J1116" s="18" t="n">
        <f aca="false">(ROUNDUP(F1116/G1116,0)*H1116+F1116*I1116)/60</f>
        <v>0.335</v>
      </c>
      <c r="K1116" s="5" t="n">
        <f aca="false">MONTH(INDEX('08_PEDIDOS'!$F$2:$F$97,MATCH(A1116,'08_PEDIDOS'!$A$2:$A$97,0)))</f>
        <v>12</v>
      </c>
      <c r="L1116" s="16" t="n">
        <f aca="false">J1116*N(INDEX('04_MAQUINAS'!$F$2:$F$18,MATCH(E1116,'04_MAQUINAS'!$A$2:$A$18,0)))</f>
        <v>5.36</v>
      </c>
      <c r="M1116" s="17" t="n">
        <f aca="false">J1116*INDEX('04_MAQUINAS'!$G$2:$G$18,MATCH(E1116,'04_MAQUINAS'!$A$2:$A$18,0))*INDEX('04_MAQUINAS'!$H$2:$H$18,MATCH(E1116,'04_MAQUINAS'!$A$2:$A$18,0))</f>
        <v>0.08375</v>
      </c>
      <c r="N1116" s="2" t="s">
        <v>629</v>
      </c>
    </row>
    <row r="1117" customFormat="false" ht="15" hidden="false" customHeight="false" outlineLevel="0" collapsed="false">
      <c r="A1117" s="2" t="s">
        <v>617</v>
      </c>
      <c r="B1117" s="2" t="s">
        <v>106</v>
      </c>
      <c r="C1117" s="4" t="n">
        <v>9</v>
      </c>
      <c r="D1117" s="2" t="s">
        <v>450</v>
      </c>
      <c r="E1117" s="2" t="s">
        <v>406</v>
      </c>
      <c r="F1117" s="5" t="n">
        <f aca="false">INDEX('08_PEDIDOS'!$D$2:$D$97,MATCH(A1117,'08_PEDIDOS'!$A$2:$A$97,0))</f>
        <v>5</v>
      </c>
      <c r="G1117" s="5" t="n">
        <f aca="false">INDEX('08_PEDIDOS'!$H$2:$H$97,MATCH(A1117,'08_PEDIDOS'!$A$2:$A$97,0))</f>
        <v>10</v>
      </c>
      <c r="H1117" s="17" t="n">
        <f aca="false">SUMIFS('05_RUTAS'!$F$2:$F$407,'05_RUTAS'!$A$2:$A$407,B1117,'05_RUTAS'!$C$2:$C$407,C1117)</f>
        <v>6</v>
      </c>
      <c r="I1117" s="18" t="n">
        <f aca="false">SUMIFS('05_RUTAS'!$G$2:$G$407,'05_RUTAS'!$A$2:$A$407,B1117,'05_RUTAS'!$C$2:$C$407,C1117)</f>
        <v>42</v>
      </c>
      <c r="J1117" s="18" t="n">
        <f aca="false">(ROUNDUP(F1117/G1117,0)*H1117+F1117*I1117)/60</f>
        <v>3.6</v>
      </c>
      <c r="K1117" s="5" t="n">
        <f aca="false">MONTH(INDEX('08_PEDIDOS'!$F$2:$F$97,MATCH(A1117,'08_PEDIDOS'!$A$2:$A$97,0)))</f>
        <v>12</v>
      </c>
      <c r="L1117" s="16" t="n">
        <f aca="false">J1117*N(INDEX('04_MAQUINAS'!$F$2:$F$18,MATCH(E1117,'04_MAQUINAS'!$A$2:$A$18,0)))</f>
        <v>68.4</v>
      </c>
      <c r="M1117" s="17" t="n">
        <f aca="false">J1117*INDEX('04_MAQUINAS'!$G$2:$G$18,MATCH(E1117,'04_MAQUINAS'!$A$2:$A$18,0))*INDEX('04_MAQUINAS'!$H$2:$H$18,MATCH(E1117,'04_MAQUINAS'!$A$2:$A$18,0))</f>
        <v>1.08</v>
      </c>
      <c r="N1117" s="2" t="s">
        <v>629</v>
      </c>
    </row>
    <row r="1118" customFormat="false" ht="15" hidden="false" customHeight="false" outlineLevel="0" collapsed="false">
      <c r="A1118" s="2" t="s">
        <v>617</v>
      </c>
      <c r="B1118" s="2" t="s">
        <v>106</v>
      </c>
      <c r="C1118" s="4" t="n">
        <v>10</v>
      </c>
      <c r="D1118" s="2" t="s">
        <v>451</v>
      </c>
      <c r="E1118" s="2" t="s">
        <v>408</v>
      </c>
      <c r="F1118" s="5" t="n">
        <f aca="false">INDEX('08_PEDIDOS'!$D$2:$D$97,MATCH(A1118,'08_PEDIDOS'!$A$2:$A$97,0))</f>
        <v>5</v>
      </c>
      <c r="G1118" s="5" t="n">
        <f aca="false">INDEX('08_PEDIDOS'!$H$2:$H$97,MATCH(A1118,'08_PEDIDOS'!$A$2:$A$97,0))</f>
        <v>10</v>
      </c>
      <c r="H1118" s="17" t="n">
        <f aca="false">SUMIFS('05_RUTAS'!$F$2:$F$407,'05_RUTAS'!$A$2:$A$407,B1118,'05_RUTAS'!$C$2:$C$407,C1118)</f>
        <v>2</v>
      </c>
      <c r="I1118" s="18" t="n">
        <f aca="false">SUMIFS('05_RUTAS'!$G$2:$G$407,'05_RUTAS'!$A$2:$A$407,B1118,'05_RUTAS'!$C$2:$C$407,C1118)</f>
        <v>3.52</v>
      </c>
      <c r="J1118" s="18" t="n">
        <f aca="false">(ROUNDUP(F1118/G1118,0)*H1118+F1118*I1118)/60</f>
        <v>0.326666666666667</v>
      </c>
      <c r="K1118" s="5" t="n">
        <f aca="false">MONTH(INDEX('08_PEDIDOS'!$F$2:$F$97,MATCH(A1118,'08_PEDIDOS'!$A$2:$A$97,0)))</f>
        <v>12</v>
      </c>
      <c r="L1118" s="16" t="n">
        <f aca="false">J1118*N(INDEX('04_MAQUINAS'!$F$2:$F$18,MATCH(E1118,'04_MAQUINAS'!$A$2:$A$18,0)))</f>
        <v>6.53333333333333</v>
      </c>
      <c r="M1118" s="17" t="n">
        <f aca="false">J1118*INDEX('04_MAQUINAS'!$G$2:$G$18,MATCH(E1118,'04_MAQUINAS'!$A$2:$A$18,0))*INDEX('04_MAQUINAS'!$H$2:$H$18,MATCH(E1118,'04_MAQUINAS'!$A$2:$A$18,0))</f>
        <v>0.0326666666666667</v>
      </c>
      <c r="N1118" s="2" t="s">
        <v>629</v>
      </c>
    </row>
    <row r="1119" customFormat="false" ht="15" hidden="false" customHeight="false" outlineLevel="0" collapsed="false">
      <c r="A1119" s="2" t="s">
        <v>617</v>
      </c>
      <c r="B1119" s="2" t="s">
        <v>106</v>
      </c>
      <c r="C1119" s="4" t="n">
        <v>11</v>
      </c>
      <c r="D1119" s="2" t="s">
        <v>452</v>
      </c>
      <c r="E1119" s="2" t="s">
        <v>411</v>
      </c>
      <c r="F1119" s="5" t="n">
        <f aca="false">INDEX('08_PEDIDOS'!$D$2:$D$97,MATCH(A1119,'08_PEDIDOS'!$A$2:$A$97,0))</f>
        <v>5</v>
      </c>
      <c r="G1119" s="5" t="n">
        <f aca="false">INDEX('08_PEDIDOS'!$H$2:$H$97,MATCH(A1119,'08_PEDIDOS'!$A$2:$A$97,0))</f>
        <v>10</v>
      </c>
      <c r="H1119" s="17" t="n">
        <f aca="false">SUMIFS('05_RUTAS'!$F$2:$F$407,'05_RUTAS'!$A$2:$A$407,B1119,'05_RUTAS'!$C$2:$C$407,C1119)</f>
        <v>2</v>
      </c>
      <c r="I1119" s="18" t="n">
        <f aca="false">SUMIFS('05_RUTAS'!$G$2:$G$407,'05_RUTAS'!$A$2:$A$407,B1119,'05_RUTAS'!$C$2:$C$407,C1119)</f>
        <v>4.78</v>
      </c>
      <c r="J1119" s="18" t="n">
        <f aca="false">(ROUNDUP(F1119/G1119,0)*H1119+F1119*I1119)/60</f>
        <v>0.431666666666667</v>
      </c>
      <c r="K1119" s="5" t="n">
        <f aca="false">MONTH(INDEX('08_PEDIDOS'!$F$2:$F$97,MATCH(A1119,'08_PEDIDOS'!$A$2:$A$97,0)))</f>
        <v>12</v>
      </c>
      <c r="L1119" s="16" t="n">
        <f aca="false">J1119*N(INDEX('04_MAQUINAS'!$F$2:$F$18,MATCH(E1119,'04_MAQUINAS'!$A$2:$A$18,0)))</f>
        <v>7.77</v>
      </c>
      <c r="M1119" s="17" t="n">
        <f aca="false">J1119*INDEX('04_MAQUINAS'!$G$2:$G$18,MATCH(E1119,'04_MAQUINAS'!$A$2:$A$18,0))*INDEX('04_MAQUINAS'!$H$2:$H$18,MATCH(E1119,'04_MAQUINAS'!$A$2:$A$18,0))</f>
        <v>0.03885</v>
      </c>
      <c r="N1119" s="2" t="s">
        <v>629</v>
      </c>
    </row>
    <row r="1120" customFormat="false" ht="15" hidden="false" customHeight="false" outlineLevel="0" collapsed="false">
      <c r="A1120" s="2" t="s">
        <v>618</v>
      </c>
      <c r="B1120" s="2" t="s">
        <v>108</v>
      </c>
      <c r="C1120" s="4" t="n">
        <v>1</v>
      </c>
      <c r="D1120" s="2" t="s">
        <v>437</v>
      </c>
      <c r="E1120" s="2" t="s">
        <v>375</v>
      </c>
      <c r="F1120" s="5" t="n">
        <f aca="false">INDEX('08_PEDIDOS'!$D$2:$D$97,MATCH(A1120,'08_PEDIDOS'!$A$2:$A$97,0))</f>
        <v>6</v>
      </c>
      <c r="G1120" s="5" t="n">
        <f aca="false">INDEX('08_PEDIDOS'!$H$2:$H$97,MATCH(A1120,'08_PEDIDOS'!$A$2:$A$97,0))</f>
        <v>10</v>
      </c>
      <c r="H1120" s="17" t="n">
        <f aca="false">SUMIFS('05_RUTAS'!$F$2:$F$407,'05_RUTAS'!$A$2:$A$407,B1120,'05_RUTAS'!$C$2:$C$407,C1120)</f>
        <v>8</v>
      </c>
      <c r="I1120" s="18" t="n">
        <f aca="false">SUMIFS('05_RUTAS'!$G$2:$G$407,'05_RUTAS'!$A$2:$A$407,B1120,'05_RUTAS'!$C$2:$C$407,C1120)</f>
        <v>57.14</v>
      </c>
      <c r="J1120" s="18" t="n">
        <f aca="false">(ROUNDUP(F1120/G1120,0)*H1120+F1120*I1120)/60</f>
        <v>5.84733333333333</v>
      </c>
      <c r="K1120" s="5" t="n">
        <f aca="false">MONTH(INDEX('08_PEDIDOS'!$F$2:$F$97,MATCH(A1120,'08_PEDIDOS'!$A$2:$A$97,0)))</f>
        <v>12</v>
      </c>
      <c r="L1120" s="16" t="n">
        <f aca="false">J1120*N(INDEX('04_MAQUINAS'!$F$2:$F$18,MATCH(E1120,'04_MAQUINAS'!$A$2:$A$18,0)))</f>
        <v>140.336</v>
      </c>
      <c r="M1120" s="17" t="n">
        <f aca="false">J1120*INDEX('04_MAQUINAS'!$G$2:$G$18,MATCH(E1120,'04_MAQUINAS'!$A$2:$A$18,0))*INDEX('04_MAQUINAS'!$H$2:$H$18,MATCH(E1120,'04_MAQUINAS'!$A$2:$A$18,0))</f>
        <v>16.0801666666667</v>
      </c>
      <c r="N1120" s="2" t="s">
        <v>629</v>
      </c>
    </row>
    <row r="1121" customFormat="false" ht="15" hidden="false" customHeight="false" outlineLevel="0" collapsed="false">
      <c r="A1121" s="2" t="s">
        <v>618</v>
      </c>
      <c r="B1121" s="2" t="s">
        <v>108</v>
      </c>
      <c r="C1121" s="4" t="n">
        <v>2</v>
      </c>
      <c r="D1121" s="2" t="s">
        <v>386</v>
      </c>
      <c r="E1121" s="2" t="s">
        <v>383</v>
      </c>
      <c r="F1121" s="5" t="n">
        <f aca="false">INDEX('08_PEDIDOS'!$D$2:$D$97,MATCH(A1121,'08_PEDIDOS'!$A$2:$A$97,0))</f>
        <v>6</v>
      </c>
      <c r="G1121" s="5" t="n">
        <f aca="false">INDEX('08_PEDIDOS'!$H$2:$H$97,MATCH(A1121,'08_PEDIDOS'!$A$2:$A$97,0))</f>
        <v>10</v>
      </c>
      <c r="H1121" s="17" t="n">
        <f aca="false">SUMIFS('05_RUTAS'!$F$2:$F$407,'05_RUTAS'!$A$2:$A$407,B1121,'05_RUTAS'!$C$2:$C$407,C1121)</f>
        <v>10</v>
      </c>
      <c r="I1121" s="18" t="n">
        <f aca="false">SUMIFS('05_RUTAS'!$G$2:$G$407,'05_RUTAS'!$A$2:$A$407,B1121,'05_RUTAS'!$C$2:$C$407,C1121)</f>
        <v>27</v>
      </c>
      <c r="J1121" s="18" t="n">
        <f aca="false">(ROUNDUP(F1121/G1121,0)*H1121+F1121*I1121)/60</f>
        <v>2.86666666666667</v>
      </c>
      <c r="K1121" s="5" t="n">
        <f aca="false">MONTH(INDEX('08_PEDIDOS'!$F$2:$F$97,MATCH(A1121,'08_PEDIDOS'!$A$2:$A$97,0)))</f>
        <v>12</v>
      </c>
      <c r="L1121" s="16" t="n">
        <f aca="false">J1121*N(INDEX('04_MAQUINAS'!$F$2:$F$18,MATCH(E1121,'04_MAQUINAS'!$A$2:$A$18,0)))</f>
        <v>63.0666666666667</v>
      </c>
      <c r="M1121" s="17" t="n">
        <f aca="false">J1121*INDEX('04_MAQUINAS'!$G$2:$G$18,MATCH(E1121,'04_MAQUINAS'!$A$2:$A$18,0))*INDEX('04_MAQUINAS'!$H$2:$H$18,MATCH(E1121,'04_MAQUINAS'!$A$2:$A$18,0))</f>
        <v>0.788333333333333</v>
      </c>
      <c r="N1121" s="2" t="s">
        <v>629</v>
      </c>
    </row>
    <row r="1122" customFormat="false" ht="15" hidden="false" customHeight="false" outlineLevel="0" collapsed="false">
      <c r="A1122" s="2" t="s">
        <v>618</v>
      </c>
      <c r="B1122" s="2" t="s">
        <v>108</v>
      </c>
      <c r="C1122" s="4" t="n">
        <v>3</v>
      </c>
      <c r="D1122" s="2" t="s">
        <v>390</v>
      </c>
      <c r="E1122" s="2" t="s">
        <v>387</v>
      </c>
      <c r="F1122" s="5" t="n">
        <f aca="false">INDEX('08_PEDIDOS'!$D$2:$D$97,MATCH(A1122,'08_PEDIDOS'!$A$2:$A$97,0))</f>
        <v>6</v>
      </c>
      <c r="G1122" s="5" t="n">
        <f aca="false">INDEX('08_PEDIDOS'!$H$2:$H$97,MATCH(A1122,'08_PEDIDOS'!$A$2:$A$97,0))</f>
        <v>10</v>
      </c>
      <c r="H1122" s="17" t="n">
        <f aca="false">SUMIFS('05_RUTAS'!$F$2:$F$407,'05_RUTAS'!$A$2:$A$407,B1122,'05_RUTAS'!$C$2:$C$407,C1122)</f>
        <v>12</v>
      </c>
      <c r="I1122" s="18" t="n">
        <f aca="false">SUMIFS('05_RUTAS'!$G$2:$G$407,'05_RUTAS'!$A$2:$A$407,B1122,'05_RUTAS'!$C$2:$C$407,C1122)</f>
        <v>149</v>
      </c>
      <c r="J1122" s="18" t="n">
        <f aca="false">(ROUNDUP(F1122/G1122,0)*H1122+F1122*I1122)/60</f>
        <v>15.1</v>
      </c>
      <c r="K1122" s="5" t="n">
        <f aca="false">MONTH(INDEX('08_PEDIDOS'!$F$2:$F$97,MATCH(A1122,'08_PEDIDOS'!$A$2:$A$97,0)))</f>
        <v>12</v>
      </c>
      <c r="L1122" s="16" t="n">
        <f aca="false">J1122*N(INDEX('04_MAQUINAS'!$F$2:$F$18,MATCH(E1122,'04_MAQUINAS'!$A$2:$A$18,0)))</f>
        <v>422.8</v>
      </c>
      <c r="M1122" s="17" t="n">
        <f aca="false">J1122*INDEX('04_MAQUINAS'!$G$2:$G$18,MATCH(E1122,'04_MAQUINAS'!$A$2:$A$18,0))*INDEX('04_MAQUINAS'!$H$2:$H$18,MATCH(E1122,'04_MAQUINAS'!$A$2:$A$18,0))</f>
        <v>37.3725</v>
      </c>
      <c r="N1122" s="2" t="s">
        <v>629</v>
      </c>
    </row>
    <row r="1123" customFormat="false" ht="15" hidden="false" customHeight="false" outlineLevel="0" collapsed="false">
      <c r="A1123" s="2" t="s">
        <v>618</v>
      </c>
      <c r="B1123" s="2" t="s">
        <v>108</v>
      </c>
      <c r="C1123" s="4" t="n">
        <v>4</v>
      </c>
      <c r="D1123" s="2" t="s">
        <v>443</v>
      </c>
      <c r="E1123" s="2" t="s">
        <v>395</v>
      </c>
      <c r="F1123" s="5" t="n">
        <f aca="false">INDEX('08_PEDIDOS'!$D$2:$D$97,MATCH(A1123,'08_PEDIDOS'!$A$2:$A$97,0))</f>
        <v>6</v>
      </c>
      <c r="G1123" s="5" t="n">
        <f aca="false">INDEX('08_PEDIDOS'!$H$2:$H$97,MATCH(A1123,'08_PEDIDOS'!$A$2:$A$97,0))</f>
        <v>10</v>
      </c>
      <c r="H1123" s="17" t="n">
        <f aca="false">SUMIFS('05_RUTAS'!$F$2:$F$407,'05_RUTAS'!$A$2:$A$407,B1123,'05_RUTAS'!$C$2:$C$407,C1123)</f>
        <v>3</v>
      </c>
      <c r="I1123" s="18" t="n">
        <f aca="false">SUMIFS('05_RUTAS'!$G$2:$G$407,'05_RUTAS'!$A$2:$A$407,B1123,'05_RUTAS'!$C$2:$C$407,C1123)</f>
        <v>25.5</v>
      </c>
      <c r="J1123" s="18" t="n">
        <f aca="false">(ROUNDUP(F1123/G1123,0)*H1123+F1123*I1123)/60</f>
        <v>2.6</v>
      </c>
      <c r="K1123" s="5" t="n">
        <f aca="false">MONTH(INDEX('08_PEDIDOS'!$F$2:$F$97,MATCH(A1123,'08_PEDIDOS'!$A$2:$A$97,0)))</f>
        <v>12</v>
      </c>
      <c r="L1123" s="16" t="n">
        <f aca="false">J1123*N(INDEX('04_MAQUINAS'!$F$2:$F$18,MATCH(E1123,'04_MAQUINAS'!$A$2:$A$18,0)))</f>
        <v>54.6</v>
      </c>
      <c r="M1123" s="17" t="n">
        <f aca="false">J1123*INDEX('04_MAQUINAS'!$G$2:$G$18,MATCH(E1123,'04_MAQUINAS'!$A$2:$A$18,0))*INDEX('04_MAQUINAS'!$H$2:$H$18,MATCH(E1123,'04_MAQUINAS'!$A$2:$A$18,0))</f>
        <v>1.95</v>
      </c>
      <c r="N1123" s="2" t="s">
        <v>629</v>
      </c>
    </row>
    <row r="1124" customFormat="false" ht="15" hidden="false" customHeight="false" outlineLevel="0" collapsed="false">
      <c r="A1124" s="2" t="s">
        <v>618</v>
      </c>
      <c r="B1124" s="2" t="s">
        <v>108</v>
      </c>
      <c r="C1124" s="4" t="n">
        <v>5</v>
      </c>
      <c r="D1124" s="2" t="s">
        <v>444</v>
      </c>
      <c r="E1124" s="2" t="s">
        <v>399</v>
      </c>
      <c r="F1124" s="5" t="n">
        <f aca="false">INDEX('08_PEDIDOS'!$D$2:$D$97,MATCH(A1124,'08_PEDIDOS'!$A$2:$A$97,0))</f>
        <v>6</v>
      </c>
      <c r="G1124" s="5" t="n">
        <f aca="false">INDEX('08_PEDIDOS'!$H$2:$H$97,MATCH(A1124,'08_PEDIDOS'!$A$2:$A$97,0))</f>
        <v>10</v>
      </c>
      <c r="H1124" s="17" t="n">
        <f aca="false">SUMIFS('05_RUTAS'!$F$2:$F$407,'05_RUTAS'!$A$2:$A$407,B1124,'05_RUTAS'!$C$2:$C$407,C1124)</f>
        <v>6</v>
      </c>
      <c r="I1124" s="18" t="n">
        <f aca="false">SUMIFS('05_RUTAS'!$G$2:$G$407,'05_RUTAS'!$A$2:$A$407,B1124,'05_RUTAS'!$C$2:$C$407,C1124)</f>
        <v>37.528</v>
      </c>
      <c r="J1124" s="18" t="n">
        <f aca="false">(ROUNDUP(F1124/G1124,0)*H1124+F1124*I1124)/60</f>
        <v>3.8528</v>
      </c>
      <c r="K1124" s="5" t="n">
        <f aca="false">MONTH(INDEX('08_PEDIDOS'!$F$2:$F$97,MATCH(A1124,'08_PEDIDOS'!$A$2:$A$97,0)))</f>
        <v>12</v>
      </c>
      <c r="L1124" s="16" t="n">
        <f aca="false">J1124*N(INDEX('04_MAQUINAS'!$F$2:$F$18,MATCH(E1124,'04_MAQUINAS'!$A$2:$A$18,0)))</f>
        <v>73.2032</v>
      </c>
      <c r="M1124" s="17" t="n">
        <f aca="false">J1124*INDEX('04_MAQUINAS'!$G$2:$G$18,MATCH(E1124,'04_MAQUINAS'!$A$2:$A$18,0))*INDEX('04_MAQUINAS'!$H$2:$H$18,MATCH(E1124,'04_MAQUINAS'!$A$2:$A$18,0))</f>
        <v>3.390464</v>
      </c>
      <c r="N1124" s="2" t="s">
        <v>629</v>
      </c>
    </row>
    <row r="1125" customFormat="false" ht="15" hidden="false" customHeight="false" outlineLevel="0" collapsed="false">
      <c r="A1125" s="2" t="s">
        <v>618</v>
      </c>
      <c r="B1125" s="2" t="s">
        <v>108</v>
      </c>
      <c r="C1125" s="4" t="n">
        <v>6</v>
      </c>
      <c r="D1125" s="2" t="s">
        <v>445</v>
      </c>
      <c r="E1125" s="2" t="s">
        <v>402</v>
      </c>
      <c r="F1125" s="5" t="n">
        <f aca="false">INDEX('08_PEDIDOS'!$D$2:$D$97,MATCH(A1125,'08_PEDIDOS'!$A$2:$A$97,0))</f>
        <v>6</v>
      </c>
      <c r="G1125" s="5" t="n">
        <f aca="false">INDEX('08_PEDIDOS'!$H$2:$H$97,MATCH(A1125,'08_PEDIDOS'!$A$2:$A$97,0))</f>
        <v>10</v>
      </c>
      <c r="H1125" s="17" t="n">
        <f aca="false">SUMIFS('05_RUTAS'!$F$2:$F$407,'05_RUTAS'!$A$2:$A$407,B1125,'05_RUTAS'!$C$2:$C$407,C1125)</f>
        <v>12</v>
      </c>
      <c r="I1125" s="18" t="n">
        <f aca="false">SUMIFS('05_RUTAS'!$G$2:$G$407,'05_RUTAS'!$A$2:$A$407,B1125,'05_RUTAS'!$C$2:$C$407,C1125)</f>
        <v>6.83</v>
      </c>
      <c r="J1125" s="18" t="n">
        <f aca="false">(ROUNDUP(F1125/G1125,0)*H1125+F1125*I1125)/60</f>
        <v>0.883</v>
      </c>
      <c r="K1125" s="5" t="n">
        <f aca="false">MONTH(INDEX('08_PEDIDOS'!$F$2:$F$97,MATCH(A1125,'08_PEDIDOS'!$A$2:$A$97,0)))</f>
        <v>12</v>
      </c>
      <c r="L1125" s="16" t="n">
        <f aca="false">J1125*N(INDEX('04_MAQUINAS'!$F$2:$F$18,MATCH(E1125,'04_MAQUINAS'!$A$2:$A$18,0)))</f>
        <v>28.256</v>
      </c>
      <c r="M1125" s="17" t="n">
        <f aca="false">J1125*INDEX('04_MAQUINAS'!$G$2:$G$18,MATCH(E1125,'04_MAQUINAS'!$A$2:$A$18,0))*INDEX('04_MAQUINAS'!$H$2:$H$18,MATCH(E1125,'04_MAQUINAS'!$A$2:$A$18,0))</f>
        <v>0.92715</v>
      </c>
      <c r="N1125" s="2" t="s">
        <v>629</v>
      </c>
    </row>
    <row r="1126" customFormat="false" ht="15" hidden="false" customHeight="false" outlineLevel="0" collapsed="false">
      <c r="A1126" s="2" t="s">
        <v>618</v>
      </c>
      <c r="B1126" s="2" t="s">
        <v>108</v>
      </c>
      <c r="C1126" s="4" t="n">
        <v>7</v>
      </c>
      <c r="D1126" s="2" t="s">
        <v>447</v>
      </c>
      <c r="E1126" s="2" t="s">
        <v>421</v>
      </c>
      <c r="F1126" s="5" t="n">
        <f aca="false">INDEX('08_PEDIDOS'!$D$2:$D$97,MATCH(A1126,'08_PEDIDOS'!$A$2:$A$97,0))</f>
        <v>6</v>
      </c>
      <c r="G1126" s="5" t="n">
        <f aca="false">INDEX('08_PEDIDOS'!$H$2:$H$97,MATCH(A1126,'08_PEDIDOS'!$A$2:$A$97,0))</f>
        <v>10</v>
      </c>
      <c r="H1126" s="17" t="n">
        <f aca="false">SUMIFS('05_RUTAS'!$F$2:$F$407,'05_RUTAS'!$A$2:$A$407,B1126,'05_RUTAS'!$C$2:$C$407,C1126)</f>
        <v>45</v>
      </c>
      <c r="I1126" s="18" t="n">
        <f aca="false">SUMIFS('05_RUTAS'!$G$2:$G$407,'05_RUTAS'!$A$2:$A$407,B1126,'05_RUTAS'!$C$2:$C$407,C1126)</f>
        <v>0</v>
      </c>
      <c r="J1126" s="18" t="n">
        <f aca="false">(ROUNDUP(F1126/G1126,0)*H1126+F1126*I1126)/60</f>
        <v>0.75</v>
      </c>
      <c r="K1126" s="5" t="n">
        <f aca="false">MONTH(INDEX('08_PEDIDOS'!$F$2:$F$97,MATCH(A1126,'08_PEDIDOS'!$A$2:$A$97,0)))</f>
        <v>12</v>
      </c>
      <c r="L1126" s="16" t="n">
        <f aca="false">J1126*N(INDEX('04_MAQUINAS'!$F$2:$F$18,MATCH(E1126,'04_MAQUINAS'!$A$2:$A$18,0)))</f>
        <v>19.5</v>
      </c>
      <c r="M1126" s="17" t="n">
        <f aca="false">J1126*INDEX('04_MAQUINAS'!$G$2:$G$18,MATCH(E1126,'04_MAQUINAS'!$A$2:$A$18,0))*INDEX('04_MAQUINAS'!$H$2:$H$18,MATCH(E1126,'04_MAQUINAS'!$A$2:$A$18,0))</f>
        <v>10.8</v>
      </c>
      <c r="N1126" s="2" t="s">
        <v>629</v>
      </c>
    </row>
    <row r="1127" customFormat="false" ht="15" hidden="false" customHeight="false" outlineLevel="0" collapsed="false">
      <c r="A1127" s="2" t="s">
        <v>618</v>
      </c>
      <c r="B1127" s="2" t="s">
        <v>108</v>
      </c>
      <c r="C1127" s="4" t="n">
        <v>8</v>
      </c>
      <c r="D1127" s="2" t="s">
        <v>449</v>
      </c>
      <c r="E1127" s="2" t="s">
        <v>423</v>
      </c>
      <c r="F1127" s="5" t="n">
        <f aca="false">INDEX('08_PEDIDOS'!$D$2:$D$97,MATCH(A1127,'08_PEDIDOS'!$A$2:$A$97,0))</f>
        <v>6</v>
      </c>
      <c r="G1127" s="5" t="n">
        <f aca="false">INDEX('08_PEDIDOS'!$H$2:$H$97,MATCH(A1127,'08_PEDIDOS'!$A$2:$A$97,0))</f>
        <v>10</v>
      </c>
      <c r="H1127" s="17" t="n">
        <f aca="false">SUMIFS('05_RUTAS'!$F$2:$F$407,'05_RUTAS'!$A$2:$A$407,B1127,'05_RUTAS'!$C$2:$C$407,C1127)</f>
        <v>8</v>
      </c>
      <c r="I1127" s="18" t="n">
        <f aca="false">SUMIFS('05_RUTAS'!$G$2:$G$407,'05_RUTAS'!$A$2:$A$407,B1127,'05_RUTAS'!$C$2:$C$407,C1127)</f>
        <v>2.42</v>
      </c>
      <c r="J1127" s="18" t="n">
        <f aca="false">(ROUNDUP(F1127/G1127,0)*H1127+F1127*I1127)/60</f>
        <v>0.375333333333333</v>
      </c>
      <c r="K1127" s="5" t="n">
        <f aca="false">MONTH(INDEX('08_PEDIDOS'!$F$2:$F$97,MATCH(A1127,'08_PEDIDOS'!$A$2:$A$97,0)))</f>
        <v>12</v>
      </c>
      <c r="L1127" s="16" t="n">
        <f aca="false">J1127*N(INDEX('04_MAQUINAS'!$F$2:$F$18,MATCH(E1127,'04_MAQUINAS'!$A$2:$A$18,0)))</f>
        <v>6.00533333333333</v>
      </c>
      <c r="M1127" s="17" t="n">
        <f aca="false">J1127*INDEX('04_MAQUINAS'!$G$2:$G$18,MATCH(E1127,'04_MAQUINAS'!$A$2:$A$18,0))*INDEX('04_MAQUINAS'!$H$2:$H$18,MATCH(E1127,'04_MAQUINAS'!$A$2:$A$18,0))</f>
        <v>0.0938333333333333</v>
      </c>
      <c r="N1127" s="2" t="s">
        <v>629</v>
      </c>
    </row>
    <row r="1128" customFormat="false" ht="15" hidden="false" customHeight="false" outlineLevel="0" collapsed="false">
      <c r="A1128" s="2" t="s">
        <v>618</v>
      </c>
      <c r="B1128" s="2" t="s">
        <v>108</v>
      </c>
      <c r="C1128" s="4" t="n">
        <v>9</v>
      </c>
      <c r="D1128" s="2" t="s">
        <v>450</v>
      </c>
      <c r="E1128" s="2" t="s">
        <v>406</v>
      </c>
      <c r="F1128" s="5" t="n">
        <f aca="false">INDEX('08_PEDIDOS'!$D$2:$D$97,MATCH(A1128,'08_PEDIDOS'!$A$2:$A$97,0))</f>
        <v>6</v>
      </c>
      <c r="G1128" s="5" t="n">
        <f aca="false">INDEX('08_PEDIDOS'!$H$2:$H$97,MATCH(A1128,'08_PEDIDOS'!$A$2:$A$97,0))</f>
        <v>10</v>
      </c>
      <c r="H1128" s="17" t="n">
        <f aca="false">SUMIFS('05_RUTAS'!$F$2:$F$407,'05_RUTAS'!$A$2:$A$407,B1128,'05_RUTAS'!$C$2:$C$407,C1128)</f>
        <v>6</v>
      </c>
      <c r="I1128" s="18" t="n">
        <f aca="false">SUMIFS('05_RUTAS'!$G$2:$G$407,'05_RUTAS'!$A$2:$A$407,B1128,'05_RUTAS'!$C$2:$C$407,C1128)</f>
        <v>56.25</v>
      </c>
      <c r="J1128" s="18" t="n">
        <f aca="false">(ROUNDUP(F1128/G1128,0)*H1128+F1128*I1128)/60</f>
        <v>5.725</v>
      </c>
      <c r="K1128" s="5" t="n">
        <f aca="false">MONTH(INDEX('08_PEDIDOS'!$F$2:$F$97,MATCH(A1128,'08_PEDIDOS'!$A$2:$A$97,0)))</f>
        <v>12</v>
      </c>
      <c r="L1128" s="16" t="n">
        <f aca="false">J1128*N(INDEX('04_MAQUINAS'!$F$2:$F$18,MATCH(E1128,'04_MAQUINAS'!$A$2:$A$18,0)))</f>
        <v>108.775</v>
      </c>
      <c r="M1128" s="17" t="n">
        <f aca="false">J1128*INDEX('04_MAQUINAS'!$G$2:$G$18,MATCH(E1128,'04_MAQUINAS'!$A$2:$A$18,0))*INDEX('04_MAQUINAS'!$H$2:$H$18,MATCH(E1128,'04_MAQUINAS'!$A$2:$A$18,0))</f>
        <v>1.7175</v>
      </c>
      <c r="N1128" s="2" t="s">
        <v>629</v>
      </c>
    </row>
    <row r="1129" customFormat="false" ht="15" hidden="false" customHeight="false" outlineLevel="0" collapsed="false">
      <c r="A1129" s="2" t="s">
        <v>618</v>
      </c>
      <c r="B1129" s="2" t="s">
        <v>108</v>
      </c>
      <c r="C1129" s="4" t="n">
        <v>10</v>
      </c>
      <c r="D1129" s="2" t="s">
        <v>451</v>
      </c>
      <c r="E1129" s="2" t="s">
        <v>408</v>
      </c>
      <c r="F1129" s="5" t="n">
        <f aca="false">INDEX('08_PEDIDOS'!$D$2:$D$97,MATCH(A1129,'08_PEDIDOS'!$A$2:$A$97,0))</f>
        <v>6</v>
      </c>
      <c r="G1129" s="5" t="n">
        <f aca="false">INDEX('08_PEDIDOS'!$H$2:$H$97,MATCH(A1129,'08_PEDIDOS'!$A$2:$A$97,0))</f>
        <v>10</v>
      </c>
      <c r="H1129" s="17" t="n">
        <f aca="false">SUMIFS('05_RUTAS'!$F$2:$F$407,'05_RUTAS'!$A$2:$A$407,B1129,'05_RUTAS'!$C$2:$C$407,C1129)</f>
        <v>2</v>
      </c>
      <c r="I1129" s="18" t="n">
        <f aca="false">SUMIFS('05_RUTAS'!$G$2:$G$407,'05_RUTAS'!$A$2:$A$407,B1129,'05_RUTAS'!$C$2:$C$407,C1129)</f>
        <v>3.52</v>
      </c>
      <c r="J1129" s="18" t="n">
        <f aca="false">(ROUNDUP(F1129/G1129,0)*H1129+F1129*I1129)/60</f>
        <v>0.385333333333333</v>
      </c>
      <c r="K1129" s="5" t="n">
        <f aca="false">MONTH(INDEX('08_PEDIDOS'!$F$2:$F$97,MATCH(A1129,'08_PEDIDOS'!$A$2:$A$97,0)))</f>
        <v>12</v>
      </c>
      <c r="L1129" s="16" t="n">
        <f aca="false">J1129*N(INDEX('04_MAQUINAS'!$F$2:$F$18,MATCH(E1129,'04_MAQUINAS'!$A$2:$A$18,0)))</f>
        <v>7.70666666666667</v>
      </c>
      <c r="M1129" s="17" t="n">
        <f aca="false">J1129*INDEX('04_MAQUINAS'!$G$2:$G$18,MATCH(E1129,'04_MAQUINAS'!$A$2:$A$18,0))*INDEX('04_MAQUINAS'!$H$2:$H$18,MATCH(E1129,'04_MAQUINAS'!$A$2:$A$18,0))</f>
        <v>0.0385333333333333</v>
      </c>
      <c r="N1129" s="2" t="s">
        <v>629</v>
      </c>
    </row>
    <row r="1130" customFormat="false" ht="15" hidden="false" customHeight="false" outlineLevel="0" collapsed="false">
      <c r="A1130" s="2" t="s">
        <v>618</v>
      </c>
      <c r="B1130" s="2" t="s">
        <v>108</v>
      </c>
      <c r="C1130" s="4" t="n">
        <v>11</v>
      </c>
      <c r="D1130" s="2" t="s">
        <v>452</v>
      </c>
      <c r="E1130" s="2" t="s">
        <v>411</v>
      </c>
      <c r="F1130" s="5" t="n">
        <f aca="false">INDEX('08_PEDIDOS'!$D$2:$D$97,MATCH(A1130,'08_PEDIDOS'!$A$2:$A$97,0))</f>
        <v>6</v>
      </c>
      <c r="G1130" s="5" t="n">
        <f aca="false">INDEX('08_PEDIDOS'!$H$2:$H$97,MATCH(A1130,'08_PEDIDOS'!$A$2:$A$97,0))</f>
        <v>10</v>
      </c>
      <c r="H1130" s="17" t="n">
        <f aca="false">SUMIFS('05_RUTAS'!$F$2:$F$407,'05_RUTAS'!$A$2:$A$407,B1130,'05_RUTAS'!$C$2:$C$407,C1130)</f>
        <v>2</v>
      </c>
      <c r="I1130" s="18" t="n">
        <f aca="false">SUMIFS('05_RUTAS'!$G$2:$G$407,'05_RUTAS'!$A$2:$A$407,B1130,'05_RUTAS'!$C$2:$C$407,C1130)</f>
        <v>4.78</v>
      </c>
      <c r="J1130" s="18" t="n">
        <f aca="false">(ROUNDUP(F1130/G1130,0)*H1130+F1130*I1130)/60</f>
        <v>0.511333333333333</v>
      </c>
      <c r="K1130" s="5" t="n">
        <f aca="false">MONTH(INDEX('08_PEDIDOS'!$F$2:$F$97,MATCH(A1130,'08_PEDIDOS'!$A$2:$A$97,0)))</f>
        <v>12</v>
      </c>
      <c r="L1130" s="16" t="n">
        <f aca="false">J1130*N(INDEX('04_MAQUINAS'!$F$2:$F$18,MATCH(E1130,'04_MAQUINAS'!$A$2:$A$18,0)))</f>
        <v>9.204</v>
      </c>
      <c r="M1130" s="17" t="n">
        <f aca="false">J1130*INDEX('04_MAQUINAS'!$G$2:$G$18,MATCH(E1130,'04_MAQUINAS'!$A$2:$A$18,0))*INDEX('04_MAQUINAS'!$H$2:$H$18,MATCH(E1130,'04_MAQUINAS'!$A$2:$A$18,0))</f>
        <v>0.04602</v>
      </c>
      <c r="N1130" s="2" t="s">
        <v>629</v>
      </c>
    </row>
    <row r="1131" customFormat="false" ht="15" hidden="false" customHeight="false" outlineLevel="0" collapsed="false">
      <c r="A1131" s="2" t="s">
        <v>619</v>
      </c>
      <c r="B1131" s="2" t="s">
        <v>119</v>
      </c>
      <c r="C1131" s="4" t="n">
        <v>1</v>
      </c>
      <c r="D1131" s="2" t="s">
        <v>437</v>
      </c>
      <c r="E1131" s="2" t="s">
        <v>375</v>
      </c>
      <c r="F1131" s="5" t="n">
        <f aca="false">INDEX('08_PEDIDOS'!$D$2:$D$97,MATCH(A1131,'08_PEDIDOS'!$A$2:$A$97,0))</f>
        <v>10</v>
      </c>
      <c r="G1131" s="5" t="n">
        <f aca="false">INDEX('08_PEDIDOS'!$H$2:$H$97,MATCH(A1131,'08_PEDIDOS'!$A$2:$A$97,0))</f>
        <v>10</v>
      </c>
      <c r="H1131" s="17" t="n">
        <f aca="false">SUMIFS('05_RUTAS'!$F$2:$F$407,'05_RUTAS'!$A$2:$A$407,B1131,'05_RUTAS'!$C$2:$C$407,C1131)</f>
        <v>8</v>
      </c>
      <c r="I1131" s="18" t="n">
        <f aca="false">SUMIFS('05_RUTAS'!$G$2:$G$407,'05_RUTAS'!$A$2:$A$407,B1131,'05_RUTAS'!$C$2:$C$407,C1131)</f>
        <v>35.56</v>
      </c>
      <c r="J1131" s="18" t="n">
        <f aca="false">(ROUNDUP(F1131/G1131,0)*H1131+F1131*I1131)/60</f>
        <v>6.06</v>
      </c>
      <c r="K1131" s="5" t="n">
        <f aca="false">MONTH(INDEX('08_PEDIDOS'!$F$2:$F$97,MATCH(A1131,'08_PEDIDOS'!$A$2:$A$97,0)))</f>
        <v>12</v>
      </c>
      <c r="L1131" s="16" t="n">
        <f aca="false">J1131*N(INDEX('04_MAQUINAS'!$F$2:$F$18,MATCH(E1131,'04_MAQUINAS'!$A$2:$A$18,0)))</f>
        <v>145.44</v>
      </c>
      <c r="M1131" s="17" t="n">
        <f aca="false">J1131*INDEX('04_MAQUINAS'!$G$2:$G$18,MATCH(E1131,'04_MAQUINAS'!$A$2:$A$18,0))*INDEX('04_MAQUINAS'!$H$2:$H$18,MATCH(E1131,'04_MAQUINAS'!$A$2:$A$18,0))</f>
        <v>16.665</v>
      </c>
      <c r="N1131" s="2" t="s">
        <v>629</v>
      </c>
    </row>
    <row r="1132" customFormat="false" ht="15" hidden="false" customHeight="false" outlineLevel="0" collapsed="false">
      <c r="A1132" s="2" t="s">
        <v>619</v>
      </c>
      <c r="B1132" s="2" t="s">
        <v>119</v>
      </c>
      <c r="C1132" s="4" t="n">
        <v>2</v>
      </c>
      <c r="D1132" s="2" t="s">
        <v>386</v>
      </c>
      <c r="E1132" s="2" t="s">
        <v>383</v>
      </c>
      <c r="F1132" s="5" t="n">
        <f aca="false">INDEX('08_PEDIDOS'!$D$2:$D$97,MATCH(A1132,'08_PEDIDOS'!$A$2:$A$97,0))</f>
        <v>10</v>
      </c>
      <c r="G1132" s="5" t="n">
        <f aca="false">INDEX('08_PEDIDOS'!$H$2:$H$97,MATCH(A1132,'08_PEDIDOS'!$A$2:$A$97,0))</f>
        <v>10</v>
      </c>
      <c r="H1132" s="17" t="n">
        <f aca="false">SUMIFS('05_RUTAS'!$F$2:$F$407,'05_RUTAS'!$A$2:$A$407,B1132,'05_RUTAS'!$C$2:$C$407,C1132)</f>
        <v>10</v>
      </c>
      <c r="I1132" s="18" t="n">
        <f aca="false">SUMIFS('05_RUTAS'!$G$2:$G$407,'05_RUTAS'!$A$2:$A$407,B1132,'05_RUTAS'!$C$2:$C$407,C1132)</f>
        <v>5.8</v>
      </c>
      <c r="J1132" s="18" t="n">
        <f aca="false">(ROUNDUP(F1132/G1132,0)*H1132+F1132*I1132)/60</f>
        <v>1.13333333333333</v>
      </c>
      <c r="K1132" s="5" t="n">
        <f aca="false">MONTH(INDEX('08_PEDIDOS'!$F$2:$F$97,MATCH(A1132,'08_PEDIDOS'!$A$2:$A$97,0)))</f>
        <v>12</v>
      </c>
      <c r="L1132" s="16" t="n">
        <f aca="false">J1132*N(INDEX('04_MAQUINAS'!$F$2:$F$18,MATCH(E1132,'04_MAQUINAS'!$A$2:$A$18,0)))</f>
        <v>24.9333333333333</v>
      </c>
      <c r="M1132" s="17" t="n">
        <f aca="false">J1132*INDEX('04_MAQUINAS'!$G$2:$G$18,MATCH(E1132,'04_MAQUINAS'!$A$2:$A$18,0))*INDEX('04_MAQUINAS'!$H$2:$H$18,MATCH(E1132,'04_MAQUINAS'!$A$2:$A$18,0))</f>
        <v>0.311666666666667</v>
      </c>
      <c r="N1132" s="2" t="s">
        <v>629</v>
      </c>
    </row>
    <row r="1133" customFormat="false" ht="15" hidden="false" customHeight="false" outlineLevel="0" collapsed="false">
      <c r="A1133" s="2" t="s">
        <v>619</v>
      </c>
      <c r="B1133" s="2" t="s">
        <v>119</v>
      </c>
      <c r="C1133" s="4" t="n">
        <v>3</v>
      </c>
      <c r="D1133" s="2" t="s">
        <v>390</v>
      </c>
      <c r="E1133" s="2" t="s">
        <v>387</v>
      </c>
      <c r="F1133" s="5" t="n">
        <f aca="false">INDEX('08_PEDIDOS'!$D$2:$D$97,MATCH(A1133,'08_PEDIDOS'!$A$2:$A$97,0))</f>
        <v>10</v>
      </c>
      <c r="G1133" s="5" t="n">
        <f aca="false">INDEX('08_PEDIDOS'!$H$2:$H$97,MATCH(A1133,'08_PEDIDOS'!$A$2:$A$97,0))</f>
        <v>10</v>
      </c>
      <c r="H1133" s="17" t="n">
        <f aca="false">SUMIFS('05_RUTAS'!$F$2:$F$407,'05_RUTAS'!$A$2:$A$407,B1133,'05_RUTAS'!$C$2:$C$407,C1133)</f>
        <v>12</v>
      </c>
      <c r="I1133" s="18" t="n">
        <f aca="false">SUMIFS('05_RUTAS'!$G$2:$G$407,'05_RUTAS'!$A$2:$A$407,B1133,'05_RUTAS'!$C$2:$C$407,C1133)</f>
        <v>86</v>
      </c>
      <c r="J1133" s="18" t="n">
        <f aca="false">(ROUNDUP(F1133/G1133,0)*H1133+F1133*I1133)/60</f>
        <v>14.5333333333333</v>
      </c>
      <c r="K1133" s="5" t="n">
        <f aca="false">MONTH(INDEX('08_PEDIDOS'!$F$2:$F$97,MATCH(A1133,'08_PEDIDOS'!$A$2:$A$97,0)))</f>
        <v>12</v>
      </c>
      <c r="L1133" s="16" t="n">
        <f aca="false">J1133*N(INDEX('04_MAQUINAS'!$F$2:$F$18,MATCH(E1133,'04_MAQUINAS'!$A$2:$A$18,0)))</f>
        <v>406.933333333333</v>
      </c>
      <c r="M1133" s="17" t="n">
        <f aca="false">J1133*INDEX('04_MAQUINAS'!$G$2:$G$18,MATCH(E1133,'04_MAQUINAS'!$A$2:$A$18,0))*INDEX('04_MAQUINAS'!$H$2:$H$18,MATCH(E1133,'04_MAQUINAS'!$A$2:$A$18,0))</f>
        <v>35.97</v>
      </c>
      <c r="N1133" s="2" t="s">
        <v>629</v>
      </c>
    </row>
    <row r="1134" customFormat="false" ht="15" hidden="false" customHeight="false" outlineLevel="0" collapsed="false">
      <c r="A1134" s="2" t="s">
        <v>619</v>
      </c>
      <c r="B1134" s="2" t="s">
        <v>119</v>
      </c>
      <c r="C1134" s="4" t="n">
        <v>4</v>
      </c>
      <c r="D1134" s="2" t="s">
        <v>443</v>
      </c>
      <c r="E1134" s="2" t="s">
        <v>395</v>
      </c>
      <c r="F1134" s="5" t="n">
        <f aca="false">INDEX('08_PEDIDOS'!$D$2:$D$97,MATCH(A1134,'08_PEDIDOS'!$A$2:$A$97,0))</f>
        <v>10</v>
      </c>
      <c r="G1134" s="5" t="n">
        <f aca="false">INDEX('08_PEDIDOS'!$H$2:$H$97,MATCH(A1134,'08_PEDIDOS'!$A$2:$A$97,0))</f>
        <v>10</v>
      </c>
      <c r="H1134" s="17" t="n">
        <f aca="false">SUMIFS('05_RUTAS'!$F$2:$F$407,'05_RUTAS'!$A$2:$A$407,B1134,'05_RUTAS'!$C$2:$C$407,C1134)</f>
        <v>3</v>
      </c>
      <c r="I1134" s="18" t="n">
        <f aca="false">SUMIFS('05_RUTAS'!$G$2:$G$407,'05_RUTAS'!$A$2:$A$407,B1134,'05_RUTAS'!$C$2:$C$407,C1134)</f>
        <v>15</v>
      </c>
      <c r="J1134" s="18" t="n">
        <f aca="false">(ROUNDUP(F1134/G1134,0)*H1134+F1134*I1134)/60</f>
        <v>2.55</v>
      </c>
      <c r="K1134" s="5" t="n">
        <f aca="false">MONTH(INDEX('08_PEDIDOS'!$F$2:$F$97,MATCH(A1134,'08_PEDIDOS'!$A$2:$A$97,0)))</f>
        <v>12</v>
      </c>
      <c r="L1134" s="16" t="n">
        <f aca="false">J1134*N(INDEX('04_MAQUINAS'!$F$2:$F$18,MATCH(E1134,'04_MAQUINAS'!$A$2:$A$18,0)))</f>
        <v>53.55</v>
      </c>
      <c r="M1134" s="17" t="n">
        <f aca="false">J1134*INDEX('04_MAQUINAS'!$G$2:$G$18,MATCH(E1134,'04_MAQUINAS'!$A$2:$A$18,0))*INDEX('04_MAQUINAS'!$H$2:$H$18,MATCH(E1134,'04_MAQUINAS'!$A$2:$A$18,0))</f>
        <v>1.9125</v>
      </c>
      <c r="N1134" s="2" t="s">
        <v>629</v>
      </c>
    </row>
    <row r="1135" customFormat="false" ht="15" hidden="false" customHeight="false" outlineLevel="0" collapsed="false">
      <c r="A1135" s="2" t="s">
        <v>619</v>
      </c>
      <c r="B1135" s="2" t="s">
        <v>119</v>
      </c>
      <c r="C1135" s="4" t="n">
        <v>5</v>
      </c>
      <c r="D1135" s="2" t="s">
        <v>444</v>
      </c>
      <c r="E1135" s="2" t="s">
        <v>399</v>
      </c>
      <c r="F1135" s="5" t="n">
        <f aca="false">INDEX('08_PEDIDOS'!$D$2:$D$97,MATCH(A1135,'08_PEDIDOS'!$A$2:$A$97,0))</f>
        <v>10</v>
      </c>
      <c r="G1135" s="5" t="n">
        <f aca="false">INDEX('08_PEDIDOS'!$H$2:$H$97,MATCH(A1135,'08_PEDIDOS'!$A$2:$A$97,0))</f>
        <v>10</v>
      </c>
      <c r="H1135" s="17" t="n">
        <f aca="false">SUMIFS('05_RUTAS'!$F$2:$F$407,'05_RUTAS'!$A$2:$A$407,B1135,'05_RUTAS'!$C$2:$C$407,C1135)</f>
        <v>6</v>
      </c>
      <c r="I1135" s="18" t="n">
        <f aca="false">SUMIFS('05_RUTAS'!$G$2:$G$407,'05_RUTAS'!$A$2:$A$407,B1135,'05_RUTAS'!$C$2:$C$407,C1135)</f>
        <v>25.712</v>
      </c>
      <c r="J1135" s="18" t="n">
        <f aca="false">(ROUNDUP(F1135/G1135,0)*H1135+F1135*I1135)/60</f>
        <v>4.38533333333333</v>
      </c>
      <c r="K1135" s="5" t="n">
        <f aca="false">MONTH(INDEX('08_PEDIDOS'!$F$2:$F$97,MATCH(A1135,'08_PEDIDOS'!$A$2:$A$97,0)))</f>
        <v>12</v>
      </c>
      <c r="L1135" s="16" t="n">
        <f aca="false">J1135*N(INDEX('04_MAQUINAS'!$F$2:$F$18,MATCH(E1135,'04_MAQUINAS'!$A$2:$A$18,0)))</f>
        <v>83.3213333333333</v>
      </c>
      <c r="M1135" s="17" t="n">
        <f aca="false">J1135*INDEX('04_MAQUINAS'!$G$2:$G$18,MATCH(E1135,'04_MAQUINAS'!$A$2:$A$18,0))*INDEX('04_MAQUINAS'!$H$2:$H$18,MATCH(E1135,'04_MAQUINAS'!$A$2:$A$18,0))</f>
        <v>3.85909333333333</v>
      </c>
      <c r="N1135" s="2" t="s">
        <v>629</v>
      </c>
    </row>
    <row r="1136" customFormat="false" ht="15" hidden="false" customHeight="false" outlineLevel="0" collapsed="false">
      <c r="A1136" s="2" t="s">
        <v>619</v>
      </c>
      <c r="B1136" s="2" t="s">
        <v>119</v>
      </c>
      <c r="C1136" s="4" t="n">
        <v>6</v>
      </c>
      <c r="D1136" s="2" t="s">
        <v>445</v>
      </c>
      <c r="E1136" s="2" t="s">
        <v>402</v>
      </c>
      <c r="F1136" s="5" t="n">
        <f aca="false">INDEX('08_PEDIDOS'!$D$2:$D$97,MATCH(A1136,'08_PEDIDOS'!$A$2:$A$97,0))</f>
        <v>10</v>
      </c>
      <c r="G1136" s="5" t="n">
        <f aca="false">INDEX('08_PEDIDOS'!$H$2:$H$97,MATCH(A1136,'08_PEDIDOS'!$A$2:$A$97,0))</f>
        <v>10</v>
      </c>
      <c r="H1136" s="17" t="n">
        <f aca="false">SUMIFS('05_RUTAS'!$F$2:$F$407,'05_RUTAS'!$A$2:$A$407,B1136,'05_RUTAS'!$C$2:$C$407,C1136)</f>
        <v>12</v>
      </c>
      <c r="I1136" s="18" t="n">
        <f aca="false">SUMIFS('05_RUTAS'!$G$2:$G$407,'05_RUTAS'!$A$2:$A$407,B1136,'05_RUTAS'!$C$2:$C$407,C1136)</f>
        <v>6.58</v>
      </c>
      <c r="J1136" s="18" t="n">
        <f aca="false">(ROUNDUP(F1136/G1136,0)*H1136+F1136*I1136)/60</f>
        <v>1.29666666666667</v>
      </c>
      <c r="K1136" s="5" t="n">
        <f aca="false">MONTH(INDEX('08_PEDIDOS'!$F$2:$F$97,MATCH(A1136,'08_PEDIDOS'!$A$2:$A$97,0)))</f>
        <v>12</v>
      </c>
      <c r="L1136" s="16" t="n">
        <f aca="false">J1136*N(INDEX('04_MAQUINAS'!$F$2:$F$18,MATCH(E1136,'04_MAQUINAS'!$A$2:$A$18,0)))</f>
        <v>41.4933333333333</v>
      </c>
      <c r="M1136" s="17" t="n">
        <f aca="false">J1136*INDEX('04_MAQUINAS'!$G$2:$G$18,MATCH(E1136,'04_MAQUINAS'!$A$2:$A$18,0))*INDEX('04_MAQUINAS'!$H$2:$H$18,MATCH(E1136,'04_MAQUINAS'!$A$2:$A$18,0))</f>
        <v>1.3615</v>
      </c>
      <c r="N1136" s="2" t="s">
        <v>629</v>
      </c>
    </row>
    <row r="1137" customFormat="false" ht="15" hidden="false" customHeight="false" outlineLevel="0" collapsed="false">
      <c r="A1137" s="2" t="s">
        <v>619</v>
      </c>
      <c r="B1137" s="2" t="s">
        <v>119</v>
      </c>
      <c r="C1137" s="4" t="n">
        <v>7</v>
      </c>
      <c r="D1137" s="2" t="s">
        <v>447</v>
      </c>
      <c r="E1137" s="2" t="s">
        <v>421</v>
      </c>
      <c r="F1137" s="5" t="n">
        <f aca="false">INDEX('08_PEDIDOS'!$D$2:$D$97,MATCH(A1137,'08_PEDIDOS'!$A$2:$A$97,0))</f>
        <v>10</v>
      </c>
      <c r="G1137" s="5" t="n">
        <f aca="false">INDEX('08_PEDIDOS'!$H$2:$H$97,MATCH(A1137,'08_PEDIDOS'!$A$2:$A$97,0))</f>
        <v>10</v>
      </c>
      <c r="H1137" s="17" t="n">
        <f aca="false">SUMIFS('05_RUTAS'!$F$2:$F$407,'05_RUTAS'!$A$2:$A$407,B1137,'05_RUTAS'!$C$2:$C$407,C1137)</f>
        <v>45</v>
      </c>
      <c r="I1137" s="18" t="n">
        <f aca="false">SUMIFS('05_RUTAS'!$G$2:$G$407,'05_RUTAS'!$A$2:$A$407,B1137,'05_RUTAS'!$C$2:$C$407,C1137)</f>
        <v>0</v>
      </c>
      <c r="J1137" s="18" t="n">
        <f aca="false">(ROUNDUP(F1137/G1137,0)*H1137+F1137*I1137)/60</f>
        <v>0.75</v>
      </c>
      <c r="K1137" s="5" t="n">
        <f aca="false">MONTH(INDEX('08_PEDIDOS'!$F$2:$F$97,MATCH(A1137,'08_PEDIDOS'!$A$2:$A$97,0)))</f>
        <v>12</v>
      </c>
      <c r="L1137" s="16" t="n">
        <f aca="false">J1137*N(INDEX('04_MAQUINAS'!$F$2:$F$18,MATCH(E1137,'04_MAQUINAS'!$A$2:$A$18,0)))</f>
        <v>19.5</v>
      </c>
      <c r="M1137" s="17" t="n">
        <f aca="false">J1137*INDEX('04_MAQUINAS'!$G$2:$G$18,MATCH(E1137,'04_MAQUINAS'!$A$2:$A$18,0))*INDEX('04_MAQUINAS'!$H$2:$H$18,MATCH(E1137,'04_MAQUINAS'!$A$2:$A$18,0))</f>
        <v>10.8</v>
      </c>
      <c r="N1137" s="2" t="s">
        <v>629</v>
      </c>
    </row>
    <row r="1138" customFormat="false" ht="15" hidden="false" customHeight="false" outlineLevel="0" collapsed="false">
      <c r="A1138" s="2" t="s">
        <v>619</v>
      </c>
      <c r="B1138" s="2" t="s">
        <v>119</v>
      </c>
      <c r="C1138" s="4" t="n">
        <v>8</v>
      </c>
      <c r="D1138" s="2" t="s">
        <v>449</v>
      </c>
      <c r="E1138" s="2" t="s">
        <v>423</v>
      </c>
      <c r="F1138" s="5" t="n">
        <f aca="false">INDEX('08_PEDIDOS'!$D$2:$D$97,MATCH(A1138,'08_PEDIDOS'!$A$2:$A$97,0))</f>
        <v>10</v>
      </c>
      <c r="G1138" s="5" t="n">
        <f aca="false">INDEX('08_PEDIDOS'!$H$2:$H$97,MATCH(A1138,'08_PEDIDOS'!$A$2:$A$97,0))</f>
        <v>10</v>
      </c>
      <c r="H1138" s="17" t="n">
        <f aca="false">SUMIFS('05_RUTAS'!$F$2:$F$407,'05_RUTAS'!$A$2:$A$407,B1138,'05_RUTAS'!$C$2:$C$407,C1138)</f>
        <v>8</v>
      </c>
      <c r="I1138" s="18" t="n">
        <f aca="false">SUMIFS('05_RUTAS'!$G$2:$G$407,'05_RUTAS'!$A$2:$A$407,B1138,'05_RUTAS'!$C$2:$C$407,C1138)</f>
        <v>2.36</v>
      </c>
      <c r="J1138" s="18" t="n">
        <f aca="false">(ROUNDUP(F1138/G1138,0)*H1138+F1138*I1138)/60</f>
        <v>0.526666666666667</v>
      </c>
      <c r="K1138" s="5" t="n">
        <f aca="false">MONTH(INDEX('08_PEDIDOS'!$F$2:$F$97,MATCH(A1138,'08_PEDIDOS'!$A$2:$A$97,0)))</f>
        <v>12</v>
      </c>
      <c r="L1138" s="16" t="n">
        <f aca="false">J1138*N(INDEX('04_MAQUINAS'!$F$2:$F$18,MATCH(E1138,'04_MAQUINAS'!$A$2:$A$18,0)))</f>
        <v>8.42666666666667</v>
      </c>
      <c r="M1138" s="17" t="n">
        <f aca="false">J1138*INDEX('04_MAQUINAS'!$G$2:$G$18,MATCH(E1138,'04_MAQUINAS'!$A$2:$A$18,0))*INDEX('04_MAQUINAS'!$H$2:$H$18,MATCH(E1138,'04_MAQUINAS'!$A$2:$A$18,0))</f>
        <v>0.131666666666667</v>
      </c>
      <c r="N1138" s="2" t="s">
        <v>629</v>
      </c>
    </row>
    <row r="1139" customFormat="false" ht="15" hidden="false" customHeight="false" outlineLevel="0" collapsed="false">
      <c r="A1139" s="2" t="s">
        <v>619</v>
      </c>
      <c r="B1139" s="2" t="s">
        <v>119</v>
      </c>
      <c r="C1139" s="4" t="n">
        <v>9</v>
      </c>
      <c r="D1139" s="2" t="s">
        <v>450</v>
      </c>
      <c r="E1139" s="2" t="s">
        <v>406</v>
      </c>
      <c r="F1139" s="5" t="n">
        <f aca="false">INDEX('08_PEDIDOS'!$D$2:$D$97,MATCH(A1139,'08_PEDIDOS'!$A$2:$A$97,0))</f>
        <v>10</v>
      </c>
      <c r="G1139" s="5" t="n">
        <f aca="false">INDEX('08_PEDIDOS'!$H$2:$H$97,MATCH(A1139,'08_PEDIDOS'!$A$2:$A$97,0))</f>
        <v>10</v>
      </c>
      <c r="H1139" s="17" t="n">
        <f aca="false">SUMIFS('05_RUTAS'!$F$2:$F$407,'05_RUTAS'!$A$2:$A$407,B1139,'05_RUTAS'!$C$2:$C$407,C1139)</f>
        <v>6</v>
      </c>
      <c r="I1139" s="18" t="n">
        <f aca="false">SUMIFS('05_RUTAS'!$G$2:$G$407,'05_RUTAS'!$A$2:$A$407,B1139,'05_RUTAS'!$C$2:$C$407,C1139)</f>
        <v>27</v>
      </c>
      <c r="J1139" s="18" t="n">
        <f aca="false">(ROUNDUP(F1139/G1139,0)*H1139+F1139*I1139)/60</f>
        <v>4.6</v>
      </c>
      <c r="K1139" s="5" t="n">
        <f aca="false">MONTH(INDEX('08_PEDIDOS'!$F$2:$F$97,MATCH(A1139,'08_PEDIDOS'!$A$2:$A$97,0)))</f>
        <v>12</v>
      </c>
      <c r="L1139" s="16" t="n">
        <f aca="false">J1139*N(INDEX('04_MAQUINAS'!$F$2:$F$18,MATCH(E1139,'04_MAQUINAS'!$A$2:$A$18,0)))</f>
        <v>87.4</v>
      </c>
      <c r="M1139" s="17" t="n">
        <f aca="false">J1139*INDEX('04_MAQUINAS'!$G$2:$G$18,MATCH(E1139,'04_MAQUINAS'!$A$2:$A$18,0))*INDEX('04_MAQUINAS'!$H$2:$H$18,MATCH(E1139,'04_MAQUINAS'!$A$2:$A$18,0))</f>
        <v>1.38</v>
      </c>
      <c r="N1139" s="2" t="s">
        <v>629</v>
      </c>
    </row>
    <row r="1140" customFormat="false" ht="15" hidden="false" customHeight="false" outlineLevel="0" collapsed="false">
      <c r="A1140" s="2" t="s">
        <v>619</v>
      </c>
      <c r="B1140" s="2" t="s">
        <v>119</v>
      </c>
      <c r="C1140" s="4" t="n">
        <v>10</v>
      </c>
      <c r="D1140" s="2" t="s">
        <v>451</v>
      </c>
      <c r="E1140" s="2" t="s">
        <v>408</v>
      </c>
      <c r="F1140" s="5" t="n">
        <f aca="false">INDEX('08_PEDIDOS'!$D$2:$D$97,MATCH(A1140,'08_PEDIDOS'!$A$2:$A$97,0))</f>
        <v>10</v>
      </c>
      <c r="G1140" s="5" t="n">
        <f aca="false">INDEX('08_PEDIDOS'!$H$2:$H$97,MATCH(A1140,'08_PEDIDOS'!$A$2:$A$97,0))</f>
        <v>10</v>
      </c>
      <c r="H1140" s="17" t="n">
        <f aca="false">SUMIFS('05_RUTAS'!$F$2:$F$407,'05_RUTAS'!$A$2:$A$407,B1140,'05_RUTAS'!$C$2:$C$407,C1140)</f>
        <v>2</v>
      </c>
      <c r="I1140" s="18" t="n">
        <f aca="false">SUMIFS('05_RUTAS'!$G$2:$G$407,'05_RUTAS'!$A$2:$A$407,B1140,'05_RUTAS'!$C$2:$C$407,C1140)</f>
        <v>3.45</v>
      </c>
      <c r="J1140" s="18" t="n">
        <f aca="false">(ROUNDUP(F1140/G1140,0)*H1140+F1140*I1140)/60</f>
        <v>0.608333333333333</v>
      </c>
      <c r="K1140" s="5" t="n">
        <f aca="false">MONTH(INDEX('08_PEDIDOS'!$F$2:$F$97,MATCH(A1140,'08_PEDIDOS'!$A$2:$A$97,0)))</f>
        <v>12</v>
      </c>
      <c r="L1140" s="16" t="n">
        <f aca="false">J1140*N(INDEX('04_MAQUINAS'!$F$2:$F$18,MATCH(E1140,'04_MAQUINAS'!$A$2:$A$18,0)))</f>
        <v>12.1666666666667</v>
      </c>
      <c r="M1140" s="17" t="n">
        <f aca="false">J1140*INDEX('04_MAQUINAS'!$G$2:$G$18,MATCH(E1140,'04_MAQUINAS'!$A$2:$A$18,0))*INDEX('04_MAQUINAS'!$H$2:$H$18,MATCH(E1140,'04_MAQUINAS'!$A$2:$A$18,0))</f>
        <v>0.0608333333333333</v>
      </c>
      <c r="N1140" s="2" t="s">
        <v>629</v>
      </c>
    </row>
    <row r="1141" customFormat="false" ht="15" hidden="false" customHeight="false" outlineLevel="0" collapsed="false">
      <c r="A1141" s="2" t="s">
        <v>619</v>
      </c>
      <c r="B1141" s="2" t="s">
        <v>119</v>
      </c>
      <c r="C1141" s="4" t="n">
        <v>11</v>
      </c>
      <c r="D1141" s="2" t="s">
        <v>452</v>
      </c>
      <c r="E1141" s="2" t="s">
        <v>411</v>
      </c>
      <c r="F1141" s="5" t="n">
        <f aca="false">INDEX('08_PEDIDOS'!$D$2:$D$97,MATCH(A1141,'08_PEDIDOS'!$A$2:$A$97,0))</f>
        <v>10</v>
      </c>
      <c r="G1141" s="5" t="n">
        <f aca="false">INDEX('08_PEDIDOS'!$H$2:$H$97,MATCH(A1141,'08_PEDIDOS'!$A$2:$A$97,0))</f>
        <v>10</v>
      </c>
      <c r="H1141" s="17" t="n">
        <f aca="false">SUMIFS('05_RUTAS'!$F$2:$F$407,'05_RUTAS'!$A$2:$A$407,B1141,'05_RUTAS'!$C$2:$C$407,C1141)</f>
        <v>2</v>
      </c>
      <c r="I1141" s="18" t="n">
        <f aca="false">SUMIFS('05_RUTAS'!$G$2:$G$407,'05_RUTAS'!$A$2:$A$407,B1141,'05_RUTAS'!$C$2:$C$407,C1141)</f>
        <v>4.67</v>
      </c>
      <c r="J1141" s="18" t="n">
        <f aca="false">(ROUNDUP(F1141/G1141,0)*H1141+F1141*I1141)/60</f>
        <v>0.811666666666667</v>
      </c>
      <c r="K1141" s="5" t="n">
        <f aca="false">MONTH(INDEX('08_PEDIDOS'!$F$2:$F$97,MATCH(A1141,'08_PEDIDOS'!$A$2:$A$97,0)))</f>
        <v>12</v>
      </c>
      <c r="L1141" s="16" t="n">
        <f aca="false">J1141*N(INDEX('04_MAQUINAS'!$F$2:$F$18,MATCH(E1141,'04_MAQUINAS'!$A$2:$A$18,0)))</f>
        <v>14.61</v>
      </c>
      <c r="M1141" s="17" t="n">
        <f aca="false">J1141*INDEX('04_MAQUINAS'!$G$2:$G$18,MATCH(E1141,'04_MAQUINAS'!$A$2:$A$18,0))*INDEX('04_MAQUINAS'!$H$2:$H$18,MATCH(E1141,'04_MAQUINAS'!$A$2:$A$18,0))</f>
        <v>0.07305</v>
      </c>
      <c r="N1141" s="2" t="s">
        <v>629</v>
      </c>
    </row>
    <row r="1142" customFormat="false" ht="15" hidden="false" customHeight="false" outlineLevel="0" collapsed="false">
      <c r="A1142" s="2" t="s">
        <v>620</v>
      </c>
      <c r="B1142" s="2" t="s">
        <v>121</v>
      </c>
      <c r="C1142" s="4" t="n">
        <v>1</v>
      </c>
      <c r="D1142" s="2" t="s">
        <v>437</v>
      </c>
      <c r="E1142" s="2" t="s">
        <v>375</v>
      </c>
      <c r="F1142" s="5" t="n">
        <f aca="false">INDEX('08_PEDIDOS'!$D$2:$D$97,MATCH(A1142,'08_PEDIDOS'!$A$2:$A$97,0))</f>
        <v>10</v>
      </c>
      <c r="G1142" s="5" t="n">
        <f aca="false">INDEX('08_PEDIDOS'!$H$2:$H$97,MATCH(A1142,'08_PEDIDOS'!$A$2:$A$97,0))</f>
        <v>10</v>
      </c>
      <c r="H1142" s="17" t="n">
        <f aca="false">SUMIFS('05_RUTAS'!$F$2:$F$407,'05_RUTAS'!$A$2:$A$407,B1142,'05_RUTAS'!$C$2:$C$407,C1142)</f>
        <v>8</v>
      </c>
      <c r="I1142" s="18" t="n">
        <f aca="false">SUMIFS('05_RUTAS'!$G$2:$G$407,'05_RUTAS'!$A$2:$A$407,B1142,'05_RUTAS'!$C$2:$C$407,C1142)</f>
        <v>35.92</v>
      </c>
      <c r="J1142" s="18" t="n">
        <f aca="false">(ROUNDUP(F1142/G1142,0)*H1142+F1142*I1142)/60</f>
        <v>6.12</v>
      </c>
      <c r="K1142" s="5" t="n">
        <f aca="false">MONTH(INDEX('08_PEDIDOS'!$F$2:$F$97,MATCH(A1142,'08_PEDIDOS'!$A$2:$A$97,0)))</f>
        <v>12</v>
      </c>
      <c r="L1142" s="16" t="n">
        <f aca="false">J1142*N(INDEX('04_MAQUINAS'!$F$2:$F$18,MATCH(E1142,'04_MAQUINAS'!$A$2:$A$18,0)))</f>
        <v>146.88</v>
      </c>
      <c r="M1142" s="17" t="n">
        <f aca="false">J1142*INDEX('04_MAQUINAS'!$G$2:$G$18,MATCH(E1142,'04_MAQUINAS'!$A$2:$A$18,0))*INDEX('04_MAQUINAS'!$H$2:$H$18,MATCH(E1142,'04_MAQUINAS'!$A$2:$A$18,0))</f>
        <v>16.83</v>
      </c>
      <c r="N1142" s="2" t="s">
        <v>629</v>
      </c>
    </row>
    <row r="1143" customFormat="false" ht="15" hidden="false" customHeight="false" outlineLevel="0" collapsed="false">
      <c r="A1143" s="2" t="s">
        <v>620</v>
      </c>
      <c r="B1143" s="2" t="s">
        <v>121</v>
      </c>
      <c r="C1143" s="4" t="n">
        <v>2</v>
      </c>
      <c r="D1143" s="2" t="s">
        <v>441</v>
      </c>
      <c r="E1143" s="2" t="s">
        <v>380</v>
      </c>
      <c r="F1143" s="5" t="n">
        <f aca="false">INDEX('08_PEDIDOS'!$D$2:$D$97,MATCH(A1143,'08_PEDIDOS'!$A$2:$A$97,0))</f>
        <v>10</v>
      </c>
      <c r="G1143" s="5" t="n">
        <f aca="false">INDEX('08_PEDIDOS'!$H$2:$H$97,MATCH(A1143,'08_PEDIDOS'!$A$2:$A$97,0))</f>
        <v>10</v>
      </c>
      <c r="H1143" s="17" t="n">
        <f aca="false">SUMIFS('05_RUTAS'!$F$2:$F$407,'05_RUTAS'!$A$2:$A$407,B1143,'05_RUTAS'!$C$2:$C$407,C1143)</f>
        <v>8</v>
      </c>
      <c r="I1143" s="18" t="n">
        <f aca="false">SUMIFS('05_RUTAS'!$G$2:$G$407,'05_RUTAS'!$A$2:$A$407,B1143,'05_RUTAS'!$C$2:$C$407,C1143)</f>
        <v>32.28</v>
      </c>
      <c r="J1143" s="18" t="n">
        <f aca="false">(ROUNDUP(F1143/G1143,0)*H1143+F1143*I1143)/60</f>
        <v>5.51333333333333</v>
      </c>
      <c r="K1143" s="5" t="n">
        <f aca="false">MONTH(INDEX('08_PEDIDOS'!$F$2:$F$97,MATCH(A1143,'08_PEDIDOS'!$A$2:$A$97,0)))</f>
        <v>12</v>
      </c>
      <c r="L1143" s="16" t="n">
        <f aca="false">J1143*N(INDEX('04_MAQUINAS'!$F$2:$F$18,MATCH(E1143,'04_MAQUINAS'!$A$2:$A$18,0)))</f>
        <v>121.293333333333</v>
      </c>
      <c r="M1143" s="17" t="n">
        <f aca="false">J1143*INDEX('04_MAQUINAS'!$G$2:$G$18,MATCH(E1143,'04_MAQUINAS'!$A$2:$A$18,0))*INDEX('04_MAQUINAS'!$H$2:$H$18,MATCH(E1143,'04_MAQUINAS'!$A$2:$A$18,0))</f>
        <v>2.481</v>
      </c>
      <c r="N1143" s="2" t="s">
        <v>629</v>
      </c>
    </row>
    <row r="1144" customFormat="false" ht="15" hidden="false" customHeight="false" outlineLevel="0" collapsed="false">
      <c r="A1144" s="2" t="s">
        <v>620</v>
      </c>
      <c r="B1144" s="2" t="s">
        <v>121</v>
      </c>
      <c r="C1144" s="4" t="n">
        <v>3</v>
      </c>
      <c r="D1144" s="2" t="s">
        <v>386</v>
      </c>
      <c r="E1144" s="2" t="s">
        <v>383</v>
      </c>
      <c r="F1144" s="5" t="n">
        <f aca="false">INDEX('08_PEDIDOS'!$D$2:$D$97,MATCH(A1144,'08_PEDIDOS'!$A$2:$A$97,0))</f>
        <v>10</v>
      </c>
      <c r="G1144" s="5" t="n">
        <f aca="false">INDEX('08_PEDIDOS'!$H$2:$H$97,MATCH(A1144,'08_PEDIDOS'!$A$2:$A$97,0))</f>
        <v>10</v>
      </c>
      <c r="H1144" s="17" t="n">
        <f aca="false">SUMIFS('05_RUTAS'!$F$2:$F$407,'05_RUTAS'!$A$2:$A$407,B1144,'05_RUTAS'!$C$2:$C$407,C1144)</f>
        <v>10</v>
      </c>
      <c r="I1144" s="18" t="n">
        <f aca="false">SUMIFS('05_RUTAS'!$G$2:$G$407,'05_RUTAS'!$A$2:$A$407,B1144,'05_RUTAS'!$C$2:$C$407,C1144)</f>
        <v>54.8</v>
      </c>
      <c r="J1144" s="18" t="n">
        <f aca="false">(ROUNDUP(F1144/G1144,0)*H1144+F1144*I1144)/60</f>
        <v>9.3</v>
      </c>
      <c r="K1144" s="5" t="n">
        <f aca="false">MONTH(INDEX('08_PEDIDOS'!$F$2:$F$97,MATCH(A1144,'08_PEDIDOS'!$A$2:$A$97,0)))</f>
        <v>12</v>
      </c>
      <c r="L1144" s="16" t="n">
        <f aca="false">J1144*N(INDEX('04_MAQUINAS'!$F$2:$F$18,MATCH(E1144,'04_MAQUINAS'!$A$2:$A$18,0)))</f>
        <v>204.6</v>
      </c>
      <c r="M1144" s="17" t="n">
        <f aca="false">J1144*INDEX('04_MAQUINAS'!$G$2:$G$18,MATCH(E1144,'04_MAQUINAS'!$A$2:$A$18,0))*INDEX('04_MAQUINAS'!$H$2:$H$18,MATCH(E1144,'04_MAQUINAS'!$A$2:$A$18,0))</f>
        <v>2.5575</v>
      </c>
      <c r="N1144" s="2" t="s">
        <v>629</v>
      </c>
    </row>
    <row r="1145" customFormat="false" ht="15" hidden="false" customHeight="false" outlineLevel="0" collapsed="false">
      <c r="A1145" s="2" t="s">
        <v>620</v>
      </c>
      <c r="B1145" s="2" t="s">
        <v>121</v>
      </c>
      <c r="C1145" s="4" t="n">
        <v>4</v>
      </c>
      <c r="D1145" s="2" t="s">
        <v>390</v>
      </c>
      <c r="E1145" s="2" t="s">
        <v>387</v>
      </c>
      <c r="F1145" s="5" t="n">
        <f aca="false">INDEX('08_PEDIDOS'!$D$2:$D$97,MATCH(A1145,'08_PEDIDOS'!$A$2:$A$97,0))</f>
        <v>10</v>
      </c>
      <c r="G1145" s="5" t="n">
        <f aca="false">INDEX('08_PEDIDOS'!$H$2:$H$97,MATCH(A1145,'08_PEDIDOS'!$A$2:$A$97,0))</f>
        <v>10</v>
      </c>
      <c r="H1145" s="17" t="n">
        <f aca="false">SUMIFS('05_RUTAS'!$F$2:$F$407,'05_RUTAS'!$A$2:$A$407,B1145,'05_RUTAS'!$C$2:$C$407,C1145)</f>
        <v>12</v>
      </c>
      <c r="I1145" s="18" t="n">
        <f aca="false">SUMIFS('05_RUTAS'!$G$2:$G$407,'05_RUTAS'!$A$2:$A$407,B1145,'05_RUTAS'!$C$2:$C$407,C1145)</f>
        <v>85</v>
      </c>
      <c r="J1145" s="18" t="n">
        <f aca="false">(ROUNDUP(F1145/G1145,0)*H1145+F1145*I1145)/60</f>
        <v>14.3666666666667</v>
      </c>
      <c r="K1145" s="5" t="n">
        <f aca="false">MONTH(INDEX('08_PEDIDOS'!$F$2:$F$97,MATCH(A1145,'08_PEDIDOS'!$A$2:$A$97,0)))</f>
        <v>12</v>
      </c>
      <c r="L1145" s="16" t="n">
        <f aca="false">J1145*N(INDEX('04_MAQUINAS'!$F$2:$F$18,MATCH(E1145,'04_MAQUINAS'!$A$2:$A$18,0)))</f>
        <v>402.266666666667</v>
      </c>
      <c r="M1145" s="17" t="n">
        <f aca="false">J1145*INDEX('04_MAQUINAS'!$G$2:$G$18,MATCH(E1145,'04_MAQUINAS'!$A$2:$A$18,0))*INDEX('04_MAQUINAS'!$H$2:$H$18,MATCH(E1145,'04_MAQUINAS'!$A$2:$A$18,0))</f>
        <v>35.5575</v>
      </c>
      <c r="N1145" s="2" t="s">
        <v>629</v>
      </c>
    </row>
    <row r="1146" customFormat="false" ht="15" hidden="false" customHeight="false" outlineLevel="0" collapsed="false">
      <c r="A1146" s="2" t="s">
        <v>620</v>
      </c>
      <c r="B1146" s="2" t="s">
        <v>121</v>
      </c>
      <c r="C1146" s="4" t="n">
        <v>5</v>
      </c>
      <c r="D1146" s="2" t="s">
        <v>443</v>
      </c>
      <c r="E1146" s="2" t="s">
        <v>395</v>
      </c>
      <c r="F1146" s="5" t="n">
        <f aca="false">INDEX('08_PEDIDOS'!$D$2:$D$97,MATCH(A1146,'08_PEDIDOS'!$A$2:$A$97,0))</f>
        <v>10</v>
      </c>
      <c r="G1146" s="5" t="n">
        <f aca="false">INDEX('08_PEDIDOS'!$H$2:$H$97,MATCH(A1146,'08_PEDIDOS'!$A$2:$A$97,0))</f>
        <v>10</v>
      </c>
      <c r="H1146" s="17" t="n">
        <f aca="false">SUMIFS('05_RUTAS'!$F$2:$F$407,'05_RUTAS'!$A$2:$A$407,B1146,'05_RUTAS'!$C$2:$C$407,C1146)</f>
        <v>3</v>
      </c>
      <c r="I1146" s="18" t="n">
        <f aca="false">SUMIFS('05_RUTAS'!$G$2:$G$407,'05_RUTAS'!$A$2:$A$407,B1146,'05_RUTAS'!$C$2:$C$407,C1146)</f>
        <v>37.5</v>
      </c>
      <c r="J1146" s="18" t="n">
        <f aca="false">(ROUNDUP(F1146/G1146,0)*H1146+F1146*I1146)/60</f>
        <v>6.3</v>
      </c>
      <c r="K1146" s="5" t="n">
        <f aca="false">MONTH(INDEX('08_PEDIDOS'!$F$2:$F$97,MATCH(A1146,'08_PEDIDOS'!$A$2:$A$97,0)))</f>
        <v>12</v>
      </c>
      <c r="L1146" s="16" t="n">
        <f aca="false">J1146*N(INDEX('04_MAQUINAS'!$F$2:$F$18,MATCH(E1146,'04_MAQUINAS'!$A$2:$A$18,0)))</f>
        <v>132.3</v>
      </c>
      <c r="M1146" s="17" t="n">
        <f aca="false">J1146*INDEX('04_MAQUINAS'!$G$2:$G$18,MATCH(E1146,'04_MAQUINAS'!$A$2:$A$18,0))*INDEX('04_MAQUINAS'!$H$2:$H$18,MATCH(E1146,'04_MAQUINAS'!$A$2:$A$18,0))</f>
        <v>4.725</v>
      </c>
      <c r="N1146" s="2" t="s">
        <v>629</v>
      </c>
    </row>
    <row r="1147" customFormat="false" ht="15" hidden="false" customHeight="false" outlineLevel="0" collapsed="false">
      <c r="A1147" s="2" t="s">
        <v>620</v>
      </c>
      <c r="B1147" s="2" t="s">
        <v>121</v>
      </c>
      <c r="C1147" s="4" t="n">
        <v>6</v>
      </c>
      <c r="D1147" s="2" t="s">
        <v>444</v>
      </c>
      <c r="E1147" s="2" t="s">
        <v>399</v>
      </c>
      <c r="F1147" s="5" t="n">
        <f aca="false">INDEX('08_PEDIDOS'!$D$2:$D$97,MATCH(A1147,'08_PEDIDOS'!$A$2:$A$97,0))</f>
        <v>10</v>
      </c>
      <c r="G1147" s="5" t="n">
        <f aca="false">INDEX('08_PEDIDOS'!$H$2:$H$97,MATCH(A1147,'08_PEDIDOS'!$A$2:$A$97,0))</f>
        <v>10</v>
      </c>
      <c r="H1147" s="17" t="n">
        <f aca="false">SUMIFS('05_RUTAS'!$F$2:$F$407,'05_RUTAS'!$A$2:$A$407,B1147,'05_RUTAS'!$C$2:$C$407,C1147)</f>
        <v>6</v>
      </c>
      <c r="I1147" s="18" t="n">
        <f aca="false">SUMIFS('05_RUTAS'!$G$2:$G$407,'05_RUTAS'!$A$2:$A$407,B1147,'05_RUTAS'!$C$2:$C$407,C1147)</f>
        <v>24.4752</v>
      </c>
      <c r="J1147" s="18" t="n">
        <f aca="false">(ROUNDUP(F1147/G1147,0)*H1147+F1147*I1147)/60</f>
        <v>4.1792</v>
      </c>
      <c r="K1147" s="5" t="n">
        <f aca="false">MONTH(INDEX('08_PEDIDOS'!$F$2:$F$97,MATCH(A1147,'08_PEDIDOS'!$A$2:$A$97,0)))</f>
        <v>12</v>
      </c>
      <c r="L1147" s="16" t="n">
        <f aca="false">J1147*N(INDEX('04_MAQUINAS'!$F$2:$F$18,MATCH(E1147,'04_MAQUINAS'!$A$2:$A$18,0)))</f>
        <v>79.4048</v>
      </c>
      <c r="M1147" s="17" t="n">
        <f aca="false">J1147*INDEX('04_MAQUINAS'!$G$2:$G$18,MATCH(E1147,'04_MAQUINAS'!$A$2:$A$18,0))*INDEX('04_MAQUINAS'!$H$2:$H$18,MATCH(E1147,'04_MAQUINAS'!$A$2:$A$18,0))</f>
        <v>3.677696</v>
      </c>
      <c r="N1147" s="2" t="s">
        <v>629</v>
      </c>
    </row>
    <row r="1148" customFormat="false" ht="15" hidden="false" customHeight="false" outlineLevel="0" collapsed="false">
      <c r="A1148" s="2" t="s">
        <v>620</v>
      </c>
      <c r="B1148" s="2" t="s">
        <v>121</v>
      </c>
      <c r="C1148" s="4" t="n">
        <v>7</v>
      </c>
      <c r="D1148" s="2" t="s">
        <v>445</v>
      </c>
      <c r="E1148" s="2" t="s">
        <v>402</v>
      </c>
      <c r="F1148" s="5" t="n">
        <f aca="false">INDEX('08_PEDIDOS'!$D$2:$D$97,MATCH(A1148,'08_PEDIDOS'!$A$2:$A$97,0))</f>
        <v>10</v>
      </c>
      <c r="G1148" s="5" t="n">
        <f aca="false">INDEX('08_PEDIDOS'!$H$2:$H$97,MATCH(A1148,'08_PEDIDOS'!$A$2:$A$97,0))</f>
        <v>10</v>
      </c>
      <c r="H1148" s="17" t="n">
        <f aca="false">SUMIFS('05_RUTAS'!$F$2:$F$407,'05_RUTAS'!$A$2:$A$407,B1148,'05_RUTAS'!$C$2:$C$407,C1148)</f>
        <v>12</v>
      </c>
      <c r="I1148" s="18" t="n">
        <f aca="false">SUMIFS('05_RUTAS'!$G$2:$G$407,'05_RUTAS'!$A$2:$A$407,B1148,'05_RUTAS'!$C$2:$C$407,C1148)</f>
        <v>6.58</v>
      </c>
      <c r="J1148" s="18" t="n">
        <f aca="false">(ROUNDUP(F1148/G1148,0)*H1148+F1148*I1148)/60</f>
        <v>1.29666666666667</v>
      </c>
      <c r="K1148" s="5" t="n">
        <f aca="false">MONTH(INDEX('08_PEDIDOS'!$F$2:$F$97,MATCH(A1148,'08_PEDIDOS'!$A$2:$A$97,0)))</f>
        <v>12</v>
      </c>
      <c r="L1148" s="16" t="n">
        <f aca="false">J1148*N(INDEX('04_MAQUINAS'!$F$2:$F$18,MATCH(E1148,'04_MAQUINAS'!$A$2:$A$18,0)))</f>
        <v>41.4933333333333</v>
      </c>
      <c r="M1148" s="17" t="n">
        <f aca="false">J1148*INDEX('04_MAQUINAS'!$G$2:$G$18,MATCH(E1148,'04_MAQUINAS'!$A$2:$A$18,0))*INDEX('04_MAQUINAS'!$H$2:$H$18,MATCH(E1148,'04_MAQUINAS'!$A$2:$A$18,0))</f>
        <v>1.3615</v>
      </c>
      <c r="N1148" s="2" t="s">
        <v>629</v>
      </c>
    </row>
    <row r="1149" customFormat="false" ht="15" hidden="false" customHeight="false" outlineLevel="0" collapsed="false">
      <c r="A1149" s="2" t="s">
        <v>620</v>
      </c>
      <c r="B1149" s="2" t="s">
        <v>121</v>
      </c>
      <c r="C1149" s="4" t="n">
        <v>8</v>
      </c>
      <c r="D1149" s="2" t="s">
        <v>447</v>
      </c>
      <c r="E1149" s="2" t="s">
        <v>421</v>
      </c>
      <c r="F1149" s="5" t="n">
        <f aca="false">INDEX('08_PEDIDOS'!$D$2:$D$97,MATCH(A1149,'08_PEDIDOS'!$A$2:$A$97,0))</f>
        <v>10</v>
      </c>
      <c r="G1149" s="5" t="n">
        <f aca="false">INDEX('08_PEDIDOS'!$H$2:$H$97,MATCH(A1149,'08_PEDIDOS'!$A$2:$A$97,0))</f>
        <v>10</v>
      </c>
      <c r="H1149" s="17" t="n">
        <f aca="false">SUMIFS('05_RUTAS'!$F$2:$F$407,'05_RUTAS'!$A$2:$A$407,B1149,'05_RUTAS'!$C$2:$C$407,C1149)</f>
        <v>45</v>
      </c>
      <c r="I1149" s="18" t="n">
        <f aca="false">SUMIFS('05_RUTAS'!$G$2:$G$407,'05_RUTAS'!$A$2:$A$407,B1149,'05_RUTAS'!$C$2:$C$407,C1149)</f>
        <v>0</v>
      </c>
      <c r="J1149" s="18" t="n">
        <f aca="false">(ROUNDUP(F1149/G1149,0)*H1149+F1149*I1149)/60</f>
        <v>0.75</v>
      </c>
      <c r="K1149" s="5" t="n">
        <f aca="false">MONTH(INDEX('08_PEDIDOS'!$F$2:$F$97,MATCH(A1149,'08_PEDIDOS'!$A$2:$A$97,0)))</f>
        <v>12</v>
      </c>
      <c r="L1149" s="16" t="n">
        <f aca="false">J1149*N(INDEX('04_MAQUINAS'!$F$2:$F$18,MATCH(E1149,'04_MAQUINAS'!$A$2:$A$18,0)))</f>
        <v>19.5</v>
      </c>
      <c r="M1149" s="17" t="n">
        <f aca="false">J1149*INDEX('04_MAQUINAS'!$G$2:$G$18,MATCH(E1149,'04_MAQUINAS'!$A$2:$A$18,0))*INDEX('04_MAQUINAS'!$H$2:$H$18,MATCH(E1149,'04_MAQUINAS'!$A$2:$A$18,0))</f>
        <v>10.8</v>
      </c>
      <c r="N1149" s="2" t="s">
        <v>629</v>
      </c>
    </row>
    <row r="1150" customFormat="false" ht="15" hidden="false" customHeight="false" outlineLevel="0" collapsed="false">
      <c r="A1150" s="2" t="s">
        <v>620</v>
      </c>
      <c r="B1150" s="2" t="s">
        <v>121</v>
      </c>
      <c r="C1150" s="4" t="n">
        <v>9</v>
      </c>
      <c r="D1150" s="2" t="s">
        <v>449</v>
      </c>
      <c r="E1150" s="2" t="s">
        <v>423</v>
      </c>
      <c r="F1150" s="5" t="n">
        <f aca="false">INDEX('08_PEDIDOS'!$D$2:$D$97,MATCH(A1150,'08_PEDIDOS'!$A$2:$A$97,0))</f>
        <v>10</v>
      </c>
      <c r="G1150" s="5" t="n">
        <f aca="false">INDEX('08_PEDIDOS'!$H$2:$H$97,MATCH(A1150,'08_PEDIDOS'!$A$2:$A$97,0))</f>
        <v>10</v>
      </c>
      <c r="H1150" s="17" t="n">
        <f aca="false">SUMIFS('05_RUTAS'!$F$2:$F$407,'05_RUTAS'!$A$2:$A$407,B1150,'05_RUTAS'!$C$2:$C$407,C1150)</f>
        <v>8</v>
      </c>
      <c r="I1150" s="18" t="n">
        <f aca="false">SUMIFS('05_RUTAS'!$G$2:$G$407,'05_RUTAS'!$A$2:$A$407,B1150,'05_RUTAS'!$C$2:$C$407,C1150)</f>
        <v>2.36</v>
      </c>
      <c r="J1150" s="18" t="n">
        <f aca="false">(ROUNDUP(F1150/G1150,0)*H1150+F1150*I1150)/60</f>
        <v>0.526666666666667</v>
      </c>
      <c r="K1150" s="5" t="n">
        <f aca="false">MONTH(INDEX('08_PEDIDOS'!$F$2:$F$97,MATCH(A1150,'08_PEDIDOS'!$A$2:$A$97,0)))</f>
        <v>12</v>
      </c>
      <c r="L1150" s="16" t="n">
        <f aca="false">J1150*N(INDEX('04_MAQUINAS'!$F$2:$F$18,MATCH(E1150,'04_MAQUINAS'!$A$2:$A$18,0)))</f>
        <v>8.42666666666667</v>
      </c>
      <c r="M1150" s="17" t="n">
        <f aca="false">J1150*INDEX('04_MAQUINAS'!$G$2:$G$18,MATCH(E1150,'04_MAQUINAS'!$A$2:$A$18,0))*INDEX('04_MAQUINAS'!$H$2:$H$18,MATCH(E1150,'04_MAQUINAS'!$A$2:$A$18,0))</f>
        <v>0.131666666666667</v>
      </c>
      <c r="N1150" s="2" t="s">
        <v>629</v>
      </c>
    </row>
    <row r="1151" customFormat="false" ht="15" hidden="false" customHeight="false" outlineLevel="0" collapsed="false">
      <c r="A1151" s="2" t="s">
        <v>620</v>
      </c>
      <c r="B1151" s="2" t="s">
        <v>121</v>
      </c>
      <c r="C1151" s="4" t="n">
        <v>10</v>
      </c>
      <c r="D1151" s="2" t="s">
        <v>450</v>
      </c>
      <c r="E1151" s="2" t="s">
        <v>406</v>
      </c>
      <c r="F1151" s="5" t="n">
        <f aca="false">INDEX('08_PEDIDOS'!$D$2:$D$97,MATCH(A1151,'08_PEDIDOS'!$A$2:$A$97,0))</f>
        <v>10</v>
      </c>
      <c r="G1151" s="5" t="n">
        <f aca="false">INDEX('08_PEDIDOS'!$H$2:$H$97,MATCH(A1151,'08_PEDIDOS'!$A$2:$A$97,0))</f>
        <v>10</v>
      </c>
      <c r="H1151" s="17" t="n">
        <f aca="false">SUMIFS('05_RUTAS'!$F$2:$F$407,'05_RUTAS'!$A$2:$A$407,B1151,'05_RUTAS'!$C$2:$C$407,C1151)</f>
        <v>6</v>
      </c>
      <c r="I1151" s="18" t="n">
        <f aca="false">SUMIFS('05_RUTAS'!$G$2:$G$407,'05_RUTAS'!$A$2:$A$407,B1151,'05_RUTAS'!$C$2:$C$407,C1151)</f>
        <v>61.5</v>
      </c>
      <c r="J1151" s="18" t="n">
        <f aca="false">(ROUNDUP(F1151/G1151,0)*H1151+F1151*I1151)/60</f>
        <v>10.35</v>
      </c>
      <c r="K1151" s="5" t="n">
        <f aca="false">MONTH(INDEX('08_PEDIDOS'!$F$2:$F$97,MATCH(A1151,'08_PEDIDOS'!$A$2:$A$97,0)))</f>
        <v>12</v>
      </c>
      <c r="L1151" s="16" t="n">
        <f aca="false">J1151*N(INDEX('04_MAQUINAS'!$F$2:$F$18,MATCH(E1151,'04_MAQUINAS'!$A$2:$A$18,0)))</f>
        <v>196.65</v>
      </c>
      <c r="M1151" s="17" t="n">
        <f aca="false">J1151*INDEX('04_MAQUINAS'!$G$2:$G$18,MATCH(E1151,'04_MAQUINAS'!$A$2:$A$18,0))*INDEX('04_MAQUINAS'!$H$2:$H$18,MATCH(E1151,'04_MAQUINAS'!$A$2:$A$18,0))</f>
        <v>3.105</v>
      </c>
      <c r="N1151" s="2" t="s">
        <v>629</v>
      </c>
    </row>
    <row r="1152" customFormat="false" ht="15" hidden="false" customHeight="false" outlineLevel="0" collapsed="false">
      <c r="A1152" s="2" t="s">
        <v>620</v>
      </c>
      <c r="B1152" s="2" t="s">
        <v>121</v>
      </c>
      <c r="C1152" s="4" t="n">
        <v>11</v>
      </c>
      <c r="D1152" s="2" t="s">
        <v>451</v>
      </c>
      <c r="E1152" s="2" t="s">
        <v>408</v>
      </c>
      <c r="F1152" s="5" t="n">
        <f aca="false">INDEX('08_PEDIDOS'!$D$2:$D$97,MATCH(A1152,'08_PEDIDOS'!$A$2:$A$97,0))</f>
        <v>10</v>
      </c>
      <c r="G1152" s="5" t="n">
        <f aca="false">INDEX('08_PEDIDOS'!$H$2:$H$97,MATCH(A1152,'08_PEDIDOS'!$A$2:$A$97,0))</f>
        <v>10</v>
      </c>
      <c r="H1152" s="17" t="n">
        <f aca="false">SUMIFS('05_RUTAS'!$F$2:$F$407,'05_RUTAS'!$A$2:$A$407,B1152,'05_RUTAS'!$C$2:$C$407,C1152)</f>
        <v>2</v>
      </c>
      <c r="I1152" s="18" t="n">
        <f aca="false">SUMIFS('05_RUTAS'!$G$2:$G$407,'05_RUTAS'!$A$2:$A$407,B1152,'05_RUTAS'!$C$2:$C$407,C1152)</f>
        <v>3.45</v>
      </c>
      <c r="J1152" s="18" t="n">
        <f aca="false">(ROUNDUP(F1152/G1152,0)*H1152+F1152*I1152)/60</f>
        <v>0.608333333333333</v>
      </c>
      <c r="K1152" s="5" t="n">
        <f aca="false">MONTH(INDEX('08_PEDIDOS'!$F$2:$F$97,MATCH(A1152,'08_PEDIDOS'!$A$2:$A$97,0)))</f>
        <v>12</v>
      </c>
      <c r="L1152" s="16" t="n">
        <f aca="false">J1152*N(INDEX('04_MAQUINAS'!$F$2:$F$18,MATCH(E1152,'04_MAQUINAS'!$A$2:$A$18,0)))</f>
        <v>12.1666666666667</v>
      </c>
      <c r="M1152" s="17" t="n">
        <f aca="false">J1152*INDEX('04_MAQUINAS'!$G$2:$G$18,MATCH(E1152,'04_MAQUINAS'!$A$2:$A$18,0))*INDEX('04_MAQUINAS'!$H$2:$H$18,MATCH(E1152,'04_MAQUINAS'!$A$2:$A$18,0))</f>
        <v>0.0608333333333333</v>
      </c>
      <c r="N1152" s="2" t="s">
        <v>629</v>
      </c>
    </row>
    <row r="1153" customFormat="false" ht="15" hidden="false" customHeight="false" outlineLevel="0" collapsed="false">
      <c r="A1153" s="2" t="s">
        <v>620</v>
      </c>
      <c r="B1153" s="2" t="s">
        <v>121</v>
      </c>
      <c r="C1153" s="4" t="n">
        <v>12</v>
      </c>
      <c r="D1153" s="2" t="s">
        <v>452</v>
      </c>
      <c r="E1153" s="2" t="s">
        <v>411</v>
      </c>
      <c r="F1153" s="5" t="n">
        <f aca="false">INDEX('08_PEDIDOS'!$D$2:$D$97,MATCH(A1153,'08_PEDIDOS'!$A$2:$A$97,0))</f>
        <v>10</v>
      </c>
      <c r="G1153" s="5" t="n">
        <f aca="false">INDEX('08_PEDIDOS'!$H$2:$H$97,MATCH(A1153,'08_PEDIDOS'!$A$2:$A$97,0))</f>
        <v>10</v>
      </c>
      <c r="H1153" s="17" t="n">
        <f aca="false">SUMIFS('05_RUTAS'!$F$2:$F$407,'05_RUTAS'!$A$2:$A$407,B1153,'05_RUTAS'!$C$2:$C$407,C1153)</f>
        <v>2</v>
      </c>
      <c r="I1153" s="18" t="n">
        <f aca="false">SUMIFS('05_RUTAS'!$G$2:$G$407,'05_RUTAS'!$A$2:$A$407,B1153,'05_RUTAS'!$C$2:$C$407,C1153)</f>
        <v>4.67</v>
      </c>
      <c r="J1153" s="18" t="n">
        <f aca="false">(ROUNDUP(F1153/G1153,0)*H1153+F1153*I1153)/60</f>
        <v>0.811666666666667</v>
      </c>
      <c r="K1153" s="5" t="n">
        <f aca="false">MONTH(INDEX('08_PEDIDOS'!$F$2:$F$97,MATCH(A1153,'08_PEDIDOS'!$A$2:$A$97,0)))</f>
        <v>12</v>
      </c>
      <c r="L1153" s="16" t="n">
        <f aca="false">J1153*N(INDEX('04_MAQUINAS'!$F$2:$F$18,MATCH(E1153,'04_MAQUINAS'!$A$2:$A$18,0)))</f>
        <v>14.61</v>
      </c>
      <c r="M1153" s="17" t="n">
        <f aca="false">J1153*INDEX('04_MAQUINAS'!$G$2:$G$18,MATCH(E1153,'04_MAQUINAS'!$A$2:$A$18,0))*INDEX('04_MAQUINAS'!$H$2:$H$18,MATCH(E1153,'04_MAQUINAS'!$A$2:$A$18,0))</f>
        <v>0.07305</v>
      </c>
      <c r="N1153" s="2" t="s">
        <v>629</v>
      </c>
    </row>
  </sheetData>
  <autoFilter ref="A1:N115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95959"/>
    <pageSetUpPr fitToPage="false"/>
  </sheetPr>
  <dimension ref="A1:M6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28"/>
    <col collapsed="false" customWidth="true" hidden="false" outlineLevel="0" max="4" min="4" style="0" width="44"/>
    <col collapsed="false" customWidth="true" hidden="false" outlineLevel="0" max="6" min="5" style="0" width="9"/>
    <col collapsed="false" customWidth="true" hidden="false" outlineLevel="0" max="7" min="7" style="0" width="10"/>
    <col collapsed="false" customWidth="true" hidden="false" outlineLevel="0" max="9" min="8" style="0" width="12"/>
    <col collapsed="false" customWidth="true" hidden="false" outlineLevel="0" max="11" min="10" style="0" width="11"/>
    <col collapsed="false" customWidth="true" hidden="false" outlineLevel="0" max="12" min="12" style="0" width="9"/>
    <col collapsed="false" customWidth="true" hidden="false" outlineLevel="0" max="13" min="13" style="0" width="12"/>
  </cols>
  <sheetData>
    <row r="1" customFormat="false" ht="31.5" hidden="false" customHeight="true" outlineLevel="0" collapsed="false">
      <c r="A1" s="1" t="s">
        <v>509</v>
      </c>
      <c r="B1" s="1" t="s">
        <v>272</v>
      </c>
      <c r="C1" s="1" t="s">
        <v>273</v>
      </c>
      <c r="D1" s="1" t="s">
        <v>274</v>
      </c>
      <c r="E1" s="1" t="s">
        <v>630</v>
      </c>
      <c r="F1" s="1" t="s">
        <v>631</v>
      </c>
      <c r="G1" s="1" t="s">
        <v>632</v>
      </c>
      <c r="H1" s="1" t="s">
        <v>633</v>
      </c>
      <c r="I1" s="1" t="s">
        <v>634</v>
      </c>
      <c r="J1" s="1" t="s">
        <v>635</v>
      </c>
      <c r="K1" s="1" t="s">
        <v>636</v>
      </c>
      <c r="L1" s="1" t="s">
        <v>283</v>
      </c>
      <c r="M1" s="1" t="s">
        <v>64</v>
      </c>
    </row>
    <row r="2" customFormat="false" ht="15" hidden="false" customHeight="false" outlineLevel="0" collapsed="false">
      <c r="A2" s="2" t="s">
        <v>525</v>
      </c>
      <c r="B2" s="2" t="s">
        <v>80</v>
      </c>
      <c r="C2" s="2" t="s">
        <v>285</v>
      </c>
      <c r="D2" s="2" t="s">
        <v>184</v>
      </c>
      <c r="E2" s="5" t="n">
        <f aca="false">INDEX('08_PEDIDOS'!$D$2:$D$97,MATCH(A2,'08_PEDIDOS'!$A$2:$A$97,0))</f>
        <v>12</v>
      </c>
      <c r="F2" s="5" t="n">
        <f aca="false">SUMIFS('03_DESPIECE'!$D$2:$D$225,'03_DESPIECE'!$A$2:$A$225,B2,'03_DESPIECE'!$B$2:$B$225,C2)</f>
        <v>4</v>
      </c>
      <c r="G2" s="5" t="n">
        <f aca="false">E2*F2</f>
        <v>48</v>
      </c>
      <c r="H2" s="16" t="n">
        <f aca="false">SUMIFS('03_DESPIECE'!$J$2:$J$225,'03_DESPIECE'!$A$2:$A$225,B2,'03_DESPIECE'!$B$2:$B$225,C2)</f>
        <v>68.625</v>
      </c>
      <c r="I2" s="16" t="n">
        <f aca="false">E2*H2</f>
        <v>823.5</v>
      </c>
      <c r="J2" s="17" t="n">
        <f aca="false">E2*SUMIFS('03_DESPIECE'!$I$2:$I$225,'03_DESPIECE'!$A$2:$A$225,B2,'03_DESPIECE'!$B$2:$B$225,C2)</f>
        <v>129.6</v>
      </c>
      <c r="K2" s="19" t="n">
        <f aca="false">E2*SUMIFS('03_DESPIECE'!$K$2:$K$225,'03_DESPIECE'!$A$2:$A$225,B2,'03_DESPIECE'!$B$2:$B$225,C2)</f>
        <v>0</v>
      </c>
      <c r="L2" s="5" t="n">
        <f aca="false">SUMIFS('03_DESPIECE'!$L$2:$L$225,'03_DESPIECE'!$A$2:$A$225,B2,'03_DESPIECE'!$B$2:$B$225,C2)</f>
        <v>1</v>
      </c>
      <c r="M2" s="2" t="s">
        <v>629</v>
      </c>
    </row>
    <row r="3" customFormat="false" ht="15" hidden="false" customHeight="false" outlineLevel="0" collapsed="false">
      <c r="A3" s="2" t="s">
        <v>525</v>
      </c>
      <c r="B3" s="2" t="s">
        <v>80</v>
      </c>
      <c r="C3" s="2" t="s">
        <v>287</v>
      </c>
      <c r="D3" s="2" t="s">
        <v>184</v>
      </c>
      <c r="E3" s="5" t="n">
        <f aca="false">INDEX('08_PEDIDOS'!$D$2:$D$97,MATCH(A3,'08_PEDIDOS'!$A$2:$A$97,0))</f>
        <v>12</v>
      </c>
      <c r="F3" s="5" t="n">
        <f aca="false">SUMIFS('03_DESPIECE'!$D$2:$D$225,'03_DESPIECE'!$A$2:$A$225,B3,'03_DESPIECE'!$B$2:$B$225,C3)</f>
        <v>8</v>
      </c>
      <c r="G3" s="5" t="n">
        <f aca="false">E3*F3</f>
        <v>96</v>
      </c>
      <c r="H3" s="16" t="n">
        <f aca="false">SUMIFS('03_DESPIECE'!$J$2:$J$225,'03_DESPIECE'!$A$2:$A$225,B3,'03_DESPIECE'!$B$2:$B$225,C3)</f>
        <v>91.5</v>
      </c>
      <c r="I3" s="16" t="n">
        <f aca="false">E3*H3</f>
        <v>1098</v>
      </c>
      <c r="J3" s="17" t="n">
        <f aca="false">E3*SUMIFS('03_DESPIECE'!$I$2:$I$225,'03_DESPIECE'!$A$2:$A$225,B3,'03_DESPIECE'!$B$2:$B$225,C3)</f>
        <v>172.8</v>
      </c>
      <c r="K3" s="19" t="n">
        <f aca="false">E3*SUMIFS('03_DESPIECE'!$K$2:$K$225,'03_DESPIECE'!$A$2:$A$225,B3,'03_DESPIECE'!$B$2:$B$225,C3)</f>
        <v>0</v>
      </c>
      <c r="L3" s="5" t="n">
        <f aca="false">SUMIFS('03_DESPIECE'!$L$2:$L$225,'03_DESPIECE'!$A$2:$A$225,B3,'03_DESPIECE'!$B$2:$B$225,C3)</f>
        <v>1</v>
      </c>
      <c r="M3" s="2" t="s">
        <v>629</v>
      </c>
    </row>
    <row r="4" customFormat="false" ht="15" hidden="false" customHeight="false" outlineLevel="0" collapsed="false">
      <c r="A4" s="2" t="s">
        <v>525</v>
      </c>
      <c r="B4" s="2" t="s">
        <v>80</v>
      </c>
      <c r="C4" s="2" t="s">
        <v>288</v>
      </c>
      <c r="D4" s="2" t="s">
        <v>184</v>
      </c>
      <c r="E4" s="5" t="n">
        <f aca="false">INDEX('08_PEDIDOS'!$D$2:$D$97,MATCH(A4,'08_PEDIDOS'!$A$2:$A$97,0))</f>
        <v>12</v>
      </c>
      <c r="F4" s="5" t="n">
        <f aca="false">SUMIFS('03_DESPIECE'!$D$2:$D$225,'03_DESPIECE'!$A$2:$A$225,B4,'03_DESPIECE'!$B$2:$B$225,C4)</f>
        <v>4</v>
      </c>
      <c r="G4" s="5" t="n">
        <f aca="false">E4*F4</f>
        <v>48</v>
      </c>
      <c r="H4" s="16" t="n">
        <f aca="false">SUMIFS('03_DESPIECE'!$J$2:$J$225,'03_DESPIECE'!$A$2:$A$225,B4,'03_DESPIECE'!$B$2:$B$225,C4)</f>
        <v>22.875</v>
      </c>
      <c r="I4" s="16" t="n">
        <f aca="false">E4*H4</f>
        <v>274.5</v>
      </c>
      <c r="J4" s="17" t="n">
        <f aca="false">E4*SUMIFS('03_DESPIECE'!$I$2:$I$225,'03_DESPIECE'!$A$2:$A$225,B4,'03_DESPIECE'!$B$2:$B$225,C4)</f>
        <v>43.2</v>
      </c>
      <c r="K4" s="19" t="n">
        <f aca="false">E4*SUMIFS('03_DESPIECE'!$K$2:$K$225,'03_DESPIECE'!$A$2:$A$225,B4,'03_DESPIECE'!$B$2:$B$225,C4)</f>
        <v>0</v>
      </c>
      <c r="L4" s="5" t="n">
        <f aca="false">SUMIFS('03_DESPIECE'!$L$2:$L$225,'03_DESPIECE'!$A$2:$A$225,B4,'03_DESPIECE'!$B$2:$B$225,C4)</f>
        <v>1</v>
      </c>
      <c r="M4" s="2" t="s">
        <v>629</v>
      </c>
    </row>
    <row r="5" customFormat="false" ht="15" hidden="false" customHeight="false" outlineLevel="0" collapsed="false">
      <c r="A5" s="2" t="s">
        <v>525</v>
      </c>
      <c r="B5" s="2" t="s">
        <v>80</v>
      </c>
      <c r="C5" s="2" t="s">
        <v>289</v>
      </c>
      <c r="D5" s="2" t="s">
        <v>170</v>
      </c>
      <c r="E5" s="5" t="n">
        <f aca="false">INDEX('08_PEDIDOS'!$D$2:$D$97,MATCH(A5,'08_PEDIDOS'!$A$2:$A$97,0))</f>
        <v>12</v>
      </c>
      <c r="F5" s="5" t="n">
        <f aca="false">SUMIFS('03_DESPIECE'!$D$2:$D$225,'03_DESPIECE'!$A$2:$A$225,B5,'03_DESPIECE'!$B$2:$B$225,C5)</f>
        <v>4</v>
      </c>
      <c r="G5" s="5" t="n">
        <f aca="false">E5*F5</f>
        <v>48</v>
      </c>
      <c r="H5" s="16" t="n">
        <f aca="false">SUMIFS('03_DESPIECE'!$J$2:$J$225,'03_DESPIECE'!$A$2:$A$225,B5,'03_DESPIECE'!$B$2:$B$225,C5)</f>
        <v>334.2052173913</v>
      </c>
      <c r="I5" s="16" t="n">
        <f aca="false">E5*H5</f>
        <v>4010.4626086956</v>
      </c>
      <c r="J5" s="17" t="n">
        <f aca="false">E5*SUMIFS('03_DESPIECE'!$I$2:$I$225,'03_DESPIECE'!$A$2:$A$225,B5,'03_DESPIECE'!$B$2:$B$225,C5)</f>
        <v>542.592</v>
      </c>
      <c r="K5" s="19" t="n">
        <f aca="false">E5*SUMIFS('03_DESPIECE'!$K$2:$K$225,'03_DESPIECE'!$A$2:$A$225,B5,'03_DESPIECE'!$B$2:$B$225,C5)</f>
        <v>12</v>
      </c>
      <c r="L5" s="5" t="n">
        <f aca="false">SUMIFS('03_DESPIECE'!$L$2:$L$225,'03_DESPIECE'!$A$2:$A$225,B5,'03_DESPIECE'!$B$2:$B$225,C5)</f>
        <v>1</v>
      </c>
      <c r="M5" s="2" t="s">
        <v>629</v>
      </c>
    </row>
    <row r="6" customFormat="false" ht="15" hidden="false" customHeight="false" outlineLevel="0" collapsed="false">
      <c r="A6" s="2" t="s">
        <v>525</v>
      </c>
      <c r="B6" s="2" t="s">
        <v>80</v>
      </c>
      <c r="C6" s="2" t="s">
        <v>291</v>
      </c>
      <c r="D6" s="2" t="s">
        <v>170</v>
      </c>
      <c r="E6" s="5" t="n">
        <f aca="false">INDEX('08_PEDIDOS'!$D$2:$D$97,MATCH(A6,'08_PEDIDOS'!$A$2:$A$97,0))</f>
        <v>12</v>
      </c>
      <c r="F6" s="5" t="n">
        <f aca="false">SUMIFS('03_DESPIECE'!$D$2:$D$225,'03_DESPIECE'!$A$2:$A$225,B6,'03_DESPIECE'!$B$2:$B$225,C6)</f>
        <v>8</v>
      </c>
      <c r="G6" s="5" t="n">
        <f aca="false">E6*F6</f>
        <v>96</v>
      </c>
      <c r="H6" s="16" t="n">
        <f aca="false">SUMIFS('03_DESPIECE'!$J$2:$J$225,'03_DESPIECE'!$A$2:$A$225,B6,'03_DESPIECE'!$B$2:$B$225,C6)</f>
        <v>23.2086956522</v>
      </c>
      <c r="I6" s="16" t="n">
        <f aca="false">E6*H6</f>
        <v>278.5043478264</v>
      </c>
      <c r="J6" s="17" t="n">
        <f aca="false">E6*SUMIFS('03_DESPIECE'!$I$2:$I$225,'03_DESPIECE'!$A$2:$A$225,B6,'03_DESPIECE'!$B$2:$B$225,C6)</f>
        <v>37.68</v>
      </c>
      <c r="K6" s="19" t="n">
        <f aca="false">E6*SUMIFS('03_DESPIECE'!$K$2:$K$225,'03_DESPIECE'!$A$2:$A$225,B6,'03_DESPIECE'!$B$2:$B$225,C6)</f>
        <v>0.8333333328</v>
      </c>
      <c r="L6" s="5" t="n">
        <f aca="false">SUMIFS('03_DESPIECE'!$L$2:$L$225,'03_DESPIECE'!$A$2:$A$225,B6,'03_DESPIECE'!$B$2:$B$225,C6)</f>
        <v>1</v>
      </c>
      <c r="M6" s="2" t="s">
        <v>629</v>
      </c>
    </row>
    <row r="7" customFormat="false" ht="15" hidden="false" customHeight="false" outlineLevel="0" collapsed="false">
      <c r="A7" s="2" t="s">
        <v>525</v>
      </c>
      <c r="B7" s="2" t="s">
        <v>80</v>
      </c>
      <c r="C7" s="2" t="s">
        <v>292</v>
      </c>
      <c r="D7" s="2" t="s">
        <v>188</v>
      </c>
      <c r="E7" s="5" t="n">
        <f aca="false">INDEX('08_PEDIDOS'!$D$2:$D$97,MATCH(A7,'08_PEDIDOS'!$A$2:$A$97,0))</f>
        <v>12</v>
      </c>
      <c r="F7" s="5" t="n">
        <f aca="false">SUMIFS('03_DESPIECE'!$D$2:$D$225,'03_DESPIECE'!$A$2:$A$225,B7,'03_DESPIECE'!$B$2:$B$225,C7)</f>
        <v>24</v>
      </c>
      <c r="G7" s="5" t="n">
        <f aca="false">E7*F7</f>
        <v>288</v>
      </c>
      <c r="H7" s="16" t="n">
        <f aca="false">SUMIFS('03_DESPIECE'!$J$2:$J$225,'03_DESPIECE'!$A$2:$A$225,B7,'03_DESPIECE'!$B$2:$B$225,C7)</f>
        <v>21.6</v>
      </c>
      <c r="I7" s="16" t="n">
        <f aca="false">E7*H7</f>
        <v>259.2</v>
      </c>
      <c r="J7" s="17" t="n">
        <f aca="false">E7*SUMIFS('03_DESPIECE'!$I$2:$I$225,'03_DESPIECE'!$A$2:$A$225,B7,'03_DESPIECE'!$B$2:$B$225,C7)</f>
        <v>0</v>
      </c>
      <c r="K7" s="19" t="n">
        <f aca="false">E7*SUMIFS('03_DESPIECE'!$K$2:$K$225,'03_DESPIECE'!$A$2:$A$225,B7,'03_DESPIECE'!$B$2:$B$225,C7)</f>
        <v>0</v>
      </c>
      <c r="L7" s="5" t="n">
        <f aca="false">SUMIFS('03_DESPIECE'!$L$2:$L$225,'03_DESPIECE'!$A$2:$A$225,B7,'03_DESPIECE'!$B$2:$B$225,C7)</f>
        <v>1</v>
      </c>
      <c r="M7" s="2" t="s">
        <v>629</v>
      </c>
    </row>
    <row r="8" customFormat="false" ht="15" hidden="false" customHeight="false" outlineLevel="0" collapsed="false">
      <c r="A8" s="2" t="s">
        <v>525</v>
      </c>
      <c r="B8" s="2" t="s">
        <v>80</v>
      </c>
      <c r="C8" s="2" t="s">
        <v>294</v>
      </c>
      <c r="D8" s="2" t="s">
        <v>188</v>
      </c>
      <c r="E8" s="5" t="n">
        <f aca="false">INDEX('08_PEDIDOS'!$D$2:$D$97,MATCH(A8,'08_PEDIDOS'!$A$2:$A$97,0))</f>
        <v>12</v>
      </c>
      <c r="F8" s="5" t="n">
        <f aca="false">SUMIFS('03_DESPIECE'!$D$2:$D$225,'03_DESPIECE'!$A$2:$A$225,B8,'03_DESPIECE'!$B$2:$B$225,C8)</f>
        <v>4</v>
      </c>
      <c r="G8" s="5" t="n">
        <f aca="false">E8*F8</f>
        <v>48</v>
      </c>
      <c r="H8" s="16" t="n">
        <f aca="false">SUMIFS('03_DESPIECE'!$J$2:$J$225,'03_DESPIECE'!$A$2:$A$225,B8,'03_DESPIECE'!$B$2:$B$225,C8)</f>
        <v>3.6</v>
      </c>
      <c r="I8" s="16" t="n">
        <f aca="false">E8*H8</f>
        <v>43.2</v>
      </c>
      <c r="J8" s="17" t="n">
        <f aca="false">E8*SUMIFS('03_DESPIECE'!$I$2:$I$225,'03_DESPIECE'!$A$2:$A$225,B8,'03_DESPIECE'!$B$2:$B$225,C8)</f>
        <v>0</v>
      </c>
      <c r="K8" s="19" t="n">
        <f aca="false">E8*SUMIFS('03_DESPIECE'!$K$2:$K$225,'03_DESPIECE'!$A$2:$A$225,B8,'03_DESPIECE'!$B$2:$B$225,C8)</f>
        <v>0</v>
      </c>
      <c r="L8" s="5" t="n">
        <f aca="false">SUMIFS('03_DESPIECE'!$L$2:$L$225,'03_DESPIECE'!$A$2:$A$225,B8,'03_DESPIECE'!$B$2:$B$225,C8)</f>
        <v>1</v>
      </c>
      <c r="M8" s="2" t="s">
        <v>629</v>
      </c>
    </row>
    <row r="9" customFormat="false" ht="15" hidden="false" customHeight="false" outlineLevel="0" collapsed="false">
      <c r="A9" s="2" t="s">
        <v>526</v>
      </c>
      <c r="B9" s="2" t="s">
        <v>83</v>
      </c>
      <c r="C9" s="2" t="s">
        <v>295</v>
      </c>
      <c r="D9" s="2" t="s">
        <v>184</v>
      </c>
      <c r="E9" s="5" t="n">
        <f aca="false">INDEX('08_PEDIDOS'!$D$2:$D$97,MATCH(A9,'08_PEDIDOS'!$A$2:$A$97,0))</f>
        <v>12</v>
      </c>
      <c r="F9" s="5" t="n">
        <f aca="false">SUMIFS('03_DESPIECE'!$D$2:$D$225,'03_DESPIECE'!$A$2:$A$225,B9,'03_DESPIECE'!$B$2:$B$225,C9)</f>
        <v>4</v>
      </c>
      <c r="G9" s="5" t="n">
        <f aca="false">E9*F9</f>
        <v>48</v>
      </c>
      <c r="H9" s="16" t="n">
        <f aca="false">SUMIFS('03_DESPIECE'!$J$2:$J$225,'03_DESPIECE'!$A$2:$A$225,B9,'03_DESPIECE'!$B$2:$B$225,C9)</f>
        <v>76.25</v>
      </c>
      <c r="I9" s="16" t="n">
        <f aca="false">E9*H9</f>
        <v>915</v>
      </c>
      <c r="J9" s="17" t="n">
        <f aca="false">E9*SUMIFS('03_DESPIECE'!$I$2:$I$225,'03_DESPIECE'!$A$2:$A$225,B9,'03_DESPIECE'!$B$2:$B$225,C9)</f>
        <v>144</v>
      </c>
      <c r="K9" s="19" t="n">
        <f aca="false">E9*SUMIFS('03_DESPIECE'!$K$2:$K$225,'03_DESPIECE'!$A$2:$A$225,B9,'03_DESPIECE'!$B$2:$B$225,C9)</f>
        <v>0</v>
      </c>
      <c r="L9" s="5" t="n">
        <f aca="false">SUMIFS('03_DESPIECE'!$L$2:$L$225,'03_DESPIECE'!$A$2:$A$225,B9,'03_DESPIECE'!$B$2:$B$225,C9)</f>
        <v>1</v>
      </c>
      <c r="M9" s="2" t="s">
        <v>629</v>
      </c>
    </row>
    <row r="10" customFormat="false" ht="15" hidden="false" customHeight="false" outlineLevel="0" collapsed="false">
      <c r="A10" s="2" t="s">
        <v>526</v>
      </c>
      <c r="B10" s="2" t="s">
        <v>83</v>
      </c>
      <c r="C10" s="2" t="s">
        <v>296</v>
      </c>
      <c r="D10" s="2" t="s">
        <v>184</v>
      </c>
      <c r="E10" s="5" t="n">
        <f aca="false">INDEX('08_PEDIDOS'!$D$2:$D$97,MATCH(A10,'08_PEDIDOS'!$A$2:$A$97,0))</f>
        <v>12</v>
      </c>
      <c r="F10" s="5" t="n">
        <f aca="false">SUMIFS('03_DESPIECE'!$D$2:$D$225,'03_DESPIECE'!$A$2:$A$225,B10,'03_DESPIECE'!$B$2:$B$225,C10)</f>
        <v>8</v>
      </c>
      <c r="G10" s="5" t="n">
        <f aca="false">E10*F10</f>
        <v>96</v>
      </c>
      <c r="H10" s="16" t="n">
        <f aca="false">SUMIFS('03_DESPIECE'!$J$2:$J$225,'03_DESPIECE'!$A$2:$A$225,B10,'03_DESPIECE'!$B$2:$B$225,C10)</f>
        <v>76.25</v>
      </c>
      <c r="I10" s="16" t="n">
        <f aca="false">E10*H10</f>
        <v>915</v>
      </c>
      <c r="J10" s="17" t="n">
        <f aca="false">E10*SUMIFS('03_DESPIECE'!$I$2:$I$225,'03_DESPIECE'!$A$2:$A$225,B10,'03_DESPIECE'!$B$2:$B$225,C10)</f>
        <v>144</v>
      </c>
      <c r="K10" s="19" t="n">
        <f aca="false">E10*SUMIFS('03_DESPIECE'!$K$2:$K$225,'03_DESPIECE'!$A$2:$A$225,B10,'03_DESPIECE'!$B$2:$B$225,C10)</f>
        <v>0</v>
      </c>
      <c r="L10" s="5" t="n">
        <f aca="false">SUMIFS('03_DESPIECE'!$L$2:$L$225,'03_DESPIECE'!$A$2:$A$225,B10,'03_DESPIECE'!$B$2:$B$225,C10)</f>
        <v>1</v>
      </c>
      <c r="M10" s="2" t="s">
        <v>629</v>
      </c>
    </row>
    <row r="11" customFormat="false" ht="15" hidden="false" customHeight="false" outlineLevel="0" collapsed="false">
      <c r="A11" s="2" t="s">
        <v>526</v>
      </c>
      <c r="B11" s="2" t="s">
        <v>83</v>
      </c>
      <c r="C11" s="2" t="s">
        <v>297</v>
      </c>
      <c r="D11" s="2" t="s">
        <v>184</v>
      </c>
      <c r="E11" s="5" t="n">
        <f aca="false">INDEX('08_PEDIDOS'!$D$2:$D$97,MATCH(A11,'08_PEDIDOS'!$A$2:$A$97,0))</f>
        <v>12</v>
      </c>
      <c r="F11" s="5" t="n">
        <f aca="false">SUMIFS('03_DESPIECE'!$D$2:$D$225,'03_DESPIECE'!$A$2:$A$225,B11,'03_DESPIECE'!$B$2:$B$225,C11)</f>
        <v>8</v>
      </c>
      <c r="G11" s="5" t="n">
        <f aca="false">E11*F11</f>
        <v>96</v>
      </c>
      <c r="H11" s="16" t="n">
        <f aca="false">SUMIFS('03_DESPIECE'!$J$2:$J$225,'03_DESPIECE'!$A$2:$A$225,B11,'03_DESPIECE'!$B$2:$B$225,C11)</f>
        <v>38.125</v>
      </c>
      <c r="I11" s="16" t="n">
        <f aca="false">E11*H11</f>
        <v>457.5</v>
      </c>
      <c r="J11" s="17" t="n">
        <f aca="false">E11*SUMIFS('03_DESPIECE'!$I$2:$I$225,'03_DESPIECE'!$A$2:$A$225,B11,'03_DESPIECE'!$B$2:$B$225,C11)</f>
        <v>72</v>
      </c>
      <c r="K11" s="19" t="n">
        <f aca="false">E11*SUMIFS('03_DESPIECE'!$K$2:$K$225,'03_DESPIECE'!$A$2:$A$225,B11,'03_DESPIECE'!$B$2:$B$225,C11)</f>
        <v>0</v>
      </c>
      <c r="L11" s="5" t="n">
        <f aca="false">SUMIFS('03_DESPIECE'!$L$2:$L$225,'03_DESPIECE'!$A$2:$A$225,B11,'03_DESPIECE'!$B$2:$B$225,C11)</f>
        <v>1</v>
      </c>
      <c r="M11" s="2" t="s">
        <v>629</v>
      </c>
    </row>
    <row r="12" customFormat="false" ht="15" hidden="false" customHeight="false" outlineLevel="0" collapsed="false">
      <c r="A12" s="2" t="s">
        <v>526</v>
      </c>
      <c r="B12" s="2" t="s">
        <v>83</v>
      </c>
      <c r="C12" s="2" t="s">
        <v>298</v>
      </c>
      <c r="D12" s="2" t="s">
        <v>170</v>
      </c>
      <c r="E12" s="5" t="n">
        <f aca="false">INDEX('08_PEDIDOS'!$D$2:$D$97,MATCH(A12,'08_PEDIDOS'!$A$2:$A$97,0))</f>
        <v>12</v>
      </c>
      <c r="F12" s="5" t="n">
        <f aca="false">SUMIFS('03_DESPIECE'!$D$2:$D$225,'03_DESPIECE'!$A$2:$A$225,B12,'03_DESPIECE'!$B$2:$B$225,C12)</f>
        <v>5</v>
      </c>
      <c r="G12" s="5" t="n">
        <f aca="false">E12*F12</f>
        <v>60</v>
      </c>
      <c r="H12" s="16" t="n">
        <f aca="false">SUMIFS('03_DESPIECE'!$J$2:$J$225,'03_DESPIECE'!$A$2:$A$225,B12,'03_DESPIECE'!$B$2:$B$225,C12)</f>
        <v>290.1086956522</v>
      </c>
      <c r="I12" s="16" t="n">
        <f aca="false">E12*H12</f>
        <v>3481.3043478264</v>
      </c>
      <c r="J12" s="17" t="n">
        <f aca="false">E12*SUMIFS('03_DESPIECE'!$I$2:$I$225,'03_DESPIECE'!$A$2:$A$225,B12,'03_DESPIECE'!$B$2:$B$225,C12)</f>
        <v>471</v>
      </c>
      <c r="K12" s="19" t="n">
        <f aca="false">E12*SUMIFS('03_DESPIECE'!$K$2:$K$225,'03_DESPIECE'!$A$2:$A$225,B12,'03_DESPIECE'!$B$2:$B$225,C12)</f>
        <v>10.4166666672</v>
      </c>
      <c r="L12" s="5" t="n">
        <f aca="false">SUMIFS('03_DESPIECE'!$L$2:$L$225,'03_DESPIECE'!$A$2:$A$225,B12,'03_DESPIECE'!$B$2:$B$225,C12)</f>
        <v>1</v>
      </c>
      <c r="M12" s="2" t="s">
        <v>629</v>
      </c>
    </row>
    <row r="13" customFormat="false" ht="15" hidden="false" customHeight="false" outlineLevel="0" collapsed="false">
      <c r="A13" s="2" t="s">
        <v>526</v>
      </c>
      <c r="B13" s="2" t="s">
        <v>83</v>
      </c>
      <c r="C13" s="2" t="s">
        <v>299</v>
      </c>
      <c r="D13" s="2" t="s">
        <v>170</v>
      </c>
      <c r="E13" s="5" t="n">
        <f aca="false">INDEX('08_PEDIDOS'!$D$2:$D$97,MATCH(A13,'08_PEDIDOS'!$A$2:$A$97,0))</f>
        <v>12</v>
      </c>
      <c r="F13" s="5" t="n">
        <f aca="false">SUMIFS('03_DESPIECE'!$D$2:$D$225,'03_DESPIECE'!$A$2:$A$225,B13,'03_DESPIECE'!$B$2:$B$225,C13)</f>
        <v>8</v>
      </c>
      <c r="G13" s="5" t="n">
        <f aca="false">E13*F13</f>
        <v>96</v>
      </c>
      <c r="H13" s="16" t="n">
        <f aca="false">SUMIFS('03_DESPIECE'!$J$2:$J$225,'03_DESPIECE'!$A$2:$A$225,B13,'03_DESPIECE'!$B$2:$B$225,C13)</f>
        <v>32.492173913</v>
      </c>
      <c r="I13" s="16" t="n">
        <f aca="false">E13*H13</f>
        <v>389.906086956</v>
      </c>
      <c r="J13" s="17" t="n">
        <f aca="false">E13*SUMIFS('03_DESPIECE'!$I$2:$I$225,'03_DESPIECE'!$A$2:$A$225,B13,'03_DESPIECE'!$B$2:$B$225,C13)</f>
        <v>52.752</v>
      </c>
      <c r="K13" s="19" t="n">
        <f aca="false">E13*SUMIFS('03_DESPIECE'!$K$2:$K$225,'03_DESPIECE'!$A$2:$A$225,B13,'03_DESPIECE'!$B$2:$B$225,C13)</f>
        <v>1.1666666664</v>
      </c>
      <c r="L13" s="5" t="n">
        <f aca="false">SUMIFS('03_DESPIECE'!$L$2:$L$225,'03_DESPIECE'!$A$2:$A$225,B13,'03_DESPIECE'!$B$2:$B$225,C13)</f>
        <v>1</v>
      </c>
      <c r="M13" s="2" t="s">
        <v>629</v>
      </c>
    </row>
    <row r="14" customFormat="false" ht="15" hidden="false" customHeight="false" outlineLevel="0" collapsed="false">
      <c r="A14" s="2" t="s">
        <v>526</v>
      </c>
      <c r="B14" s="2" t="s">
        <v>83</v>
      </c>
      <c r="C14" s="2" t="s">
        <v>300</v>
      </c>
      <c r="D14" s="2" t="s">
        <v>188</v>
      </c>
      <c r="E14" s="5" t="n">
        <f aca="false">INDEX('08_PEDIDOS'!$D$2:$D$97,MATCH(A14,'08_PEDIDOS'!$A$2:$A$97,0))</f>
        <v>12</v>
      </c>
      <c r="F14" s="5" t="n">
        <f aca="false">SUMIFS('03_DESPIECE'!$D$2:$D$225,'03_DESPIECE'!$A$2:$A$225,B14,'03_DESPIECE'!$B$2:$B$225,C14)</f>
        <v>28</v>
      </c>
      <c r="G14" s="5" t="n">
        <f aca="false">E14*F14</f>
        <v>336</v>
      </c>
      <c r="H14" s="16" t="n">
        <f aca="false">SUMIFS('03_DESPIECE'!$J$2:$J$225,'03_DESPIECE'!$A$2:$A$225,B14,'03_DESPIECE'!$B$2:$B$225,C14)</f>
        <v>25.2</v>
      </c>
      <c r="I14" s="16" t="n">
        <f aca="false">E14*H14</f>
        <v>302.4</v>
      </c>
      <c r="J14" s="17" t="n">
        <f aca="false">E14*SUMIFS('03_DESPIECE'!$I$2:$I$225,'03_DESPIECE'!$A$2:$A$225,B14,'03_DESPIECE'!$B$2:$B$225,C14)</f>
        <v>0</v>
      </c>
      <c r="K14" s="19" t="n">
        <f aca="false">E14*SUMIFS('03_DESPIECE'!$K$2:$K$225,'03_DESPIECE'!$A$2:$A$225,B14,'03_DESPIECE'!$B$2:$B$225,C14)</f>
        <v>0</v>
      </c>
      <c r="L14" s="5" t="n">
        <f aca="false">SUMIFS('03_DESPIECE'!$L$2:$L$225,'03_DESPIECE'!$A$2:$A$225,B14,'03_DESPIECE'!$B$2:$B$225,C14)</f>
        <v>1</v>
      </c>
      <c r="M14" s="2" t="s">
        <v>629</v>
      </c>
    </row>
    <row r="15" customFormat="false" ht="15" hidden="false" customHeight="false" outlineLevel="0" collapsed="false">
      <c r="A15" s="2" t="s">
        <v>527</v>
      </c>
      <c r="B15" s="2" t="s">
        <v>94</v>
      </c>
      <c r="C15" s="2" t="s">
        <v>301</v>
      </c>
      <c r="D15" s="2" t="s">
        <v>184</v>
      </c>
      <c r="E15" s="5" t="n">
        <f aca="false">INDEX('08_PEDIDOS'!$D$2:$D$97,MATCH(A15,'08_PEDIDOS'!$A$2:$A$97,0))</f>
        <v>7</v>
      </c>
      <c r="F15" s="5" t="n">
        <f aca="false">SUMIFS('03_DESPIECE'!$D$2:$D$225,'03_DESPIECE'!$A$2:$A$225,B15,'03_DESPIECE'!$B$2:$B$225,C15)</f>
        <v>2</v>
      </c>
      <c r="G15" s="5" t="n">
        <f aca="false">E15*F15</f>
        <v>14</v>
      </c>
      <c r="H15" s="16" t="n">
        <f aca="false">SUMIFS('03_DESPIECE'!$J$2:$J$225,'03_DESPIECE'!$A$2:$A$225,B15,'03_DESPIECE'!$B$2:$B$225,C15)</f>
        <v>31.453125</v>
      </c>
      <c r="I15" s="16" t="n">
        <f aca="false">E15*H15</f>
        <v>220.171875</v>
      </c>
      <c r="J15" s="17" t="n">
        <f aca="false">E15*SUMIFS('03_DESPIECE'!$I$2:$I$225,'03_DESPIECE'!$A$2:$A$225,B15,'03_DESPIECE'!$B$2:$B$225,C15)</f>
        <v>34.65</v>
      </c>
      <c r="K15" s="19" t="n">
        <f aca="false">E15*SUMIFS('03_DESPIECE'!$K$2:$K$225,'03_DESPIECE'!$A$2:$A$225,B15,'03_DESPIECE'!$B$2:$B$225,C15)</f>
        <v>0</v>
      </c>
      <c r="L15" s="5" t="n">
        <f aca="false">SUMIFS('03_DESPIECE'!$L$2:$L$225,'03_DESPIECE'!$A$2:$A$225,B15,'03_DESPIECE'!$B$2:$B$225,C15)</f>
        <v>1</v>
      </c>
      <c r="M15" s="2" t="s">
        <v>629</v>
      </c>
    </row>
    <row r="16" customFormat="false" ht="15" hidden="false" customHeight="false" outlineLevel="0" collapsed="false">
      <c r="A16" s="2" t="s">
        <v>527</v>
      </c>
      <c r="B16" s="2" t="s">
        <v>94</v>
      </c>
      <c r="C16" s="2" t="s">
        <v>302</v>
      </c>
      <c r="D16" s="2" t="s">
        <v>174</v>
      </c>
      <c r="E16" s="5" t="n">
        <f aca="false">INDEX('08_PEDIDOS'!$D$2:$D$97,MATCH(A16,'08_PEDIDOS'!$A$2:$A$97,0))</f>
        <v>7</v>
      </c>
      <c r="F16" s="5" t="n">
        <f aca="false">SUMIFS('03_DESPIECE'!$D$2:$D$225,'03_DESPIECE'!$A$2:$A$225,B16,'03_DESPIECE'!$B$2:$B$225,C16)</f>
        <v>2</v>
      </c>
      <c r="G16" s="5" t="n">
        <f aca="false">E16*F16</f>
        <v>14</v>
      </c>
      <c r="H16" s="16" t="n">
        <f aca="false">SUMIFS('03_DESPIECE'!$J$2:$J$225,'03_DESPIECE'!$A$2:$A$225,B16,'03_DESPIECE'!$B$2:$B$225,C16)</f>
        <v>34.8130434783</v>
      </c>
      <c r="I16" s="16" t="n">
        <f aca="false">E16*H16</f>
        <v>243.6913043481</v>
      </c>
      <c r="J16" s="17" t="n">
        <f aca="false">E16*SUMIFS('03_DESPIECE'!$I$2:$I$225,'03_DESPIECE'!$A$2:$A$225,B16,'03_DESPIECE'!$B$2:$B$225,C16)</f>
        <v>32.97</v>
      </c>
      <c r="K16" s="19" t="n">
        <f aca="false">E16*SUMIFS('03_DESPIECE'!$K$2:$K$225,'03_DESPIECE'!$A$2:$A$225,B16,'03_DESPIECE'!$B$2:$B$225,C16)</f>
        <v>1.4583333331</v>
      </c>
      <c r="L16" s="5" t="n">
        <f aca="false">SUMIFS('03_DESPIECE'!$L$2:$L$225,'03_DESPIECE'!$A$2:$A$225,B16,'03_DESPIECE'!$B$2:$B$225,C16)</f>
        <v>1</v>
      </c>
      <c r="M16" s="2" t="s">
        <v>629</v>
      </c>
    </row>
    <row r="17" customFormat="false" ht="15" hidden="false" customHeight="false" outlineLevel="0" collapsed="false">
      <c r="A17" s="2" t="s">
        <v>527</v>
      </c>
      <c r="B17" s="2" t="s">
        <v>94</v>
      </c>
      <c r="C17" s="2" t="s">
        <v>303</v>
      </c>
      <c r="D17" s="2" t="s">
        <v>174</v>
      </c>
      <c r="E17" s="5" t="n">
        <f aca="false">INDEX('08_PEDIDOS'!$D$2:$D$97,MATCH(A17,'08_PEDIDOS'!$A$2:$A$97,0))</f>
        <v>7</v>
      </c>
      <c r="F17" s="5" t="n">
        <f aca="false">SUMIFS('03_DESPIECE'!$D$2:$D$225,'03_DESPIECE'!$A$2:$A$225,B17,'03_DESPIECE'!$B$2:$B$225,C17)</f>
        <v>4</v>
      </c>
      <c r="G17" s="5" t="n">
        <f aca="false">E17*F17</f>
        <v>28</v>
      </c>
      <c r="H17" s="16" t="n">
        <f aca="false">SUMIFS('03_DESPIECE'!$J$2:$J$225,'03_DESPIECE'!$A$2:$A$225,B17,'03_DESPIECE'!$B$2:$B$225,C17)</f>
        <v>129.9686956522</v>
      </c>
      <c r="I17" s="16" t="n">
        <f aca="false">E17*H17</f>
        <v>909.7808695654</v>
      </c>
      <c r="J17" s="17" t="n">
        <f aca="false">E17*SUMIFS('03_DESPIECE'!$I$2:$I$225,'03_DESPIECE'!$A$2:$A$225,B17,'03_DESPIECE'!$B$2:$B$225,C17)</f>
        <v>123.088</v>
      </c>
      <c r="K17" s="19" t="n">
        <f aca="false">E17*SUMIFS('03_DESPIECE'!$K$2:$K$225,'03_DESPIECE'!$A$2:$A$225,B17,'03_DESPIECE'!$B$2:$B$225,C17)</f>
        <v>5.4444444446</v>
      </c>
      <c r="L17" s="5" t="n">
        <f aca="false">SUMIFS('03_DESPIECE'!$L$2:$L$225,'03_DESPIECE'!$A$2:$A$225,B17,'03_DESPIECE'!$B$2:$B$225,C17)</f>
        <v>1</v>
      </c>
      <c r="M17" s="2" t="s">
        <v>629</v>
      </c>
    </row>
    <row r="18" customFormat="false" ht="15" hidden="false" customHeight="false" outlineLevel="0" collapsed="false">
      <c r="A18" s="2" t="s">
        <v>527</v>
      </c>
      <c r="B18" s="2" t="s">
        <v>94</v>
      </c>
      <c r="C18" s="2" t="s">
        <v>304</v>
      </c>
      <c r="D18" s="2" t="s">
        <v>174</v>
      </c>
      <c r="E18" s="5" t="n">
        <f aca="false">INDEX('08_PEDIDOS'!$D$2:$D$97,MATCH(A18,'08_PEDIDOS'!$A$2:$A$97,0))</f>
        <v>7</v>
      </c>
      <c r="F18" s="5" t="n">
        <f aca="false">SUMIFS('03_DESPIECE'!$D$2:$D$225,'03_DESPIECE'!$A$2:$A$225,B18,'03_DESPIECE'!$B$2:$B$225,C18)</f>
        <v>8</v>
      </c>
      <c r="G18" s="5" t="n">
        <f aca="false">E18*F18</f>
        <v>56</v>
      </c>
      <c r="H18" s="16" t="n">
        <f aca="false">SUMIFS('03_DESPIECE'!$J$2:$J$225,'03_DESPIECE'!$A$2:$A$225,B18,'03_DESPIECE'!$B$2:$B$225,C18)</f>
        <v>185.6695652174</v>
      </c>
      <c r="I18" s="16" t="n">
        <f aca="false">E18*H18</f>
        <v>1299.6869565218</v>
      </c>
      <c r="J18" s="17" t="n">
        <f aca="false">E18*SUMIFS('03_DESPIECE'!$I$2:$I$225,'03_DESPIECE'!$A$2:$A$225,B18,'03_DESPIECE'!$B$2:$B$225,C18)</f>
        <v>175.84</v>
      </c>
      <c r="K18" s="19" t="n">
        <f aca="false">E18*SUMIFS('03_DESPIECE'!$K$2:$K$225,'03_DESPIECE'!$A$2:$A$225,B18,'03_DESPIECE'!$B$2:$B$225,C18)</f>
        <v>7.7777777777</v>
      </c>
      <c r="L18" s="5" t="n">
        <f aca="false">SUMIFS('03_DESPIECE'!$L$2:$L$225,'03_DESPIECE'!$A$2:$A$225,B18,'03_DESPIECE'!$B$2:$B$225,C18)</f>
        <v>1</v>
      </c>
      <c r="M18" s="2" t="s">
        <v>629</v>
      </c>
    </row>
    <row r="19" customFormat="false" ht="15" hidden="false" customHeight="false" outlineLevel="0" collapsed="false">
      <c r="A19" s="2" t="s">
        <v>527</v>
      </c>
      <c r="B19" s="2" t="s">
        <v>94</v>
      </c>
      <c r="C19" s="2" t="s">
        <v>305</v>
      </c>
      <c r="D19" s="2" t="s">
        <v>174</v>
      </c>
      <c r="E19" s="5" t="n">
        <f aca="false">INDEX('08_PEDIDOS'!$D$2:$D$97,MATCH(A19,'08_PEDIDOS'!$A$2:$A$97,0))</f>
        <v>7</v>
      </c>
      <c r="F19" s="5" t="n">
        <f aca="false">SUMIFS('03_DESPIECE'!$D$2:$D$225,'03_DESPIECE'!$A$2:$A$225,B19,'03_DESPIECE'!$B$2:$B$225,C19)</f>
        <v>16</v>
      </c>
      <c r="G19" s="5" t="n">
        <f aca="false">E19*F19</f>
        <v>112</v>
      </c>
      <c r="H19" s="16" t="n">
        <f aca="false">SUMIFS('03_DESPIECE'!$J$2:$J$225,'03_DESPIECE'!$A$2:$A$225,B19,'03_DESPIECE'!$B$2:$B$225,C19)</f>
        <v>37.1339130435</v>
      </c>
      <c r="I19" s="16" t="n">
        <f aca="false">E19*H19</f>
        <v>259.9373913045</v>
      </c>
      <c r="J19" s="17" t="n">
        <f aca="false">E19*SUMIFS('03_DESPIECE'!$I$2:$I$225,'03_DESPIECE'!$A$2:$A$225,B19,'03_DESPIECE'!$B$2:$B$225,C19)</f>
        <v>35.168</v>
      </c>
      <c r="K19" s="19" t="n">
        <f aca="false">E19*SUMIFS('03_DESPIECE'!$K$2:$K$225,'03_DESPIECE'!$A$2:$A$225,B19,'03_DESPIECE'!$B$2:$B$225,C19)</f>
        <v>1.5555555554</v>
      </c>
      <c r="L19" s="5" t="n">
        <f aca="false">SUMIFS('03_DESPIECE'!$L$2:$L$225,'03_DESPIECE'!$A$2:$A$225,B19,'03_DESPIECE'!$B$2:$B$225,C19)</f>
        <v>1</v>
      </c>
      <c r="M19" s="2" t="s">
        <v>629</v>
      </c>
    </row>
    <row r="20" customFormat="false" ht="15" hidden="false" customHeight="false" outlineLevel="0" collapsed="false">
      <c r="A20" s="2" t="s">
        <v>527</v>
      </c>
      <c r="B20" s="2" t="s">
        <v>94</v>
      </c>
      <c r="C20" s="2" t="s">
        <v>306</v>
      </c>
      <c r="D20" s="2" t="s">
        <v>174</v>
      </c>
      <c r="E20" s="5" t="n">
        <f aca="false">INDEX('08_PEDIDOS'!$D$2:$D$97,MATCH(A20,'08_PEDIDOS'!$A$2:$A$97,0))</f>
        <v>7</v>
      </c>
      <c r="F20" s="5" t="n">
        <f aca="false">SUMIFS('03_DESPIECE'!$D$2:$D$225,'03_DESPIECE'!$A$2:$A$225,B20,'03_DESPIECE'!$B$2:$B$225,C20)</f>
        <v>2</v>
      </c>
      <c r="G20" s="5" t="n">
        <f aca="false">E20*F20</f>
        <v>14</v>
      </c>
      <c r="H20" s="16" t="n">
        <f aca="false">SUMIFS('03_DESPIECE'!$J$2:$J$225,'03_DESPIECE'!$A$2:$A$225,B20,'03_DESPIECE'!$B$2:$B$225,C20)</f>
        <v>13.9252173913</v>
      </c>
      <c r="I20" s="16" t="n">
        <f aca="false">E20*H20</f>
        <v>97.4765217391</v>
      </c>
      <c r="J20" s="17" t="n">
        <f aca="false">E20*SUMIFS('03_DESPIECE'!$I$2:$I$225,'03_DESPIECE'!$A$2:$A$225,B20,'03_DESPIECE'!$B$2:$B$225,C20)</f>
        <v>13.188</v>
      </c>
      <c r="K20" s="19" t="n">
        <f aca="false">E20*SUMIFS('03_DESPIECE'!$K$2:$K$225,'03_DESPIECE'!$A$2:$A$225,B20,'03_DESPIECE'!$B$2:$B$225,C20)</f>
        <v>0.5833333331</v>
      </c>
      <c r="L20" s="5" t="n">
        <f aca="false">SUMIFS('03_DESPIECE'!$L$2:$L$225,'03_DESPIECE'!$A$2:$A$225,B20,'03_DESPIECE'!$B$2:$B$225,C20)</f>
        <v>1</v>
      </c>
      <c r="M20" s="2" t="s">
        <v>629</v>
      </c>
    </row>
    <row r="21" customFormat="false" ht="15" hidden="false" customHeight="false" outlineLevel="0" collapsed="false">
      <c r="A21" s="2" t="s">
        <v>527</v>
      </c>
      <c r="B21" s="2" t="s">
        <v>94</v>
      </c>
      <c r="C21" s="2" t="s">
        <v>307</v>
      </c>
      <c r="D21" s="2" t="s">
        <v>188</v>
      </c>
      <c r="E21" s="5" t="n">
        <f aca="false">INDEX('08_PEDIDOS'!$D$2:$D$97,MATCH(A21,'08_PEDIDOS'!$A$2:$A$97,0))</f>
        <v>7</v>
      </c>
      <c r="F21" s="5" t="n">
        <f aca="false">SUMIFS('03_DESPIECE'!$D$2:$D$225,'03_DESPIECE'!$A$2:$A$225,B21,'03_DESPIECE'!$B$2:$B$225,C21)</f>
        <v>36</v>
      </c>
      <c r="G21" s="5" t="n">
        <f aca="false">E21*F21</f>
        <v>252</v>
      </c>
      <c r="H21" s="16" t="n">
        <f aca="false">SUMIFS('03_DESPIECE'!$J$2:$J$225,'03_DESPIECE'!$A$2:$A$225,B21,'03_DESPIECE'!$B$2:$B$225,C21)</f>
        <v>32.4</v>
      </c>
      <c r="I21" s="16" t="n">
        <f aca="false">E21*H21</f>
        <v>226.8</v>
      </c>
      <c r="J21" s="17" t="n">
        <f aca="false">E21*SUMIFS('03_DESPIECE'!$I$2:$I$225,'03_DESPIECE'!$A$2:$A$225,B21,'03_DESPIECE'!$B$2:$B$225,C21)</f>
        <v>0</v>
      </c>
      <c r="K21" s="19" t="n">
        <f aca="false">E21*SUMIFS('03_DESPIECE'!$K$2:$K$225,'03_DESPIECE'!$A$2:$A$225,B21,'03_DESPIECE'!$B$2:$B$225,C21)</f>
        <v>0</v>
      </c>
      <c r="L21" s="5" t="n">
        <f aca="false">SUMIFS('03_DESPIECE'!$L$2:$L$225,'03_DESPIECE'!$A$2:$A$225,B21,'03_DESPIECE'!$B$2:$B$225,C21)</f>
        <v>1</v>
      </c>
      <c r="M21" s="2" t="s">
        <v>629</v>
      </c>
    </row>
    <row r="22" customFormat="false" ht="15" hidden="false" customHeight="false" outlineLevel="0" collapsed="false">
      <c r="A22" s="2" t="s">
        <v>528</v>
      </c>
      <c r="B22" s="2" t="s">
        <v>96</v>
      </c>
      <c r="C22" s="2" t="s">
        <v>308</v>
      </c>
      <c r="D22" s="2" t="s">
        <v>184</v>
      </c>
      <c r="E22" s="5" t="n">
        <f aca="false">INDEX('08_PEDIDOS'!$D$2:$D$97,MATCH(A22,'08_PEDIDOS'!$A$2:$A$97,0))</f>
        <v>7</v>
      </c>
      <c r="F22" s="5" t="n">
        <f aca="false">SUMIFS('03_DESPIECE'!$D$2:$D$225,'03_DESPIECE'!$A$2:$A$225,B22,'03_DESPIECE'!$B$2:$B$225,C22)</f>
        <v>2</v>
      </c>
      <c r="G22" s="5" t="n">
        <f aca="false">E22*F22</f>
        <v>14</v>
      </c>
      <c r="H22" s="16" t="n">
        <f aca="false">SUMIFS('03_DESPIECE'!$J$2:$J$225,'03_DESPIECE'!$A$2:$A$225,B22,'03_DESPIECE'!$B$2:$B$225,C22)</f>
        <v>36.21875</v>
      </c>
      <c r="I22" s="16" t="n">
        <f aca="false">E22*H22</f>
        <v>253.53125</v>
      </c>
      <c r="J22" s="17" t="n">
        <f aca="false">E22*SUMIFS('03_DESPIECE'!$I$2:$I$225,'03_DESPIECE'!$A$2:$A$225,B22,'03_DESPIECE'!$B$2:$B$225,C22)</f>
        <v>39.9</v>
      </c>
      <c r="K22" s="19" t="n">
        <f aca="false">E22*SUMIFS('03_DESPIECE'!$K$2:$K$225,'03_DESPIECE'!$A$2:$A$225,B22,'03_DESPIECE'!$B$2:$B$225,C22)</f>
        <v>0</v>
      </c>
      <c r="L22" s="5" t="n">
        <f aca="false">SUMIFS('03_DESPIECE'!$L$2:$L$225,'03_DESPIECE'!$A$2:$A$225,B22,'03_DESPIECE'!$B$2:$B$225,C22)</f>
        <v>1</v>
      </c>
      <c r="M22" s="2" t="s">
        <v>629</v>
      </c>
    </row>
    <row r="23" customFormat="false" ht="15" hidden="false" customHeight="false" outlineLevel="0" collapsed="false">
      <c r="A23" s="2" t="s">
        <v>528</v>
      </c>
      <c r="B23" s="2" t="s">
        <v>96</v>
      </c>
      <c r="C23" s="2" t="s">
        <v>309</v>
      </c>
      <c r="D23" s="2" t="s">
        <v>174</v>
      </c>
      <c r="E23" s="5" t="n">
        <f aca="false">INDEX('08_PEDIDOS'!$D$2:$D$97,MATCH(A23,'08_PEDIDOS'!$A$2:$A$97,0))</f>
        <v>7</v>
      </c>
      <c r="F23" s="5" t="n">
        <f aca="false">SUMIFS('03_DESPIECE'!$D$2:$D$225,'03_DESPIECE'!$A$2:$A$225,B23,'03_DESPIECE'!$B$2:$B$225,C23)</f>
        <v>3</v>
      </c>
      <c r="G23" s="5" t="n">
        <f aca="false">E23*F23</f>
        <v>21</v>
      </c>
      <c r="H23" s="16" t="n">
        <f aca="false">SUMIFS('03_DESPIECE'!$J$2:$J$225,'03_DESPIECE'!$A$2:$A$225,B23,'03_DESPIECE'!$B$2:$B$225,C23)</f>
        <v>95.7358695652</v>
      </c>
      <c r="I23" s="16" t="n">
        <f aca="false">E23*H23</f>
        <v>670.1510869564</v>
      </c>
      <c r="J23" s="17" t="n">
        <f aca="false">E23*SUMIFS('03_DESPIECE'!$I$2:$I$225,'03_DESPIECE'!$A$2:$A$225,B23,'03_DESPIECE'!$B$2:$B$225,C23)</f>
        <v>90.6675</v>
      </c>
      <c r="K23" s="19" t="n">
        <f aca="false">E23*SUMIFS('03_DESPIECE'!$K$2:$K$225,'03_DESPIECE'!$A$2:$A$225,B23,'03_DESPIECE'!$B$2:$B$225,C23)</f>
        <v>4.0104166669</v>
      </c>
      <c r="L23" s="5" t="n">
        <f aca="false">SUMIFS('03_DESPIECE'!$L$2:$L$225,'03_DESPIECE'!$A$2:$A$225,B23,'03_DESPIECE'!$B$2:$B$225,C23)</f>
        <v>1</v>
      </c>
      <c r="M23" s="2" t="s">
        <v>629</v>
      </c>
    </row>
    <row r="24" customFormat="false" ht="15" hidden="false" customHeight="false" outlineLevel="0" collapsed="false">
      <c r="A24" s="2" t="s">
        <v>528</v>
      </c>
      <c r="B24" s="2" t="s">
        <v>96</v>
      </c>
      <c r="C24" s="2" t="s">
        <v>310</v>
      </c>
      <c r="D24" s="2" t="s">
        <v>174</v>
      </c>
      <c r="E24" s="5" t="n">
        <f aca="false">INDEX('08_PEDIDOS'!$D$2:$D$97,MATCH(A24,'08_PEDIDOS'!$A$2:$A$97,0))</f>
        <v>7</v>
      </c>
      <c r="F24" s="5" t="n">
        <f aca="false">SUMIFS('03_DESPIECE'!$D$2:$D$225,'03_DESPIECE'!$A$2:$A$225,B24,'03_DESPIECE'!$B$2:$B$225,C24)</f>
        <v>5</v>
      </c>
      <c r="G24" s="5" t="n">
        <f aca="false">E24*F24</f>
        <v>35</v>
      </c>
      <c r="H24" s="16" t="n">
        <f aca="false">SUMIFS('03_DESPIECE'!$J$2:$J$225,'03_DESPIECE'!$A$2:$A$225,B24,'03_DESPIECE'!$B$2:$B$225,C24)</f>
        <v>121.8456521739</v>
      </c>
      <c r="I24" s="16" t="n">
        <f aca="false">E24*H24</f>
        <v>852.9195652173</v>
      </c>
      <c r="J24" s="17" t="n">
        <f aca="false">E24*SUMIFS('03_DESPIECE'!$I$2:$I$225,'03_DESPIECE'!$A$2:$A$225,B24,'03_DESPIECE'!$B$2:$B$225,C24)</f>
        <v>115.395</v>
      </c>
      <c r="K24" s="19" t="n">
        <f aca="false">E24*SUMIFS('03_DESPIECE'!$K$2:$K$225,'03_DESPIECE'!$A$2:$A$225,B24,'03_DESPIECE'!$B$2:$B$225,C24)</f>
        <v>5.1041666669</v>
      </c>
      <c r="L24" s="5" t="n">
        <f aca="false">SUMIFS('03_DESPIECE'!$L$2:$L$225,'03_DESPIECE'!$A$2:$A$225,B24,'03_DESPIECE'!$B$2:$B$225,C24)</f>
        <v>1</v>
      </c>
      <c r="M24" s="2" t="s">
        <v>629</v>
      </c>
    </row>
    <row r="25" customFormat="false" ht="15" hidden="false" customHeight="false" outlineLevel="0" collapsed="false">
      <c r="A25" s="2" t="s">
        <v>528</v>
      </c>
      <c r="B25" s="2" t="s">
        <v>96</v>
      </c>
      <c r="C25" s="2" t="s">
        <v>311</v>
      </c>
      <c r="D25" s="2" t="s">
        <v>174</v>
      </c>
      <c r="E25" s="5" t="n">
        <f aca="false">INDEX('08_PEDIDOS'!$D$2:$D$97,MATCH(A25,'08_PEDIDOS'!$A$2:$A$97,0))</f>
        <v>7</v>
      </c>
      <c r="F25" s="5" t="n">
        <f aca="false">SUMIFS('03_DESPIECE'!$D$2:$D$225,'03_DESPIECE'!$A$2:$A$225,B25,'03_DESPIECE'!$B$2:$B$225,C25)</f>
        <v>10</v>
      </c>
      <c r="G25" s="5" t="n">
        <f aca="false">E25*F25</f>
        <v>70</v>
      </c>
      <c r="H25" s="16" t="n">
        <f aca="false">SUMIFS('03_DESPIECE'!$J$2:$J$225,'03_DESPIECE'!$A$2:$A$225,B25,'03_DESPIECE'!$B$2:$B$225,C25)</f>
        <v>23.2086956522</v>
      </c>
      <c r="I25" s="16" t="n">
        <f aca="false">E25*H25</f>
        <v>162.4608695654</v>
      </c>
      <c r="J25" s="17" t="n">
        <f aca="false">E25*SUMIFS('03_DESPIECE'!$I$2:$I$225,'03_DESPIECE'!$A$2:$A$225,B25,'03_DESPIECE'!$B$2:$B$225,C25)</f>
        <v>21.98</v>
      </c>
      <c r="K25" s="19" t="n">
        <f aca="false">E25*SUMIFS('03_DESPIECE'!$K$2:$K$225,'03_DESPIECE'!$A$2:$A$225,B25,'03_DESPIECE'!$B$2:$B$225,C25)</f>
        <v>0.9722222223</v>
      </c>
      <c r="L25" s="5" t="n">
        <f aca="false">SUMIFS('03_DESPIECE'!$L$2:$L$225,'03_DESPIECE'!$A$2:$A$225,B25,'03_DESPIECE'!$B$2:$B$225,C25)</f>
        <v>1</v>
      </c>
      <c r="M25" s="2" t="s">
        <v>629</v>
      </c>
    </row>
    <row r="26" customFormat="false" ht="15" hidden="false" customHeight="false" outlineLevel="0" collapsed="false">
      <c r="A26" s="2" t="s">
        <v>528</v>
      </c>
      <c r="B26" s="2" t="s">
        <v>96</v>
      </c>
      <c r="C26" s="2" t="s">
        <v>312</v>
      </c>
      <c r="D26" s="2" t="s">
        <v>174</v>
      </c>
      <c r="E26" s="5" t="n">
        <f aca="false">INDEX('08_PEDIDOS'!$D$2:$D$97,MATCH(A26,'08_PEDIDOS'!$A$2:$A$97,0))</f>
        <v>7</v>
      </c>
      <c r="F26" s="5" t="n">
        <f aca="false">SUMIFS('03_DESPIECE'!$D$2:$D$225,'03_DESPIECE'!$A$2:$A$225,B26,'03_DESPIECE'!$B$2:$B$225,C26)</f>
        <v>2</v>
      </c>
      <c r="G26" s="5" t="n">
        <f aca="false">E26*F26</f>
        <v>14</v>
      </c>
      <c r="H26" s="16" t="n">
        <f aca="false">SUMIFS('03_DESPIECE'!$J$2:$J$225,'03_DESPIECE'!$A$2:$A$225,B26,'03_DESPIECE'!$B$2:$B$225,C26)</f>
        <v>29.0108695652</v>
      </c>
      <c r="I26" s="16" t="n">
        <f aca="false">E26*H26</f>
        <v>203.0760869564</v>
      </c>
      <c r="J26" s="17" t="n">
        <f aca="false">E26*SUMIFS('03_DESPIECE'!$I$2:$I$225,'03_DESPIECE'!$A$2:$A$225,B26,'03_DESPIECE'!$B$2:$B$225,C26)</f>
        <v>27.475</v>
      </c>
      <c r="K26" s="19" t="n">
        <f aca="false">E26*SUMIFS('03_DESPIECE'!$K$2:$K$225,'03_DESPIECE'!$A$2:$A$225,B26,'03_DESPIECE'!$B$2:$B$225,C26)</f>
        <v>1.2152777777</v>
      </c>
      <c r="L26" s="5" t="n">
        <f aca="false">SUMIFS('03_DESPIECE'!$L$2:$L$225,'03_DESPIECE'!$A$2:$A$225,B26,'03_DESPIECE'!$B$2:$B$225,C26)</f>
        <v>1</v>
      </c>
      <c r="M26" s="2" t="s">
        <v>629</v>
      </c>
    </row>
    <row r="27" customFormat="false" ht="15" hidden="false" customHeight="false" outlineLevel="0" collapsed="false">
      <c r="A27" s="2" t="s">
        <v>528</v>
      </c>
      <c r="B27" s="2" t="s">
        <v>96</v>
      </c>
      <c r="C27" s="2" t="s">
        <v>313</v>
      </c>
      <c r="D27" s="2" t="s">
        <v>188</v>
      </c>
      <c r="E27" s="5" t="n">
        <f aca="false">INDEX('08_PEDIDOS'!$D$2:$D$97,MATCH(A27,'08_PEDIDOS'!$A$2:$A$97,0))</f>
        <v>7</v>
      </c>
      <c r="F27" s="5" t="n">
        <f aca="false">SUMIFS('03_DESPIECE'!$D$2:$D$225,'03_DESPIECE'!$A$2:$A$225,B27,'03_DESPIECE'!$B$2:$B$225,C27)</f>
        <v>26</v>
      </c>
      <c r="G27" s="5" t="n">
        <f aca="false">E27*F27</f>
        <v>182</v>
      </c>
      <c r="H27" s="16" t="n">
        <f aca="false">SUMIFS('03_DESPIECE'!$J$2:$J$225,'03_DESPIECE'!$A$2:$A$225,B27,'03_DESPIECE'!$B$2:$B$225,C27)</f>
        <v>23.4</v>
      </c>
      <c r="I27" s="16" t="n">
        <f aca="false">E27*H27</f>
        <v>163.8</v>
      </c>
      <c r="J27" s="17" t="n">
        <f aca="false">E27*SUMIFS('03_DESPIECE'!$I$2:$I$225,'03_DESPIECE'!$A$2:$A$225,B27,'03_DESPIECE'!$B$2:$B$225,C27)</f>
        <v>0</v>
      </c>
      <c r="K27" s="19" t="n">
        <f aca="false">E27*SUMIFS('03_DESPIECE'!$K$2:$K$225,'03_DESPIECE'!$A$2:$A$225,B27,'03_DESPIECE'!$B$2:$B$225,C27)</f>
        <v>0</v>
      </c>
      <c r="L27" s="5" t="n">
        <f aca="false">SUMIFS('03_DESPIECE'!$L$2:$L$225,'03_DESPIECE'!$A$2:$A$225,B27,'03_DESPIECE'!$B$2:$B$225,C27)</f>
        <v>1</v>
      </c>
      <c r="M27" s="2" t="s">
        <v>629</v>
      </c>
    </row>
    <row r="28" customFormat="false" ht="15" hidden="false" customHeight="false" outlineLevel="0" collapsed="false">
      <c r="A28" s="2" t="s">
        <v>529</v>
      </c>
      <c r="B28" s="2" t="s">
        <v>106</v>
      </c>
      <c r="C28" s="2" t="s">
        <v>314</v>
      </c>
      <c r="D28" s="2" t="s">
        <v>176</v>
      </c>
      <c r="E28" s="5" t="n">
        <f aca="false">INDEX('08_PEDIDOS'!$D$2:$D$97,MATCH(A28,'08_PEDIDOS'!$A$2:$A$97,0))</f>
        <v>6</v>
      </c>
      <c r="F28" s="5" t="n">
        <f aca="false">SUMIFS('03_DESPIECE'!$D$2:$D$225,'03_DESPIECE'!$A$2:$A$225,B28,'03_DESPIECE'!$B$2:$B$225,C28)</f>
        <v>2</v>
      </c>
      <c r="G28" s="5" t="n">
        <f aca="false">E28*F28</f>
        <v>12</v>
      </c>
      <c r="H28" s="16" t="n">
        <f aca="false">SUMIFS('03_DESPIECE'!$J$2:$J$225,'03_DESPIECE'!$A$2:$A$225,B28,'03_DESPIECE'!$B$2:$B$225,C28)</f>
        <v>165.3619565217</v>
      </c>
      <c r="I28" s="16" t="n">
        <f aca="false">E28*H28</f>
        <v>992.1717391302</v>
      </c>
      <c r="J28" s="17" t="n">
        <f aca="false">E28*SUMIFS('03_DESPIECE'!$I$2:$I$225,'03_DESPIECE'!$A$2:$A$225,B28,'03_DESPIECE'!$B$2:$B$225,C28)</f>
        <v>134.235</v>
      </c>
      <c r="K28" s="19" t="n">
        <f aca="false">E28*SUMIFS('03_DESPIECE'!$K$2:$K$225,'03_DESPIECE'!$A$2:$A$225,B28,'03_DESPIECE'!$B$2:$B$225,C28)</f>
        <v>3.9583333332</v>
      </c>
      <c r="L28" s="5" t="n">
        <f aca="false">SUMIFS('03_DESPIECE'!$L$2:$L$225,'03_DESPIECE'!$A$2:$A$225,B28,'03_DESPIECE'!$B$2:$B$225,C28)</f>
        <v>1</v>
      </c>
      <c r="M28" s="2" t="s">
        <v>629</v>
      </c>
    </row>
    <row r="29" customFormat="false" ht="15" hidden="false" customHeight="false" outlineLevel="0" collapsed="false">
      <c r="A29" s="2" t="s">
        <v>529</v>
      </c>
      <c r="B29" s="2" t="s">
        <v>106</v>
      </c>
      <c r="C29" s="2" t="s">
        <v>315</v>
      </c>
      <c r="D29" s="2" t="s">
        <v>176</v>
      </c>
      <c r="E29" s="5" t="n">
        <f aca="false">INDEX('08_PEDIDOS'!$D$2:$D$97,MATCH(A29,'08_PEDIDOS'!$A$2:$A$97,0))</f>
        <v>6</v>
      </c>
      <c r="F29" s="5" t="n">
        <f aca="false">SUMIFS('03_DESPIECE'!$D$2:$D$225,'03_DESPIECE'!$A$2:$A$225,B29,'03_DESPIECE'!$B$2:$B$225,C29)</f>
        <v>2</v>
      </c>
      <c r="G29" s="5" t="n">
        <f aca="false">E29*F29</f>
        <v>12</v>
      </c>
      <c r="H29" s="16" t="n">
        <f aca="false">SUMIFS('03_DESPIECE'!$J$2:$J$225,'03_DESPIECE'!$A$2:$A$225,B29,'03_DESPIECE'!$B$2:$B$225,C29)</f>
        <v>60.922826087</v>
      </c>
      <c r="I29" s="16" t="n">
        <f aca="false">E29*H29</f>
        <v>365.536956522</v>
      </c>
      <c r="J29" s="17" t="n">
        <f aca="false">E29*SUMIFS('03_DESPIECE'!$I$2:$I$225,'03_DESPIECE'!$A$2:$A$225,B29,'03_DESPIECE'!$B$2:$B$225,C29)</f>
        <v>49.455</v>
      </c>
      <c r="K29" s="19" t="n">
        <f aca="false">E29*SUMIFS('03_DESPIECE'!$K$2:$K$225,'03_DESPIECE'!$A$2:$A$225,B29,'03_DESPIECE'!$B$2:$B$225,C29)</f>
        <v>1.4583333336</v>
      </c>
      <c r="L29" s="5" t="n">
        <f aca="false">SUMIFS('03_DESPIECE'!$L$2:$L$225,'03_DESPIECE'!$A$2:$A$225,B29,'03_DESPIECE'!$B$2:$B$225,C29)</f>
        <v>1</v>
      </c>
      <c r="M29" s="2" t="s">
        <v>629</v>
      </c>
    </row>
    <row r="30" customFormat="false" ht="15" hidden="false" customHeight="false" outlineLevel="0" collapsed="false">
      <c r="A30" s="2" t="s">
        <v>529</v>
      </c>
      <c r="B30" s="2" t="s">
        <v>106</v>
      </c>
      <c r="C30" s="2" t="s">
        <v>316</v>
      </c>
      <c r="D30" s="2" t="s">
        <v>176</v>
      </c>
      <c r="E30" s="5" t="n">
        <f aca="false">INDEX('08_PEDIDOS'!$D$2:$D$97,MATCH(A30,'08_PEDIDOS'!$A$2:$A$97,0))</f>
        <v>6</v>
      </c>
      <c r="F30" s="5" t="n">
        <f aca="false">SUMIFS('03_DESPIECE'!$D$2:$D$225,'03_DESPIECE'!$A$2:$A$225,B30,'03_DESPIECE'!$B$2:$B$225,C30)</f>
        <v>1</v>
      </c>
      <c r="G30" s="5" t="n">
        <f aca="false">E30*F30</f>
        <v>6</v>
      </c>
      <c r="H30" s="16" t="n">
        <f aca="false">SUMIFS('03_DESPIECE'!$J$2:$J$225,'03_DESPIECE'!$A$2:$A$225,B30,'03_DESPIECE'!$B$2:$B$225,C30)</f>
        <v>147.9554347826</v>
      </c>
      <c r="I30" s="16" t="n">
        <f aca="false">E30*H30</f>
        <v>887.7326086956</v>
      </c>
      <c r="J30" s="17" t="n">
        <f aca="false">E30*SUMIFS('03_DESPIECE'!$I$2:$I$225,'03_DESPIECE'!$A$2:$A$225,B30,'03_DESPIECE'!$B$2:$B$225,C30)</f>
        <v>120.105</v>
      </c>
      <c r="K30" s="19" t="n">
        <f aca="false">E30*SUMIFS('03_DESPIECE'!$K$2:$K$225,'03_DESPIECE'!$A$2:$A$225,B30,'03_DESPIECE'!$B$2:$B$225,C30)</f>
        <v>3.5416666668</v>
      </c>
      <c r="L30" s="5" t="n">
        <f aca="false">SUMIFS('03_DESPIECE'!$L$2:$L$225,'03_DESPIECE'!$A$2:$A$225,B30,'03_DESPIECE'!$B$2:$B$225,C30)</f>
        <v>1</v>
      </c>
      <c r="M30" s="2" t="s">
        <v>629</v>
      </c>
    </row>
    <row r="31" customFormat="false" ht="15" hidden="false" customHeight="false" outlineLevel="0" collapsed="false">
      <c r="A31" s="2" t="s">
        <v>529</v>
      </c>
      <c r="B31" s="2" t="s">
        <v>106</v>
      </c>
      <c r="C31" s="2" t="s">
        <v>317</v>
      </c>
      <c r="D31" s="2" t="s">
        <v>176</v>
      </c>
      <c r="E31" s="5" t="n">
        <f aca="false">INDEX('08_PEDIDOS'!$D$2:$D$97,MATCH(A31,'08_PEDIDOS'!$A$2:$A$97,0))</f>
        <v>6</v>
      </c>
      <c r="F31" s="5" t="n">
        <f aca="false">SUMIFS('03_DESPIECE'!$D$2:$D$225,'03_DESPIECE'!$A$2:$A$225,B31,'03_DESPIECE'!$B$2:$B$225,C31)</f>
        <v>4</v>
      </c>
      <c r="G31" s="5" t="n">
        <f aca="false">E31*F31</f>
        <v>24</v>
      </c>
      <c r="H31" s="16" t="n">
        <f aca="false">SUMIFS('03_DESPIECE'!$J$2:$J$225,'03_DESPIECE'!$A$2:$A$225,B31,'03_DESPIECE'!$B$2:$B$225,C31)</f>
        <v>128.8082608696</v>
      </c>
      <c r="I31" s="16" t="n">
        <f aca="false">E31*H31</f>
        <v>772.8495652176</v>
      </c>
      <c r="J31" s="17" t="n">
        <f aca="false">E31*SUMIFS('03_DESPIECE'!$I$2:$I$225,'03_DESPIECE'!$A$2:$A$225,B31,'03_DESPIECE'!$B$2:$B$225,C31)</f>
        <v>104.562</v>
      </c>
      <c r="K31" s="19" t="n">
        <f aca="false">E31*SUMIFS('03_DESPIECE'!$K$2:$K$225,'03_DESPIECE'!$A$2:$A$225,B31,'03_DESPIECE'!$B$2:$B$225,C31)</f>
        <v>3.0833333334</v>
      </c>
      <c r="L31" s="5" t="n">
        <f aca="false">SUMIFS('03_DESPIECE'!$L$2:$L$225,'03_DESPIECE'!$A$2:$A$225,B31,'03_DESPIECE'!$B$2:$B$225,C31)</f>
        <v>1</v>
      </c>
      <c r="M31" s="2" t="s">
        <v>629</v>
      </c>
    </row>
    <row r="32" customFormat="false" ht="15" hidden="false" customHeight="false" outlineLevel="0" collapsed="false">
      <c r="A32" s="2" t="s">
        <v>529</v>
      </c>
      <c r="B32" s="2" t="s">
        <v>106</v>
      </c>
      <c r="C32" s="2" t="s">
        <v>318</v>
      </c>
      <c r="D32" s="2" t="s">
        <v>176</v>
      </c>
      <c r="E32" s="5" t="n">
        <f aca="false">INDEX('08_PEDIDOS'!$D$2:$D$97,MATCH(A32,'08_PEDIDOS'!$A$2:$A$97,0))</f>
        <v>6</v>
      </c>
      <c r="F32" s="5" t="n">
        <f aca="false">SUMIFS('03_DESPIECE'!$D$2:$D$225,'03_DESPIECE'!$A$2:$A$225,B32,'03_DESPIECE'!$B$2:$B$225,C32)</f>
        <v>3</v>
      </c>
      <c r="G32" s="5" t="n">
        <f aca="false">E32*F32</f>
        <v>18</v>
      </c>
      <c r="H32" s="16" t="n">
        <f aca="false">SUMIFS('03_DESPIECE'!$J$2:$J$225,'03_DESPIECE'!$A$2:$A$225,B32,'03_DESPIECE'!$B$2:$B$225,C32)</f>
        <v>91.3842391304</v>
      </c>
      <c r="I32" s="16" t="n">
        <f aca="false">E32*H32</f>
        <v>548.3054347824</v>
      </c>
      <c r="J32" s="17" t="n">
        <f aca="false">E32*SUMIFS('03_DESPIECE'!$I$2:$I$225,'03_DESPIECE'!$A$2:$A$225,B32,'03_DESPIECE'!$B$2:$B$225,C32)</f>
        <v>74.1825</v>
      </c>
      <c r="K32" s="19" t="n">
        <f aca="false">E32*SUMIFS('03_DESPIECE'!$K$2:$K$225,'03_DESPIECE'!$A$2:$A$225,B32,'03_DESPIECE'!$B$2:$B$225,C32)</f>
        <v>2.1874999998</v>
      </c>
      <c r="L32" s="5" t="n">
        <f aca="false">SUMIFS('03_DESPIECE'!$L$2:$L$225,'03_DESPIECE'!$A$2:$A$225,B32,'03_DESPIECE'!$B$2:$B$225,C32)</f>
        <v>1</v>
      </c>
      <c r="M32" s="2" t="s">
        <v>629</v>
      </c>
    </row>
    <row r="33" customFormat="false" ht="15" hidden="false" customHeight="false" outlineLevel="0" collapsed="false">
      <c r="A33" s="2" t="s">
        <v>529</v>
      </c>
      <c r="B33" s="2" t="s">
        <v>106</v>
      </c>
      <c r="C33" s="2" t="s">
        <v>319</v>
      </c>
      <c r="D33" s="2" t="s">
        <v>188</v>
      </c>
      <c r="E33" s="5" t="n">
        <f aca="false">INDEX('08_PEDIDOS'!$D$2:$D$97,MATCH(A33,'08_PEDIDOS'!$A$2:$A$97,0))</f>
        <v>6</v>
      </c>
      <c r="F33" s="5" t="n">
        <f aca="false">SUMIFS('03_DESPIECE'!$D$2:$D$225,'03_DESPIECE'!$A$2:$A$225,B33,'03_DESPIECE'!$B$2:$B$225,C33)</f>
        <v>8</v>
      </c>
      <c r="G33" s="5" t="n">
        <f aca="false">E33*F33</f>
        <v>48</v>
      </c>
      <c r="H33" s="16" t="n">
        <f aca="false">SUMIFS('03_DESPIECE'!$J$2:$J$225,'03_DESPIECE'!$A$2:$A$225,B33,'03_DESPIECE'!$B$2:$B$225,C33)</f>
        <v>7.2</v>
      </c>
      <c r="I33" s="16" t="n">
        <f aca="false">E33*H33</f>
        <v>43.2</v>
      </c>
      <c r="J33" s="17" t="n">
        <f aca="false">E33*SUMIFS('03_DESPIECE'!$I$2:$I$225,'03_DESPIECE'!$A$2:$A$225,B33,'03_DESPIECE'!$B$2:$B$225,C33)</f>
        <v>0</v>
      </c>
      <c r="K33" s="19" t="n">
        <f aca="false">E33*SUMIFS('03_DESPIECE'!$K$2:$K$225,'03_DESPIECE'!$A$2:$A$225,B33,'03_DESPIECE'!$B$2:$B$225,C33)</f>
        <v>0</v>
      </c>
      <c r="L33" s="5" t="n">
        <f aca="false">SUMIFS('03_DESPIECE'!$L$2:$L$225,'03_DESPIECE'!$A$2:$A$225,B33,'03_DESPIECE'!$B$2:$B$225,C33)</f>
        <v>1</v>
      </c>
      <c r="M33" s="2" t="s">
        <v>629</v>
      </c>
    </row>
    <row r="34" customFormat="false" ht="15" hidden="false" customHeight="false" outlineLevel="0" collapsed="false">
      <c r="A34" s="2" t="s">
        <v>529</v>
      </c>
      <c r="B34" s="2" t="s">
        <v>106</v>
      </c>
      <c r="C34" s="2" t="s">
        <v>320</v>
      </c>
      <c r="D34" s="2" t="s">
        <v>188</v>
      </c>
      <c r="E34" s="5" t="n">
        <f aca="false">INDEX('08_PEDIDOS'!$D$2:$D$97,MATCH(A34,'08_PEDIDOS'!$A$2:$A$97,0))</f>
        <v>6</v>
      </c>
      <c r="F34" s="5" t="n">
        <f aca="false">SUMIFS('03_DESPIECE'!$D$2:$D$225,'03_DESPIECE'!$A$2:$A$225,B34,'03_DESPIECE'!$B$2:$B$225,C34)</f>
        <v>4</v>
      </c>
      <c r="G34" s="5" t="n">
        <f aca="false">E34*F34</f>
        <v>24</v>
      </c>
      <c r="H34" s="16" t="n">
        <f aca="false">SUMIFS('03_DESPIECE'!$J$2:$J$225,'03_DESPIECE'!$A$2:$A$225,B34,'03_DESPIECE'!$B$2:$B$225,C34)</f>
        <v>3.6</v>
      </c>
      <c r="I34" s="16" t="n">
        <f aca="false">E34*H34</f>
        <v>21.6</v>
      </c>
      <c r="J34" s="17" t="n">
        <f aca="false">E34*SUMIFS('03_DESPIECE'!$I$2:$I$225,'03_DESPIECE'!$A$2:$A$225,B34,'03_DESPIECE'!$B$2:$B$225,C34)</f>
        <v>0</v>
      </c>
      <c r="K34" s="19" t="n">
        <f aca="false">E34*SUMIFS('03_DESPIECE'!$K$2:$K$225,'03_DESPIECE'!$A$2:$A$225,B34,'03_DESPIECE'!$B$2:$B$225,C34)</f>
        <v>0</v>
      </c>
      <c r="L34" s="5" t="n">
        <f aca="false">SUMIFS('03_DESPIECE'!$L$2:$L$225,'03_DESPIECE'!$A$2:$A$225,B34,'03_DESPIECE'!$B$2:$B$225,C34)</f>
        <v>1</v>
      </c>
      <c r="M34" s="2" t="s">
        <v>629</v>
      </c>
    </row>
    <row r="35" customFormat="false" ht="15" hidden="false" customHeight="false" outlineLevel="0" collapsed="false">
      <c r="A35" s="2" t="s">
        <v>530</v>
      </c>
      <c r="B35" s="2" t="s">
        <v>108</v>
      </c>
      <c r="C35" s="2" t="s">
        <v>321</v>
      </c>
      <c r="D35" s="2" t="s">
        <v>176</v>
      </c>
      <c r="E35" s="5" t="n">
        <f aca="false">INDEX('08_PEDIDOS'!$D$2:$D$97,MATCH(A35,'08_PEDIDOS'!$A$2:$A$97,0))</f>
        <v>6</v>
      </c>
      <c r="F35" s="5" t="n">
        <f aca="false">SUMIFS('03_DESPIECE'!$D$2:$D$225,'03_DESPIECE'!$A$2:$A$225,B35,'03_DESPIECE'!$B$2:$B$225,C35)</f>
        <v>2</v>
      </c>
      <c r="G35" s="5" t="n">
        <f aca="false">E35*F35</f>
        <v>12</v>
      </c>
      <c r="H35" s="16" t="n">
        <f aca="false">SUMIFS('03_DESPIECE'!$J$2:$J$225,'03_DESPIECE'!$A$2:$A$225,B35,'03_DESPIECE'!$B$2:$B$225,C35)</f>
        <v>191.4717391304</v>
      </c>
      <c r="I35" s="16" t="n">
        <f aca="false">E35*H35</f>
        <v>1148.8304347824</v>
      </c>
      <c r="J35" s="17" t="n">
        <f aca="false">E35*SUMIFS('03_DESPIECE'!$I$2:$I$225,'03_DESPIECE'!$A$2:$A$225,B35,'03_DESPIECE'!$B$2:$B$225,C35)</f>
        <v>155.43</v>
      </c>
      <c r="K35" s="19" t="n">
        <f aca="false">E35*SUMIFS('03_DESPIECE'!$K$2:$K$225,'03_DESPIECE'!$A$2:$A$225,B35,'03_DESPIECE'!$B$2:$B$225,C35)</f>
        <v>4.5833333334</v>
      </c>
      <c r="L35" s="5" t="n">
        <f aca="false">SUMIFS('03_DESPIECE'!$L$2:$L$225,'03_DESPIECE'!$A$2:$A$225,B35,'03_DESPIECE'!$B$2:$B$225,C35)</f>
        <v>1</v>
      </c>
      <c r="M35" s="2" t="s">
        <v>629</v>
      </c>
    </row>
    <row r="36" customFormat="false" ht="15" hidden="false" customHeight="false" outlineLevel="0" collapsed="false">
      <c r="A36" s="2" t="s">
        <v>530</v>
      </c>
      <c r="B36" s="2" t="s">
        <v>108</v>
      </c>
      <c r="C36" s="2" t="s">
        <v>322</v>
      </c>
      <c r="D36" s="2" t="s">
        <v>176</v>
      </c>
      <c r="E36" s="5" t="n">
        <f aca="false">INDEX('08_PEDIDOS'!$D$2:$D$97,MATCH(A36,'08_PEDIDOS'!$A$2:$A$97,0))</f>
        <v>6</v>
      </c>
      <c r="F36" s="5" t="n">
        <f aca="false">SUMIFS('03_DESPIECE'!$D$2:$D$225,'03_DESPIECE'!$A$2:$A$225,B36,'03_DESPIECE'!$B$2:$B$225,C36)</f>
        <v>2</v>
      </c>
      <c r="G36" s="5" t="n">
        <f aca="false">E36*F36</f>
        <v>12</v>
      </c>
      <c r="H36" s="16" t="n">
        <f aca="false">SUMIFS('03_DESPIECE'!$J$2:$J$225,'03_DESPIECE'!$A$2:$A$225,B36,'03_DESPIECE'!$B$2:$B$225,C36)</f>
        <v>83.5513043478</v>
      </c>
      <c r="I36" s="16" t="n">
        <f aca="false">E36*H36</f>
        <v>501.3078260868</v>
      </c>
      <c r="J36" s="17" t="n">
        <f aca="false">E36*SUMIFS('03_DESPIECE'!$I$2:$I$225,'03_DESPIECE'!$A$2:$A$225,B36,'03_DESPIECE'!$B$2:$B$225,C36)</f>
        <v>67.824</v>
      </c>
      <c r="K36" s="19" t="n">
        <f aca="false">E36*SUMIFS('03_DESPIECE'!$K$2:$K$225,'03_DESPIECE'!$A$2:$A$225,B36,'03_DESPIECE'!$B$2:$B$225,C36)</f>
        <v>1.9999999998</v>
      </c>
      <c r="L36" s="5" t="n">
        <f aca="false">SUMIFS('03_DESPIECE'!$L$2:$L$225,'03_DESPIECE'!$A$2:$A$225,B36,'03_DESPIECE'!$B$2:$B$225,C36)</f>
        <v>1</v>
      </c>
      <c r="M36" s="2" t="s">
        <v>629</v>
      </c>
    </row>
    <row r="37" customFormat="false" ht="15" hidden="false" customHeight="false" outlineLevel="0" collapsed="false">
      <c r="A37" s="2" t="s">
        <v>530</v>
      </c>
      <c r="B37" s="2" t="s">
        <v>108</v>
      </c>
      <c r="C37" s="2" t="s">
        <v>323</v>
      </c>
      <c r="D37" s="2" t="s">
        <v>176</v>
      </c>
      <c r="E37" s="5" t="n">
        <f aca="false">INDEX('08_PEDIDOS'!$D$2:$D$97,MATCH(A37,'08_PEDIDOS'!$A$2:$A$97,0))</f>
        <v>6</v>
      </c>
      <c r="F37" s="5" t="n">
        <f aca="false">SUMIFS('03_DESPIECE'!$D$2:$D$225,'03_DESPIECE'!$A$2:$A$225,B37,'03_DESPIECE'!$B$2:$B$225,C37)</f>
        <v>1</v>
      </c>
      <c r="G37" s="5" t="n">
        <f aca="false">E37*F37</f>
        <v>6</v>
      </c>
      <c r="H37" s="16" t="n">
        <f aca="false">SUMIFS('03_DESPIECE'!$J$2:$J$225,'03_DESPIECE'!$A$2:$A$225,B37,'03_DESPIECE'!$B$2:$B$225,C37)</f>
        <v>156.6586956522</v>
      </c>
      <c r="I37" s="16" t="n">
        <f aca="false">E37*H37</f>
        <v>939.9521739132</v>
      </c>
      <c r="J37" s="17" t="n">
        <f aca="false">E37*SUMIFS('03_DESPIECE'!$I$2:$I$225,'03_DESPIECE'!$A$2:$A$225,B37,'03_DESPIECE'!$B$2:$B$225,C37)</f>
        <v>127.17</v>
      </c>
      <c r="K37" s="19" t="n">
        <f aca="false">E37*SUMIFS('03_DESPIECE'!$K$2:$K$225,'03_DESPIECE'!$A$2:$A$225,B37,'03_DESPIECE'!$B$2:$B$225,C37)</f>
        <v>3.75</v>
      </c>
      <c r="L37" s="5" t="n">
        <f aca="false">SUMIFS('03_DESPIECE'!$L$2:$L$225,'03_DESPIECE'!$A$2:$A$225,B37,'03_DESPIECE'!$B$2:$B$225,C37)</f>
        <v>1</v>
      </c>
      <c r="M37" s="2" t="s">
        <v>629</v>
      </c>
    </row>
    <row r="38" customFormat="false" ht="15" hidden="false" customHeight="false" outlineLevel="0" collapsed="false">
      <c r="A38" s="2" t="s">
        <v>530</v>
      </c>
      <c r="B38" s="2" t="s">
        <v>108</v>
      </c>
      <c r="C38" s="2" t="s">
        <v>324</v>
      </c>
      <c r="D38" s="2" t="s">
        <v>176</v>
      </c>
      <c r="E38" s="5" t="n">
        <f aca="false">INDEX('08_PEDIDOS'!$D$2:$D$97,MATCH(A38,'08_PEDIDOS'!$A$2:$A$97,0))</f>
        <v>6</v>
      </c>
      <c r="F38" s="5" t="n">
        <f aca="false">SUMIFS('03_DESPIECE'!$D$2:$D$225,'03_DESPIECE'!$A$2:$A$225,B38,'03_DESPIECE'!$B$2:$B$225,C38)</f>
        <v>6</v>
      </c>
      <c r="G38" s="5" t="n">
        <f aca="false">E38*F38</f>
        <v>36</v>
      </c>
      <c r="H38" s="16" t="n">
        <f aca="false">SUMIFS('03_DESPIECE'!$J$2:$J$225,'03_DESPIECE'!$A$2:$A$225,B38,'03_DESPIECE'!$B$2:$B$225,C38)</f>
        <v>156.6586956522</v>
      </c>
      <c r="I38" s="16" t="n">
        <f aca="false">E38*H38</f>
        <v>939.9521739132</v>
      </c>
      <c r="J38" s="17" t="n">
        <f aca="false">E38*SUMIFS('03_DESPIECE'!$I$2:$I$225,'03_DESPIECE'!$A$2:$A$225,B38,'03_DESPIECE'!$B$2:$B$225,C38)</f>
        <v>127.17</v>
      </c>
      <c r="K38" s="19" t="n">
        <f aca="false">E38*SUMIFS('03_DESPIECE'!$K$2:$K$225,'03_DESPIECE'!$A$2:$A$225,B38,'03_DESPIECE'!$B$2:$B$225,C38)</f>
        <v>3.75</v>
      </c>
      <c r="L38" s="5" t="n">
        <f aca="false">SUMIFS('03_DESPIECE'!$L$2:$L$225,'03_DESPIECE'!$A$2:$A$225,B38,'03_DESPIECE'!$B$2:$B$225,C38)</f>
        <v>1</v>
      </c>
      <c r="M38" s="2" t="s">
        <v>629</v>
      </c>
    </row>
    <row r="39" customFormat="false" ht="15" hidden="false" customHeight="false" outlineLevel="0" collapsed="false">
      <c r="A39" s="2" t="s">
        <v>530</v>
      </c>
      <c r="B39" s="2" t="s">
        <v>108</v>
      </c>
      <c r="C39" s="2" t="s">
        <v>325</v>
      </c>
      <c r="D39" s="2" t="s">
        <v>176</v>
      </c>
      <c r="E39" s="5" t="n">
        <f aca="false">INDEX('08_PEDIDOS'!$D$2:$D$97,MATCH(A39,'08_PEDIDOS'!$A$2:$A$97,0))</f>
        <v>6</v>
      </c>
      <c r="F39" s="5" t="n">
        <f aca="false">SUMIFS('03_DESPIECE'!$D$2:$D$225,'03_DESPIECE'!$A$2:$A$225,B39,'03_DESPIECE'!$B$2:$B$225,C39)</f>
        <v>2</v>
      </c>
      <c r="G39" s="5" t="n">
        <f aca="false">E39*F39</f>
        <v>12</v>
      </c>
      <c r="H39" s="16" t="n">
        <f aca="false">SUMIFS('03_DESPIECE'!$J$2:$J$225,'03_DESPIECE'!$A$2:$A$225,B39,'03_DESPIECE'!$B$2:$B$225,C39)</f>
        <v>121.8456521739</v>
      </c>
      <c r="I39" s="16" t="n">
        <f aca="false">E39*H39</f>
        <v>731.0739130434</v>
      </c>
      <c r="J39" s="17" t="n">
        <f aca="false">E39*SUMIFS('03_DESPIECE'!$I$2:$I$225,'03_DESPIECE'!$A$2:$A$225,B39,'03_DESPIECE'!$B$2:$B$225,C39)</f>
        <v>98.91</v>
      </c>
      <c r="K39" s="19" t="n">
        <f aca="false">E39*SUMIFS('03_DESPIECE'!$K$2:$K$225,'03_DESPIECE'!$A$2:$A$225,B39,'03_DESPIECE'!$B$2:$B$225,C39)</f>
        <v>2.9166666666</v>
      </c>
      <c r="L39" s="5" t="n">
        <f aca="false">SUMIFS('03_DESPIECE'!$L$2:$L$225,'03_DESPIECE'!$A$2:$A$225,B39,'03_DESPIECE'!$B$2:$B$225,C39)</f>
        <v>1</v>
      </c>
      <c r="M39" s="2" t="s">
        <v>629</v>
      </c>
    </row>
    <row r="40" customFormat="false" ht="15" hidden="false" customHeight="false" outlineLevel="0" collapsed="false">
      <c r="A40" s="2" t="s">
        <v>530</v>
      </c>
      <c r="B40" s="2" t="s">
        <v>108</v>
      </c>
      <c r="C40" s="2" t="s">
        <v>326</v>
      </c>
      <c r="D40" s="2" t="s">
        <v>176</v>
      </c>
      <c r="E40" s="5" t="n">
        <f aca="false">INDEX('08_PEDIDOS'!$D$2:$D$97,MATCH(A40,'08_PEDIDOS'!$A$2:$A$97,0))</f>
        <v>6</v>
      </c>
      <c r="F40" s="5" t="n">
        <f aca="false">SUMIFS('03_DESPIECE'!$D$2:$D$225,'03_DESPIECE'!$A$2:$A$225,B40,'03_DESPIECE'!$B$2:$B$225,C40)</f>
        <v>4</v>
      </c>
      <c r="G40" s="5" t="n">
        <f aca="false">E40*F40</f>
        <v>24</v>
      </c>
      <c r="H40" s="16" t="n">
        <f aca="false">SUMIFS('03_DESPIECE'!$J$2:$J$225,'03_DESPIECE'!$A$2:$A$225,B40,'03_DESPIECE'!$B$2:$B$225,C40)</f>
        <v>139.252173913</v>
      </c>
      <c r="I40" s="16" t="n">
        <f aca="false">E40*H40</f>
        <v>835.513043478</v>
      </c>
      <c r="J40" s="17" t="n">
        <f aca="false">E40*SUMIFS('03_DESPIECE'!$I$2:$I$225,'03_DESPIECE'!$A$2:$A$225,B40,'03_DESPIECE'!$B$2:$B$225,C40)</f>
        <v>113.04</v>
      </c>
      <c r="K40" s="19" t="n">
        <f aca="false">E40*SUMIFS('03_DESPIECE'!$K$2:$K$225,'03_DESPIECE'!$A$2:$A$225,B40,'03_DESPIECE'!$B$2:$B$225,C40)</f>
        <v>3.3333333336</v>
      </c>
      <c r="L40" s="5" t="n">
        <f aca="false">SUMIFS('03_DESPIECE'!$L$2:$L$225,'03_DESPIECE'!$A$2:$A$225,B40,'03_DESPIECE'!$B$2:$B$225,C40)</f>
        <v>1</v>
      </c>
      <c r="M40" s="2" t="s">
        <v>629</v>
      </c>
    </row>
    <row r="41" customFormat="false" ht="15" hidden="false" customHeight="false" outlineLevel="0" collapsed="false">
      <c r="A41" s="2" t="s">
        <v>530</v>
      </c>
      <c r="B41" s="2" t="s">
        <v>108</v>
      </c>
      <c r="C41" s="2" t="s">
        <v>319</v>
      </c>
      <c r="D41" s="2" t="s">
        <v>188</v>
      </c>
      <c r="E41" s="5" t="n">
        <f aca="false">INDEX('08_PEDIDOS'!$D$2:$D$97,MATCH(A41,'08_PEDIDOS'!$A$2:$A$97,0))</f>
        <v>6</v>
      </c>
      <c r="F41" s="5" t="n">
        <f aca="false">SUMIFS('03_DESPIECE'!$D$2:$D$225,'03_DESPIECE'!$A$2:$A$225,B41,'03_DESPIECE'!$B$2:$B$225,C41)</f>
        <v>12</v>
      </c>
      <c r="G41" s="5" t="n">
        <f aca="false">E41*F41</f>
        <v>72</v>
      </c>
      <c r="H41" s="16" t="n">
        <f aca="false">SUMIFS('03_DESPIECE'!$J$2:$J$225,'03_DESPIECE'!$A$2:$A$225,B41,'03_DESPIECE'!$B$2:$B$225,C41)</f>
        <v>10.8</v>
      </c>
      <c r="I41" s="16" t="n">
        <f aca="false">E41*H41</f>
        <v>64.8</v>
      </c>
      <c r="J41" s="17" t="n">
        <f aca="false">E41*SUMIFS('03_DESPIECE'!$I$2:$I$225,'03_DESPIECE'!$A$2:$A$225,B41,'03_DESPIECE'!$B$2:$B$225,C41)</f>
        <v>0</v>
      </c>
      <c r="K41" s="19" t="n">
        <f aca="false">E41*SUMIFS('03_DESPIECE'!$K$2:$K$225,'03_DESPIECE'!$A$2:$A$225,B41,'03_DESPIECE'!$B$2:$B$225,C41)</f>
        <v>0</v>
      </c>
      <c r="L41" s="5" t="n">
        <f aca="false">SUMIFS('03_DESPIECE'!$L$2:$L$225,'03_DESPIECE'!$A$2:$A$225,B41,'03_DESPIECE'!$B$2:$B$225,C41)</f>
        <v>1</v>
      </c>
      <c r="M41" s="2" t="s">
        <v>629</v>
      </c>
    </row>
    <row r="42" customFormat="false" ht="15" hidden="false" customHeight="false" outlineLevel="0" collapsed="false">
      <c r="A42" s="2" t="s">
        <v>530</v>
      </c>
      <c r="B42" s="2" t="s">
        <v>108</v>
      </c>
      <c r="C42" s="2" t="s">
        <v>320</v>
      </c>
      <c r="D42" s="2" t="s">
        <v>188</v>
      </c>
      <c r="E42" s="5" t="n">
        <f aca="false">INDEX('08_PEDIDOS'!$D$2:$D$97,MATCH(A42,'08_PEDIDOS'!$A$2:$A$97,0))</f>
        <v>6</v>
      </c>
      <c r="F42" s="5" t="n">
        <f aca="false">SUMIFS('03_DESPIECE'!$D$2:$D$225,'03_DESPIECE'!$A$2:$A$225,B42,'03_DESPIECE'!$B$2:$B$225,C42)</f>
        <v>6</v>
      </c>
      <c r="G42" s="5" t="n">
        <f aca="false">E42*F42</f>
        <v>36</v>
      </c>
      <c r="H42" s="16" t="n">
        <f aca="false">SUMIFS('03_DESPIECE'!$J$2:$J$225,'03_DESPIECE'!$A$2:$A$225,B42,'03_DESPIECE'!$B$2:$B$225,C42)</f>
        <v>5.4</v>
      </c>
      <c r="I42" s="16" t="n">
        <f aca="false">E42*H42</f>
        <v>32.4</v>
      </c>
      <c r="J42" s="17" t="n">
        <f aca="false">E42*SUMIFS('03_DESPIECE'!$I$2:$I$225,'03_DESPIECE'!$A$2:$A$225,B42,'03_DESPIECE'!$B$2:$B$225,C42)</f>
        <v>0</v>
      </c>
      <c r="K42" s="19" t="n">
        <f aca="false">E42*SUMIFS('03_DESPIECE'!$K$2:$K$225,'03_DESPIECE'!$A$2:$A$225,B42,'03_DESPIECE'!$B$2:$B$225,C42)</f>
        <v>0</v>
      </c>
      <c r="L42" s="5" t="n">
        <f aca="false">SUMIFS('03_DESPIECE'!$L$2:$L$225,'03_DESPIECE'!$A$2:$A$225,B42,'03_DESPIECE'!$B$2:$B$225,C42)</f>
        <v>1</v>
      </c>
      <c r="M42" s="2" t="s">
        <v>629</v>
      </c>
    </row>
    <row r="43" customFormat="false" ht="15" hidden="false" customHeight="false" outlineLevel="0" collapsed="false">
      <c r="A43" s="2" t="s">
        <v>531</v>
      </c>
      <c r="B43" s="2" t="s">
        <v>119</v>
      </c>
      <c r="C43" s="2" t="s">
        <v>327</v>
      </c>
      <c r="D43" s="2" t="s">
        <v>174</v>
      </c>
      <c r="E43" s="5" t="n">
        <f aca="false">INDEX('08_PEDIDOS'!$D$2:$D$97,MATCH(A43,'08_PEDIDOS'!$A$2:$A$97,0))</f>
        <v>10</v>
      </c>
      <c r="F43" s="5" t="n">
        <f aca="false">SUMIFS('03_DESPIECE'!$D$2:$D$225,'03_DESPIECE'!$A$2:$A$225,B43,'03_DESPIECE'!$B$2:$B$225,C43)</f>
        <v>2</v>
      </c>
      <c r="G43" s="5" t="n">
        <f aca="false">E43*F43</f>
        <v>20</v>
      </c>
      <c r="H43" s="16" t="n">
        <f aca="false">SUMIFS('03_DESPIECE'!$J$2:$J$225,'03_DESPIECE'!$A$2:$A$225,B43,'03_DESPIECE'!$B$2:$B$225,C43)</f>
        <v>110.2413043478</v>
      </c>
      <c r="I43" s="16" t="n">
        <f aca="false">E43*H43</f>
        <v>1102.413043478</v>
      </c>
      <c r="J43" s="17" t="n">
        <f aca="false">E43*SUMIFS('03_DESPIECE'!$I$2:$I$225,'03_DESPIECE'!$A$2:$A$225,B43,'03_DESPIECE'!$B$2:$B$225,C43)</f>
        <v>149.15</v>
      </c>
      <c r="K43" s="19" t="n">
        <f aca="false">E43*SUMIFS('03_DESPIECE'!$K$2:$K$225,'03_DESPIECE'!$A$2:$A$225,B43,'03_DESPIECE'!$B$2:$B$225,C43)</f>
        <v>6.597222222</v>
      </c>
      <c r="L43" s="5" t="n">
        <f aca="false">SUMIFS('03_DESPIECE'!$L$2:$L$225,'03_DESPIECE'!$A$2:$A$225,B43,'03_DESPIECE'!$B$2:$B$225,C43)</f>
        <v>1</v>
      </c>
      <c r="M43" s="2" t="s">
        <v>629</v>
      </c>
    </row>
    <row r="44" customFormat="false" ht="15" hidden="false" customHeight="false" outlineLevel="0" collapsed="false">
      <c r="A44" s="2" t="s">
        <v>531</v>
      </c>
      <c r="B44" s="2" t="s">
        <v>119</v>
      </c>
      <c r="C44" s="2" t="s">
        <v>316</v>
      </c>
      <c r="D44" s="2" t="s">
        <v>174</v>
      </c>
      <c r="E44" s="5" t="n">
        <f aca="false">INDEX('08_PEDIDOS'!$D$2:$D$97,MATCH(A44,'08_PEDIDOS'!$A$2:$A$97,0))</f>
        <v>10</v>
      </c>
      <c r="F44" s="5" t="n">
        <f aca="false">SUMIFS('03_DESPIECE'!$D$2:$D$225,'03_DESPIECE'!$A$2:$A$225,B44,'03_DESPIECE'!$B$2:$B$225,C44)</f>
        <v>1</v>
      </c>
      <c r="G44" s="5" t="n">
        <f aca="false">E44*F44</f>
        <v>10</v>
      </c>
      <c r="H44" s="16" t="n">
        <f aca="false">SUMIFS('03_DESPIECE'!$J$2:$J$225,'03_DESPIECE'!$A$2:$A$225,B44,'03_DESPIECE'!$B$2:$B$225,C44)</f>
        <v>75.4282608696</v>
      </c>
      <c r="I44" s="16" t="n">
        <f aca="false">E44*H44</f>
        <v>754.282608696</v>
      </c>
      <c r="J44" s="17" t="n">
        <f aca="false">E44*SUMIFS('03_DESPIECE'!$I$2:$I$225,'03_DESPIECE'!$A$2:$A$225,B44,'03_DESPIECE'!$B$2:$B$225,C44)</f>
        <v>102.05</v>
      </c>
      <c r="K44" s="19" t="n">
        <f aca="false">E44*SUMIFS('03_DESPIECE'!$K$2:$K$225,'03_DESPIECE'!$A$2:$A$225,B44,'03_DESPIECE'!$B$2:$B$225,C44)</f>
        <v>4.513888889</v>
      </c>
      <c r="L44" s="5" t="n">
        <f aca="false">SUMIFS('03_DESPIECE'!$L$2:$L$225,'03_DESPIECE'!$A$2:$A$225,B44,'03_DESPIECE'!$B$2:$B$225,C44)</f>
        <v>1</v>
      </c>
      <c r="M44" s="2" t="s">
        <v>629</v>
      </c>
    </row>
    <row r="45" customFormat="false" ht="15" hidden="false" customHeight="false" outlineLevel="0" collapsed="false">
      <c r="A45" s="2" t="s">
        <v>531</v>
      </c>
      <c r="B45" s="2" t="s">
        <v>119</v>
      </c>
      <c r="C45" s="2" t="s">
        <v>322</v>
      </c>
      <c r="D45" s="2" t="s">
        <v>174</v>
      </c>
      <c r="E45" s="5" t="n">
        <f aca="false">INDEX('08_PEDIDOS'!$D$2:$D$97,MATCH(A45,'08_PEDIDOS'!$A$2:$A$97,0))</f>
        <v>10</v>
      </c>
      <c r="F45" s="5" t="n">
        <f aca="false">SUMIFS('03_DESPIECE'!$D$2:$D$225,'03_DESPIECE'!$A$2:$A$225,B45,'03_DESPIECE'!$B$2:$B$225,C45)</f>
        <v>2</v>
      </c>
      <c r="G45" s="5" t="n">
        <f aca="false">E45*F45</f>
        <v>20</v>
      </c>
      <c r="H45" s="16" t="n">
        <f aca="false">SUMIFS('03_DESPIECE'!$J$2:$J$225,'03_DESPIECE'!$A$2:$A$225,B45,'03_DESPIECE'!$B$2:$B$225,C45)</f>
        <v>58.0217391304</v>
      </c>
      <c r="I45" s="16" t="n">
        <f aca="false">E45*H45</f>
        <v>580.217391304</v>
      </c>
      <c r="J45" s="17" t="n">
        <f aca="false">E45*SUMIFS('03_DESPIECE'!$I$2:$I$225,'03_DESPIECE'!$A$2:$A$225,B45,'03_DESPIECE'!$B$2:$B$225,C45)</f>
        <v>78.5</v>
      </c>
      <c r="K45" s="19" t="n">
        <f aca="false">E45*SUMIFS('03_DESPIECE'!$K$2:$K$225,'03_DESPIECE'!$A$2:$A$225,B45,'03_DESPIECE'!$B$2:$B$225,C45)</f>
        <v>3.472222222</v>
      </c>
      <c r="L45" s="5" t="n">
        <f aca="false">SUMIFS('03_DESPIECE'!$L$2:$L$225,'03_DESPIECE'!$A$2:$A$225,B45,'03_DESPIECE'!$B$2:$B$225,C45)</f>
        <v>1</v>
      </c>
      <c r="M45" s="2" t="s">
        <v>629</v>
      </c>
    </row>
    <row r="46" customFormat="false" ht="15" hidden="false" customHeight="false" outlineLevel="0" collapsed="false">
      <c r="A46" s="2" t="s">
        <v>531</v>
      </c>
      <c r="B46" s="2" t="s">
        <v>119</v>
      </c>
      <c r="C46" s="2" t="s">
        <v>328</v>
      </c>
      <c r="D46" s="2" t="s">
        <v>174</v>
      </c>
      <c r="E46" s="5" t="n">
        <f aca="false">INDEX('08_PEDIDOS'!$D$2:$D$97,MATCH(A46,'08_PEDIDOS'!$A$2:$A$97,0))</f>
        <v>10</v>
      </c>
      <c r="F46" s="5" t="n">
        <f aca="false">SUMIFS('03_DESPIECE'!$D$2:$D$225,'03_DESPIECE'!$A$2:$A$225,B46,'03_DESPIECE'!$B$2:$B$225,C46)</f>
        <v>2</v>
      </c>
      <c r="G46" s="5" t="n">
        <f aca="false">E46*F46</f>
        <v>20</v>
      </c>
      <c r="H46" s="16" t="n">
        <f aca="false">SUMIFS('03_DESPIECE'!$J$2:$J$225,'03_DESPIECE'!$A$2:$A$225,B46,'03_DESPIECE'!$B$2:$B$225,C46)</f>
        <v>81.2304347826</v>
      </c>
      <c r="I46" s="16" t="n">
        <f aca="false">E46*H46</f>
        <v>812.304347826</v>
      </c>
      <c r="J46" s="17" t="n">
        <f aca="false">E46*SUMIFS('03_DESPIECE'!$I$2:$I$225,'03_DESPIECE'!$A$2:$A$225,B46,'03_DESPIECE'!$B$2:$B$225,C46)</f>
        <v>109.9</v>
      </c>
      <c r="K46" s="19" t="n">
        <f aca="false">E46*SUMIFS('03_DESPIECE'!$K$2:$K$225,'03_DESPIECE'!$A$2:$A$225,B46,'03_DESPIECE'!$B$2:$B$225,C46)</f>
        <v>4.861111111</v>
      </c>
      <c r="L46" s="5" t="n">
        <f aca="false">SUMIFS('03_DESPIECE'!$L$2:$L$225,'03_DESPIECE'!$A$2:$A$225,B46,'03_DESPIECE'!$B$2:$B$225,C46)</f>
        <v>1</v>
      </c>
      <c r="M46" s="2" t="s">
        <v>629</v>
      </c>
    </row>
    <row r="47" customFormat="false" ht="15" hidden="false" customHeight="false" outlineLevel="0" collapsed="false">
      <c r="A47" s="2" t="s">
        <v>531</v>
      </c>
      <c r="B47" s="2" t="s">
        <v>119</v>
      </c>
      <c r="C47" s="2" t="s">
        <v>310</v>
      </c>
      <c r="D47" s="2" t="s">
        <v>174</v>
      </c>
      <c r="E47" s="5" t="n">
        <f aca="false">INDEX('08_PEDIDOS'!$D$2:$D$97,MATCH(A47,'08_PEDIDOS'!$A$2:$A$97,0))</f>
        <v>10</v>
      </c>
      <c r="F47" s="5" t="n">
        <f aca="false">SUMIFS('03_DESPIECE'!$D$2:$D$225,'03_DESPIECE'!$A$2:$A$225,B47,'03_DESPIECE'!$B$2:$B$225,C47)</f>
        <v>3</v>
      </c>
      <c r="G47" s="5" t="n">
        <f aca="false">E47*F47</f>
        <v>30</v>
      </c>
      <c r="H47" s="16" t="n">
        <f aca="false">SUMIFS('03_DESPIECE'!$J$2:$J$225,'03_DESPIECE'!$A$2:$A$225,B47,'03_DESPIECE'!$B$2:$B$225,C47)</f>
        <v>83.5513043478</v>
      </c>
      <c r="I47" s="16" t="n">
        <f aca="false">E47*H47</f>
        <v>835.513043478</v>
      </c>
      <c r="J47" s="17" t="n">
        <f aca="false">E47*SUMIFS('03_DESPIECE'!$I$2:$I$225,'03_DESPIECE'!$A$2:$A$225,B47,'03_DESPIECE'!$B$2:$B$225,C47)</f>
        <v>113.04</v>
      </c>
      <c r="K47" s="19" t="n">
        <f aca="false">E47*SUMIFS('03_DESPIECE'!$K$2:$K$225,'03_DESPIECE'!$A$2:$A$225,B47,'03_DESPIECE'!$B$2:$B$225,C47)</f>
        <v>5</v>
      </c>
      <c r="L47" s="5" t="n">
        <f aca="false">SUMIFS('03_DESPIECE'!$L$2:$L$225,'03_DESPIECE'!$A$2:$A$225,B47,'03_DESPIECE'!$B$2:$B$225,C47)</f>
        <v>1</v>
      </c>
      <c r="M47" s="2" t="s">
        <v>629</v>
      </c>
    </row>
    <row r="48" customFormat="false" ht="15" hidden="false" customHeight="false" outlineLevel="0" collapsed="false">
      <c r="A48" s="2" t="s">
        <v>531</v>
      </c>
      <c r="B48" s="2" t="s">
        <v>119</v>
      </c>
      <c r="C48" s="2" t="s">
        <v>319</v>
      </c>
      <c r="D48" s="2" t="s">
        <v>188</v>
      </c>
      <c r="E48" s="5" t="n">
        <f aca="false">INDEX('08_PEDIDOS'!$D$2:$D$97,MATCH(A48,'08_PEDIDOS'!$A$2:$A$97,0))</f>
        <v>10</v>
      </c>
      <c r="F48" s="5" t="n">
        <f aca="false">SUMIFS('03_DESPIECE'!$D$2:$D$225,'03_DESPIECE'!$A$2:$A$225,B48,'03_DESPIECE'!$B$2:$B$225,C48)</f>
        <v>4</v>
      </c>
      <c r="G48" s="5" t="n">
        <f aca="false">E48*F48</f>
        <v>40</v>
      </c>
      <c r="H48" s="16" t="n">
        <f aca="false">SUMIFS('03_DESPIECE'!$J$2:$J$225,'03_DESPIECE'!$A$2:$A$225,B48,'03_DESPIECE'!$B$2:$B$225,C48)</f>
        <v>3.6</v>
      </c>
      <c r="I48" s="16" t="n">
        <f aca="false">E48*H48</f>
        <v>36</v>
      </c>
      <c r="J48" s="17" t="n">
        <f aca="false">E48*SUMIFS('03_DESPIECE'!$I$2:$I$225,'03_DESPIECE'!$A$2:$A$225,B48,'03_DESPIECE'!$B$2:$B$225,C48)</f>
        <v>0</v>
      </c>
      <c r="K48" s="19" t="n">
        <f aca="false">E48*SUMIFS('03_DESPIECE'!$K$2:$K$225,'03_DESPIECE'!$A$2:$A$225,B48,'03_DESPIECE'!$B$2:$B$225,C48)</f>
        <v>0</v>
      </c>
      <c r="L48" s="5" t="n">
        <f aca="false">SUMIFS('03_DESPIECE'!$L$2:$L$225,'03_DESPIECE'!$A$2:$A$225,B48,'03_DESPIECE'!$B$2:$B$225,C48)</f>
        <v>1</v>
      </c>
      <c r="M48" s="2" t="s">
        <v>629</v>
      </c>
    </row>
    <row r="49" customFormat="false" ht="15" hidden="false" customHeight="false" outlineLevel="0" collapsed="false">
      <c r="A49" s="2" t="s">
        <v>531</v>
      </c>
      <c r="B49" s="2" t="s">
        <v>119</v>
      </c>
      <c r="C49" s="2" t="s">
        <v>320</v>
      </c>
      <c r="D49" s="2" t="s">
        <v>188</v>
      </c>
      <c r="E49" s="5" t="n">
        <f aca="false">INDEX('08_PEDIDOS'!$D$2:$D$97,MATCH(A49,'08_PEDIDOS'!$A$2:$A$97,0))</f>
        <v>10</v>
      </c>
      <c r="F49" s="5" t="n">
        <f aca="false">SUMIFS('03_DESPIECE'!$D$2:$D$225,'03_DESPIECE'!$A$2:$A$225,B49,'03_DESPIECE'!$B$2:$B$225,C49)</f>
        <v>2</v>
      </c>
      <c r="G49" s="5" t="n">
        <f aca="false">E49*F49</f>
        <v>20</v>
      </c>
      <c r="H49" s="16" t="n">
        <f aca="false">SUMIFS('03_DESPIECE'!$J$2:$J$225,'03_DESPIECE'!$A$2:$A$225,B49,'03_DESPIECE'!$B$2:$B$225,C49)</f>
        <v>1.8</v>
      </c>
      <c r="I49" s="16" t="n">
        <f aca="false">E49*H49</f>
        <v>18</v>
      </c>
      <c r="J49" s="17" t="n">
        <f aca="false">E49*SUMIFS('03_DESPIECE'!$I$2:$I$225,'03_DESPIECE'!$A$2:$A$225,B49,'03_DESPIECE'!$B$2:$B$225,C49)</f>
        <v>0</v>
      </c>
      <c r="K49" s="19" t="n">
        <f aca="false">E49*SUMIFS('03_DESPIECE'!$K$2:$K$225,'03_DESPIECE'!$A$2:$A$225,B49,'03_DESPIECE'!$B$2:$B$225,C49)</f>
        <v>0</v>
      </c>
      <c r="L49" s="5" t="n">
        <f aca="false">SUMIFS('03_DESPIECE'!$L$2:$L$225,'03_DESPIECE'!$A$2:$A$225,B49,'03_DESPIECE'!$B$2:$B$225,C49)</f>
        <v>1</v>
      </c>
      <c r="M49" s="2" t="s">
        <v>629</v>
      </c>
    </row>
    <row r="50" customFormat="false" ht="15" hidden="false" customHeight="false" outlineLevel="0" collapsed="false">
      <c r="A50" s="2" t="s">
        <v>532</v>
      </c>
      <c r="B50" s="2" t="s">
        <v>121</v>
      </c>
      <c r="C50" s="2" t="s">
        <v>329</v>
      </c>
      <c r="D50" s="2" t="s">
        <v>184</v>
      </c>
      <c r="E50" s="5" t="n">
        <f aca="false">INDEX('08_PEDIDOS'!$D$2:$D$97,MATCH(A50,'08_PEDIDOS'!$A$2:$A$97,0))</f>
        <v>10</v>
      </c>
      <c r="F50" s="5" t="n">
        <f aca="false">SUMIFS('03_DESPIECE'!$D$2:$D$225,'03_DESPIECE'!$A$2:$A$225,B50,'03_DESPIECE'!$B$2:$B$225,C50)</f>
        <v>4</v>
      </c>
      <c r="G50" s="5" t="n">
        <f aca="false">E50*F50</f>
        <v>40</v>
      </c>
      <c r="H50" s="16" t="n">
        <f aca="false">SUMIFS('03_DESPIECE'!$J$2:$J$225,'03_DESPIECE'!$A$2:$A$225,B50,'03_DESPIECE'!$B$2:$B$225,C50)</f>
        <v>62.90625</v>
      </c>
      <c r="I50" s="16" t="n">
        <f aca="false">E50*H50</f>
        <v>629.0625</v>
      </c>
      <c r="J50" s="17" t="n">
        <f aca="false">E50*SUMIFS('03_DESPIECE'!$I$2:$I$225,'03_DESPIECE'!$A$2:$A$225,B50,'03_DESPIECE'!$B$2:$B$225,C50)</f>
        <v>99</v>
      </c>
      <c r="K50" s="19" t="n">
        <f aca="false">E50*SUMIFS('03_DESPIECE'!$K$2:$K$225,'03_DESPIECE'!$A$2:$A$225,B50,'03_DESPIECE'!$B$2:$B$225,C50)</f>
        <v>0</v>
      </c>
      <c r="L50" s="5" t="n">
        <f aca="false">SUMIFS('03_DESPIECE'!$L$2:$L$225,'03_DESPIECE'!$A$2:$A$225,B50,'03_DESPIECE'!$B$2:$B$225,C50)</f>
        <v>1</v>
      </c>
      <c r="M50" s="2" t="s">
        <v>629</v>
      </c>
    </row>
    <row r="51" customFormat="false" ht="15" hidden="false" customHeight="false" outlineLevel="0" collapsed="false">
      <c r="A51" s="2" t="s">
        <v>532</v>
      </c>
      <c r="B51" s="2" t="s">
        <v>121</v>
      </c>
      <c r="C51" s="2" t="s">
        <v>330</v>
      </c>
      <c r="D51" s="2" t="s">
        <v>184</v>
      </c>
      <c r="E51" s="5" t="n">
        <f aca="false">INDEX('08_PEDIDOS'!$D$2:$D$97,MATCH(A51,'08_PEDIDOS'!$A$2:$A$97,0))</f>
        <v>10</v>
      </c>
      <c r="F51" s="5" t="n">
        <f aca="false">SUMIFS('03_DESPIECE'!$D$2:$D$225,'03_DESPIECE'!$A$2:$A$225,B51,'03_DESPIECE'!$B$2:$B$225,C51)</f>
        <v>8</v>
      </c>
      <c r="G51" s="5" t="n">
        <f aca="false">E51*F51</f>
        <v>80</v>
      </c>
      <c r="H51" s="16" t="n">
        <f aca="false">SUMIFS('03_DESPIECE'!$J$2:$J$225,'03_DESPIECE'!$A$2:$A$225,B51,'03_DESPIECE'!$B$2:$B$225,C51)</f>
        <v>68.625</v>
      </c>
      <c r="I51" s="16" t="n">
        <f aca="false">E51*H51</f>
        <v>686.25</v>
      </c>
      <c r="J51" s="17" t="n">
        <f aca="false">E51*SUMIFS('03_DESPIECE'!$I$2:$I$225,'03_DESPIECE'!$A$2:$A$225,B51,'03_DESPIECE'!$B$2:$B$225,C51)</f>
        <v>108</v>
      </c>
      <c r="K51" s="19" t="n">
        <f aca="false">E51*SUMIFS('03_DESPIECE'!$K$2:$K$225,'03_DESPIECE'!$A$2:$A$225,B51,'03_DESPIECE'!$B$2:$B$225,C51)</f>
        <v>0</v>
      </c>
      <c r="L51" s="5" t="n">
        <f aca="false">SUMIFS('03_DESPIECE'!$L$2:$L$225,'03_DESPIECE'!$A$2:$A$225,B51,'03_DESPIECE'!$B$2:$B$225,C51)</f>
        <v>1</v>
      </c>
      <c r="M51" s="2" t="s">
        <v>629</v>
      </c>
    </row>
    <row r="52" customFormat="false" ht="15" hidden="false" customHeight="false" outlineLevel="0" collapsed="false">
      <c r="A52" s="2" t="s">
        <v>532</v>
      </c>
      <c r="B52" s="2" t="s">
        <v>121</v>
      </c>
      <c r="C52" s="2" t="s">
        <v>310</v>
      </c>
      <c r="D52" s="2" t="s">
        <v>174</v>
      </c>
      <c r="E52" s="5" t="n">
        <f aca="false">INDEX('08_PEDIDOS'!$D$2:$D$97,MATCH(A52,'08_PEDIDOS'!$A$2:$A$97,0))</f>
        <v>10</v>
      </c>
      <c r="F52" s="5" t="n">
        <f aca="false">SUMIFS('03_DESPIECE'!$D$2:$D$225,'03_DESPIECE'!$A$2:$A$225,B52,'03_DESPIECE'!$B$2:$B$225,C52)</f>
        <v>5</v>
      </c>
      <c r="G52" s="5" t="n">
        <f aca="false">E52*F52</f>
        <v>50</v>
      </c>
      <c r="H52" s="16" t="n">
        <f aca="false">SUMIFS('03_DESPIECE'!$J$2:$J$225,'03_DESPIECE'!$A$2:$A$225,B52,'03_DESPIECE'!$B$2:$B$225,C52)</f>
        <v>116.0434782609</v>
      </c>
      <c r="I52" s="16" t="n">
        <f aca="false">E52*H52</f>
        <v>1160.434782609</v>
      </c>
      <c r="J52" s="17" t="n">
        <f aca="false">E52*SUMIFS('03_DESPIECE'!$I$2:$I$225,'03_DESPIECE'!$A$2:$A$225,B52,'03_DESPIECE'!$B$2:$B$225,C52)</f>
        <v>157</v>
      </c>
      <c r="K52" s="19" t="n">
        <f aca="false">E52*SUMIFS('03_DESPIECE'!$K$2:$K$225,'03_DESPIECE'!$A$2:$A$225,B52,'03_DESPIECE'!$B$2:$B$225,C52)</f>
        <v>6.944444444</v>
      </c>
      <c r="L52" s="5" t="n">
        <f aca="false">SUMIFS('03_DESPIECE'!$L$2:$L$225,'03_DESPIECE'!$A$2:$A$225,B52,'03_DESPIECE'!$B$2:$B$225,C52)</f>
        <v>1</v>
      </c>
      <c r="M52" s="2" t="s">
        <v>629</v>
      </c>
    </row>
    <row r="53" customFormat="false" ht="15" hidden="false" customHeight="false" outlineLevel="0" collapsed="false">
      <c r="A53" s="2" t="s">
        <v>532</v>
      </c>
      <c r="B53" s="2" t="s">
        <v>121</v>
      </c>
      <c r="C53" s="2" t="s">
        <v>331</v>
      </c>
      <c r="D53" s="2" t="s">
        <v>174</v>
      </c>
      <c r="E53" s="5" t="n">
        <f aca="false">INDEX('08_PEDIDOS'!$D$2:$D$97,MATCH(A53,'08_PEDIDOS'!$A$2:$A$97,0))</f>
        <v>10</v>
      </c>
      <c r="F53" s="5" t="n">
        <f aca="false">SUMIFS('03_DESPIECE'!$D$2:$D$225,'03_DESPIECE'!$A$2:$A$225,B53,'03_DESPIECE'!$B$2:$B$225,C53)</f>
        <v>8</v>
      </c>
      <c r="G53" s="5" t="n">
        <f aca="false">E53*F53</f>
        <v>80</v>
      </c>
      <c r="H53" s="16" t="n">
        <f aca="false">SUMIFS('03_DESPIECE'!$J$2:$J$225,'03_DESPIECE'!$A$2:$A$225,B53,'03_DESPIECE'!$B$2:$B$225,C53)</f>
        <v>16.2460869565</v>
      </c>
      <c r="I53" s="16" t="n">
        <f aca="false">E53*H53</f>
        <v>162.460869565</v>
      </c>
      <c r="J53" s="17" t="n">
        <f aca="false">E53*SUMIFS('03_DESPIECE'!$I$2:$I$225,'03_DESPIECE'!$A$2:$A$225,B53,'03_DESPIECE'!$B$2:$B$225,C53)</f>
        <v>21.98</v>
      </c>
      <c r="K53" s="19" t="n">
        <f aca="false">E53*SUMIFS('03_DESPIECE'!$K$2:$K$225,'03_DESPIECE'!$A$2:$A$225,B53,'03_DESPIECE'!$B$2:$B$225,C53)</f>
        <v>0.972222222</v>
      </c>
      <c r="L53" s="5" t="n">
        <f aca="false">SUMIFS('03_DESPIECE'!$L$2:$L$225,'03_DESPIECE'!$A$2:$A$225,B53,'03_DESPIECE'!$B$2:$B$225,C53)</f>
        <v>1</v>
      </c>
      <c r="M53" s="2" t="s">
        <v>629</v>
      </c>
    </row>
    <row r="54" customFormat="false" ht="15" hidden="false" customHeight="false" outlineLevel="0" collapsed="false">
      <c r="A54" s="2" t="s">
        <v>532</v>
      </c>
      <c r="B54" s="2" t="s">
        <v>121</v>
      </c>
      <c r="C54" s="2" t="s">
        <v>332</v>
      </c>
      <c r="D54" s="2" t="s">
        <v>188</v>
      </c>
      <c r="E54" s="5" t="n">
        <f aca="false">INDEX('08_PEDIDOS'!$D$2:$D$97,MATCH(A54,'08_PEDIDOS'!$A$2:$A$97,0))</f>
        <v>10</v>
      </c>
      <c r="F54" s="5" t="n">
        <f aca="false">SUMIFS('03_DESPIECE'!$D$2:$D$225,'03_DESPIECE'!$A$2:$A$225,B54,'03_DESPIECE'!$B$2:$B$225,C54)</f>
        <v>32</v>
      </c>
      <c r="G54" s="5" t="n">
        <f aca="false">E54*F54</f>
        <v>320</v>
      </c>
      <c r="H54" s="16" t="n">
        <f aca="false">SUMIFS('03_DESPIECE'!$J$2:$J$225,'03_DESPIECE'!$A$2:$A$225,B54,'03_DESPIECE'!$B$2:$B$225,C54)</f>
        <v>28.8</v>
      </c>
      <c r="I54" s="16" t="n">
        <f aca="false">E54*H54</f>
        <v>288</v>
      </c>
      <c r="J54" s="17" t="n">
        <f aca="false">E54*SUMIFS('03_DESPIECE'!$I$2:$I$225,'03_DESPIECE'!$A$2:$A$225,B54,'03_DESPIECE'!$B$2:$B$225,C54)</f>
        <v>0</v>
      </c>
      <c r="K54" s="19" t="n">
        <f aca="false">E54*SUMIFS('03_DESPIECE'!$K$2:$K$225,'03_DESPIECE'!$A$2:$A$225,B54,'03_DESPIECE'!$B$2:$B$225,C54)</f>
        <v>0</v>
      </c>
      <c r="L54" s="5" t="n">
        <f aca="false">SUMIFS('03_DESPIECE'!$L$2:$L$225,'03_DESPIECE'!$A$2:$A$225,B54,'03_DESPIECE'!$B$2:$B$225,C54)</f>
        <v>1</v>
      </c>
      <c r="M54" s="2" t="s">
        <v>629</v>
      </c>
    </row>
    <row r="55" customFormat="false" ht="15" hidden="false" customHeight="false" outlineLevel="0" collapsed="false">
      <c r="A55" s="2" t="s">
        <v>533</v>
      </c>
      <c r="B55" s="2" t="s">
        <v>80</v>
      </c>
      <c r="C55" s="2" t="s">
        <v>285</v>
      </c>
      <c r="D55" s="2" t="s">
        <v>184</v>
      </c>
      <c r="E55" s="5" t="n">
        <f aca="false">INDEX('08_PEDIDOS'!$D$2:$D$97,MATCH(A55,'08_PEDIDOS'!$A$2:$A$97,0))</f>
        <v>12</v>
      </c>
      <c r="F55" s="5" t="n">
        <f aca="false">SUMIFS('03_DESPIECE'!$D$2:$D$225,'03_DESPIECE'!$A$2:$A$225,B55,'03_DESPIECE'!$B$2:$B$225,C55)</f>
        <v>4</v>
      </c>
      <c r="G55" s="5" t="n">
        <f aca="false">E55*F55</f>
        <v>48</v>
      </c>
      <c r="H55" s="16" t="n">
        <f aca="false">SUMIFS('03_DESPIECE'!$J$2:$J$225,'03_DESPIECE'!$A$2:$A$225,B55,'03_DESPIECE'!$B$2:$B$225,C55)</f>
        <v>68.625</v>
      </c>
      <c r="I55" s="16" t="n">
        <f aca="false">E55*H55</f>
        <v>823.5</v>
      </c>
      <c r="J55" s="17" t="n">
        <f aca="false">E55*SUMIFS('03_DESPIECE'!$I$2:$I$225,'03_DESPIECE'!$A$2:$A$225,B55,'03_DESPIECE'!$B$2:$B$225,C55)</f>
        <v>129.6</v>
      </c>
      <c r="K55" s="19" t="n">
        <f aca="false">E55*SUMIFS('03_DESPIECE'!$K$2:$K$225,'03_DESPIECE'!$A$2:$A$225,B55,'03_DESPIECE'!$B$2:$B$225,C55)</f>
        <v>0</v>
      </c>
      <c r="L55" s="5" t="n">
        <f aca="false">SUMIFS('03_DESPIECE'!$L$2:$L$225,'03_DESPIECE'!$A$2:$A$225,B55,'03_DESPIECE'!$B$2:$B$225,C55)</f>
        <v>1</v>
      </c>
      <c r="M55" s="2" t="s">
        <v>629</v>
      </c>
    </row>
    <row r="56" customFormat="false" ht="15" hidden="false" customHeight="false" outlineLevel="0" collapsed="false">
      <c r="A56" s="2" t="s">
        <v>533</v>
      </c>
      <c r="B56" s="2" t="s">
        <v>80</v>
      </c>
      <c r="C56" s="2" t="s">
        <v>287</v>
      </c>
      <c r="D56" s="2" t="s">
        <v>184</v>
      </c>
      <c r="E56" s="5" t="n">
        <f aca="false">INDEX('08_PEDIDOS'!$D$2:$D$97,MATCH(A56,'08_PEDIDOS'!$A$2:$A$97,0))</f>
        <v>12</v>
      </c>
      <c r="F56" s="5" t="n">
        <f aca="false">SUMIFS('03_DESPIECE'!$D$2:$D$225,'03_DESPIECE'!$A$2:$A$225,B56,'03_DESPIECE'!$B$2:$B$225,C56)</f>
        <v>8</v>
      </c>
      <c r="G56" s="5" t="n">
        <f aca="false">E56*F56</f>
        <v>96</v>
      </c>
      <c r="H56" s="16" t="n">
        <f aca="false">SUMIFS('03_DESPIECE'!$J$2:$J$225,'03_DESPIECE'!$A$2:$A$225,B56,'03_DESPIECE'!$B$2:$B$225,C56)</f>
        <v>91.5</v>
      </c>
      <c r="I56" s="16" t="n">
        <f aca="false">E56*H56</f>
        <v>1098</v>
      </c>
      <c r="J56" s="17" t="n">
        <f aca="false">E56*SUMIFS('03_DESPIECE'!$I$2:$I$225,'03_DESPIECE'!$A$2:$A$225,B56,'03_DESPIECE'!$B$2:$B$225,C56)</f>
        <v>172.8</v>
      </c>
      <c r="K56" s="19" t="n">
        <f aca="false">E56*SUMIFS('03_DESPIECE'!$K$2:$K$225,'03_DESPIECE'!$A$2:$A$225,B56,'03_DESPIECE'!$B$2:$B$225,C56)</f>
        <v>0</v>
      </c>
      <c r="L56" s="5" t="n">
        <f aca="false">SUMIFS('03_DESPIECE'!$L$2:$L$225,'03_DESPIECE'!$A$2:$A$225,B56,'03_DESPIECE'!$B$2:$B$225,C56)</f>
        <v>1</v>
      </c>
      <c r="M56" s="2" t="s">
        <v>629</v>
      </c>
    </row>
    <row r="57" customFormat="false" ht="15" hidden="false" customHeight="false" outlineLevel="0" collapsed="false">
      <c r="A57" s="2" t="s">
        <v>533</v>
      </c>
      <c r="B57" s="2" t="s">
        <v>80</v>
      </c>
      <c r="C57" s="2" t="s">
        <v>288</v>
      </c>
      <c r="D57" s="2" t="s">
        <v>184</v>
      </c>
      <c r="E57" s="5" t="n">
        <f aca="false">INDEX('08_PEDIDOS'!$D$2:$D$97,MATCH(A57,'08_PEDIDOS'!$A$2:$A$97,0))</f>
        <v>12</v>
      </c>
      <c r="F57" s="5" t="n">
        <f aca="false">SUMIFS('03_DESPIECE'!$D$2:$D$225,'03_DESPIECE'!$A$2:$A$225,B57,'03_DESPIECE'!$B$2:$B$225,C57)</f>
        <v>4</v>
      </c>
      <c r="G57" s="5" t="n">
        <f aca="false">E57*F57</f>
        <v>48</v>
      </c>
      <c r="H57" s="16" t="n">
        <f aca="false">SUMIFS('03_DESPIECE'!$J$2:$J$225,'03_DESPIECE'!$A$2:$A$225,B57,'03_DESPIECE'!$B$2:$B$225,C57)</f>
        <v>22.875</v>
      </c>
      <c r="I57" s="16" t="n">
        <f aca="false">E57*H57</f>
        <v>274.5</v>
      </c>
      <c r="J57" s="17" t="n">
        <f aca="false">E57*SUMIFS('03_DESPIECE'!$I$2:$I$225,'03_DESPIECE'!$A$2:$A$225,B57,'03_DESPIECE'!$B$2:$B$225,C57)</f>
        <v>43.2</v>
      </c>
      <c r="K57" s="19" t="n">
        <f aca="false">E57*SUMIFS('03_DESPIECE'!$K$2:$K$225,'03_DESPIECE'!$A$2:$A$225,B57,'03_DESPIECE'!$B$2:$B$225,C57)</f>
        <v>0</v>
      </c>
      <c r="L57" s="5" t="n">
        <f aca="false">SUMIFS('03_DESPIECE'!$L$2:$L$225,'03_DESPIECE'!$A$2:$A$225,B57,'03_DESPIECE'!$B$2:$B$225,C57)</f>
        <v>1</v>
      </c>
      <c r="M57" s="2" t="s">
        <v>629</v>
      </c>
    </row>
    <row r="58" customFormat="false" ht="15" hidden="false" customHeight="false" outlineLevel="0" collapsed="false">
      <c r="A58" s="2" t="s">
        <v>533</v>
      </c>
      <c r="B58" s="2" t="s">
        <v>80</v>
      </c>
      <c r="C58" s="2" t="s">
        <v>289</v>
      </c>
      <c r="D58" s="2" t="s">
        <v>170</v>
      </c>
      <c r="E58" s="5" t="n">
        <f aca="false">INDEX('08_PEDIDOS'!$D$2:$D$97,MATCH(A58,'08_PEDIDOS'!$A$2:$A$97,0))</f>
        <v>12</v>
      </c>
      <c r="F58" s="5" t="n">
        <f aca="false">SUMIFS('03_DESPIECE'!$D$2:$D$225,'03_DESPIECE'!$A$2:$A$225,B58,'03_DESPIECE'!$B$2:$B$225,C58)</f>
        <v>4</v>
      </c>
      <c r="G58" s="5" t="n">
        <f aca="false">E58*F58</f>
        <v>48</v>
      </c>
      <c r="H58" s="16" t="n">
        <f aca="false">SUMIFS('03_DESPIECE'!$J$2:$J$225,'03_DESPIECE'!$A$2:$A$225,B58,'03_DESPIECE'!$B$2:$B$225,C58)</f>
        <v>334.2052173913</v>
      </c>
      <c r="I58" s="16" t="n">
        <f aca="false">E58*H58</f>
        <v>4010.4626086956</v>
      </c>
      <c r="J58" s="17" t="n">
        <f aca="false">E58*SUMIFS('03_DESPIECE'!$I$2:$I$225,'03_DESPIECE'!$A$2:$A$225,B58,'03_DESPIECE'!$B$2:$B$225,C58)</f>
        <v>542.592</v>
      </c>
      <c r="K58" s="19" t="n">
        <f aca="false">E58*SUMIFS('03_DESPIECE'!$K$2:$K$225,'03_DESPIECE'!$A$2:$A$225,B58,'03_DESPIECE'!$B$2:$B$225,C58)</f>
        <v>12</v>
      </c>
      <c r="L58" s="5" t="n">
        <f aca="false">SUMIFS('03_DESPIECE'!$L$2:$L$225,'03_DESPIECE'!$A$2:$A$225,B58,'03_DESPIECE'!$B$2:$B$225,C58)</f>
        <v>1</v>
      </c>
      <c r="M58" s="2" t="s">
        <v>629</v>
      </c>
    </row>
    <row r="59" customFormat="false" ht="15" hidden="false" customHeight="false" outlineLevel="0" collapsed="false">
      <c r="A59" s="2" t="s">
        <v>533</v>
      </c>
      <c r="B59" s="2" t="s">
        <v>80</v>
      </c>
      <c r="C59" s="2" t="s">
        <v>291</v>
      </c>
      <c r="D59" s="2" t="s">
        <v>170</v>
      </c>
      <c r="E59" s="5" t="n">
        <f aca="false">INDEX('08_PEDIDOS'!$D$2:$D$97,MATCH(A59,'08_PEDIDOS'!$A$2:$A$97,0))</f>
        <v>12</v>
      </c>
      <c r="F59" s="5" t="n">
        <f aca="false">SUMIFS('03_DESPIECE'!$D$2:$D$225,'03_DESPIECE'!$A$2:$A$225,B59,'03_DESPIECE'!$B$2:$B$225,C59)</f>
        <v>8</v>
      </c>
      <c r="G59" s="5" t="n">
        <f aca="false">E59*F59</f>
        <v>96</v>
      </c>
      <c r="H59" s="16" t="n">
        <f aca="false">SUMIFS('03_DESPIECE'!$J$2:$J$225,'03_DESPIECE'!$A$2:$A$225,B59,'03_DESPIECE'!$B$2:$B$225,C59)</f>
        <v>23.2086956522</v>
      </c>
      <c r="I59" s="16" t="n">
        <f aca="false">E59*H59</f>
        <v>278.5043478264</v>
      </c>
      <c r="J59" s="17" t="n">
        <f aca="false">E59*SUMIFS('03_DESPIECE'!$I$2:$I$225,'03_DESPIECE'!$A$2:$A$225,B59,'03_DESPIECE'!$B$2:$B$225,C59)</f>
        <v>37.68</v>
      </c>
      <c r="K59" s="19" t="n">
        <f aca="false">E59*SUMIFS('03_DESPIECE'!$K$2:$K$225,'03_DESPIECE'!$A$2:$A$225,B59,'03_DESPIECE'!$B$2:$B$225,C59)</f>
        <v>0.8333333328</v>
      </c>
      <c r="L59" s="5" t="n">
        <f aca="false">SUMIFS('03_DESPIECE'!$L$2:$L$225,'03_DESPIECE'!$A$2:$A$225,B59,'03_DESPIECE'!$B$2:$B$225,C59)</f>
        <v>1</v>
      </c>
      <c r="M59" s="2" t="s">
        <v>629</v>
      </c>
    </row>
    <row r="60" customFormat="false" ht="15" hidden="false" customHeight="false" outlineLevel="0" collapsed="false">
      <c r="A60" s="2" t="s">
        <v>533</v>
      </c>
      <c r="B60" s="2" t="s">
        <v>80</v>
      </c>
      <c r="C60" s="2" t="s">
        <v>292</v>
      </c>
      <c r="D60" s="2" t="s">
        <v>188</v>
      </c>
      <c r="E60" s="5" t="n">
        <f aca="false">INDEX('08_PEDIDOS'!$D$2:$D$97,MATCH(A60,'08_PEDIDOS'!$A$2:$A$97,0))</f>
        <v>12</v>
      </c>
      <c r="F60" s="5" t="n">
        <f aca="false">SUMIFS('03_DESPIECE'!$D$2:$D$225,'03_DESPIECE'!$A$2:$A$225,B60,'03_DESPIECE'!$B$2:$B$225,C60)</f>
        <v>24</v>
      </c>
      <c r="G60" s="5" t="n">
        <f aca="false">E60*F60</f>
        <v>288</v>
      </c>
      <c r="H60" s="16" t="n">
        <f aca="false">SUMIFS('03_DESPIECE'!$J$2:$J$225,'03_DESPIECE'!$A$2:$A$225,B60,'03_DESPIECE'!$B$2:$B$225,C60)</f>
        <v>21.6</v>
      </c>
      <c r="I60" s="16" t="n">
        <f aca="false">E60*H60</f>
        <v>259.2</v>
      </c>
      <c r="J60" s="17" t="n">
        <f aca="false">E60*SUMIFS('03_DESPIECE'!$I$2:$I$225,'03_DESPIECE'!$A$2:$A$225,B60,'03_DESPIECE'!$B$2:$B$225,C60)</f>
        <v>0</v>
      </c>
      <c r="K60" s="19" t="n">
        <f aca="false">E60*SUMIFS('03_DESPIECE'!$K$2:$K$225,'03_DESPIECE'!$A$2:$A$225,B60,'03_DESPIECE'!$B$2:$B$225,C60)</f>
        <v>0</v>
      </c>
      <c r="L60" s="5" t="n">
        <f aca="false">SUMIFS('03_DESPIECE'!$L$2:$L$225,'03_DESPIECE'!$A$2:$A$225,B60,'03_DESPIECE'!$B$2:$B$225,C60)</f>
        <v>1</v>
      </c>
      <c r="M60" s="2" t="s">
        <v>629</v>
      </c>
    </row>
    <row r="61" customFormat="false" ht="15" hidden="false" customHeight="false" outlineLevel="0" collapsed="false">
      <c r="A61" s="2" t="s">
        <v>533</v>
      </c>
      <c r="B61" s="2" t="s">
        <v>80</v>
      </c>
      <c r="C61" s="2" t="s">
        <v>294</v>
      </c>
      <c r="D61" s="2" t="s">
        <v>188</v>
      </c>
      <c r="E61" s="5" t="n">
        <f aca="false">INDEX('08_PEDIDOS'!$D$2:$D$97,MATCH(A61,'08_PEDIDOS'!$A$2:$A$97,0))</f>
        <v>12</v>
      </c>
      <c r="F61" s="5" t="n">
        <f aca="false">SUMIFS('03_DESPIECE'!$D$2:$D$225,'03_DESPIECE'!$A$2:$A$225,B61,'03_DESPIECE'!$B$2:$B$225,C61)</f>
        <v>4</v>
      </c>
      <c r="G61" s="5" t="n">
        <f aca="false">E61*F61</f>
        <v>48</v>
      </c>
      <c r="H61" s="16" t="n">
        <f aca="false">SUMIFS('03_DESPIECE'!$J$2:$J$225,'03_DESPIECE'!$A$2:$A$225,B61,'03_DESPIECE'!$B$2:$B$225,C61)</f>
        <v>3.6</v>
      </c>
      <c r="I61" s="16" t="n">
        <f aca="false">E61*H61</f>
        <v>43.2</v>
      </c>
      <c r="J61" s="17" t="n">
        <f aca="false">E61*SUMIFS('03_DESPIECE'!$I$2:$I$225,'03_DESPIECE'!$A$2:$A$225,B61,'03_DESPIECE'!$B$2:$B$225,C61)</f>
        <v>0</v>
      </c>
      <c r="K61" s="19" t="n">
        <f aca="false">E61*SUMIFS('03_DESPIECE'!$K$2:$K$225,'03_DESPIECE'!$A$2:$A$225,B61,'03_DESPIECE'!$B$2:$B$225,C61)</f>
        <v>0</v>
      </c>
      <c r="L61" s="5" t="n">
        <f aca="false">SUMIFS('03_DESPIECE'!$L$2:$L$225,'03_DESPIECE'!$A$2:$A$225,B61,'03_DESPIECE'!$B$2:$B$225,C61)</f>
        <v>1</v>
      </c>
      <c r="M61" s="2" t="s">
        <v>629</v>
      </c>
    </row>
    <row r="62" customFormat="false" ht="15" hidden="false" customHeight="false" outlineLevel="0" collapsed="false">
      <c r="A62" s="2" t="s">
        <v>534</v>
      </c>
      <c r="B62" s="2" t="s">
        <v>83</v>
      </c>
      <c r="C62" s="2" t="s">
        <v>295</v>
      </c>
      <c r="D62" s="2" t="s">
        <v>184</v>
      </c>
      <c r="E62" s="5" t="n">
        <f aca="false">INDEX('08_PEDIDOS'!$D$2:$D$97,MATCH(A62,'08_PEDIDOS'!$A$2:$A$97,0))</f>
        <v>12</v>
      </c>
      <c r="F62" s="5" t="n">
        <f aca="false">SUMIFS('03_DESPIECE'!$D$2:$D$225,'03_DESPIECE'!$A$2:$A$225,B62,'03_DESPIECE'!$B$2:$B$225,C62)</f>
        <v>4</v>
      </c>
      <c r="G62" s="5" t="n">
        <f aca="false">E62*F62</f>
        <v>48</v>
      </c>
      <c r="H62" s="16" t="n">
        <f aca="false">SUMIFS('03_DESPIECE'!$J$2:$J$225,'03_DESPIECE'!$A$2:$A$225,B62,'03_DESPIECE'!$B$2:$B$225,C62)</f>
        <v>76.25</v>
      </c>
      <c r="I62" s="16" t="n">
        <f aca="false">E62*H62</f>
        <v>915</v>
      </c>
      <c r="J62" s="17" t="n">
        <f aca="false">E62*SUMIFS('03_DESPIECE'!$I$2:$I$225,'03_DESPIECE'!$A$2:$A$225,B62,'03_DESPIECE'!$B$2:$B$225,C62)</f>
        <v>144</v>
      </c>
      <c r="K62" s="19" t="n">
        <f aca="false">E62*SUMIFS('03_DESPIECE'!$K$2:$K$225,'03_DESPIECE'!$A$2:$A$225,B62,'03_DESPIECE'!$B$2:$B$225,C62)</f>
        <v>0</v>
      </c>
      <c r="L62" s="5" t="n">
        <f aca="false">SUMIFS('03_DESPIECE'!$L$2:$L$225,'03_DESPIECE'!$A$2:$A$225,B62,'03_DESPIECE'!$B$2:$B$225,C62)</f>
        <v>1</v>
      </c>
      <c r="M62" s="2" t="s">
        <v>629</v>
      </c>
    </row>
    <row r="63" customFormat="false" ht="15" hidden="false" customHeight="false" outlineLevel="0" collapsed="false">
      <c r="A63" s="2" t="s">
        <v>534</v>
      </c>
      <c r="B63" s="2" t="s">
        <v>83</v>
      </c>
      <c r="C63" s="2" t="s">
        <v>296</v>
      </c>
      <c r="D63" s="2" t="s">
        <v>184</v>
      </c>
      <c r="E63" s="5" t="n">
        <f aca="false">INDEX('08_PEDIDOS'!$D$2:$D$97,MATCH(A63,'08_PEDIDOS'!$A$2:$A$97,0))</f>
        <v>12</v>
      </c>
      <c r="F63" s="5" t="n">
        <f aca="false">SUMIFS('03_DESPIECE'!$D$2:$D$225,'03_DESPIECE'!$A$2:$A$225,B63,'03_DESPIECE'!$B$2:$B$225,C63)</f>
        <v>8</v>
      </c>
      <c r="G63" s="5" t="n">
        <f aca="false">E63*F63</f>
        <v>96</v>
      </c>
      <c r="H63" s="16" t="n">
        <f aca="false">SUMIFS('03_DESPIECE'!$J$2:$J$225,'03_DESPIECE'!$A$2:$A$225,B63,'03_DESPIECE'!$B$2:$B$225,C63)</f>
        <v>76.25</v>
      </c>
      <c r="I63" s="16" t="n">
        <f aca="false">E63*H63</f>
        <v>915</v>
      </c>
      <c r="J63" s="17" t="n">
        <f aca="false">E63*SUMIFS('03_DESPIECE'!$I$2:$I$225,'03_DESPIECE'!$A$2:$A$225,B63,'03_DESPIECE'!$B$2:$B$225,C63)</f>
        <v>144</v>
      </c>
      <c r="K63" s="19" t="n">
        <f aca="false">E63*SUMIFS('03_DESPIECE'!$K$2:$K$225,'03_DESPIECE'!$A$2:$A$225,B63,'03_DESPIECE'!$B$2:$B$225,C63)</f>
        <v>0</v>
      </c>
      <c r="L63" s="5" t="n">
        <f aca="false">SUMIFS('03_DESPIECE'!$L$2:$L$225,'03_DESPIECE'!$A$2:$A$225,B63,'03_DESPIECE'!$B$2:$B$225,C63)</f>
        <v>1</v>
      </c>
      <c r="M63" s="2" t="s">
        <v>629</v>
      </c>
    </row>
    <row r="64" customFormat="false" ht="15" hidden="false" customHeight="false" outlineLevel="0" collapsed="false">
      <c r="A64" s="2" t="s">
        <v>534</v>
      </c>
      <c r="B64" s="2" t="s">
        <v>83</v>
      </c>
      <c r="C64" s="2" t="s">
        <v>297</v>
      </c>
      <c r="D64" s="2" t="s">
        <v>184</v>
      </c>
      <c r="E64" s="5" t="n">
        <f aca="false">INDEX('08_PEDIDOS'!$D$2:$D$97,MATCH(A64,'08_PEDIDOS'!$A$2:$A$97,0))</f>
        <v>12</v>
      </c>
      <c r="F64" s="5" t="n">
        <f aca="false">SUMIFS('03_DESPIECE'!$D$2:$D$225,'03_DESPIECE'!$A$2:$A$225,B64,'03_DESPIECE'!$B$2:$B$225,C64)</f>
        <v>8</v>
      </c>
      <c r="G64" s="5" t="n">
        <f aca="false">E64*F64</f>
        <v>96</v>
      </c>
      <c r="H64" s="16" t="n">
        <f aca="false">SUMIFS('03_DESPIECE'!$J$2:$J$225,'03_DESPIECE'!$A$2:$A$225,B64,'03_DESPIECE'!$B$2:$B$225,C64)</f>
        <v>38.125</v>
      </c>
      <c r="I64" s="16" t="n">
        <f aca="false">E64*H64</f>
        <v>457.5</v>
      </c>
      <c r="J64" s="17" t="n">
        <f aca="false">E64*SUMIFS('03_DESPIECE'!$I$2:$I$225,'03_DESPIECE'!$A$2:$A$225,B64,'03_DESPIECE'!$B$2:$B$225,C64)</f>
        <v>72</v>
      </c>
      <c r="K64" s="19" t="n">
        <f aca="false">E64*SUMIFS('03_DESPIECE'!$K$2:$K$225,'03_DESPIECE'!$A$2:$A$225,B64,'03_DESPIECE'!$B$2:$B$225,C64)</f>
        <v>0</v>
      </c>
      <c r="L64" s="5" t="n">
        <f aca="false">SUMIFS('03_DESPIECE'!$L$2:$L$225,'03_DESPIECE'!$A$2:$A$225,B64,'03_DESPIECE'!$B$2:$B$225,C64)</f>
        <v>1</v>
      </c>
      <c r="M64" s="2" t="s">
        <v>629</v>
      </c>
    </row>
    <row r="65" customFormat="false" ht="15" hidden="false" customHeight="false" outlineLevel="0" collapsed="false">
      <c r="A65" s="2" t="s">
        <v>534</v>
      </c>
      <c r="B65" s="2" t="s">
        <v>83</v>
      </c>
      <c r="C65" s="2" t="s">
        <v>298</v>
      </c>
      <c r="D65" s="2" t="s">
        <v>170</v>
      </c>
      <c r="E65" s="5" t="n">
        <f aca="false">INDEX('08_PEDIDOS'!$D$2:$D$97,MATCH(A65,'08_PEDIDOS'!$A$2:$A$97,0))</f>
        <v>12</v>
      </c>
      <c r="F65" s="5" t="n">
        <f aca="false">SUMIFS('03_DESPIECE'!$D$2:$D$225,'03_DESPIECE'!$A$2:$A$225,B65,'03_DESPIECE'!$B$2:$B$225,C65)</f>
        <v>5</v>
      </c>
      <c r="G65" s="5" t="n">
        <f aca="false">E65*F65</f>
        <v>60</v>
      </c>
      <c r="H65" s="16" t="n">
        <f aca="false">SUMIFS('03_DESPIECE'!$J$2:$J$225,'03_DESPIECE'!$A$2:$A$225,B65,'03_DESPIECE'!$B$2:$B$225,C65)</f>
        <v>290.1086956522</v>
      </c>
      <c r="I65" s="16" t="n">
        <f aca="false">E65*H65</f>
        <v>3481.3043478264</v>
      </c>
      <c r="J65" s="17" t="n">
        <f aca="false">E65*SUMIFS('03_DESPIECE'!$I$2:$I$225,'03_DESPIECE'!$A$2:$A$225,B65,'03_DESPIECE'!$B$2:$B$225,C65)</f>
        <v>471</v>
      </c>
      <c r="K65" s="19" t="n">
        <f aca="false">E65*SUMIFS('03_DESPIECE'!$K$2:$K$225,'03_DESPIECE'!$A$2:$A$225,B65,'03_DESPIECE'!$B$2:$B$225,C65)</f>
        <v>10.4166666672</v>
      </c>
      <c r="L65" s="5" t="n">
        <f aca="false">SUMIFS('03_DESPIECE'!$L$2:$L$225,'03_DESPIECE'!$A$2:$A$225,B65,'03_DESPIECE'!$B$2:$B$225,C65)</f>
        <v>1</v>
      </c>
      <c r="M65" s="2" t="s">
        <v>629</v>
      </c>
    </row>
    <row r="66" customFormat="false" ht="15" hidden="false" customHeight="false" outlineLevel="0" collapsed="false">
      <c r="A66" s="2" t="s">
        <v>534</v>
      </c>
      <c r="B66" s="2" t="s">
        <v>83</v>
      </c>
      <c r="C66" s="2" t="s">
        <v>299</v>
      </c>
      <c r="D66" s="2" t="s">
        <v>170</v>
      </c>
      <c r="E66" s="5" t="n">
        <f aca="false">INDEX('08_PEDIDOS'!$D$2:$D$97,MATCH(A66,'08_PEDIDOS'!$A$2:$A$97,0))</f>
        <v>12</v>
      </c>
      <c r="F66" s="5" t="n">
        <f aca="false">SUMIFS('03_DESPIECE'!$D$2:$D$225,'03_DESPIECE'!$A$2:$A$225,B66,'03_DESPIECE'!$B$2:$B$225,C66)</f>
        <v>8</v>
      </c>
      <c r="G66" s="5" t="n">
        <f aca="false">E66*F66</f>
        <v>96</v>
      </c>
      <c r="H66" s="16" t="n">
        <f aca="false">SUMIFS('03_DESPIECE'!$J$2:$J$225,'03_DESPIECE'!$A$2:$A$225,B66,'03_DESPIECE'!$B$2:$B$225,C66)</f>
        <v>32.492173913</v>
      </c>
      <c r="I66" s="16" t="n">
        <f aca="false">E66*H66</f>
        <v>389.906086956</v>
      </c>
      <c r="J66" s="17" t="n">
        <f aca="false">E66*SUMIFS('03_DESPIECE'!$I$2:$I$225,'03_DESPIECE'!$A$2:$A$225,B66,'03_DESPIECE'!$B$2:$B$225,C66)</f>
        <v>52.752</v>
      </c>
      <c r="K66" s="19" t="n">
        <f aca="false">E66*SUMIFS('03_DESPIECE'!$K$2:$K$225,'03_DESPIECE'!$A$2:$A$225,B66,'03_DESPIECE'!$B$2:$B$225,C66)</f>
        <v>1.1666666664</v>
      </c>
      <c r="L66" s="5" t="n">
        <f aca="false">SUMIFS('03_DESPIECE'!$L$2:$L$225,'03_DESPIECE'!$A$2:$A$225,B66,'03_DESPIECE'!$B$2:$B$225,C66)</f>
        <v>1</v>
      </c>
      <c r="M66" s="2" t="s">
        <v>629</v>
      </c>
    </row>
    <row r="67" customFormat="false" ht="15" hidden="false" customHeight="false" outlineLevel="0" collapsed="false">
      <c r="A67" s="2" t="s">
        <v>534</v>
      </c>
      <c r="B67" s="2" t="s">
        <v>83</v>
      </c>
      <c r="C67" s="2" t="s">
        <v>300</v>
      </c>
      <c r="D67" s="2" t="s">
        <v>188</v>
      </c>
      <c r="E67" s="5" t="n">
        <f aca="false">INDEX('08_PEDIDOS'!$D$2:$D$97,MATCH(A67,'08_PEDIDOS'!$A$2:$A$97,0))</f>
        <v>12</v>
      </c>
      <c r="F67" s="5" t="n">
        <f aca="false">SUMIFS('03_DESPIECE'!$D$2:$D$225,'03_DESPIECE'!$A$2:$A$225,B67,'03_DESPIECE'!$B$2:$B$225,C67)</f>
        <v>28</v>
      </c>
      <c r="G67" s="5" t="n">
        <f aca="false">E67*F67</f>
        <v>336</v>
      </c>
      <c r="H67" s="16" t="n">
        <f aca="false">SUMIFS('03_DESPIECE'!$J$2:$J$225,'03_DESPIECE'!$A$2:$A$225,B67,'03_DESPIECE'!$B$2:$B$225,C67)</f>
        <v>25.2</v>
      </c>
      <c r="I67" s="16" t="n">
        <f aca="false">E67*H67</f>
        <v>302.4</v>
      </c>
      <c r="J67" s="17" t="n">
        <f aca="false">E67*SUMIFS('03_DESPIECE'!$I$2:$I$225,'03_DESPIECE'!$A$2:$A$225,B67,'03_DESPIECE'!$B$2:$B$225,C67)</f>
        <v>0</v>
      </c>
      <c r="K67" s="19" t="n">
        <f aca="false">E67*SUMIFS('03_DESPIECE'!$K$2:$K$225,'03_DESPIECE'!$A$2:$A$225,B67,'03_DESPIECE'!$B$2:$B$225,C67)</f>
        <v>0</v>
      </c>
      <c r="L67" s="5" t="n">
        <f aca="false">SUMIFS('03_DESPIECE'!$L$2:$L$225,'03_DESPIECE'!$A$2:$A$225,B67,'03_DESPIECE'!$B$2:$B$225,C67)</f>
        <v>1</v>
      </c>
      <c r="M67" s="2" t="s">
        <v>629</v>
      </c>
    </row>
    <row r="68" customFormat="false" ht="15" hidden="false" customHeight="false" outlineLevel="0" collapsed="false">
      <c r="A68" s="2" t="s">
        <v>535</v>
      </c>
      <c r="B68" s="2" t="s">
        <v>94</v>
      </c>
      <c r="C68" s="2" t="s">
        <v>301</v>
      </c>
      <c r="D68" s="2" t="s">
        <v>184</v>
      </c>
      <c r="E68" s="5" t="n">
        <f aca="false">INDEX('08_PEDIDOS'!$D$2:$D$97,MATCH(A68,'08_PEDIDOS'!$A$2:$A$97,0))</f>
        <v>7</v>
      </c>
      <c r="F68" s="5" t="n">
        <f aca="false">SUMIFS('03_DESPIECE'!$D$2:$D$225,'03_DESPIECE'!$A$2:$A$225,B68,'03_DESPIECE'!$B$2:$B$225,C68)</f>
        <v>2</v>
      </c>
      <c r="G68" s="5" t="n">
        <f aca="false">E68*F68</f>
        <v>14</v>
      </c>
      <c r="H68" s="16" t="n">
        <f aca="false">SUMIFS('03_DESPIECE'!$J$2:$J$225,'03_DESPIECE'!$A$2:$A$225,B68,'03_DESPIECE'!$B$2:$B$225,C68)</f>
        <v>31.453125</v>
      </c>
      <c r="I68" s="16" t="n">
        <f aca="false">E68*H68</f>
        <v>220.171875</v>
      </c>
      <c r="J68" s="17" t="n">
        <f aca="false">E68*SUMIFS('03_DESPIECE'!$I$2:$I$225,'03_DESPIECE'!$A$2:$A$225,B68,'03_DESPIECE'!$B$2:$B$225,C68)</f>
        <v>34.65</v>
      </c>
      <c r="K68" s="19" t="n">
        <f aca="false">E68*SUMIFS('03_DESPIECE'!$K$2:$K$225,'03_DESPIECE'!$A$2:$A$225,B68,'03_DESPIECE'!$B$2:$B$225,C68)</f>
        <v>0</v>
      </c>
      <c r="L68" s="5" t="n">
        <f aca="false">SUMIFS('03_DESPIECE'!$L$2:$L$225,'03_DESPIECE'!$A$2:$A$225,B68,'03_DESPIECE'!$B$2:$B$225,C68)</f>
        <v>1</v>
      </c>
      <c r="M68" s="2" t="s">
        <v>629</v>
      </c>
    </row>
    <row r="69" customFormat="false" ht="15" hidden="false" customHeight="false" outlineLevel="0" collapsed="false">
      <c r="A69" s="2" t="s">
        <v>535</v>
      </c>
      <c r="B69" s="2" t="s">
        <v>94</v>
      </c>
      <c r="C69" s="2" t="s">
        <v>302</v>
      </c>
      <c r="D69" s="2" t="s">
        <v>174</v>
      </c>
      <c r="E69" s="5" t="n">
        <f aca="false">INDEX('08_PEDIDOS'!$D$2:$D$97,MATCH(A69,'08_PEDIDOS'!$A$2:$A$97,0))</f>
        <v>7</v>
      </c>
      <c r="F69" s="5" t="n">
        <f aca="false">SUMIFS('03_DESPIECE'!$D$2:$D$225,'03_DESPIECE'!$A$2:$A$225,B69,'03_DESPIECE'!$B$2:$B$225,C69)</f>
        <v>2</v>
      </c>
      <c r="G69" s="5" t="n">
        <f aca="false">E69*F69</f>
        <v>14</v>
      </c>
      <c r="H69" s="16" t="n">
        <f aca="false">SUMIFS('03_DESPIECE'!$J$2:$J$225,'03_DESPIECE'!$A$2:$A$225,B69,'03_DESPIECE'!$B$2:$B$225,C69)</f>
        <v>34.8130434783</v>
      </c>
      <c r="I69" s="16" t="n">
        <f aca="false">E69*H69</f>
        <v>243.6913043481</v>
      </c>
      <c r="J69" s="17" t="n">
        <f aca="false">E69*SUMIFS('03_DESPIECE'!$I$2:$I$225,'03_DESPIECE'!$A$2:$A$225,B69,'03_DESPIECE'!$B$2:$B$225,C69)</f>
        <v>32.97</v>
      </c>
      <c r="K69" s="19" t="n">
        <f aca="false">E69*SUMIFS('03_DESPIECE'!$K$2:$K$225,'03_DESPIECE'!$A$2:$A$225,B69,'03_DESPIECE'!$B$2:$B$225,C69)</f>
        <v>1.4583333331</v>
      </c>
      <c r="L69" s="5" t="n">
        <f aca="false">SUMIFS('03_DESPIECE'!$L$2:$L$225,'03_DESPIECE'!$A$2:$A$225,B69,'03_DESPIECE'!$B$2:$B$225,C69)</f>
        <v>1</v>
      </c>
      <c r="M69" s="2" t="s">
        <v>629</v>
      </c>
    </row>
    <row r="70" customFormat="false" ht="15" hidden="false" customHeight="false" outlineLevel="0" collapsed="false">
      <c r="A70" s="2" t="s">
        <v>535</v>
      </c>
      <c r="B70" s="2" t="s">
        <v>94</v>
      </c>
      <c r="C70" s="2" t="s">
        <v>303</v>
      </c>
      <c r="D70" s="2" t="s">
        <v>174</v>
      </c>
      <c r="E70" s="5" t="n">
        <f aca="false">INDEX('08_PEDIDOS'!$D$2:$D$97,MATCH(A70,'08_PEDIDOS'!$A$2:$A$97,0))</f>
        <v>7</v>
      </c>
      <c r="F70" s="5" t="n">
        <f aca="false">SUMIFS('03_DESPIECE'!$D$2:$D$225,'03_DESPIECE'!$A$2:$A$225,B70,'03_DESPIECE'!$B$2:$B$225,C70)</f>
        <v>4</v>
      </c>
      <c r="G70" s="5" t="n">
        <f aca="false">E70*F70</f>
        <v>28</v>
      </c>
      <c r="H70" s="16" t="n">
        <f aca="false">SUMIFS('03_DESPIECE'!$J$2:$J$225,'03_DESPIECE'!$A$2:$A$225,B70,'03_DESPIECE'!$B$2:$B$225,C70)</f>
        <v>129.9686956522</v>
      </c>
      <c r="I70" s="16" t="n">
        <f aca="false">E70*H70</f>
        <v>909.7808695654</v>
      </c>
      <c r="J70" s="17" t="n">
        <f aca="false">E70*SUMIFS('03_DESPIECE'!$I$2:$I$225,'03_DESPIECE'!$A$2:$A$225,B70,'03_DESPIECE'!$B$2:$B$225,C70)</f>
        <v>123.088</v>
      </c>
      <c r="K70" s="19" t="n">
        <f aca="false">E70*SUMIFS('03_DESPIECE'!$K$2:$K$225,'03_DESPIECE'!$A$2:$A$225,B70,'03_DESPIECE'!$B$2:$B$225,C70)</f>
        <v>5.4444444446</v>
      </c>
      <c r="L70" s="5" t="n">
        <f aca="false">SUMIFS('03_DESPIECE'!$L$2:$L$225,'03_DESPIECE'!$A$2:$A$225,B70,'03_DESPIECE'!$B$2:$B$225,C70)</f>
        <v>1</v>
      </c>
      <c r="M70" s="2" t="s">
        <v>629</v>
      </c>
    </row>
    <row r="71" customFormat="false" ht="15" hidden="false" customHeight="false" outlineLevel="0" collapsed="false">
      <c r="A71" s="2" t="s">
        <v>535</v>
      </c>
      <c r="B71" s="2" t="s">
        <v>94</v>
      </c>
      <c r="C71" s="2" t="s">
        <v>304</v>
      </c>
      <c r="D71" s="2" t="s">
        <v>174</v>
      </c>
      <c r="E71" s="5" t="n">
        <f aca="false">INDEX('08_PEDIDOS'!$D$2:$D$97,MATCH(A71,'08_PEDIDOS'!$A$2:$A$97,0))</f>
        <v>7</v>
      </c>
      <c r="F71" s="5" t="n">
        <f aca="false">SUMIFS('03_DESPIECE'!$D$2:$D$225,'03_DESPIECE'!$A$2:$A$225,B71,'03_DESPIECE'!$B$2:$B$225,C71)</f>
        <v>8</v>
      </c>
      <c r="G71" s="5" t="n">
        <f aca="false">E71*F71</f>
        <v>56</v>
      </c>
      <c r="H71" s="16" t="n">
        <f aca="false">SUMIFS('03_DESPIECE'!$J$2:$J$225,'03_DESPIECE'!$A$2:$A$225,B71,'03_DESPIECE'!$B$2:$B$225,C71)</f>
        <v>185.6695652174</v>
      </c>
      <c r="I71" s="16" t="n">
        <f aca="false">E71*H71</f>
        <v>1299.6869565218</v>
      </c>
      <c r="J71" s="17" t="n">
        <f aca="false">E71*SUMIFS('03_DESPIECE'!$I$2:$I$225,'03_DESPIECE'!$A$2:$A$225,B71,'03_DESPIECE'!$B$2:$B$225,C71)</f>
        <v>175.84</v>
      </c>
      <c r="K71" s="19" t="n">
        <f aca="false">E71*SUMIFS('03_DESPIECE'!$K$2:$K$225,'03_DESPIECE'!$A$2:$A$225,B71,'03_DESPIECE'!$B$2:$B$225,C71)</f>
        <v>7.7777777777</v>
      </c>
      <c r="L71" s="5" t="n">
        <f aca="false">SUMIFS('03_DESPIECE'!$L$2:$L$225,'03_DESPIECE'!$A$2:$A$225,B71,'03_DESPIECE'!$B$2:$B$225,C71)</f>
        <v>1</v>
      </c>
      <c r="M71" s="2" t="s">
        <v>629</v>
      </c>
    </row>
    <row r="72" customFormat="false" ht="15" hidden="false" customHeight="false" outlineLevel="0" collapsed="false">
      <c r="A72" s="2" t="s">
        <v>535</v>
      </c>
      <c r="B72" s="2" t="s">
        <v>94</v>
      </c>
      <c r="C72" s="2" t="s">
        <v>305</v>
      </c>
      <c r="D72" s="2" t="s">
        <v>174</v>
      </c>
      <c r="E72" s="5" t="n">
        <f aca="false">INDEX('08_PEDIDOS'!$D$2:$D$97,MATCH(A72,'08_PEDIDOS'!$A$2:$A$97,0))</f>
        <v>7</v>
      </c>
      <c r="F72" s="5" t="n">
        <f aca="false">SUMIFS('03_DESPIECE'!$D$2:$D$225,'03_DESPIECE'!$A$2:$A$225,B72,'03_DESPIECE'!$B$2:$B$225,C72)</f>
        <v>16</v>
      </c>
      <c r="G72" s="5" t="n">
        <f aca="false">E72*F72</f>
        <v>112</v>
      </c>
      <c r="H72" s="16" t="n">
        <f aca="false">SUMIFS('03_DESPIECE'!$J$2:$J$225,'03_DESPIECE'!$A$2:$A$225,B72,'03_DESPIECE'!$B$2:$B$225,C72)</f>
        <v>37.1339130435</v>
      </c>
      <c r="I72" s="16" t="n">
        <f aca="false">E72*H72</f>
        <v>259.9373913045</v>
      </c>
      <c r="J72" s="17" t="n">
        <f aca="false">E72*SUMIFS('03_DESPIECE'!$I$2:$I$225,'03_DESPIECE'!$A$2:$A$225,B72,'03_DESPIECE'!$B$2:$B$225,C72)</f>
        <v>35.168</v>
      </c>
      <c r="K72" s="19" t="n">
        <f aca="false">E72*SUMIFS('03_DESPIECE'!$K$2:$K$225,'03_DESPIECE'!$A$2:$A$225,B72,'03_DESPIECE'!$B$2:$B$225,C72)</f>
        <v>1.5555555554</v>
      </c>
      <c r="L72" s="5" t="n">
        <f aca="false">SUMIFS('03_DESPIECE'!$L$2:$L$225,'03_DESPIECE'!$A$2:$A$225,B72,'03_DESPIECE'!$B$2:$B$225,C72)</f>
        <v>1</v>
      </c>
      <c r="M72" s="2" t="s">
        <v>629</v>
      </c>
    </row>
    <row r="73" customFormat="false" ht="15" hidden="false" customHeight="false" outlineLevel="0" collapsed="false">
      <c r="A73" s="2" t="s">
        <v>535</v>
      </c>
      <c r="B73" s="2" t="s">
        <v>94</v>
      </c>
      <c r="C73" s="2" t="s">
        <v>306</v>
      </c>
      <c r="D73" s="2" t="s">
        <v>174</v>
      </c>
      <c r="E73" s="5" t="n">
        <f aca="false">INDEX('08_PEDIDOS'!$D$2:$D$97,MATCH(A73,'08_PEDIDOS'!$A$2:$A$97,0))</f>
        <v>7</v>
      </c>
      <c r="F73" s="5" t="n">
        <f aca="false">SUMIFS('03_DESPIECE'!$D$2:$D$225,'03_DESPIECE'!$A$2:$A$225,B73,'03_DESPIECE'!$B$2:$B$225,C73)</f>
        <v>2</v>
      </c>
      <c r="G73" s="5" t="n">
        <f aca="false">E73*F73</f>
        <v>14</v>
      </c>
      <c r="H73" s="16" t="n">
        <f aca="false">SUMIFS('03_DESPIECE'!$J$2:$J$225,'03_DESPIECE'!$A$2:$A$225,B73,'03_DESPIECE'!$B$2:$B$225,C73)</f>
        <v>13.9252173913</v>
      </c>
      <c r="I73" s="16" t="n">
        <f aca="false">E73*H73</f>
        <v>97.4765217391</v>
      </c>
      <c r="J73" s="17" t="n">
        <f aca="false">E73*SUMIFS('03_DESPIECE'!$I$2:$I$225,'03_DESPIECE'!$A$2:$A$225,B73,'03_DESPIECE'!$B$2:$B$225,C73)</f>
        <v>13.188</v>
      </c>
      <c r="K73" s="19" t="n">
        <f aca="false">E73*SUMIFS('03_DESPIECE'!$K$2:$K$225,'03_DESPIECE'!$A$2:$A$225,B73,'03_DESPIECE'!$B$2:$B$225,C73)</f>
        <v>0.5833333331</v>
      </c>
      <c r="L73" s="5" t="n">
        <f aca="false">SUMIFS('03_DESPIECE'!$L$2:$L$225,'03_DESPIECE'!$A$2:$A$225,B73,'03_DESPIECE'!$B$2:$B$225,C73)</f>
        <v>1</v>
      </c>
      <c r="M73" s="2" t="s">
        <v>629</v>
      </c>
    </row>
    <row r="74" customFormat="false" ht="15" hidden="false" customHeight="false" outlineLevel="0" collapsed="false">
      <c r="A74" s="2" t="s">
        <v>535</v>
      </c>
      <c r="B74" s="2" t="s">
        <v>94</v>
      </c>
      <c r="C74" s="2" t="s">
        <v>307</v>
      </c>
      <c r="D74" s="2" t="s">
        <v>188</v>
      </c>
      <c r="E74" s="5" t="n">
        <f aca="false">INDEX('08_PEDIDOS'!$D$2:$D$97,MATCH(A74,'08_PEDIDOS'!$A$2:$A$97,0))</f>
        <v>7</v>
      </c>
      <c r="F74" s="5" t="n">
        <f aca="false">SUMIFS('03_DESPIECE'!$D$2:$D$225,'03_DESPIECE'!$A$2:$A$225,B74,'03_DESPIECE'!$B$2:$B$225,C74)</f>
        <v>36</v>
      </c>
      <c r="G74" s="5" t="n">
        <f aca="false">E74*F74</f>
        <v>252</v>
      </c>
      <c r="H74" s="16" t="n">
        <f aca="false">SUMIFS('03_DESPIECE'!$J$2:$J$225,'03_DESPIECE'!$A$2:$A$225,B74,'03_DESPIECE'!$B$2:$B$225,C74)</f>
        <v>32.4</v>
      </c>
      <c r="I74" s="16" t="n">
        <f aca="false">E74*H74</f>
        <v>226.8</v>
      </c>
      <c r="J74" s="17" t="n">
        <f aca="false">E74*SUMIFS('03_DESPIECE'!$I$2:$I$225,'03_DESPIECE'!$A$2:$A$225,B74,'03_DESPIECE'!$B$2:$B$225,C74)</f>
        <v>0</v>
      </c>
      <c r="K74" s="19" t="n">
        <f aca="false">E74*SUMIFS('03_DESPIECE'!$K$2:$K$225,'03_DESPIECE'!$A$2:$A$225,B74,'03_DESPIECE'!$B$2:$B$225,C74)</f>
        <v>0</v>
      </c>
      <c r="L74" s="5" t="n">
        <f aca="false">SUMIFS('03_DESPIECE'!$L$2:$L$225,'03_DESPIECE'!$A$2:$A$225,B74,'03_DESPIECE'!$B$2:$B$225,C74)</f>
        <v>1</v>
      </c>
      <c r="M74" s="2" t="s">
        <v>629</v>
      </c>
    </row>
    <row r="75" customFormat="false" ht="15" hidden="false" customHeight="false" outlineLevel="0" collapsed="false">
      <c r="A75" s="2" t="s">
        <v>536</v>
      </c>
      <c r="B75" s="2" t="s">
        <v>96</v>
      </c>
      <c r="C75" s="2" t="s">
        <v>308</v>
      </c>
      <c r="D75" s="2" t="s">
        <v>184</v>
      </c>
      <c r="E75" s="5" t="n">
        <f aca="false">INDEX('08_PEDIDOS'!$D$2:$D$97,MATCH(A75,'08_PEDIDOS'!$A$2:$A$97,0))</f>
        <v>7</v>
      </c>
      <c r="F75" s="5" t="n">
        <f aca="false">SUMIFS('03_DESPIECE'!$D$2:$D$225,'03_DESPIECE'!$A$2:$A$225,B75,'03_DESPIECE'!$B$2:$B$225,C75)</f>
        <v>2</v>
      </c>
      <c r="G75" s="5" t="n">
        <f aca="false">E75*F75</f>
        <v>14</v>
      </c>
      <c r="H75" s="16" t="n">
        <f aca="false">SUMIFS('03_DESPIECE'!$J$2:$J$225,'03_DESPIECE'!$A$2:$A$225,B75,'03_DESPIECE'!$B$2:$B$225,C75)</f>
        <v>36.21875</v>
      </c>
      <c r="I75" s="16" t="n">
        <f aca="false">E75*H75</f>
        <v>253.53125</v>
      </c>
      <c r="J75" s="17" t="n">
        <f aca="false">E75*SUMIFS('03_DESPIECE'!$I$2:$I$225,'03_DESPIECE'!$A$2:$A$225,B75,'03_DESPIECE'!$B$2:$B$225,C75)</f>
        <v>39.9</v>
      </c>
      <c r="K75" s="19" t="n">
        <f aca="false">E75*SUMIFS('03_DESPIECE'!$K$2:$K$225,'03_DESPIECE'!$A$2:$A$225,B75,'03_DESPIECE'!$B$2:$B$225,C75)</f>
        <v>0</v>
      </c>
      <c r="L75" s="5" t="n">
        <f aca="false">SUMIFS('03_DESPIECE'!$L$2:$L$225,'03_DESPIECE'!$A$2:$A$225,B75,'03_DESPIECE'!$B$2:$B$225,C75)</f>
        <v>1</v>
      </c>
      <c r="M75" s="2" t="s">
        <v>629</v>
      </c>
    </row>
    <row r="76" customFormat="false" ht="15" hidden="false" customHeight="false" outlineLevel="0" collapsed="false">
      <c r="A76" s="2" t="s">
        <v>536</v>
      </c>
      <c r="B76" s="2" t="s">
        <v>96</v>
      </c>
      <c r="C76" s="2" t="s">
        <v>309</v>
      </c>
      <c r="D76" s="2" t="s">
        <v>174</v>
      </c>
      <c r="E76" s="5" t="n">
        <f aca="false">INDEX('08_PEDIDOS'!$D$2:$D$97,MATCH(A76,'08_PEDIDOS'!$A$2:$A$97,0))</f>
        <v>7</v>
      </c>
      <c r="F76" s="5" t="n">
        <f aca="false">SUMIFS('03_DESPIECE'!$D$2:$D$225,'03_DESPIECE'!$A$2:$A$225,B76,'03_DESPIECE'!$B$2:$B$225,C76)</f>
        <v>3</v>
      </c>
      <c r="G76" s="5" t="n">
        <f aca="false">E76*F76</f>
        <v>21</v>
      </c>
      <c r="H76" s="16" t="n">
        <f aca="false">SUMIFS('03_DESPIECE'!$J$2:$J$225,'03_DESPIECE'!$A$2:$A$225,B76,'03_DESPIECE'!$B$2:$B$225,C76)</f>
        <v>95.7358695652</v>
      </c>
      <c r="I76" s="16" t="n">
        <f aca="false">E76*H76</f>
        <v>670.1510869564</v>
      </c>
      <c r="J76" s="17" t="n">
        <f aca="false">E76*SUMIFS('03_DESPIECE'!$I$2:$I$225,'03_DESPIECE'!$A$2:$A$225,B76,'03_DESPIECE'!$B$2:$B$225,C76)</f>
        <v>90.6675</v>
      </c>
      <c r="K76" s="19" t="n">
        <f aca="false">E76*SUMIFS('03_DESPIECE'!$K$2:$K$225,'03_DESPIECE'!$A$2:$A$225,B76,'03_DESPIECE'!$B$2:$B$225,C76)</f>
        <v>4.0104166669</v>
      </c>
      <c r="L76" s="5" t="n">
        <f aca="false">SUMIFS('03_DESPIECE'!$L$2:$L$225,'03_DESPIECE'!$A$2:$A$225,B76,'03_DESPIECE'!$B$2:$B$225,C76)</f>
        <v>1</v>
      </c>
      <c r="M76" s="2" t="s">
        <v>629</v>
      </c>
    </row>
    <row r="77" customFormat="false" ht="15" hidden="false" customHeight="false" outlineLevel="0" collapsed="false">
      <c r="A77" s="2" t="s">
        <v>536</v>
      </c>
      <c r="B77" s="2" t="s">
        <v>96</v>
      </c>
      <c r="C77" s="2" t="s">
        <v>310</v>
      </c>
      <c r="D77" s="2" t="s">
        <v>174</v>
      </c>
      <c r="E77" s="5" t="n">
        <f aca="false">INDEX('08_PEDIDOS'!$D$2:$D$97,MATCH(A77,'08_PEDIDOS'!$A$2:$A$97,0))</f>
        <v>7</v>
      </c>
      <c r="F77" s="5" t="n">
        <f aca="false">SUMIFS('03_DESPIECE'!$D$2:$D$225,'03_DESPIECE'!$A$2:$A$225,B77,'03_DESPIECE'!$B$2:$B$225,C77)</f>
        <v>5</v>
      </c>
      <c r="G77" s="5" t="n">
        <f aca="false">E77*F77</f>
        <v>35</v>
      </c>
      <c r="H77" s="16" t="n">
        <f aca="false">SUMIFS('03_DESPIECE'!$J$2:$J$225,'03_DESPIECE'!$A$2:$A$225,B77,'03_DESPIECE'!$B$2:$B$225,C77)</f>
        <v>121.8456521739</v>
      </c>
      <c r="I77" s="16" t="n">
        <f aca="false">E77*H77</f>
        <v>852.9195652173</v>
      </c>
      <c r="J77" s="17" t="n">
        <f aca="false">E77*SUMIFS('03_DESPIECE'!$I$2:$I$225,'03_DESPIECE'!$A$2:$A$225,B77,'03_DESPIECE'!$B$2:$B$225,C77)</f>
        <v>115.395</v>
      </c>
      <c r="K77" s="19" t="n">
        <f aca="false">E77*SUMIFS('03_DESPIECE'!$K$2:$K$225,'03_DESPIECE'!$A$2:$A$225,B77,'03_DESPIECE'!$B$2:$B$225,C77)</f>
        <v>5.1041666669</v>
      </c>
      <c r="L77" s="5" t="n">
        <f aca="false">SUMIFS('03_DESPIECE'!$L$2:$L$225,'03_DESPIECE'!$A$2:$A$225,B77,'03_DESPIECE'!$B$2:$B$225,C77)</f>
        <v>1</v>
      </c>
      <c r="M77" s="2" t="s">
        <v>629</v>
      </c>
    </row>
    <row r="78" customFormat="false" ht="15" hidden="false" customHeight="false" outlineLevel="0" collapsed="false">
      <c r="A78" s="2" t="s">
        <v>536</v>
      </c>
      <c r="B78" s="2" t="s">
        <v>96</v>
      </c>
      <c r="C78" s="2" t="s">
        <v>311</v>
      </c>
      <c r="D78" s="2" t="s">
        <v>174</v>
      </c>
      <c r="E78" s="5" t="n">
        <f aca="false">INDEX('08_PEDIDOS'!$D$2:$D$97,MATCH(A78,'08_PEDIDOS'!$A$2:$A$97,0))</f>
        <v>7</v>
      </c>
      <c r="F78" s="5" t="n">
        <f aca="false">SUMIFS('03_DESPIECE'!$D$2:$D$225,'03_DESPIECE'!$A$2:$A$225,B78,'03_DESPIECE'!$B$2:$B$225,C78)</f>
        <v>10</v>
      </c>
      <c r="G78" s="5" t="n">
        <f aca="false">E78*F78</f>
        <v>70</v>
      </c>
      <c r="H78" s="16" t="n">
        <f aca="false">SUMIFS('03_DESPIECE'!$J$2:$J$225,'03_DESPIECE'!$A$2:$A$225,B78,'03_DESPIECE'!$B$2:$B$225,C78)</f>
        <v>23.2086956522</v>
      </c>
      <c r="I78" s="16" t="n">
        <f aca="false">E78*H78</f>
        <v>162.4608695654</v>
      </c>
      <c r="J78" s="17" t="n">
        <f aca="false">E78*SUMIFS('03_DESPIECE'!$I$2:$I$225,'03_DESPIECE'!$A$2:$A$225,B78,'03_DESPIECE'!$B$2:$B$225,C78)</f>
        <v>21.98</v>
      </c>
      <c r="K78" s="19" t="n">
        <f aca="false">E78*SUMIFS('03_DESPIECE'!$K$2:$K$225,'03_DESPIECE'!$A$2:$A$225,B78,'03_DESPIECE'!$B$2:$B$225,C78)</f>
        <v>0.9722222223</v>
      </c>
      <c r="L78" s="5" t="n">
        <f aca="false">SUMIFS('03_DESPIECE'!$L$2:$L$225,'03_DESPIECE'!$A$2:$A$225,B78,'03_DESPIECE'!$B$2:$B$225,C78)</f>
        <v>1</v>
      </c>
      <c r="M78" s="2" t="s">
        <v>629</v>
      </c>
    </row>
    <row r="79" customFormat="false" ht="15" hidden="false" customHeight="false" outlineLevel="0" collapsed="false">
      <c r="A79" s="2" t="s">
        <v>536</v>
      </c>
      <c r="B79" s="2" t="s">
        <v>96</v>
      </c>
      <c r="C79" s="2" t="s">
        <v>312</v>
      </c>
      <c r="D79" s="2" t="s">
        <v>174</v>
      </c>
      <c r="E79" s="5" t="n">
        <f aca="false">INDEX('08_PEDIDOS'!$D$2:$D$97,MATCH(A79,'08_PEDIDOS'!$A$2:$A$97,0))</f>
        <v>7</v>
      </c>
      <c r="F79" s="5" t="n">
        <f aca="false">SUMIFS('03_DESPIECE'!$D$2:$D$225,'03_DESPIECE'!$A$2:$A$225,B79,'03_DESPIECE'!$B$2:$B$225,C79)</f>
        <v>2</v>
      </c>
      <c r="G79" s="5" t="n">
        <f aca="false">E79*F79</f>
        <v>14</v>
      </c>
      <c r="H79" s="16" t="n">
        <f aca="false">SUMIFS('03_DESPIECE'!$J$2:$J$225,'03_DESPIECE'!$A$2:$A$225,B79,'03_DESPIECE'!$B$2:$B$225,C79)</f>
        <v>29.0108695652</v>
      </c>
      <c r="I79" s="16" t="n">
        <f aca="false">E79*H79</f>
        <v>203.0760869564</v>
      </c>
      <c r="J79" s="17" t="n">
        <f aca="false">E79*SUMIFS('03_DESPIECE'!$I$2:$I$225,'03_DESPIECE'!$A$2:$A$225,B79,'03_DESPIECE'!$B$2:$B$225,C79)</f>
        <v>27.475</v>
      </c>
      <c r="K79" s="19" t="n">
        <f aca="false">E79*SUMIFS('03_DESPIECE'!$K$2:$K$225,'03_DESPIECE'!$A$2:$A$225,B79,'03_DESPIECE'!$B$2:$B$225,C79)</f>
        <v>1.2152777777</v>
      </c>
      <c r="L79" s="5" t="n">
        <f aca="false">SUMIFS('03_DESPIECE'!$L$2:$L$225,'03_DESPIECE'!$A$2:$A$225,B79,'03_DESPIECE'!$B$2:$B$225,C79)</f>
        <v>1</v>
      </c>
      <c r="M79" s="2" t="s">
        <v>629</v>
      </c>
    </row>
    <row r="80" customFormat="false" ht="15" hidden="false" customHeight="false" outlineLevel="0" collapsed="false">
      <c r="A80" s="2" t="s">
        <v>536</v>
      </c>
      <c r="B80" s="2" t="s">
        <v>96</v>
      </c>
      <c r="C80" s="2" t="s">
        <v>313</v>
      </c>
      <c r="D80" s="2" t="s">
        <v>188</v>
      </c>
      <c r="E80" s="5" t="n">
        <f aca="false">INDEX('08_PEDIDOS'!$D$2:$D$97,MATCH(A80,'08_PEDIDOS'!$A$2:$A$97,0))</f>
        <v>7</v>
      </c>
      <c r="F80" s="5" t="n">
        <f aca="false">SUMIFS('03_DESPIECE'!$D$2:$D$225,'03_DESPIECE'!$A$2:$A$225,B80,'03_DESPIECE'!$B$2:$B$225,C80)</f>
        <v>26</v>
      </c>
      <c r="G80" s="5" t="n">
        <f aca="false">E80*F80</f>
        <v>182</v>
      </c>
      <c r="H80" s="16" t="n">
        <f aca="false">SUMIFS('03_DESPIECE'!$J$2:$J$225,'03_DESPIECE'!$A$2:$A$225,B80,'03_DESPIECE'!$B$2:$B$225,C80)</f>
        <v>23.4</v>
      </c>
      <c r="I80" s="16" t="n">
        <f aca="false">E80*H80</f>
        <v>163.8</v>
      </c>
      <c r="J80" s="17" t="n">
        <f aca="false">E80*SUMIFS('03_DESPIECE'!$I$2:$I$225,'03_DESPIECE'!$A$2:$A$225,B80,'03_DESPIECE'!$B$2:$B$225,C80)</f>
        <v>0</v>
      </c>
      <c r="K80" s="19" t="n">
        <f aca="false">E80*SUMIFS('03_DESPIECE'!$K$2:$K$225,'03_DESPIECE'!$A$2:$A$225,B80,'03_DESPIECE'!$B$2:$B$225,C80)</f>
        <v>0</v>
      </c>
      <c r="L80" s="5" t="n">
        <f aca="false">SUMIFS('03_DESPIECE'!$L$2:$L$225,'03_DESPIECE'!$A$2:$A$225,B80,'03_DESPIECE'!$B$2:$B$225,C80)</f>
        <v>1</v>
      </c>
      <c r="M80" s="2" t="s">
        <v>629</v>
      </c>
    </row>
    <row r="81" customFormat="false" ht="15" hidden="false" customHeight="false" outlineLevel="0" collapsed="false">
      <c r="A81" s="2" t="s">
        <v>537</v>
      </c>
      <c r="B81" s="2" t="s">
        <v>106</v>
      </c>
      <c r="C81" s="2" t="s">
        <v>314</v>
      </c>
      <c r="D81" s="2" t="s">
        <v>176</v>
      </c>
      <c r="E81" s="5" t="n">
        <f aca="false">INDEX('08_PEDIDOS'!$D$2:$D$97,MATCH(A81,'08_PEDIDOS'!$A$2:$A$97,0))</f>
        <v>5</v>
      </c>
      <c r="F81" s="5" t="n">
        <f aca="false">SUMIFS('03_DESPIECE'!$D$2:$D$225,'03_DESPIECE'!$A$2:$A$225,B81,'03_DESPIECE'!$B$2:$B$225,C81)</f>
        <v>2</v>
      </c>
      <c r="G81" s="5" t="n">
        <f aca="false">E81*F81</f>
        <v>10</v>
      </c>
      <c r="H81" s="16" t="n">
        <f aca="false">SUMIFS('03_DESPIECE'!$J$2:$J$225,'03_DESPIECE'!$A$2:$A$225,B81,'03_DESPIECE'!$B$2:$B$225,C81)</f>
        <v>165.3619565217</v>
      </c>
      <c r="I81" s="16" t="n">
        <f aca="false">E81*H81</f>
        <v>826.8097826085</v>
      </c>
      <c r="J81" s="17" t="n">
        <f aca="false">E81*SUMIFS('03_DESPIECE'!$I$2:$I$225,'03_DESPIECE'!$A$2:$A$225,B81,'03_DESPIECE'!$B$2:$B$225,C81)</f>
        <v>111.8625</v>
      </c>
      <c r="K81" s="19" t="n">
        <f aca="false">E81*SUMIFS('03_DESPIECE'!$K$2:$K$225,'03_DESPIECE'!$A$2:$A$225,B81,'03_DESPIECE'!$B$2:$B$225,C81)</f>
        <v>3.298611111</v>
      </c>
      <c r="L81" s="5" t="n">
        <f aca="false">SUMIFS('03_DESPIECE'!$L$2:$L$225,'03_DESPIECE'!$A$2:$A$225,B81,'03_DESPIECE'!$B$2:$B$225,C81)</f>
        <v>1</v>
      </c>
      <c r="M81" s="2" t="s">
        <v>629</v>
      </c>
    </row>
    <row r="82" customFormat="false" ht="15" hidden="false" customHeight="false" outlineLevel="0" collapsed="false">
      <c r="A82" s="2" t="s">
        <v>537</v>
      </c>
      <c r="B82" s="2" t="s">
        <v>106</v>
      </c>
      <c r="C82" s="2" t="s">
        <v>315</v>
      </c>
      <c r="D82" s="2" t="s">
        <v>176</v>
      </c>
      <c r="E82" s="5" t="n">
        <f aca="false">INDEX('08_PEDIDOS'!$D$2:$D$97,MATCH(A82,'08_PEDIDOS'!$A$2:$A$97,0))</f>
        <v>5</v>
      </c>
      <c r="F82" s="5" t="n">
        <f aca="false">SUMIFS('03_DESPIECE'!$D$2:$D$225,'03_DESPIECE'!$A$2:$A$225,B82,'03_DESPIECE'!$B$2:$B$225,C82)</f>
        <v>2</v>
      </c>
      <c r="G82" s="5" t="n">
        <f aca="false">E82*F82</f>
        <v>10</v>
      </c>
      <c r="H82" s="16" t="n">
        <f aca="false">SUMIFS('03_DESPIECE'!$J$2:$J$225,'03_DESPIECE'!$A$2:$A$225,B82,'03_DESPIECE'!$B$2:$B$225,C82)</f>
        <v>60.922826087</v>
      </c>
      <c r="I82" s="16" t="n">
        <f aca="false">E82*H82</f>
        <v>304.614130435</v>
      </c>
      <c r="J82" s="17" t="n">
        <f aca="false">E82*SUMIFS('03_DESPIECE'!$I$2:$I$225,'03_DESPIECE'!$A$2:$A$225,B82,'03_DESPIECE'!$B$2:$B$225,C82)</f>
        <v>41.2125</v>
      </c>
      <c r="K82" s="19" t="n">
        <f aca="false">E82*SUMIFS('03_DESPIECE'!$K$2:$K$225,'03_DESPIECE'!$A$2:$A$225,B82,'03_DESPIECE'!$B$2:$B$225,C82)</f>
        <v>1.215277778</v>
      </c>
      <c r="L82" s="5" t="n">
        <f aca="false">SUMIFS('03_DESPIECE'!$L$2:$L$225,'03_DESPIECE'!$A$2:$A$225,B82,'03_DESPIECE'!$B$2:$B$225,C82)</f>
        <v>1</v>
      </c>
      <c r="M82" s="2" t="s">
        <v>629</v>
      </c>
    </row>
    <row r="83" customFormat="false" ht="15" hidden="false" customHeight="false" outlineLevel="0" collapsed="false">
      <c r="A83" s="2" t="s">
        <v>537</v>
      </c>
      <c r="B83" s="2" t="s">
        <v>106</v>
      </c>
      <c r="C83" s="2" t="s">
        <v>316</v>
      </c>
      <c r="D83" s="2" t="s">
        <v>176</v>
      </c>
      <c r="E83" s="5" t="n">
        <f aca="false">INDEX('08_PEDIDOS'!$D$2:$D$97,MATCH(A83,'08_PEDIDOS'!$A$2:$A$97,0))</f>
        <v>5</v>
      </c>
      <c r="F83" s="5" t="n">
        <f aca="false">SUMIFS('03_DESPIECE'!$D$2:$D$225,'03_DESPIECE'!$A$2:$A$225,B83,'03_DESPIECE'!$B$2:$B$225,C83)</f>
        <v>1</v>
      </c>
      <c r="G83" s="5" t="n">
        <f aca="false">E83*F83</f>
        <v>5</v>
      </c>
      <c r="H83" s="16" t="n">
        <f aca="false">SUMIFS('03_DESPIECE'!$J$2:$J$225,'03_DESPIECE'!$A$2:$A$225,B83,'03_DESPIECE'!$B$2:$B$225,C83)</f>
        <v>147.9554347826</v>
      </c>
      <c r="I83" s="16" t="n">
        <f aca="false">E83*H83</f>
        <v>739.777173913</v>
      </c>
      <c r="J83" s="17" t="n">
        <f aca="false">E83*SUMIFS('03_DESPIECE'!$I$2:$I$225,'03_DESPIECE'!$A$2:$A$225,B83,'03_DESPIECE'!$B$2:$B$225,C83)</f>
        <v>100.0875</v>
      </c>
      <c r="K83" s="19" t="n">
        <f aca="false">E83*SUMIFS('03_DESPIECE'!$K$2:$K$225,'03_DESPIECE'!$A$2:$A$225,B83,'03_DESPIECE'!$B$2:$B$225,C83)</f>
        <v>2.951388889</v>
      </c>
      <c r="L83" s="5" t="n">
        <f aca="false">SUMIFS('03_DESPIECE'!$L$2:$L$225,'03_DESPIECE'!$A$2:$A$225,B83,'03_DESPIECE'!$B$2:$B$225,C83)</f>
        <v>1</v>
      </c>
      <c r="M83" s="2" t="s">
        <v>629</v>
      </c>
    </row>
    <row r="84" customFormat="false" ht="15" hidden="false" customHeight="false" outlineLevel="0" collapsed="false">
      <c r="A84" s="2" t="s">
        <v>537</v>
      </c>
      <c r="B84" s="2" t="s">
        <v>106</v>
      </c>
      <c r="C84" s="2" t="s">
        <v>317</v>
      </c>
      <c r="D84" s="2" t="s">
        <v>176</v>
      </c>
      <c r="E84" s="5" t="n">
        <f aca="false">INDEX('08_PEDIDOS'!$D$2:$D$97,MATCH(A84,'08_PEDIDOS'!$A$2:$A$97,0))</f>
        <v>5</v>
      </c>
      <c r="F84" s="5" t="n">
        <f aca="false">SUMIFS('03_DESPIECE'!$D$2:$D$225,'03_DESPIECE'!$A$2:$A$225,B84,'03_DESPIECE'!$B$2:$B$225,C84)</f>
        <v>4</v>
      </c>
      <c r="G84" s="5" t="n">
        <f aca="false">E84*F84</f>
        <v>20</v>
      </c>
      <c r="H84" s="16" t="n">
        <f aca="false">SUMIFS('03_DESPIECE'!$J$2:$J$225,'03_DESPIECE'!$A$2:$A$225,B84,'03_DESPIECE'!$B$2:$B$225,C84)</f>
        <v>128.8082608696</v>
      </c>
      <c r="I84" s="16" t="n">
        <f aca="false">E84*H84</f>
        <v>644.041304348</v>
      </c>
      <c r="J84" s="17" t="n">
        <f aca="false">E84*SUMIFS('03_DESPIECE'!$I$2:$I$225,'03_DESPIECE'!$A$2:$A$225,B84,'03_DESPIECE'!$B$2:$B$225,C84)</f>
        <v>87.135</v>
      </c>
      <c r="K84" s="19" t="n">
        <f aca="false">E84*SUMIFS('03_DESPIECE'!$K$2:$K$225,'03_DESPIECE'!$A$2:$A$225,B84,'03_DESPIECE'!$B$2:$B$225,C84)</f>
        <v>2.5694444445</v>
      </c>
      <c r="L84" s="5" t="n">
        <f aca="false">SUMIFS('03_DESPIECE'!$L$2:$L$225,'03_DESPIECE'!$A$2:$A$225,B84,'03_DESPIECE'!$B$2:$B$225,C84)</f>
        <v>1</v>
      </c>
      <c r="M84" s="2" t="s">
        <v>629</v>
      </c>
    </row>
    <row r="85" customFormat="false" ht="15" hidden="false" customHeight="false" outlineLevel="0" collapsed="false">
      <c r="A85" s="2" t="s">
        <v>537</v>
      </c>
      <c r="B85" s="2" t="s">
        <v>106</v>
      </c>
      <c r="C85" s="2" t="s">
        <v>318</v>
      </c>
      <c r="D85" s="2" t="s">
        <v>176</v>
      </c>
      <c r="E85" s="5" t="n">
        <f aca="false">INDEX('08_PEDIDOS'!$D$2:$D$97,MATCH(A85,'08_PEDIDOS'!$A$2:$A$97,0))</f>
        <v>5</v>
      </c>
      <c r="F85" s="5" t="n">
        <f aca="false">SUMIFS('03_DESPIECE'!$D$2:$D$225,'03_DESPIECE'!$A$2:$A$225,B85,'03_DESPIECE'!$B$2:$B$225,C85)</f>
        <v>3</v>
      </c>
      <c r="G85" s="5" t="n">
        <f aca="false">E85*F85</f>
        <v>15</v>
      </c>
      <c r="H85" s="16" t="n">
        <f aca="false">SUMIFS('03_DESPIECE'!$J$2:$J$225,'03_DESPIECE'!$A$2:$A$225,B85,'03_DESPIECE'!$B$2:$B$225,C85)</f>
        <v>91.3842391304</v>
      </c>
      <c r="I85" s="16" t="n">
        <f aca="false">E85*H85</f>
        <v>456.921195652</v>
      </c>
      <c r="J85" s="17" t="n">
        <f aca="false">E85*SUMIFS('03_DESPIECE'!$I$2:$I$225,'03_DESPIECE'!$A$2:$A$225,B85,'03_DESPIECE'!$B$2:$B$225,C85)</f>
        <v>61.81875</v>
      </c>
      <c r="K85" s="19" t="n">
        <f aca="false">E85*SUMIFS('03_DESPIECE'!$K$2:$K$225,'03_DESPIECE'!$A$2:$A$225,B85,'03_DESPIECE'!$B$2:$B$225,C85)</f>
        <v>1.8229166665</v>
      </c>
      <c r="L85" s="5" t="n">
        <f aca="false">SUMIFS('03_DESPIECE'!$L$2:$L$225,'03_DESPIECE'!$A$2:$A$225,B85,'03_DESPIECE'!$B$2:$B$225,C85)</f>
        <v>1</v>
      </c>
      <c r="M85" s="2" t="s">
        <v>629</v>
      </c>
    </row>
    <row r="86" customFormat="false" ht="15" hidden="false" customHeight="false" outlineLevel="0" collapsed="false">
      <c r="A86" s="2" t="s">
        <v>537</v>
      </c>
      <c r="B86" s="2" t="s">
        <v>106</v>
      </c>
      <c r="C86" s="2" t="s">
        <v>319</v>
      </c>
      <c r="D86" s="2" t="s">
        <v>188</v>
      </c>
      <c r="E86" s="5" t="n">
        <f aca="false">INDEX('08_PEDIDOS'!$D$2:$D$97,MATCH(A86,'08_PEDIDOS'!$A$2:$A$97,0))</f>
        <v>5</v>
      </c>
      <c r="F86" s="5" t="n">
        <f aca="false">SUMIFS('03_DESPIECE'!$D$2:$D$225,'03_DESPIECE'!$A$2:$A$225,B86,'03_DESPIECE'!$B$2:$B$225,C86)</f>
        <v>8</v>
      </c>
      <c r="G86" s="5" t="n">
        <f aca="false">E86*F86</f>
        <v>40</v>
      </c>
      <c r="H86" s="16" t="n">
        <f aca="false">SUMIFS('03_DESPIECE'!$J$2:$J$225,'03_DESPIECE'!$A$2:$A$225,B86,'03_DESPIECE'!$B$2:$B$225,C86)</f>
        <v>7.2</v>
      </c>
      <c r="I86" s="16" t="n">
        <f aca="false">E86*H86</f>
        <v>36</v>
      </c>
      <c r="J86" s="17" t="n">
        <f aca="false">E86*SUMIFS('03_DESPIECE'!$I$2:$I$225,'03_DESPIECE'!$A$2:$A$225,B86,'03_DESPIECE'!$B$2:$B$225,C86)</f>
        <v>0</v>
      </c>
      <c r="K86" s="19" t="n">
        <f aca="false">E86*SUMIFS('03_DESPIECE'!$K$2:$K$225,'03_DESPIECE'!$A$2:$A$225,B86,'03_DESPIECE'!$B$2:$B$225,C86)</f>
        <v>0</v>
      </c>
      <c r="L86" s="5" t="n">
        <f aca="false">SUMIFS('03_DESPIECE'!$L$2:$L$225,'03_DESPIECE'!$A$2:$A$225,B86,'03_DESPIECE'!$B$2:$B$225,C86)</f>
        <v>1</v>
      </c>
      <c r="M86" s="2" t="s">
        <v>629</v>
      </c>
    </row>
    <row r="87" customFormat="false" ht="15" hidden="false" customHeight="false" outlineLevel="0" collapsed="false">
      <c r="A87" s="2" t="s">
        <v>537</v>
      </c>
      <c r="B87" s="2" t="s">
        <v>106</v>
      </c>
      <c r="C87" s="2" t="s">
        <v>320</v>
      </c>
      <c r="D87" s="2" t="s">
        <v>188</v>
      </c>
      <c r="E87" s="5" t="n">
        <f aca="false">INDEX('08_PEDIDOS'!$D$2:$D$97,MATCH(A87,'08_PEDIDOS'!$A$2:$A$97,0))</f>
        <v>5</v>
      </c>
      <c r="F87" s="5" t="n">
        <f aca="false">SUMIFS('03_DESPIECE'!$D$2:$D$225,'03_DESPIECE'!$A$2:$A$225,B87,'03_DESPIECE'!$B$2:$B$225,C87)</f>
        <v>4</v>
      </c>
      <c r="G87" s="5" t="n">
        <f aca="false">E87*F87</f>
        <v>20</v>
      </c>
      <c r="H87" s="16" t="n">
        <f aca="false">SUMIFS('03_DESPIECE'!$J$2:$J$225,'03_DESPIECE'!$A$2:$A$225,B87,'03_DESPIECE'!$B$2:$B$225,C87)</f>
        <v>3.6</v>
      </c>
      <c r="I87" s="16" t="n">
        <f aca="false">E87*H87</f>
        <v>18</v>
      </c>
      <c r="J87" s="17" t="n">
        <f aca="false">E87*SUMIFS('03_DESPIECE'!$I$2:$I$225,'03_DESPIECE'!$A$2:$A$225,B87,'03_DESPIECE'!$B$2:$B$225,C87)</f>
        <v>0</v>
      </c>
      <c r="K87" s="19" t="n">
        <f aca="false">E87*SUMIFS('03_DESPIECE'!$K$2:$K$225,'03_DESPIECE'!$A$2:$A$225,B87,'03_DESPIECE'!$B$2:$B$225,C87)</f>
        <v>0</v>
      </c>
      <c r="L87" s="5" t="n">
        <f aca="false">SUMIFS('03_DESPIECE'!$L$2:$L$225,'03_DESPIECE'!$A$2:$A$225,B87,'03_DESPIECE'!$B$2:$B$225,C87)</f>
        <v>1</v>
      </c>
      <c r="M87" s="2" t="s">
        <v>629</v>
      </c>
    </row>
    <row r="88" customFormat="false" ht="15" hidden="false" customHeight="false" outlineLevel="0" collapsed="false">
      <c r="A88" s="2" t="s">
        <v>538</v>
      </c>
      <c r="B88" s="2" t="s">
        <v>108</v>
      </c>
      <c r="C88" s="2" t="s">
        <v>321</v>
      </c>
      <c r="D88" s="2" t="s">
        <v>176</v>
      </c>
      <c r="E88" s="5" t="n">
        <f aca="false">INDEX('08_PEDIDOS'!$D$2:$D$97,MATCH(A88,'08_PEDIDOS'!$A$2:$A$97,0))</f>
        <v>6</v>
      </c>
      <c r="F88" s="5" t="n">
        <f aca="false">SUMIFS('03_DESPIECE'!$D$2:$D$225,'03_DESPIECE'!$A$2:$A$225,B88,'03_DESPIECE'!$B$2:$B$225,C88)</f>
        <v>2</v>
      </c>
      <c r="G88" s="5" t="n">
        <f aca="false">E88*F88</f>
        <v>12</v>
      </c>
      <c r="H88" s="16" t="n">
        <f aca="false">SUMIFS('03_DESPIECE'!$J$2:$J$225,'03_DESPIECE'!$A$2:$A$225,B88,'03_DESPIECE'!$B$2:$B$225,C88)</f>
        <v>191.4717391304</v>
      </c>
      <c r="I88" s="16" t="n">
        <f aca="false">E88*H88</f>
        <v>1148.8304347824</v>
      </c>
      <c r="J88" s="17" t="n">
        <f aca="false">E88*SUMIFS('03_DESPIECE'!$I$2:$I$225,'03_DESPIECE'!$A$2:$A$225,B88,'03_DESPIECE'!$B$2:$B$225,C88)</f>
        <v>155.43</v>
      </c>
      <c r="K88" s="19" t="n">
        <f aca="false">E88*SUMIFS('03_DESPIECE'!$K$2:$K$225,'03_DESPIECE'!$A$2:$A$225,B88,'03_DESPIECE'!$B$2:$B$225,C88)</f>
        <v>4.5833333334</v>
      </c>
      <c r="L88" s="5" t="n">
        <f aca="false">SUMIFS('03_DESPIECE'!$L$2:$L$225,'03_DESPIECE'!$A$2:$A$225,B88,'03_DESPIECE'!$B$2:$B$225,C88)</f>
        <v>1</v>
      </c>
      <c r="M88" s="2" t="s">
        <v>629</v>
      </c>
    </row>
    <row r="89" customFormat="false" ht="15" hidden="false" customHeight="false" outlineLevel="0" collapsed="false">
      <c r="A89" s="2" t="s">
        <v>538</v>
      </c>
      <c r="B89" s="2" t="s">
        <v>108</v>
      </c>
      <c r="C89" s="2" t="s">
        <v>322</v>
      </c>
      <c r="D89" s="2" t="s">
        <v>176</v>
      </c>
      <c r="E89" s="5" t="n">
        <f aca="false">INDEX('08_PEDIDOS'!$D$2:$D$97,MATCH(A89,'08_PEDIDOS'!$A$2:$A$97,0))</f>
        <v>6</v>
      </c>
      <c r="F89" s="5" t="n">
        <f aca="false">SUMIFS('03_DESPIECE'!$D$2:$D$225,'03_DESPIECE'!$A$2:$A$225,B89,'03_DESPIECE'!$B$2:$B$225,C89)</f>
        <v>2</v>
      </c>
      <c r="G89" s="5" t="n">
        <f aca="false">E89*F89</f>
        <v>12</v>
      </c>
      <c r="H89" s="16" t="n">
        <f aca="false">SUMIFS('03_DESPIECE'!$J$2:$J$225,'03_DESPIECE'!$A$2:$A$225,B89,'03_DESPIECE'!$B$2:$B$225,C89)</f>
        <v>83.5513043478</v>
      </c>
      <c r="I89" s="16" t="n">
        <f aca="false">E89*H89</f>
        <v>501.3078260868</v>
      </c>
      <c r="J89" s="17" t="n">
        <f aca="false">E89*SUMIFS('03_DESPIECE'!$I$2:$I$225,'03_DESPIECE'!$A$2:$A$225,B89,'03_DESPIECE'!$B$2:$B$225,C89)</f>
        <v>67.824</v>
      </c>
      <c r="K89" s="19" t="n">
        <f aca="false">E89*SUMIFS('03_DESPIECE'!$K$2:$K$225,'03_DESPIECE'!$A$2:$A$225,B89,'03_DESPIECE'!$B$2:$B$225,C89)</f>
        <v>1.9999999998</v>
      </c>
      <c r="L89" s="5" t="n">
        <f aca="false">SUMIFS('03_DESPIECE'!$L$2:$L$225,'03_DESPIECE'!$A$2:$A$225,B89,'03_DESPIECE'!$B$2:$B$225,C89)</f>
        <v>1</v>
      </c>
      <c r="M89" s="2" t="s">
        <v>629</v>
      </c>
    </row>
    <row r="90" customFormat="false" ht="15" hidden="false" customHeight="false" outlineLevel="0" collapsed="false">
      <c r="A90" s="2" t="s">
        <v>538</v>
      </c>
      <c r="B90" s="2" t="s">
        <v>108</v>
      </c>
      <c r="C90" s="2" t="s">
        <v>323</v>
      </c>
      <c r="D90" s="2" t="s">
        <v>176</v>
      </c>
      <c r="E90" s="5" t="n">
        <f aca="false">INDEX('08_PEDIDOS'!$D$2:$D$97,MATCH(A90,'08_PEDIDOS'!$A$2:$A$97,0))</f>
        <v>6</v>
      </c>
      <c r="F90" s="5" t="n">
        <f aca="false">SUMIFS('03_DESPIECE'!$D$2:$D$225,'03_DESPIECE'!$A$2:$A$225,B90,'03_DESPIECE'!$B$2:$B$225,C90)</f>
        <v>1</v>
      </c>
      <c r="G90" s="5" t="n">
        <f aca="false">E90*F90</f>
        <v>6</v>
      </c>
      <c r="H90" s="16" t="n">
        <f aca="false">SUMIFS('03_DESPIECE'!$J$2:$J$225,'03_DESPIECE'!$A$2:$A$225,B90,'03_DESPIECE'!$B$2:$B$225,C90)</f>
        <v>156.6586956522</v>
      </c>
      <c r="I90" s="16" t="n">
        <f aca="false">E90*H90</f>
        <v>939.9521739132</v>
      </c>
      <c r="J90" s="17" t="n">
        <f aca="false">E90*SUMIFS('03_DESPIECE'!$I$2:$I$225,'03_DESPIECE'!$A$2:$A$225,B90,'03_DESPIECE'!$B$2:$B$225,C90)</f>
        <v>127.17</v>
      </c>
      <c r="K90" s="19" t="n">
        <f aca="false">E90*SUMIFS('03_DESPIECE'!$K$2:$K$225,'03_DESPIECE'!$A$2:$A$225,B90,'03_DESPIECE'!$B$2:$B$225,C90)</f>
        <v>3.75</v>
      </c>
      <c r="L90" s="5" t="n">
        <f aca="false">SUMIFS('03_DESPIECE'!$L$2:$L$225,'03_DESPIECE'!$A$2:$A$225,B90,'03_DESPIECE'!$B$2:$B$225,C90)</f>
        <v>1</v>
      </c>
      <c r="M90" s="2" t="s">
        <v>629</v>
      </c>
    </row>
    <row r="91" customFormat="false" ht="15" hidden="false" customHeight="false" outlineLevel="0" collapsed="false">
      <c r="A91" s="2" t="s">
        <v>538</v>
      </c>
      <c r="B91" s="2" t="s">
        <v>108</v>
      </c>
      <c r="C91" s="2" t="s">
        <v>324</v>
      </c>
      <c r="D91" s="2" t="s">
        <v>176</v>
      </c>
      <c r="E91" s="5" t="n">
        <f aca="false">INDEX('08_PEDIDOS'!$D$2:$D$97,MATCH(A91,'08_PEDIDOS'!$A$2:$A$97,0))</f>
        <v>6</v>
      </c>
      <c r="F91" s="5" t="n">
        <f aca="false">SUMIFS('03_DESPIECE'!$D$2:$D$225,'03_DESPIECE'!$A$2:$A$225,B91,'03_DESPIECE'!$B$2:$B$225,C91)</f>
        <v>6</v>
      </c>
      <c r="G91" s="5" t="n">
        <f aca="false">E91*F91</f>
        <v>36</v>
      </c>
      <c r="H91" s="16" t="n">
        <f aca="false">SUMIFS('03_DESPIECE'!$J$2:$J$225,'03_DESPIECE'!$A$2:$A$225,B91,'03_DESPIECE'!$B$2:$B$225,C91)</f>
        <v>156.6586956522</v>
      </c>
      <c r="I91" s="16" t="n">
        <f aca="false">E91*H91</f>
        <v>939.9521739132</v>
      </c>
      <c r="J91" s="17" t="n">
        <f aca="false">E91*SUMIFS('03_DESPIECE'!$I$2:$I$225,'03_DESPIECE'!$A$2:$A$225,B91,'03_DESPIECE'!$B$2:$B$225,C91)</f>
        <v>127.17</v>
      </c>
      <c r="K91" s="19" t="n">
        <f aca="false">E91*SUMIFS('03_DESPIECE'!$K$2:$K$225,'03_DESPIECE'!$A$2:$A$225,B91,'03_DESPIECE'!$B$2:$B$225,C91)</f>
        <v>3.75</v>
      </c>
      <c r="L91" s="5" t="n">
        <f aca="false">SUMIFS('03_DESPIECE'!$L$2:$L$225,'03_DESPIECE'!$A$2:$A$225,B91,'03_DESPIECE'!$B$2:$B$225,C91)</f>
        <v>1</v>
      </c>
      <c r="M91" s="2" t="s">
        <v>629</v>
      </c>
    </row>
    <row r="92" customFormat="false" ht="15" hidden="false" customHeight="false" outlineLevel="0" collapsed="false">
      <c r="A92" s="2" t="s">
        <v>538</v>
      </c>
      <c r="B92" s="2" t="s">
        <v>108</v>
      </c>
      <c r="C92" s="2" t="s">
        <v>325</v>
      </c>
      <c r="D92" s="2" t="s">
        <v>176</v>
      </c>
      <c r="E92" s="5" t="n">
        <f aca="false">INDEX('08_PEDIDOS'!$D$2:$D$97,MATCH(A92,'08_PEDIDOS'!$A$2:$A$97,0))</f>
        <v>6</v>
      </c>
      <c r="F92" s="5" t="n">
        <f aca="false">SUMIFS('03_DESPIECE'!$D$2:$D$225,'03_DESPIECE'!$A$2:$A$225,B92,'03_DESPIECE'!$B$2:$B$225,C92)</f>
        <v>2</v>
      </c>
      <c r="G92" s="5" t="n">
        <f aca="false">E92*F92</f>
        <v>12</v>
      </c>
      <c r="H92" s="16" t="n">
        <f aca="false">SUMIFS('03_DESPIECE'!$J$2:$J$225,'03_DESPIECE'!$A$2:$A$225,B92,'03_DESPIECE'!$B$2:$B$225,C92)</f>
        <v>121.8456521739</v>
      </c>
      <c r="I92" s="16" t="n">
        <f aca="false">E92*H92</f>
        <v>731.0739130434</v>
      </c>
      <c r="J92" s="17" t="n">
        <f aca="false">E92*SUMIFS('03_DESPIECE'!$I$2:$I$225,'03_DESPIECE'!$A$2:$A$225,B92,'03_DESPIECE'!$B$2:$B$225,C92)</f>
        <v>98.91</v>
      </c>
      <c r="K92" s="19" t="n">
        <f aca="false">E92*SUMIFS('03_DESPIECE'!$K$2:$K$225,'03_DESPIECE'!$A$2:$A$225,B92,'03_DESPIECE'!$B$2:$B$225,C92)</f>
        <v>2.9166666666</v>
      </c>
      <c r="L92" s="5" t="n">
        <f aca="false">SUMIFS('03_DESPIECE'!$L$2:$L$225,'03_DESPIECE'!$A$2:$A$225,B92,'03_DESPIECE'!$B$2:$B$225,C92)</f>
        <v>1</v>
      </c>
      <c r="M92" s="2" t="s">
        <v>629</v>
      </c>
    </row>
    <row r="93" customFormat="false" ht="15" hidden="false" customHeight="false" outlineLevel="0" collapsed="false">
      <c r="A93" s="2" t="s">
        <v>538</v>
      </c>
      <c r="B93" s="2" t="s">
        <v>108</v>
      </c>
      <c r="C93" s="2" t="s">
        <v>326</v>
      </c>
      <c r="D93" s="2" t="s">
        <v>176</v>
      </c>
      <c r="E93" s="5" t="n">
        <f aca="false">INDEX('08_PEDIDOS'!$D$2:$D$97,MATCH(A93,'08_PEDIDOS'!$A$2:$A$97,0))</f>
        <v>6</v>
      </c>
      <c r="F93" s="5" t="n">
        <f aca="false">SUMIFS('03_DESPIECE'!$D$2:$D$225,'03_DESPIECE'!$A$2:$A$225,B93,'03_DESPIECE'!$B$2:$B$225,C93)</f>
        <v>4</v>
      </c>
      <c r="G93" s="5" t="n">
        <f aca="false">E93*F93</f>
        <v>24</v>
      </c>
      <c r="H93" s="16" t="n">
        <f aca="false">SUMIFS('03_DESPIECE'!$J$2:$J$225,'03_DESPIECE'!$A$2:$A$225,B93,'03_DESPIECE'!$B$2:$B$225,C93)</f>
        <v>139.252173913</v>
      </c>
      <c r="I93" s="16" t="n">
        <f aca="false">E93*H93</f>
        <v>835.513043478</v>
      </c>
      <c r="J93" s="17" t="n">
        <f aca="false">E93*SUMIFS('03_DESPIECE'!$I$2:$I$225,'03_DESPIECE'!$A$2:$A$225,B93,'03_DESPIECE'!$B$2:$B$225,C93)</f>
        <v>113.04</v>
      </c>
      <c r="K93" s="19" t="n">
        <f aca="false">E93*SUMIFS('03_DESPIECE'!$K$2:$K$225,'03_DESPIECE'!$A$2:$A$225,B93,'03_DESPIECE'!$B$2:$B$225,C93)</f>
        <v>3.3333333336</v>
      </c>
      <c r="L93" s="5" t="n">
        <f aca="false">SUMIFS('03_DESPIECE'!$L$2:$L$225,'03_DESPIECE'!$A$2:$A$225,B93,'03_DESPIECE'!$B$2:$B$225,C93)</f>
        <v>1</v>
      </c>
      <c r="M93" s="2" t="s">
        <v>629</v>
      </c>
    </row>
    <row r="94" customFormat="false" ht="15" hidden="false" customHeight="false" outlineLevel="0" collapsed="false">
      <c r="A94" s="2" t="s">
        <v>538</v>
      </c>
      <c r="B94" s="2" t="s">
        <v>108</v>
      </c>
      <c r="C94" s="2" t="s">
        <v>319</v>
      </c>
      <c r="D94" s="2" t="s">
        <v>188</v>
      </c>
      <c r="E94" s="5" t="n">
        <f aca="false">INDEX('08_PEDIDOS'!$D$2:$D$97,MATCH(A94,'08_PEDIDOS'!$A$2:$A$97,0))</f>
        <v>6</v>
      </c>
      <c r="F94" s="5" t="n">
        <f aca="false">SUMIFS('03_DESPIECE'!$D$2:$D$225,'03_DESPIECE'!$A$2:$A$225,B94,'03_DESPIECE'!$B$2:$B$225,C94)</f>
        <v>12</v>
      </c>
      <c r="G94" s="5" t="n">
        <f aca="false">E94*F94</f>
        <v>72</v>
      </c>
      <c r="H94" s="16" t="n">
        <f aca="false">SUMIFS('03_DESPIECE'!$J$2:$J$225,'03_DESPIECE'!$A$2:$A$225,B94,'03_DESPIECE'!$B$2:$B$225,C94)</f>
        <v>10.8</v>
      </c>
      <c r="I94" s="16" t="n">
        <f aca="false">E94*H94</f>
        <v>64.8</v>
      </c>
      <c r="J94" s="17" t="n">
        <f aca="false">E94*SUMIFS('03_DESPIECE'!$I$2:$I$225,'03_DESPIECE'!$A$2:$A$225,B94,'03_DESPIECE'!$B$2:$B$225,C94)</f>
        <v>0</v>
      </c>
      <c r="K94" s="19" t="n">
        <f aca="false">E94*SUMIFS('03_DESPIECE'!$K$2:$K$225,'03_DESPIECE'!$A$2:$A$225,B94,'03_DESPIECE'!$B$2:$B$225,C94)</f>
        <v>0</v>
      </c>
      <c r="L94" s="5" t="n">
        <f aca="false">SUMIFS('03_DESPIECE'!$L$2:$L$225,'03_DESPIECE'!$A$2:$A$225,B94,'03_DESPIECE'!$B$2:$B$225,C94)</f>
        <v>1</v>
      </c>
      <c r="M94" s="2" t="s">
        <v>629</v>
      </c>
    </row>
    <row r="95" customFormat="false" ht="15" hidden="false" customHeight="false" outlineLevel="0" collapsed="false">
      <c r="A95" s="2" t="s">
        <v>538</v>
      </c>
      <c r="B95" s="2" t="s">
        <v>108</v>
      </c>
      <c r="C95" s="2" t="s">
        <v>320</v>
      </c>
      <c r="D95" s="2" t="s">
        <v>188</v>
      </c>
      <c r="E95" s="5" t="n">
        <f aca="false">INDEX('08_PEDIDOS'!$D$2:$D$97,MATCH(A95,'08_PEDIDOS'!$A$2:$A$97,0))</f>
        <v>6</v>
      </c>
      <c r="F95" s="5" t="n">
        <f aca="false">SUMIFS('03_DESPIECE'!$D$2:$D$225,'03_DESPIECE'!$A$2:$A$225,B95,'03_DESPIECE'!$B$2:$B$225,C95)</f>
        <v>6</v>
      </c>
      <c r="G95" s="5" t="n">
        <f aca="false">E95*F95</f>
        <v>36</v>
      </c>
      <c r="H95" s="16" t="n">
        <f aca="false">SUMIFS('03_DESPIECE'!$J$2:$J$225,'03_DESPIECE'!$A$2:$A$225,B95,'03_DESPIECE'!$B$2:$B$225,C95)</f>
        <v>5.4</v>
      </c>
      <c r="I95" s="16" t="n">
        <f aca="false">E95*H95</f>
        <v>32.4</v>
      </c>
      <c r="J95" s="17" t="n">
        <f aca="false">E95*SUMIFS('03_DESPIECE'!$I$2:$I$225,'03_DESPIECE'!$A$2:$A$225,B95,'03_DESPIECE'!$B$2:$B$225,C95)</f>
        <v>0</v>
      </c>
      <c r="K95" s="19" t="n">
        <f aca="false">E95*SUMIFS('03_DESPIECE'!$K$2:$K$225,'03_DESPIECE'!$A$2:$A$225,B95,'03_DESPIECE'!$B$2:$B$225,C95)</f>
        <v>0</v>
      </c>
      <c r="L95" s="5" t="n">
        <f aca="false">SUMIFS('03_DESPIECE'!$L$2:$L$225,'03_DESPIECE'!$A$2:$A$225,B95,'03_DESPIECE'!$B$2:$B$225,C95)</f>
        <v>1</v>
      </c>
      <c r="M95" s="2" t="s">
        <v>629</v>
      </c>
    </row>
    <row r="96" customFormat="false" ht="15" hidden="false" customHeight="false" outlineLevel="0" collapsed="false">
      <c r="A96" s="2" t="s">
        <v>539</v>
      </c>
      <c r="B96" s="2" t="s">
        <v>119</v>
      </c>
      <c r="C96" s="2" t="s">
        <v>327</v>
      </c>
      <c r="D96" s="2" t="s">
        <v>174</v>
      </c>
      <c r="E96" s="5" t="n">
        <f aca="false">INDEX('08_PEDIDOS'!$D$2:$D$97,MATCH(A96,'08_PEDIDOS'!$A$2:$A$97,0))</f>
        <v>10</v>
      </c>
      <c r="F96" s="5" t="n">
        <f aca="false">SUMIFS('03_DESPIECE'!$D$2:$D$225,'03_DESPIECE'!$A$2:$A$225,B96,'03_DESPIECE'!$B$2:$B$225,C96)</f>
        <v>2</v>
      </c>
      <c r="G96" s="5" t="n">
        <f aca="false">E96*F96</f>
        <v>20</v>
      </c>
      <c r="H96" s="16" t="n">
        <f aca="false">SUMIFS('03_DESPIECE'!$J$2:$J$225,'03_DESPIECE'!$A$2:$A$225,B96,'03_DESPIECE'!$B$2:$B$225,C96)</f>
        <v>110.2413043478</v>
      </c>
      <c r="I96" s="16" t="n">
        <f aca="false">E96*H96</f>
        <v>1102.413043478</v>
      </c>
      <c r="J96" s="17" t="n">
        <f aca="false">E96*SUMIFS('03_DESPIECE'!$I$2:$I$225,'03_DESPIECE'!$A$2:$A$225,B96,'03_DESPIECE'!$B$2:$B$225,C96)</f>
        <v>149.15</v>
      </c>
      <c r="K96" s="19" t="n">
        <f aca="false">E96*SUMIFS('03_DESPIECE'!$K$2:$K$225,'03_DESPIECE'!$A$2:$A$225,B96,'03_DESPIECE'!$B$2:$B$225,C96)</f>
        <v>6.597222222</v>
      </c>
      <c r="L96" s="5" t="n">
        <f aca="false">SUMIFS('03_DESPIECE'!$L$2:$L$225,'03_DESPIECE'!$A$2:$A$225,B96,'03_DESPIECE'!$B$2:$B$225,C96)</f>
        <v>1</v>
      </c>
      <c r="M96" s="2" t="s">
        <v>629</v>
      </c>
    </row>
    <row r="97" customFormat="false" ht="15" hidden="false" customHeight="false" outlineLevel="0" collapsed="false">
      <c r="A97" s="2" t="s">
        <v>539</v>
      </c>
      <c r="B97" s="2" t="s">
        <v>119</v>
      </c>
      <c r="C97" s="2" t="s">
        <v>316</v>
      </c>
      <c r="D97" s="2" t="s">
        <v>174</v>
      </c>
      <c r="E97" s="5" t="n">
        <f aca="false">INDEX('08_PEDIDOS'!$D$2:$D$97,MATCH(A97,'08_PEDIDOS'!$A$2:$A$97,0))</f>
        <v>10</v>
      </c>
      <c r="F97" s="5" t="n">
        <f aca="false">SUMIFS('03_DESPIECE'!$D$2:$D$225,'03_DESPIECE'!$A$2:$A$225,B97,'03_DESPIECE'!$B$2:$B$225,C97)</f>
        <v>1</v>
      </c>
      <c r="G97" s="5" t="n">
        <f aca="false">E97*F97</f>
        <v>10</v>
      </c>
      <c r="H97" s="16" t="n">
        <f aca="false">SUMIFS('03_DESPIECE'!$J$2:$J$225,'03_DESPIECE'!$A$2:$A$225,B97,'03_DESPIECE'!$B$2:$B$225,C97)</f>
        <v>75.4282608696</v>
      </c>
      <c r="I97" s="16" t="n">
        <f aca="false">E97*H97</f>
        <v>754.282608696</v>
      </c>
      <c r="J97" s="17" t="n">
        <f aca="false">E97*SUMIFS('03_DESPIECE'!$I$2:$I$225,'03_DESPIECE'!$A$2:$A$225,B97,'03_DESPIECE'!$B$2:$B$225,C97)</f>
        <v>102.05</v>
      </c>
      <c r="K97" s="19" t="n">
        <f aca="false">E97*SUMIFS('03_DESPIECE'!$K$2:$K$225,'03_DESPIECE'!$A$2:$A$225,B97,'03_DESPIECE'!$B$2:$B$225,C97)</f>
        <v>4.513888889</v>
      </c>
      <c r="L97" s="5" t="n">
        <f aca="false">SUMIFS('03_DESPIECE'!$L$2:$L$225,'03_DESPIECE'!$A$2:$A$225,B97,'03_DESPIECE'!$B$2:$B$225,C97)</f>
        <v>1</v>
      </c>
      <c r="M97" s="2" t="s">
        <v>629</v>
      </c>
    </row>
    <row r="98" customFormat="false" ht="15" hidden="false" customHeight="false" outlineLevel="0" collapsed="false">
      <c r="A98" s="2" t="s">
        <v>539</v>
      </c>
      <c r="B98" s="2" t="s">
        <v>119</v>
      </c>
      <c r="C98" s="2" t="s">
        <v>322</v>
      </c>
      <c r="D98" s="2" t="s">
        <v>174</v>
      </c>
      <c r="E98" s="5" t="n">
        <f aca="false">INDEX('08_PEDIDOS'!$D$2:$D$97,MATCH(A98,'08_PEDIDOS'!$A$2:$A$97,0))</f>
        <v>10</v>
      </c>
      <c r="F98" s="5" t="n">
        <f aca="false">SUMIFS('03_DESPIECE'!$D$2:$D$225,'03_DESPIECE'!$A$2:$A$225,B98,'03_DESPIECE'!$B$2:$B$225,C98)</f>
        <v>2</v>
      </c>
      <c r="G98" s="5" t="n">
        <f aca="false">E98*F98</f>
        <v>20</v>
      </c>
      <c r="H98" s="16" t="n">
        <f aca="false">SUMIFS('03_DESPIECE'!$J$2:$J$225,'03_DESPIECE'!$A$2:$A$225,B98,'03_DESPIECE'!$B$2:$B$225,C98)</f>
        <v>58.0217391304</v>
      </c>
      <c r="I98" s="16" t="n">
        <f aca="false">E98*H98</f>
        <v>580.217391304</v>
      </c>
      <c r="J98" s="17" t="n">
        <f aca="false">E98*SUMIFS('03_DESPIECE'!$I$2:$I$225,'03_DESPIECE'!$A$2:$A$225,B98,'03_DESPIECE'!$B$2:$B$225,C98)</f>
        <v>78.5</v>
      </c>
      <c r="K98" s="19" t="n">
        <f aca="false">E98*SUMIFS('03_DESPIECE'!$K$2:$K$225,'03_DESPIECE'!$A$2:$A$225,B98,'03_DESPIECE'!$B$2:$B$225,C98)</f>
        <v>3.472222222</v>
      </c>
      <c r="L98" s="5" t="n">
        <f aca="false">SUMIFS('03_DESPIECE'!$L$2:$L$225,'03_DESPIECE'!$A$2:$A$225,B98,'03_DESPIECE'!$B$2:$B$225,C98)</f>
        <v>1</v>
      </c>
      <c r="M98" s="2" t="s">
        <v>629</v>
      </c>
    </row>
    <row r="99" customFormat="false" ht="15" hidden="false" customHeight="false" outlineLevel="0" collapsed="false">
      <c r="A99" s="2" t="s">
        <v>539</v>
      </c>
      <c r="B99" s="2" t="s">
        <v>119</v>
      </c>
      <c r="C99" s="2" t="s">
        <v>328</v>
      </c>
      <c r="D99" s="2" t="s">
        <v>174</v>
      </c>
      <c r="E99" s="5" t="n">
        <f aca="false">INDEX('08_PEDIDOS'!$D$2:$D$97,MATCH(A99,'08_PEDIDOS'!$A$2:$A$97,0))</f>
        <v>10</v>
      </c>
      <c r="F99" s="5" t="n">
        <f aca="false">SUMIFS('03_DESPIECE'!$D$2:$D$225,'03_DESPIECE'!$A$2:$A$225,B99,'03_DESPIECE'!$B$2:$B$225,C99)</f>
        <v>2</v>
      </c>
      <c r="G99" s="5" t="n">
        <f aca="false">E99*F99</f>
        <v>20</v>
      </c>
      <c r="H99" s="16" t="n">
        <f aca="false">SUMIFS('03_DESPIECE'!$J$2:$J$225,'03_DESPIECE'!$A$2:$A$225,B99,'03_DESPIECE'!$B$2:$B$225,C99)</f>
        <v>81.2304347826</v>
      </c>
      <c r="I99" s="16" t="n">
        <f aca="false">E99*H99</f>
        <v>812.304347826</v>
      </c>
      <c r="J99" s="17" t="n">
        <f aca="false">E99*SUMIFS('03_DESPIECE'!$I$2:$I$225,'03_DESPIECE'!$A$2:$A$225,B99,'03_DESPIECE'!$B$2:$B$225,C99)</f>
        <v>109.9</v>
      </c>
      <c r="K99" s="19" t="n">
        <f aca="false">E99*SUMIFS('03_DESPIECE'!$K$2:$K$225,'03_DESPIECE'!$A$2:$A$225,B99,'03_DESPIECE'!$B$2:$B$225,C99)</f>
        <v>4.861111111</v>
      </c>
      <c r="L99" s="5" t="n">
        <f aca="false">SUMIFS('03_DESPIECE'!$L$2:$L$225,'03_DESPIECE'!$A$2:$A$225,B99,'03_DESPIECE'!$B$2:$B$225,C99)</f>
        <v>1</v>
      </c>
      <c r="M99" s="2" t="s">
        <v>629</v>
      </c>
    </row>
    <row r="100" customFormat="false" ht="15" hidden="false" customHeight="false" outlineLevel="0" collapsed="false">
      <c r="A100" s="2" t="s">
        <v>539</v>
      </c>
      <c r="B100" s="2" t="s">
        <v>119</v>
      </c>
      <c r="C100" s="2" t="s">
        <v>310</v>
      </c>
      <c r="D100" s="2" t="s">
        <v>174</v>
      </c>
      <c r="E100" s="5" t="n">
        <f aca="false">INDEX('08_PEDIDOS'!$D$2:$D$97,MATCH(A100,'08_PEDIDOS'!$A$2:$A$97,0))</f>
        <v>10</v>
      </c>
      <c r="F100" s="5" t="n">
        <f aca="false">SUMIFS('03_DESPIECE'!$D$2:$D$225,'03_DESPIECE'!$A$2:$A$225,B100,'03_DESPIECE'!$B$2:$B$225,C100)</f>
        <v>3</v>
      </c>
      <c r="G100" s="5" t="n">
        <f aca="false">E100*F100</f>
        <v>30</v>
      </c>
      <c r="H100" s="16" t="n">
        <f aca="false">SUMIFS('03_DESPIECE'!$J$2:$J$225,'03_DESPIECE'!$A$2:$A$225,B100,'03_DESPIECE'!$B$2:$B$225,C100)</f>
        <v>83.5513043478</v>
      </c>
      <c r="I100" s="16" t="n">
        <f aca="false">E100*H100</f>
        <v>835.513043478</v>
      </c>
      <c r="J100" s="17" t="n">
        <f aca="false">E100*SUMIFS('03_DESPIECE'!$I$2:$I$225,'03_DESPIECE'!$A$2:$A$225,B100,'03_DESPIECE'!$B$2:$B$225,C100)</f>
        <v>113.04</v>
      </c>
      <c r="K100" s="19" t="n">
        <f aca="false">E100*SUMIFS('03_DESPIECE'!$K$2:$K$225,'03_DESPIECE'!$A$2:$A$225,B100,'03_DESPIECE'!$B$2:$B$225,C100)</f>
        <v>5</v>
      </c>
      <c r="L100" s="5" t="n">
        <f aca="false">SUMIFS('03_DESPIECE'!$L$2:$L$225,'03_DESPIECE'!$A$2:$A$225,B100,'03_DESPIECE'!$B$2:$B$225,C100)</f>
        <v>1</v>
      </c>
      <c r="M100" s="2" t="s">
        <v>629</v>
      </c>
    </row>
    <row r="101" customFormat="false" ht="15" hidden="false" customHeight="false" outlineLevel="0" collapsed="false">
      <c r="A101" s="2" t="s">
        <v>539</v>
      </c>
      <c r="B101" s="2" t="s">
        <v>119</v>
      </c>
      <c r="C101" s="2" t="s">
        <v>319</v>
      </c>
      <c r="D101" s="2" t="s">
        <v>188</v>
      </c>
      <c r="E101" s="5" t="n">
        <f aca="false">INDEX('08_PEDIDOS'!$D$2:$D$97,MATCH(A101,'08_PEDIDOS'!$A$2:$A$97,0))</f>
        <v>10</v>
      </c>
      <c r="F101" s="5" t="n">
        <f aca="false">SUMIFS('03_DESPIECE'!$D$2:$D$225,'03_DESPIECE'!$A$2:$A$225,B101,'03_DESPIECE'!$B$2:$B$225,C101)</f>
        <v>4</v>
      </c>
      <c r="G101" s="5" t="n">
        <f aca="false">E101*F101</f>
        <v>40</v>
      </c>
      <c r="H101" s="16" t="n">
        <f aca="false">SUMIFS('03_DESPIECE'!$J$2:$J$225,'03_DESPIECE'!$A$2:$A$225,B101,'03_DESPIECE'!$B$2:$B$225,C101)</f>
        <v>3.6</v>
      </c>
      <c r="I101" s="16" t="n">
        <f aca="false">E101*H101</f>
        <v>36</v>
      </c>
      <c r="J101" s="17" t="n">
        <f aca="false">E101*SUMIFS('03_DESPIECE'!$I$2:$I$225,'03_DESPIECE'!$A$2:$A$225,B101,'03_DESPIECE'!$B$2:$B$225,C101)</f>
        <v>0</v>
      </c>
      <c r="K101" s="19" t="n">
        <f aca="false">E101*SUMIFS('03_DESPIECE'!$K$2:$K$225,'03_DESPIECE'!$A$2:$A$225,B101,'03_DESPIECE'!$B$2:$B$225,C101)</f>
        <v>0</v>
      </c>
      <c r="L101" s="5" t="n">
        <f aca="false">SUMIFS('03_DESPIECE'!$L$2:$L$225,'03_DESPIECE'!$A$2:$A$225,B101,'03_DESPIECE'!$B$2:$B$225,C101)</f>
        <v>1</v>
      </c>
      <c r="M101" s="2" t="s">
        <v>629</v>
      </c>
    </row>
    <row r="102" customFormat="false" ht="15" hidden="false" customHeight="false" outlineLevel="0" collapsed="false">
      <c r="A102" s="2" t="s">
        <v>539</v>
      </c>
      <c r="B102" s="2" t="s">
        <v>119</v>
      </c>
      <c r="C102" s="2" t="s">
        <v>320</v>
      </c>
      <c r="D102" s="2" t="s">
        <v>188</v>
      </c>
      <c r="E102" s="5" t="n">
        <f aca="false">INDEX('08_PEDIDOS'!$D$2:$D$97,MATCH(A102,'08_PEDIDOS'!$A$2:$A$97,0))</f>
        <v>10</v>
      </c>
      <c r="F102" s="5" t="n">
        <f aca="false">SUMIFS('03_DESPIECE'!$D$2:$D$225,'03_DESPIECE'!$A$2:$A$225,B102,'03_DESPIECE'!$B$2:$B$225,C102)</f>
        <v>2</v>
      </c>
      <c r="G102" s="5" t="n">
        <f aca="false">E102*F102</f>
        <v>20</v>
      </c>
      <c r="H102" s="16" t="n">
        <f aca="false">SUMIFS('03_DESPIECE'!$J$2:$J$225,'03_DESPIECE'!$A$2:$A$225,B102,'03_DESPIECE'!$B$2:$B$225,C102)</f>
        <v>1.8</v>
      </c>
      <c r="I102" s="16" t="n">
        <f aca="false">E102*H102</f>
        <v>18</v>
      </c>
      <c r="J102" s="17" t="n">
        <f aca="false">E102*SUMIFS('03_DESPIECE'!$I$2:$I$225,'03_DESPIECE'!$A$2:$A$225,B102,'03_DESPIECE'!$B$2:$B$225,C102)</f>
        <v>0</v>
      </c>
      <c r="K102" s="19" t="n">
        <f aca="false">E102*SUMIFS('03_DESPIECE'!$K$2:$K$225,'03_DESPIECE'!$A$2:$A$225,B102,'03_DESPIECE'!$B$2:$B$225,C102)</f>
        <v>0</v>
      </c>
      <c r="L102" s="5" t="n">
        <f aca="false">SUMIFS('03_DESPIECE'!$L$2:$L$225,'03_DESPIECE'!$A$2:$A$225,B102,'03_DESPIECE'!$B$2:$B$225,C102)</f>
        <v>1</v>
      </c>
      <c r="M102" s="2" t="s">
        <v>629</v>
      </c>
    </row>
    <row r="103" customFormat="false" ht="15" hidden="false" customHeight="false" outlineLevel="0" collapsed="false">
      <c r="A103" s="2" t="s">
        <v>540</v>
      </c>
      <c r="B103" s="2" t="s">
        <v>121</v>
      </c>
      <c r="C103" s="2" t="s">
        <v>329</v>
      </c>
      <c r="D103" s="2" t="s">
        <v>184</v>
      </c>
      <c r="E103" s="5" t="n">
        <f aca="false">INDEX('08_PEDIDOS'!$D$2:$D$97,MATCH(A103,'08_PEDIDOS'!$A$2:$A$97,0))</f>
        <v>10</v>
      </c>
      <c r="F103" s="5" t="n">
        <f aca="false">SUMIFS('03_DESPIECE'!$D$2:$D$225,'03_DESPIECE'!$A$2:$A$225,B103,'03_DESPIECE'!$B$2:$B$225,C103)</f>
        <v>4</v>
      </c>
      <c r="G103" s="5" t="n">
        <f aca="false">E103*F103</f>
        <v>40</v>
      </c>
      <c r="H103" s="16" t="n">
        <f aca="false">SUMIFS('03_DESPIECE'!$J$2:$J$225,'03_DESPIECE'!$A$2:$A$225,B103,'03_DESPIECE'!$B$2:$B$225,C103)</f>
        <v>62.90625</v>
      </c>
      <c r="I103" s="16" t="n">
        <f aca="false">E103*H103</f>
        <v>629.0625</v>
      </c>
      <c r="J103" s="17" t="n">
        <f aca="false">E103*SUMIFS('03_DESPIECE'!$I$2:$I$225,'03_DESPIECE'!$A$2:$A$225,B103,'03_DESPIECE'!$B$2:$B$225,C103)</f>
        <v>99</v>
      </c>
      <c r="K103" s="19" t="n">
        <f aca="false">E103*SUMIFS('03_DESPIECE'!$K$2:$K$225,'03_DESPIECE'!$A$2:$A$225,B103,'03_DESPIECE'!$B$2:$B$225,C103)</f>
        <v>0</v>
      </c>
      <c r="L103" s="5" t="n">
        <f aca="false">SUMIFS('03_DESPIECE'!$L$2:$L$225,'03_DESPIECE'!$A$2:$A$225,B103,'03_DESPIECE'!$B$2:$B$225,C103)</f>
        <v>1</v>
      </c>
      <c r="M103" s="2" t="s">
        <v>629</v>
      </c>
    </row>
    <row r="104" customFormat="false" ht="15" hidden="false" customHeight="false" outlineLevel="0" collapsed="false">
      <c r="A104" s="2" t="s">
        <v>540</v>
      </c>
      <c r="B104" s="2" t="s">
        <v>121</v>
      </c>
      <c r="C104" s="2" t="s">
        <v>330</v>
      </c>
      <c r="D104" s="2" t="s">
        <v>184</v>
      </c>
      <c r="E104" s="5" t="n">
        <f aca="false">INDEX('08_PEDIDOS'!$D$2:$D$97,MATCH(A104,'08_PEDIDOS'!$A$2:$A$97,0))</f>
        <v>10</v>
      </c>
      <c r="F104" s="5" t="n">
        <f aca="false">SUMIFS('03_DESPIECE'!$D$2:$D$225,'03_DESPIECE'!$A$2:$A$225,B104,'03_DESPIECE'!$B$2:$B$225,C104)</f>
        <v>8</v>
      </c>
      <c r="G104" s="5" t="n">
        <f aca="false">E104*F104</f>
        <v>80</v>
      </c>
      <c r="H104" s="16" t="n">
        <f aca="false">SUMIFS('03_DESPIECE'!$J$2:$J$225,'03_DESPIECE'!$A$2:$A$225,B104,'03_DESPIECE'!$B$2:$B$225,C104)</f>
        <v>68.625</v>
      </c>
      <c r="I104" s="16" t="n">
        <f aca="false">E104*H104</f>
        <v>686.25</v>
      </c>
      <c r="J104" s="17" t="n">
        <f aca="false">E104*SUMIFS('03_DESPIECE'!$I$2:$I$225,'03_DESPIECE'!$A$2:$A$225,B104,'03_DESPIECE'!$B$2:$B$225,C104)</f>
        <v>108</v>
      </c>
      <c r="K104" s="19" t="n">
        <f aca="false">E104*SUMIFS('03_DESPIECE'!$K$2:$K$225,'03_DESPIECE'!$A$2:$A$225,B104,'03_DESPIECE'!$B$2:$B$225,C104)</f>
        <v>0</v>
      </c>
      <c r="L104" s="5" t="n">
        <f aca="false">SUMIFS('03_DESPIECE'!$L$2:$L$225,'03_DESPIECE'!$A$2:$A$225,B104,'03_DESPIECE'!$B$2:$B$225,C104)</f>
        <v>1</v>
      </c>
      <c r="M104" s="2" t="s">
        <v>629</v>
      </c>
    </row>
    <row r="105" customFormat="false" ht="15" hidden="false" customHeight="false" outlineLevel="0" collapsed="false">
      <c r="A105" s="2" t="s">
        <v>540</v>
      </c>
      <c r="B105" s="2" t="s">
        <v>121</v>
      </c>
      <c r="C105" s="2" t="s">
        <v>310</v>
      </c>
      <c r="D105" s="2" t="s">
        <v>174</v>
      </c>
      <c r="E105" s="5" t="n">
        <f aca="false">INDEX('08_PEDIDOS'!$D$2:$D$97,MATCH(A105,'08_PEDIDOS'!$A$2:$A$97,0))</f>
        <v>10</v>
      </c>
      <c r="F105" s="5" t="n">
        <f aca="false">SUMIFS('03_DESPIECE'!$D$2:$D$225,'03_DESPIECE'!$A$2:$A$225,B105,'03_DESPIECE'!$B$2:$B$225,C105)</f>
        <v>5</v>
      </c>
      <c r="G105" s="5" t="n">
        <f aca="false">E105*F105</f>
        <v>50</v>
      </c>
      <c r="H105" s="16" t="n">
        <f aca="false">SUMIFS('03_DESPIECE'!$J$2:$J$225,'03_DESPIECE'!$A$2:$A$225,B105,'03_DESPIECE'!$B$2:$B$225,C105)</f>
        <v>116.0434782609</v>
      </c>
      <c r="I105" s="16" t="n">
        <f aca="false">E105*H105</f>
        <v>1160.434782609</v>
      </c>
      <c r="J105" s="17" t="n">
        <f aca="false">E105*SUMIFS('03_DESPIECE'!$I$2:$I$225,'03_DESPIECE'!$A$2:$A$225,B105,'03_DESPIECE'!$B$2:$B$225,C105)</f>
        <v>157</v>
      </c>
      <c r="K105" s="19" t="n">
        <f aca="false">E105*SUMIFS('03_DESPIECE'!$K$2:$K$225,'03_DESPIECE'!$A$2:$A$225,B105,'03_DESPIECE'!$B$2:$B$225,C105)</f>
        <v>6.944444444</v>
      </c>
      <c r="L105" s="5" t="n">
        <f aca="false">SUMIFS('03_DESPIECE'!$L$2:$L$225,'03_DESPIECE'!$A$2:$A$225,B105,'03_DESPIECE'!$B$2:$B$225,C105)</f>
        <v>1</v>
      </c>
      <c r="M105" s="2" t="s">
        <v>629</v>
      </c>
    </row>
    <row r="106" customFormat="false" ht="15" hidden="false" customHeight="false" outlineLevel="0" collapsed="false">
      <c r="A106" s="2" t="s">
        <v>540</v>
      </c>
      <c r="B106" s="2" t="s">
        <v>121</v>
      </c>
      <c r="C106" s="2" t="s">
        <v>331</v>
      </c>
      <c r="D106" s="2" t="s">
        <v>174</v>
      </c>
      <c r="E106" s="5" t="n">
        <f aca="false">INDEX('08_PEDIDOS'!$D$2:$D$97,MATCH(A106,'08_PEDIDOS'!$A$2:$A$97,0))</f>
        <v>10</v>
      </c>
      <c r="F106" s="5" t="n">
        <f aca="false">SUMIFS('03_DESPIECE'!$D$2:$D$225,'03_DESPIECE'!$A$2:$A$225,B106,'03_DESPIECE'!$B$2:$B$225,C106)</f>
        <v>8</v>
      </c>
      <c r="G106" s="5" t="n">
        <f aca="false">E106*F106</f>
        <v>80</v>
      </c>
      <c r="H106" s="16" t="n">
        <f aca="false">SUMIFS('03_DESPIECE'!$J$2:$J$225,'03_DESPIECE'!$A$2:$A$225,B106,'03_DESPIECE'!$B$2:$B$225,C106)</f>
        <v>16.2460869565</v>
      </c>
      <c r="I106" s="16" t="n">
        <f aca="false">E106*H106</f>
        <v>162.460869565</v>
      </c>
      <c r="J106" s="17" t="n">
        <f aca="false">E106*SUMIFS('03_DESPIECE'!$I$2:$I$225,'03_DESPIECE'!$A$2:$A$225,B106,'03_DESPIECE'!$B$2:$B$225,C106)</f>
        <v>21.98</v>
      </c>
      <c r="K106" s="19" t="n">
        <f aca="false">E106*SUMIFS('03_DESPIECE'!$K$2:$K$225,'03_DESPIECE'!$A$2:$A$225,B106,'03_DESPIECE'!$B$2:$B$225,C106)</f>
        <v>0.972222222</v>
      </c>
      <c r="L106" s="5" t="n">
        <f aca="false">SUMIFS('03_DESPIECE'!$L$2:$L$225,'03_DESPIECE'!$A$2:$A$225,B106,'03_DESPIECE'!$B$2:$B$225,C106)</f>
        <v>1</v>
      </c>
      <c r="M106" s="2" t="s">
        <v>629</v>
      </c>
    </row>
    <row r="107" customFormat="false" ht="15" hidden="false" customHeight="false" outlineLevel="0" collapsed="false">
      <c r="A107" s="2" t="s">
        <v>540</v>
      </c>
      <c r="B107" s="2" t="s">
        <v>121</v>
      </c>
      <c r="C107" s="2" t="s">
        <v>332</v>
      </c>
      <c r="D107" s="2" t="s">
        <v>188</v>
      </c>
      <c r="E107" s="5" t="n">
        <f aca="false">INDEX('08_PEDIDOS'!$D$2:$D$97,MATCH(A107,'08_PEDIDOS'!$A$2:$A$97,0))</f>
        <v>10</v>
      </c>
      <c r="F107" s="5" t="n">
        <f aca="false">SUMIFS('03_DESPIECE'!$D$2:$D$225,'03_DESPIECE'!$A$2:$A$225,B107,'03_DESPIECE'!$B$2:$B$225,C107)</f>
        <v>32</v>
      </c>
      <c r="G107" s="5" t="n">
        <f aca="false">E107*F107</f>
        <v>320</v>
      </c>
      <c r="H107" s="16" t="n">
        <f aca="false">SUMIFS('03_DESPIECE'!$J$2:$J$225,'03_DESPIECE'!$A$2:$A$225,B107,'03_DESPIECE'!$B$2:$B$225,C107)</f>
        <v>28.8</v>
      </c>
      <c r="I107" s="16" t="n">
        <f aca="false">E107*H107</f>
        <v>288</v>
      </c>
      <c r="J107" s="17" t="n">
        <f aca="false">E107*SUMIFS('03_DESPIECE'!$I$2:$I$225,'03_DESPIECE'!$A$2:$A$225,B107,'03_DESPIECE'!$B$2:$B$225,C107)</f>
        <v>0</v>
      </c>
      <c r="K107" s="19" t="n">
        <f aca="false">E107*SUMIFS('03_DESPIECE'!$K$2:$K$225,'03_DESPIECE'!$A$2:$A$225,B107,'03_DESPIECE'!$B$2:$B$225,C107)</f>
        <v>0</v>
      </c>
      <c r="L107" s="5" t="n">
        <f aca="false">SUMIFS('03_DESPIECE'!$L$2:$L$225,'03_DESPIECE'!$A$2:$A$225,B107,'03_DESPIECE'!$B$2:$B$225,C107)</f>
        <v>1</v>
      </c>
      <c r="M107" s="2" t="s">
        <v>629</v>
      </c>
    </row>
    <row r="108" customFormat="false" ht="15" hidden="false" customHeight="false" outlineLevel="0" collapsed="false">
      <c r="A108" s="2" t="s">
        <v>541</v>
      </c>
      <c r="B108" s="2" t="s">
        <v>80</v>
      </c>
      <c r="C108" s="2" t="s">
        <v>285</v>
      </c>
      <c r="D108" s="2" t="s">
        <v>184</v>
      </c>
      <c r="E108" s="5" t="n">
        <f aca="false">INDEX('08_PEDIDOS'!$D$2:$D$97,MATCH(A108,'08_PEDIDOS'!$A$2:$A$97,0))</f>
        <v>12</v>
      </c>
      <c r="F108" s="5" t="n">
        <f aca="false">SUMIFS('03_DESPIECE'!$D$2:$D$225,'03_DESPIECE'!$A$2:$A$225,B108,'03_DESPIECE'!$B$2:$B$225,C108)</f>
        <v>4</v>
      </c>
      <c r="G108" s="5" t="n">
        <f aca="false">E108*F108</f>
        <v>48</v>
      </c>
      <c r="H108" s="16" t="n">
        <f aca="false">SUMIFS('03_DESPIECE'!$J$2:$J$225,'03_DESPIECE'!$A$2:$A$225,B108,'03_DESPIECE'!$B$2:$B$225,C108)</f>
        <v>68.625</v>
      </c>
      <c r="I108" s="16" t="n">
        <f aca="false">E108*H108</f>
        <v>823.5</v>
      </c>
      <c r="J108" s="17" t="n">
        <f aca="false">E108*SUMIFS('03_DESPIECE'!$I$2:$I$225,'03_DESPIECE'!$A$2:$A$225,B108,'03_DESPIECE'!$B$2:$B$225,C108)</f>
        <v>129.6</v>
      </c>
      <c r="K108" s="19" t="n">
        <f aca="false">E108*SUMIFS('03_DESPIECE'!$K$2:$K$225,'03_DESPIECE'!$A$2:$A$225,B108,'03_DESPIECE'!$B$2:$B$225,C108)</f>
        <v>0</v>
      </c>
      <c r="L108" s="5" t="n">
        <f aca="false">SUMIFS('03_DESPIECE'!$L$2:$L$225,'03_DESPIECE'!$A$2:$A$225,B108,'03_DESPIECE'!$B$2:$B$225,C108)</f>
        <v>1</v>
      </c>
      <c r="M108" s="2" t="s">
        <v>629</v>
      </c>
    </row>
    <row r="109" customFormat="false" ht="15" hidden="false" customHeight="false" outlineLevel="0" collapsed="false">
      <c r="A109" s="2" t="s">
        <v>541</v>
      </c>
      <c r="B109" s="2" t="s">
        <v>80</v>
      </c>
      <c r="C109" s="2" t="s">
        <v>287</v>
      </c>
      <c r="D109" s="2" t="s">
        <v>184</v>
      </c>
      <c r="E109" s="5" t="n">
        <f aca="false">INDEX('08_PEDIDOS'!$D$2:$D$97,MATCH(A109,'08_PEDIDOS'!$A$2:$A$97,0))</f>
        <v>12</v>
      </c>
      <c r="F109" s="5" t="n">
        <f aca="false">SUMIFS('03_DESPIECE'!$D$2:$D$225,'03_DESPIECE'!$A$2:$A$225,B109,'03_DESPIECE'!$B$2:$B$225,C109)</f>
        <v>8</v>
      </c>
      <c r="G109" s="5" t="n">
        <f aca="false">E109*F109</f>
        <v>96</v>
      </c>
      <c r="H109" s="16" t="n">
        <f aca="false">SUMIFS('03_DESPIECE'!$J$2:$J$225,'03_DESPIECE'!$A$2:$A$225,B109,'03_DESPIECE'!$B$2:$B$225,C109)</f>
        <v>91.5</v>
      </c>
      <c r="I109" s="16" t="n">
        <f aca="false">E109*H109</f>
        <v>1098</v>
      </c>
      <c r="J109" s="17" t="n">
        <f aca="false">E109*SUMIFS('03_DESPIECE'!$I$2:$I$225,'03_DESPIECE'!$A$2:$A$225,B109,'03_DESPIECE'!$B$2:$B$225,C109)</f>
        <v>172.8</v>
      </c>
      <c r="K109" s="19" t="n">
        <f aca="false">E109*SUMIFS('03_DESPIECE'!$K$2:$K$225,'03_DESPIECE'!$A$2:$A$225,B109,'03_DESPIECE'!$B$2:$B$225,C109)</f>
        <v>0</v>
      </c>
      <c r="L109" s="5" t="n">
        <f aca="false">SUMIFS('03_DESPIECE'!$L$2:$L$225,'03_DESPIECE'!$A$2:$A$225,B109,'03_DESPIECE'!$B$2:$B$225,C109)</f>
        <v>1</v>
      </c>
      <c r="M109" s="2" t="s">
        <v>629</v>
      </c>
    </row>
    <row r="110" customFormat="false" ht="15" hidden="false" customHeight="false" outlineLevel="0" collapsed="false">
      <c r="A110" s="2" t="s">
        <v>541</v>
      </c>
      <c r="B110" s="2" t="s">
        <v>80</v>
      </c>
      <c r="C110" s="2" t="s">
        <v>288</v>
      </c>
      <c r="D110" s="2" t="s">
        <v>184</v>
      </c>
      <c r="E110" s="5" t="n">
        <f aca="false">INDEX('08_PEDIDOS'!$D$2:$D$97,MATCH(A110,'08_PEDIDOS'!$A$2:$A$97,0))</f>
        <v>12</v>
      </c>
      <c r="F110" s="5" t="n">
        <f aca="false">SUMIFS('03_DESPIECE'!$D$2:$D$225,'03_DESPIECE'!$A$2:$A$225,B110,'03_DESPIECE'!$B$2:$B$225,C110)</f>
        <v>4</v>
      </c>
      <c r="G110" s="5" t="n">
        <f aca="false">E110*F110</f>
        <v>48</v>
      </c>
      <c r="H110" s="16" t="n">
        <f aca="false">SUMIFS('03_DESPIECE'!$J$2:$J$225,'03_DESPIECE'!$A$2:$A$225,B110,'03_DESPIECE'!$B$2:$B$225,C110)</f>
        <v>22.875</v>
      </c>
      <c r="I110" s="16" t="n">
        <f aca="false">E110*H110</f>
        <v>274.5</v>
      </c>
      <c r="J110" s="17" t="n">
        <f aca="false">E110*SUMIFS('03_DESPIECE'!$I$2:$I$225,'03_DESPIECE'!$A$2:$A$225,B110,'03_DESPIECE'!$B$2:$B$225,C110)</f>
        <v>43.2</v>
      </c>
      <c r="K110" s="19" t="n">
        <f aca="false">E110*SUMIFS('03_DESPIECE'!$K$2:$K$225,'03_DESPIECE'!$A$2:$A$225,B110,'03_DESPIECE'!$B$2:$B$225,C110)</f>
        <v>0</v>
      </c>
      <c r="L110" s="5" t="n">
        <f aca="false">SUMIFS('03_DESPIECE'!$L$2:$L$225,'03_DESPIECE'!$A$2:$A$225,B110,'03_DESPIECE'!$B$2:$B$225,C110)</f>
        <v>1</v>
      </c>
      <c r="M110" s="2" t="s">
        <v>629</v>
      </c>
    </row>
    <row r="111" customFormat="false" ht="15" hidden="false" customHeight="false" outlineLevel="0" collapsed="false">
      <c r="A111" s="2" t="s">
        <v>541</v>
      </c>
      <c r="B111" s="2" t="s">
        <v>80</v>
      </c>
      <c r="C111" s="2" t="s">
        <v>289</v>
      </c>
      <c r="D111" s="2" t="s">
        <v>170</v>
      </c>
      <c r="E111" s="5" t="n">
        <f aca="false">INDEX('08_PEDIDOS'!$D$2:$D$97,MATCH(A111,'08_PEDIDOS'!$A$2:$A$97,0))</f>
        <v>12</v>
      </c>
      <c r="F111" s="5" t="n">
        <f aca="false">SUMIFS('03_DESPIECE'!$D$2:$D$225,'03_DESPIECE'!$A$2:$A$225,B111,'03_DESPIECE'!$B$2:$B$225,C111)</f>
        <v>4</v>
      </c>
      <c r="G111" s="5" t="n">
        <f aca="false">E111*F111</f>
        <v>48</v>
      </c>
      <c r="H111" s="16" t="n">
        <f aca="false">SUMIFS('03_DESPIECE'!$J$2:$J$225,'03_DESPIECE'!$A$2:$A$225,B111,'03_DESPIECE'!$B$2:$B$225,C111)</f>
        <v>334.2052173913</v>
      </c>
      <c r="I111" s="16" t="n">
        <f aca="false">E111*H111</f>
        <v>4010.4626086956</v>
      </c>
      <c r="J111" s="17" t="n">
        <f aca="false">E111*SUMIFS('03_DESPIECE'!$I$2:$I$225,'03_DESPIECE'!$A$2:$A$225,B111,'03_DESPIECE'!$B$2:$B$225,C111)</f>
        <v>542.592</v>
      </c>
      <c r="K111" s="19" t="n">
        <f aca="false">E111*SUMIFS('03_DESPIECE'!$K$2:$K$225,'03_DESPIECE'!$A$2:$A$225,B111,'03_DESPIECE'!$B$2:$B$225,C111)</f>
        <v>12</v>
      </c>
      <c r="L111" s="5" t="n">
        <f aca="false">SUMIFS('03_DESPIECE'!$L$2:$L$225,'03_DESPIECE'!$A$2:$A$225,B111,'03_DESPIECE'!$B$2:$B$225,C111)</f>
        <v>1</v>
      </c>
      <c r="M111" s="2" t="s">
        <v>629</v>
      </c>
    </row>
    <row r="112" customFormat="false" ht="15" hidden="false" customHeight="false" outlineLevel="0" collapsed="false">
      <c r="A112" s="2" t="s">
        <v>541</v>
      </c>
      <c r="B112" s="2" t="s">
        <v>80</v>
      </c>
      <c r="C112" s="2" t="s">
        <v>291</v>
      </c>
      <c r="D112" s="2" t="s">
        <v>170</v>
      </c>
      <c r="E112" s="5" t="n">
        <f aca="false">INDEX('08_PEDIDOS'!$D$2:$D$97,MATCH(A112,'08_PEDIDOS'!$A$2:$A$97,0))</f>
        <v>12</v>
      </c>
      <c r="F112" s="5" t="n">
        <f aca="false">SUMIFS('03_DESPIECE'!$D$2:$D$225,'03_DESPIECE'!$A$2:$A$225,B112,'03_DESPIECE'!$B$2:$B$225,C112)</f>
        <v>8</v>
      </c>
      <c r="G112" s="5" t="n">
        <f aca="false">E112*F112</f>
        <v>96</v>
      </c>
      <c r="H112" s="16" t="n">
        <f aca="false">SUMIFS('03_DESPIECE'!$J$2:$J$225,'03_DESPIECE'!$A$2:$A$225,B112,'03_DESPIECE'!$B$2:$B$225,C112)</f>
        <v>23.2086956522</v>
      </c>
      <c r="I112" s="16" t="n">
        <f aca="false">E112*H112</f>
        <v>278.5043478264</v>
      </c>
      <c r="J112" s="17" t="n">
        <f aca="false">E112*SUMIFS('03_DESPIECE'!$I$2:$I$225,'03_DESPIECE'!$A$2:$A$225,B112,'03_DESPIECE'!$B$2:$B$225,C112)</f>
        <v>37.68</v>
      </c>
      <c r="K112" s="19" t="n">
        <f aca="false">E112*SUMIFS('03_DESPIECE'!$K$2:$K$225,'03_DESPIECE'!$A$2:$A$225,B112,'03_DESPIECE'!$B$2:$B$225,C112)</f>
        <v>0.8333333328</v>
      </c>
      <c r="L112" s="5" t="n">
        <f aca="false">SUMIFS('03_DESPIECE'!$L$2:$L$225,'03_DESPIECE'!$A$2:$A$225,B112,'03_DESPIECE'!$B$2:$B$225,C112)</f>
        <v>1</v>
      </c>
      <c r="M112" s="2" t="s">
        <v>629</v>
      </c>
    </row>
    <row r="113" customFormat="false" ht="15" hidden="false" customHeight="false" outlineLevel="0" collapsed="false">
      <c r="A113" s="2" t="s">
        <v>541</v>
      </c>
      <c r="B113" s="2" t="s">
        <v>80</v>
      </c>
      <c r="C113" s="2" t="s">
        <v>292</v>
      </c>
      <c r="D113" s="2" t="s">
        <v>188</v>
      </c>
      <c r="E113" s="5" t="n">
        <f aca="false">INDEX('08_PEDIDOS'!$D$2:$D$97,MATCH(A113,'08_PEDIDOS'!$A$2:$A$97,0))</f>
        <v>12</v>
      </c>
      <c r="F113" s="5" t="n">
        <f aca="false">SUMIFS('03_DESPIECE'!$D$2:$D$225,'03_DESPIECE'!$A$2:$A$225,B113,'03_DESPIECE'!$B$2:$B$225,C113)</f>
        <v>24</v>
      </c>
      <c r="G113" s="5" t="n">
        <f aca="false">E113*F113</f>
        <v>288</v>
      </c>
      <c r="H113" s="16" t="n">
        <f aca="false">SUMIFS('03_DESPIECE'!$J$2:$J$225,'03_DESPIECE'!$A$2:$A$225,B113,'03_DESPIECE'!$B$2:$B$225,C113)</f>
        <v>21.6</v>
      </c>
      <c r="I113" s="16" t="n">
        <f aca="false">E113*H113</f>
        <v>259.2</v>
      </c>
      <c r="J113" s="17" t="n">
        <f aca="false">E113*SUMIFS('03_DESPIECE'!$I$2:$I$225,'03_DESPIECE'!$A$2:$A$225,B113,'03_DESPIECE'!$B$2:$B$225,C113)</f>
        <v>0</v>
      </c>
      <c r="K113" s="19" t="n">
        <f aca="false">E113*SUMIFS('03_DESPIECE'!$K$2:$K$225,'03_DESPIECE'!$A$2:$A$225,B113,'03_DESPIECE'!$B$2:$B$225,C113)</f>
        <v>0</v>
      </c>
      <c r="L113" s="5" t="n">
        <f aca="false">SUMIFS('03_DESPIECE'!$L$2:$L$225,'03_DESPIECE'!$A$2:$A$225,B113,'03_DESPIECE'!$B$2:$B$225,C113)</f>
        <v>1</v>
      </c>
      <c r="M113" s="2" t="s">
        <v>629</v>
      </c>
    </row>
    <row r="114" customFormat="false" ht="15" hidden="false" customHeight="false" outlineLevel="0" collapsed="false">
      <c r="A114" s="2" t="s">
        <v>541</v>
      </c>
      <c r="B114" s="2" t="s">
        <v>80</v>
      </c>
      <c r="C114" s="2" t="s">
        <v>294</v>
      </c>
      <c r="D114" s="2" t="s">
        <v>188</v>
      </c>
      <c r="E114" s="5" t="n">
        <f aca="false">INDEX('08_PEDIDOS'!$D$2:$D$97,MATCH(A114,'08_PEDIDOS'!$A$2:$A$97,0))</f>
        <v>12</v>
      </c>
      <c r="F114" s="5" t="n">
        <f aca="false">SUMIFS('03_DESPIECE'!$D$2:$D$225,'03_DESPIECE'!$A$2:$A$225,B114,'03_DESPIECE'!$B$2:$B$225,C114)</f>
        <v>4</v>
      </c>
      <c r="G114" s="5" t="n">
        <f aca="false">E114*F114</f>
        <v>48</v>
      </c>
      <c r="H114" s="16" t="n">
        <f aca="false">SUMIFS('03_DESPIECE'!$J$2:$J$225,'03_DESPIECE'!$A$2:$A$225,B114,'03_DESPIECE'!$B$2:$B$225,C114)</f>
        <v>3.6</v>
      </c>
      <c r="I114" s="16" t="n">
        <f aca="false">E114*H114</f>
        <v>43.2</v>
      </c>
      <c r="J114" s="17" t="n">
        <f aca="false">E114*SUMIFS('03_DESPIECE'!$I$2:$I$225,'03_DESPIECE'!$A$2:$A$225,B114,'03_DESPIECE'!$B$2:$B$225,C114)</f>
        <v>0</v>
      </c>
      <c r="K114" s="19" t="n">
        <f aca="false">E114*SUMIFS('03_DESPIECE'!$K$2:$K$225,'03_DESPIECE'!$A$2:$A$225,B114,'03_DESPIECE'!$B$2:$B$225,C114)</f>
        <v>0</v>
      </c>
      <c r="L114" s="5" t="n">
        <f aca="false">SUMIFS('03_DESPIECE'!$L$2:$L$225,'03_DESPIECE'!$A$2:$A$225,B114,'03_DESPIECE'!$B$2:$B$225,C114)</f>
        <v>1</v>
      </c>
      <c r="M114" s="2" t="s">
        <v>629</v>
      </c>
    </row>
    <row r="115" customFormat="false" ht="15" hidden="false" customHeight="false" outlineLevel="0" collapsed="false">
      <c r="A115" s="2" t="s">
        <v>542</v>
      </c>
      <c r="B115" s="2" t="s">
        <v>83</v>
      </c>
      <c r="C115" s="2" t="s">
        <v>295</v>
      </c>
      <c r="D115" s="2" t="s">
        <v>184</v>
      </c>
      <c r="E115" s="5" t="n">
        <f aca="false">INDEX('08_PEDIDOS'!$D$2:$D$97,MATCH(A115,'08_PEDIDOS'!$A$2:$A$97,0))</f>
        <v>12</v>
      </c>
      <c r="F115" s="5" t="n">
        <f aca="false">SUMIFS('03_DESPIECE'!$D$2:$D$225,'03_DESPIECE'!$A$2:$A$225,B115,'03_DESPIECE'!$B$2:$B$225,C115)</f>
        <v>4</v>
      </c>
      <c r="G115" s="5" t="n">
        <f aca="false">E115*F115</f>
        <v>48</v>
      </c>
      <c r="H115" s="16" t="n">
        <f aca="false">SUMIFS('03_DESPIECE'!$J$2:$J$225,'03_DESPIECE'!$A$2:$A$225,B115,'03_DESPIECE'!$B$2:$B$225,C115)</f>
        <v>76.25</v>
      </c>
      <c r="I115" s="16" t="n">
        <f aca="false">E115*H115</f>
        <v>915</v>
      </c>
      <c r="J115" s="17" t="n">
        <f aca="false">E115*SUMIFS('03_DESPIECE'!$I$2:$I$225,'03_DESPIECE'!$A$2:$A$225,B115,'03_DESPIECE'!$B$2:$B$225,C115)</f>
        <v>144</v>
      </c>
      <c r="K115" s="19" t="n">
        <f aca="false">E115*SUMIFS('03_DESPIECE'!$K$2:$K$225,'03_DESPIECE'!$A$2:$A$225,B115,'03_DESPIECE'!$B$2:$B$225,C115)</f>
        <v>0</v>
      </c>
      <c r="L115" s="5" t="n">
        <f aca="false">SUMIFS('03_DESPIECE'!$L$2:$L$225,'03_DESPIECE'!$A$2:$A$225,B115,'03_DESPIECE'!$B$2:$B$225,C115)</f>
        <v>1</v>
      </c>
      <c r="M115" s="2" t="s">
        <v>629</v>
      </c>
    </row>
    <row r="116" customFormat="false" ht="15" hidden="false" customHeight="false" outlineLevel="0" collapsed="false">
      <c r="A116" s="2" t="s">
        <v>542</v>
      </c>
      <c r="B116" s="2" t="s">
        <v>83</v>
      </c>
      <c r="C116" s="2" t="s">
        <v>296</v>
      </c>
      <c r="D116" s="2" t="s">
        <v>184</v>
      </c>
      <c r="E116" s="5" t="n">
        <f aca="false">INDEX('08_PEDIDOS'!$D$2:$D$97,MATCH(A116,'08_PEDIDOS'!$A$2:$A$97,0))</f>
        <v>12</v>
      </c>
      <c r="F116" s="5" t="n">
        <f aca="false">SUMIFS('03_DESPIECE'!$D$2:$D$225,'03_DESPIECE'!$A$2:$A$225,B116,'03_DESPIECE'!$B$2:$B$225,C116)</f>
        <v>8</v>
      </c>
      <c r="G116" s="5" t="n">
        <f aca="false">E116*F116</f>
        <v>96</v>
      </c>
      <c r="H116" s="16" t="n">
        <f aca="false">SUMIFS('03_DESPIECE'!$J$2:$J$225,'03_DESPIECE'!$A$2:$A$225,B116,'03_DESPIECE'!$B$2:$B$225,C116)</f>
        <v>76.25</v>
      </c>
      <c r="I116" s="16" t="n">
        <f aca="false">E116*H116</f>
        <v>915</v>
      </c>
      <c r="J116" s="17" t="n">
        <f aca="false">E116*SUMIFS('03_DESPIECE'!$I$2:$I$225,'03_DESPIECE'!$A$2:$A$225,B116,'03_DESPIECE'!$B$2:$B$225,C116)</f>
        <v>144</v>
      </c>
      <c r="K116" s="19" t="n">
        <f aca="false">E116*SUMIFS('03_DESPIECE'!$K$2:$K$225,'03_DESPIECE'!$A$2:$A$225,B116,'03_DESPIECE'!$B$2:$B$225,C116)</f>
        <v>0</v>
      </c>
      <c r="L116" s="5" t="n">
        <f aca="false">SUMIFS('03_DESPIECE'!$L$2:$L$225,'03_DESPIECE'!$A$2:$A$225,B116,'03_DESPIECE'!$B$2:$B$225,C116)</f>
        <v>1</v>
      </c>
      <c r="M116" s="2" t="s">
        <v>629</v>
      </c>
    </row>
    <row r="117" customFormat="false" ht="15" hidden="false" customHeight="false" outlineLevel="0" collapsed="false">
      <c r="A117" s="2" t="s">
        <v>542</v>
      </c>
      <c r="B117" s="2" t="s">
        <v>83</v>
      </c>
      <c r="C117" s="2" t="s">
        <v>297</v>
      </c>
      <c r="D117" s="2" t="s">
        <v>184</v>
      </c>
      <c r="E117" s="5" t="n">
        <f aca="false">INDEX('08_PEDIDOS'!$D$2:$D$97,MATCH(A117,'08_PEDIDOS'!$A$2:$A$97,0))</f>
        <v>12</v>
      </c>
      <c r="F117" s="5" t="n">
        <f aca="false">SUMIFS('03_DESPIECE'!$D$2:$D$225,'03_DESPIECE'!$A$2:$A$225,B117,'03_DESPIECE'!$B$2:$B$225,C117)</f>
        <v>8</v>
      </c>
      <c r="G117" s="5" t="n">
        <f aca="false">E117*F117</f>
        <v>96</v>
      </c>
      <c r="H117" s="16" t="n">
        <f aca="false">SUMIFS('03_DESPIECE'!$J$2:$J$225,'03_DESPIECE'!$A$2:$A$225,B117,'03_DESPIECE'!$B$2:$B$225,C117)</f>
        <v>38.125</v>
      </c>
      <c r="I117" s="16" t="n">
        <f aca="false">E117*H117</f>
        <v>457.5</v>
      </c>
      <c r="J117" s="17" t="n">
        <f aca="false">E117*SUMIFS('03_DESPIECE'!$I$2:$I$225,'03_DESPIECE'!$A$2:$A$225,B117,'03_DESPIECE'!$B$2:$B$225,C117)</f>
        <v>72</v>
      </c>
      <c r="K117" s="19" t="n">
        <f aca="false">E117*SUMIFS('03_DESPIECE'!$K$2:$K$225,'03_DESPIECE'!$A$2:$A$225,B117,'03_DESPIECE'!$B$2:$B$225,C117)</f>
        <v>0</v>
      </c>
      <c r="L117" s="5" t="n">
        <f aca="false">SUMIFS('03_DESPIECE'!$L$2:$L$225,'03_DESPIECE'!$A$2:$A$225,B117,'03_DESPIECE'!$B$2:$B$225,C117)</f>
        <v>1</v>
      </c>
      <c r="M117" s="2" t="s">
        <v>629</v>
      </c>
    </row>
    <row r="118" customFormat="false" ht="15" hidden="false" customHeight="false" outlineLevel="0" collapsed="false">
      <c r="A118" s="2" t="s">
        <v>542</v>
      </c>
      <c r="B118" s="2" t="s">
        <v>83</v>
      </c>
      <c r="C118" s="2" t="s">
        <v>298</v>
      </c>
      <c r="D118" s="2" t="s">
        <v>170</v>
      </c>
      <c r="E118" s="5" t="n">
        <f aca="false">INDEX('08_PEDIDOS'!$D$2:$D$97,MATCH(A118,'08_PEDIDOS'!$A$2:$A$97,0))</f>
        <v>12</v>
      </c>
      <c r="F118" s="5" t="n">
        <f aca="false">SUMIFS('03_DESPIECE'!$D$2:$D$225,'03_DESPIECE'!$A$2:$A$225,B118,'03_DESPIECE'!$B$2:$B$225,C118)</f>
        <v>5</v>
      </c>
      <c r="G118" s="5" t="n">
        <f aca="false">E118*F118</f>
        <v>60</v>
      </c>
      <c r="H118" s="16" t="n">
        <f aca="false">SUMIFS('03_DESPIECE'!$J$2:$J$225,'03_DESPIECE'!$A$2:$A$225,B118,'03_DESPIECE'!$B$2:$B$225,C118)</f>
        <v>290.1086956522</v>
      </c>
      <c r="I118" s="16" t="n">
        <f aca="false">E118*H118</f>
        <v>3481.3043478264</v>
      </c>
      <c r="J118" s="17" t="n">
        <f aca="false">E118*SUMIFS('03_DESPIECE'!$I$2:$I$225,'03_DESPIECE'!$A$2:$A$225,B118,'03_DESPIECE'!$B$2:$B$225,C118)</f>
        <v>471</v>
      </c>
      <c r="K118" s="19" t="n">
        <f aca="false">E118*SUMIFS('03_DESPIECE'!$K$2:$K$225,'03_DESPIECE'!$A$2:$A$225,B118,'03_DESPIECE'!$B$2:$B$225,C118)</f>
        <v>10.4166666672</v>
      </c>
      <c r="L118" s="5" t="n">
        <f aca="false">SUMIFS('03_DESPIECE'!$L$2:$L$225,'03_DESPIECE'!$A$2:$A$225,B118,'03_DESPIECE'!$B$2:$B$225,C118)</f>
        <v>1</v>
      </c>
      <c r="M118" s="2" t="s">
        <v>629</v>
      </c>
    </row>
    <row r="119" customFormat="false" ht="15" hidden="false" customHeight="false" outlineLevel="0" collapsed="false">
      <c r="A119" s="2" t="s">
        <v>542</v>
      </c>
      <c r="B119" s="2" t="s">
        <v>83</v>
      </c>
      <c r="C119" s="2" t="s">
        <v>299</v>
      </c>
      <c r="D119" s="2" t="s">
        <v>170</v>
      </c>
      <c r="E119" s="5" t="n">
        <f aca="false">INDEX('08_PEDIDOS'!$D$2:$D$97,MATCH(A119,'08_PEDIDOS'!$A$2:$A$97,0))</f>
        <v>12</v>
      </c>
      <c r="F119" s="5" t="n">
        <f aca="false">SUMIFS('03_DESPIECE'!$D$2:$D$225,'03_DESPIECE'!$A$2:$A$225,B119,'03_DESPIECE'!$B$2:$B$225,C119)</f>
        <v>8</v>
      </c>
      <c r="G119" s="5" t="n">
        <f aca="false">E119*F119</f>
        <v>96</v>
      </c>
      <c r="H119" s="16" t="n">
        <f aca="false">SUMIFS('03_DESPIECE'!$J$2:$J$225,'03_DESPIECE'!$A$2:$A$225,B119,'03_DESPIECE'!$B$2:$B$225,C119)</f>
        <v>32.492173913</v>
      </c>
      <c r="I119" s="16" t="n">
        <f aca="false">E119*H119</f>
        <v>389.906086956</v>
      </c>
      <c r="J119" s="17" t="n">
        <f aca="false">E119*SUMIFS('03_DESPIECE'!$I$2:$I$225,'03_DESPIECE'!$A$2:$A$225,B119,'03_DESPIECE'!$B$2:$B$225,C119)</f>
        <v>52.752</v>
      </c>
      <c r="K119" s="19" t="n">
        <f aca="false">E119*SUMIFS('03_DESPIECE'!$K$2:$K$225,'03_DESPIECE'!$A$2:$A$225,B119,'03_DESPIECE'!$B$2:$B$225,C119)</f>
        <v>1.1666666664</v>
      </c>
      <c r="L119" s="5" t="n">
        <f aca="false">SUMIFS('03_DESPIECE'!$L$2:$L$225,'03_DESPIECE'!$A$2:$A$225,B119,'03_DESPIECE'!$B$2:$B$225,C119)</f>
        <v>1</v>
      </c>
      <c r="M119" s="2" t="s">
        <v>629</v>
      </c>
    </row>
    <row r="120" customFormat="false" ht="15" hidden="false" customHeight="false" outlineLevel="0" collapsed="false">
      <c r="A120" s="2" t="s">
        <v>542</v>
      </c>
      <c r="B120" s="2" t="s">
        <v>83</v>
      </c>
      <c r="C120" s="2" t="s">
        <v>300</v>
      </c>
      <c r="D120" s="2" t="s">
        <v>188</v>
      </c>
      <c r="E120" s="5" t="n">
        <f aca="false">INDEX('08_PEDIDOS'!$D$2:$D$97,MATCH(A120,'08_PEDIDOS'!$A$2:$A$97,0))</f>
        <v>12</v>
      </c>
      <c r="F120" s="5" t="n">
        <f aca="false">SUMIFS('03_DESPIECE'!$D$2:$D$225,'03_DESPIECE'!$A$2:$A$225,B120,'03_DESPIECE'!$B$2:$B$225,C120)</f>
        <v>28</v>
      </c>
      <c r="G120" s="5" t="n">
        <f aca="false">E120*F120</f>
        <v>336</v>
      </c>
      <c r="H120" s="16" t="n">
        <f aca="false">SUMIFS('03_DESPIECE'!$J$2:$J$225,'03_DESPIECE'!$A$2:$A$225,B120,'03_DESPIECE'!$B$2:$B$225,C120)</f>
        <v>25.2</v>
      </c>
      <c r="I120" s="16" t="n">
        <f aca="false">E120*H120</f>
        <v>302.4</v>
      </c>
      <c r="J120" s="17" t="n">
        <f aca="false">E120*SUMIFS('03_DESPIECE'!$I$2:$I$225,'03_DESPIECE'!$A$2:$A$225,B120,'03_DESPIECE'!$B$2:$B$225,C120)</f>
        <v>0</v>
      </c>
      <c r="K120" s="19" t="n">
        <f aca="false">E120*SUMIFS('03_DESPIECE'!$K$2:$K$225,'03_DESPIECE'!$A$2:$A$225,B120,'03_DESPIECE'!$B$2:$B$225,C120)</f>
        <v>0</v>
      </c>
      <c r="L120" s="5" t="n">
        <f aca="false">SUMIFS('03_DESPIECE'!$L$2:$L$225,'03_DESPIECE'!$A$2:$A$225,B120,'03_DESPIECE'!$B$2:$B$225,C120)</f>
        <v>1</v>
      </c>
      <c r="M120" s="2" t="s">
        <v>629</v>
      </c>
    </row>
    <row r="121" customFormat="false" ht="15" hidden="false" customHeight="false" outlineLevel="0" collapsed="false">
      <c r="A121" s="2" t="s">
        <v>543</v>
      </c>
      <c r="B121" s="2" t="s">
        <v>94</v>
      </c>
      <c r="C121" s="2" t="s">
        <v>301</v>
      </c>
      <c r="D121" s="2" t="s">
        <v>184</v>
      </c>
      <c r="E121" s="5" t="n">
        <f aca="false">INDEX('08_PEDIDOS'!$D$2:$D$97,MATCH(A121,'08_PEDIDOS'!$A$2:$A$97,0))</f>
        <v>6</v>
      </c>
      <c r="F121" s="5" t="n">
        <f aca="false">SUMIFS('03_DESPIECE'!$D$2:$D$225,'03_DESPIECE'!$A$2:$A$225,B121,'03_DESPIECE'!$B$2:$B$225,C121)</f>
        <v>2</v>
      </c>
      <c r="G121" s="5" t="n">
        <f aca="false">E121*F121</f>
        <v>12</v>
      </c>
      <c r="H121" s="16" t="n">
        <f aca="false">SUMIFS('03_DESPIECE'!$J$2:$J$225,'03_DESPIECE'!$A$2:$A$225,B121,'03_DESPIECE'!$B$2:$B$225,C121)</f>
        <v>31.453125</v>
      </c>
      <c r="I121" s="16" t="n">
        <f aca="false">E121*H121</f>
        <v>188.71875</v>
      </c>
      <c r="J121" s="17" t="n">
        <f aca="false">E121*SUMIFS('03_DESPIECE'!$I$2:$I$225,'03_DESPIECE'!$A$2:$A$225,B121,'03_DESPIECE'!$B$2:$B$225,C121)</f>
        <v>29.7</v>
      </c>
      <c r="K121" s="19" t="n">
        <f aca="false">E121*SUMIFS('03_DESPIECE'!$K$2:$K$225,'03_DESPIECE'!$A$2:$A$225,B121,'03_DESPIECE'!$B$2:$B$225,C121)</f>
        <v>0</v>
      </c>
      <c r="L121" s="5" t="n">
        <f aca="false">SUMIFS('03_DESPIECE'!$L$2:$L$225,'03_DESPIECE'!$A$2:$A$225,B121,'03_DESPIECE'!$B$2:$B$225,C121)</f>
        <v>1</v>
      </c>
      <c r="M121" s="2" t="s">
        <v>629</v>
      </c>
    </row>
    <row r="122" customFormat="false" ht="15" hidden="false" customHeight="false" outlineLevel="0" collapsed="false">
      <c r="A122" s="2" t="s">
        <v>543</v>
      </c>
      <c r="B122" s="2" t="s">
        <v>94</v>
      </c>
      <c r="C122" s="2" t="s">
        <v>302</v>
      </c>
      <c r="D122" s="2" t="s">
        <v>174</v>
      </c>
      <c r="E122" s="5" t="n">
        <f aca="false">INDEX('08_PEDIDOS'!$D$2:$D$97,MATCH(A122,'08_PEDIDOS'!$A$2:$A$97,0))</f>
        <v>6</v>
      </c>
      <c r="F122" s="5" t="n">
        <f aca="false">SUMIFS('03_DESPIECE'!$D$2:$D$225,'03_DESPIECE'!$A$2:$A$225,B122,'03_DESPIECE'!$B$2:$B$225,C122)</f>
        <v>2</v>
      </c>
      <c r="G122" s="5" t="n">
        <f aca="false">E122*F122</f>
        <v>12</v>
      </c>
      <c r="H122" s="16" t="n">
        <f aca="false">SUMIFS('03_DESPIECE'!$J$2:$J$225,'03_DESPIECE'!$A$2:$A$225,B122,'03_DESPIECE'!$B$2:$B$225,C122)</f>
        <v>34.8130434783</v>
      </c>
      <c r="I122" s="16" t="n">
        <f aca="false">E122*H122</f>
        <v>208.8782608698</v>
      </c>
      <c r="J122" s="17" t="n">
        <f aca="false">E122*SUMIFS('03_DESPIECE'!$I$2:$I$225,'03_DESPIECE'!$A$2:$A$225,B122,'03_DESPIECE'!$B$2:$B$225,C122)</f>
        <v>28.26</v>
      </c>
      <c r="K122" s="19" t="n">
        <f aca="false">E122*SUMIFS('03_DESPIECE'!$K$2:$K$225,'03_DESPIECE'!$A$2:$A$225,B122,'03_DESPIECE'!$B$2:$B$225,C122)</f>
        <v>1.2499999998</v>
      </c>
      <c r="L122" s="5" t="n">
        <f aca="false">SUMIFS('03_DESPIECE'!$L$2:$L$225,'03_DESPIECE'!$A$2:$A$225,B122,'03_DESPIECE'!$B$2:$B$225,C122)</f>
        <v>1</v>
      </c>
      <c r="M122" s="2" t="s">
        <v>629</v>
      </c>
    </row>
    <row r="123" customFormat="false" ht="15" hidden="false" customHeight="false" outlineLevel="0" collapsed="false">
      <c r="A123" s="2" t="s">
        <v>543</v>
      </c>
      <c r="B123" s="2" t="s">
        <v>94</v>
      </c>
      <c r="C123" s="2" t="s">
        <v>303</v>
      </c>
      <c r="D123" s="2" t="s">
        <v>174</v>
      </c>
      <c r="E123" s="5" t="n">
        <f aca="false">INDEX('08_PEDIDOS'!$D$2:$D$97,MATCH(A123,'08_PEDIDOS'!$A$2:$A$97,0))</f>
        <v>6</v>
      </c>
      <c r="F123" s="5" t="n">
        <f aca="false">SUMIFS('03_DESPIECE'!$D$2:$D$225,'03_DESPIECE'!$A$2:$A$225,B123,'03_DESPIECE'!$B$2:$B$225,C123)</f>
        <v>4</v>
      </c>
      <c r="G123" s="5" t="n">
        <f aca="false">E123*F123</f>
        <v>24</v>
      </c>
      <c r="H123" s="16" t="n">
        <f aca="false">SUMIFS('03_DESPIECE'!$J$2:$J$225,'03_DESPIECE'!$A$2:$A$225,B123,'03_DESPIECE'!$B$2:$B$225,C123)</f>
        <v>129.9686956522</v>
      </c>
      <c r="I123" s="16" t="n">
        <f aca="false">E123*H123</f>
        <v>779.8121739132</v>
      </c>
      <c r="J123" s="17" t="n">
        <f aca="false">E123*SUMIFS('03_DESPIECE'!$I$2:$I$225,'03_DESPIECE'!$A$2:$A$225,B123,'03_DESPIECE'!$B$2:$B$225,C123)</f>
        <v>105.504</v>
      </c>
      <c r="K123" s="19" t="n">
        <f aca="false">E123*SUMIFS('03_DESPIECE'!$K$2:$K$225,'03_DESPIECE'!$A$2:$A$225,B123,'03_DESPIECE'!$B$2:$B$225,C123)</f>
        <v>4.6666666668</v>
      </c>
      <c r="L123" s="5" t="n">
        <f aca="false">SUMIFS('03_DESPIECE'!$L$2:$L$225,'03_DESPIECE'!$A$2:$A$225,B123,'03_DESPIECE'!$B$2:$B$225,C123)</f>
        <v>1</v>
      </c>
      <c r="M123" s="2" t="s">
        <v>629</v>
      </c>
    </row>
    <row r="124" customFormat="false" ht="15" hidden="false" customHeight="false" outlineLevel="0" collapsed="false">
      <c r="A124" s="2" t="s">
        <v>543</v>
      </c>
      <c r="B124" s="2" t="s">
        <v>94</v>
      </c>
      <c r="C124" s="2" t="s">
        <v>304</v>
      </c>
      <c r="D124" s="2" t="s">
        <v>174</v>
      </c>
      <c r="E124" s="5" t="n">
        <f aca="false">INDEX('08_PEDIDOS'!$D$2:$D$97,MATCH(A124,'08_PEDIDOS'!$A$2:$A$97,0))</f>
        <v>6</v>
      </c>
      <c r="F124" s="5" t="n">
        <f aca="false">SUMIFS('03_DESPIECE'!$D$2:$D$225,'03_DESPIECE'!$A$2:$A$225,B124,'03_DESPIECE'!$B$2:$B$225,C124)</f>
        <v>8</v>
      </c>
      <c r="G124" s="5" t="n">
        <f aca="false">E124*F124</f>
        <v>48</v>
      </c>
      <c r="H124" s="16" t="n">
        <f aca="false">SUMIFS('03_DESPIECE'!$J$2:$J$225,'03_DESPIECE'!$A$2:$A$225,B124,'03_DESPIECE'!$B$2:$B$225,C124)</f>
        <v>185.6695652174</v>
      </c>
      <c r="I124" s="16" t="n">
        <f aca="false">E124*H124</f>
        <v>1114.0173913044</v>
      </c>
      <c r="J124" s="17" t="n">
        <f aca="false">E124*SUMIFS('03_DESPIECE'!$I$2:$I$225,'03_DESPIECE'!$A$2:$A$225,B124,'03_DESPIECE'!$B$2:$B$225,C124)</f>
        <v>150.72</v>
      </c>
      <c r="K124" s="19" t="n">
        <f aca="false">E124*SUMIFS('03_DESPIECE'!$K$2:$K$225,'03_DESPIECE'!$A$2:$A$225,B124,'03_DESPIECE'!$B$2:$B$225,C124)</f>
        <v>6.6666666666</v>
      </c>
      <c r="L124" s="5" t="n">
        <f aca="false">SUMIFS('03_DESPIECE'!$L$2:$L$225,'03_DESPIECE'!$A$2:$A$225,B124,'03_DESPIECE'!$B$2:$B$225,C124)</f>
        <v>1</v>
      </c>
      <c r="M124" s="2" t="s">
        <v>629</v>
      </c>
    </row>
    <row r="125" customFormat="false" ht="15" hidden="false" customHeight="false" outlineLevel="0" collapsed="false">
      <c r="A125" s="2" t="s">
        <v>543</v>
      </c>
      <c r="B125" s="2" t="s">
        <v>94</v>
      </c>
      <c r="C125" s="2" t="s">
        <v>305</v>
      </c>
      <c r="D125" s="2" t="s">
        <v>174</v>
      </c>
      <c r="E125" s="5" t="n">
        <f aca="false">INDEX('08_PEDIDOS'!$D$2:$D$97,MATCH(A125,'08_PEDIDOS'!$A$2:$A$97,0))</f>
        <v>6</v>
      </c>
      <c r="F125" s="5" t="n">
        <f aca="false">SUMIFS('03_DESPIECE'!$D$2:$D$225,'03_DESPIECE'!$A$2:$A$225,B125,'03_DESPIECE'!$B$2:$B$225,C125)</f>
        <v>16</v>
      </c>
      <c r="G125" s="5" t="n">
        <f aca="false">E125*F125</f>
        <v>96</v>
      </c>
      <c r="H125" s="16" t="n">
        <f aca="false">SUMIFS('03_DESPIECE'!$J$2:$J$225,'03_DESPIECE'!$A$2:$A$225,B125,'03_DESPIECE'!$B$2:$B$225,C125)</f>
        <v>37.1339130435</v>
      </c>
      <c r="I125" s="16" t="n">
        <f aca="false">E125*H125</f>
        <v>222.803478261</v>
      </c>
      <c r="J125" s="17" t="n">
        <f aca="false">E125*SUMIFS('03_DESPIECE'!$I$2:$I$225,'03_DESPIECE'!$A$2:$A$225,B125,'03_DESPIECE'!$B$2:$B$225,C125)</f>
        <v>30.144</v>
      </c>
      <c r="K125" s="19" t="n">
        <f aca="false">E125*SUMIFS('03_DESPIECE'!$K$2:$K$225,'03_DESPIECE'!$A$2:$A$225,B125,'03_DESPIECE'!$B$2:$B$225,C125)</f>
        <v>1.3333333332</v>
      </c>
      <c r="L125" s="5" t="n">
        <f aca="false">SUMIFS('03_DESPIECE'!$L$2:$L$225,'03_DESPIECE'!$A$2:$A$225,B125,'03_DESPIECE'!$B$2:$B$225,C125)</f>
        <v>1</v>
      </c>
      <c r="M125" s="2" t="s">
        <v>629</v>
      </c>
    </row>
    <row r="126" customFormat="false" ht="15" hidden="false" customHeight="false" outlineLevel="0" collapsed="false">
      <c r="A126" s="2" t="s">
        <v>543</v>
      </c>
      <c r="B126" s="2" t="s">
        <v>94</v>
      </c>
      <c r="C126" s="2" t="s">
        <v>306</v>
      </c>
      <c r="D126" s="2" t="s">
        <v>174</v>
      </c>
      <c r="E126" s="5" t="n">
        <f aca="false">INDEX('08_PEDIDOS'!$D$2:$D$97,MATCH(A126,'08_PEDIDOS'!$A$2:$A$97,0))</f>
        <v>6</v>
      </c>
      <c r="F126" s="5" t="n">
        <f aca="false">SUMIFS('03_DESPIECE'!$D$2:$D$225,'03_DESPIECE'!$A$2:$A$225,B126,'03_DESPIECE'!$B$2:$B$225,C126)</f>
        <v>2</v>
      </c>
      <c r="G126" s="5" t="n">
        <f aca="false">E126*F126</f>
        <v>12</v>
      </c>
      <c r="H126" s="16" t="n">
        <f aca="false">SUMIFS('03_DESPIECE'!$J$2:$J$225,'03_DESPIECE'!$A$2:$A$225,B126,'03_DESPIECE'!$B$2:$B$225,C126)</f>
        <v>13.9252173913</v>
      </c>
      <c r="I126" s="16" t="n">
        <f aca="false">E126*H126</f>
        <v>83.5513043478</v>
      </c>
      <c r="J126" s="17" t="n">
        <f aca="false">E126*SUMIFS('03_DESPIECE'!$I$2:$I$225,'03_DESPIECE'!$A$2:$A$225,B126,'03_DESPIECE'!$B$2:$B$225,C126)</f>
        <v>11.304</v>
      </c>
      <c r="K126" s="19" t="n">
        <f aca="false">E126*SUMIFS('03_DESPIECE'!$K$2:$K$225,'03_DESPIECE'!$A$2:$A$225,B126,'03_DESPIECE'!$B$2:$B$225,C126)</f>
        <v>0.4999999998</v>
      </c>
      <c r="L126" s="5" t="n">
        <f aca="false">SUMIFS('03_DESPIECE'!$L$2:$L$225,'03_DESPIECE'!$A$2:$A$225,B126,'03_DESPIECE'!$B$2:$B$225,C126)</f>
        <v>1</v>
      </c>
      <c r="M126" s="2" t="s">
        <v>629</v>
      </c>
    </row>
    <row r="127" customFormat="false" ht="15" hidden="false" customHeight="false" outlineLevel="0" collapsed="false">
      <c r="A127" s="2" t="s">
        <v>543</v>
      </c>
      <c r="B127" s="2" t="s">
        <v>94</v>
      </c>
      <c r="C127" s="2" t="s">
        <v>307</v>
      </c>
      <c r="D127" s="2" t="s">
        <v>188</v>
      </c>
      <c r="E127" s="5" t="n">
        <f aca="false">INDEX('08_PEDIDOS'!$D$2:$D$97,MATCH(A127,'08_PEDIDOS'!$A$2:$A$97,0))</f>
        <v>6</v>
      </c>
      <c r="F127" s="5" t="n">
        <f aca="false">SUMIFS('03_DESPIECE'!$D$2:$D$225,'03_DESPIECE'!$A$2:$A$225,B127,'03_DESPIECE'!$B$2:$B$225,C127)</f>
        <v>36</v>
      </c>
      <c r="G127" s="5" t="n">
        <f aca="false">E127*F127</f>
        <v>216</v>
      </c>
      <c r="H127" s="16" t="n">
        <f aca="false">SUMIFS('03_DESPIECE'!$J$2:$J$225,'03_DESPIECE'!$A$2:$A$225,B127,'03_DESPIECE'!$B$2:$B$225,C127)</f>
        <v>32.4</v>
      </c>
      <c r="I127" s="16" t="n">
        <f aca="false">E127*H127</f>
        <v>194.4</v>
      </c>
      <c r="J127" s="17" t="n">
        <f aca="false">E127*SUMIFS('03_DESPIECE'!$I$2:$I$225,'03_DESPIECE'!$A$2:$A$225,B127,'03_DESPIECE'!$B$2:$B$225,C127)</f>
        <v>0</v>
      </c>
      <c r="K127" s="19" t="n">
        <f aca="false">E127*SUMIFS('03_DESPIECE'!$K$2:$K$225,'03_DESPIECE'!$A$2:$A$225,B127,'03_DESPIECE'!$B$2:$B$225,C127)</f>
        <v>0</v>
      </c>
      <c r="L127" s="5" t="n">
        <f aca="false">SUMIFS('03_DESPIECE'!$L$2:$L$225,'03_DESPIECE'!$A$2:$A$225,B127,'03_DESPIECE'!$B$2:$B$225,C127)</f>
        <v>1</v>
      </c>
      <c r="M127" s="2" t="s">
        <v>629</v>
      </c>
    </row>
    <row r="128" customFormat="false" ht="15" hidden="false" customHeight="false" outlineLevel="0" collapsed="false">
      <c r="A128" s="2" t="s">
        <v>544</v>
      </c>
      <c r="B128" s="2" t="s">
        <v>96</v>
      </c>
      <c r="C128" s="2" t="s">
        <v>308</v>
      </c>
      <c r="D128" s="2" t="s">
        <v>184</v>
      </c>
      <c r="E128" s="5" t="n">
        <f aca="false">INDEX('08_PEDIDOS'!$D$2:$D$97,MATCH(A128,'08_PEDIDOS'!$A$2:$A$97,0))</f>
        <v>7</v>
      </c>
      <c r="F128" s="5" t="n">
        <f aca="false">SUMIFS('03_DESPIECE'!$D$2:$D$225,'03_DESPIECE'!$A$2:$A$225,B128,'03_DESPIECE'!$B$2:$B$225,C128)</f>
        <v>2</v>
      </c>
      <c r="G128" s="5" t="n">
        <f aca="false">E128*F128</f>
        <v>14</v>
      </c>
      <c r="H128" s="16" t="n">
        <f aca="false">SUMIFS('03_DESPIECE'!$J$2:$J$225,'03_DESPIECE'!$A$2:$A$225,B128,'03_DESPIECE'!$B$2:$B$225,C128)</f>
        <v>36.21875</v>
      </c>
      <c r="I128" s="16" t="n">
        <f aca="false">E128*H128</f>
        <v>253.53125</v>
      </c>
      <c r="J128" s="17" t="n">
        <f aca="false">E128*SUMIFS('03_DESPIECE'!$I$2:$I$225,'03_DESPIECE'!$A$2:$A$225,B128,'03_DESPIECE'!$B$2:$B$225,C128)</f>
        <v>39.9</v>
      </c>
      <c r="K128" s="19" t="n">
        <f aca="false">E128*SUMIFS('03_DESPIECE'!$K$2:$K$225,'03_DESPIECE'!$A$2:$A$225,B128,'03_DESPIECE'!$B$2:$B$225,C128)</f>
        <v>0</v>
      </c>
      <c r="L128" s="5" t="n">
        <f aca="false">SUMIFS('03_DESPIECE'!$L$2:$L$225,'03_DESPIECE'!$A$2:$A$225,B128,'03_DESPIECE'!$B$2:$B$225,C128)</f>
        <v>1</v>
      </c>
      <c r="M128" s="2" t="s">
        <v>629</v>
      </c>
    </row>
    <row r="129" customFormat="false" ht="15" hidden="false" customHeight="false" outlineLevel="0" collapsed="false">
      <c r="A129" s="2" t="s">
        <v>544</v>
      </c>
      <c r="B129" s="2" t="s">
        <v>96</v>
      </c>
      <c r="C129" s="2" t="s">
        <v>309</v>
      </c>
      <c r="D129" s="2" t="s">
        <v>174</v>
      </c>
      <c r="E129" s="5" t="n">
        <f aca="false">INDEX('08_PEDIDOS'!$D$2:$D$97,MATCH(A129,'08_PEDIDOS'!$A$2:$A$97,0))</f>
        <v>7</v>
      </c>
      <c r="F129" s="5" t="n">
        <f aca="false">SUMIFS('03_DESPIECE'!$D$2:$D$225,'03_DESPIECE'!$A$2:$A$225,B129,'03_DESPIECE'!$B$2:$B$225,C129)</f>
        <v>3</v>
      </c>
      <c r="G129" s="5" t="n">
        <f aca="false">E129*F129</f>
        <v>21</v>
      </c>
      <c r="H129" s="16" t="n">
        <f aca="false">SUMIFS('03_DESPIECE'!$J$2:$J$225,'03_DESPIECE'!$A$2:$A$225,B129,'03_DESPIECE'!$B$2:$B$225,C129)</f>
        <v>95.7358695652</v>
      </c>
      <c r="I129" s="16" t="n">
        <f aca="false">E129*H129</f>
        <v>670.1510869564</v>
      </c>
      <c r="J129" s="17" t="n">
        <f aca="false">E129*SUMIFS('03_DESPIECE'!$I$2:$I$225,'03_DESPIECE'!$A$2:$A$225,B129,'03_DESPIECE'!$B$2:$B$225,C129)</f>
        <v>90.6675</v>
      </c>
      <c r="K129" s="19" t="n">
        <f aca="false">E129*SUMIFS('03_DESPIECE'!$K$2:$K$225,'03_DESPIECE'!$A$2:$A$225,B129,'03_DESPIECE'!$B$2:$B$225,C129)</f>
        <v>4.0104166669</v>
      </c>
      <c r="L129" s="5" t="n">
        <f aca="false">SUMIFS('03_DESPIECE'!$L$2:$L$225,'03_DESPIECE'!$A$2:$A$225,B129,'03_DESPIECE'!$B$2:$B$225,C129)</f>
        <v>1</v>
      </c>
      <c r="M129" s="2" t="s">
        <v>629</v>
      </c>
    </row>
    <row r="130" customFormat="false" ht="15" hidden="false" customHeight="false" outlineLevel="0" collapsed="false">
      <c r="A130" s="2" t="s">
        <v>544</v>
      </c>
      <c r="B130" s="2" t="s">
        <v>96</v>
      </c>
      <c r="C130" s="2" t="s">
        <v>310</v>
      </c>
      <c r="D130" s="2" t="s">
        <v>174</v>
      </c>
      <c r="E130" s="5" t="n">
        <f aca="false">INDEX('08_PEDIDOS'!$D$2:$D$97,MATCH(A130,'08_PEDIDOS'!$A$2:$A$97,0))</f>
        <v>7</v>
      </c>
      <c r="F130" s="5" t="n">
        <f aca="false">SUMIFS('03_DESPIECE'!$D$2:$D$225,'03_DESPIECE'!$A$2:$A$225,B130,'03_DESPIECE'!$B$2:$B$225,C130)</f>
        <v>5</v>
      </c>
      <c r="G130" s="5" t="n">
        <f aca="false">E130*F130</f>
        <v>35</v>
      </c>
      <c r="H130" s="16" t="n">
        <f aca="false">SUMIFS('03_DESPIECE'!$J$2:$J$225,'03_DESPIECE'!$A$2:$A$225,B130,'03_DESPIECE'!$B$2:$B$225,C130)</f>
        <v>121.8456521739</v>
      </c>
      <c r="I130" s="16" t="n">
        <f aca="false">E130*H130</f>
        <v>852.9195652173</v>
      </c>
      <c r="J130" s="17" t="n">
        <f aca="false">E130*SUMIFS('03_DESPIECE'!$I$2:$I$225,'03_DESPIECE'!$A$2:$A$225,B130,'03_DESPIECE'!$B$2:$B$225,C130)</f>
        <v>115.395</v>
      </c>
      <c r="K130" s="19" t="n">
        <f aca="false">E130*SUMIFS('03_DESPIECE'!$K$2:$K$225,'03_DESPIECE'!$A$2:$A$225,B130,'03_DESPIECE'!$B$2:$B$225,C130)</f>
        <v>5.1041666669</v>
      </c>
      <c r="L130" s="5" t="n">
        <f aca="false">SUMIFS('03_DESPIECE'!$L$2:$L$225,'03_DESPIECE'!$A$2:$A$225,B130,'03_DESPIECE'!$B$2:$B$225,C130)</f>
        <v>1</v>
      </c>
      <c r="M130" s="2" t="s">
        <v>629</v>
      </c>
    </row>
    <row r="131" customFormat="false" ht="15" hidden="false" customHeight="false" outlineLevel="0" collapsed="false">
      <c r="A131" s="2" t="s">
        <v>544</v>
      </c>
      <c r="B131" s="2" t="s">
        <v>96</v>
      </c>
      <c r="C131" s="2" t="s">
        <v>311</v>
      </c>
      <c r="D131" s="2" t="s">
        <v>174</v>
      </c>
      <c r="E131" s="5" t="n">
        <f aca="false">INDEX('08_PEDIDOS'!$D$2:$D$97,MATCH(A131,'08_PEDIDOS'!$A$2:$A$97,0))</f>
        <v>7</v>
      </c>
      <c r="F131" s="5" t="n">
        <f aca="false">SUMIFS('03_DESPIECE'!$D$2:$D$225,'03_DESPIECE'!$A$2:$A$225,B131,'03_DESPIECE'!$B$2:$B$225,C131)</f>
        <v>10</v>
      </c>
      <c r="G131" s="5" t="n">
        <f aca="false">E131*F131</f>
        <v>70</v>
      </c>
      <c r="H131" s="16" t="n">
        <f aca="false">SUMIFS('03_DESPIECE'!$J$2:$J$225,'03_DESPIECE'!$A$2:$A$225,B131,'03_DESPIECE'!$B$2:$B$225,C131)</f>
        <v>23.2086956522</v>
      </c>
      <c r="I131" s="16" t="n">
        <f aca="false">E131*H131</f>
        <v>162.4608695654</v>
      </c>
      <c r="J131" s="17" t="n">
        <f aca="false">E131*SUMIFS('03_DESPIECE'!$I$2:$I$225,'03_DESPIECE'!$A$2:$A$225,B131,'03_DESPIECE'!$B$2:$B$225,C131)</f>
        <v>21.98</v>
      </c>
      <c r="K131" s="19" t="n">
        <f aca="false">E131*SUMIFS('03_DESPIECE'!$K$2:$K$225,'03_DESPIECE'!$A$2:$A$225,B131,'03_DESPIECE'!$B$2:$B$225,C131)</f>
        <v>0.9722222223</v>
      </c>
      <c r="L131" s="5" t="n">
        <f aca="false">SUMIFS('03_DESPIECE'!$L$2:$L$225,'03_DESPIECE'!$A$2:$A$225,B131,'03_DESPIECE'!$B$2:$B$225,C131)</f>
        <v>1</v>
      </c>
      <c r="M131" s="2" t="s">
        <v>629</v>
      </c>
    </row>
    <row r="132" customFormat="false" ht="15" hidden="false" customHeight="false" outlineLevel="0" collapsed="false">
      <c r="A132" s="2" t="s">
        <v>544</v>
      </c>
      <c r="B132" s="2" t="s">
        <v>96</v>
      </c>
      <c r="C132" s="2" t="s">
        <v>312</v>
      </c>
      <c r="D132" s="2" t="s">
        <v>174</v>
      </c>
      <c r="E132" s="5" t="n">
        <f aca="false">INDEX('08_PEDIDOS'!$D$2:$D$97,MATCH(A132,'08_PEDIDOS'!$A$2:$A$97,0))</f>
        <v>7</v>
      </c>
      <c r="F132" s="5" t="n">
        <f aca="false">SUMIFS('03_DESPIECE'!$D$2:$D$225,'03_DESPIECE'!$A$2:$A$225,B132,'03_DESPIECE'!$B$2:$B$225,C132)</f>
        <v>2</v>
      </c>
      <c r="G132" s="5" t="n">
        <f aca="false">E132*F132</f>
        <v>14</v>
      </c>
      <c r="H132" s="16" t="n">
        <f aca="false">SUMIFS('03_DESPIECE'!$J$2:$J$225,'03_DESPIECE'!$A$2:$A$225,B132,'03_DESPIECE'!$B$2:$B$225,C132)</f>
        <v>29.0108695652</v>
      </c>
      <c r="I132" s="16" t="n">
        <f aca="false">E132*H132</f>
        <v>203.0760869564</v>
      </c>
      <c r="J132" s="17" t="n">
        <f aca="false">E132*SUMIFS('03_DESPIECE'!$I$2:$I$225,'03_DESPIECE'!$A$2:$A$225,B132,'03_DESPIECE'!$B$2:$B$225,C132)</f>
        <v>27.475</v>
      </c>
      <c r="K132" s="19" t="n">
        <f aca="false">E132*SUMIFS('03_DESPIECE'!$K$2:$K$225,'03_DESPIECE'!$A$2:$A$225,B132,'03_DESPIECE'!$B$2:$B$225,C132)</f>
        <v>1.2152777777</v>
      </c>
      <c r="L132" s="5" t="n">
        <f aca="false">SUMIFS('03_DESPIECE'!$L$2:$L$225,'03_DESPIECE'!$A$2:$A$225,B132,'03_DESPIECE'!$B$2:$B$225,C132)</f>
        <v>1</v>
      </c>
      <c r="M132" s="2" t="s">
        <v>629</v>
      </c>
    </row>
    <row r="133" customFormat="false" ht="15" hidden="false" customHeight="false" outlineLevel="0" collapsed="false">
      <c r="A133" s="2" t="s">
        <v>544</v>
      </c>
      <c r="B133" s="2" t="s">
        <v>96</v>
      </c>
      <c r="C133" s="2" t="s">
        <v>313</v>
      </c>
      <c r="D133" s="2" t="s">
        <v>188</v>
      </c>
      <c r="E133" s="5" t="n">
        <f aca="false">INDEX('08_PEDIDOS'!$D$2:$D$97,MATCH(A133,'08_PEDIDOS'!$A$2:$A$97,0))</f>
        <v>7</v>
      </c>
      <c r="F133" s="5" t="n">
        <f aca="false">SUMIFS('03_DESPIECE'!$D$2:$D$225,'03_DESPIECE'!$A$2:$A$225,B133,'03_DESPIECE'!$B$2:$B$225,C133)</f>
        <v>26</v>
      </c>
      <c r="G133" s="5" t="n">
        <f aca="false">E133*F133</f>
        <v>182</v>
      </c>
      <c r="H133" s="16" t="n">
        <f aca="false">SUMIFS('03_DESPIECE'!$J$2:$J$225,'03_DESPIECE'!$A$2:$A$225,B133,'03_DESPIECE'!$B$2:$B$225,C133)</f>
        <v>23.4</v>
      </c>
      <c r="I133" s="16" t="n">
        <f aca="false">E133*H133</f>
        <v>163.8</v>
      </c>
      <c r="J133" s="17" t="n">
        <f aca="false">E133*SUMIFS('03_DESPIECE'!$I$2:$I$225,'03_DESPIECE'!$A$2:$A$225,B133,'03_DESPIECE'!$B$2:$B$225,C133)</f>
        <v>0</v>
      </c>
      <c r="K133" s="19" t="n">
        <f aca="false">E133*SUMIFS('03_DESPIECE'!$K$2:$K$225,'03_DESPIECE'!$A$2:$A$225,B133,'03_DESPIECE'!$B$2:$B$225,C133)</f>
        <v>0</v>
      </c>
      <c r="L133" s="5" t="n">
        <f aca="false">SUMIFS('03_DESPIECE'!$L$2:$L$225,'03_DESPIECE'!$A$2:$A$225,B133,'03_DESPIECE'!$B$2:$B$225,C133)</f>
        <v>1</v>
      </c>
      <c r="M133" s="2" t="s">
        <v>629</v>
      </c>
    </row>
    <row r="134" customFormat="false" ht="15" hidden="false" customHeight="false" outlineLevel="0" collapsed="false">
      <c r="A134" s="2" t="s">
        <v>545</v>
      </c>
      <c r="B134" s="2" t="s">
        <v>106</v>
      </c>
      <c r="C134" s="2" t="s">
        <v>314</v>
      </c>
      <c r="D134" s="2" t="s">
        <v>176</v>
      </c>
      <c r="E134" s="5" t="n">
        <f aca="false">INDEX('08_PEDIDOS'!$D$2:$D$97,MATCH(A134,'08_PEDIDOS'!$A$2:$A$97,0))</f>
        <v>5</v>
      </c>
      <c r="F134" s="5" t="n">
        <f aca="false">SUMIFS('03_DESPIECE'!$D$2:$D$225,'03_DESPIECE'!$A$2:$A$225,B134,'03_DESPIECE'!$B$2:$B$225,C134)</f>
        <v>2</v>
      </c>
      <c r="G134" s="5" t="n">
        <f aca="false">E134*F134</f>
        <v>10</v>
      </c>
      <c r="H134" s="16" t="n">
        <f aca="false">SUMIFS('03_DESPIECE'!$J$2:$J$225,'03_DESPIECE'!$A$2:$A$225,B134,'03_DESPIECE'!$B$2:$B$225,C134)</f>
        <v>165.3619565217</v>
      </c>
      <c r="I134" s="16" t="n">
        <f aca="false">E134*H134</f>
        <v>826.8097826085</v>
      </c>
      <c r="J134" s="17" t="n">
        <f aca="false">E134*SUMIFS('03_DESPIECE'!$I$2:$I$225,'03_DESPIECE'!$A$2:$A$225,B134,'03_DESPIECE'!$B$2:$B$225,C134)</f>
        <v>111.8625</v>
      </c>
      <c r="K134" s="19" t="n">
        <f aca="false">E134*SUMIFS('03_DESPIECE'!$K$2:$K$225,'03_DESPIECE'!$A$2:$A$225,B134,'03_DESPIECE'!$B$2:$B$225,C134)</f>
        <v>3.298611111</v>
      </c>
      <c r="L134" s="5" t="n">
        <f aca="false">SUMIFS('03_DESPIECE'!$L$2:$L$225,'03_DESPIECE'!$A$2:$A$225,B134,'03_DESPIECE'!$B$2:$B$225,C134)</f>
        <v>1</v>
      </c>
      <c r="M134" s="2" t="s">
        <v>629</v>
      </c>
    </row>
    <row r="135" customFormat="false" ht="15" hidden="false" customHeight="false" outlineLevel="0" collapsed="false">
      <c r="A135" s="2" t="s">
        <v>545</v>
      </c>
      <c r="B135" s="2" t="s">
        <v>106</v>
      </c>
      <c r="C135" s="2" t="s">
        <v>315</v>
      </c>
      <c r="D135" s="2" t="s">
        <v>176</v>
      </c>
      <c r="E135" s="5" t="n">
        <f aca="false">INDEX('08_PEDIDOS'!$D$2:$D$97,MATCH(A135,'08_PEDIDOS'!$A$2:$A$97,0))</f>
        <v>5</v>
      </c>
      <c r="F135" s="5" t="n">
        <f aca="false">SUMIFS('03_DESPIECE'!$D$2:$D$225,'03_DESPIECE'!$A$2:$A$225,B135,'03_DESPIECE'!$B$2:$B$225,C135)</f>
        <v>2</v>
      </c>
      <c r="G135" s="5" t="n">
        <f aca="false">E135*F135</f>
        <v>10</v>
      </c>
      <c r="H135" s="16" t="n">
        <f aca="false">SUMIFS('03_DESPIECE'!$J$2:$J$225,'03_DESPIECE'!$A$2:$A$225,B135,'03_DESPIECE'!$B$2:$B$225,C135)</f>
        <v>60.922826087</v>
      </c>
      <c r="I135" s="16" t="n">
        <f aca="false">E135*H135</f>
        <v>304.614130435</v>
      </c>
      <c r="J135" s="17" t="n">
        <f aca="false">E135*SUMIFS('03_DESPIECE'!$I$2:$I$225,'03_DESPIECE'!$A$2:$A$225,B135,'03_DESPIECE'!$B$2:$B$225,C135)</f>
        <v>41.2125</v>
      </c>
      <c r="K135" s="19" t="n">
        <f aca="false">E135*SUMIFS('03_DESPIECE'!$K$2:$K$225,'03_DESPIECE'!$A$2:$A$225,B135,'03_DESPIECE'!$B$2:$B$225,C135)</f>
        <v>1.215277778</v>
      </c>
      <c r="L135" s="5" t="n">
        <f aca="false">SUMIFS('03_DESPIECE'!$L$2:$L$225,'03_DESPIECE'!$A$2:$A$225,B135,'03_DESPIECE'!$B$2:$B$225,C135)</f>
        <v>1</v>
      </c>
      <c r="M135" s="2" t="s">
        <v>629</v>
      </c>
    </row>
    <row r="136" customFormat="false" ht="15" hidden="false" customHeight="false" outlineLevel="0" collapsed="false">
      <c r="A136" s="2" t="s">
        <v>545</v>
      </c>
      <c r="B136" s="2" t="s">
        <v>106</v>
      </c>
      <c r="C136" s="2" t="s">
        <v>316</v>
      </c>
      <c r="D136" s="2" t="s">
        <v>176</v>
      </c>
      <c r="E136" s="5" t="n">
        <f aca="false">INDEX('08_PEDIDOS'!$D$2:$D$97,MATCH(A136,'08_PEDIDOS'!$A$2:$A$97,0))</f>
        <v>5</v>
      </c>
      <c r="F136" s="5" t="n">
        <f aca="false">SUMIFS('03_DESPIECE'!$D$2:$D$225,'03_DESPIECE'!$A$2:$A$225,B136,'03_DESPIECE'!$B$2:$B$225,C136)</f>
        <v>1</v>
      </c>
      <c r="G136" s="5" t="n">
        <f aca="false">E136*F136</f>
        <v>5</v>
      </c>
      <c r="H136" s="16" t="n">
        <f aca="false">SUMIFS('03_DESPIECE'!$J$2:$J$225,'03_DESPIECE'!$A$2:$A$225,B136,'03_DESPIECE'!$B$2:$B$225,C136)</f>
        <v>147.9554347826</v>
      </c>
      <c r="I136" s="16" t="n">
        <f aca="false">E136*H136</f>
        <v>739.777173913</v>
      </c>
      <c r="J136" s="17" t="n">
        <f aca="false">E136*SUMIFS('03_DESPIECE'!$I$2:$I$225,'03_DESPIECE'!$A$2:$A$225,B136,'03_DESPIECE'!$B$2:$B$225,C136)</f>
        <v>100.0875</v>
      </c>
      <c r="K136" s="19" t="n">
        <f aca="false">E136*SUMIFS('03_DESPIECE'!$K$2:$K$225,'03_DESPIECE'!$A$2:$A$225,B136,'03_DESPIECE'!$B$2:$B$225,C136)</f>
        <v>2.951388889</v>
      </c>
      <c r="L136" s="5" t="n">
        <f aca="false">SUMIFS('03_DESPIECE'!$L$2:$L$225,'03_DESPIECE'!$A$2:$A$225,B136,'03_DESPIECE'!$B$2:$B$225,C136)</f>
        <v>1</v>
      </c>
      <c r="M136" s="2" t="s">
        <v>629</v>
      </c>
    </row>
    <row r="137" customFormat="false" ht="15" hidden="false" customHeight="false" outlineLevel="0" collapsed="false">
      <c r="A137" s="2" t="s">
        <v>545</v>
      </c>
      <c r="B137" s="2" t="s">
        <v>106</v>
      </c>
      <c r="C137" s="2" t="s">
        <v>317</v>
      </c>
      <c r="D137" s="2" t="s">
        <v>176</v>
      </c>
      <c r="E137" s="5" t="n">
        <f aca="false">INDEX('08_PEDIDOS'!$D$2:$D$97,MATCH(A137,'08_PEDIDOS'!$A$2:$A$97,0))</f>
        <v>5</v>
      </c>
      <c r="F137" s="5" t="n">
        <f aca="false">SUMIFS('03_DESPIECE'!$D$2:$D$225,'03_DESPIECE'!$A$2:$A$225,B137,'03_DESPIECE'!$B$2:$B$225,C137)</f>
        <v>4</v>
      </c>
      <c r="G137" s="5" t="n">
        <f aca="false">E137*F137</f>
        <v>20</v>
      </c>
      <c r="H137" s="16" t="n">
        <f aca="false">SUMIFS('03_DESPIECE'!$J$2:$J$225,'03_DESPIECE'!$A$2:$A$225,B137,'03_DESPIECE'!$B$2:$B$225,C137)</f>
        <v>128.8082608696</v>
      </c>
      <c r="I137" s="16" t="n">
        <f aca="false">E137*H137</f>
        <v>644.041304348</v>
      </c>
      <c r="J137" s="17" t="n">
        <f aca="false">E137*SUMIFS('03_DESPIECE'!$I$2:$I$225,'03_DESPIECE'!$A$2:$A$225,B137,'03_DESPIECE'!$B$2:$B$225,C137)</f>
        <v>87.135</v>
      </c>
      <c r="K137" s="19" t="n">
        <f aca="false">E137*SUMIFS('03_DESPIECE'!$K$2:$K$225,'03_DESPIECE'!$A$2:$A$225,B137,'03_DESPIECE'!$B$2:$B$225,C137)</f>
        <v>2.5694444445</v>
      </c>
      <c r="L137" s="5" t="n">
        <f aca="false">SUMIFS('03_DESPIECE'!$L$2:$L$225,'03_DESPIECE'!$A$2:$A$225,B137,'03_DESPIECE'!$B$2:$B$225,C137)</f>
        <v>1</v>
      </c>
      <c r="M137" s="2" t="s">
        <v>629</v>
      </c>
    </row>
    <row r="138" customFormat="false" ht="15" hidden="false" customHeight="false" outlineLevel="0" collapsed="false">
      <c r="A138" s="2" t="s">
        <v>545</v>
      </c>
      <c r="B138" s="2" t="s">
        <v>106</v>
      </c>
      <c r="C138" s="2" t="s">
        <v>318</v>
      </c>
      <c r="D138" s="2" t="s">
        <v>176</v>
      </c>
      <c r="E138" s="5" t="n">
        <f aca="false">INDEX('08_PEDIDOS'!$D$2:$D$97,MATCH(A138,'08_PEDIDOS'!$A$2:$A$97,0))</f>
        <v>5</v>
      </c>
      <c r="F138" s="5" t="n">
        <f aca="false">SUMIFS('03_DESPIECE'!$D$2:$D$225,'03_DESPIECE'!$A$2:$A$225,B138,'03_DESPIECE'!$B$2:$B$225,C138)</f>
        <v>3</v>
      </c>
      <c r="G138" s="5" t="n">
        <f aca="false">E138*F138</f>
        <v>15</v>
      </c>
      <c r="H138" s="16" t="n">
        <f aca="false">SUMIFS('03_DESPIECE'!$J$2:$J$225,'03_DESPIECE'!$A$2:$A$225,B138,'03_DESPIECE'!$B$2:$B$225,C138)</f>
        <v>91.3842391304</v>
      </c>
      <c r="I138" s="16" t="n">
        <f aca="false">E138*H138</f>
        <v>456.921195652</v>
      </c>
      <c r="J138" s="17" t="n">
        <f aca="false">E138*SUMIFS('03_DESPIECE'!$I$2:$I$225,'03_DESPIECE'!$A$2:$A$225,B138,'03_DESPIECE'!$B$2:$B$225,C138)</f>
        <v>61.81875</v>
      </c>
      <c r="K138" s="19" t="n">
        <f aca="false">E138*SUMIFS('03_DESPIECE'!$K$2:$K$225,'03_DESPIECE'!$A$2:$A$225,B138,'03_DESPIECE'!$B$2:$B$225,C138)</f>
        <v>1.8229166665</v>
      </c>
      <c r="L138" s="5" t="n">
        <f aca="false">SUMIFS('03_DESPIECE'!$L$2:$L$225,'03_DESPIECE'!$A$2:$A$225,B138,'03_DESPIECE'!$B$2:$B$225,C138)</f>
        <v>1</v>
      </c>
      <c r="M138" s="2" t="s">
        <v>629</v>
      </c>
    </row>
    <row r="139" customFormat="false" ht="15" hidden="false" customHeight="false" outlineLevel="0" collapsed="false">
      <c r="A139" s="2" t="s">
        <v>545</v>
      </c>
      <c r="B139" s="2" t="s">
        <v>106</v>
      </c>
      <c r="C139" s="2" t="s">
        <v>319</v>
      </c>
      <c r="D139" s="2" t="s">
        <v>188</v>
      </c>
      <c r="E139" s="5" t="n">
        <f aca="false">INDEX('08_PEDIDOS'!$D$2:$D$97,MATCH(A139,'08_PEDIDOS'!$A$2:$A$97,0))</f>
        <v>5</v>
      </c>
      <c r="F139" s="5" t="n">
        <f aca="false">SUMIFS('03_DESPIECE'!$D$2:$D$225,'03_DESPIECE'!$A$2:$A$225,B139,'03_DESPIECE'!$B$2:$B$225,C139)</f>
        <v>8</v>
      </c>
      <c r="G139" s="5" t="n">
        <f aca="false">E139*F139</f>
        <v>40</v>
      </c>
      <c r="H139" s="16" t="n">
        <f aca="false">SUMIFS('03_DESPIECE'!$J$2:$J$225,'03_DESPIECE'!$A$2:$A$225,B139,'03_DESPIECE'!$B$2:$B$225,C139)</f>
        <v>7.2</v>
      </c>
      <c r="I139" s="16" t="n">
        <f aca="false">E139*H139</f>
        <v>36</v>
      </c>
      <c r="J139" s="17" t="n">
        <f aca="false">E139*SUMIFS('03_DESPIECE'!$I$2:$I$225,'03_DESPIECE'!$A$2:$A$225,B139,'03_DESPIECE'!$B$2:$B$225,C139)</f>
        <v>0</v>
      </c>
      <c r="K139" s="19" t="n">
        <f aca="false">E139*SUMIFS('03_DESPIECE'!$K$2:$K$225,'03_DESPIECE'!$A$2:$A$225,B139,'03_DESPIECE'!$B$2:$B$225,C139)</f>
        <v>0</v>
      </c>
      <c r="L139" s="5" t="n">
        <f aca="false">SUMIFS('03_DESPIECE'!$L$2:$L$225,'03_DESPIECE'!$A$2:$A$225,B139,'03_DESPIECE'!$B$2:$B$225,C139)</f>
        <v>1</v>
      </c>
      <c r="M139" s="2" t="s">
        <v>629</v>
      </c>
    </row>
    <row r="140" customFormat="false" ht="15" hidden="false" customHeight="false" outlineLevel="0" collapsed="false">
      <c r="A140" s="2" t="s">
        <v>545</v>
      </c>
      <c r="B140" s="2" t="s">
        <v>106</v>
      </c>
      <c r="C140" s="2" t="s">
        <v>320</v>
      </c>
      <c r="D140" s="2" t="s">
        <v>188</v>
      </c>
      <c r="E140" s="5" t="n">
        <f aca="false">INDEX('08_PEDIDOS'!$D$2:$D$97,MATCH(A140,'08_PEDIDOS'!$A$2:$A$97,0))</f>
        <v>5</v>
      </c>
      <c r="F140" s="5" t="n">
        <f aca="false">SUMIFS('03_DESPIECE'!$D$2:$D$225,'03_DESPIECE'!$A$2:$A$225,B140,'03_DESPIECE'!$B$2:$B$225,C140)</f>
        <v>4</v>
      </c>
      <c r="G140" s="5" t="n">
        <f aca="false">E140*F140</f>
        <v>20</v>
      </c>
      <c r="H140" s="16" t="n">
        <f aca="false">SUMIFS('03_DESPIECE'!$J$2:$J$225,'03_DESPIECE'!$A$2:$A$225,B140,'03_DESPIECE'!$B$2:$B$225,C140)</f>
        <v>3.6</v>
      </c>
      <c r="I140" s="16" t="n">
        <f aca="false">E140*H140</f>
        <v>18</v>
      </c>
      <c r="J140" s="17" t="n">
        <f aca="false">E140*SUMIFS('03_DESPIECE'!$I$2:$I$225,'03_DESPIECE'!$A$2:$A$225,B140,'03_DESPIECE'!$B$2:$B$225,C140)</f>
        <v>0</v>
      </c>
      <c r="K140" s="19" t="n">
        <f aca="false">E140*SUMIFS('03_DESPIECE'!$K$2:$K$225,'03_DESPIECE'!$A$2:$A$225,B140,'03_DESPIECE'!$B$2:$B$225,C140)</f>
        <v>0</v>
      </c>
      <c r="L140" s="5" t="n">
        <f aca="false">SUMIFS('03_DESPIECE'!$L$2:$L$225,'03_DESPIECE'!$A$2:$A$225,B140,'03_DESPIECE'!$B$2:$B$225,C140)</f>
        <v>1</v>
      </c>
      <c r="M140" s="2" t="s">
        <v>629</v>
      </c>
    </row>
    <row r="141" customFormat="false" ht="15" hidden="false" customHeight="false" outlineLevel="0" collapsed="false">
      <c r="A141" s="2" t="s">
        <v>546</v>
      </c>
      <c r="B141" s="2" t="s">
        <v>108</v>
      </c>
      <c r="C141" s="2" t="s">
        <v>321</v>
      </c>
      <c r="D141" s="2" t="s">
        <v>176</v>
      </c>
      <c r="E141" s="5" t="n">
        <f aca="false">INDEX('08_PEDIDOS'!$D$2:$D$97,MATCH(A141,'08_PEDIDOS'!$A$2:$A$97,0))</f>
        <v>6</v>
      </c>
      <c r="F141" s="5" t="n">
        <f aca="false">SUMIFS('03_DESPIECE'!$D$2:$D$225,'03_DESPIECE'!$A$2:$A$225,B141,'03_DESPIECE'!$B$2:$B$225,C141)</f>
        <v>2</v>
      </c>
      <c r="G141" s="5" t="n">
        <f aca="false">E141*F141</f>
        <v>12</v>
      </c>
      <c r="H141" s="16" t="n">
        <f aca="false">SUMIFS('03_DESPIECE'!$J$2:$J$225,'03_DESPIECE'!$A$2:$A$225,B141,'03_DESPIECE'!$B$2:$B$225,C141)</f>
        <v>191.4717391304</v>
      </c>
      <c r="I141" s="16" t="n">
        <f aca="false">E141*H141</f>
        <v>1148.8304347824</v>
      </c>
      <c r="J141" s="17" t="n">
        <f aca="false">E141*SUMIFS('03_DESPIECE'!$I$2:$I$225,'03_DESPIECE'!$A$2:$A$225,B141,'03_DESPIECE'!$B$2:$B$225,C141)</f>
        <v>155.43</v>
      </c>
      <c r="K141" s="19" t="n">
        <f aca="false">E141*SUMIFS('03_DESPIECE'!$K$2:$K$225,'03_DESPIECE'!$A$2:$A$225,B141,'03_DESPIECE'!$B$2:$B$225,C141)</f>
        <v>4.5833333334</v>
      </c>
      <c r="L141" s="5" t="n">
        <f aca="false">SUMIFS('03_DESPIECE'!$L$2:$L$225,'03_DESPIECE'!$A$2:$A$225,B141,'03_DESPIECE'!$B$2:$B$225,C141)</f>
        <v>1</v>
      </c>
      <c r="M141" s="2" t="s">
        <v>629</v>
      </c>
    </row>
    <row r="142" customFormat="false" ht="15" hidden="false" customHeight="false" outlineLevel="0" collapsed="false">
      <c r="A142" s="2" t="s">
        <v>546</v>
      </c>
      <c r="B142" s="2" t="s">
        <v>108</v>
      </c>
      <c r="C142" s="2" t="s">
        <v>322</v>
      </c>
      <c r="D142" s="2" t="s">
        <v>176</v>
      </c>
      <c r="E142" s="5" t="n">
        <f aca="false">INDEX('08_PEDIDOS'!$D$2:$D$97,MATCH(A142,'08_PEDIDOS'!$A$2:$A$97,0))</f>
        <v>6</v>
      </c>
      <c r="F142" s="5" t="n">
        <f aca="false">SUMIFS('03_DESPIECE'!$D$2:$D$225,'03_DESPIECE'!$A$2:$A$225,B142,'03_DESPIECE'!$B$2:$B$225,C142)</f>
        <v>2</v>
      </c>
      <c r="G142" s="5" t="n">
        <f aca="false">E142*F142</f>
        <v>12</v>
      </c>
      <c r="H142" s="16" t="n">
        <f aca="false">SUMIFS('03_DESPIECE'!$J$2:$J$225,'03_DESPIECE'!$A$2:$A$225,B142,'03_DESPIECE'!$B$2:$B$225,C142)</f>
        <v>83.5513043478</v>
      </c>
      <c r="I142" s="16" t="n">
        <f aca="false">E142*H142</f>
        <v>501.3078260868</v>
      </c>
      <c r="J142" s="17" t="n">
        <f aca="false">E142*SUMIFS('03_DESPIECE'!$I$2:$I$225,'03_DESPIECE'!$A$2:$A$225,B142,'03_DESPIECE'!$B$2:$B$225,C142)</f>
        <v>67.824</v>
      </c>
      <c r="K142" s="19" t="n">
        <f aca="false">E142*SUMIFS('03_DESPIECE'!$K$2:$K$225,'03_DESPIECE'!$A$2:$A$225,B142,'03_DESPIECE'!$B$2:$B$225,C142)</f>
        <v>1.9999999998</v>
      </c>
      <c r="L142" s="5" t="n">
        <f aca="false">SUMIFS('03_DESPIECE'!$L$2:$L$225,'03_DESPIECE'!$A$2:$A$225,B142,'03_DESPIECE'!$B$2:$B$225,C142)</f>
        <v>1</v>
      </c>
      <c r="M142" s="2" t="s">
        <v>629</v>
      </c>
    </row>
    <row r="143" customFormat="false" ht="15" hidden="false" customHeight="false" outlineLevel="0" collapsed="false">
      <c r="A143" s="2" t="s">
        <v>546</v>
      </c>
      <c r="B143" s="2" t="s">
        <v>108</v>
      </c>
      <c r="C143" s="2" t="s">
        <v>323</v>
      </c>
      <c r="D143" s="2" t="s">
        <v>176</v>
      </c>
      <c r="E143" s="5" t="n">
        <f aca="false">INDEX('08_PEDIDOS'!$D$2:$D$97,MATCH(A143,'08_PEDIDOS'!$A$2:$A$97,0))</f>
        <v>6</v>
      </c>
      <c r="F143" s="5" t="n">
        <f aca="false">SUMIFS('03_DESPIECE'!$D$2:$D$225,'03_DESPIECE'!$A$2:$A$225,B143,'03_DESPIECE'!$B$2:$B$225,C143)</f>
        <v>1</v>
      </c>
      <c r="G143" s="5" t="n">
        <f aca="false">E143*F143</f>
        <v>6</v>
      </c>
      <c r="H143" s="16" t="n">
        <f aca="false">SUMIFS('03_DESPIECE'!$J$2:$J$225,'03_DESPIECE'!$A$2:$A$225,B143,'03_DESPIECE'!$B$2:$B$225,C143)</f>
        <v>156.6586956522</v>
      </c>
      <c r="I143" s="16" t="n">
        <f aca="false">E143*H143</f>
        <v>939.9521739132</v>
      </c>
      <c r="J143" s="17" t="n">
        <f aca="false">E143*SUMIFS('03_DESPIECE'!$I$2:$I$225,'03_DESPIECE'!$A$2:$A$225,B143,'03_DESPIECE'!$B$2:$B$225,C143)</f>
        <v>127.17</v>
      </c>
      <c r="K143" s="19" t="n">
        <f aca="false">E143*SUMIFS('03_DESPIECE'!$K$2:$K$225,'03_DESPIECE'!$A$2:$A$225,B143,'03_DESPIECE'!$B$2:$B$225,C143)</f>
        <v>3.75</v>
      </c>
      <c r="L143" s="5" t="n">
        <f aca="false">SUMIFS('03_DESPIECE'!$L$2:$L$225,'03_DESPIECE'!$A$2:$A$225,B143,'03_DESPIECE'!$B$2:$B$225,C143)</f>
        <v>1</v>
      </c>
      <c r="M143" s="2" t="s">
        <v>629</v>
      </c>
    </row>
    <row r="144" customFormat="false" ht="15" hidden="false" customHeight="false" outlineLevel="0" collapsed="false">
      <c r="A144" s="2" t="s">
        <v>546</v>
      </c>
      <c r="B144" s="2" t="s">
        <v>108</v>
      </c>
      <c r="C144" s="2" t="s">
        <v>324</v>
      </c>
      <c r="D144" s="2" t="s">
        <v>176</v>
      </c>
      <c r="E144" s="5" t="n">
        <f aca="false">INDEX('08_PEDIDOS'!$D$2:$D$97,MATCH(A144,'08_PEDIDOS'!$A$2:$A$97,0))</f>
        <v>6</v>
      </c>
      <c r="F144" s="5" t="n">
        <f aca="false">SUMIFS('03_DESPIECE'!$D$2:$D$225,'03_DESPIECE'!$A$2:$A$225,B144,'03_DESPIECE'!$B$2:$B$225,C144)</f>
        <v>6</v>
      </c>
      <c r="G144" s="5" t="n">
        <f aca="false">E144*F144</f>
        <v>36</v>
      </c>
      <c r="H144" s="16" t="n">
        <f aca="false">SUMIFS('03_DESPIECE'!$J$2:$J$225,'03_DESPIECE'!$A$2:$A$225,B144,'03_DESPIECE'!$B$2:$B$225,C144)</f>
        <v>156.6586956522</v>
      </c>
      <c r="I144" s="16" t="n">
        <f aca="false">E144*H144</f>
        <v>939.9521739132</v>
      </c>
      <c r="J144" s="17" t="n">
        <f aca="false">E144*SUMIFS('03_DESPIECE'!$I$2:$I$225,'03_DESPIECE'!$A$2:$A$225,B144,'03_DESPIECE'!$B$2:$B$225,C144)</f>
        <v>127.17</v>
      </c>
      <c r="K144" s="19" t="n">
        <f aca="false">E144*SUMIFS('03_DESPIECE'!$K$2:$K$225,'03_DESPIECE'!$A$2:$A$225,B144,'03_DESPIECE'!$B$2:$B$225,C144)</f>
        <v>3.75</v>
      </c>
      <c r="L144" s="5" t="n">
        <f aca="false">SUMIFS('03_DESPIECE'!$L$2:$L$225,'03_DESPIECE'!$A$2:$A$225,B144,'03_DESPIECE'!$B$2:$B$225,C144)</f>
        <v>1</v>
      </c>
      <c r="M144" s="2" t="s">
        <v>629</v>
      </c>
    </row>
    <row r="145" customFormat="false" ht="15" hidden="false" customHeight="false" outlineLevel="0" collapsed="false">
      <c r="A145" s="2" t="s">
        <v>546</v>
      </c>
      <c r="B145" s="2" t="s">
        <v>108</v>
      </c>
      <c r="C145" s="2" t="s">
        <v>325</v>
      </c>
      <c r="D145" s="2" t="s">
        <v>176</v>
      </c>
      <c r="E145" s="5" t="n">
        <f aca="false">INDEX('08_PEDIDOS'!$D$2:$D$97,MATCH(A145,'08_PEDIDOS'!$A$2:$A$97,0))</f>
        <v>6</v>
      </c>
      <c r="F145" s="5" t="n">
        <f aca="false">SUMIFS('03_DESPIECE'!$D$2:$D$225,'03_DESPIECE'!$A$2:$A$225,B145,'03_DESPIECE'!$B$2:$B$225,C145)</f>
        <v>2</v>
      </c>
      <c r="G145" s="5" t="n">
        <f aca="false">E145*F145</f>
        <v>12</v>
      </c>
      <c r="H145" s="16" t="n">
        <f aca="false">SUMIFS('03_DESPIECE'!$J$2:$J$225,'03_DESPIECE'!$A$2:$A$225,B145,'03_DESPIECE'!$B$2:$B$225,C145)</f>
        <v>121.8456521739</v>
      </c>
      <c r="I145" s="16" t="n">
        <f aca="false">E145*H145</f>
        <v>731.0739130434</v>
      </c>
      <c r="J145" s="17" t="n">
        <f aca="false">E145*SUMIFS('03_DESPIECE'!$I$2:$I$225,'03_DESPIECE'!$A$2:$A$225,B145,'03_DESPIECE'!$B$2:$B$225,C145)</f>
        <v>98.91</v>
      </c>
      <c r="K145" s="19" t="n">
        <f aca="false">E145*SUMIFS('03_DESPIECE'!$K$2:$K$225,'03_DESPIECE'!$A$2:$A$225,B145,'03_DESPIECE'!$B$2:$B$225,C145)</f>
        <v>2.9166666666</v>
      </c>
      <c r="L145" s="5" t="n">
        <f aca="false">SUMIFS('03_DESPIECE'!$L$2:$L$225,'03_DESPIECE'!$A$2:$A$225,B145,'03_DESPIECE'!$B$2:$B$225,C145)</f>
        <v>1</v>
      </c>
      <c r="M145" s="2" t="s">
        <v>629</v>
      </c>
    </row>
    <row r="146" customFormat="false" ht="15" hidden="false" customHeight="false" outlineLevel="0" collapsed="false">
      <c r="A146" s="2" t="s">
        <v>546</v>
      </c>
      <c r="B146" s="2" t="s">
        <v>108</v>
      </c>
      <c r="C146" s="2" t="s">
        <v>326</v>
      </c>
      <c r="D146" s="2" t="s">
        <v>176</v>
      </c>
      <c r="E146" s="5" t="n">
        <f aca="false">INDEX('08_PEDIDOS'!$D$2:$D$97,MATCH(A146,'08_PEDIDOS'!$A$2:$A$97,0))</f>
        <v>6</v>
      </c>
      <c r="F146" s="5" t="n">
        <f aca="false">SUMIFS('03_DESPIECE'!$D$2:$D$225,'03_DESPIECE'!$A$2:$A$225,B146,'03_DESPIECE'!$B$2:$B$225,C146)</f>
        <v>4</v>
      </c>
      <c r="G146" s="5" t="n">
        <f aca="false">E146*F146</f>
        <v>24</v>
      </c>
      <c r="H146" s="16" t="n">
        <f aca="false">SUMIFS('03_DESPIECE'!$J$2:$J$225,'03_DESPIECE'!$A$2:$A$225,B146,'03_DESPIECE'!$B$2:$B$225,C146)</f>
        <v>139.252173913</v>
      </c>
      <c r="I146" s="16" t="n">
        <f aca="false">E146*H146</f>
        <v>835.513043478</v>
      </c>
      <c r="J146" s="17" t="n">
        <f aca="false">E146*SUMIFS('03_DESPIECE'!$I$2:$I$225,'03_DESPIECE'!$A$2:$A$225,B146,'03_DESPIECE'!$B$2:$B$225,C146)</f>
        <v>113.04</v>
      </c>
      <c r="K146" s="19" t="n">
        <f aca="false">E146*SUMIFS('03_DESPIECE'!$K$2:$K$225,'03_DESPIECE'!$A$2:$A$225,B146,'03_DESPIECE'!$B$2:$B$225,C146)</f>
        <v>3.3333333336</v>
      </c>
      <c r="L146" s="5" t="n">
        <f aca="false">SUMIFS('03_DESPIECE'!$L$2:$L$225,'03_DESPIECE'!$A$2:$A$225,B146,'03_DESPIECE'!$B$2:$B$225,C146)</f>
        <v>1</v>
      </c>
      <c r="M146" s="2" t="s">
        <v>629</v>
      </c>
    </row>
    <row r="147" customFormat="false" ht="15" hidden="false" customHeight="false" outlineLevel="0" collapsed="false">
      <c r="A147" s="2" t="s">
        <v>546</v>
      </c>
      <c r="B147" s="2" t="s">
        <v>108</v>
      </c>
      <c r="C147" s="2" t="s">
        <v>319</v>
      </c>
      <c r="D147" s="2" t="s">
        <v>188</v>
      </c>
      <c r="E147" s="5" t="n">
        <f aca="false">INDEX('08_PEDIDOS'!$D$2:$D$97,MATCH(A147,'08_PEDIDOS'!$A$2:$A$97,0))</f>
        <v>6</v>
      </c>
      <c r="F147" s="5" t="n">
        <f aca="false">SUMIFS('03_DESPIECE'!$D$2:$D$225,'03_DESPIECE'!$A$2:$A$225,B147,'03_DESPIECE'!$B$2:$B$225,C147)</f>
        <v>12</v>
      </c>
      <c r="G147" s="5" t="n">
        <f aca="false">E147*F147</f>
        <v>72</v>
      </c>
      <c r="H147" s="16" t="n">
        <f aca="false">SUMIFS('03_DESPIECE'!$J$2:$J$225,'03_DESPIECE'!$A$2:$A$225,B147,'03_DESPIECE'!$B$2:$B$225,C147)</f>
        <v>10.8</v>
      </c>
      <c r="I147" s="16" t="n">
        <f aca="false">E147*H147</f>
        <v>64.8</v>
      </c>
      <c r="J147" s="17" t="n">
        <f aca="false">E147*SUMIFS('03_DESPIECE'!$I$2:$I$225,'03_DESPIECE'!$A$2:$A$225,B147,'03_DESPIECE'!$B$2:$B$225,C147)</f>
        <v>0</v>
      </c>
      <c r="K147" s="19" t="n">
        <f aca="false">E147*SUMIFS('03_DESPIECE'!$K$2:$K$225,'03_DESPIECE'!$A$2:$A$225,B147,'03_DESPIECE'!$B$2:$B$225,C147)</f>
        <v>0</v>
      </c>
      <c r="L147" s="5" t="n">
        <f aca="false">SUMIFS('03_DESPIECE'!$L$2:$L$225,'03_DESPIECE'!$A$2:$A$225,B147,'03_DESPIECE'!$B$2:$B$225,C147)</f>
        <v>1</v>
      </c>
      <c r="M147" s="2" t="s">
        <v>629</v>
      </c>
    </row>
    <row r="148" customFormat="false" ht="15" hidden="false" customHeight="false" outlineLevel="0" collapsed="false">
      <c r="A148" s="2" t="s">
        <v>546</v>
      </c>
      <c r="B148" s="2" t="s">
        <v>108</v>
      </c>
      <c r="C148" s="2" t="s">
        <v>320</v>
      </c>
      <c r="D148" s="2" t="s">
        <v>188</v>
      </c>
      <c r="E148" s="5" t="n">
        <f aca="false">INDEX('08_PEDIDOS'!$D$2:$D$97,MATCH(A148,'08_PEDIDOS'!$A$2:$A$97,0))</f>
        <v>6</v>
      </c>
      <c r="F148" s="5" t="n">
        <f aca="false">SUMIFS('03_DESPIECE'!$D$2:$D$225,'03_DESPIECE'!$A$2:$A$225,B148,'03_DESPIECE'!$B$2:$B$225,C148)</f>
        <v>6</v>
      </c>
      <c r="G148" s="5" t="n">
        <f aca="false">E148*F148</f>
        <v>36</v>
      </c>
      <c r="H148" s="16" t="n">
        <f aca="false">SUMIFS('03_DESPIECE'!$J$2:$J$225,'03_DESPIECE'!$A$2:$A$225,B148,'03_DESPIECE'!$B$2:$B$225,C148)</f>
        <v>5.4</v>
      </c>
      <c r="I148" s="16" t="n">
        <f aca="false">E148*H148</f>
        <v>32.4</v>
      </c>
      <c r="J148" s="17" t="n">
        <f aca="false">E148*SUMIFS('03_DESPIECE'!$I$2:$I$225,'03_DESPIECE'!$A$2:$A$225,B148,'03_DESPIECE'!$B$2:$B$225,C148)</f>
        <v>0</v>
      </c>
      <c r="K148" s="19" t="n">
        <f aca="false">E148*SUMIFS('03_DESPIECE'!$K$2:$K$225,'03_DESPIECE'!$A$2:$A$225,B148,'03_DESPIECE'!$B$2:$B$225,C148)</f>
        <v>0</v>
      </c>
      <c r="L148" s="5" t="n">
        <f aca="false">SUMIFS('03_DESPIECE'!$L$2:$L$225,'03_DESPIECE'!$A$2:$A$225,B148,'03_DESPIECE'!$B$2:$B$225,C148)</f>
        <v>1</v>
      </c>
      <c r="M148" s="2" t="s">
        <v>629</v>
      </c>
    </row>
    <row r="149" customFormat="false" ht="15" hidden="false" customHeight="false" outlineLevel="0" collapsed="false">
      <c r="A149" s="2" t="s">
        <v>547</v>
      </c>
      <c r="B149" s="2" t="s">
        <v>119</v>
      </c>
      <c r="C149" s="2" t="s">
        <v>327</v>
      </c>
      <c r="D149" s="2" t="s">
        <v>174</v>
      </c>
      <c r="E149" s="5" t="n">
        <f aca="false">INDEX('08_PEDIDOS'!$D$2:$D$97,MATCH(A149,'08_PEDIDOS'!$A$2:$A$97,0))</f>
        <v>10</v>
      </c>
      <c r="F149" s="5" t="n">
        <f aca="false">SUMIFS('03_DESPIECE'!$D$2:$D$225,'03_DESPIECE'!$A$2:$A$225,B149,'03_DESPIECE'!$B$2:$B$225,C149)</f>
        <v>2</v>
      </c>
      <c r="G149" s="5" t="n">
        <f aca="false">E149*F149</f>
        <v>20</v>
      </c>
      <c r="H149" s="16" t="n">
        <f aca="false">SUMIFS('03_DESPIECE'!$J$2:$J$225,'03_DESPIECE'!$A$2:$A$225,B149,'03_DESPIECE'!$B$2:$B$225,C149)</f>
        <v>110.2413043478</v>
      </c>
      <c r="I149" s="16" t="n">
        <f aca="false">E149*H149</f>
        <v>1102.413043478</v>
      </c>
      <c r="J149" s="17" t="n">
        <f aca="false">E149*SUMIFS('03_DESPIECE'!$I$2:$I$225,'03_DESPIECE'!$A$2:$A$225,B149,'03_DESPIECE'!$B$2:$B$225,C149)</f>
        <v>149.15</v>
      </c>
      <c r="K149" s="19" t="n">
        <f aca="false">E149*SUMIFS('03_DESPIECE'!$K$2:$K$225,'03_DESPIECE'!$A$2:$A$225,B149,'03_DESPIECE'!$B$2:$B$225,C149)</f>
        <v>6.597222222</v>
      </c>
      <c r="L149" s="5" t="n">
        <f aca="false">SUMIFS('03_DESPIECE'!$L$2:$L$225,'03_DESPIECE'!$A$2:$A$225,B149,'03_DESPIECE'!$B$2:$B$225,C149)</f>
        <v>1</v>
      </c>
      <c r="M149" s="2" t="s">
        <v>629</v>
      </c>
    </row>
    <row r="150" customFormat="false" ht="15" hidden="false" customHeight="false" outlineLevel="0" collapsed="false">
      <c r="A150" s="2" t="s">
        <v>547</v>
      </c>
      <c r="B150" s="2" t="s">
        <v>119</v>
      </c>
      <c r="C150" s="2" t="s">
        <v>316</v>
      </c>
      <c r="D150" s="2" t="s">
        <v>174</v>
      </c>
      <c r="E150" s="5" t="n">
        <f aca="false">INDEX('08_PEDIDOS'!$D$2:$D$97,MATCH(A150,'08_PEDIDOS'!$A$2:$A$97,0))</f>
        <v>10</v>
      </c>
      <c r="F150" s="5" t="n">
        <f aca="false">SUMIFS('03_DESPIECE'!$D$2:$D$225,'03_DESPIECE'!$A$2:$A$225,B150,'03_DESPIECE'!$B$2:$B$225,C150)</f>
        <v>1</v>
      </c>
      <c r="G150" s="5" t="n">
        <f aca="false">E150*F150</f>
        <v>10</v>
      </c>
      <c r="H150" s="16" t="n">
        <f aca="false">SUMIFS('03_DESPIECE'!$J$2:$J$225,'03_DESPIECE'!$A$2:$A$225,B150,'03_DESPIECE'!$B$2:$B$225,C150)</f>
        <v>75.4282608696</v>
      </c>
      <c r="I150" s="16" t="n">
        <f aca="false">E150*H150</f>
        <v>754.282608696</v>
      </c>
      <c r="J150" s="17" t="n">
        <f aca="false">E150*SUMIFS('03_DESPIECE'!$I$2:$I$225,'03_DESPIECE'!$A$2:$A$225,B150,'03_DESPIECE'!$B$2:$B$225,C150)</f>
        <v>102.05</v>
      </c>
      <c r="K150" s="19" t="n">
        <f aca="false">E150*SUMIFS('03_DESPIECE'!$K$2:$K$225,'03_DESPIECE'!$A$2:$A$225,B150,'03_DESPIECE'!$B$2:$B$225,C150)</f>
        <v>4.513888889</v>
      </c>
      <c r="L150" s="5" t="n">
        <f aca="false">SUMIFS('03_DESPIECE'!$L$2:$L$225,'03_DESPIECE'!$A$2:$A$225,B150,'03_DESPIECE'!$B$2:$B$225,C150)</f>
        <v>1</v>
      </c>
      <c r="M150" s="2" t="s">
        <v>629</v>
      </c>
    </row>
    <row r="151" customFormat="false" ht="15" hidden="false" customHeight="false" outlineLevel="0" collapsed="false">
      <c r="A151" s="2" t="s">
        <v>547</v>
      </c>
      <c r="B151" s="2" t="s">
        <v>119</v>
      </c>
      <c r="C151" s="2" t="s">
        <v>322</v>
      </c>
      <c r="D151" s="2" t="s">
        <v>174</v>
      </c>
      <c r="E151" s="5" t="n">
        <f aca="false">INDEX('08_PEDIDOS'!$D$2:$D$97,MATCH(A151,'08_PEDIDOS'!$A$2:$A$97,0))</f>
        <v>10</v>
      </c>
      <c r="F151" s="5" t="n">
        <f aca="false">SUMIFS('03_DESPIECE'!$D$2:$D$225,'03_DESPIECE'!$A$2:$A$225,B151,'03_DESPIECE'!$B$2:$B$225,C151)</f>
        <v>2</v>
      </c>
      <c r="G151" s="5" t="n">
        <f aca="false">E151*F151</f>
        <v>20</v>
      </c>
      <c r="H151" s="16" t="n">
        <f aca="false">SUMIFS('03_DESPIECE'!$J$2:$J$225,'03_DESPIECE'!$A$2:$A$225,B151,'03_DESPIECE'!$B$2:$B$225,C151)</f>
        <v>58.0217391304</v>
      </c>
      <c r="I151" s="16" t="n">
        <f aca="false">E151*H151</f>
        <v>580.217391304</v>
      </c>
      <c r="J151" s="17" t="n">
        <f aca="false">E151*SUMIFS('03_DESPIECE'!$I$2:$I$225,'03_DESPIECE'!$A$2:$A$225,B151,'03_DESPIECE'!$B$2:$B$225,C151)</f>
        <v>78.5</v>
      </c>
      <c r="K151" s="19" t="n">
        <f aca="false">E151*SUMIFS('03_DESPIECE'!$K$2:$K$225,'03_DESPIECE'!$A$2:$A$225,B151,'03_DESPIECE'!$B$2:$B$225,C151)</f>
        <v>3.472222222</v>
      </c>
      <c r="L151" s="5" t="n">
        <f aca="false">SUMIFS('03_DESPIECE'!$L$2:$L$225,'03_DESPIECE'!$A$2:$A$225,B151,'03_DESPIECE'!$B$2:$B$225,C151)</f>
        <v>1</v>
      </c>
      <c r="M151" s="2" t="s">
        <v>629</v>
      </c>
    </row>
    <row r="152" customFormat="false" ht="15" hidden="false" customHeight="false" outlineLevel="0" collapsed="false">
      <c r="A152" s="2" t="s">
        <v>547</v>
      </c>
      <c r="B152" s="2" t="s">
        <v>119</v>
      </c>
      <c r="C152" s="2" t="s">
        <v>328</v>
      </c>
      <c r="D152" s="2" t="s">
        <v>174</v>
      </c>
      <c r="E152" s="5" t="n">
        <f aca="false">INDEX('08_PEDIDOS'!$D$2:$D$97,MATCH(A152,'08_PEDIDOS'!$A$2:$A$97,0))</f>
        <v>10</v>
      </c>
      <c r="F152" s="5" t="n">
        <f aca="false">SUMIFS('03_DESPIECE'!$D$2:$D$225,'03_DESPIECE'!$A$2:$A$225,B152,'03_DESPIECE'!$B$2:$B$225,C152)</f>
        <v>2</v>
      </c>
      <c r="G152" s="5" t="n">
        <f aca="false">E152*F152</f>
        <v>20</v>
      </c>
      <c r="H152" s="16" t="n">
        <f aca="false">SUMIFS('03_DESPIECE'!$J$2:$J$225,'03_DESPIECE'!$A$2:$A$225,B152,'03_DESPIECE'!$B$2:$B$225,C152)</f>
        <v>81.2304347826</v>
      </c>
      <c r="I152" s="16" t="n">
        <f aca="false">E152*H152</f>
        <v>812.304347826</v>
      </c>
      <c r="J152" s="17" t="n">
        <f aca="false">E152*SUMIFS('03_DESPIECE'!$I$2:$I$225,'03_DESPIECE'!$A$2:$A$225,B152,'03_DESPIECE'!$B$2:$B$225,C152)</f>
        <v>109.9</v>
      </c>
      <c r="K152" s="19" t="n">
        <f aca="false">E152*SUMIFS('03_DESPIECE'!$K$2:$K$225,'03_DESPIECE'!$A$2:$A$225,B152,'03_DESPIECE'!$B$2:$B$225,C152)</f>
        <v>4.861111111</v>
      </c>
      <c r="L152" s="5" t="n">
        <f aca="false">SUMIFS('03_DESPIECE'!$L$2:$L$225,'03_DESPIECE'!$A$2:$A$225,B152,'03_DESPIECE'!$B$2:$B$225,C152)</f>
        <v>1</v>
      </c>
      <c r="M152" s="2" t="s">
        <v>629</v>
      </c>
    </row>
    <row r="153" customFormat="false" ht="15" hidden="false" customHeight="false" outlineLevel="0" collapsed="false">
      <c r="A153" s="2" t="s">
        <v>547</v>
      </c>
      <c r="B153" s="2" t="s">
        <v>119</v>
      </c>
      <c r="C153" s="2" t="s">
        <v>310</v>
      </c>
      <c r="D153" s="2" t="s">
        <v>174</v>
      </c>
      <c r="E153" s="5" t="n">
        <f aca="false">INDEX('08_PEDIDOS'!$D$2:$D$97,MATCH(A153,'08_PEDIDOS'!$A$2:$A$97,0))</f>
        <v>10</v>
      </c>
      <c r="F153" s="5" t="n">
        <f aca="false">SUMIFS('03_DESPIECE'!$D$2:$D$225,'03_DESPIECE'!$A$2:$A$225,B153,'03_DESPIECE'!$B$2:$B$225,C153)</f>
        <v>3</v>
      </c>
      <c r="G153" s="5" t="n">
        <f aca="false">E153*F153</f>
        <v>30</v>
      </c>
      <c r="H153" s="16" t="n">
        <f aca="false">SUMIFS('03_DESPIECE'!$J$2:$J$225,'03_DESPIECE'!$A$2:$A$225,B153,'03_DESPIECE'!$B$2:$B$225,C153)</f>
        <v>83.5513043478</v>
      </c>
      <c r="I153" s="16" t="n">
        <f aca="false">E153*H153</f>
        <v>835.513043478</v>
      </c>
      <c r="J153" s="17" t="n">
        <f aca="false">E153*SUMIFS('03_DESPIECE'!$I$2:$I$225,'03_DESPIECE'!$A$2:$A$225,B153,'03_DESPIECE'!$B$2:$B$225,C153)</f>
        <v>113.04</v>
      </c>
      <c r="K153" s="19" t="n">
        <f aca="false">E153*SUMIFS('03_DESPIECE'!$K$2:$K$225,'03_DESPIECE'!$A$2:$A$225,B153,'03_DESPIECE'!$B$2:$B$225,C153)</f>
        <v>5</v>
      </c>
      <c r="L153" s="5" t="n">
        <f aca="false">SUMIFS('03_DESPIECE'!$L$2:$L$225,'03_DESPIECE'!$A$2:$A$225,B153,'03_DESPIECE'!$B$2:$B$225,C153)</f>
        <v>1</v>
      </c>
      <c r="M153" s="2" t="s">
        <v>629</v>
      </c>
    </row>
    <row r="154" customFormat="false" ht="15" hidden="false" customHeight="false" outlineLevel="0" collapsed="false">
      <c r="A154" s="2" t="s">
        <v>547</v>
      </c>
      <c r="B154" s="2" t="s">
        <v>119</v>
      </c>
      <c r="C154" s="2" t="s">
        <v>319</v>
      </c>
      <c r="D154" s="2" t="s">
        <v>188</v>
      </c>
      <c r="E154" s="5" t="n">
        <f aca="false">INDEX('08_PEDIDOS'!$D$2:$D$97,MATCH(A154,'08_PEDIDOS'!$A$2:$A$97,0))</f>
        <v>10</v>
      </c>
      <c r="F154" s="5" t="n">
        <f aca="false">SUMIFS('03_DESPIECE'!$D$2:$D$225,'03_DESPIECE'!$A$2:$A$225,B154,'03_DESPIECE'!$B$2:$B$225,C154)</f>
        <v>4</v>
      </c>
      <c r="G154" s="5" t="n">
        <f aca="false">E154*F154</f>
        <v>40</v>
      </c>
      <c r="H154" s="16" t="n">
        <f aca="false">SUMIFS('03_DESPIECE'!$J$2:$J$225,'03_DESPIECE'!$A$2:$A$225,B154,'03_DESPIECE'!$B$2:$B$225,C154)</f>
        <v>3.6</v>
      </c>
      <c r="I154" s="16" t="n">
        <f aca="false">E154*H154</f>
        <v>36</v>
      </c>
      <c r="J154" s="17" t="n">
        <f aca="false">E154*SUMIFS('03_DESPIECE'!$I$2:$I$225,'03_DESPIECE'!$A$2:$A$225,B154,'03_DESPIECE'!$B$2:$B$225,C154)</f>
        <v>0</v>
      </c>
      <c r="K154" s="19" t="n">
        <f aca="false">E154*SUMIFS('03_DESPIECE'!$K$2:$K$225,'03_DESPIECE'!$A$2:$A$225,B154,'03_DESPIECE'!$B$2:$B$225,C154)</f>
        <v>0</v>
      </c>
      <c r="L154" s="5" t="n">
        <f aca="false">SUMIFS('03_DESPIECE'!$L$2:$L$225,'03_DESPIECE'!$A$2:$A$225,B154,'03_DESPIECE'!$B$2:$B$225,C154)</f>
        <v>1</v>
      </c>
      <c r="M154" s="2" t="s">
        <v>629</v>
      </c>
    </row>
    <row r="155" customFormat="false" ht="15" hidden="false" customHeight="false" outlineLevel="0" collapsed="false">
      <c r="A155" s="2" t="s">
        <v>547</v>
      </c>
      <c r="B155" s="2" t="s">
        <v>119</v>
      </c>
      <c r="C155" s="2" t="s">
        <v>320</v>
      </c>
      <c r="D155" s="2" t="s">
        <v>188</v>
      </c>
      <c r="E155" s="5" t="n">
        <f aca="false">INDEX('08_PEDIDOS'!$D$2:$D$97,MATCH(A155,'08_PEDIDOS'!$A$2:$A$97,0))</f>
        <v>10</v>
      </c>
      <c r="F155" s="5" t="n">
        <f aca="false">SUMIFS('03_DESPIECE'!$D$2:$D$225,'03_DESPIECE'!$A$2:$A$225,B155,'03_DESPIECE'!$B$2:$B$225,C155)</f>
        <v>2</v>
      </c>
      <c r="G155" s="5" t="n">
        <f aca="false">E155*F155</f>
        <v>20</v>
      </c>
      <c r="H155" s="16" t="n">
        <f aca="false">SUMIFS('03_DESPIECE'!$J$2:$J$225,'03_DESPIECE'!$A$2:$A$225,B155,'03_DESPIECE'!$B$2:$B$225,C155)</f>
        <v>1.8</v>
      </c>
      <c r="I155" s="16" t="n">
        <f aca="false">E155*H155</f>
        <v>18</v>
      </c>
      <c r="J155" s="17" t="n">
        <f aca="false">E155*SUMIFS('03_DESPIECE'!$I$2:$I$225,'03_DESPIECE'!$A$2:$A$225,B155,'03_DESPIECE'!$B$2:$B$225,C155)</f>
        <v>0</v>
      </c>
      <c r="K155" s="19" t="n">
        <f aca="false">E155*SUMIFS('03_DESPIECE'!$K$2:$K$225,'03_DESPIECE'!$A$2:$A$225,B155,'03_DESPIECE'!$B$2:$B$225,C155)</f>
        <v>0</v>
      </c>
      <c r="L155" s="5" t="n">
        <f aca="false">SUMIFS('03_DESPIECE'!$L$2:$L$225,'03_DESPIECE'!$A$2:$A$225,B155,'03_DESPIECE'!$B$2:$B$225,C155)</f>
        <v>1</v>
      </c>
      <c r="M155" s="2" t="s">
        <v>629</v>
      </c>
    </row>
    <row r="156" customFormat="false" ht="15" hidden="false" customHeight="false" outlineLevel="0" collapsed="false">
      <c r="A156" s="2" t="s">
        <v>548</v>
      </c>
      <c r="B156" s="2" t="s">
        <v>121</v>
      </c>
      <c r="C156" s="2" t="s">
        <v>329</v>
      </c>
      <c r="D156" s="2" t="s">
        <v>184</v>
      </c>
      <c r="E156" s="5" t="n">
        <f aca="false">INDEX('08_PEDIDOS'!$D$2:$D$97,MATCH(A156,'08_PEDIDOS'!$A$2:$A$97,0))</f>
        <v>10</v>
      </c>
      <c r="F156" s="5" t="n">
        <f aca="false">SUMIFS('03_DESPIECE'!$D$2:$D$225,'03_DESPIECE'!$A$2:$A$225,B156,'03_DESPIECE'!$B$2:$B$225,C156)</f>
        <v>4</v>
      </c>
      <c r="G156" s="5" t="n">
        <f aca="false">E156*F156</f>
        <v>40</v>
      </c>
      <c r="H156" s="16" t="n">
        <f aca="false">SUMIFS('03_DESPIECE'!$J$2:$J$225,'03_DESPIECE'!$A$2:$A$225,B156,'03_DESPIECE'!$B$2:$B$225,C156)</f>
        <v>62.90625</v>
      </c>
      <c r="I156" s="16" t="n">
        <f aca="false">E156*H156</f>
        <v>629.0625</v>
      </c>
      <c r="J156" s="17" t="n">
        <f aca="false">E156*SUMIFS('03_DESPIECE'!$I$2:$I$225,'03_DESPIECE'!$A$2:$A$225,B156,'03_DESPIECE'!$B$2:$B$225,C156)</f>
        <v>99</v>
      </c>
      <c r="K156" s="19" t="n">
        <f aca="false">E156*SUMIFS('03_DESPIECE'!$K$2:$K$225,'03_DESPIECE'!$A$2:$A$225,B156,'03_DESPIECE'!$B$2:$B$225,C156)</f>
        <v>0</v>
      </c>
      <c r="L156" s="5" t="n">
        <f aca="false">SUMIFS('03_DESPIECE'!$L$2:$L$225,'03_DESPIECE'!$A$2:$A$225,B156,'03_DESPIECE'!$B$2:$B$225,C156)</f>
        <v>1</v>
      </c>
      <c r="M156" s="2" t="s">
        <v>629</v>
      </c>
    </row>
    <row r="157" customFormat="false" ht="15" hidden="false" customHeight="false" outlineLevel="0" collapsed="false">
      <c r="A157" s="2" t="s">
        <v>548</v>
      </c>
      <c r="B157" s="2" t="s">
        <v>121</v>
      </c>
      <c r="C157" s="2" t="s">
        <v>330</v>
      </c>
      <c r="D157" s="2" t="s">
        <v>184</v>
      </c>
      <c r="E157" s="5" t="n">
        <f aca="false">INDEX('08_PEDIDOS'!$D$2:$D$97,MATCH(A157,'08_PEDIDOS'!$A$2:$A$97,0))</f>
        <v>10</v>
      </c>
      <c r="F157" s="5" t="n">
        <f aca="false">SUMIFS('03_DESPIECE'!$D$2:$D$225,'03_DESPIECE'!$A$2:$A$225,B157,'03_DESPIECE'!$B$2:$B$225,C157)</f>
        <v>8</v>
      </c>
      <c r="G157" s="5" t="n">
        <f aca="false">E157*F157</f>
        <v>80</v>
      </c>
      <c r="H157" s="16" t="n">
        <f aca="false">SUMIFS('03_DESPIECE'!$J$2:$J$225,'03_DESPIECE'!$A$2:$A$225,B157,'03_DESPIECE'!$B$2:$B$225,C157)</f>
        <v>68.625</v>
      </c>
      <c r="I157" s="16" t="n">
        <f aca="false">E157*H157</f>
        <v>686.25</v>
      </c>
      <c r="J157" s="17" t="n">
        <f aca="false">E157*SUMIFS('03_DESPIECE'!$I$2:$I$225,'03_DESPIECE'!$A$2:$A$225,B157,'03_DESPIECE'!$B$2:$B$225,C157)</f>
        <v>108</v>
      </c>
      <c r="K157" s="19" t="n">
        <f aca="false">E157*SUMIFS('03_DESPIECE'!$K$2:$K$225,'03_DESPIECE'!$A$2:$A$225,B157,'03_DESPIECE'!$B$2:$B$225,C157)</f>
        <v>0</v>
      </c>
      <c r="L157" s="5" t="n">
        <f aca="false">SUMIFS('03_DESPIECE'!$L$2:$L$225,'03_DESPIECE'!$A$2:$A$225,B157,'03_DESPIECE'!$B$2:$B$225,C157)</f>
        <v>1</v>
      </c>
      <c r="M157" s="2" t="s">
        <v>629</v>
      </c>
    </row>
    <row r="158" customFormat="false" ht="15" hidden="false" customHeight="false" outlineLevel="0" collapsed="false">
      <c r="A158" s="2" t="s">
        <v>548</v>
      </c>
      <c r="B158" s="2" t="s">
        <v>121</v>
      </c>
      <c r="C158" s="2" t="s">
        <v>310</v>
      </c>
      <c r="D158" s="2" t="s">
        <v>174</v>
      </c>
      <c r="E158" s="5" t="n">
        <f aca="false">INDEX('08_PEDIDOS'!$D$2:$D$97,MATCH(A158,'08_PEDIDOS'!$A$2:$A$97,0))</f>
        <v>10</v>
      </c>
      <c r="F158" s="5" t="n">
        <f aca="false">SUMIFS('03_DESPIECE'!$D$2:$D$225,'03_DESPIECE'!$A$2:$A$225,B158,'03_DESPIECE'!$B$2:$B$225,C158)</f>
        <v>5</v>
      </c>
      <c r="G158" s="5" t="n">
        <f aca="false">E158*F158</f>
        <v>50</v>
      </c>
      <c r="H158" s="16" t="n">
        <f aca="false">SUMIFS('03_DESPIECE'!$J$2:$J$225,'03_DESPIECE'!$A$2:$A$225,B158,'03_DESPIECE'!$B$2:$B$225,C158)</f>
        <v>116.0434782609</v>
      </c>
      <c r="I158" s="16" t="n">
        <f aca="false">E158*H158</f>
        <v>1160.434782609</v>
      </c>
      <c r="J158" s="17" t="n">
        <f aca="false">E158*SUMIFS('03_DESPIECE'!$I$2:$I$225,'03_DESPIECE'!$A$2:$A$225,B158,'03_DESPIECE'!$B$2:$B$225,C158)</f>
        <v>157</v>
      </c>
      <c r="K158" s="19" t="n">
        <f aca="false">E158*SUMIFS('03_DESPIECE'!$K$2:$K$225,'03_DESPIECE'!$A$2:$A$225,B158,'03_DESPIECE'!$B$2:$B$225,C158)</f>
        <v>6.944444444</v>
      </c>
      <c r="L158" s="5" t="n">
        <f aca="false">SUMIFS('03_DESPIECE'!$L$2:$L$225,'03_DESPIECE'!$A$2:$A$225,B158,'03_DESPIECE'!$B$2:$B$225,C158)</f>
        <v>1</v>
      </c>
      <c r="M158" s="2" t="s">
        <v>629</v>
      </c>
    </row>
    <row r="159" customFormat="false" ht="15" hidden="false" customHeight="false" outlineLevel="0" collapsed="false">
      <c r="A159" s="2" t="s">
        <v>548</v>
      </c>
      <c r="B159" s="2" t="s">
        <v>121</v>
      </c>
      <c r="C159" s="2" t="s">
        <v>331</v>
      </c>
      <c r="D159" s="2" t="s">
        <v>174</v>
      </c>
      <c r="E159" s="5" t="n">
        <f aca="false">INDEX('08_PEDIDOS'!$D$2:$D$97,MATCH(A159,'08_PEDIDOS'!$A$2:$A$97,0))</f>
        <v>10</v>
      </c>
      <c r="F159" s="5" t="n">
        <f aca="false">SUMIFS('03_DESPIECE'!$D$2:$D$225,'03_DESPIECE'!$A$2:$A$225,B159,'03_DESPIECE'!$B$2:$B$225,C159)</f>
        <v>8</v>
      </c>
      <c r="G159" s="5" t="n">
        <f aca="false">E159*F159</f>
        <v>80</v>
      </c>
      <c r="H159" s="16" t="n">
        <f aca="false">SUMIFS('03_DESPIECE'!$J$2:$J$225,'03_DESPIECE'!$A$2:$A$225,B159,'03_DESPIECE'!$B$2:$B$225,C159)</f>
        <v>16.2460869565</v>
      </c>
      <c r="I159" s="16" t="n">
        <f aca="false">E159*H159</f>
        <v>162.460869565</v>
      </c>
      <c r="J159" s="17" t="n">
        <f aca="false">E159*SUMIFS('03_DESPIECE'!$I$2:$I$225,'03_DESPIECE'!$A$2:$A$225,B159,'03_DESPIECE'!$B$2:$B$225,C159)</f>
        <v>21.98</v>
      </c>
      <c r="K159" s="19" t="n">
        <f aca="false">E159*SUMIFS('03_DESPIECE'!$K$2:$K$225,'03_DESPIECE'!$A$2:$A$225,B159,'03_DESPIECE'!$B$2:$B$225,C159)</f>
        <v>0.972222222</v>
      </c>
      <c r="L159" s="5" t="n">
        <f aca="false">SUMIFS('03_DESPIECE'!$L$2:$L$225,'03_DESPIECE'!$A$2:$A$225,B159,'03_DESPIECE'!$B$2:$B$225,C159)</f>
        <v>1</v>
      </c>
      <c r="M159" s="2" t="s">
        <v>629</v>
      </c>
    </row>
    <row r="160" customFormat="false" ht="15" hidden="false" customHeight="false" outlineLevel="0" collapsed="false">
      <c r="A160" s="2" t="s">
        <v>548</v>
      </c>
      <c r="B160" s="2" t="s">
        <v>121</v>
      </c>
      <c r="C160" s="2" t="s">
        <v>332</v>
      </c>
      <c r="D160" s="2" t="s">
        <v>188</v>
      </c>
      <c r="E160" s="5" t="n">
        <f aca="false">INDEX('08_PEDIDOS'!$D$2:$D$97,MATCH(A160,'08_PEDIDOS'!$A$2:$A$97,0))</f>
        <v>10</v>
      </c>
      <c r="F160" s="5" t="n">
        <f aca="false">SUMIFS('03_DESPIECE'!$D$2:$D$225,'03_DESPIECE'!$A$2:$A$225,B160,'03_DESPIECE'!$B$2:$B$225,C160)</f>
        <v>32</v>
      </c>
      <c r="G160" s="5" t="n">
        <f aca="false">E160*F160</f>
        <v>320</v>
      </c>
      <c r="H160" s="16" t="n">
        <f aca="false">SUMIFS('03_DESPIECE'!$J$2:$J$225,'03_DESPIECE'!$A$2:$A$225,B160,'03_DESPIECE'!$B$2:$B$225,C160)</f>
        <v>28.8</v>
      </c>
      <c r="I160" s="16" t="n">
        <f aca="false">E160*H160</f>
        <v>288</v>
      </c>
      <c r="J160" s="17" t="n">
        <f aca="false">E160*SUMIFS('03_DESPIECE'!$I$2:$I$225,'03_DESPIECE'!$A$2:$A$225,B160,'03_DESPIECE'!$B$2:$B$225,C160)</f>
        <v>0</v>
      </c>
      <c r="K160" s="19" t="n">
        <f aca="false">E160*SUMIFS('03_DESPIECE'!$K$2:$K$225,'03_DESPIECE'!$A$2:$A$225,B160,'03_DESPIECE'!$B$2:$B$225,C160)</f>
        <v>0</v>
      </c>
      <c r="L160" s="5" t="n">
        <f aca="false">SUMIFS('03_DESPIECE'!$L$2:$L$225,'03_DESPIECE'!$A$2:$A$225,B160,'03_DESPIECE'!$B$2:$B$225,C160)</f>
        <v>1</v>
      </c>
      <c r="M160" s="2" t="s">
        <v>629</v>
      </c>
    </row>
    <row r="161" customFormat="false" ht="15" hidden="false" customHeight="false" outlineLevel="0" collapsed="false">
      <c r="A161" s="2" t="s">
        <v>549</v>
      </c>
      <c r="B161" s="2" t="s">
        <v>80</v>
      </c>
      <c r="C161" s="2" t="s">
        <v>285</v>
      </c>
      <c r="D161" s="2" t="s">
        <v>184</v>
      </c>
      <c r="E161" s="5" t="n">
        <f aca="false">INDEX('08_PEDIDOS'!$D$2:$D$97,MATCH(A161,'08_PEDIDOS'!$A$2:$A$97,0))</f>
        <v>12</v>
      </c>
      <c r="F161" s="5" t="n">
        <f aca="false">SUMIFS('03_DESPIECE'!$D$2:$D$225,'03_DESPIECE'!$A$2:$A$225,B161,'03_DESPIECE'!$B$2:$B$225,C161)</f>
        <v>4</v>
      </c>
      <c r="G161" s="5" t="n">
        <f aca="false">E161*F161</f>
        <v>48</v>
      </c>
      <c r="H161" s="16" t="n">
        <f aca="false">SUMIFS('03_DESPIECE'!$J$2:$J$225,'03_DESPIECE'!$A$2:$A$225,B161,'03_DESPIECE'!$B$2:$B$225,C161)</f>
        <v>68.625</v>
      </c>
      <c r="I161" s="16" t="n">
        <f aca="false">E161*H161</f>
        <v>823.5</v>
      </c>
      <c r="J161" s="17" t="n">
        <f aca="false">E161*SUMIFS('03_DESPIECE'!$I$2:$I$225,'03_DESPIECE'!$A$2:$A$225,B161,'03_DESPIECE'!$B$2:$B$225,C161)</f>
        <v>129.6</v>
      </c>
      <c r="K161" s="19" t="n">
        <f aca="false">E161*SUMIFS('03_DESPIECE'!$K$2:$K$225,'03_DESPIECE'!$A$2:$A$225,B161,'03_DESPIECE'!$B$2:$B$225,C161)</f>
        <v>0</v>
      </c>
      <c r="L161" s="5" t="n">
        <f aca="false">SUMIFS('03_DESPIECE'!$L$2:$L$225,'03_DESPIECE'!$A$2:$A$225,B161,'03_DESPIECE'!$B$2:$B$225,C161)</f>
        <v>1</v>
      </c>
      <c r="M161" s="2" t="s">
        <v>629</v>
      </c>
    </row>
    <row r="162" customFormat="false" ht="15" hidden="false" customHeight="false" outlineLevel="0" collapsed="false">
      <c r="A162" s="2" t="s">
        <v>549</v>
      </c>
      <c r="B162" s="2" t="s">
        <v>80</v>
      </c>
      <c r="C162" s="2" t="s">
        <v>287</v>
      </c>
      <c r="D162" s="2" t="s">
        <v>184</v>
      </c>
      <c r="E162" s="5" t="n">
        <f aca="false">INDEX('08_PEDIDOS'!$D$2:$D$97,MATCH(A162,'08_PEDIDOS'!$A$2:$A$97,0))</f>
        <v>12</v>
      </c>
      <c r="F162" s="5" t="n">
        <f aca="false">SUMIFS('03_DESPIECE'!$D$2:$D$225,'03_DESPIECE'!$A$2:$A$225,B162,'03_DESPIECE'!$B$2:$B$225,C162)</f>
        <v>8</v>
      </c>
      <c r="G162" s="5" t="n">
        <f aca="false">E162*F162</f>
        <v>96</v>
      </c>
      <c r="H162" s="16" t="n">
        <f aca="false">SUMIFS('03_DESPIECE'!$J$2:$J$225,'03_DESPIECE'!$A$2:$A$225,B162,'03_DESPIECE'!$B$2:$B$225,C162)</f>
        <v>91.5</v>
      </c>
      <c r="I162" s="16" t="n">
        <f aca="false">E162*H162</f>
        <v>1098</v>
      </c>
      <c r="J162" s="17" t="n">
        <f aca="false">E162*SUMIFS('03_DESPIECE'!$I$2:$I$225,'03_DESPIECE'!$A$2:$A$225,B162,'03_DESPIECE'!$B$2:$B$225,C162)</f>
        <v>172.8</v>
      </c>
      <c r="K162" s="19" t="n">
        <f aca="false">E162*SUMIFS('03_DESPIECE'!$K$2:$K$225,'03_DESPIECE'!$A$2:$A$225,B162,'03_DESPIECE'!$B$2:$B$225,C162)</f>
        <v>0</v>
      </c>
      <c r="L162" s="5" t="n">
        <f aca="false">SUMIFS('03_DESPIECE'!$L$2:$L$225,'03_DESPIECE'!$A$2:$A$225,B162,'03_DESPIECE'!$B$2:$B$225,C162)</f>
        <v>1</v>
      </c>
      <c r="M162" s="2" t="s">
        <v>629</v>
      </c>
    </row>
    <row r="163" customFormat="false" ht="15" hidden="false" customHeight="false" outlineLevel="0" collapsed="false">
      <c r="A163" s="2" t="s">
        <v>549</v>
      </c>
      <c r="B163" s="2" t="s">
        <v>80</v>
      </c>
      <c r="C163" s="2" t="s">
        <v>288</v>
      </c>
      <c r="D163" s="2" t="s">
        <v>184</v>
      </c>
      <c r="E163" s="5" t="n">
        <f aca="false">INDEX('08_PEDIDOS'!$D$2:$D$97,MATCH(A163,'08_PEDIDOS'!$A$2:$A$97,0))</f>
        <v>12</v>
      </c>
      <c r="F163" s="5" t="n">
        <f aca="false">SUMIFS('03_DESPIECE'!$D$2:$D$225,'03_DESPIECE'!$A$2:$A$225,B163,'03_DESPIECE'!$B$2:$B$225,C163)</f>
        <v>4</v>
      </c>
      <c r="G163" s="5" t="n">
        <f aca="false">E163*F163</f>
        <v>48</v>
      </c>
      <c r="H163" s="16" t="n">
        <f aca="false">SUMIFS('03_DESPIECE'!$J$2:$J$225,'03_DESPIECE'!$A$2:$A$225,B163,'03_DESPIECE'!$B$2:$B$225,C163)</f>
        <v>22.875</v>
      </c>
      <c r="I163" s="16" t="n">
        <f aca="false">E163*H163</f>
        <v>274.5</v>
      </c>
      <c r="J163" s="17" t="n">
        <f aca="false">E163*SUMIFS('03_DESPIECE'!$I$2:$I$225,'03_DESPIECE'!$A$2:$A$225,B163,'03_DESPIECE'!$B$2:$B$225,C163)</f>
        <v>43.2</v>
      </c>
      <c r="K163" s="19" t="n">
        <f aca="false">E163*SUMIFS('03_DESPIECE'!$K$2:$K$225,'03_DESPIECE'!$A$2:$A$225,B163,'03_DESPIECE'!$B$2:$B$225,C163)</f>
        <v>0</v>
      </c>
      <c r="L163" s="5" t="n">
        <f aca="false">SUMIFS('03_DESPIECE'!$L$2:$L$225,'03_DESPIECE'!$A$2:$A$225,B163,'03_DESPIECE'!$B$2:$B$225,C163)</f>
        <v>1</v>
      </c>
      <c r="M163" s="2" t="s">
        <v>629</v>
      </c>
    </row>
    <row r="164" customFormat="false" ht="15" hidden="false" customHeight="false" outlineLevel="0" collapsed="false">
      <c r="A164" s="2" t="s">
        <v>549</v>
      </c>
      <c r="B164" s="2" t="s">
        <v>80</v>
      </c>
      <c r="C164" s="2" t="s">
        <v>289</v>
      </c>
      <c r="D164" s="2" t="s">
        <v>170</v>
      </c>
      <c r="E164" s="5" t="n">
        <f aca="false">INDEX('08_PEDIDOS'!$D$2:$D$97,MATCH(A164,'08_PEDIDOS'!$A$2:$A$97,0))</f>
        <v>12</v>
      </c>
      <c r="F164" s="5" t="n">
        <f aca="false">SUMIFS('03_DESPIECE'!$D$2:$D$225,'03_DESPIECE'!$A$2:$A$225,B164,'03_DESPIECE'!$B$2:$B$225,C164)</f>
        <v>4</v>
      </c>
      <c r="G164" s="5" t="n">
        <f aca="false">E164*F164</f>
        <v>48</v>
      </c>
      <c r="H164" s="16" t="n">
        <f aca="false">SUMIFS('03_DESPIECE'!$J$2:$J$225,'03_DESPIECE'!$A$2:$A$225,B164,'03_DESPIECE'!$B$2:$B$225,C164)</f>
        <v>334.2052173913</v>
      </c>
      <c r="I164" s="16" t="n">
        <f aca="false">E164*H164</f>
        <v>4010.4626086956</v>
      </c>
      <c r="J164" s="17" t="n">
        <f aca="false">E164*SUMIFS('03_DESPIECE'!$I$2:$I$225,'03_DESPIECE'!$A$2:$A$225,B164,'03_DESPIECE'!$B$2:$B$225,C164)</f>
        <v>542.592</v>
      </c>
      <c r="K164" s="19" t="n">
        <f aca="false">E164*SUMIFS('03_DESPIECE'!$K$2:$K$225,'03_DESPIECE'!$A$2:$A$225,B164,'03_DESPIECE'!$B$2:$B$225,C164)</f>
        <v>12</v>
      </c>
      <c r="L164" s="5" t="n">
        <f aca="false">SUMIFS('03_DESPIECE'!$L$2:$L$225,'03_DESPIECE'!$A$2:$A$225,B164,'03_DESPIECE'!$B$2:$B$225,C164)</f>
        <v>1</v>
      </c>
      <c r="M164" s="2" t="s">
        <v>629</v>
      </c>
    </row>
    <row r="165" customFormat="false" ht="15" hidden="false" customHeight="false" outlineLevel="0" collapsed="false">
      <c r="A165" s="2" t="s">
        <v>549</v>
      </c>
      <c r="B165" s="2" t="s">
        <v>80</v>
      </c>
      <c r="C165" s="2" t="s">
        <v>291</v>
      </c>
      <c r="D165" s="2" t="s">
        <v>170</v>
      </c>
      <c r="E165" s="5" t="n">
        <f aca="false">INDEX('08_PEDIDOS'!$D$2:$D$97,MATCH(A165,'08_PEDIDOS'!$A$2:$A$97,0))</f>
        <v>12</v>
      </c>
      <c r="F165" s="5" t="n">
        <f aca="false">SUMIFS('03_DESPIECE'!$D$2:$D$225,'03_DESPIECE'!$A$2:$A$225,B165,'03_DESPIECE'!$B$2:$B$225,C165)</f>
        <v>8</v>
      </c>
      <c r="G165" s="5" t="n">
        <f aca="false">E165*F165</f>
        <v>96</v>
      </c>
      <c r="H165" s="16" t="n">
        <f aca="false">SUMIFS('03_DESPIECE'!$J$2:$J$225,'03_DESPIECE'!$A$2:$A$225,B165,'03_DESPIECE'!$B$2:$B$225,C165)</f>
        <v>23.2086956522</v>
      </c>
      <c r="I165" s="16" t="n">
        <f aca="false">E165*H165</f>
        <v>278.5043478264</v>
      </c>
      <c r="J165" s="17" t="n">
        <f aca="false">E165*SUMIFS('03_DESPIECE'!$I$2:$I$225,'03_DESPIECE'!$A$2:$A$225,B165,'03_DESPIECE'!$B$2:$B$225,C165)</f>
        <v>37.68</v>
      </c>
      <c r="K165" s="19" t="n">
        <f aca="false">E165*SUMIFS('03_DESPIECE'!$K$2:$K$225,'03_DESPIECE'!$A$2:$A$225,B165,'03_DESPIECE'!$B$2:$B$225,C165)</f>
        <v>0.8333333328</v>
      </c>
      <c r="L165" s="5" t="n">
        <f aca="false">SUMIFS('03_DESPIECE'!$L$2:$L$225,'03_DESPIECE'!$A$2:$A$225,B165,'03_DESPIECE'!$B$2:$B$225,C165)</f>
        <v>1</v>
      </c>
      <c r="M165" s="2" t="s">
        <v>629</v>
      </c>
    </row>
    <row r="166" customFormat="false" ht="15" hidden="false" customHeight="false" outlineLevel="0" collapsed="false">
      <c r="A166" s="2" t="s">
        <v>549</v>
      </c>
      <c r="B166" s="2" t="s">
        <v>80</v>
      </c>
      <c r="C166" s="2" t="s">
        <v>292</v>
      </c>
      <c r="D166" s="2" t="s">
        <v>188</v>
      </c>
      <c r="E166" s="5" t="n">
        <f aca="false">INDEX('08_PEDIDOS'!$D$2:$D$97,MATCH(A166,'08_PEDIDOS'!$A$2:$A$97,0))</f>
        <v>12</v>
      </c>
      <c r="F166" s="5" t="n">
        <f aca="false">SUMIFS('03_DESPIECE'!$D$2:$D$225,'03_DESPIECE'!$A$2:$A$225,B166,'03_DESPIECE'!$B$2:$B$225,C166)</f>
        <v>24</v>
      </c>
      <c r="G166" s="5" t="n">
        <f aca="false">E166*F166</f>
        <v>288</v>
      </c>
      <c r="H166" s="16" t="n">
        <f aca="false">SUMIFS('03_DESPIECE'!$J$2:$J$225,'03_DESPIECE'!$A$2:$A$225,B166,'03_DESPIECE'!$B$2:$B$225,C166)</f>
        <v>21.6</v>
      </c>
      <c r="I166" s="16" t="n">
        <f aca="false">E166*H166</f>
        <v>259.2</v>
      </c>
      <c r="J166" s="17" t="n">
        <f aca="false">E166*SUMIFS('03_DESPIECE'!$I$2:$I$225,'03_DESPIECE'!$A$2:$A$225,B166,'03_DESPIECE'!$B$2:$B$225,C166)</f>
        <v>0</v>
      </c>
      <c r="K166" s="19" t="n">
        <f aca="false">E166*SUMIFS('03_DESPIECE'!$K$2:$K$225,'03_DESPIECE'!$A$2:$A$225,B166,'03_DESPIECE'!$B$2:$B$225,C166)</f>
        <v>0</v>
      </c>
      <c r="L166" s="5" t="n">
        <f aca="false">SUMIFS('03_DESPIECE'!$L$2:$L$225,'03_DESPIECE'!$A$2:$A$225,B166,'03_DESPIECE'!$B$2:$B$225,C166)</f>
        <v>1</v>
      </c>
      <c r="M166" s="2" t="s">
        <v>629</v>
      </c>
    </row>
    <row r="167" customFormat="false" ht="15" hidden="false" customHeight="false" outlineLevel="0" collapsed="false">
      <c r="A167" s="2" t="s">
        <v>549</v>
      </c>
      <c r="B167" s="2" t="s">
        <v>80</v>
      </c>
      <c r="C167" s="2" t="s">
        <v>294</v>
      </c>
      <c r="D167" s="2" t="s">
        <v>188</v>
      </c>
      <c r="E167" s="5" t="n">
        <f aca="false">INDEX('08_PEDIDOS'!$D$2:$D$97,MATCH(A167,'08_PEDIDOS'!$A$2:$A$97,0))</f>
        <v>12</v>
      </c>
      <c r="F167" s="5" t="n">
        <f aca="false">SUMIFS('03_DESPIECE'!$D$2:$D$225,'03_DESPIECE'!$A$2:$A$225,B167,'03_DESPIECE'!$B$2:$B$225,C167)</f>
        <v>4</v>
      </c>
      <c r="G167" s="5" t="n">
        <f aca="false">E167*F167</f>
        <v>48</v>
      </c>
      <c r="H167" s="16" t="n">
        <f aca="false">SUMIFS('03_DESPIECE'!$J$2:$J$225,'03_DESPIECE'!$A$2:$A$225,B167,'03_DESPIECE'!$B$2:$B$225,C167)</f>
        <v>3.6</v>
      </c>
      <c r="I167" s="16" t="n">
        <f aca="false">E167*H167</f>
        <v>43.2</v>
      </c>
      <c r="J167" s="17" t="n">
        <f aca="false">E167*SUMIFS('03_DESPIECE'!$I$2:$I$225,'03_DESPIECE'!$A$2:$A$225,B167,'03_DESPIECE'!$B$2:$B$225,C167)</f>
        <v>0</v>
      </c>
      <c r="K167" s="19" t="n">
        <f aca="false">E167*SUMIFS('03_DESPIECE'!$K$2:$K$225,'03_DESPIECE'!$A$2:$A$225,B167,'03_DESPIECE'!$B$2:$B$225,C167)</f>
        <v>0</v>
      </c>
      <c r="L167" s="5" t="n">
        <f aca="false">SUMIFS('03_DESPIECE'!$L$2:$L$225,'03_DESPIECE'!$A$2:$A$225,B167,'03_DESPIECE'!$B$2:$B$225,C167)</f>
        <v>1</v>
      </c>
      <c r="M167" s="2" t="s">
        <v>629</v>
      </c>
    </row>
    <row r="168" customFormat="false" ht="15" hidden="false" customHeight="false" outlineLevel="0" collapsed="false">
      <c r="A168" s="2" t="s">
        <v>550</v>
      </c>
      <c r="B168" s="2" t="s">
        <v>83</v>
      </c>
      <c r="C168" s="2" t="s">
        <v>295</v>
      </c>
      <c r="D168" s="2" t="s">
        <v>184</v>
      </c>
      <c r="E168" s="5" t="n">
        <f aca="false">INDEX('08_PEDIDOS'!$D$2:$D$97,MATCH(A168,'08_PEDIDOS'!$A$2:$A$97,0))</f>
        <v>12</v>
      </c>
      <c r="F168" s="5" t="n">
        <f aca="false">SUMIFS('03_DESPIECE'!$D$2:$D$225,'03_DESPIECE'!$A$2:$A$225,B168,'03_DESPIECE'!$B$2:$B$225,C168)</f>
        <v>4</v>
      </c>
      <c r="G168" s="5" t="n">
        <f aca="false">E168*F168</f>
        <v>48</v>
      </c>
      <c r="H168" s="16" t="n">
        <f aca="false">SUMIFS('03_DESPIECE'!$J$2:$J$225,'03_DESPIECE'!$A$2:$A$225,B168,'03_DESPIECE'!$B$2:$B$225,C168)</f>
        <v>76.25</v>
      </c>
      <c r="I168" s="16" t="n">
        <f aca="false">E168*H168</f>
        <v>915</v>
      </c>
      <c r="J168" s="17" t="n">
        <f aca="false">E168*SUMIFS('03_DESPIECE'!$I$2:$I$225,'03_DESPIECE'!$A$2:$A$225,B168,'03_DESPIECE'!$B$2:$B$225,C168)</f>
        <v>144</v>
      </c>
      <c r="K168" s="19" t="n">
        <f aca="false">E168*SUMIFS('03_DESPIECE'!$K$2:$K$225,'03_DESPIECE'!$A$2:$A$225,B168,'03_DESPIECE'!$B$2:$B$225,C168)</f>
        <v>0</v>
      </c>
      <c r="L168" s="5" t="n">
        <f aca="false">SUMIFS('03_DESPIECE'!$L$2:$L$225,'03_DESPIECE'!$A$2:$A$225,B168,'03_DESPIECE'!$B$2:$B$225,C168)</f>
        <v>1</v>
      </c>
      <c r="M168" s="2" t="s">
        <v>629</v>
      </c>
    </row>
    <row r="169" customFormat="false" ht="15" hidden="false" customHeight="false" outlineLevel="0" collapsed="false">
      <c r="A169" s="2" t="s">
        <v>550</v>
      </c>
      <c r="B169" s="2" t="s">
        <v>83</v>
      </c>
      <c r="C169" s="2" t="s">
        <v>296</v>
      </c>
      <c r="D169" s="2" t="s">
        <v>184</v>
      </c>
      <c r="E169" s="5" t="n">
        <f aca="false">INDEX('08_PEDIDOS'!$D$2:$D$97,MATCH(A169,'08_PEDIDOS'!$A$2:$A$97,0))</f>
        <v>12</v>
      </c>
      <c r="F169" s="5" t="n">
        <f aca="false">SUMIFS('03_DESPIECE'!$D$2:$D$225,'03_DESPIECE'!$A$2:$A$225,B169,'03_DESPIECE'!$B$2:$B$225,C169)</f>
        <v>8</v>
      </c>
      <c r="G169" s="5" t="n">
        <f aca="false">E169*F169</f>
        <v>96</v>
      </c>
      <c r="H169" s="16" t="n">
        <f aca="false">SUMIFS('03_DESPIECE'!$J$2:$J$225,'03_DESPIECE'!$A$2:$A$225,B169,'03_DESPIECE'!$B$2:$B$225,C169)</f>
        <v>76.25</v>
      </c>
      <c r="I169" s="16" t="n">
        <f aca="false">E169*H169</f>
        <v>915</v>
      </c>
      <c r="J169" s="17" t="n">
        <f aca="false">E169*SUMIFS('03_DESPIECE'!$I$2:$I$225,'03_DESPIECE'!$A$2:$A$225,B169,'03_DESPIECE'!$B$2:$B$225,C169)</f>
        <v>144</v>
      </c>
      <c r="K169" s="19" t="n">
        <f aca="false">E169*SUMIFS('03_DESPIECE'!$K$2:$K$225,'03_DESPIECE'!$A$2:$A$225,B169,'03_DESPIECE'!$B$2:$B$225,C169)</f>
        <v>0</v>
      </c>
      <c r="L169" s="5" t="n">
        <f aca="false">SUMIFS('03_DESPIECE'!$L$2:$L$225,'03_DESPIECE'!$A$2:$A$225,B169,'03_DESPIECE'!$B$2:$B$225,C169)</f>
        <v>1</v>
      </c>
      <c r="M169" s="2" t="s">
        <v>629</v>
      </c>
    </row>
    <row r="170" customFormat="false" ht="15" hidden="false" customHeight="false" outlineLevel="0" collapsed="false">
      <c r="A170" s="2" t="s">
        <v>550</v>
      </c>
      <c r="B170" s="2" t="s">
        <v>83</v>
      </c>
      <c r="C170" s="2" t="s">
        <v>297</v>
      </c>
      <c r="D170" s="2" t="s">
        <v>184</v>
      </c>
      <c r="E170" s="5" t="n">
        <f aca="false">INDEX('08_PEDIDOS'!$D$2:$D$97,MATCH(A170,'08_PEDIDOS'!$A$2:$A$97,0))</f>
        <v>12</v>
      </c>
      <c r="F170" s="5" t="n">
        <f aca="false">SUMIFS('03_DESPIECE'!$D$2:$D$225,'03_DESPIECE'!$A$2:$A$225,B170,'03_DESPIECE'!$B$2:$B$225,C170)</f>
        <v>8</v>
      </c>
      <c r="G170" s="5" t="n">
        <f aca="false">E170*F170</f>
        <v>96</v>
      </c>
      <c r="H170" s="16" t="n">
        <f aca="false">SUMIFS('03_DESPIECE'!$J$2:$J$225,'03_DESPIECE'!$A$2:$A$225,B170,'03_DESPIECE'!$B$2:$B$225,C170)</f>
        <v>38.125</v>
      </c>
      <c r="I170" s="16" t="n">
        <f aca="false">E170*H170</f>
        <v>457.5</v>
      </c>
      <c r="J170" s="17" t="n">
        <f aca="false">E170*SUMIFS('03_DESPIECE'!$I$2:$I$225,'03_DESPIECE'!$A$2:$A$225,B170,'03_DESPIECE'!$B$2:$B$225,C170)</f>
        <v>72</v>
      </c>
      <c r="K170" s="19" t="n">
        <f aca="false">E170*SUMIFS('03_DESPIECE'!$K$2:$K$225,'03_DESPIECE'!$A$2:$A$225,B170,'03_DESPIECE'!$B$2:$B$225,C170)</f>
        <v>0</v>
      </c>
      <c r="L170" s="5" t="n">
        <f aca="false">SUMIFS('03_DESPIECE'!$L$2:$L$225,'03_DESPIECE'!$A$2:$A$225,B170,'03_DESPIECE'!$B$2:$B$225,C170)</f>
        <v>1</v>
      </c>
      <c r="M170" s="2" t="s">
        <v>629</v>
      </c>
    </row>
    <row r="171" customFormat="false" ht="15" hidden="false" customHeight="false" outlineLevel="0" collapsed="false">
      <c r="A171" s="2" t="s">
        <v>550</v>
      </c>
      <c r="B171" s="2" t="s">
        <v>83</v>
      </c>
      <c r="C171" s="2" t="s">
        <v>298</v>
      </c>
      <c r="D171" s="2" t="s">
        <v>170</v>
      </c>
      <c r="E171" s="5" t="n">
        <f aca="false">INDEX('08_PEDIDOS'!$D$2:$D$97,MATCH(A171,'08_PEDIDOS'!$A$2:$A$97,0))</f>
        <v>12</v>
      </c>
      <c r="F171" s="5" t="n">
        <f aca="false">SUMIFS('03_DESPIECE'!$D$2:$D$225,'03_DESPIECE'!$A$2:$A$225,B171,'03_DESPIECE'!$B$2:$B$225,C171)</f>
        <v>5</v>
      </c>
      <c r="G171" s="5" t="n">
        <f aca="false">E171*F171</f>
        <v>60</v>
      </c>
      <c r="H171" s="16" t="n">
        <f aca="false">SUMIFS('03_DESPIECE'!$J$2:$J$225,'03_DESPIECE'!$A$2:$A$225,B171,'03_DESPIECE'!$B$2:$B$225,C171)</f>
        <v>290.1086956522</v>
      </c>
      <c r="I171" s="16" t="n">
        <f aca="false">E171*H171</f>
        <v>3481.3043478264</v>
      </c>
      <c r="J171" s="17" t="n">
        <f aca="false">E171*SUMIFS('03_DESPIECE'!$I$2:$I$225,'03_DESPIECE'!$A$2:$A$225,B171,'03_DESPIECE'!$B$2:$B$225,C171)</f>
        <v>471</v>
      </c>
      <c r="K171" s="19" t="n">
        <f aca="false">E171*SUMIFS('03_DESPIECE'!$K$2:$K$225,'03_DESPIECE'!$A$2:$A$225,B171,'03_DESPIECE'!$B$2:$B$225,C171)</f>
        <v>10.4166666672</v>
      </c>
      <c r="L171" s="5" t="n">
        <f aca="false">SUMIFS('03_DESPIECE'!$L$2:$L$225,'03_DESPIECE'!$A$2:$A$225,B171,'03_DESPIECE'!$B$2:$B$225,C171)</f>
        <v>1</v>
      </c>
      <c r="M171" s="2" t="s">
        <v>629</v>
      </c>
    </row>
    <row r="172" customFormat="false" ht="15" hidden="false" customHeight="false" outlineLevel="0" collapsed="false">
      <c r="A172" s="2" t="s">
        <v>550</v>
      </c>
      <c r="B172" s="2" t="s">
        <v>83</v>
      </c>
      <c r="C172" s="2" t="s">
        <v>299</v>
      </c>
      <c r="D172" s="2" t="s">
        <v>170</v>
      </c>
      <c r="E172" s="5" t="n">
        <f aca="false">INDEX('08_PEDIDOS'!$D$2:$D$97,MATCH(A172,'08_PEDIDOS'!$A$2:$A$97,0))</f>
        <v>12</v>
      </c>
      <c r="F172" s="5" t="n">
        <f aca="false">SUMIFS('03_DESPIECE'!$D$2:$D$225,'03_DESPIECE'!$A$2:$A$225,B172,'03_DESPIECE'!$B$2:$B$225,C172)</f>
        <v>8</v>
      </c>
      <c r="G172" s="5" t="n">
        <f aca="false">E172*F172</f>
        <v>96</v>
      </c>
      <c r="H172" s="16" t="n">
        <f aca="false">SUMIFS('03_DESPIECE'!$J$2:$J$225,'03_DESPIECE'!$A$2:$A$225,B172,'03_DESPIECE'!$B$2:$B$225,C172)</f>
        <v>32.492173913</v>
      </c>
      <c r="I172" s="16" t="n">
        <f aca="false">E172*H172</f>
        <v>389.906086956</v>
      </c>
      <c r="J172" s="17" t="n">
        <f aca="false">E172*SUMIFS('03_DESPIECE'!$I$2:$I$225,'03_DESPIECE'!$A$2:$A$225,B172,'03_DESPIECE'!$B$2:$B$225,C172)</f>
        <v>52.752</v>
      </c>
      <c r="K172" s="19" t="n">
        <f aca="false">E172*SUMIFS('03_DESPIECE'!$K$2:$K$225,'03_DESPIECE'!$A$2:$A$225,B172,'03_DESPIECE'!$B$2:$B$225,C172)</f>
        <v>1.1666666664</v>
      </c>
      <c r="L172" s="5" t="n">
        <f aca="false">SUMIFS('03_DESPIECE'!$L$2:$L$225,'03_DESPIECE'!$A$2:$A$225,B172,'03_DESPIECE'!$B$2:$B$225,C172)</f>
        <v>1</v>
      </c>
      <c r="M172" s="2" t="s">
        <v>629</v>
      </c>
    </row>
    <row r="173" customFormat="false" ht="15" hidden="false" customHeight="false" outlineLevel="0" collapsed="false">
      <c r="A173" s="2" t="s">
        <v>550</v>
      </c>
      <c r="B173" s="2" t="s">
        <v>83</v>
      </c>
      <c r="C173" s="2" t="s">
        <v>300</v>
      </c>
      <c r="D173" s="2" t="s">
        <v>188</v>
      </c>
      <c r="E173" s="5" t="n">
        <f aca="false">INDEX('08_PEDIDOS'!$D$2:$D$97,MATCH(A173,'08_PEDIDOS'!$A$2:$A$97,0))</f>
        <v>12</v>
      </c>
      <c r="F173" s="5" t="n">
        <f aca="false">SUMIFS('03_DESPIECE'!$D$2:$D$225,'03_DESPIECE'!$A$2:$A$225,B173,'03_DESPIECE'!$B$2:$B$225,C173)</f>
        <v>28</v>
      </c>
      <c r="G173" s="5" t="n">
        <f aca="false">E173*F173</f>
        <v>336</v>
      </c>
      <c r="H173" s="16" t="n">
        <f aca="false">SUMIFS('03_DESPIECE'!$J$2:$J$225,'03_DESPIECE'!$A$2:$A$225,B173,'03_DESPIECE'!$B$2:$B$225,C173)</f>
        <v>25.2</v>
      </c>
      <c r="I173" s="16" t="n">
        <f aca="false">E173*H173</f>
        <v>302.4</v>
      </c>
      <c r="J173" s="17" t="n">
        <f aca="false">E173*SUMIFS('03_DESPIECE'!$I$2:$I$225,'03_DESPIECE'!$A$2:$A$225,B173,'03_DESPIECE'!$B$2:$B$225,C173)</f>
        <v>0</v>
      </c>
      <c r="K173" s="19" t="n">
        <f aca="false">E173*SUMIFS('03_DESPIECE'!$K$2:$K$225,'03_DESPIECE'!$A$2:$A$225,B173,'03_DESPIECE'!$B$2:$B$225,C173)</f>
        <v>0</v>
      </c>
      <c r="L173" s="5" t="n">
        <f aca="false">SUMIFS('03_DESPIECE'!$L$2:$L$225,'03_DESPIECE'!$A$2:$A$225,B173,'03_DESPIECE'!$B$2:$B$225,C173)</f>
        <v>1</v>
      </c>
      <c r="M173" s="2" t="s">
        <v>629</v>
      </c>
    </row>
    <row r="174" customFormat="false" ht="15" hidden="false" customHeight="false" outlineLevel="0" collapsed="false">
      <c r="A174" s="2" t="s">
        <v>551</v>
      </c>
      <c r="B174" s="2" t="s">
        <v>94</v>
      </c>
      <c r="C174" s="2" t="s">
        <v>301</v>
      </c>
      <c r="D174" s="2" t="s">
        <v>184</v>
      </c>
      <c r="E174" s="5" t="n">
        <f aca="false">INDEX('08_PEDIDOS'!$D$2:$D$97,MATCH(A174,'08_PEDIDOS'!$A$2:$A$97,0))</f>
        <v>6</v>
      </c>
      <c r="F174" s="5" t="n">
        <f aca="false">SUMIFS('03_DESPIECE'!$D$2:$D$225,'03_DESPIECE'!$A$2:$A$225,B174,'03_DESPIECE'!$B$2:$B$225,C174)</f>
        <v>2</v>
      </c>
      <c r="G174" s="5" t="n">
        <f aca="false">E174*F174</f>
        <v>12</v>
      </c>
      <c r="H174" s="16" t="n">
        <f aca="false">SUMIFS('03_DESPIECE'!$J$2:$J$225,'03_DESPIECE'!$A$2:$A$225,B174,'03_DESPIECE'!$B$2:$B$225,C174)</f>
        <v>31.453125</v>
      </c>
      <c r="I174" s="16" t="n">
        <f aca="false">E174*H174</f>
        <v>188.71875</v>
      </c>
      <c r="J174" s="17" t="n">
        <f aca="false">E174*SUMIFS('03_DESPIECE'!$I$2:$I$225,'03_DESPIECE'!$A$2:$A$225,B174,'03_DESPIECE'!$B$2:$B$225,C174)</f>
        <v>29.7</v>
      </c>
      <c r="K174" s="19" t="n">
        <f aca="false">E174*SUMIFS('03_DESPIECE'!$K$2:$K$225,'03_DESPIECE'!$A$2:$A$225,B174,'03_DESPIECE'!$B$2:$B$225,C174)</f>
        <v>0</v>
      </c>
      <c r="L174" s="5" t="n">
        <f aca="false">SUMIFS('03_DESPIECE'!$L$2:$L$225,'03_DESPIECE'!$A$2:$A$225,B174,'03_DESPIECE'!$B$2:$B$225,C174)</f>
        <v>1</v>
      </c>
      <c r="M174" s="2" t="s">
        <v>629</v>
      </c>
    </row>
    <row r="175" customFormat="false" ht="15" hidden="false" customHeight="false" outlineLevel="0" collapsed="false">
      <c r="A175" s="2" t="s">
        <v>551</v>
      </c>
      <c r="B175" s="2" t="s">
        <v>94</v>
      </c>
      <c r="C175" s="2" t="s">
        <v>302</v>
      </c>
      <c r="D175" s="2" t="s">
        <v>174</v>
      </c>
      <c r="E175" s="5" t="n">
        <f aca="false">INDEX('08_PEDIDOS'!$D$2:$D$97,MATCH(A175,'08_PEDIDOS'!$A$2:$A$97,0))</f>
        <v>6</v>
      </c>
      <c r="F175" s="5" t="n">
        <f aca="false">SUMIFS('03_DESPIECE'!$D$2:$D$225,'03_DESPIECE'!$A$2:$A$225,B175,'03_DESPIECE'!$B$2:$B$225,C175)</f>
        <v>2</v>
      </c>
      <c r="G175" s="5" t="n">
        <f aca="false">E175*F175</f>
        <v>12</v>
      </c>
      <c r="H175" s="16" t="n">
        <f aca="false">SUMIFS('03_DESPIECE'!$J$2:$J$225,'03_DESPIECE'!$A$2:$A$225,B175,'03_DESPIECE'!$B$2:$B$225,C175)</f>
        <v>34.8130434783</v>
      </c>
      <c r="I175" s="16" t="n">
        <f aca="false">E175*H175</f>
        <v>208.8782608698</v>
      </c>
      <c r="J175" s="17" t="n">
        <f aca="false">E175*SUMIFS('03_DESPIECE'!$I$2:$I$225,'03_DESPIECE'!$A$2:$A$225,B175,'03_DESPIECE'!$B$2:$B$225,C175)</f>
        <v>28.26</v>
      </c>
      <c r="K175" s="19" t="n">
        <f aca="false">E175*SUMIFS('03_DESPIECE'!$K$2:$K$225,'03_DESPIECE'!$A$2:$A$225,B175,'03_DESPIECE'!$B$2:$B$225,C175)</f>
        <v>1.2499999998</v>
      </c>
      <c r="L175" s="5" t="n">
        <f aca="false">SUMIFS('03_DESPIECE'!$L$2:$L$225,'03_DESPIECE'!$A$2:$A$225,B175,'03_DESPIECE'!$B$2:$B$225,C175)</f>
        <v>1</v>
      </c>
      <c r="M175" s="2" t="s">
        <v>629</v>
      </c>
    </row>
    <row r="176" customFormat="false" ht="15" hidden="false" customHeight="false" outlineLevel="0" collapsed="false">
      <c r="A176" s="2" t="s">
        <v>551</v>
      </c>
      <c r="B176" s="2" t="s">
        <v>94</v>
      </c>
      <c r="C176" s="2" t="s">
        <v>303</v>
      </c>
      <c r="D176" s="2" t="s">
        <v>174</v>
      </c>
      <c r="E176" s="5" t="n">
        <f aca="false">INDEX('08_PEDIDOS'!$D$2:$D$97,MATCH(A176,'08_PEDIDOS'!$A$2:$A$97,0))</f>
        <v>6</v>
      </c>
      <c r="F176" s="5" t="n">
        <f aca="false">SUMIFS('03_DESPIECE'!$D$2:$D$225,'03_DESPIECE'!$A$2:$A$225,B176,'03_DESPIECE'!$B$2:$B$225,C176)</f>
        <v>4</v>
      </c>
      <c r="G176" s="5" t="n">
        <f aca="false">E176*F176</f>
        <v>24</v>
      </c>
      <c r="H176" s="16" t="n">
        <f aca="false">SUMIFS('03_DESPIECE'!$J$2:$J$225,'03_DESPIECE'!$A$2:$A$225,B176,'03_DESPIECE'!$B$2:$B$225,C176)</f>
        <v>129.9686956522</v>
      </c>
      <c r="I176" s="16" t="n">
        <f aca="false">E176*H176</f>
        <v>779.8121739132</v>
      </c>
      <c r="J176" s="17" t="n">
        <f aca="false">E176*SUMIFS('03_DESPIECE'!$I$2:$I$225,'03_DESPIECE'!$A$2:$A$225,B176,'03_DESPIECE'!$B$2:$B$225,C176)</f>
        <v>105.504</v>
      </c>
      <c r="K176" s="19" t="n">
        <f aca="false">E176*SUMIFS('03_DESPIECE'!$K$2:$K$225,'03_DESPIECE'!$A$2:$A$225,B176,'03_DESPIECE'!$B$2:$B$225,C176)</f>
        <v>4.6666666668</v>
      </c>
      <c r="L176" s="5" t="n">
        <f aca="false">SUMIFS('03_DESPIECE'!$L$2:$L$225,'03_DESPIECE'!$A$2:$A$225,B176,'03_DESPIECE'!$B$2:$B$225,C176)</f>
        <v>1</v>
      </c>
      <c r="M176" s="2" t="s">
        <v>629</v>
      </c>
    </row>
    <row r="177" customFormat="false" ht="15" hidden="false" customHeight="false" outlineLevel="0" collapsed="false">
      <c r="A177" s="2" t="s">
        <v>551</v>
      </c>
      <c r="B177" s="2" t="s">
        <v>94</v>
      </c>
      <c r="C177" s="2" t="s">
        <v>304</v>
      </c>
      <c r="D177" s="2" t="s">
        <v>174</v>
      </c>
      <c r="E177" s="5" t="n">
        <f aca="false">INDEX('08_PEDIDOS'!$D$2:$D$97,MATCH(A177,'08_PEDIDOS'!$A$2:$A$97,0))</f>
        <v>6</v>
      </c>
      <c r="F177" s="5" t="n">
        <f aca="false">SUMIFS('03_DESPIECE'!$D$2:$D$225,'03_DESPIECE'!$A$2:$A$225,B177,'03_DESPIECE'!$B$2:$B$225,C177)</f>
        <v>8</v>
      </c>
      <c r="G177" s="5" t="n">
        <f aca="false">E177*F177</f>
        <v>48</v>
      </c>
      <c r="H177" s="16" t="n">
        <f aca="false">SUMIFS('03_DESPIECE'!$J$2:$J$225,'03_DESPIECE'!$A$2:$A$225,B177,'03_DESPIECE'!$B$2:$B$225,C177)</f>
        <v>185.6695652174</v>
      </c>
      <c r="I177" s="16" t="n">
        <f aca="false">E177*H177</f>
        <v>1114.0173913044</v>
      </c>
      <c r="J177" s="17" t="n">
        <f aca="false">E177*SUMIFS('03_DESPIECE'!$I$2:$I$225,'03_DESPIECE'!$A$2:$A$225,B177,'03_DESPIECE'!$B$2:$B$225,C177)</f>
        <v>150.72</v>
      </c>
      <c r="K177" s="19" t="n">
        <f aca="false">E177*SUMIFS('03_DESPIECE'!$K$2:$K$225,'03_DESPIECE'!$A$2:$A$225,B177,'03_DESPIECE'!$B$2:$B$225,C177)</f>
        <v>6.6666666666</v>
      </c>
      <c r="L177" s="5" t="n">
        <f aca="false">SUMIFS('03_DESPIECE'!$L$2:$L$225,'03_DESPIECE'!$A$2:$A$225,B177,'03_DESPIECE'!$B$2:$B$225,C177)</f>
        <v>1</v>
      </c>
      <c r="M177" s="2" t="s">
        <v>629</v>
      </c>
    </row>
    <row r="178" customFormat="false" ht="15" hidden="false" customHeight="false" outlineLevel="0" collapsed="false">
      <c r="A178" s="2" t="s">
        <v>551</v>
      </c>
      <c r="B178" s="2" t="s">
        <v>94</v>
      </c>
      <c r="C178" s="2" t="s">
        <v>305</v>
      </c>
      <c r="D178" s="2" t="s">
        <v>174</v>
      </c>
      <c r="E178" s="5" t="n">
        <f aca="false">INDEX('08_PEDIDOS'!$D$2:$D$97,MATCH(A178,'08_PEDIDOS'!$A$2:$A$97,0))</f>
        <v>6</v>
      </c>
      <c r="F178" s="5" t="n">
        <f aca="false">SUMIFS('03_DESPIECE'!$D$2:$D$225,'03_DESPIECE'!$A$2:$A$225,B178,'03_DESPIECE'!$B$2:$B$225,C178)</f>
        <v>16</v>
      </c>
      <c r="G178" s="5" t="n">
        <f aca="false">E178*F178</f>
        <v>96</v>
      </c>
      <c r="H178" s="16" t="n">
        <f aca="false">SUMIFS('03_DESPIECE'!$J$2:$J$225,'03_DESPIECE'!$A$2:$A$225,B178,'03_DESPIECE'!$B$2:$B$225,C178)</f>
        <v>37.1339130435</v>
      </c>
      <c r="I178" s="16" t="n">
        <f aca="false">E178*H178</f>
        <v>222.803478261</v>
      </c>
      <c r="J178" s="17" t="n">
        <f aca="false">E178*SUMIFS('03_DESPIECE'!$I$2:$I$225,'03_DESPIECE'!$A$2:$A$225,B178,'03_DESPIECE'!$B$2:$B$225,C178)</f>
        <v>30.144</v>
      </c>
      <c r="K178" s="19" t="n">
        <f aca="false">E178*SUMIFS('03_DESPIECE'!$K$2:$K$225,'03_DESPIECE'!$A$2:$A$225,B178,'03_DESPIECE'!$B$2:$B$225,C178)</f>
        <v>1.3333333332</v>
      </c>
      <c r="L178" s="5" t="n">
        <f aca="false">SUMIFS('03_DESPIECE'!$L$2:$L$225,'03_DESPIECE'!$A$2:$A$225,B178,'03_DESPIECE'!$B$2:$B$225,C178)</f>
        <v>1</v>
      </c>
      <c r="M178" s="2" t="s">
        <v>629</v>
      </c>
    </row>
    <row r="179" customFormat="false" ht="15" hidden="false" customHeight="false" outlineLevel="0" collapsed="false">
      <c r="A179" s="2" t="s">
        <v>551</v>
      </c>
      <c r="B179" s="2" t="s">
        <v>94</v>
      </c>
      <c r="C179" s="2" t="s">
        <v>306</v>
      </c>
      <c r="D179" s="2" t="s">
        <v>174</v>
      </c>
      <c r="E179" s="5" t="n">
        <f aca="false">INDEX('08_PEDIDOS'!$D$2:$D$97,MATCH(A179,'08_PEDIDOS'!$A$2:$A$97,0))</f>
        <v>6</v>
      </c>
      <c r="F179" s="5" t="n">
        <f aca="false">SUMIFS('03_DESPIECE'!$D$2:$D$225,'03_DESPIECE'!$A$2:$A$225,B179,'03_DESPIECE'!$B$2:$B$225,C179)</f>
        <v>2</v>
      </c>
      <c r="G179" s="5" t="n">
        <f aca="false">E179*F179</f>
        <v>12</v>
      </c>
      <c r="H179" s="16" t="n">
        <f aca="false">SUMIFS('03_DESPIECE'!$J$2:$J$225,'03_DESPIECE'!$A$2:$A$225,B179,'03_DESPIECE'!$B$2:$B$225,C179)</f>
        <v>13.9252173913</v>
      </c>
      <c r="I179" s="16" t="n">
        <f aca="false">E179*H179</f>
        <v>83.5513043478</v>
      </c>
      <c r="J179" s="17" t="n">
        <f aca="false">E179*SUMIFS('03_DESPIECE'!$I$2:$I$225,'03_DESPIECE'!$A$2:$A$225,B179,'03_DESPIECE'!$B$2:$B$225,C179)</f>
        <v>11.304</v>
      </c>
      <c r="K179" s="19" t="n">
        <f aca="false">E179*SUMIFS('03_DESPIECE'!$K$2:$K$225,'03_DESPIECE'!$A$2:$A$225,B179,'03_DESPIECE'!$B$2:$B$225,C179)</f>
        <v>0.4999999998</v>
      </c>
      <c r="L179" s="5" t="n">
        <f aca="false">SUMIFS('03_DESPIECE'!$L$2:$L$225,'03_DESPIECE'!$A$2:$A$225,B179,'03_DESPIECE'!$B$2:$B$225,C179)</f>
        <v>1</v>
      </c>
      <c r="M179" s="2" t="s">
        <v>629</v>
      </c>
    </row>
    <row r="180" customFormat="false" ht="15" hidden="false" customHeight="false" outlineLevel="0" collapsed="false">
      <c r="A180" s="2" t="s">
        <v>551</v>
      </c>
      <c r="B180" s="2" t="s">
        <v>94</v>
      </c>
      <c r="C180" s="2" t="s">
        <v>307</v>
      </c>
      <c r="D180" s="2" t="s">
        <v>188</v>
      </c>
      <c r="E180" s="5" t="n">
        <f aca="false">INDEX('08_PEDIDOS'!$D$2:$D$97,MATCH(A180,'08_PEDIDOS'!$A$2:$A$97,0))</f>
        <v>6</v>
      </c>
      <c r="F180" s="5" t="n">
        <f aca="false">SUMIFS('03_DESPIECE'!$D$2:$D$225,'03_DESPIECE'!$A$2:$A$225,B180,'03_DESPIECE'!$B$2:$B$225,C180)</f>
        <v>36</v>
      </c>
      <c r="G180" s="5" t="n">
        <f aca="false">E180*F180</f>
        <v>216</v>
      </c>
      <c r="H180" s="16" t="n">
        <f aca="false">SUMIFS('03_DESPIECE'!$J$2:$J$225,'03_DESPIECE'!$A$2:$A$225,B180,'03_DESPIECE'!$B$2:$B$225,C180)</f>
        <v>32.4</v>
      </c>
      <c r="I180" s="16" t="n">
        <f aca="false">E180*H180</f>
        <v>194.4</v>
      </c>
      <c r="J180" s="17" t="n">
        <f aca="false">E180*SUMIFS('03_DESPIECE'!$I$2:$I$225,'03_DESPIECE'!$A$2:$A$225,B180,'03_DESPIECE'!$B$2:$B$225,C180)</f>
        <v>0</v>
      </c>
      <c r="K180" s="19" t="n">
        <f aca="false">E180*SUMIFS('03_DESPIECE'!$K$2:$K$225,'03_DESPIECE'!$A$2:$A$225,B180,'03_DESPIECE'!$B$2:$B$225,C180)</f>
        <v>0</v>
      </c>
      <c r="L180" s="5" t="n">
        <f aca="false">SUMIFS('03_DESPIECE'!$L$2:$L$225,'03_DESPIECE'!$A$2:$A$225,B180,'03_DESPIECE'!$B$2:$B$225,C180)</f>
        <v>1</v>
      </c>
      <c r="M180" s="2" t="s">
        <v>629</v>
      </c>
    </row>
    <row r="181" customFormat="false" ht="15" hidden="false" customHeight="false" outlineLevel="0" collapsed="false">
      <c r="A181" s="2" t="s">
        <v>552</v>
      </c>
      <c r="B181" s="2" t="s">
        <v>96</v>
      </c>
      <c r="C181" s="2" t="s">
        <v>308</v>
      </c>
      <c r="D181" s="2" t="s">
        <v>184</v>
      </c>
      <c r="E181" s="5" t="n">
        <f aca="false">INDEX('08_PEDIDOS'!$D$2:$D$97,MATCH(A181,'08_PEDIDOS'!$A$2:$A$97,0))</f>
        <v>7</v>
      </c>
      <c r="F181" s="5" t="n">
        <f aca="false">SUMIFS('03_DESPIECE'!$D$2:$D$225,'03_DESPIECE'!$A$2:$A$225,B181,'03_DESPIECE'!$B$2:$B$225,C181)</f>
        <v>2</v>
      </c>
      <c r="G181" s="5" t="n">
        <f aca="false">E181*F181</f>
        <v>14</v>
      </c>
      <c r="H181" s="16" t="n">
        <f aca="false">SUMIFS('03_DESPIECE'!$J$2:$J$225,'03_DESPIECE'!$A$2:$A$225,B181,'03_DESPIECE'!$B$2:$B$225,C181)</f>
        <v>36.21875</v>
      </c>
      <c r="I181" s="16" t="n">
        <f aca="false">E181*H181</f>
        <v>253.53125</v>
      </c>
      <c r="J181" s="17" t="n">
        <f aca="false">E181*SUMIFS('03_DESPIECE'!$I$2:$I$225,'03_DESPIECE'!$A$2:$A$225,B181,'03_DESPIECE'!$B$2:$B$225,C181)</f>
        <v>39.9</v>
      </c>
      <c r="K181" s="19" t="n">
        <f aca="false">E181*SUMIFS('03_DESPIECE'!$K$2:$K$225,'03_DESPIECE'!$A$2:$A$225,B181,'03_DESPIECE'!$B$2:$B$225,C181)</f>
        <v>0</v>
      </c>
      <c r="L181" s="5" t="n">
        <f aca="false">SUMIFS('03_DESPIECE'!$L$2:$L$225,'03_DESPIECE'!$A$2:$A$225,B181,'03_DESPIECE'!$B$2:$B$225,C181)</f>
        <v>1</v>
      </c>
      <c r="M181" s="2" t="s">
        <v>629</v>
      </c>
    </row>
    <row r="182" customFormat="false" ht="15" hidden="false" customHeight="false" outlineLevel="0" collapsed="false">
      <c r="A182" s="2" t="s">
        <v>552</v>
      </c>
      <c r="B182" s="2" t="s">
        <v>96</v>
      </c>
      <c r="C182" s="2" t="s">
        <v>309</v>
      </c>
      <c r="D182" s="2" t="s">
        <v>174</v>
      </c>
      <c r="E182" s="5" t="n">
        <f aca="false">INDEX('08_PEDIDOS'!$D$2:$D$97,MATCH(A182,'08_PEDIDOS'!$A$2:$A$97,0))</f>
        <v>7</v>
      </c>
      <c r="F182" s="5" t="n">
        <f aca="false">SUMIFS('03_DESPIECE'!$D$2:$D$225,'03_DESPIECE'!$A$2:$A$225,B182,'03_DESPIECE'!$B$2:$B$225,C182)</f>
        <v>3</v>
      </c>
      <c r="G182" s="5" t="n">
        <f aca="false">E182*F182</f>
        <v>21</v>
      </c>
      <c r="H182" s="16" t="n">
        <f aca="false">SUMIFS('03_DESPIECE'!$J$2:$J$225,'03_DESPIECE'!$A$2:$A$225,B182,'03_DESPIECE'!$B$2:$B$225,C182)</f>
        <v>95.7358695652</v>
      </c>
      <c r="I182" s="16" t="n">
        <f aca="false">E182*H182</f>
        <v>670.1510869564</v>
      </c>
      <c r="J182" s="17" t="n">
        <f aca="false">E182*SUMIFS('03_DESPIECE'!$I$2:$I$225,'03_DESPIECE'!$A$2:$A$225,B182,'03_DESPIECE'!$B$2:$B$225,C182)</f>
        <v>90.6675</v>
      </c>
      <c r="K182" s="19" t="n">
        <f aca="false">E182*SUMIFS('03_DESPIECE'!$K$2:$K$225,'03_DESPIECE'!$A$2:$A$225,B182,'03_DESPIECE'!$B$2:$B$225,C182)</f>
        <v>4.0104166669</v>
      </c>
      <c r="L182" s="5" t="n">
        <f aca="false">SUMIFS('03_DESPIECE'!$L$2:$L$225,'03_DESPIECE'!$A$2:$A$225,B182,'03_DESPIECE'!$B$2:$B$225,C182)</f>
        <v>1</v>
      </c>
      <c r="M182" s="2" t="s">
        <v>629</v>
      </c>
    </row>
    <row r="183" customFormat="false" ht="15" hidden="false" customHeight="false" outlineLevel="0" collapsed="false">
      <c r="A183" s="2" t="s">
        <v>552</v>
      </c>
      <c r="B183" s="2" t="s">
        <v>96</v>
      </c>
      <c r="C183" s="2" t="s">
        <v>310</v>
      </c>
      <c r="D183" s="2" t="s">
        <v>174</v>
      </c>
      <c r="E183" s="5" t="n">
        <f aca="false">INDEX('08_PEDIDOS'!$D$2:$D$97,MATCH(A183,'08_PEDIDOS'!$A$2:$A$97,0))</f>
        <v>7</v>
      </c>
      <c r="F183" s="5" t="n">
        <f aca="false">SUMIFS('03_DESPIECE'!$D$2:$D$225,'03_DESPIECE'!$A$2:$A$225,B183,'03_DESPIECE'!$B$2:$B$225,C183)</f>
        <v>5</v>
      </c>
      <c r="G183" s="5" t="n">
        <f aca="false">E183*F183</f>
        <v>35</v>
      </c>
      <c r="H183" s="16" t="n">
        <f aca="false">SUMIFS('03_DESPIECE'!$J$2:$J$225,'03_DESPIECE'!$A$2:$A$225,B183,'03_DESPIECE'!$B$2:$B$225,C183)</f>
        <v>121.8456521739</v>
      </c>
      <c r="I183" s="16" t="n">
        <f aca="false">E183*H183</f>
        <v>852.9195652173</v>
      </c>
      <c r="J183" s="17" t="n">
        <f aca="false">E183*SUMIFS('03_DESPIECE'!$I$2:$I$225,'03_DESPIECE'!$A$2:$A$225,B183,'03_DESPIECE'!$B$2:$B$225,C183)</f>
        <v>115.395</v>
      </c>
      <c r="K183" s="19" t="n">
        <f aca="false">E183*SUMIFS('03_DESPIECE'!$K$2:$K$225,'03_DESPIECE'!$A$2:$A$225,B183,'03_DESPIECE'!$B$2:$B$225,C183)</f>
        <v>5.1041666669</v>
      </c>
      <c r="L183" s="5" t="n">
        <f aca="false">SUMIFS('03_DESPIECE'!$L$2:$L$225,'03_DESPIECE'!$A$2:$A$225,B183,'03_DESPIECE'!$B$2:$B$225,C183)</f>
        <v>1</v>
      </c>
      <c r="M183" s="2" t="s">
        <v>629</v>
      </c>
    </row>
    <row r="184" customFormat="false" ht="15" hidden="false" customHeight="false" outlineLevel="0" collapsed="false">
      <c r="A184" s="2" t="s">
        <v>552</v>
      </c>
      <c r="B184" s="2" t="s">
        <v>96</v>
      </c>
      <c r="C184" s="2" t="s">
        <v>311</v>
      </c>
      <c r="D184" s="2" t="s">
        <v>174</v>
      </c>
      <c r="E184" s="5" t="n">
        <f aca="false">INDEX('08_PEDIDOS'!$D$2:$D$97,MATCH(A184,'08_PEDIDOS'!$A$2:$A$97,0))</f>
        <v>7</v>
      </c>
      <c r="F184" s="5" t="n">
        <f aca="false">SUMIFS('03_DESPIECE'!$D$2:$D$225,'03_DESPIECE'!$A$2:$A$225,B184,'03_DESPIECE'!$B$2:$B$225,C184)</f>
        <v>10</v>
      </c>
      <c r="G184" s="5" t="n">
        <f aca="false">E184*F184</f>
        <v>70</v>
      </c>
      <c r="H184" s="16" t="n">
        <f aca="false">SUMIFS('03_DESPIECE'!$J$2:$J$225,'03_DESPIECE'!$A$2:$A$225,B184,'03_DESPIECE'!$B$2:$B$225,C184)</f>
        <v>23.2086956522</v>
      </c>
      <c r="I184" s="16" t="n">
        <f aca="false">E184*H184</f>
        <v>162.4608695654</v>
      </c>
      <c r="J184" s="17" t="n">
        <f aca="false">E184*SUMIFS('03_DESPIECE'!$I$2:$I$225,'03_DESPIECE'!$A$2:$A$225,B184,'03_DESPIECE'!$B$2:$B$225,C184)</f>
        <v>21.98</v>
      </c>
      <c r="K184" s="19" t="n">
        <f aca="false">E184*SUMIFS('03_DESPIECE'!$K$2:$K$225,'03_DESPIECE'!$A$2:$A$225,B184,'03_DESPIECE'!$B$2:$B$225,C184)</f>
        <v>0.9722222223</v>
      </c>
      <c r="L184" s="5" t="n">
        <f aca="false">SUMIFS('03_DESPIECE'!$L$2:$L$225,'03_DESPIECE'!$A$2:$A$225,B184,'03_DESPIECE'!$B$2:$B$225,C184)</f>
        <v>1</v>
      </c>
      <c r="M184" s="2" t="s">
        <v>629</v>
      </c>
    </row>
    <row r="185" customFormat="false" ht="15" hidden="false" customHeight="false" outlineLevel="0" collapsed="false">
      <c r="A185" s="2" t="s">
        <v>552</v>
      </c>
      <c r="B185" s="2" t="s">
        <v>96</v>
      </c>
      <c r="C185" s="2" t="s">
        <v>312</v>
      </c>
      <c r="D185" s="2" t="s">
        <v>174</v>
      </c>
      <c r="E185" s="5" t="n">
        <f aca="false">INDEX('08_PEDIDOS'!$D$2:$D$97,MATCH(A185,'08_PEDIDOS'!$A$2:$A$97,0))</f>
        <v>7</v>
      </c>
      <c r="F185" s="5" t="n">
        <f aca="false">SUMIFS('03_DESPIECE'!$D$2:$D$225,'03_DESPIECE'!$A$2:$A$225,B185,'03_DESPIECE'!$B$2:$B$225,C185)</f>
        <v>2</v>
      </c>
      <c r="G185" s="5" t="n">
        <f aca="false">E185*F185</f>
        <v>14</v>
      </c>
      <c r="H185" s="16" t="n">
        <f aca="false">SUMIFS('03_DESPIECE'!$J$2:$J$225,'03_DESPIECE'!$A$2:$A$225,B185,'03_DESPIECE'!$B$2:$B$225,C185)</f>
        <v>29.0108695652</v>
      </c>
      <c r="I185" s="16" t="n">
        <f aca="false">E185*H185</f>
        <v>203.0760869564</v>
      </c>
      <c r="J185" s="17" t="n">
        <f aca="false">E185*SUMIFS('03_DESPIECE'!$I$2:$I$225,'03_DESPIECE'!$A$2:$A$225,B185,'03_DESPIECE'!$B$2:$B$225,C185)</f>
        <v>27.475</v>
      </c>
      <c r="K185" s="19" t="n">
        <f aca="false">E185*SUMIFS('03_DESPIECE'!$K$2:$K$225,'03_DESPIECE'!$A$2:$A$225,B185,'03_DESPIECE'!$B$2:$B$225,C185)</f>
        <v>1.2152777777</v>
      </c>
      <c r="L185" s="5" t="n">
        <f aca="false">SUMIFS('03_DESPIECE'!$L$2:$L$225,'03_DESPIECE'!$A$2:$A$225,B185,'03_DESPIECE'!$B$2:$B$225,C185)</f>
        <v>1</v>
      </c>
      <c r="M185" s="2" t="s">
        <v>629</v>
      </c>
    </row>
    <row r="186" customFormat="false" ht="15" hidden="false" customHeight="false" outlineLevel="0" collapsed="false">
      <c r="A186" s="2" t="s">
        <v>552</v>
      </c>
      <c r="B186" s="2" t="s">
        <v>96</v>
      </c>
      <c r="C186" s="2" t="s">
        <v>313</v>
      </c>
      <c r="D186" s="2" t="s">
        <v>188</v>
      </c>
      <c r="E186" s="5" t="n">
        <f aca="false">INDEX('08_PEDIDOS'!$D$2:$D$97,MATCH(A186,'08_PEDIDOS'!$A$2:$A$97,0))</f>
        <v>7</v>
      </c>
      <c r="F186" s="5" t="n">
        <f aca="false">SUMIFS('03_DESPIECE'!$D$2:$D$225,'03_DESPIECE'!$A$2:$A$225,B186,'03_DESPIECE'!$B$2:$B$225,C186)</f>
        <v>26</v>
      </c>
      <c r="G186" s="5" t="n">
        <f aca="false">E186*F186</f>
        <v>182</v>
      </c>
      <c r="H186" s="16" t="n">
        <f aca="false">SUMIFS('03_DESPIECE'!$J$2:$J$225,'03_DESPIECE'!$A$2:$A$225,B186,'03_DESPIECE'!$B$2:$B$225,C186)</f>
        <v>23.4</v>
      </c>
      <c r="I186" s="16" t="n">
        <f aca="false">E186*H186</f>
        <v>163.8</v>
      </c>
      <c r="J186" s="17" t="n">
        <f aca="false">E186*SUMIFS('03_DESPIECE'!$I$2:$I$225,'03_DESPIECE'!$A$2:$A$225,B186,'03_DESPIECE'!$B$2:$B$225,C186)</f>
        <v>0</v>
      </c>
      <c r="K186" s="19" t="n">
        <f aca="false">E186*SUMIFS('03_DESPIECE'!$K$2:$K$225,'03_DESPIECE'!$A$2:$A$225,B186,'03_DESPIECE'!$B$2:$B$225,C186)</f>
        <v>0</v>
      </c>
      <c r="L186" s="5" t="n">
        <f aca="false">SUMIFS('03_DESPIECE'!$L$2:$L$225,'03_DESPIECE'!$A$2:$A$225,B186,'03_DESPIECE'!$B$2:$B$225,C186)</f>
        <v>1</v>
      </c>
      <c r="M186" s="2" t="s">
        <v>629</v>
      </c>
    </row>
    <row r="187" customFormat="false" ht="15" hidden="false" customHeight="false" outlineLevel="0" collapsed="false">
      <c r="A187" s="2" t="s">
        <v>553</v>
      </c>
      <c r="B187" s="2" t="s">
        <v>106</v>
      </c>
      <c r="C187" s="2" t="s">
        <v>314</v>
      </c>
      <c r="D187" s="2" t="s">
        <v>176</v>
      </c>
      <c r="E187" s="5" t="n">
        <f aca="false">INDEX('08_PEDIDOS'!$D$2:$D$97,MATCH(A187,'08_PEDIDOS'!$A$2:$A$97,0))</f>
        <v>5</v>
      </c>
      <c r="F187" s="5" t="n">
        <f aca="false">SUMIFS('03_DESPIECE'!$D$2:$D$225,'03_DESPIECE'!$A$2:$A$225,B187,'03_DESPIECE'!$B$2:$B$225,C187)</f>
        <v>2</v>
      </c>
      <c r="G187" s="5" t="n">
        <f aca="false">E187*F187</f>
        <v>10</v>
      </c>
      <c r="H187" s="16" t="n">
        <f aca="false">SUMIFS('03_DESPIECE'!$J$2:$J$225,'03_DESPIECE'!$A$2:$A$225,B187,'03_DESPIECE'!$B$2:$B$225,C187)</f>
        <v>165.3619565217</v>
      </c>
      <c r="I187" s="16" t="n">
        <f aca="false">E187*H187</f>
        <v>826.8097826085</v>
      </c>
      <c r="J187" s="17" t="n">
        <f aca="false">E187*SUMIFS('03_DESPIECE'!$I$2:$I$225,'03_DESPIECE'!$A$2:$A$225,B187,'03_DESPIECE'!$B$2:$B$225,C187)</f>
        <v>111.8625</v>
      </c>
      <c r="K187" s="19" t="n">
        <f aca="false">E187*SUMIFS('03_DESPIECE'!$K$2:$K$225,'03_DESPIECE'!$A$2:$A$225,B187,'03_DESPIECE'!$B$2:$B$225,C187)</f>
        <v>3.298611111</v>
      </c>
      <c r="L187" s="5" t="n">
        <f aca="false">SUMIFS('03_DESPIECE'!$L$2:$L$225,'03_DESPIECE'!$A$2:$A$225,B187,'03_DESPIECE'!$B$2:$B$225,C187)</f>
        <v>1</v>
      </c>
      <c r="M187" s="2" t="s">
        <v>629</v>
      </c>
    </row>
    <row r="188" customFormat="false" ht="15" hidden="false" customHeight="false" outlineLevel="0" collapsed="false">
      <c r="A188" s="2" t="s">
        <v>553</v>
      </c>
      <c r="B188" s="2" t="s">
        <v>106</v>
      </c>
      <c r="C188" s="2" t="s">
        <v>315</v>
      </c>
      <c r="D188" s="2" t="s">
        <v>176</v>
      </c>
      <c r="E188" s="5" t="n">
        <f aca="false">INDEX('08_PEDIDOS'!$D$2:$D$97,MATCH(A188,'08_PEDIDOS'!$A$2:$A$97,0))</f>
        <v>5</v>
      </c>
      <c r="F188" s="5" t="n">
        <f aca="false">SUMIFS('03_DESPIECE'!$D$2:$D$225,'03_DESPIECE'!$A$2:$A$225,B188,'03_DESPIECE'!$B$2:$B$225,C188)</f>
        <v>2</v>
      </c>
      <c r="G188" s="5" t="n">
        <f aca="false">E188*F188</f>
        <v>10</v>
      </c>
      <c r="H188" s="16" t="n">
        <f aca="false">SUMIFS('03_DESPIECE'!$J$2:$J$225,'03_DESPIECE'!$A$2:$A$225,B188,'03_DESPIECE'!$B$2:$B$225,C188)</f>
        <v>60.922826087</v>
      </c>
      <c r="I188" s="16" t="n">
        <f aca="false">E188*H188</f>
        <v>304.614130435</v>
      </c>
      <c r="J188" s="17" t="n">
        <f aca="false">E188*SUMIFS('03_DESPIECE'!$I$2:$I$225,'03_DESPIECE'!$A$2:$A$225,B188,'03_DESPIECE'!$B$2:$B$225,C188)</f>
        <v>41.2125</v>
      </c>
      <c r="K188" s="19" t="n">
        <f aca="false">E188*SUMIFS('03_DESPIECE'!$K$2:$K$225,'03_DESPIECE'!$A$2:$A$225,B188,'03_DESPIECE'!$B$2:$B$225,C188)</f>
        <v>1.215277778</v>
      </c>
      <c r="L188" s="5" t="n">
        <f aca="false">SUMIFS('03_DESPIECE'!$L$2:$L$225,'03_DESPIECE'!$A$2:$A$225,B188,'03_DESPIECE'!$B$2:$B$225,C188)</f>
        <v>1</v>
      </c>
      <c r="M188" s="2" t="s">
        <v>629</v>
      </c>
    </row>
    <row r="189" customFormat="false" ht="15" hidden="false" customHeight="false" outlineLevel="0" collapsed="false">
      <c r="A189" s="2" t="s">
        <v>553</v>
      </c>
      <c r="B189" s="2" t="s">
        <v>106</v>
      </c>
      <c r="C189" s="2" t="s">
        <v>316</v>
      </c>
      <c r="D189" s="2" t="s">
        <v>176</v>
      </c>
      <c r="E189" s="5" t="n">
        <f aca="false">INDEX('08_PEDIDOS'!$D$2:$D$97,MATCH(A189,'08_PEDIDOS'!$A$2:$A$97,0))</f>
        <v>5</v>
      </c>
      <c r="F189" s="5" t="n">
        <f aca="false">SUMIFS('03_DESPIECE'!$D$2:$D$225,'03_DESPIECE'!$A$2:$A$225,B189,'03_DESPIECE'!$B$2:$B$225,C189)</f>
        <v>1</v>
      </c>
      <c r="G189" s="5" t="n">
        <f aca="false">E189*F189</f>
        <v>5</v>
      </c>
      <c r="H189" s="16" t="n">
        <f aca="false">SUMIFS('03_DESPIECE'!$J$2:$J$225,'03_DESPIECE'!$A$2:$A$225,B189,'03_DESPIECE'!$B$2:$B$225,C189)</f>
        <v>147.9554347826</v>
      </c>
      <c r="I189" s="16" t="n">
        <f aca="false">E189*H189</f>
        <v>739.777173913</v>
      </c>
      <c r="J189" s="17" t="n">
        <f aca="false">E189*SUMIFS('03_DESPIECE'!$I$2:$I$225,'03_DESPIECE'!$A$2:$A$225,B189,'03_DESPIECE'!$B$2:$B$225,C189)</f>
        <v>100.0875</v>
      </c>
      <c r="K189" s="19" t="n">
        <f aca="false">E189*SUMIFS('03_DESPIECE'!$K$2:$K$225,'03_DESPIECE'!$A$2:$A$225,B189,'03_DESPIECE'!$B$2:$B$225,C189)</f>
        <v>2.951388889</v>
      </c>
      <c r="L189" s="5" t="n">
        <f aca="false">SUMIFS('03_DESPIECE'!$L$2:$L$225,'03_DESPIECE'!$A$2:$A$225,B189,'03_DESPIECE'!$B$2:$B$225,C189)</f>
        <v>1</v>
      </c>
      <c r="M189" s="2" t="s">
        <v>629</v>
      </c>
    </row>
    <row r="190" customFormat="false" ht="15" hidden="false" customHeight="false" outlineLevel="0" collapsed="false">
      <c r="A190" s="2" t="s">
        <v>553</v>
      </c>
      <c r="B190" s="2" t="s">
        <v>106</v>
      </c>
      <c r="C190" s="2" t="s">
        <v>317</v>
      </c>
      <c r="D190" s="2" t="s">
        <v>176</v>
      </c>
      <c r="E190" s="5" t="n">
        <f aca="false">INDEX('08_PEDIDOS'!$D$2:$D$97,MATCH(A190,'08_PEDIDOS'!$A$2:$A$97,0))</f>
        <v>5</v>
      </c>
      <c r="F190" s="5" t="n">
        <f aca="false">SUMIFS('03_DESPIECE'!$D$2:$D$225,'03_DESPIECE'!$A$2:$A$225,B190,'03_DESPIECE'!$B$2:$B$225,C190)</f>
        <v>4</v>
      </c>
      <c r="G190" s="5" t="n">
        <f aca="false">E190*F190</f>
        <v>20</v>
      </c>
      <c r="H190" s="16" t="n">
        <f aca="false">SUMIFS('03_DESPIECE'!$J$2:$J$225,'03_DESPIECE'!$A$2:$A$225,B190,'03_DESPIECE'!$B$2:$B$225,C190)</f>
        <v>128.8082608696</v>
      </c>
      <c r="I190" s="16" t="n">
        <f aca="false">E190*H190</f>
        <v>644.041304348</v>
      </c>
      <c r="J190" s="17" t="n">
        <f aca="false">E190*SUMIFS('03_DESPIECE'!$I$2:$I$225,'03_DESPIECE'!$A$2:$A$225,B190,'03_DESPIECE'!$B$2:$B$225,C190)</f>
        <v>87.135</v>
      </c>
      <c r="K190" s="19" t="n">
        <f aca="false">E190*SUMIFS('03_DESPIECE'!$K$2:$K$225,'03_DESPIECE'!$A$2:$A$225,B190,'03_DESPIECE'!$B$2:$B$225,C190)</f>
        <v>2.5694444445</v>
      </c>
      <c r="L190" s="5" t="n">
        <f aca="false">SUMIFS('03_DESPIECE'!$L$2:$L$225,'03_DESPIECE'!$A$2:$A$225,B190,'03_DESPIECE'!$B$2:$B$225,C190)</f>
        <v>1</v>
      </c>
      <c r="M190" s="2" t="s">
        <v>629</v>
      </c>
    </row>
    <row r="191" customFormat="false" ht="15" hidden="false" customHeight="false" outlineLevel="0" collapsed="false">
      <c r="A191" s="2" t="s">
        <v>553</v>
      </c>
      <c r="B191" s="2" t="s">
        <v>106</v>
      </c>
      <c r="C191" s="2" t="s">
        <v>318</v>
      </c>
      <c r="D191" s="2" t="s">
        <v>176</v>
      </c>
      <c r="E191" s="5" t="n">
        <f aca="false">INDEX('08_PEDIDOS'!$D$2:$D$97,MATCH(A191,'08_PEDIDOS'!$A$2:$A$97,0))</f>
        <v>5</v>
      </c>
      <c r="F191" s="5" t="n">
        <f aca="false">SUMIFS('03_DESPIECE'!$D$2:$D$225,'03_DESPIECE'!$A$2:$A$225,B191,'03_DESPIECE'!$B$2:$B$225,C191)</f>
        <v>3</v>
      </c>
      <c r="G191" s="5" t="n">
        <f aca="false">E191*F191</f>
        <v>15</v>
      </c>
      <c r="H191" s="16" t="n">
        <f aca="false">SUMIFS('03_DESPIECE'!$J$2:$J$225,'03_DESPIECE'!$A$2:$A$225,B191,'03_DESPIECE'!$B$2:$B$225,C191)</f>
        <v>91.3842391304</v>
      </c>
      <c r="I191" s="16" t="n">
        <f aca="false">E191*H191</f>
        <v>456.921195652</v>
      </c>
      <c r="J191" s="17" t="n">
        <f aca="false">E191*SUMIFS('03_DESPIECE'!$I$2:$I$225,'03_DESPIECE'!$A$2:$A$225,B191,'03_DESPIECE'!$B$2:$B$225,C191)</f>
        <v>61.81875</v>
      </c>
      <c r="K191" s="19" t="n">
        <f aca="false">E191*SUMIFS('03_DESPIECE'!$K$2:$K$225,'03_DESPIECE'!$A$2:$A$225,B191,'03_DESPIECE'!$B$2:$B$225,C191)</f>
        <v>1.8229166665</v>
      </c>
      <c r="L191" s="5" t="n">
        <f aca="false">SUMIFS('03_DESPIECE'!$L$2:$L$225,'03_DESPIECE'!$A$2:$A$225,B191,'03_DESPIECE'!$B$2:$B$225,C191)</f>
        <v>1</v>
      </c>
      <c r="M191" s="2" t="s">
        <v>629</v>
      </c>
    </row>
    <row r="192" customFormat="false" ht="15" hidden="false" customHeight="false" outlineLevel="0" collapsed="false">
      <c r="A192" s="2" t="s">
        <v>553</v>
      </c>
      <c r="B192" s="2" t="s">
        <v>106</v>
      </c>
      <c r="C192" s="2" t="s">
        <v>319</v>
      </c>
      <c r="D192" s="2" t="s">
        <v>188</v>
      </c>
      <c r="E192" s="5" t="n">
        <f aca="false">INDEX('08_PEDIDOS'!$D$2:$D$97,MATCH(A192,'08_PEDIDOS'!$A$2:$A$97,0))</f>
        <v>5</v>
      </c>
      <c r="F192" s="5" t="n">
        <f aca="false">SUMIFS('03_DESPIECE'!$D$2:$D$225,'03_DESPIECE'!$A$2:$A$225,B192,'03_DESPIECE'!$B$2:$B$225,C192)</f>
        <v>8</v>
      </c>
      <c r="G192" s="5" t="n">
        <f aca="false">E192*F192</f>
        <v>40</v>
      </c>
      <c r="H192" s="16" t="n">
        <f aca="false">SUMIFS('03_DESPIECE'!$J$2:$J$225,'03_DESPIECE'!$A$2:$A$225,B192,'03_DESPIECE'!$B$2:$B$225,C192)</f>
        <v>7.2</v>
      </c>
      <c r="I192" s="16" t="n">
        <f aca="false">E192*H192</f>
        <v>36</v>
      </c>
      <c r="J192" s="17" t="n">
        <f aca="false">E192*SUMIFS('03_DESPIECE'!$I$2:$I$225,'03_DESPIECE'!$A$2:$A$225,B192,'03_DESPIECE'!$B$2:$B$225,C192)</f>
        <v>0</v>
      </c>
      <c r="K192" s="19" t="n">
        <f aca="false">E192*SUMIFS('03_DESPIECE'!$K$2:$K$225,'03_DESPIECE'!$A$2:$A$225,B192,'03_DESPIECE'!$B$2:$B$225,C192)</f>
        <v>0</v>
      </c>
      <c r="L192" s="5" t="n">
        <f aca="false">SUMIFS('03_DESPIECE'!$L$2:$L$225,'03_DESPIECE'!$A$2:$A$225,B192,'03_DESPIECE'!$B$2:$B$225,C192)</f>
        <v>1</v>
      </c>
      <c r="M192" s="2" t="s">
        <v>629</v>
      </c>
    </row>
    <row r="193" customFormat="false" ht="15" hidden="false" customHeight="false" outlineLevel="0" collapsed="false">
      <c r="A193" s="2" t="s">
        <v>553</v>
      </c>
      <c r="B193" s="2" t="s">
        <v>106</v>
      </c>
      <c r="C193" s="2" t="s">
        <v>320</v>
      </c>
      <c r="D193" s="2" t="s">
        <v>188</v>
      </c>
      <c r="E193" s="5" t="n">
        <f aca="false">INDEX('08_PEDIDOS'!$D$2:$D$97,MATCH(A193,'08_PEDIDOS'!$A$2:$A$97,0))</f>
        <v>5</v>
      </c>
      <c r="F193" s="5" t="n">
        <f aca="false">SUMIFS('03_DESPIECE'!$D$2:$D$225,'03_DESPIECE'!$A$2:$A$225,B193,'03_DESPIECE'!$B$2:$B$225,C193)</f>
        <v>4</v>
      </c>
      <c r="G193" s="5" t="n">
        <f aca="false">E193*F193</f>
        <v>20</v>
      </c>
      <c r="H193" s="16" t="n">
        <f aca="false">SUMIFS('03_DESPIECE'!$J$2:$J$225,'03_DESPIECE'!$A$2:$A$225,B193,'03_DESPIECE'!$B$2:$B$225,C193)</f>
        <v>3.6</v>
      </c>
      <c r="I193" s="16" t="n">
        <f aca="false">E193*H193</f>
        <v>18</v>
      </c>
      <c r="J193" s="17" t="n">
        <f aca="false">E193*SUMIFS('03_DESPIECE'!$I$2:$I$225,'03_DESPIECE'!$A$2:$A$225,B193,'03_DESPIECE'!$B$2:$B$225,C193)</f>
        <v>0</v>
      </c>
      <c r="K193" s="19" t="n">
        <f aca="false">E193*SUMIFS('03_DESPIECE'!$K$2:$K$225,'03_DESPIECE'!$A$2:$A$225,B193,'03_DESPIECE'!$B$2:$B$225,C193)</f>
        <v>0</v>
      </c>
      <c r="L193" s="5" t="n">
        <f aca="false">SUMIFS('03_DESPIECE'!$L$2:$L$225,'03_DESPIECE'!$A$2:$A$225,B193,'03_DESPIECE'!$B$2:$B$225,C193)</f>
        <v>1</v>
      </c>
      <c r="M193" s="2" t="s">
        <v>629</v>
      </c>
    </row>
    <row r="194" customFormat="false" ht="15" hidden="false" customHeight="false" outlineLevel="0" collapsed="false">
      <c r="A194" s="2" t="s">
        <v>554</v>
      </c>
      <c r="B194" s="2" t="s">
        <v>108</v>
      </c>
      <c r="C194" s="2" t="s">
        <v>321</v>
      </c>
      <c r="D194" s="2" t="s">
        <v>176</v>
      </c>
      <c r="E194" s="5" t="n">
        <f aca="false">INDEX('08_PEDIDOS'!$D$2:$D$97,MATCH(A194,'08_PEDIDOS'!$A$2:$A$97,0))</f>
        <v>6</v>
      </c>
      <c r="F194" s="5" t="n">
        <f aca="false">SUMIFS('03_DESPIECE'!$D$2:$D$225,'03_DESPIECE'!$A$2:$A$225,B194,'03_DESPIECE'!$B$2:$B$225,C194)</f>
        <v>2</v>
      </c>
      <c r="G194" s="5" t="n">
        <f aca="false">E194*F194</f>
        <v>12</v>
      </c>
      <c r="H194" s="16" t="n">
        <f aca="false">SUMIFS('03_DESPIECE'!$J$2:$J$225,'03_DESPIECE'!$A$2:$A$225,B194,'03_DESPIECE'!$B$2:$B$225,C194)</f>
        <v>191.4717391304</v>
      </c>
      <c r="I194" s="16" t="n">
        <f aca="false">E194*H194</f>
        <v>1148.8304347824</v>
      </c>
      <c r="J194" s="17" t="n">
        <f aca="false">E194*SUMIFS('03_DESPIECE'!$I$2:$I$225,'03_DESPIECE'!$A$2:$A$225,B194,'03_DESPIECE'!$B$2:$B$225,C194)</f>
        <v>155.43</v>
      </c>
      <c r="K194" s="19" t="n">
        <f aca="false">E194*SUMIFS('03_DESPIECE'!$K$2:$K$225,'03_DESPIECE'!$A$2:$A$225,B194,'03_DESPIECE'!$B$2:$B$225,C194)</f>
        <v>4.5833333334</v>
      </c>
      <c r="L194" s="5" t="n">
        <f aca="false">SUMIFS('03_DESPIECE'!$L$2:$L$225,'03_DESPIECE'!$A$2:$A$225,B194,'03_DESPIECE'!$B$2:$B$225,C194)</f>
        <v>1</v>
      </c>
      <c r="M194" s="2" t="s">
        <v>629</v>
      </c>
    </row>
    <row r="195" customFormat="false" ht="15" hidden="false" customHeight="false" outlineLevel="0" collapsed="false">
      <c r="A195" s="2" t="s">
        <v>554</v>
      </c>
      <c r="B195" s="2" t="s">
        <v>108</v>
      </c>
      <c r="C195" s="2" t="s">
        <v>322</v>
      </c>
      <c r="D195" s="2" t="s">
        <v>176</v>
      </c>
      <c r="E195" s="5" t="n">
        <f aca="false">INDEX('08_PEDIDOS'!$D$2:$D$97,MATCH(A195,'08_PEDIDOS'!$A$2:$A$97,0))</f>
        <v>6</v>
      </c>
      <c r="F195" s="5" t="n">
        <f aca="false">SUMIFS('03_DESPIECE'!$D$2:$D$225,'03_DESPIECE'!$A$2:$A$225,B195,'03_DESPIECE'!$B$2:$B$225,C195)</f>
        <v>2</v>
      </c>
      <c r="G195" s="5" t="n">
        <f aca="false">E195*F195</f>
        <v>12</v>
      </c>
      <c r="H195" s="16" t="n">
        <f aca="false">SUMIFS('03_DESPIECE'!$J$2:$J$225,'03_DESPIECE'!$A$2:$A$225,B195,'03_DESPIECE'!$B$2:$B$225,C195)</f>
        <v>83.5513043478</v>
      </c>
      <c r="I195" s="16" t="n">
        <f aca="false">E195*H195</f>
        <v>501.3078260868</v>
      </c>
      <c r="J195" s="17" t="n">
        <f aca="false">E195*SUMIFS('03_DESPIECE'!$I$2:$I$225,'03_DESPIECE'!$A$2:$A$225,B195,'03_DESPIECE'!$B$2:$B$225,C195)</f>
        <v>67.824</v>
      </c>
      <c r="K195" s="19" t="n">
        <f aca="false">E195*SUMIFS('03_DESPIECE'!$K$2:$K$225,'03_DESPIECE'!$A$2:$A$225,B195,'03_DESPIECE'!$B$2:$B$225,C195)</f>
        <v>1.9999999998</v>
      </c>
      <c r="L195" s="5" t="n">
        <f aca="false">SUMIFS('03_DESPIECE'!$L$2:$L$225,'03_DESPIECE'!$A$2:$A$225,B195,'03_DESPIECE'!$B$2:$B$225,C195)</f>
        <v>1</v>
      </c>
      <c r="M195" s="2" t="s">
        <v>629</v>
      </c>
    </row>
    <row r="196" customFormat="false" ht="15" hidden="false" customHeight="false" outlineLevel="0" collapsed="false">
      <c r="A196" s="2" t="s">
        <v>554</v>
      </c>
      <c r="B196" s="2" t="s">
        <v>108</v>
      </c>
      <c r="C196" s="2" t="s">
        <v>323</v>
      </c>
      <c r="D196" s="2" t="s">
        <v>176</v>
      </c>
      <c r="E196" s="5" t="n">
        <f aca="false">INDEX('08_PEDIDOS'!$D$2:$D$97,MATCH(A196,'08_PEDIDOS'!$A$2:$A$97,0))</f>
        <v>6</v>
      </c>
      <c r="F196" s="5" t="n">
        <f aca="false">SUMIFS('03_DESPIECE'!$D$2:$D$225,'03_DESPIECE'!$A$2:$A$225,B196,'03_DESPIECE'!$B$2:$B$225,C196)</f>
        <v>1</v>
      </c>
      <c r="G196" s="5" t="n">
        <f aca="false">E196*F196</f>
        <v>6</v>
      </c>
      <c r="H196" s="16" t="n">
        <f aca="false">SUMIFS('03_DESPIECE'!$J$2:$J$225,'03_DESPIECE'!$A$2:$A$225,B196,'03_DESPIECE'!$B$2:$B$225,C196)</f>
        <v>156.6586956522</v>
      </c>
      <c r="I196" s="16" t="n">
        <f aca="false">E196*H196</f>
        <v>939.9521739132</v>
      </c>
      <c r="J196" s="17" t="n">
        <f aca="false">E196*SUMIFS('03_DESPIECE'!$I$2:$I$225,'03_DESPIECE'!$A$2:$A$225,B196,'03_DESPIECE'!$B$2:$B$225,C196)</f>
        <v>127.17</v>
      </c>
      <c r="K196" s="19" t="n">
        <f aca="false">E196*SUMIFS('03_DESPIECE'!$K$2:$K$225,'03_DESPIECE'!$A$2:$A$225,B196,'03_DESPIECE'!$B$2:$B$225,C196)</f>
        <v>3.75</v>
      </c>
      <c r="L196" s="5" t="n">
        <f aca="false">SUMIFS('03_DESPIECE'!$L$2:$L$225,'03_DESPIECE'!$A$2:$A$225,B196,'03_DESPIECE'!$B$2:$B$225,C196)</f>
        <v>1</v>
      </c>
      <c r="M196" s="2" t="s">
        <v>629</v>
      </c>
    </row>
    <row r="197" customFormat="false" ht="15" hidden="false" customHeight="false" outlineLevel="0" collapsed="false">
      <c r="A197" s="2" t="s">
        <v>554</v>
      </c>
      <c r="B197" s="2" t="s">
        <v>108</v>
      </c>
      <c r="C197" s="2" t="s">
        <v>324</v>
      </c>
      <c r="D197" s="2" t="s">
        <v>176</v>
      </c>
      <c r="E197" s="5" t="n">
        <f aca="false">INDEX('08_PEDIDOS'!$D$2:$D$97,MATCH(A197,'08_PEDIDOS'!$A$2:$A$97,0))</f>
        <v>6</v>
      </c>
      <c r="F197" s="5" t="n">
        <f aca="false">SUMIFS('03_DESPIECE'!$D$2:$D$225,'03_DESPIECE'!$A$2:$A$225,B197,'03_DESPIECE'!$B$2:$B$225,C197)</f>
        <v>6</v>
      </c>
      <c r="G197" s="5" t="n">
        <f aca="false">E197*F197</f>
        <v>36</v>
      </c>
      <c r="H197" s="16" t="n">
        <f aca="false">SUMIFS('03_DESPIECE'!$J$2:$J$225,'03_DESPIECE'!$A$2:$A$225,B197,'03_DESPIECE'!$B$2:$B$225,C197)</f>
        <v>156.6586956522</v>
      </c>
      <c r="I197" s="16" t="n">
        <f aca="false">E197*H197</f>
        <v>939.9521739132</v>
      </c>
      <c r="J197" s="17" t="n">
        <f aca="false">E197*SUMIFS('03_DESPIECE'!$I$2:$I$225,'03_DESPIECE'!$A$2:$A$225,B197,'03_DESPIECE'!$B$2:$B$225,C197)</f>
        <v>127.17</v>
      </c>
      <c r="K197" s="19" t="n">
        <f aca="false">E197*SUMIFS('03_DESPIECE'!$K$2:$K$225,'03_DESPIECE'!$A$2:$A$225,B197,'03_DESPIECE'!$B$2:$B$225,C197)</f>
        <v>3.75</v>
      </c>
      <c r="L197" s="5" t="n">
        <f aca="false">SUMIFS('03_DESPIECE'!$L$2:$L$225,'03_DESPIECE'!$A$2:$A$225,B197,'03_DESPIECE'!$B$2:$B$225,C197)</f>
        <v>1</v>
      </c>
      <c r="M197" s="2" t="s">
        <v>629</v>
      </c>
    </row>
    <row r="198" customFormat="false" ht="15" hidden="false" customHeight="false" outlineLevel="0" collapsed="false">
      <c r="A198" s="2" t="s">
        <v>554</v>
      </c>
      <c r="B198" s="2" t="s">
        <v>108</v>
      </c>
      <c r="C198" s="2" t="s">
        <v>325</v>
      </c>
      <c r="D198" s="2" t="s">
        <v>176</v>
      </c>
      <c r="E198" s="5" t="n">
        <f aca="false">INDEX('08_PEDIDOS'!$D$2:$D$97,MATCH(A198,'08_PEDIDOS'!$A$2:$A$97,0))</f>
        <v>6</v>
      </c>
      <c r="F198" s="5" t="n">
        <f aca="false">SUMIFS('03_DESPIECE'!$D$2:$D$225,'03_DESPIECE'!$A$2:$A$225,B198,'03_DESPIECE'!$B$2:$B$225,C198)</f>
        <v>2</v>
      </c>
      <c r="G198" s="5" t="n">
        <f aca="false">E198*F198</f>
        <v>12</v>
      </c>
      <c r="H198" s="16" t="n">
        <f aca="false">SUMIFS('03_DESPIECE'!$J$2:$J$225,'03_DESPIECE'!$A$2:$A$225,B198,'03_DESPIECE'!$B$2:$B$225,C198)</f>
        <v>121.8456521739</v>
      </c>
      <c r="I198" s="16" t="n">
        <f aca="false">E198*H198</f>
        <v>731.0739130434</v>
      </c>
      <c r="J198" s="17" t="n">
        <f aca="false">E198*SUMIFS('03_DESPIECE'!$I$2:$I$225,'03_DESPIECE'!$A$2:$A$225,B198,'03_DESPIECE'!$B$2:$B$225,C198)</f>
        <v>98.91</v>
      </c>
      <c r="K198" s="19" t="n">
        <f aca="false">E198*SUMIFS('03_DESPIECE'!$K$2:$K$225,'03_DESPIECE'!$A$2:$A$225,B198,'03_DESPIECE'!$B$2:$B$225,C198)</f>
        <v>2.9166666666</v>
      </c>
      <c r="L198" s="5" t="n">
        <f aca="false">SUMIFS('03_DESPIECE'!$L$2:$L$225,'03_DESPIECE'!$A$2:$A$225,B198,'03_DESPIECE'!$B$2:$B$225,C198)</f>
        <v>1</v>
      </c>
      <c r="M198" s="2" t="s">
        <v>629</v>
      </c>
    </row>
    <row r="199" customFormat="false" ht="15" hidden="false" customHeight="false" outlineLevel="0" collapsed="false">
      <c r="A199" s="2" t="s">
        <v>554</v>
      </c>
      <c r="B199" s="2" t="s">
        <v>108</v>
      </c>
      <c r="C199" s="2" t="s">
        <v>326</v>
      </c>
      <c r="D199" s="2" t="s">
        <v>176</v>
      </c>
      <c r="E199" s="5" t="n">
        <f aca="false">INDEX('08_PEDIDOS'!$D$2:$D$97,MATCH(A199,'08_PEDIDOS'!$A$2:$A$97,0))</f>
        <v>6</v>
      </c>
      <c r="F199" s="5" t="n">
        <f aca="false">SUMIFS('03_DESPIECE'!$D$2:$D$225,'03_DESPIECE'!$A$2:$A$225,B199,'03_DESPIECE'!$B$2:$B$225,C199)</f>
        <v>4</v>
      </c>
      <c r="G199" s="5" t="n">
        <f aca="false">E199*F199</f>
        <v>24</v>
      </c>
      <c r="H199" s="16" t="n">
        <f aca="false">SUMIFS('03_DESPIECE'!$J$2:$J$225,'03_DESPIECE'!$A$2:$A$225,B199,'03_DESPIECE'!$B$2:$B$225,C199)</f>
        <v>139.252173913</v>
      </c>
      <c r="I199" s="16" t="n">
        <f aca="false">E199*H199</f>
        <v>835.513043478</v>
      </c>
      <c r="J199" s="17" t="n">
        <f aca="false">E199*SUMIFS('03_DESPIECE'!$I$2:$I$225,'03_DESPIECE'!$A$2:$A$225,B199,'03_DESPIECE'!$B$2:$B$225,C199)</f>
        <v>113.04</v>
      </c>
      <c r="K199" s="19" t="n">
        <f aca="false">E199*SUMIFS('03_DESPIECE'!$K$2:$K$225,'03_DESPIECE'!$A$2:$A$225,B199,'03_DESPIECE'!$B$2:$B$225,C199)</f>
        <v>3.3333333336</v>
      </c>
      <c r="L199" s="5" t="n">
        <f aca="false">SUMIFS('03_DESPIECE'!$L$2:$L$225,'03_DESPIECE'!$A$2:$A$225,B199,'03_DESPIECE'!$B$2:$B$225,C199)</f>
        <v>1</v>
      </c>
      <c r="M199" s="2" t="s">
        <v>629</v>
      </c>
    </row>
    <row r="200" customFormat="false" ht="15" hidden="false" customHeight="false" outlineLevel="0" collapsed="false">
      <c r="A200" s="2" t="s">
        <v>554</v>
      </c>
      <c r="B200" s="2" t="s">
        <v>108</v>
      </c>
      <c r="C200" s="2" t="s">
        <v>319</v>
      </c>
      <c r="D200" s="2" t="s">
        <v>188</v>
      </c>
      <c r="E200" s="5" t="n">
        <f aca="false">INDEX('08_PEDIDOS'!$D$2:$D$97,MATCH(A200,'08_PEDIDOS'!$A$2:$A$97,0))</f>
        <v>6</v>
      </c>
      <c r="F200" s="5" t="n">
        <f aca="false">SUMIFS('03_DESPIECE'!$D$2:$D$225,'03_DESPIECE'!$A$2:$A$225,B200,'03_DESPIECE'!$B$2:$B$225,C200)</f>
        <v>12</v>
      </c>
      <c r="G200" s="5" t="n">
        <f aca="false">E200*F200</f>
        <v>72</v>
      </c>
      <c r="H200" s="16" t="n">
        <f aca="false">SUMIFS('03_DESPIECE'!$J$2:$J$225,'03_DESPIECE'!$A$2:$A$225,B200,'03_DESPIECE'!$B$2:$B$225,C200)</f>
        <v>10.8</v>
      </c>
      <c r="I200" s="16" t="n">
        <f aca="false">E200*H200</f>
        <v>64.8</v>
      </c>
      <c r="J200" s="17" t="n">
        <f aca="false">E200*SUMIFS('03_DESPIECE'!$I$2:$I$225,'03_DESPIECE'!$A$2:$A$225,B200,'03_DESPIECE'!$B$2:$B$225,C200)</f>
        <v>0</v>
      </c>
      <c r="K200" s="19" t="n">
        <f aca="false">E200*SUMIFS('03_DESPIECE'!$K$2:$K$225,'03_DESPIECE'!$A$2:$A$225,B200,'03_DESPIECE'!$B$2:$B$225,C200)</f>
        <v>0</v>
      </c>
      <c r="L200" s="5" t="n">
        <f aca="false">SUMIFS('03_DESPIECE'!$L$2:$L$225,'03_DESPIECE'!$A$2:$A$225,B200,'03_DESPIECE'!$B$2:$B$225,C200)</f>
        <v>1</v>
      </c>
      <c r="M200" s="2" t="s">
        <v>629</v>
      </c>
    </row>
    <row r="201" customFormat="false" ht="15" hidden="false" customHeight="false" outlineLevel="0" collapsed="false">
      <c r="A201" s="2" t="s">
        <v>554</v>
      </c>
      <c r="B201" s="2" t="s">
        <v>108</v>
      </c>
      <c r="C201" s="2" t="s">
        <v>320</v>
      </c>
      <c r="D201" s="2" t="s">
        <v>188</v>
      </c>
      <c r="E201" s="5" t="n">
        <f aca="false">INDEX('08_PEDIDOS'!$D$2:$D$97,MATCH(A201,'08_PEDIDOS'!$A$2:$A$97,0))</f>
        <v>6</v>
      </c>
      <c r="F201" s="5" t="n">
        <f aca="false">SUMIFS('03_DESPIECE'!$D$2:$D$225,'03_DESPIECE'!$A$2:$A$225,B201,'03_DESPIECE'!$B$2:$B$225,C201)</f>
        <v>6</v>
      </c>
      <c r="G201" s="5" t="n">
        <f aca="false">E201*F201</f>
        <v>36</v>
      </c>
      <c r="H201" s="16" t="n">
        <f aca="false">SUMIFS('03_DESPIECE'!$J$2:$J$225,'03_DESPIECE'!$A$2:$A$225,B201,'03_DESPIECE'!$B$2:$B$225,C201)</f>
        <v>5.4</v>
      </c>
      <c r="I201" s="16" t="n">
        <f aca="false">E201*H201</f>
        <v>32.4</v>
      </c>
      <c r="J201" s="17" t="n">
        <f aca="false">E201*SUMIFS('03_DESPIECE'!$I$2:$I$225,'03_DESPIECE'!$A$2:$A$225,B201,'03_DESPIECE'!$B$2:$B$225,C201)</f>
        <v>0</v>
      </c>
      <c r="K201" s="19" t="n">
        <f aca="false">E201*SUMIFS('03_DESPIECE'!$K$2:$K$225,'03_DESPIECE'!$A$2:$A$225,B201,'03_DESPIECE'!$B$2:$B$225,C201)</f>
        <v>0</v>
      </c>
      <c r="L201" s="5" t="n">
        <f aca="false">SUMIFS('03_DESPIECE'!$L$2:$L$225,'03_DESPIECE'!$A$2:$A$225,B201,'03_DESPIECE'!$B$2:$B$225,C201)</f>
        <v>1</v>
      </c>
      <c r="M201" s="2" t="s">
        <v>629</v>
      </c>
    </row>
    <row r="202" customFormat="false" ht="15" hidden="false" customHeight="false" outlineLevel="0" collapsed="false">
      <c r="A202" s="2" t="s">
        <v>555</v>
      </c>
      <c r="B202" s="2" t="s">
        <v>119</v>
      </c>
      <c r="C202" s="2" t="s">
        <v>327</v>
      </c>
      <c r="D202" s="2" t="s">
        <v>174</v>
      </c>
      <c r="E202" s="5" t="n">
        <f aca="false">INDEX('08_PEDIDOS'!$D$2:$D$97,MATCH(A202,'08_PEDIDOS'!$A$2:$A$97,0))</f>
        <v>10</v>
      </c>
      <c r="F202" s="5" t="n">
        <f aca="false">SUMIFS('03_DESPIECE'!$D$2:$D$225,'03_DESPIECE'!$A$2:$A$225,B202,'03_DESPIECE'!$B$2:$B$225,C202)</f>
        <v>2</v>
      </c>
      <c r="G202" s="5" t="n">
        <f aca="false">E202*F202</f>
        <v>20</v>
      </c>
      <c r="H202" s="16" t="n">
        <f aca="false">SUMIFS('03_DESPIECE'!$J$2:$J$225,'03_DESPIECE'!$A$2:$A$225,B202,'03_DESPIECE'!$B$2:$B$225,C202)</f>
        <v>110.2413043478</v>
      </c>
      <c r="I202" s="16" t="n">
        <f aca="false">E202*H202</f>
        <v>1102.413043478</v>
      </c>
      <c r="J202" s="17" t="n">
        <f aca="false">E202*SUMIFS('03_DESPIECE'!$I$2:$I$225,'03_DESPIECE'!$A$2:$A$225,B202,'03_DESPIECE'!$B$2:$B$225,C202)</f>
        <v>149.15</v>
      </c>
      <c r="K202" s="19" t="n">
        <f aca="false">E202*SUMIFS('03_DESPIECE'!$K$2:$K$225,'03_DESPIECE'!$A$2:$A$225,B202,'03_DESPIECE'!$B$2:$B$225,C202)</f>
        <v>6.597222222</v>
      </c>
      <c r="L202" s="5" t="n">
        <f aca="false">SUMIFS('03_DESPIECE'!$L$2:$L$225,'03_DESPIECE'!$A$2:$A$225,B202,'03_DESPIECE'!$B$2:$B$225,C202)</f>
        <v>1</v>
      </c>
      <c r="M202" s="2" t="s">
        <v>629</v>
      </c>
    </row>
    <row r="203" customFormat="false" ht="15" hidden="false" customHeight="false" outlineLevel="0" collapsed="false">
      <c r="A203" s="2" t="s">
        <v>555</v>
      </c>
      <c r="B203" s="2" t="s">
        <v>119</v>
      </c>
      <c r="C203" s="2" t="s">
        <v>316</v>
      </c>
      <c r="D203" s="2" t="s">
        <v>174</v>
      </c>
      <c r="E203" s="5" t="n">
        <f aca="false">INDEX('08_PEDIDOS'!$D$2:$D$97,MATCH(A203,'08_PEDIDOS'!$A$2:$A$97,0))</f>
        <v>10</v>
      </c>
      <c r="F203" s="5" t="n">
        <f aca="false">SUMIFS('03_DESPIECE'!$D$2:$D$225,'03_DESPIECE'!$A$2:$A$225,B203,'03_DESPIECE'!$B$2:$B$225,C203)</f>
        <v>1</v>
      </c>
      <c r="G203" s="5" t="n">
        <f aca="false">E203*F203</f>
        <v>10</v>
      </c>
      <c r="H203" s="16" t="n">
        <f aca="false">SUMIFS('03_DESPIECE'!$J$2:$J$225,'03_DESPIECE'!$A$2:$A$225,B203,'03_DESPIECE'!$B$2:$B$225,C203)</f>
        <v>75.4282608696</v>
      </c>
      <c r="I203" s="16" t="n">
        <f aca="false">E203*H203</f>
        <v>754.282608696</v>
      </c>
      <c r="J203" s="17" t="n">
        <f aca="false">E203*SUMIFS('03_DESPIECE'!$I$2:$I$225,'03_DESPIECE'!$A$2:$A$225,B203,'03_DESPIECE'!$B$2:$B$225,C203)</f>
        <v>102.05</v>
      </c>
      <c r="K203" s="19" t="n">
        <f aca="false">E203*SUMIFS('03_DESPIECE'!$K$2:$K$225,'03_DESPIECE'!$A$2:$A$225,B203,'03_DESPIECE'!$B$2:$B$225,C203)</f>
        <v>4.513888889</v>
      </c>
      <c r="L203" s="5" t="n">
        <f aca="false">SUMIFS('03_DESPIECE'!$L$2:$L$225,'03_DESPIECE'!$A$2:$A$225,B203,'03_DESPIECE'!$B$2:$B$225,C203)</f>
        <v>1</v>
      </c>
      <c r="M203" s="2" t="s">
        <v>629</v>
      </c>
    </row>
    <row r="204" customFormat="false" ht="15" hidden="false" customHeight="false" outlineLevel="0" collapsed="false">
      <c r="A204" s="2" t="s">
        <v>555</v>
      </c>
      <c r="B204" s="2" t="s">
        <v>119</v>
      </c>
      <c r="C204" s="2" t="s">
        <v>322</v>
      </c>
      <c r="D204" s="2" t="s">
        <v>174</v>
      </c>
      <c r="E204" s="5" t="n">
        <f aca="false">INDEX('08_PEDIDOS'!$D$2:$D$97,MATCH(A204,'08_PEDIDOS'!$A$2:$A$97,0))</f>
        <v>10</v>
      </c>
      <c r="F204" s="5" t="n">
        <f aca="false">SUMIFS('03_DESPIECE'!$D$2:$D$225,'03_DESPIECE'!$A$2:$A$225,B204,'03_DESPIECE'!$B$2:$B$225,C204)</f>
        <v>2</v>
      </c>
      <c r="G204" s="5" t="n">
        <f aca="false">E204*F204</f>
        <v>20</v>
      </c>
      <c r="H204" s="16" t="n">
        <f aca="false">SUMIFS('03_DESPIECE'!$J$2:$J$225,'03_DESPIECE'!$A$2:$A$225,B204,'03_DESPIECE'!$B$2:$B$225,C204)</f>
        <v>58.0217391304</v>
      </c>
      <c r="I204" s="16" t="n">
        <f aca="false">E204*H204</f>
        <v>580.217391304</v>
      </c>
      <c r="J204" s="17" t="n">
        <f aca="false">E204*SUMIFS('03_DESPIECE'!$I$2:$I$225,'03_DESPIECE'!$A$2:$A$225,B204,'03_DESPIECE'!$B$2:$B$225,C204)</f>
        <v>78.5</v>
      </c>
      <c r="K204" s="19" t="n">
        <f aca="false">E204*SUMIFS('03_DESPIECE'!$K$2:$K$225,'03_DESPIECE'!$A$2:$A$225,B204,'03_DESPIECE'!$B$2:$B$225,C204)</f>
        <v>3.472222222</v>
      </c>
      <c r="L204" s="5" t="n">
        <f aca="false">SUMIFS('03_DESPIECE'!$L$2:$L$225,'03_DESPIECE'!$A$2:$A$225,B204,'03_DESPIECE'!$B$2:$B$225,C204)</f>
        <v>1</v>
      </c>
      <c r="M204" s="2" t="s">
        <v>629</v>
      </c>
    </row>
    <row r="205" customFormat="false" ht="15" hidden="false" customHeight="false" outlineLevel="0" collapsed="false">
      <c r="A205" s="2" t="s">
        <v>555</v>
      </c>
      <c r="B205" s="2" t="s">
        <v>119</v>
      </c>
      <c r="C205" s="2" t="s">
        <v>328</v>
      </c>
      <c r="D205" s="2" t="s">
        <v>174</v>
      </c>
      <c r="E205" s="5" t="n">
        <f aca="false">INDEX('08_PEDIDOS'!$D$2:$D$97,MATCH(A205,'08_PEDIDOS'!$A$2:$A$97,0))</f>
        <v>10</v>
      </c>
      <c r="F205" s="5" t="n">
        <f aca="false">SUMIFS('03_DESPIECE'!$D$2:$D$225,'03_DESPIECE'!$A$2:$A$225,B205,'03_DESPIECE'!$B$2:$B$225,C205)</f>
        <v>2</v>
      </c>
      <c r="G205" s="5" t="n">
        <f aca="false">E205*F205</f>
        <v>20</v>
      </c>
      <c r="H205" s="16" t="n">
        <f aca="false">SUMIFS('03_DESPIECE'!$J$2:$J$225,'03_DESPIECE'!$A$2:$A$225,B205,'03_DESPIECE'!$B$2:$B$225,C205)</f>
        <v>81.2304347826</v>
      </c>
      <c r="I205" s="16" t="n">
        <f aca="false">E205*H205</f>
        <v>812.304347826</v>
      </c>
      <c r="J205" s="17" t="n">
        <f aca="false">E205*SUMIFS('03_DESPIECE'!$I$2:$I$225,'03_DESPIECE'!$A$2:$A$225,B205,'03_DESPIECE'!$B$2:$B$225,C205)</f>
        <v>109.9</v>
      </c>
      <c r="K205" s="19" t="n">
        <f aca="false">E205*SUMIFS('03_DESPIECE'!$K$2:$K$225,'03_DESPIECE'!$A$2:$A$225,B205,'03_DESPIECE'!$B$2:$B$225,C205)</f>
        <v>4.861111111</v>
      </c>
      <c r="L205" s="5" t="n">
        <f aca="false">SUMIFS('03_DESPIECE'!$L$2:$L$225,'03_DESPIECE'!$A$2:$A$225,B205,'03_DESPIECE'!$B$2:$B$225,C205)</f>
        <v>1</v>
      </c>
      <c r="M205" s="2" t="s">
        <v>629</v>
      </c>
    </row>
    <row r="206" customFormat="false" ht="15" hidden="false" customHeight="false" outlineLevel="0" collapsed="false">
      <c r="A206" s="2" t="s">
        <v>555</v>
      </c>
      <c r="B206" s="2" t="s">
        <v>119</v>
      </c>
      <c r="C206" s="2" t="s">
        <v>310</v>
      </c>
      <c r="D206" s="2" t="s">
        <v>174</v>
      </c>
      <c r="E206" s="5" t="n">
        <f aca="false">INDEX('08_PEDIDOS'!$D$2:$D$97,MATCH(A206,'08_PEDIDOS'!$A$2:$A$97,0))</f>
        <v>10</v>
      </c>
      <c r="F206" s="5" t="n">
        <f aca="false">SUMIFS('03_DESPIECE'!$D$2:$D$225,'03_DESPIECE'!$A$2:$A$225,B206,'03_DESPIECE'!$B$2:$B$225,C206)</f>
        <v>3</v>
      </c>
      <c r="G206" s="5" t="n">
        <f aca="false">E206*F206</f>
        <v>30</v>
      </c>
      <c r="H206" s="16" t="n">
        <f aca="false">SUMIFS('03_DESPIECE'!$J$2:$J$225,'03_DESPIECE'!$A$2:$A$225,B206,'03_DESPIECE'!$B$2:$B$225,C206)</f>
        <v>83.5513043478</v>
      </c>
      <c r="I206" s="16" t="n">
        <f aca="false">E206*H206</f>
        <v>835.513043478</v>
      </c>
      <c r="J206" s="17" t="n">
        <f aca="false">E206*SUMIFS('03_DESPIECE'!$I$2:$I$225,'03_DESPIECE'!$A$2:$A$225,B206,'03_DESPIECE'!$B$2:$B$225,C206)</f>
        <v>113.04</v>
      </c>
      <c r="K206" s="19" t="n">
        <f aca="false">E206*SUMIFS('03_DESPIECE'!$K$2:$K$225,'03_DESPIECE'!$A$2:$A$225,B206,'03_DESPIECE'!$B$2:$B$225,C206)</f>
        <v>5</v>
      </c>
      <c r="L206" s="5" t="n">
        <f aca="false">SUMIFS('03_DESPIECE'!$L$2:$L$225,'03_DESPIECE'!$A$2:$A$225,B206,'03_DESPIECE'!$B$2:$B$225,C206)</f>
        <v>1</v>
      </c>
      <c r="M206" s="2" t="s">
        <v>629</v>
      </c>
    </row>
    <row r="207" customFormat="false" ht="15" hidden="false" customHeight="false" outlineLevel="0" collapsed="false">
      <c r="A207" s="2" t="s">
        <v>555</v>
      </c>
      <c r="B207" s="2" t="s">
        <v>119</v>
      </c>
      <c r="C207" s="2" t="s">
        <v>319</v>
      </c>
      <c r="D207" s="2" t="s">
        <v>188</v>
      </c>
      <c r="E207" s="5" t="n">
        <f aca="false">INDEX('08_PEDIDOS'!$D$2:$D$97,MATCH(A207,'08_PEDIDOS'!$A$2:$A$97,0))</f>
        <v>10</v>
      </c>
      <c r="F207" s="5" t="n">
        <f aca="false">SUMIFS('03_DESPIECE'!$D$2:$D$225,'03_DESPIECE'!$A$2:$A$225,B207,'03_DESPIECE'!$B$2:$B$225,C207)</f>
        <v>4</v>
      </c>
      <c r="G207" s="5" t="n">
        <f aca="false">E207*F207</f>
        <v>40</v>
      </c>
      <c r="H207" s="16" t="n">
        <f aca="false">SUMIFS('03_DESPIECE'!$J$2:$J$225,'03_DESPIECE'!$A$2:$A$225,B207,'03_DESPIECE'!$B$2:$B$225,C207)</f>
        <v>3.6</v>
      </c>
      <c r="I207" s="16" t="n">
        <f aca="false">E207*H207</f>
        <v>36</v>
      </c>
      <c r="J207" s="17" t="n">
        <f aca="false">E207*SUMIFS('03_DESPIECE'!$I$2:$I$225,'03_DESPIECE'!$A$2:$A$225,B207,'03_DESPIECE'!$B$2:$B$225,C207)</f>
        <v>0</v>
      </c>
      <c r="K207" s="19" t="n">
        <f aca="false">E207*SUMIFS('03_DESPIECE'!$K$2:$K$225,'03_DESPIECE'!$A$2:$A$225,B207,'03_DESPIECE'!$B$2:$B$225,C207)</f>
        <v>0</v>
      </c>
      <c r="L207" s="5" t="n">
        <f aca="false">SUMIFS('03_DESPIECE'!$L$2:$L$225,'03_DESPIECE'!$A$2:$A$225,B207,'03_DESPIECE'!$B$2:$B$225,C207)</f>
        <v>1</v>
      </c>
      <c r="M207" s="2" t="s">
        <v>629</v>
      </c>
    </row>
    <row r="208" customFormat="false" ht="15" hidden="false" customHeight="false" outlineLevel="0" collapsed="false">
      <c r="A208" s="2" t="s">
        <v>555</v>
      </c>
      <c r="B208" s="2" t="s">
        <v>119</v>
      </c>
      <c r="C208" s="2" t="s">
        <v>320</v>
      </c>
      <c r="D208" s="2" t="s">
        <v>188</v>
      </c>
      <c r="E208" s="5" t="n">
        <f aca="false">INDEX('08_PEDIDOS'!$D$2:$D$97,MATCH(A208,'08_PEDIDOS'!$A$2:$A$97,0))</f>
        <v>10</v>
      </c>
      <c r="F208" s="5" t="n">
        <f aca="false">SUMIFS('03_DESPIECE'!$D$2:$D$225,'03_DESPIECE'!$A$2:$A$225,B208,'03_DESPIECE'!$B$2:$B$225,C208)</f>
        <v>2</v>
      </c>
      <c r="G208" s="5" t="n">
        <f aca="false">E208*F208</f>
        <v>20</v>
      </c>
      <c r="H208" s="16" t="n">
        <f aca="false">SUMIFS('03_DESPIECE'!$J$2:$J$225,'03_DESPIECE'!$A$2:$A$225,B208,'03_DESPIECE'!$B$2:$B$225,C208)</f>
        <v>1.8</v>
      </c>
      <c r="I208" s="16" t="n">
        <f aca="false">E208*H208</f>
        <v>18</v>
      </c>
      <c r="J208" s="17" t="n">
        <f aca="false">E208*SUMIFS('03_DESPIECE'!$I$2:$I$225,'03_DESPIECE'!$A$2:$A$225,B208,'03_DESPIECE'!$B$2:$B$225,C208)</f>
        <v>0</v>
      </c>
      <c r="K208" s="19" t="n">
        <f aca="false">E208*SUMIFS('03_DESPIECE'!$K$2:$K$225,'03_DESPIECE'!$A$2:$A$225,B208,'03_DESPIECE'!$B$2:$B$225,C208)</f>
        <v>0</v>
      </c>
      <c r="L208" s="5" t="n">
        <f aca="false">SUMIFS('03_DESPIECE'!$L$2:$L$225,'03_DESPIECE'!$A$2:$A$225,B208,'03_DESPIECE'!$B$2:$B$225,C208)</f>
        <v>1</v>
      </c>
      <c r="M208" s="2" t="s">
        <v>629</v>
      </c>
    </row>
    <row r="209" customFormat="false" ht="15" hidden="false" customHeight="false" outlineLevel="0" collapsed="false">
      <c r="A209" s="2" t="s">
        <v>556</v>
      </c>
      <c r="B209" s="2" t="s">
        <v>121</v>
      </c>
      <c r="C209" s="2" t="s">
        <v>329</v>
      </c>
      <c r="D209" s="2" t="s">
        <v>184</v>
      </c>
      <c r="E209" s="5" t="n">
        <f aca="false">INDEX('08_PEDIDOS'!$D$2:$D$97,MATCH(A209,'08_PEDIDOS'!$A$2:$A$97,0))</f>
        <v>10</v>
      </c>
      <c r="F209" s="5" t="n">
        <f aca="false">SUMIFS('03_DESPIECE'!$D$2:$D$225,'03_DESPIECE'!$A$2:$A$225,B209,'03_DESPIECE'!$B$2:$B$225,C209)</f>
        <v>4</v>
      </c>
      <c r="G209" s="5" t="n">
        <f aca="false">E209*F209</f>
        <v>40</v>
      </c>
      <c r="H209" s="16" t="n">
        <f aca="false">SUMIFS('03_DESPIECE'!$J$2:$J$225,'03_DESPIECE'!$A$2:$A$225,B209,'03_DESPIECE'!$B$2:$B$225,C209)</f>
        <v>62.90625</v>
      </c>
      <c r="I209" s="16" t="n">
        <f aca="false">E209*H209</f>
        <v>629.0625</v>
      </c>
      <c r="J209" s="17" t="n">
        <f aca="false">E209*SUMIFS('03_DESPIECE'!$I$2:$I$225,'03_DESPIECE'!$A$2:$A$225,B209,'03_DESPIECE'!$B$2:$B$225,C209)</f>
        <v>99</v>
      </c>
      <c r="K209" s="19" t="n">
        <f aca="false">E209*SUMIFS('03_DESPIECE'!$K$2:$K$225,'03_DESPIECE'!$A$2:$A$225,B209,'03_DESPIECE'!$B$2:$B$225,C209)</f>
        <v>0</v>
      </c>
      <c r="L209" s="5" t="n">
        <f aca="false">SUMIFS('03_DESPIECE'!$L$2:$L$225,'03_DESPIECE'!$A$2:$A$225,B209,'03_DESPIECE'!$B$2:$B$225,C209)</f>
        <v>1</v>
      </c>
      <c r="M209" s="2" t="s">
        <v>629</v>
      </c>
    </row>
    <row r="210" customFormat="false" ht="15" hidden="false" customHeight="false" outlineLevel="0" collapsed="false">
      <c r="A210" s="2" t="s">
        <v>556</v>
      </c>
      <c r="B210" s="2" t="s">
        <v>121</v>
      </c>
      <c r="C210" s="2" t="s">
        <v>330</v>
      </c>
      <c r="D210" s="2" t="s">
        <v>184</v>
      </c>
      <c r="E210" s="5" t="n">
        <f aca="false">INDEX('08_PEDIDOS'!$D$2:$D$97,MATCH(A210,'08_PEDIDOS'!$A$2:$A$97,0))</f>
        <v>10</v>
      </c>
      <c r="F210" s="5" t="n">
        <f aca="false">SUMIFS('03_DESPIECE'!$D$2:$D$225,'03_DESPIECE'!$A$2:$A$225,B210,'03_DESPIECE'!$B$2:$B$225,C210)</f>
        <v>8</v>
      </c>
      <c r="G210" s="5" t="n">
        <f aca="false">E210*F210</f>
        <v>80</v>
      </c>
      <c r="H210" s="16" t="n">
        <f aca="false">SUMIFS('03_DESPIECE'!$J$2:$J$225,'03_DESPIECE'!$A$2:$A$225,B210,'03_DESPIECE'!$B$2:$B$225,C210)</f>
        <v>68.625</v>
      </c>
      <c r="I210" s="16" t="n">
        <f aca="false">E210*H210</f>
        <v>686.25</v>
      </c>
      <c r="J210" s="17" t="n">
        <f aca="false">E210*SUMIFS('03_DESPIECE'!$I$2:$I$225,'03_DESPIECE'!$A$2:$A$225,B210,'03_DESPIECE'!$B$2:$B$225,C210)</f>
        <v>108</v>
      </c>
      <c r="K210" s="19" t="n">
        <f aca="false">E210*SUMIFS('03_DESPIECE'!$K$2:$K$225,'03_DESPIECE'!$A$2:$A$225,B210,'03_DESPIECE'!$B$2:$B$225,C210)</f>
        <v>0</v>
      </c>
      <c r="L210" s="5" t="n">
        <f aca="false">SUMIFS('03_DESPIECE'!$L$2:$L$225,'03_DESPIECE'!$A$2:$A$225,B210,'03_DESPIECE'!$B$2:$B$225,C210)</f>
        <v>1</v>
      </c>
      <c r="M210" s="2" t="s">
        <v>629</v>
      </c>
    </row>
    <row r="211" customFormat="false" ht="15" hidden="false" customHeight="false" outlineLevel="0" collapsed="false">
      <c r="A211" s="2" t="s">
        <v>556</v>
      </c>
      <c r="B211" s="2" t="s">
        <v>121</v>
      </c>
      <c r="C211" s="2" t="s">
        <v>310</v>
      </c>
      <c r="D211" s="2" t="s">
        <v>174</v>
      </c>
      <c r="E211" s="5" t="n">
        <f aca="false">INDEX('08_PEDIDOS'!$D$2:$D$97,MATCH(A211,'08_PEDIDOS'!$A$2:$A$97,0))</f>
        <v>10</v>
      </c>
      <c r="F211" s="5" t="n">
        <f aca="false">SUMIFS('03_DESPIECE'!$D$2:$D$225,'03_DESPIECE'!$A$2:$A$225,B211,'03_DESPIECE'!$B$2:$B$225,C211)</f>
        <v>5</v>
      </c>
      <c r="G211" s="5" t="n">
        <f aca="false">E211*F211</f>
        <v>50</v>
      </c>
      <c r="H211" s="16" t="n">
        <f aca="false">SUMIFS('03_DESPIECE'!$J$2:$J$225,'03_DESPIECE'!$A$2:$A$225,B211,'03_DESPIECE'!$B$2:$B$225,C211)</f>
        <v>116.0434782609</v>
      </c>
      <c r="I211" s="16" t="n">
        <f aca="false">E211*H211</f>
        <v>1160.434782609</v>
      </c>
      <c r="J211" s="17" t="n">
        <f aca="false">E211*SUMIFS('03_DESPIECE'!$I$2:$I$225,'03_DESPIECE'!$A$2:$A$225,B211,'03_DESPIECE'!$B$2:$B$225,C211)</f>
        <v>157</v>
      </c>
      <c r="K211" s="19" t="n">
        <f aca="false">E211*SUMIFS('03_DESPIECE'!$K$2:$K$225,'03_DESPIECE'!$A$2:$A$225,B211,'03_DESPIECE'!$B$2:$B$225,C211)</f>
        <v>6.944444444</v>
      </c>
      <c r="L211" s="5" t="n">
        <f aca="false">SUMIFS('03_DESPIECE'!$L$2:$L$225,'03_DESPIECE'!$A$2:$A$225,B211,'03_DESPIECE'!$B$2:$B$225,C211)</f>
        <v>1</v>
      </c>
      <c r="M211" s="2" t="s">
        <v>629</v>
      </c>
    </row>
    <row r="212" customFormat="false" ht="15" hidden="false" customHeight="false" outlineLevel="0" collapsed="false">
      <c r="A212" s="2" t="s">
        <v>556</v>
      </c>
      <c r="B212" s="2" t="s">
        <v>121</v>
      </c>
      <c r="C212" s="2" t="s">
        <v>331</v>
      </c>
      <c r="D212" s="2" t="s">
        <v>174</v>
      </c>
      <c r="E212" s="5" t="n">
        <f aca="false">INDEX('08_PEDIDOS'!$D$2:$D$97,MATCH(A212,'08_PEDIDOS'!$A$2:$A$97,0))</f>
        <v>10</v>
      </c>
      <c r="F212" s="5" t="n">
        <f aca="false">SUMIFS('03_DESPIECE'!$D$2:$D$225,'03_DESPIECE'!$A$2:$A$225,B212,'03_DESPIECE'!$B$2:$B$225,C212)</f>
        <v>8</v>
      </c>
      <c r="G212" s="5" t="n">
        <f aca="false">E212*F212</f>
        <v>80</v>
      </c>
      <c r="H212" s="16" t="n">
        <f aca="false">SUMIFS('03_DESPIECE'!$J$2:$J$225,'03_DESPIECE'!$A$2:$A$225,B212,'03_DESPIECE'!$B$2:$B$225,C212)</f>
        <v>16.2460869565</v>
      </c>
      <c r="I212" s="16" t="n">
        <f aca="false">E212*H212</f>
        <v>162.460869565</v>
      </c>
      <c r="J212" s="17" t="n">
        <f aca="false">E212*SUMIFS('03_DESPIECE'!$I$2:$I$225,'03_DESPIECE'!$A$2:$A$225,B212,'03_DESPIECE'!$B$2:$B$225,C212)</f>
        <v>21.98</v>
      </c>
      <c r="K212" s="19" t="n">
        <f aca="false">E212*SUMIFS('03_DESPIECE'!$K$2:$K$225,'03_DESPIECE'!$A$2:$A$225,B212,'03_DESPIECE'!$B$2:$B$225,C212)</f>
        <v>0.972222222</v>
      </c>
      <c r="L212" s="5" t="n">
        <f aca="false">SUMIFS('03_DESPIECE'!$L$2:$L$225,'03_DESPIECE'!$A$2:$A$225,B212,'03_DESPIECE'!$B$2:$B$225,C212)</f>
        <v>1</v>
      </c>
      <c r="M212" s="2" t="s">
        <v>629</v>
      </c>
    </row>
    <row r="213" customFormat="false" ht="15" hidden="false" customHeight="false" outlineLevel="0" collapsed="false">
      <c r="A213" s="2" t="s">
        <v>556</v>
      </c>
      <c r="B213" s="2" t="s">
        <v>121</v>
      </c>
      <c r="C213" s="2" t="s">
        <v>332</v>
      </c>
      <c r="D213" s="2" t="s">
        <v>188</v>
      </c>
      <c r="E213" s="5" t="n">
        <f aca="false">INDEX('08_PEDIDOS'!$D$2:$D$97,MATCH(A213,'08_PEDIDOS'!$A$2:$A$97,0))</f>
        <v>10</v>
      </c>
      <c r="F213" s="5" t="n">
        <f aca="false">SUMIFS('03_DESPIECE'!$D$2:$D$225,'03_DESPIECE'!$A$2:$A$225,B213,'03_DESPIECE'!$B$2:$B$225,C213)</f>
        <v>32</v>
      </c>
      <c r="G213" s="5" t="n">
        <f aca="false">E213*F213</f>
        <v>320</v>
      </c>
      <c r="H213" s="16" t="n">
        <f aca="false">SUMIFS('03_DESPIECE'!$J$2:$J$225,'03_DESPIECE'!$A$2:$A$225,B213,'03_DESPIECE'!$B$2:$B$225,C213)</f>
        <v>28.8</v>
      </c>
      <c r="I213" s="16" t="n">
        <f aca="false">E213*H213</f>
        <v>288</v>
      </c>
      <c r="J213" s="17" t="n">
        <f aca="false">E213*SUMIFS('03_DESPIECE'!$I$2:$I$225,'03_DESPIECE'!$A$2:$A$225,B213,'03_DESPIECE'!$B$2:$B$225,C213)</f>
        <v>0</v>
      </c>
      <c r="K213" s="19" t="n">
        <f aca="false">E213*SUMIFS('03_DESPIECE'!$K$2:$K$225,'03_DESPIECE'!$A$2:$A$225,B213,'03_DESPIECE'!$B$2:$B$225,C213)</f>
        <v>0</v>
      </c>
      <c r="L213" s="5" t="n">
        <f aca="false">SUMIFS('03_DESPIECE'!$L$2:$L$225,'03_DESPIECE'!$A$2:$A$225,B213,'03_DESPIECE'!$B$2:$B$225,C213)</f>
        <v>1</v>
      </c>
      <c r="M213" s="2" t="s">
        <v>629</v>
      </c>
    </row>
    <row r="214" customFormat="false" ht="15" hidden="false" customHeight="false" outlineLevel="0" collapsed="false">
      <c r="A214" s="2" t="s">
        <v>557</v>
      </c>
      <c r="B214" s="2" t="s">
        <v>80</v>
      </c>
      <c r="C214" s="2" t="s">
        <v>285</v>
      </c>
      <c r="D214" s="2" t="s">
        <v>184</v>
      </c>
      <c r="E214" s="5" t="n">
        <f aca="false">INDEX('08_PEDIDOS'!$D$2:$D$97,MATCH(A214,'08_PEDIDOS'!$A$2:$A$97,0))</f>
        <v>12</v>
      </c>
      <c r="F214" s="5" t="n">
        <f aca="false">SUMIFS('03_DESPIECE'!$D$2:$D$225,'03_DESPIECE'!$A$2:$A$225,B214,'03_DESPIECE'!$B$2:$B$225,C214)</f>
        <v>4</v>
      </c>
      <c r="G214" s="5" t="n">
        <f aca="false">E214*F214</f>
        <v>48</v>
      </c>
      <c r="H214" s="16" t="n">
        <f aca="false">SUMIFS('03_DESPIECE'!$J$2:$J$225,'03_DESPIECE'!$A$2:$A$225,B214,'03_DESPIECE'!$B$2:$B$225,C214)</f>
        <v>68.625</v>
      </c>
      <c r="I214" s="16" t="n">
        <f aca="false">E214*H214</f>
        <v>823.5</v>
      </c>
      <c r="J214" s="17" t="n">
        <f aca="false">E214*SUMIFS('03_DESPIECE'!$I$2:$I$225,'03_DESPIECE'!$A$2:$A$225,B214,'03_DESPIECE'!$B$2:$B$225,C214)</f>
        <v>129.6</v>
      </c>
      <c r="K214" s="19" t="n">
        <f aca="false">E214*SUMIFS('03_DESPIECE'!$K$2:$K$225,'03_DESPIECE'!$A$2:$A$225,B214,'03_DESPIECE'!$B$2:$B$225,C214)</f>
        <v>0</v>
      </c>
      <c r="L214" s="5" t="n">
        <f aca="false">SUMIFS('03_DESPIECE'!$L$2:$L$225,'03_DESPIECE'!$A$2:$A$225,B214,'03_DESPIECE'!$B$2:$B$225,C214)</f>
        <v>1</v>
      </c>
      <c r="M214" s="2" t="s">
        <v>629</v>
      </c>
    </row>
    <row r="215" customFormat="false" ht="15" hidden="false" customHeight="false" outlineLevel="0" collapsed="false">
      <c r="A215" s="2" t="s">
        <v>557</v>
      </c>
      <c r="B215" s="2" t="s">
        <v>80</v>
      </c>
      <c r="C215" s="2" t="s">
        <v>287</v>
      </c>
      <c r="D215" s="2" t="s">
        <v>184</v>
      </c>
      <c r="E215" s="5" t="n">
        <f aca="false">INDEX('08_PEDIDOS'!$D$2:$D$97,MATCH(A215,'08_PEDIDOS'!$A$2:$A$97,0))</f>
        <v>12</v>
      </c>
      <c r="F215" s="5" t="n">
        <f aca="false">SUMIFS('03_DESPIECE'!$D$2:$D$225,'03_DESPIECE'!$A$2:$A$225,B215,'03_DESPIECE'!$B$2:$B$225,C215)</f>
        <v>8</v>
      </c>
      <c r="G215" s="5" t="n">
        <f aca="false">E215*F215</f>
        <v>96</v>
      </c>
      <c r="H215" s="16" t="n">
        <f aca="false">SUMIFS('03_DESPIECE'!$J$2:$J$225,'03_DESPIECE'!$A$2:$A$225,B215,'03_DESPIECE'!$B$2:$B$225,C215)</f>
        <v>91.5</v>
      </c>
      <c r="I215" s="16" t="n">
        <f aca="false">E215*H215</f>
        <v>1098</v>
      </c>
      <c r="J215" s="17" t="n">
        <f aca="false">E215*SUMIFS('03_DESPIECE'!$I$2:$I$225,'03_DESPIECE'!$A$2:$A$225,B215,'03_DESPIECE'!$B$2:$B$225,C215)</f>
        <v>172.8</v>
      </c>
      <c r="K215" s="19" t="n">
        <f aca="false">E215*SUMIFS('03_DESPIECE'!$K$2:$K$225,'03_DESPIECE'!$A$2:$A$225,B215,'03_DESPIECE'!$B$2:$B$225,C215)</f>
        <v>0</v>
      </c>
      <c r="L215" s="5" t="n">
        <f aca="false">SUMIFS('03_DESPIECE'!$L$2:$L$225,'03_DESPIECE'!$A$2:$A$225,B215,'03_DESPIECE'!$B$2:$B$225,C215)</f>
        <v>1</v>
      </c>
      <c r="M215" s="2" t="s">
        <v>629</v>
      </c>
    </row>
    <row r="216" customFormat="false" ht="15" hidden="false" customHeight="false" outlineLevel="0" collapsed="false">
      <c r="A216" s="2" t="s">
        <v>557</v>
      </c>
      <c r="B216" s="2" t="s">
        <v>80</v>
      </c>
      <c r="C216" s="2" t="s">
        <v>288</v>
      </c>
      <c r="D216" s="2" t="s">
        <v>184</v>
      </c>
      <c r="E216" s="5" t="n">
        <f aca="false">INDEX('08_PEDIDOS'!$D$2:$D$97,MATCH(A216,'08_PEDIDOS'!$A$2:$A$97,0))</f>
        <v>12</v>
      </c>
      <c r="F216" s="5" t="n">
        <f aca="false">SUMIFS('03_DESPIECE'!$D$2:$D$225,'03_DESPIECE'!$A$2:$A$225,B216,'03_DESPIECE'!$B$2:$B$225,C216)</f>
        <v>4</v>
      </c>
      <c r="G216" s="5" t="n">
        <f aca="false">E216*F216</f>
        <v>48</v>
      </c>
      <c r="H216" s="16" t="n">
        <f aca="false">SUMIFS('03_DESPIECE'!$J$2:$J$225,'03_DESPIECE'!$A$2:$A$225,B216,'03_DESPIECE'!$B$2:$B$225,C216)</f>
        <v>22.875</v>
      </c>
      <c r="I216" s="16" t="n">
        <f aca="false">E216*H216</f>
        <v>274.5</v>
      </c>
      <c r="J216" s="17" t="n">
        <f aca="false">E216*SUMIFS('03_DESPIECE'!$I$2:$I$225,'03_DESPIECE'!$A$2:$A$225,B216,'03_DESPIECE'!$B$2:$B$225,C216)</f>
        <v>43.2</v>
      </c>
      <c r="K216" s="19" t="n">
        <f aca="false">E216*SUMIFS('03_DESPIECE'!$K$2:$K$225,'03_DESPIECE'!$A$2:$A$225,B216,'03_DESPIECE'!$B$2:$B$225,C216)</f>
        <v>0</v>
      </c>
      <c r="L216" s="5" t="n">
        <f aca="false">SUMIFS('03_DESPIECE'!$L$2:$L$225,'03_DESPIECE'!$A$2:$A$225,B216,'03_DESPIECE'!$B$2:$B$225,C216)</f>
        <v>1</v>
      </c>
      <c r="M216" s="2" t="s">
        <v>629</v>
      </c>
    </row>
    <row r="217" customFormat="false" ht="15" hidden="false" customHeight="false" outlineLevel="0" collapsed="false">
      <c r="A217" s="2" t="s">
        <v>557</v>
      </c>
      <c r="B217" s="2" t="s">
        <v>80</v>
      </c>
      <c r="C217" s="2" t="s">
        <v>289</v>
      </c>
      <c r="D217" s="2" t="s">
        <v>170</v>
      </c>
      <c r="E217" s="5" t="n">
        <f aca="false">INDEX('08_PEDIDOS'!$D$2:$D$97,MATCH(A217,'08_PEDIDOS'!$A$2:$A$97,0))</f>
        <v>12</v>
      </c>
      <c r="F217" s="5" t="n">
        <f aca="false">SUMIFS('03_DESPIECE'!$D$2:$D$225,'03_DESPIECE'!$A$2:$A$225,B217,'03_DESPIECE'!$B$2:$B$225,C217)</f>
        <v>4</v>
      </c>
      <c r="G217" s="5" t="n">
        <f aca="false">E217*F217</f>
        <v>48</v>
      </c>
      <c r="H217" s="16" t="n">
        <f aca="false">SUMIFS('03_DESPIECE'!$J$2:$J$225,'03_DESPIECE'!$A$2:$A$225,B217,'03_DESPIECE'!$B$2:$B$225,C217)</f>
        <v>334.2052173913</v>
      </c>
      <c r="I217" s="16" t="n">
        <f aca="false">E217*H217</f>
        <v>4010.4626086956</v>
      </c>
      <c r="J217" s="17" t="n">
        <f aca="false">E217*SUMIFS('03_DESPIECE'!$I$2:$I$225,'03_DESPIECE'!$A$2:$A$225,B217,'03_DESPIECE'!$B$2:$B$225,C217)</f>
        <v>542.592</v>
      </c>
      <c r="K217" s="19" t="n">
        <f aca="false">E217*SUMIFS('03_DESPIECE'!$K$2:$K$225,'03_DESPIECE'!$A$2:$A$225,B217,'03_DESPIECE'!$B$2:$B$225,C217)</f>
        <v>12</v>
      </c>
      <c r="L217" s="5" t="n">
        <f aca="false">SUMIFS('03_DESPIECE'!$L$2:$L$225,'03_DESPIECE'!$A$2:$A$225,B217,'03_DESPIECE'!$B$2:$B$225,C217)</f>
        <v>1</v>
      </c>
      <c r="M217" s="2" t="s">
        <v>629</v>
      </c>
    </row>
    <row r="218" customFormat="false" ht="15" hidden="false" customHeight="false" outlineLevel="0" collapsed="false">
      <c r="A218" s="2" t="s">
        <v>557</v>
      </c>
      <c r="B218" s="2" t="s">
        <v>80</v>
      </c>
      <c r="C218" s="2" t="s">
        <v>291</v>
      </c>
      <c r="D218" s="2" t="s">
        <v>170</v>
      </c>
      <c r="E218" s="5" t="n">
        <f aca="false">INDEX('08_PEDIDOS'!$D$2:$D$97,MATCH(A218,'08_PEDIDOS'!$A$2:$A$97,0))</f>
        <v>12</v>
      </c>
      <c r="F218" s="5" t="n">
        <f aca="false">SUMIFS('03_DESPIECE'!$D$2:$D$225,'03_DESPIECE'!$A$2:$A$225,B218,'03_DESPIECE'!$B$2:$B$225,C218)</f>
        <v>8</v>
      </c>
      <c r="G218" s="5" t="n">
        <f aca="false">E218*F218</f>
        <v>96</v>
      </c>
      <c r="H218" s="16" t="n">
        <f aca="false">SUMIFS('03_DESPIECE'!$J$2:$J$225,'03_DESPIECE'!$A$2:$A$225,B218,'03_DESPIECE'!$B$2:$B$225,C218)</f>
        <v>23.2086956522</v>
      </c>
      <c r="I218" s="16" t="n">
        <f aca="false">E218*H218</f>
        <v>278.5043478264</v>
      </c>
      <c r="J218" s="17" t="n">
        <f aca="false">E218*SUMIFS('03_DESPIECE'!$I$2:$I$225,'03_DESPIECE'!$A$2:$A$225,B218,'03_DESPIECE'!$B$2:$B$225,C218)</f>
        <v>37.68</v>
      </c>
      <c r="K218" s="19" t="n">
        <f aca="false">E218*SUMIFS('03_DESPIECE'!$K$2:$K$225,'03_DESPIECE'!$A$2:$A$225,B218,'03_DESPIECE'!$B$2:$B$225,C218)</f>
        <v>0.8333333328</v>
      </c>
      <c r="L218" s="5" t="n">
        <f aca="false">SUMIFS('03_DESPIECE'!$L$2:$L$225,'03_DESPIECE'!$A$2:$A$225,B218,'03_DESPIECE'!$B$2:$B$225,C218)</f>
        <v>1</v>
      </c>
      <c r="M218" s="2" t="s">
        <v>629</v>
      </c>
    </row>
    <row r="219" customFormat="false" ht="15" hidden="false" customHeight="false" outlineLevel="0" collapsed="false">
      <c r="A219" s="2" t="s">
        <v>557</v>
      </c>
      <c r="B219" s="2" t="s">
        <v>80</v>
      </c>
      <c r="C219" s="2" t="s">
        <v>292</v>
      </c>
      <c r="D219" s="2" t="s">
        <v>188</v>
      </c>
      <c r="E219" s="5" t="n">
        <f aca="false">INDEX('08_PEDIDOS'!$D$2:$D$97,MATCH(A219,'08_PEDIDOS'!$A$2:$A$97,0))</f>
        <v>12</v>
      </c>
      <c r="F219" s="5" t="n">
        <f aca="false">SUMIFS('03_DESPIECE'!$D$2:$D$225,'03_DESPIECE'!$A$2:$A$225,B219,'03_DESPIECE'!$B$2:$B$225,C219)</f>
        <v>24</v>
      </c>
      <c r="G219" s="5" t="n">
        <f aca="false">E219*F219</f>
        <v>288</v>
      </c>
      <c r="H219" s="16" t="n">
        <f aca="false">SUMIFS('03_DESPIECE'!$J$2:$J$225,'03_DESPIECE'!$A$2:$A$225,B219,'03_DESPIECE'!$B$2:$B$225,C219)</f>
        <v>21.6</v>
      </c>
      <c r="I219" s="16" t="n">
        <f aca="false">E219*H219</f>
        <v>259.2</v>
      </c>
      <c r="J219" s="17" t="n">
        <f aca="false">E219*SUMIFS('03_DESPIECE'!$I$2:$I$225,'03_DESPIECE'!$A$2:$A$225,B219,'03_DESPIECE'!$B$2:$B$225,C219)</f>
        <v>0</v>
      </c>
      <c r="K219" s="19" t="n">
        <f aca="false">E219*SUMIFS('03_DESPIECE'!$K$2:$K$225,'03_DESPIECE'!$A$2:$A$225,B219,'03_DESPIECE'!$B$2:$B$225,C219)</f>
        <v>0</v>
      </c>
      <c r="L219" s="5" t="n">
        <f aca="false">SUMIFS('03_DESPIECE'!$L$2:$L$225,'03_DESPIECE'!$A$2:$A$225,B219,'03_DESPIECE'!$B$2:$B$225,C219)</f>
        <v>1</v>
      </c>
      <c r="M219" s="2" t="s">
        <v>629</v>
      </c>
    </row>
    <row r="220" customFormat="false" ht="15" hidden="false" customHeight="false" outlineLevel="0" collapsed="false">
      <c r="A220" s="2" t="s">
        <v>557</v>
      </c>
      <c r="B220" s="2" t="s">
        <v>80</v>
      </c>
      <c r="C220" s="2" t="s">
        <v>294</v>
      </c>
      <c r="D220" s="2" t="s">
        <v>188</v>
      </c>
      <c r="E220" s="5" t="n">
        <f aca="false">INDEX('08_PEDIDOS'!$D$2:$D$97,MATCH(A220,'08_PEDIDOS'!$A$2:$A$97,0))</f>
        <v>12</v>
      </c>
      <c r="F220" s="5" t="n">
        <f aca="false">SUMIFS('03_DESPIECE'!$D$2:$D$225,'03_DESPIECE'!$A$2:$A$225,B220,'03_DESPIECE'!$B$2:$B$225,C220)</f>
        <v>4</v>
      </c>
      <c r="G220" s="5" t="n">
        <f aca="false">E220*F220</f>
        <v>48</v>
      </c>
      <c r="H220" s="16" t="n">
        <f aca="false">SUMIFS('03_DESPIECE'!$J$2:$J$225,'03_DESPIECE'!$A$2:$A$225,B220,'03_DESPIECE'!$B$2:$B$225,C220)</f>
        <v>3.6</v>
      </c>
      <c r="I220" s="16" t="n">
        <f aca="false">E220*H220</f>
        <v>43.2</v>
      </c>
      <c r="J220" s="17" t="n">
        <f aca="false">E220*SUMIFS('03_DESPIECE'!$I$2:$I$225,'03_DESPIECE'!$A$2:$A$225,B220,'03_DESPIECE'!$B$2:$B$225,C220)</f>
        <v>0</v>
      </c>
      <c r="K220" s="19" t="n">
        <f aca="false">E220*SUMIFS('03_DESPIECE'!$K$2:$K$225,'03_DESPIECE'!$A$2:$A$225,B220,'03_DESPIECE'!$B$2:$B$225,C220)</f>
        <v>0</v>
      </c>
      <c r="L220" s="5" t="n">
        <f aca="false">SUMIFS('03_DESPIECE'!$L$2:$L$225,'03_DESPIECE'!$A$2:$A$225,B220,'03_DESPIECE'!$B$2:$B$225,C220)</f>
        <v>1</v>
      </c>
      <c r="M220" s="2" t="s">
        <v>629</v>
      </c>
    </row>
    <row r="221" customFormat="false" ht="15" hidden="false" customHeight="false" outlineLevel="0" collapsed="false">
      <c r="A221" s="2" t="s">
        <v>558</v>
      </c>
      <c r="B221" s="2" t="s">
        <v>83</v>
      </c>
      <c r="C221" s="2" t="s">
        <v>295</v>
      </c>
      <c r="D221" s="2" t="s">
        <v>184</v>
      </c>
      <c r="E221" s="5" t="n">
        <f aca="false">INDEX('08_PEDIDOS'!$D$2:$D$97,MATCH(A221,'08_PEDIDOS'!$A$2:$A$97,0))</f>
        <v>12</v>
      </c>
      <c r="F221" s="5" t="n">
        <f aca="false">SUMIFS('03_DESPIECE'!$D$2:$D$225,'03_DESPIECE'!$A$2:$A$225,B221,'03_DESPIECE'!$B$2:$B$225,C221)</f>
        <v>4</v>
      </c>
      <c r="G221" s="5" t="n">
        <f aca="false">E221*F221</f>
        <v>48</v>
      </c>
      <c r="H221" s="16" t="n">
        <f aca="false">SUMIFS('03_DESPIECE'!$J$2:$J$225,'03_DESPIECE'!$A$2:$A$225,B221,'03_DESPIECE'!$B$2:$B$225,C221)</f>
        <v>76.25</v>
      </c>
      <c r="I221" s="16" t="n">
        <f aca="false">E221*H221</f>
        <v>915</v>
      </c>
      <c r="J221" s="17" t="n">
        <f aca="false">E221*SUMIFS('03_DESPIECE'!$I$2:$I$225,'03_DESPIECE'!$A$2:$A$225,B221,'03_DESPIECE'!$B$2:$B$225,C221)</f>
        <v>144</v>
      </c>
      <c r="K221" s="19" t="n">
        <f aca="false">E221*SUMIFS('03_DESPIECE'!$K$2:$K$225,'03_DESPIECE'!$A$2:$A$225,B221,'03_DESPIECE'!$B$2:$B$225,C221)</f>
        <v>0</v>
      </c>
      <c r="L221" s="5" t="n">
        <f aca="false">SUMIFS('03_DESPIECE'!$L$2:$L$225,'03_DESPIECE'!$A$2:$A$225,B221,'03_DESPIECE'!$B$2:$B$225,C221)</f>
        <v>1</v>
      </c>
      <c r="M221" s="2" t="s">
        <v>629</v>
      </c>
    </row>
    <row r="222" customFormat="false" ht="15" hidden="false" customHeight="false" outlineLevel="0" collapsed="false">
      <c r="A222" s="2" t="s">
        <v>558</v>
      </c>
      <c r="B222" s="2" t="s">
        <v>83</v>
      </c>
      <c r="C222" s="2" t="s">
        <v>296</v>
      </c>
      <c r="D222" s="2" t="s">
        <v>184</v>
      </c>
      <c r="E222" s="5" t="n">
        <f aca="false">INDEX('08_PEDIDOS'!$D$2:$D$97,MATCH(A222,'08_PEDIDOS'!$A$2:$A$97,0))</f>
        <v>12</v>
      </c>
      <c r="F222" s="5" t="n">
        <f aca="false">SUMIFS('03_DESPIECE'!$D$2:$D$225,'03_DESPIECE'!$A$2:$A$225,B222,'03_DESPIECE'!$B$2:$B$225,C222)</f>
        <v>8</v>
      </c>
      <c r="G222" s="5" t="n">
        <f aca="false">E222*F222</f>
        <v>96</v>
      </c>
      <c r="H222" s="16" t="n">
        <f aca="false">SUMIFS('03_DESPIECE'!$J$2:$J$225,'03_DESPIECE'!$A$2:$A$225,B222,'03_DESPIECE'!$B$2:$B$225,C222)</f>
        <v>76.25</v>
      </c>
      <c r="I222" s="16" t="n">
        <f aca="false">E222*H222</f>
        <v>915</v>
      </c>
      <c r="J222" s="17" t="n">
        <f aca="false">E222*SUMIFS('03_DESPIECE'!$I$2:$I$225,'03_DESPIECE'!$A$2:$A$225,B222,'03_DESPIECE'!$B$2:$B$225,C222)</f>
        <v>144</v>
      </c>
      <c r="K222" s="19" t="n">
        <f aca="false">E222*SUMIFS('03_DESPIECE'!$K$2:$K$225,'03_DESPIECE'!$A$2:$A$225,B222,'03_DESPIECE'!$B$2:$B$225,C222)</f>
        <v>0</v>
      </c>
      <c r="L222" s="5" t="n">
        <f aca="false">SUMIFS('03_DESPIECE'!$L$2:$L$225,'03_DESPIECE'!$A$2:$A$225,B222,'03_DESPIECE'!$B$2:$B$225,C222)</f>
        <v>1</v>
      </c>
      <c r="M222" s="2" t="s">
        <v>629</v>
      </c>
    </row>
    <row r="223" customFormat="false" ht="15" hidden="false" customHeight="false" outlineLevel="0" collapsed="false">
      <c r="A223" s="2" t="s">
        <v>558</v>
      </c>
      <c r="B223" s="2" t="s">
        <v>83</v>
      </c>
      <c r="C223" s="2" t="s">
        <v>297</v>
      </c>
      <c r="D223" s="2" t="s">
        <v>184</v>
      </c>
      <c r="E223" s="5" t="n">
        <f aca="false">INDEX('08_PEDIDOS'!$D$2:$D$97,MATCH(A223,'08_PEDIDOS'!$A$2:$A$97,0))</f>
        <v>12</v>
      </c>
      <c r="F223" s="5" t="n">
        <f aca="false">SUMIFS('03_DESPIECE'!$D$2:$D$225,'03_DESPIECE'!$A$2:$A$225,B223,'03_DESPIECE'!$B$2:$B$225,C223)</f>
        <v>8</v>
      </c>
      <c r="G223" s="5" t="n">
        <f aca="false">E223*F223</f>
        <v>96</v>
      </c>
      <c r="H223" s="16" t="n">
        <f aca="false">SUMIFS('03_DESPIECE'!$J$2:$J$225,'03_DESPIECE'!$A$2:$A$225,B223,'03_DESPIECE'!$B$2:$B$225,C223)</f>
        <v>38.125</v>
      </c>
      <c r="I223" s="16" t="n">
        <f aca="false">E223*H223</f>
        <v>457.5</v>
      </c>
      <c r="J223" s="17" t="n">
        <f aca="false">E223*SUMIFS('03_DESPIECE'!$I$2:$I$225,'03_DESPIECE'!$A$2:$A$225,B223,'03_DESPIECE'!$B$2:$B$225,C223)</f>
        <v>72</v>
      </c>
      <c r="K223" s="19" t="n">
        <f aca="false">E223*SUMIFS('03_DESPIECE'!$K$2:$K$225,'03_DESPIECE'!$A$2:$A$225,B223,'03_DESPIECE'!$B$2:$B$225,C223)</f>
        <v>0</v>
      </c>
      <c r="L223" s="5" t="n">
        <f aca="false">SUMIFS('03_DESPIECE'!$L$2:$L$225,'03_DESPIECE'!$A$2:$A$225,B223,'03_DESPIECE'!$B$2:$B$225,C223)</f>
        <v>1</v>
      </c>
      <c r="M223" s="2" t="s">
        <v>629</v>
      </c>
    </row>
    <row r="224" customFormat="false" ht="15" hidden="false" customHeight="false" outlineLevel="0" collapsed="false">
      <c r="A224" s="2" t="s">
        <v>558</v>
      </c>
      <c r="B224" s="2" t="s">
        <v>83</v>
      </c>
      <c r="C224" s="2" t="s">
        <v>298</v>
      </c>
      <c r="D224" s="2" t="s">
        <v>170</v>
      </c>
      <c r="E224" s="5" t="n">
        <f aca="false">INDEX('08_PEDIDOS'!$D$2:$D$97,MATCH(A224,'08_PEDIDOS'!$A$2:$A$97,0))</f>
        <v>12</v>
      </c>
      <c r="F224" s="5" t="n">
        <f aca="false">SUMIFS('03_DESPIECE'!$D$2:$D$225,'03_DESPIECE'!$A$2:$A$225,B224,'03_DESPIECE'!$B$2:$B$225,C224)</f>
        <v>5</v>
      </c>
      <c r="G224" s="5" t="n">
        <f aca="false">E224*F224</f>
        <v>60</v>
      </c>
      <c r="H224" s="16" t="n">
        <f aca="false">SUMIFS('03_DESPIECE'!$J$2:$J$225,'03_DESPIECE'!$A$2:$A$225,B224,'03_DESPIECE'!$B$2:$B$225,C224)</f>
        <v>290.1086956522</v>
      </c>
      <c r="I224" s="16" t="n">
        <f aca="false">E224*H224</f>
        <v>3481.3043478264</v>
      </c>
      <c r="J224" s="17" t="n">
        <f aca="false">E224*SUMIFS('03_DESPIECE'!$I$2:$I$225,'03_DESPIECE'!$A$2:$A$225,B224,'03_DESPIECE'!$B$2:$B$225,C224)</f>
        <v>471</v>
      </c>
      <c r="K224" s="19" t="n">
        <f aca="false">E224*SUMIFS('03_DESPIECE'!$K$2:$K$225,'03_DESPIECE'!$A$2:$A$225,B224,'03_DESPIECE'!$B$2:$B$225,C224)</f>
        <v>10.4166666672</v>
      </c>
      <c r="L224" s="5" t="n">
        <f aca="false">SUMIFS('03_DESPIECE'!$L$2:$L$225,'03_DESPIECE'!$A$2:$A$225,B224,'03_DESPIECE'!$B$2:$B$225,C224)</f>
        <v>1</v>
      </c>
      <c r="M224" s="2" t="s">
        <v>629</v>
      </c>
    </row>
    <row r="225" customFormat="false" ht="15" hidden="false" customHeight="false" outlineLevel="0" collapsed="false">
      <c r="A225" s="2" t="s">
        <v>558</v>
      </c>
      <c r="B225" s="2" t="s">
        <v>83</v>
      </c>
      <c r="C225" s="2" t="s">
        <v>299</v>
      </c>
      <c r="D225" s="2" t="s">
        <v>170</v>
      </c>
      <c r="E225" s="5" t="n">
        <f aca="false">INDEX('08_PEDIDOS'!$D$2:$D$97,MATCH(A225,'08_PEDIDOS'!$A$2:$A$97,0))</f>
        <v>12</v>
      </c>
      <c r="F225" s="5" t="n">
        <f aca="false">SUMIFS('03_DESPIECE'!$D$2:$D$225,'03_DESPIECE'!$A$2:$A$225,B225,'03_DESPIECE'!$B$2:$B$225,C225)</f>
        <v>8</v>
      </c>
      <c r="G225" s="5" t="n">
        <f aca="false">E225*F225</f>
        <v>96</v>
      </c>
      <c r="H225" s="16" t="n">
        <f aca="false">SUMIFS('03_DESPIECE'!$J$2:$J$225,'03_DESPIECE'!$A$2:$A$225,B225,'03_DESPIECE'!$B$2:$B$225,C225)</f>
        <v>32.492173913</v>
      </c>
      <c r="I225" s="16" t="n">
        <f aca="false">E225*H225</f>
        <v>389.906086956</v>
      </c>
      <c r="J225" s="17" t="n">
        <f aca="false">E225*SUMIFS('03_DESPIECE'!$I$2:$I$225,'03_DESPIECE'!$A$2:$A$225,B225,'03_DESPIECE'!$B$2:$B$225,C225)</f>
        <v>52.752</v>
      </c>
      <c r="K225" s="19" t="n">
        <f aca="false">E225*SUMIFS('03_DESPIECE'!$K$2:$K$225,'03_DESPIECE'!$A$2:$A$225,B225,'03_DESPIECE'!$B$2:$B$225,C225)</f>
        <v>1.1666666664</v>
      </c>
      <c r="L225" s="5" t="n">
        <f aca="false">SUMIFS('03_DESPIECE'!$L$2:$L$225,'03_DESPIECE'!$A$2:$A$225,B225,'03_DESPIECE'!$B$2:$B$225,C225)</f>
        <v>1</v>
      </c>
      <c r="M225" s="2" t="s">
        <v>629</v>
      </c>
    </row>
    <row r="226" customFormat="false" ht="15" hidden="false" customHeight="false" outlineLevel="0" collapsed="false">
      <c r="A226" s="2" t="s">
        <v>558</v>
      </c>
      <c r="B226" s="2" t="s">
        <v>83</v>
      </c>
      <c r="C226" s="2" t="s">
        <v>300</v>
      </c>
      <c r="D226" s="2" t="s">
        <v>188</v>
      </c>
      <c r="E226" s="5" t="n">
        <f aca="false">INDEX('08_PEDIDOS'!$D$2:$D$97,MATCH(A226,'08_PEDIDOS'!$A$2:$A$97,0))</f>
        <v>12</v>
      </c>
      <c r="F226" s="5" t="n">
        <f aca="false">SUMIFS('03_DESPIECE'!$D$2:$D$225,'03_DESPIECE'!$A$2:$A$225,B226,'03_DESPIECE'!$B$2:$B$225,C226)</f>
        <v>28</v>
      </c>
      <c r="G226" s="5" t="n">
        <f aca="false">E226*F226</f>
        <v>336</v>
      </c>
      <c r="H226" s="16" t="n">
        <f aca="false">SUMIFS('03_DESPIECE'!$J$2:$J$225,'03_DESPIECE'!$A$2:$A$225,B226,'03_DESPIECE'!$B$2:$B$225,C226)</f>
        <v>25.2</v>
      </c>
      <c r="I226" s="16" t="n">
        <f aca="false">E226*H226</f>
        <v>302.4</v>
      </c>
      <c r="J226" s="17" t="n">
        <f aca="false">E226*SUMIFS('03_DESPIECE'!$I$2:$I$225,'03_DESPIECE'!$A$2:$A$225,B226,'03_DESPIECE'!$B$2:$B$225,C226)</f>
        <v>0</v>
      </c>
      <c r="K226" s="19" t="n">
        <f aca="false">E226*SUMIFS('03_DESPIECE'!$K$2:$K$225,'03_DESPIECE'!$A$2:$A$225,B226,'03_DESPIECE'!$B$2:$B$225,C226)</f>
        <v>0</v>
      </c>
      <c r="L226" s="5" t="n">
        <f aca="false">SUMIFS('03_DESPIECE'!$L$2:$L$225,'03_DESPIECE'!$A$2:$A$225,B226,'03_DESPIECE'!$B$2:$B$225,C226)</f>
        <v>1</v>
      </c>
      <c r="M226" s="2" t="s">
        <v>629</v>
      </c>
    </row>
    <row r="227" customFormat="false" ht="15" hidden="false" customHeight="false" outlineLevel="0" collapsed="false">
      <c r="A227" s="2" t="s">
        <v>559</v>
      </c>
      <c r="B227" s="2" t="s">
        <v>94</v>
      </c>
      <c r="C227" s="2" t="s">
        <v>301</v>
      </c>
      <c r="D227" s="2" t="s">
        <v>184</v>
      </c>
      <c r="E227" s="5" t="n">
        <f aca="false">INDEX('08_PEDIDOS'!$D$2:$D$97,MATCH(A227,'08_PEDIDOS'!$A$2:$A$97,0))</f>
        <v>6</v>
      </c>
      <c r="F227" s="5" t="n">
        <f aca="false">SUMIFS('03_DESPIECE'!$D$2:$D$225,'03_DESPIECE'!$A$2:$A$225,B227,'03_DESPIECE'!$B$2:$B$225,C227)</f>
        <v>2</v>
      </c>
      <c r="G227" s="5" t="n">
        <f aca="false">E227*F227</f>
        <v>12</v>
      </c>
      <c r="H227" s="16" t="n">
        <f aca="false">SUMIFS('03_DESPIECE'!$J$2:$J$225,'03_DESPIECE'!$A$2:$A$225,B227,'03_DESPIECE'!$B$2:$B$225,C227)</f>
        <v>31.453125</v>
      </c>
      <c r="I227" s="16" t="n">
        <f aca="false">E227*H227</f>
        <v>188.71875</v>
      </c>
      <c r="J227" s="17" t="n">
        <f aca="false">E227*SUMIFS('03_DESPIECE'!$I$2:$I$225,'03_DESPIECE'!$A$2:$A$225,B227,'03_DESPIECE'!$B$2:$B$225,C227)</f>
        <v>29.7</v>
      </c>
      <c r="K227" s="19" t="n">
        <f aca="false">E227*SUMIFS('03_DESPIECE'!$K$2:$K$225,'03_DESPIECE'!$A$2:$A$225,B227,'03_DESPIECE'!$B$2:$B$225,C227)</f>
        <v>0</v>
      </c>
      <c r="L227" s="5" t="n">
        <f aca="false">SUMIFS('03_DESPIECE'!$L$2:$L$225,'03_DESPIECE'!$A$2:$A$225,B227,'03_DESPIECE'!$B$2:$B$225,C227)</f>
        <v>1</v>
      </c>
      <c r="M227" s="2" t="s">
        <v>629</v>
      </c>
    </row>
    <row r="228" customFormat="false" ht="15" hidden="false" customHeight="false" outlineLevel="0" collapsed="false">
      <c r="A228" s="2" t="s">
        <v>559</v>
      </c>
      <c r="B228" s="2" t="s">
        <v>94</v>
      </c>
      <c r="C228" s="2" t="s">
        <v>302</v>
      </c>
      <c r="D228" s="2" t="s">
        <v>174</v>
      </c>
      <c r="E228" s="5" t="n">
        <f aca="false">INDEX('08_PEDIDOS'!$D$2:$D$97,MATCH(A228,'08_PEDIDOS'!$A$2:$A$97,0))</f>
        <v>6</v>
      </c>
      <c r="F228" s="5" t="n">
        <f aca="false">SUMIFS('03_DESPIECE'!$D$2:$D$225,'03_DESPIECE'!$A$2:$A$225,B228,'03_DESPIECE'!$B$2:$B$225,C228)</f>
        <v>2</v>
      </c>
      <c r="G228" s="5" t="n">
        <f aca="false">E228*F228</f>
        <v>12</v>
      </c>
      <c r="H228" s="16" t="n">
        <f aca="false">SUMIFS('03_DESPIECE'!$J$2:$J$225,'03_DESPIECE'!$A$2:$A$225,B228,'03_DESPIECE'!$B$2:$B$225,C228)</f>
        <v>34.8130434783</v>
      </c>
      <c r="I228" s="16" t="n">
        <f aca="false">E228*H228</f>
        <v>208.8782608698</v>
      </c>
      <c r="J228" s="17" t="n">
        <f aca="false">E228*SUMIFS('03_DESPIECE'!$I$2:$I$225,'03_DESPIECE'!$A$2:$A$225,B228,'03_DESPIECE'!$B$2:$B$225,C228)</f>
        <v>28.26</v>
      </c>
      <c r="K228" s="19" t="n">
        <f aca="false">E228*SUMIFS('03_DESPIECE'!$K$2:$K$225,'03_DESPIECE'!$A$2:$A$225,B228,'03_DESPIECE'!$B$2:$B$225,C228)</f>
        <v>1.2499999998</v>
      </c>
      <c r="L228" s="5" t="n">
        <f aca="false">SUMIFS('03_DESPIECE'!$L$2:$L$225,'03_DESPIECE'!$A$2:$A$225,B228,'03_DESPIECE'!$B$2:$B$225,C228)</f>
        <v>1</v>
      </c>
      <c r="M228" s="2" t="s">
        <v>629</v>
      </c>
    </row>
    <row r="229" customFormat="false" ht="15" hidden="false" customHeight="false" outlineLevel="0" collapsed="false">
      <c r="A229" s="2" t="s">
        <v>559</v>
      </c>
      <c r="B229" s="2" t="s">
        <v>94</v>
      </c>
      <c r="C229" s="2" t="s">
        <v>303</v>
      </c>
      <c r="D229" s="2" t="s">
        <v>174</v>
      </c>
      <c r="E229" s="5" t="n">
        <f aca="false">INDEX('08_PEDIDOS'!$D$2:$D$97,MATCH(A229,'08_PEDIDOS'!$A$2:$A$97,0))</f>
        <v>6</v>
      </c>
      <c r="F229" s="5" t="n">
        <f aca="false">SUMIFS('03_DESPIECE'!$D$2:$D$225,'03_DESPIECE'!$A$2:$A$225,B229,'03_DESPIECE'!$B$2:$B$225,C229)</f>
        <v>4</v>
      </c>
      <c r="G229" s="5" t="n">
        <f aca="false">E229*F229</f>
        <v>24</v>
      </c>
      <c r="H229" s="16" t="n">
        <f aca="false">SUMIFS('03_DESPIECE'!$J$2:$J$225,'03_DESPIECE'!$A$2:$A$225,B229,'03_DESPIECE'!$B$2:$B$225,C229)</f>
        <v>129.9686956522</v>
      </c>
      <c r="I229" s="16" t="n">
        <f aca="false">E229*H229</f>
        <v>779.8121739132</v>
      </c>
      <c r="J229" s="17" t="n">
        <f aca="false">E229*SUMIFS('03_DESPIECE'!$I$2:$I$225,'03_DESPIECE'!$A$2:$A$225,B229,'03_DESPIECE'!$B$2:$B$225,C229)</f>
        <v>105.504</v>
      </c>
      <c r="K229" s="19" t="n">
        <f aca="false">E229*SUMIFS('03_DESPIECE'!$K$2:$K$225,'03_DESPIECE'!$A$2:$A$225,B229,'03_DESPIECE'!$B$2:$B$225,C229)</f>
        <v>4.6666666668</v>
      </c>
      <c r="L229" s="5" t="n">
        <f aca="false">SUMIFS('03_DESPIECE'!$L$2:$L$225,'03_DESPIECE'!$A$2:$A$225,B229,'03_DESPIECE'!$B$2:$B$225,C229)</f>
        <v>1</v>
      </c>
      <c r="M229" s="2" t="s">
        <v>629</v>
      </c>
    </row>
    <row r="230" customFormat="false" ht="15" hidden="false" customHeight="false" outlineLevel="0" collapsed="false">
      <c r="A230" s="2" t="s">
        <v>559</v>
      </c>
      <c r="B230" s="2" t="s">
        <v>94</v>
      </c>
      <c r="C230" s="2" t="s">
        <v>304</v>
      </c>
      <c r="D230" s="2" t="s">
        <v>174</v>
      </c>
      <c r="E230" s="5" t="n">
        <f aca="false">INDEX('08_PEDIDOS'!$D$2:$D$97,MATCH(A230,'08_PEDIDOS'!$A$2:$A$97,0))</f>
        <v>6</v>
      </c>
      <c r="F230" s="5" t="n">
        <f aca="false">SUMIFS('03_DESPIECE'!$D$2:$D$225,'03_DESPIECE'!$A$2:$A$225,B230,'03_DESPIECE'!$B$2:$B$225,C230)</f>
        <v>8</v>
      </c>
      <c r="G230" s="5" t="n">
        <f aca="false">E230*F230</f>
        <v>48</v>
      </c>
      <c r="H230" s="16" t="n">
        <f aca="false">SUMIFS('03_DESPIECE'!$J$2:$J$225,'03_DESPIECE'!$A$2:$A$225,B230,'03_DESPIECE'!$B$2:$B$225,C230)</f>
        <v>185.6695652174</v>
      </c>
      <c r="I230" s="16" t="n">
        <f aca="false">E230*H230</f>
        <v>1114.0173913044</v>
      </c>
      <c r="J230" s="17" t="n">
        <f aca="false">E230*SUMIFS('03_DESPIECE'!$I$2:$I$225,'03_DESPIECE'!$A$2:$A$225,B230,'03_DESPIECE'!$B$2:$B$225,C230)</f>
        <v>150.72</v>
      </c>
      <c r="K230" s="19" t="n">
        <f aca="false">E230*SUMIFS('03_DESPIECE'!$K$2:$K$225,'03_DESPIECE'!$A$2:$A$225,B230,'03_DESPIECE'!$B$2:$B$225,C230)</f>
        <v>6.6666666666</v>
      </c>
      <c r="L230" s="5" t="n">
        <f aca="false">SUMIFS('03_DESPIECE'!$L$2:$L$225,'03_DESPIECE'!$A$2:$A$225,B230,'03_DESPIECE'!$B$2:$B$225,C230)</f>
        <v>1</v>
      </c>
      <c r="M230" s="2" t="s">
        <v>629</v>
      </c>
    </row>
    <row r="231" customFormat="false" ht="15" hidden="false" customHeight="false" outlineLevel="0" collapsed="false">
      <c r="A231" s="2" t="s">
        <v>559</v>
      </c>
      <c r="B231" s="2" t="s">
        <v>94</v>
      </c>
      <c r="C231" s="2" t="s">
        <v>305</v>
      </c>
      <c r="D231" s="2" t="s">
        <v>174</v>
      </c>
      <c r="E231" s="5" t="n">
        <f aca="false">INDEX('08_PEDIDOS'!$D$2:$D$97,MATCH(A231,'08_PEDIDOS'!$A$2:$A$97,0))</f>
        <v>6</v>
      </c>
      <c r="F231" s="5" t="n">
        <f aca="false">SUMIFS('03_DESPIECE'!$D$2:$D$225,'03_DESPIECE'!$A$2:$A$225,B231,'03_DESPIECE'!$B$2:$B$225,C231)</f>
        <v>16</v>
      </c>
      <c r="G231" s="5" t="n">
        <f aca="false">E231*F231</f>
        <v>96</v>
      </c>
      <c r="H231" s="16" t="n">
        <f aca="false">SUMIFS('03_DESPIECE'!$J$2:$J$225,'03_DESPIECE'!$A$2:$A$225,B231,'03_DESPIECE'!$B$2:$B$225,C231)</f>
        <v>37.1339130435</v>
      </c>
      <c r="I231" s="16" t="n">
        <f aca="false">E231*H231</f>
        <v>222.803478261</v>
      </c>
      <c r="J231" s="17" t="n">
        <f aca="false">E231*SUMIFS('03_DESPIECE'!$I$2:$I$225,'03_DESPIECE'!$A$2:$A$225,B231,'03_DESPIECE'!$B$2:$B$225,C231)</f>
        <v>30.144</v>
      </c>
      <c r="K231" s="19" t="n">
        <f aca="false">E231*SUMIFS('03_DESPIECE'!$K$2:$K$225,'03_DESPIECE'!$A$2:$A$225,B231,'03_DESPIECE'!$B$2:$B$225,C231)</f>
        <v>1.3333333332</v>
      </c>
      <c r="L231" s="5" t="n">
        <f aca="false">SUMIFS('03_DESPIECE'!$L$2:$L$225,'03_DESPIECE'!$A$2:$A$225,B231,'03_DESPIECE'!$B$2:$B$225,C231)</f>
        <v>1</v>
      </c>
      <c r="M231" s="2" t="s">
        <v>629</v>
      </c>
    </row>
    <row r="232" customFormat="false" ht="15" hidden="false" customHeight="false" outlineLevel="0" collapsed="false">
      <c r="A232" s="2" t="s">
        <v>559</v>
      </c>
      <c r="B232" s="2" t="s">
        <v>94</v>
      </c>
      <c r="C232" s="2" t="s">
        <v>306</v>
      </c>
      <c r="D232" s="2" t="s">
        <v>174</v>
      </c>
      <c r="E232" s="5" t="n">
        <f aca="false">INDEX('08_PEDIDOS'!$D$2:$D$97,MATCH(A232,'08_PEDIDOS'!$A$2:$A$97,0))</f>
        <v>6</v>
      </c>
      <c r="F232" s="5" t="n">
        <f aca="false">SUMIFS('03_DESPIECE'!$D$2:$D$225,'03_DESPIECE'!$A$2:$A$225,B232,'03_DESPIECE'!$B$2:$B$225,C232)</f>
        <v>2</v>
      </c>
      <c r="G232" s="5" t="n">
        <f aca="false">E232*F232</f>
        <v>12</v>
      </c>
      <c r="H232" s="16" t="n">
        <f aca="false">SUMIFS('03_DESPIECE'!$J$2:$J$225,'03_DESPIECE'!$A$2:$A$225,B232,'03_DESPIECE'!$B$2:$B$225,C232)</f>
        <v>13.9252173913</v>
      </c>
      <c r="I232" s="16" t="n">
        <f aca="false">E232*H232</f>
        <v>83.5513043478</v>
      </c>
      <c r="J232" s="17" t="n">
        <f aca="false">E232*SUMIFS('03_DESPIECE'!$I$2:$I$225,'03_DESPIECE'!$A$2:$A$225,B232,'03_DESPIECE'!$B$2:$B$225,C232)</f>
        <v>11.304</v>
      </c>
      <c r="K232" s="19" t="n">
        <f aca="false">E232*SUMIFS('03_DESPIECE'!$K$2:$K$225,'03_DESPIECE'!$A$2:$A$225,B232,'03_DESPIECE'!$B$2:$B$225,C232)</f>
        <v>0.4999999998</v>
      </c>
      <c r="L232" s="5" t="n">
        <f aca="false">SUMIFS('03_DESPIECE'!$L$2:$L$225,'03_DESPIECE'!$A$2:$A$225,B232,'03_DESPIECE'!$B$2:$B$225,C232)</f>
        <v>1</v>
      </c>
      <c r="M232" s="2" t="s">
        <v>629</v>
      </c>
    </row>
    <row r="233" customFormat="false" ht="15" hidden="false" customHeight="false" outlineLevel="0" collapsed="false">
      <c r="A233" s="2" t="s">
        <v>559</v>
      </c>
      <c r="B233" s="2" t="s">
        <v>94</v>
      </c>
      <c r="C233" s="2" t="s">
        <v>307</v>
      </c>
      <c r="D233" s="2" t="s">
        <v>188</v>
      </c>
      <c r="E233" s="5" t="n">
        <f aca="false">INDEX('08_PEDIDOS'!$D$2:$D$97,MATCH(A233,'08_PEDIDOS'!$A$2:$A$97,0))</f>
        <v>6</v>
      </c>
      <c r="F233" s="5" t="n">
        <f aca="false">SUMIFS('03_DESPIECE'!$D$2:$D$225,'03_DESPIECE'!$A$2:$A$225,B233,'03_DESPIECE'!$B$2:$B$225,C233)</f>
        <v>36</v>
      </c>
      <c r="G233" s="5" t="n">
        <f aca="false">E233*F233</f>
        <v>216</v>
      </c>
      <c r="H233" s="16" t="n">
        <f aca="false">SUMIFS('03_DESPIECE'!$J$2:$J$225,'03_DESPIECE'!$A$2:$A$225,B233,'03_DESPIECE'!$B$2:$B$225,C233)</f>
        <v>32.4</v>
      </c>
      <c r="I233" s="16" t="n">
        <f aca="false">E233*H233</f>
        <v>194.4</v>
      </c>
      <c r="J233" s="17" t="n">
        <f aca="false">E233*SUMIFS('03_DESPIECE'!$I$2:$I$225,'03_DESPIECE'!$A$2:$A$225,B233,'03_DESPIECE'!$B$2:$B$225,C233)</f>
        <v>0</v>
      </c>
      <c r="K233" s="19" t="n">
        <f aca="false">E233*SUMIFS('03_DESPIECE'!$K$2:$K$225,'03_DESPIECE'!$A$2:$A$225,B233,'03_DESPIECE'!$B$2:$B$225,C233)</f>
        <v>0</v>
      </c>
      <c r="L233" s="5" t="n">
        <f aca="false">SUMIFS('03_DESPIECE'!$L$2:$L$225,'03_DESPIECE'!$A$2:$A$225,B233,'03_DESPIECE'!$B$2:$B$225,C233)</f>
        <v>1</v>
      </c>
      <c r="M233" s="2" t="s">
        <v>629</v>
      </c>
    </row>
    <row r="234" customFormat="false" ht="15" hidden="false" customHeight="false" outlineLevel="0" collapsed="false">
      <c r="A234" s="2" t="s">
        <v>560</v>
      </c>
      <c r="B234" s="2" t="s">
        <v>96</v>
      </c>
      <c r="C234" s="2" t="s">
        <v>308</v>
      </c>
      <c r="D234" s="2" t="s">
        <v>184</v>
      </c>
      <c r="E234" s="5" t="n">
        <f aca="false">INDEX('08_PEDIDOS'!$D$2:$D$97,MATCH(A234,'08_PEDIDOS'!$A$2:$A$97,0))</f>
        <v>7</v>
      </c>
      <c r="F234" s="5" t="n">
        <f aca="false">SUMIFS('03_DESPIECE'!$D$2:$D$225,'03_DESPIECE'!$A$2:$A$225,B234,'03_DESPIECE'!$B$2:$B$225,C234)</f>
        <v>2</v>
      </c>
      <c r="G234" s="5" t="n">
        <f aca="false">E234*F234</f>
        <v>14</v>
      </c>
      <c r="H234" s="16" t="n">
        <f aca="false">SUMIFS('03_DESPIECE'!$J$2:$J$225,'03_DESPIECE'!$A$2:$A$225,B234,'03_DESPIECE'!$B$2:$B$225,C234)</f>
        <v>36.21875</v>
      </c>
      <c r="I234" s="16" t="n">
        <f aca="false">E234*H234</f>
        <v>253.53125</v>
      </c>
      <c r="J234" s="17" t="n">
        <f aca="false">E234*SUMIFS('03_DESPIECE'!$I$2:$I$225,'03_DESPIECE'!$A$2:$A$225,B234,'03_DESPIECE'!$B$2:$B$225,C234)</f>
        <v>39.9</v>
      </c>
      <c r="K234" s="19" t="n">
        <f aca="false">E234*SUMIFS('03_DESPIECE'!$K$2:$K$225,'03_DESPIECE'!$A$2:$A$225,B234,'03_DESPIECE'!$B$2:$B$225,C234)</f>
        <v>0</v>
      </c>
      <c r="L234" s="5" t="n">
        <f aca="false">SUMIFS('03_DESPIECE'!$L$2:$L$225,'03_DESPIECE'!$A$2:$A$225,B234,'03_DESPIECE'!$B$2:$B$225,C234)</f>
        <v>1</v>
      </c>
      <c r="M234" s="2" t="s">
        <v>629</v>
      </c>
    </row>
    <row r="235" customFormat="false" ht="15" hidden="false" customHeight="false" outlineLevel="0" collapsed="false">
      <c r="A235" s="2" t="s">
        <v>560</v>
      </c>
      <c r="B235" s="2" t="s">
        <v>96</v>
      </c>
      <c r="C235" s="2" t="s">
        <v>309</v>
      </c>
      <c r="D235" s="2" t="s">
        <v>174</v>
      </c>
      <c r="E235" s="5" t="n">
        <f aca="false">INDEX('08_PEDIDOS'!$D$2:$D$97,MATCH(A235,'08_PEDIDOS'!$A$2:$A$97,0))</f>
        <v>7</v>
      </c>
      <c r="F235" s="5" t="n">
        <f aca="false">SUMIFS('03_DESPIECE'!$D$2:$D$225,'03_DESPIECE'!$A$2:$A$225,B235,'03_DESPIECE'!$B$2:$B$225,C235)</f>
        <v>3</v>
      </c>
      <c r="G235" s="5" t="n">
        <f aca="false">E235*F235</f>
        <v>21</v>
      </c>
      <c r="H235" s="16" t="n">
        <f aca="false">SUMIFS('03_DESPIECE'!$J$2:$J$225,'03_DESPIECE'!$A$2:$A$225,B235,'03_DESPIECE'!$B$2:$B$225,C235)</f>
        <v>95.7358695652</v>
      </c>
      <c r="I235" s="16" t="n">
        <f aca="false">E235*H235</f>
        <v>670.1510869564</v>
      </c>
      <c r="J235" s="17" t="n">
        <f aca="false">E235*SUMIFS('03_DESPIECE'!$I$2:$I$225,'03_DESPIECE'!$A$2:$A$225,B235,'03_DESPIECE'!$B$2:$B$225,C235)</f>
        <v>90.6675</v>
      </c>
      <c r="K235" s="19" t="n">
        <f aca="false">E235*SUMIFS('03_DESPIECE'!$K$2:$K$225,'03_DESPIECE'!$A$2:$A$225,B235,'03_DESPIECE'!$B$2:$B$225,C235)</f>
        <v>4.0104166669</v>
      </c>
      <c r="L235" s="5" t="n">
        <f aca="false">SUMIFS('03_DESPIECE'!$L$2:$L$225,'03_DESPIECE'!$A$2:$A$225,B235,'03_DESPIECE'!$B$2:$B$225,C235)</f>
        <v>1</v>
      </c>
      <c r="M235" s="2" t="s">
        <v>629</v>
      </c>
    </row>
    <row r="236" customFormat="false" ht="15" hidden="false" customHeight="false" outlineLevel="0" collapsed="false">
      <c r="A236" s="2" t="s">
        <v>560</v>
      </c>
      <c r="B236" s="2" t="s">
        <v>96</v>
      </c>
      <c r="C236" s="2" t="s">
        <v>310</v>
      </c>
      <c r="D236" s="2" t="s">
        <v>174</v>
      </c>
      <c r="E236" s="5" t="n">
        <f aca="false">INDEX('08_PEDIDOS'!$D$2:$D$97,MATCH(A236,'08_PEDIDOS'!$A$2:$A$97,0))</f>
        <v>7</v>
      </c>
      <c r="F236" s="5" t="n">
        <f aca="false">SUMIFS('03_DESPIECE'!$D$2:$D$225,'03_DESPIECE'!$A$2:$A$225,B236,'03_DESPIECE'!$B$2:$B$225,C236)</f>
        <v>5</v>
      </c>
      <c r="G236" s="5" t="n">
        <f aca="false">E236*F236</f>
        <v>35</v>
      </c>
      <c r="H236" s="16" t="n">
        <f aca="false">SUMIFS('03_DESPIECE'!$J$2:$J$225,'03_DESPIECE'!$A$2:$A$225,B236,'03_DESPIECE'!$B$2:$B$225,C236)</f>
        <v>121.8456521739</v>
      </c>
      <c r="I236" s="16" t="n">
        <f aca="false">E236*H236</f>
        <v>852.9195652173</v>
      </c>
      <c r="J236" s="17" t="n">
        <f aca="false">E236*SUMIFS('03_DESPIECE'!$I$2:$I$225,'03_DESPIECE'!$A$2:$A$225,B236,'03_DESPIECE'!$B$2:$B$225,C236)</f>
        <v>115.395</v>
      </c>
      <c r="K236" s="19" t="n">
        <f aca="false">E236*SUMIFS('03_DESPIECE'!$K$2:$K$225,'03_DESPIECE'!$A$2:$A$225,B236,'03_DESPIECE'!$B$2:$B$225,C236)</f>
        <v>5.1041666669</v>
      </c>
      <c r="L236" s="5" t="n">
        <f aca="false">SUMIFS('03_DESPIECE'!$L$2:$L$225,'03_DESPIECE'!$A$2:$A$225,B236,'03_DESPIECE'!$B$2:$B$225,C236)</f>
        <v>1</v>
      </c>
      <c r="M236" s="2" t="s">
        <v>629</v>
      </c>
    </row>
    <row r="237" customFormat="false" ht="15" hidden="false" customHeight="false" outlineLevel="0" collapsed="false">
      <c r="A237" s="2" t="s">
        <v>560</v>
      </c>
      <c r="B237" s="2" t="s">
        <v>96</v>
      </c>
      <c r="C237" s="2" t="s">
        <v>311</v>
      </c>
      <c r="D237" s="2" t="s">
        <v>174</v>
      </c>
      <c r="E237" s="5" t="n">
        <f aca="false">INDEX('08_PEDIDOS'!$D$2:$D$97,MATCH(A237,'08_PEDIDOS'!$A$2:$A$97,0))</f>
        <v>7</v>
      </c>
      <c r="F237" s="5" t="n">
        <f aca="false">SUMIFS('03_DESPIECE'!$D$2:$D$225,'03_DESPIECE'!$A$2:$A$225,B237,'03_DESPIECE'!$B$2:$B$225,C237)</f>
        <v>10</v>
      </c>
      <c r="G237" s="5" t="n">
        <f aca="false">E237*F237</f>
        <v>70</v>
      </c>
      <c r="H237" s="16" t="n">
        <f aca="false">SUMIFS('03_DESPIECE'!$J$2:$J$225,'03_DESPIECE'!$A$2:$A$225,B237,'03_DESPIECE'!$B$2:$B$225,C237)</f>
        <v>23.2086956522</v>
      </c>
      <c r="I237" s="16" t="n">
        <f aca="false">E237*H237</f>
        <v>162.4608695654</v>
      </c>
      <c r="J237" s="17" t="n">
        <f aca="false">E237*SUMIFS('03_DESPIECE'!$I$2:$I$225,'03_DESPIECE'!$A$2:$A$225,B237,'03_DESPIECE'!$B$2:$B$225,C237)</f>
        <v>21.98</v>
      </c>
      <c r="K237" s="19" t="n">
        <f aca="false">E237*SUMIFS('03_DESPIECE'!$K$2:$K$225,'03_DESPIECE'!$A$2:$A$225,B237,'03_DESPIECE'!$B$2:$B$225,C237)</f>
        <v>0.9722222223</v>
      </c>
      <c r="L237" s="5" t="n">
        <f aca="false">SUMIFS('03_DESPIECE'!$L$2:$L$225,'03_DESPIECE'!$A$2:$A$225,B237,'03_DESPIECE'!$B$2:$B$225,C237)</f>
        <v>1</v>
      </c>
      <c r="M237" s="2" t="s">
        <v>629</v>
      </c>
    </row>
    <row r="238" customFormat="false" ht="15" hidden="false" customHeight="false" outlineLevel="0" collapsed="false">
      <c r="A238" s="2" t="s">
        <v>560</v>
      </c>
      <c r="B238" s="2" t="s">
        <v>96</v>
      </c>
      <c r="C238" s="2" t="s">
        <v>312</v>
      </c>
      <c r="D238" s="2" t="s">
        <v>174</v>
      </c>
      <c r="E238" s="5" t="n">
        <f aca="false">INDEX('08_PEDIDOS'!$D$2:$D$97,MATCH(A238,'08_PEDIDOS'!$A$2:$A$97,0))</f>
        <v>7</v>
      </c>
      <c r="F238" s="5" t="n">
        <f aca="false">SUMIFS('03_DESPIECE'!$D$2:$D$225,'03_DESPIECE'!$A$2:$A$225,B238,'03_DESPIECE'!$B$2:$B$225,C238)</f>
        <v>2</v>
      </c>
      <c r="G238" s="5" t="n">
        <f aca="false">E238*F238</f>
        <v>14</v>
      </c>
      <c r="H238" s="16" t="n">
        <f aca="false">SUMIFS('03_DESPIECE'!$J$2:$J$225,'03_DESPIECE'!$A$2:$A$225,B238,'03_DESPIECE'!$B$2:$B$225,C238)</f>
        <v>29.0108695652</v>
      </c>
      <c r="I238" s="16" t="n">
        <f aca="false">E238*H238</f>
        <v>203.0760869564</v>
      </c>
      <c r="J238" s="17" t="n">
        <f aca="false">E238*SUMIFS('03_DESPIECE'!$I$2:$I$225,'03_DESPIECE'!$A$2:$A$225,B238,'03_DESPIECE'!$B$2:$B$225,C238)</f>
        <v>27.475</v>
      </c>
      <c r="K238" s="19" t="n">
        <f aca="false">E238*SUMIFS('03_DESPIECE'!$K$2:$K$225,'03_DESPIECE'!$A$2:$A$225,B238,'03_DESPIECE'!$B$2:$B$225,C238)</f>
        <v>1.2152777777</v>
      </c>
      <c r="L238" s="5" t="n">
        <f aca="false">SUMIFS('03_DESPIECE'!$L$2:$L$225,'03_DESPIECE'!$A$2:$A$225,B238,'03_DESPIECE'!$B$2:$B$225,C238)</f>
        <v>1</v>
      </c>
      <c r="M238" s="2" t="s">
        <v>629</v>
      </c>
    </row>
    <row r="239" customFormat="false" ht="15" hidden="false" customHeight="false" outlineLevel="0" collapsed="false">
      <c r="A239" s="2" t="s">
        <v>560</v>
      </c>
      <c r="B239" s="2" t="s">
        <v>96</v>
      </c>
      <c r="C239" s="2" t="s">
        <v>313</v>
      </c>
      <c r="D239" s="2" t="s">
        <v>188</v>
      </c>
      <c r="E239" s="5" t="n">
        <f aca="false">INDEX('08_PEDIDOS'!$D$2:$D$97,MATCH(A239,'08_PEDIDOS'!$A$2:$A$97,0))</f>
        <v>7</v>
      </c>
      <c r="F239" s="5" t="n">
        <f aca="false">SUMIFS('03_DESPIECE'!$D$2:$D$225,'03_DESPIECE'!$A$2:$A$225,B239,'03_DESPIECE'!$B$2:$B$225,C239)</f>
        <v>26</v>
      </c>
      <c r="G239" s="5" t="n">
        <f aca="false">E239*F239</f>
        <v>182</v>
      </c>
      <c r="H239" s="16" t="n">
        <f aca="false">SUMIFS('03_DESPIECE'!$J$2:$J$225,'03_DESPIECE'!$A$2:$A$225,B239,'03_DESPIECE'!$B$2:$B$225,C239)</f>
        <v>23.4</v>
      </c>
      <c r="I239" s="16" t="n">
        <f aca="false">E239*H239</f>
        <v>163.8</v>
      </c>
      <c r="J239" s="17" t="n">
        <f aca="false">E239*SUMIFS('03_DESPIECE'!$I$2:$I$225,'03_DESPIECE'!$A$2:$A$225,B239,'03_DESPIECE'!$B$2:$B$225,C239)</f>
        <v>0</v>
      </c>
      <c r="K239" s="19" t="n">
        <f aca="false">E239*SUMIFS('03_DESPIECE'!$K$2:$K$225,'03_DESPIECE'!$A$2:$A$225,B239,'03_DESPIECE'!$B$2:$B$225,C239)</f>
        <v>0</v>
      </c>
      <c r="L239" s="5" t="n">
        <f aca="false">SUMIFS('03_DESPIECE'!$L$2:$L$225,'03_DESPIECE'!$A$2:$A$225,B239,'03_DESPIECE'!$B$2:$B$225,C239)</f>
        <v>1</v>
      </c>
      <c r="M239" s="2" t="s">
        <v>629</v>
      </c>
    </row>
    <row r="240" customFormat="false" ht="15" hidden="false" customHeight="false" outlineLevel="0" collapsed="false">
      <c r="A240" s="2" t="s">
        <v>561</v>
      </c>
      <c r="B240" s="2" t="s">
        <v>106</v>
      </c>
      <c r="C240" s="2" t="s">
        <v>314</v>
      </c>
      <c r="D240" s="2" t="s">
        <v>176</v>
      </c>
      <c r="E240" s="5" t="n">
        <f aca="false">INDEX('08_PEDIDOS'!$D$2:$D$97,MATCH(A240,'08_PEDIDOS'!$A$2:$A$97,0))</f>
        <v>5</v>
      </c>
      <c r="F240" s="5" t="n">
        <f aca="false">SUMIFS('03_DESPIECE'!$D$2:$D$225,'03_DESPIECE'!$A$2:$A$225,B240,'03_DESPIECE'!$B$2:$B$225,C240)</f>
        <v>2</v>
      </c>
      <c r="G240" s="5" t="n">
        <f aca="false">E240*F240</f>
        <v>10</v>
      </c>
      <c r="H240" s="16" t="n">
        <f aca="false">SUMIFS('03_DESPIECE'!$J$2:$J$225,'03_DESPIECE'!$A$2:$A$225,B240,'03_DESPIECE'!$B$2:$B$225,C240)</f>
        <v>165.3619565217</v>
      </c>
      <c r="I240" s="16" t="n">
        <f aca="false">E240*H240</f>
        <v>826.8097826085</v>
      </c>
      <c r="J240" s="17" t="n">
        <f aca="false">E240*SUMIFS('03_DESPIECE'!$I$2:$I$225,'03_DESPIECE'!$A$2:$A$225,B240,'03_DESPIECE'!$B$2:$B$225,C240)</f>
        <v>111.8625</v>
      </c>
      <c r="K240" s="19" t="n">
        <f aca="false">E240*SUMIFS('03_DESPIECE'!$K$2:$K$225,'03_DESPIECE'!$A$2:$A$225,B240,'03_DESPIECE'!$B$2:$B$225,C240)</f>
        <v>3.298611111</v>
      </c>
      <c r="L240" s="5" t="n">
        <f aca="false">SUMIFS('03_DESPIECE'!$L$2:$L$225,'03_DESPIECE'!$A$2:$A$225,B240,'03_DESPIECE'!$B$2:$B$225,C240)</f>
        <v>1</v>
      </c>
      <c r="M240" s="2" t="s">
        <v>629</v>
      </c>
    </row>
    <row r="241" customFormat="false" ht="15" hidden="false" customHeight="false" outlineLevel="0" collapsed="false">
      <c r="A241" s="2" t="s">
        <v>561</v>
      </c>
      <c r="B241" s="2" t="s">
        <v>106</v>
      </c>
      <c r="C241" s="2" t="s">
        <v>315</v>
      </c>
      <c r="D241" s="2" t="s">
        <v>176</v>
      </c>
      <c r="E241" s="5" t="n">
        <f aca="false">INDEX('08_PEDIDOS'!$D$2:$D$97,MATCH(A241,'08_PEDIDOS'!$A$2:$A$97,0))</f>
        <v>5</v>
      </c>
      <c r="F241" s="5" t="n">
        <f aca="false">SUMIFS('03_DESPIECE'!$D$2:$D$225,'03_DESPIECE'!$A$2:$A$225,B241,'03_DESPIECE'!$B$2:$B$225,C241)</f>
        <v>2</v>
      </c>
      <c r="G241" s="5" t="n">
        <f aca="false">E241*F241</f>
        <v>10</v>
      </c>
      <c r="H241" s="16" t="n">
        <f aca="false">SUMIFS('03_DESPIECE'!$J$2:$J$225,'03_DESPIECE'!$A$2:$A$225,B241,'03_DESPIECE'!$B$2:$B$225,C241)</f>
        <v>60.922826087</v>
      </c>
      <c r="I241" s="16" t="n">
        <f aca="false">E241*H241</f>
        <v>304.614130435</v>
      </c>
      <c r="J241" s="17" t="n">
        <f aca="false">E241*SUMIFS('03_DESPIECE'!$I$2:$I$225,'03_DESPIECE'!$A$2:$A$225,B241,'03_DESPIECE'!$B$2:$B$225,C241)</f>
        <v>41.2125</v>
      </c>
      <c r="K241" s="19" t="n">
        <f aca="false">E241*SUMIFS('03_DESPIECE'!$K$2:$K$225,'03_DESPIECE'!$A$2:$A$225,B241,'03_DESPIECE'!$B$2:$B$225,C241)</f>
        <v>1.215277778</v>
      </c>
      <c r="L241" s="5" t="n">
        <f aca="false">SUMIFS('03_DESPIECE'!$L$2:$L$225,'03_DESPIECE'!$A$2:$A$225,B241,'03_DESPIECE'!$B$2:$B$225,C241)</f>
        <v>1</v>
      </c>
      <c r="M241" s="2" t="s">
        <v>629</v>
      </c>
    </row>
    <row r="242" customFormat="false" ht="15" hidden="false" customHeight="false" outlineLevel="0" collapsed="false">
      <c r="A242" s="2" t="s">
        <v>561</v>
      </c>
      <c r="B242" s="2" t="s">
        <v>106</v>
      </c>
      <c r="C242" s="2" t="s">
        <v>316</v>
      </c>
      <c r="D242" s="2" t="s">
        <v>176</v>
      </c>
      <c r="E242" s="5" t="n">
        <f aca="false">INDEX('08_PEDIDOS'!$D$2:$D$97,MATCH(A242,'08_PEDIDOS'!$A$2:$A$97,0))</f>
        <v>5</v>
      </c>
      <c r="F242" s="5" t="n">
        <f aca="false">SUMIFS('03_DESPIECE'!$D$2:$D$225,'03_DESPIECE'!$A$2:$A$225,B242,'03_DESPIECE'!$B$2:$B$225,C242)</f>
        <v>1</v>
      </c>
      <c r="G242" s="5" t="n">
        <f aca="false">E242*F242</f>
        <v>5</v>
      </c>
      <c r="H242" s="16" t="n">
        <f aca="false">SUMIFS('03_DESPIECE'!$J$2:$J$225,'03_DESPIECE'!$A$2:$A$225,B242,'03_DESPIECE'!$B$2:$B$225,C242)</f>
        <v>147.9554347826</v>
      </c>
      <c r="I242" s="16" t="n">
        <f aca="false">E242*H242</f>
        <v>739.777173913</v>
      </c>
      <c r="J242" s="17" t="n">
        <f aca="false">E242*SUMIFS('03_DESPIECE'!$I$2:$I$225,'03_DESPIECE'!$A$2:$A$225,B242,'03_DESPIECE'!$B$2:$B$225,C242)</f>
        <v>100.0875</v>
      </c>
      <c r="K242" s="19" t="n">
        <f aca="false">E242*SUMIFS('03_DESPIECE'!$K$2:$K$225,'03_DESPIECE'!$A$2:$A$225,B242,'03_DESPIECE'!$B$2:$B$225,C242)</f>
        <v>2.951388889</v>
      </c>
      <c r="L242" s="5" t="n">
        <f aca="false">SUMIFS('03_DESPIECE'!$L$2:$L$225,'03_DESPIECE'!$A$2:$A$225,B242,'03_DESPIECE'!$B$2:$B$225,C242)</f>
        <v>1</v>
      </c>
      <c r="M242" s="2" t="s">
        <v>629</v>
      </c>
    </row>
    <row r="243" customFormat="false" ht="15" hidden="false" customHeight="false" outlineLevel="0" collapsed="false">
      <c r="A243" s="2" t="s">
        <v>561</v>
      </c>
      <c r="B243" s="2" t="s">
        <v>106</v>
      </c>
      <c r="C243" s="2" t="s">
        <v>317</v>
      </c>
      <c r="D243" s="2" t="s">
        <v>176</v>
      </c>
      <c r="E243" s="5" t="n">
        <f aca="false">INDEX('08_PEDIDOS'!$D$2:$D$97,MATCH(A243,'08_PEDIDOS'!$A$2:$A$97,0))</f>
        <v>5</v>
      </c>
      <c r="F243" s="5" t="n">
        <f aca="false">SUMIFS('03_DESPIECE'!$D$2:$D$225,'03_DESPIECE'!$A$2:$A$225,B243,'03_DESPIECE'!$B$2:$B$225,C243)</f>
        <v>4</v>
      </c>
      <c r="G243" s="5" t="n">
        <f aca="false">E243*F243</f>
        <v>20</v>
      </c>
      <c r="H243" s="16" t="n">
        <f aca="false">SUMIFS('03_DESPIECE'!$J$2:$J$225,'03_DESPIECE'!$A$2:$A$225,B243,'03_DESPIECE'!$B$2:$B$225,C243)</f>
        <v>128.8082608696</v>
      </c>
      <c r="I243" s="16" t="n">
        <f aca="false">E243*H243</f>
        <v>644.041304348</v>
      </c>
      <c r="J243" s="17" t="n">
        <f aca="false">E243*SUMIFS('03_DESPIECE'!$I$2:$I$225,'03_DESPIECE'!$A$2:$A$225,B243,'03_DESPIECE'!$B$2:$B$225,C243)</f>
        <v>87.135</v>
      </c>
      <c r="K243" s="19" t="n">
        <f aca="false">E243*SUMIFS('03_DESPIECE'!$K$2:$K$225,'03_DESPIECE'!$A$2:$A$225,B243,'03_DESPIECE'!$B$2:$B$225,C243)</f>
        <v>2.5694444445</v>
      </c>
      <c r="L243" s="5" t="n">
        <f aca="false">SUMIFS('03_DESPIECE'!$L$2:$L$225,'03_DESPIECE'!$A$2:$A$225,B243,'03_DESPIECE'!$B$2:$B$225,C243)</f>
        <v>1</v>
      </c>
      <c r="M243" s="2" t="s">
        <v>629</v>
      </c>
    </row>
    <row r="244" customFormat="false" ht="15" hidden="false" customHeight="false" outlineLevel="0" collapsed="false">
      <c r="A244" s="2" t="s">
        <v>561</v>
      </c>
      <c r="B244" s="2" t="s">
        <v>106</v>
      </c>
      <c r="C244" s="2" t="s">
        <v>318</v>
      </c>
      <c r="D244" s="2" t="s">
        <v>176</v>
      </c>
      <c r="E244" s="5" t="n">
        <f aca="false">INDEX('08_PEDIDOS'!$D$2:$D$97,MATCH(A244,'08_PEDIDOS'!$A$2:$A$97,0))</f>
        <v>5</v>
      </c>
      <c r="F244" s="5" t="n">
        <f aca="false">SUMIFS('03_DESPIECE'!$D$2:$D$225,'03_DESPIECE'!$A$2:$A$225,B244,'03_DESPIECE'!$B$2:$B$225,C244)</f>
        <v>3</v>
      </c>
      <c r="G244" s="5" t="n">
        <f aca="false">E244*F244</f>
        <v>15</v>
      </c>
      <c r="H244" s="16" t="n">
        <f aca="false">SUMIFS('03_DESPIECE'!$J$2:$J$225,'03_DESPIECE'!$A$2:$A$225,B244,'03_DESPIECE'!$B$2:$B$225,C244)</f>
        <v>91.3842391304</v>
      </c>
      <c r="I244" s="16" t="n">
        <f aca="false">E244*H244</f>
        <v>456.921195652</v>
      </c>
      <c r="J244" s="17" t="n">
        <f aca="false">E244*SUMIFS('03_DESPIECE'!$I$2:$I$225,'03_DESPIECE'!$A$2:$A$225,B244,'03_DESPIECE'!$B$2:$B$225,C244)</f>
        <v>61.81875</v>
      </c>
      <c r="K244" s="19" t="n">
        <f aca="false">E244*SUMIFS('03_DESPIECE'!$K$2:$K$225,'03_DESPIECE'!$A$2:$A$225,B244,'03_DESPIECE'!$B$2:$B$225,C244)</f>
        <v>1.8229166665</v>
      </c>
      <c r="L244" s="5" t="n">
        <f aca="false">SUMIFS('03_DESPIECE'!$L$2:$L$225,'03_DESPIECE'!$A$2:$A$225,B244,'03_DESPIECE'!$B$2:$B$225,C244)</f>
        <v>1</v>
      </c>
      <c r="M244" s="2" t="s">
        <v>629</v>
      </c>
    </row>
    <row r="245" customFormat="false" ht="15" hidden="false" customHeight="false" outlineLevel="0" collapsed="false">
      <c r="A245" s="2" t="s">
        <v>561</v>
      </c>
      <c r="B245" s="2" t="s">
        <v>106</v>
      </c>
      <c r="C245" s="2" t="s">
        <v>319</v>
      </c>
      <c r="D245" s="2" t="s">
        <v>188</v>
      </c>
      <c r="E245" s="5" t="n">
        <f aca="false">INDEX('08_PEDIDOS'!$D$2:$D$97,MATCH(A245,'08_PEDIDOS'!$A$2:$A$97,0))</f>
        <v>5</v>
      </c>
      <c r="F245" s="5" t="n">
        <f aca="false">SUMIFS('03_DESPIECE'!$D$2:$D$225,'03_DESPIECE'!$A$2:$A$225,B245,'03_DESPIECE'!$B$2:$B$225,C245)</f>
        <v>8</v>
      </c>
      <c r="G245" s="5" t="n">
        <f aca="false">E245*F245</f>
        <v>40</v>
      </c>
      <c r="H245" s="16" t="n">
        <f aca="false">SUMIFS('03_DESPIECE'!$J$2:$J$225,'03_DESPIECE'!$A$2:$A$225,B245,'03_DESPIECE'!$B$2:$B$225,C245)</f>
        <v>7.2</v>
      </c>
      <c r="I245" s="16" t="n">
        <f aca="false">E245*H245</f>
        <v>36</v>
      </c>
      <c r="J245" s="17" t="n">
        <f aca="false">E245*SUMIFS('03_DESPIECE'!$I$2:$I$225,'03_DESPIECE'!$A$2:$A$225,B245,'03_DESPIECE'!$B$2:$B$225,C245)</f>
        <v>0</v>
      </c>
      <c r="K245" s="19" t="n">
        <f aca="false">E245*SUMIFS('03_DESPIECE'!$K$2:$K$225,'03_DESPIECE'!$A$2:$A$225,B245,'03_DESPIECE'!$B$2:$B$225,C245)</f>
        <v>0</v>
      </c>
      <c r="L245" s="5" t="n">
        <f aca="false">SUMIFS('03_DESPIECE'!$L$2:$L$225,'03_DESPIECE'!$A$2:$A$225,B245,'03_DESPIECE'!$B$2:$B$225,C245)</f>
        <v>1</v>
      </c>
      <c r="M245" s="2" t="s">
        <v>629</v>
      </c>
    </row>
    <row r="246" customFormat="false" ht="15" hidden="false" customHeight="false" outlineLevel="0" collapsed="false">
      <c r="A246" s="2" t="s">
        <v>561</v>
      </c>
      <c r="B246" s="2" t="s">
        <v>106</v>
      </c>
      <c r="C246" s="2" t="s">
        <v>320</v>
      </c>
      <c r="D246" s="2" t="s">
        <v>188</v>
      </c>
      <c r="E246" s="5" t="n">
        <f aca="false">INDEX('08_PEDIDOS'!$D$2:$D$97,MATCH(A246,'08_PEDIDOS'!$A$2:$A$97,0))</f>
        <v>5</v>
      </c>
      <c r="F246" s="5" t="n">
        <f aca="false">SUMIFS('03_DESPIECE'!$D$2:$D$225,'03_DESPIECE'!$A$2:$A$225,B246,'03_DESPIECE'!$B$2:$B$225,C246)</f>
        <v>4</v>
      </c>
      <c r="G246" s="5" t="n">
        <f aca="false">E246*F246</f>
        <v>20</v>
      </c>
      <c r="H246" s="16" t="n">
        <f aca="false">SUMIFS('03_DESPIECE'!$J$2:$J$225,'03_DESPIECE'!$A$2:$A$225,B246,'03_DESPIECE'!$B$2:$B$225,C246)</f>
        <v>3.6</v>
      </c>
      <c r="I246" s="16" t="n">
        <f aca="false">E246*H246</f>
        <v>18</v>
      </c>
      <c r="J246" s="17" t="n">
        <f aca="false">E246*SUMIFS('03_DESPIECE'!$I$2:$I$225,'03_DESPIECE'!$A$2:$A$225,B246,'03_DESPIECE'!$B$2:$B$225,C246)</f>
        <v>0</v>
      </c>
      <c r="K246" s="19" t="n">
        <f aca="false">E246*SUMIFS('03_DESPIECE'!$K$2:$K$225,'03_DESPIECE'!$A$2:$A$225,B246,'03_DESPIECE'!$B$2:$B$225,C246)</f>
        <v>0</v>
      </c>
      <c r="L246" s="5" t="n">
        <f aca="false">SUMIFS('03_DESPIECE'!$L$2:$L$225,'03_DESPIECE'!$A$2:$A$225,B246,'03_DESPIECE'!$B$2:$B$225,C246)</f>
        <v>1</v>
      </c>
      <c r="M246" s="2" t="s">
        <v>629</v>
      </c>
    </row>
    <row r="247" customFormat="false" ht="15" hidden="false" customHeight="false" outlineLevel="0" collapsed="false">
      <c r="A247" s="2" t="s">
        <v>562</v>
      </c>
      <c r="B247" s="2" t="s">
        <v>108</v>
      </c>
      <c r="C247" s="2" t="s">
        <v>321</v>
      </c>
      <c r="D247" s="2" t="s">
        <v>176</v>
      </c>
      <c r="E247" s="5" t="n">
        <f aca="false">INDEX('08_PEDIDOS'!$D$2:$D$97,MATCH(A247,'08_PEDIDOS'!$A$2:$A$97,0))</f>
        <v>6</v>
      </c>
      <c r="F247" s="5" t="n">
        <f aca="false">SUMIFS('03_DESPIECE'!$D$2:$D$225,'03_DESPIECE'!$A$2:$A$225,B247,'03_DESPIECE'!$B$2:$B$225,C247)</f>
        <v>2</v>
      </c>
      <c r="G247" s="5" t="n">
        <f aca="false">E247*F247</f>
        <v>12</v>
      </c>
      <c r="H247" s="16" t="n">
        <f aca="false">SUMIFS('03_DESPIECE'!$J$2:$J$225,'03_DESPIECE'!$A$2:$A$225,B247,'03_DESPIECE'!$B$2:$B$225,C247)</f>
        <v>191.4717391304</v>
      </c>
      <c r="I247" s="16" t="n">
        <f aca="false">E247*H247</f>
        <v>1148.8304347824</v>
      </c>
      <c r="J247" s="17" t="n">
        <f aca="false">E247*SUMIFS('03_DESPIECE'!$I$2:$I$225,'03_DESPIECE'!$A$2:$A$225,B247,'03_DESPIECE'!$B$2:$B$225,C247)</f>
        <v>155.43</v>
      </c>
      <c r="K247" s="19" t="n">
        <f aca="false">E247*SUMIFS('03_DESPIECE'!$K$2:$K$225,'03_DESPIECE'!$A$2:$A$225,B247,'03_DESPIECE'!$B$2:$B$225,C247)</f>
        <v>4.5833333334</v>
      </c>
      <c r="L247" s="5" t="n">
        <f aca="false">SUMIFS('03_DESPIECE'!$L$2:$L$225,'03_DESPIECE'!$A$2:$A$225,B247,'03_DESPIECE'!$B$2:$B$225,C247)</f>
        <v>1</v>
      </c>
      <c r="M247" s="2" t="s">
        <v>629</v>
      </c>
    </row>
    <row r="248" customFormat="false" ht="15" hidden="false" customHeight="false" outlineLevel="0" collapsed="false">
      <c r="A248" s="2" t="s">
        <v>562</v>
      </c>
      <c r="B248" s="2" t="s">
        <v>108</v>
      </c>
      <c r="C248" s="2" t="s">
        <v>322</v>
      </c>
      <c r="D248" s="2" t="s">
        <v>176</v>
      </c>
      <c r="E248" s="5" t="n">
        <f aca="false">INDEX('08_PEDIDOS'!$D$2:$D$97,MATCH(A248,'08_PEDIDOS'!$A$2:$A$97,0))</f>
        <v>6</v>
      </c>
      <c r="F248" s="5" t="n">
        <f aca="false">SUMIFS('03_DESPIECE'!$D$2:$D$225,'03_DESPIECE'!$A$2:$A$225,B248,'03_DESPIECE'!$B$2:$B$225,C248)</f>
        <v>2</v>
      </c>
      <c r="G248" s="5" t="n">
        <f aca="false">E248*F248</f>
        <v>12</v>
      </c>
      <c r="H248" s="16" t="n">
        <f aca="false">SUMIFS('03_DESPIECE'!$J$2:$J$225,'03_DESPIECE'!$A$2:$A$225,B248,'03_DESPIECE'!$B$2:$B$225,C248)</f>
        <v>83.5513043478</v>
      </c>
      <c r="I248" s="16" t="n">
        <f aca="false">E248*H248</f>
        <v>501.3078260868</v>
      </c>
      <c r="J248" s="17" t="n">
        <f aca="false">E248*SUMIFS('03_DESPIECE'!$I$2:$I$225,'03_DESPIECE'!$A$2:$A$225,B248,'03_DESPIECE'!$B$2:$B$225,C248)</f>
        <v>67.824</v>
      </c>
      <c r="K248" s="19" t="n">
        <f aca="false">E248*SUMIFS('03_DESPIECE'!$K$2:$K$225,'03_DESPIECE'!$A$2:$A$225,B248,'03_DESPIECE'!$B$2:$B$225,C248)</f>
        <v>1.9999999998</v>
      </c>
      <c r="L248" s="5" t="n">
        <f aca="false">SUMIFS('03_DESPIECE'!$L$2:$L$225,'03_DESPIECE'!$A$2:$A$225,B248,'03_DESPIECE'!$B$2:$B$225,C248)</f>
        <v>1</v>
      </c>
      <c r="M248" s="2" t="s">
        <v>629</v>
      </c>
    </row>
    <row r="249" customFormat="false" ht="15" hidden="false" customHeight="false" outlineLevel="0" collapsed="false">
      <c r="A249" s="2" t="s">
        <v>562</v>
      </c>
      <c r="B249" s="2" t="s">
        <v>108</v>
      </c>
      <c r="C249" s="2" t="s">
        <v>323</v>
      </c>
      <c r="D249" s="2" t="s">
        <v>176</v>
      </c>
      <c r="E249" s="5" t="n">
        <f aca="false">INDEX('08_PEDIDOS'!$D$2:$D$97,MATCH(A249,'08_PEDIDOS'!$A$2:$A$97,0))</f>
        <v>6</v>
      </c>
      <c r="F249" s="5" t="n">
        <f aca="false">SUMIFS('03_DESPIECE'!$D$2:$D$225,'03_DESPIECE'!$A$2:$A$225,B249,'03_DESPIECE'!$B$2:$B$225,C249)</f>
        <v>1</v>
      </c>
      <c r="G249" s="5" t="n">
        <f aca="false">E249*F249</f>
        <v>6</v>
      </c>
      <c r="H249" s="16" t="n">
        <f aca="false">SUMIFS('03_DESPIECE'!$J$2:$J$225,'03_DESPIECE'!$A$2:$A$225,B249,'03_DESPIECE'!$B$2:$B$225,C249)</f>
        <v>156.6586956522</v>
      </c>
      <c r="I249" s="16" t="n">
        <f aca="false">E249*H249</f>
        <v>939.9521739132</v>
      </c>
      <c r="J249" s="17" t="n">
        <f aca="false">E249*SUMIFS('03_DESPIECE'!$I$2:$I$225,'03_DESPIECE'!$A$2:$A$225,B249,'03_DESPIECE'!$B$2:$B$225,C249)</f>
        <v>127.17</v>
      </c>
      <c r="K249" s="19" t="n">
        <f aca="false">E249*SUMIFS('03_DESPIECE'!$K$2:$K$225,'03_DESPIECE'!$A$2:$A$225,B249,'03_DESPIECE'!$B$2:$B$225,C249)</f>
        <v>3.75</v>
      </c>
      <c r="L249" s="5" t="n">
        <f aca="false">SUMIFS('03_DESPIECE'!$L$2:$L$225,'03_DESPIECE'!$A$2:$A$225,B249,'03_DESPIECE'!$B$2:$B$225,C249)</f>
        <v>1</v>
      </c>
      <c r="M249" s="2" t="s">
        <v>629</v>
      </c>
    </row>
    <row r="250" customFormat="false" ht="15" hidden="false" customHeight="false" outlineLevel="0" collapsed="false">
      <c r="A250" s="2" t="s">
        <v>562</v>
      </c>
      <c r="B250" s="2" t="s">
        <v>108</v>
      </c>
      <c r="C250" s="2" t="s">
        <v>324</v>
      </c>
      <c r="D250" s="2" t="s">
        <v>176</v>
      </c>
      <c r="E250" s="5" t="n">
        <f aca="false">INDEX('08_PEDIDOS'!$D$2:$D$97,MATCH(A250,'08_PEDIDOS'!$A$2:$A$97,0))</f>
        <v>6</v>
      </c>
      <c r="F250" s="5" t="n">
        <f aca="false">SUMIFS('03_DESPIECE'!$D$2:$D$225,'03_DESPIECE'!$A$2:$A$225,B250,'03_DESPIECE'!$B$2:$B$225,C250)</f>
        <v>6</v>
      </c>
      <c r="G250" s="5" t="n">
        <f aca="false">E250*F250</f>
        <v>36</v>
      </c>
      <c r="H250" s="16" t="n">
        <f aca="false">SUMIFS('03_DESPIECE'!$J$2:$J$225,'03_DESPIECE'!$A$2:$A$225,B250,'03_DESPIECE'!$B$2:$B$225,C250)</f>
        <v>156.6586956522</v>
      </c>
      <c r="I250" s="16" t="n">
        <f aca="false">E250*H250</f>
        <v>939.9521739132</v>
      </c>
      <c r="J250" s="17" t="n">
        <f aca="false">E250*SUMIFS('03_DESPIECE'!$I$2:$I$225,'03_DESPIECE'!$A$2:$A$225,B250,'03_DESPIECE'!$B$2:$B$225,C250)</f>
        <v>127.17</v>
      </c>
      <c r="K250" s="19" t="n">
        <f aca="false">E250*SUMIFS('03_DESPIECE'!$K$2:$K$225,'03_DESPIECE'!$A$2:$A$225,B250,'03_DESPIECE'!$B$2:$B$225,C250)</f>
        <v>3.75</v>
      </c>
      <c r="L250" s="5" t="n">
        <f aca="false">SUMIFS('03_DESPIECE'!$L$2:$L$225,'03_DESPIECE'!$A$2:$A$225,B250,'03_DESPIECE'!$B$2:$B$225,C250)</f>
        <v>1</v>
      </c>
      <c r="M250" s="2" t="s">
        <v>629</v>
      </c>
    </row>
    <row r="251" customFormat="false" ht="15" hidden="false" customHeight="false" outlineLevel="0" collapsed="false">
      <c r="A251" s="2" t="s">
        <v>562</v>
      </c>
      <c r="B251" s="2" t="s">
        <v>108</v>
      </c>
      <c r="C251" s="2" t="s">
        <v>325</v>
      </c>
      <c r="D251" s="2" t="s">
        <v>176</v>
      </c>
      <c r="E251" s="5" t="n">
        <f aca="false">INDEX('08_PEDIDOS'!$D$2:$D$97,MATCH(A251,'08_PEDIDOS'!$A$2:$A$97,0))</f>
        <v>6</v>
      </c>
      <c r="F251" s="5" t="n">
        <f aca="false">SUMIFS('03_DESPIECE'!$D$2:$D$225,'03_DESPIECE'!$A$2:$A$225,B251,'03_DESPIECE'!$B$2:$B$225,C251)</f>
        <v>2</v>
      </c>
      <c r="G251" s="5" t="n">
        <f aca="false">E251*F251</f>
        <v>12</v>
      </c>
      <c r="H251" s="16" t="n">
        <f aca="false">SUMIFS('03_DESPIECE'!$J$2:$J$225,'03_DESPIECE'!$A$2:$A$225,B251,'03_DESPIECE'!$B$2:$B$225,C251)</f>
        <v>121.8456521739</v>
      </c>
      <c r="I251" s="16" t="n">
        <f aca="false">E251*H251</f>
        <v>731.0739130434</v>
      </c>
      <c r="J251" s="17" t="n">
        <f aca="false">E251*SUMIFS('03_DESPIECE'!$I$2:$I$225,'03_DESPIECE'!$A$2:$A$225,B251,'03_DESPIECE'!$B$2:$B$225,C251)</f>
        <v>98.91</v>
      </c>
      <c r="K251" s="19" t="n">
        <f aca="false">E251*SUMIFS('03_DESPIECE'!$K$2:$K$225,'03_DESPIECE'!$A$2:$A$225,B251,'03_DESPIECE'!$B$2:$B$225,C251)</f>
        <v>2.9166666666</v>
      </c>
      <c r="L251" s="5" t="n">
        <f aca="false">SUMIFS('03_DESPIECE'!$L$2:$L$225,'03_DESPIECE'!$A$2:$A$225,B251,'03_DESPIECE'!$B$2:$B$225,C251)</f>
        <v>1</v>
      </c>
      <c r="M251" s="2" t="s">
        <v>629</v>
      </c>
    </row>
    <row r="252" customFormat="false" ht="15" hidden="false" customHeight="false" outlineLevel="0" collapsed="false">
      <c r="A252" s="2" t="s">
        <v>562</v>
      </c>
      <c r="B252" s="2" t="s">
        <v>108</v>
      </c>
      <c r="C252" s="2" t="s">
        <v>326</v>
      </c>
      <c r="D252" s="2" t="s">
        <v>176</v>
      </c>
      <c r="E252" s="5" t="n">
        <f aca="false">INDEX('08_PEDIDOS'!$D$2:$D$97,MATCH(A252,'08_PEDIDOS'!$A$2:$A$97,0))</f>
        <v>6</v>
      </c>
      <c r="F252" s="5" t="n">
        <f aca="false">SUMIFS('03_DESPIECE'!$D$2:$D$225,'03_DESPIECE'!$A$2:$A$225,B252,'03_DESPIECE'!$B$2:$B$225,C252)</f>
        <v>4</v>
      </c>
      <c r="G252" s="5" t="n">
        <f aca="false">E252*F252</f>
        <v>24</v>
      </c>
      <c r="H252" s="16" t="n">
        <f aca="false">SUMIFS('03_DESPIECE'!$J$2:$J$225,'03_DESPIECE'!$A$2:$A$225,B252,'03_DESPIECE'!$B$2:$B$225,C252)</f>
        <v>139.252173913</v>
      </c>
      <c r="I252" s="16" t="n">
        <f aca="false">E252*H252</f>
        <v>835.513043478</v>
      </c>
      <c r="J252" s="17" t="n">
        <f aca="false">E252*SUMIFS('03_DESPIECE'!$I$2:$I$225,'03_DESPIECE'!$A$2:$A$225,B252,'03_DESPIECE'!$B$2:$B$225,C252)</f>
        <v>113.04</v>
      </c>
      <c r="K252" s="19" t="n">
        <f aca="false">E252*SUMIFS('03_DESPIECE'!$K$2:$K$225,'03_DESPIECE'!$A$2:$A$225,B252,'03_DESPIECE'!$B$2:$B$225,C252)</f>
        <v>3.3333333336</v>
      </c>
      <c r="L252" s="5" t="n">
        <f aca="false">SUMIFS('03_DESPIECE'!$L$2:$L$225,'03_DESPIECE'!$A$2:$A$225,B252,'03_DESPIECE'!$B$2:$B$225,C252)</f>
        <v>1</v>
      </c>
      <c r="M252" s="2" t="s">
        <v>629</v>
      </c>
    </row>
    <row r="253" customFormat="false" ht="15" hidden="false" customHeight="false" outlineLevel="0" collapsed="false">
      <c r="A253" s="2" t="s">
        <v>562</v>
      </c>
      <c r="B253" s="2" t="s">
        <v>108</v>
      </c>
      <c r="C253" s="2" t="s">
        <v>319</v>
      </c>
      <c r="D253" s="2" t="s">
        <v>188</v>
      </c>
      <c r="E253" s="5" t="n">
        <f aca="false">INDEX('08_PEDIDOS'!$D$2:$D$97,MATCH(A253,'08_PEDIDOS'!$A$2:$A$97,0))</f>
        <v>6</v>
      </c>
      <c r="F253" s="5" t="n">
        <f aca="false">SUMIFS('03_DESPIECE'!$D$2:$D$225,'03_DESPIECE'!$A$2:$A$225,B253,'03_DESPIECE'!$B$2:$B$225,C253)</f>
        <v>12</v>
      </c>
      <c r="G253" s="5" t="n">
        <f aca="false">E253*F253</f>
        <v>72</v>
      </c>
      <c r="H253" s="16" t="n">
        <f aca="false">SUMIFS('03_DESPIECE'!$J$2:$J$225,'03_DESPIECE'!$A$2:$A$225,B253,'03_DESPIECE'!$B$2:$B$225,C253)</f>
        <v>10.8</v>
      </c>
      <c r="I253" s="16" t="n">
        <f aca="false">E253*H253</f>
        <v>64.8</v>
      </c>
      <c r="J253" s="17" t="n">
        <f aca="false">E253*SUMIFS('03_DESPIECE'!$I$2:$I$225,'03_DESPIECE'!$A$2:$A$225,B253,'03_DESPIECE'!$B$2:$B$225,C253)</f>
        <v>0</v>
      </c>
      <c r="K253" s="19" t="n">
        <f aca="false">E253*SUMIFS('03_DESPIECE'!$K$2:$K$225,'03_DESPIECE'!$A$2:$A$225,B253,'03_DESPIECE'!$B$2:$B$225,C253)</f>
        <v>0</v>
      </c>
      <c r="L253" s="5" t="n">
        <f aca="false">SUMIFS('03_DESPIECE'!$L$2:$L$225,'03_DESPIECE'!$A$2:$A$225,B253,'03_DESPIECE'!$B$2:$B$225,C253)</f>
        <v>1</v>
      </c>
      <c r="M253" s="2" t="s">
        <v>629</v>
      </c>
    </row>
    <row r="254" customFormat="false" ht="15" hidden="false" customHeight="false" outlineLevel="0" collapsed="false">
      <c r="A254" s="2" t="s">
        <v>562</v>
      </c>
      <c r="B254" s="2" t="s">
        <v>108</v>
      </c>
      <c r="C254" s="2" t="s">
        <v>320</v>
      </c>
      <c r="D254" s="2" t="s">
        <v>188</v>
      </c>
      <c r="E254" s="5" t="n">
        <f aca="false">INDEX('08_PEDIDOS'!$D$2:$D$97,MATCH(A254,'08_PEDIDOS'!$A$2:$A$97,0))</f>
        <v>6</v>
      </c>
      <c r="F254" s="5" t="n">
        <f aca="false">SUMIFS('03_DESPIECE'!$D$2:$D$225,'03_DESPIECE'!$A$2:$A$225,B254,'03_DESPIECE'!$B$2:$B$225,C254)</f>
        <v>6</v>
      </c>
      <c r="G254" s="5" t="n">
        <f aca="false">E254*F254</f>
        <v>36</v>
      </c>
      <c r="H254" s="16" t="n">
        <f aca="false">SUMIFS('03_DESPIECE'!$J$2:$J$225,'03_DESPIECE'!$A$2:$A$225,B254,'03_DESPIECE'!$B$2:$B$225,C254)</f>
        <v>5.4</v>
      </c>
      <c r="I254" s="16" t="n">
        <f aca="false">E254*H254</f>
        <v>32.4</v>
      </c>
      <c r="J254" s="17" t="n">
        <f aca="false">E254*SUMIFS('03_DESPIECE'!$I$2:$I$225,'03_DESPIECE'!$A$2:$A$225,B254,'03_DESPIECE'!$B$2:$B$225,C254)</f>
        <v>0</v>
      </c>
      <c r="K254" s="19" t="n">
        <f aca="false">E254*SUMIFS('03_DESPIECE'!$K$2:$K$225,'03_DESPIECE'!$A$2:$A$225,B254,'03_DESPIECE'!$B$2:$B$225,C254)</f>
        <v>0</v>
      </c>
      <c r="L254" s="5" t="n">
        <f aca="false">SUMIFS('03_DESPIECE'!$L$2:$L$225,'03_DESPIECE'!$A$2:$A$225,B254,'03_DESPIECE'!$B$2:$B$225,C254)</f>
        <v>1</v>
      </c>
      <c r="M254" s="2" t="s">
        <v>629</v>
      </c>
    </row>
    <row r="255" customFormat="false" ht="15" hidden="false" customHeight="false" outlineLevel="0" collapsed="false">
      <c r="A255" s="2" t="s">
        <v>563</v>
      </c>
      <c r="B255" s="2" t="s">
        <v>119</v>
      </c>
      <c r="C255" s="2" t="s">
        <v>327</v>
      </c>
      <c r="D255" s="2" t="s">
        <v>174</v>
      </c>
      <c r="E255" s="5" t="n">
        <f aca="false">INDEX('08_PEDIDOS'!$D$2:$D$97,MATCH(A255,'08_PEDIDOS'!$A$2:$A$97,0))</f>
        <v>10</v>
      </c>
      <c r="F255" s="5" t="n">
        <f aca="false">SUMIFS('03_DESPIECE'!$D$2:$D$225,'03_DESPIECE'!$A$2:$A$225,B255,'03_DESPIECE'!$B$2:$B$225,C255)</f>
        <v>2</v>
      </c>
      <c r="G255" s="5" t="n">
        <f aca="false">E255*F255</f>
        <v>20</v>
      </c>
      <c r="H255" s="16" t="n">
        <f aca="false">SUMIFS('03_DESPIECE'!$J$2:$J$225,'03_DESPIECE'!$A$2:$A$225,B255,'03_DESPIECE'!$B$2:$B$225,C255)</f>
        <v>110.2413043478</v>
      </c>
      <c r="I255" s="16" t="n">
        <f aca="false">E255*H255</f>
        <v>1102.413043478</v>
      </c>
      <c r="J255" s="17" t="n">
        <f aca="false">E255*SUMIFS('03_DESPIECE'!$I$2:$I$225,'03_DESPIECE'!$A$2:$A$225,B255,'03_DESPIECE'!$B$2:$B$225,C255)</f>
        <v>149.15</v>
      </c>
      <c r="K255" s="19" t="n">
        <f aca="false">E255*SUMIFS('03_DESPIECE'!$K$2:$K$225,'03_DESPIECE'!$A$2:$A$225,B255,'03_DESPIECE'!$B$2:$B$225,C255)</f>
        <v>6.597222222</v>
      </c>
      <c r="L255" s="5" t="n">
        <f aca="false">SUMIFS('03_DESPIECE'!$L$2:$L$225,'03_DESPIECE'!$A$2:$A$225,B255,'03_DESPIECE'!$B$2:$B$225,C255)</f>
        <v>1</v>
      </c>
      <c r="M255" s="2" t="s">
        <v>629</v>
      </c>
    </row>
    <row r="256" customFormat="false" ht="15" hidden="false" customHeight="false" outlineLevel="0" collapsed="false">
      <c r="A256" s="2" t="s">
        <v>563</v>
      </c>
      <c r="B256" s="2" t="s">
        <v>119</v>
      </c>
      <c r="C256" s="2" t="s">
        <v>316</v>
      </c>
      <c r="D256" s="2" t="s">
        <v>174</v>
      </c>
      <c r="E256" s="5" t="n">
        <f aca="false">INDEX('08_PEDIDOS'!$D$2:$D$97,MATCH(A256,'08_PEDIDOS'!$A$2:$A$97,0))</f>
        <v>10</v>
      </c>
      <c r="F256" s="5" t="n">
        <f aca="false">SUMIFS('03_DESPIECE'!$D$2:$D$225,'03_DESPIECE'!$A$2:$A$225,B256,'03_DESPIECE'!$B$2:$B$225,C256)</f>
        <v>1</v>
      </c>
      <c r="G256" s="5" t="n">
        <f aca="false">E256*F256</f>
        <v>10</v>
      </c>
      <c r="H256" s="16" t="n">
        <f aca="false">SUMIFS('03_DESPIECE'!$J$2:$J$225,'03_DESPIECE'!$A$2:$A$225,B256,'03_DESPIECE'!$B$2:$B$225,C256)</f>
        <v>75.4282608696</v>
      </c>
      <c r="I256" s="16" t="n">
        <f aca="false">E256*H256</f>
        <v>754.282608696</v>
      </c>
      <c r="J256" s="17" t="n">
        <f aca="false">E256*SUMIFS('03_DESPIECE'!$I$2:$I$225,'03_DESPIECE'!$A$2:$A$225,B256,'03_DESPIECE'!$B$2:$B$225,C256)</f>
        <v>102.05</v>
      </c>
      <c r="K256" s="19" t="n">
        <f aca="false">E256*SUMIFS('03_DESPIECE'!$K$2:$K$225,'03_DESPIECE'!$A$2:$A$225,B256,'03_DESPIECE'!$B$2:$B$225,C256)</f>
        <v>4.513888889</v>
      </c>
      <c r="L256" s="5" t="n">
        <f aca="false">SUMIFS('03_DESPIECE'!$L$2:$L$225,'03_DESPIECE'!$A$2:$A$225,B256,'03_DESPIECE'!$B$2:$B$225,C256)</f>
        <v>1</v>
      </c>
      <c r="M256" s="2" t="s">
        <v>629</v>
      </c>
    </row>
    <row r="257" customFormat="false" ht="15" hidden="false" customHeight="false" outlineLevel="0" collapsed="false">
      <c r="A257" s="2" t="s">
        <v>563</v>
      </c>
      <c r="B257" s="2" t="s">
        <v>119</v>
      </c>
      <c r="C257" s="2" t="s">
        <v>322</v>
      </c>
      <c r="D257" s="2" t="s">
        <v>174</v>
      </c>
      <c r="E257" s="5" t="n">
        <f aca="false">INDEX('08_PEDIDOS'!$D$2:$D$97,MATCH(A257,'08_PEDIDOS'!$A$2:$A$97,0))</f>
        <v>10</v>
      </c>
      <c r="F257" s="5" t="n">
        <f aca="false">SUMIFS('03_DESPIECE'!$D$2:$D$225,'03_DESPIECE'!$A$2:$A$225,B257,'03_DESPIECE'!$B$2:$B$225,C257)</f>
        <v>2</v>
      </c>
      <c r="G257" s="5" t="n">
        <f aca="false">E257*F257</f>
        <v>20</v>
      </c>
      <c r="H257" s="16" t="n">
        <f aca="false">SUMIFS('03_DESPIECE'!$J$2:$J$225,'03_DESPIECE'!$A$2:$A$225,B257,'03_DESPIECE'!$B$2:$B$225,C257)</f>
        <v>58.0217391304</v>
      </c>
      <c r="I257" s="16" t="n">
        <f aca="false">E257*H257</f>
        <v>580.217391304</v>
      </c>
      <c r="J257" s="17" t="n">
        <f aca="false">E257*SUMIFS('03_DESPIECE'!$I$2:$I$225,'03_DESPIECE'!$A$2:$A$225,B257,'03_DESPIECE'!$B$2:$B$225,C257)</f>
        <v>78.5</v>
      </c>
      <c r="K257" s="19" t="n">
        <f aca="false">E257*SUMIFS('03_DESPIECE'!$K$2:$K$225,'03_DESPIECE'!$A$2:$A$225,B257,'03_DESPIECE'!$B$2:$B$225,C257)</f>
        <v>3.472222222</v>
      </c>
      <c r="L257" s="5" t="n">
        <f aca="false">SUMIFS('03_DESPIECE'!$L$2:$L$225,'03_DESPIECE'!$A$2:$A$225,B257,'03_DESPIECE'!$B$2:$B$225,C257)</f>
        <v>1</v>
      </c>
      <c r="M257" s="2" t="s">
        <v>629</v>
      </c>
    </row>
    <row r="258" customFormat="false" ht="15" hidden="false" customHeight="false" outlineLevel="0" collapsed="false">
      <c r="A258" s="2" t="s">
        <v>563</v>
      </c>
      <c r="B258" s="2" t="s">
        <v>119</v>
      </c>
      <c r="C258" s="2" t="s">
        <v>328</v>
      </c>
      <c r="D258" s="2" t="s">
        <v>174</v>
      </c>
      <c r="E258" s="5" t="n">
        <f aca="false">INDEX('08_PEDIDOS'!$D$2:$D$97,MATCH(A258,'08_PEDIDOS'!$A$2:$A$97,0))</f>
        <v>10</v>
      </c>
      <c r="F258" s="5" t="n">
        <f aca="false">SUMIFS('03_DESPIECE'!$D$2:$D$225,'03_DESPIECE'!$A$2:$A$225,B258,'03_DESPIECE'!$B$2:$B$225,C258)</f>
        <v>2</v>
      </c>
      <c r="G258" s="5" t="n">
        <f aca="false">E258*F258</f>
        <v>20</v>
      </c>
      <c r="H258" s="16" t="n">
        <f aca="false">SUMIFS('03_DESPIECE'!$J$2:$J$225,'03_DESPIECE'!$A$2:$A$225,B258,'03_DESPIECE'!$B$2:$B$225,C258)</f>
        <v>81.2304347826</v>
      </c>
      <c r="I258" s="16" t="n">
        <f aca="false">E258*H258</f>
        <v>812.304347826</v>
      </c>
      <c r="J258" s="17" t="n">
        <f aca="false">E258*SUMIFS('03_DESPIECE'!$I$2:$I$225,'03_DESPIECE'!$A$2:$A$225,B258,'03_DESPIECE'!$B$2:$B$225,C258)</f>
        <v>109.9</v>
      </c>
      <c r="K258" s="19" t="n">
        <f aca="false">E258*SUMIFS('03_DESPIECE'!$K$2:$K$225,'03_DESPIECE'!$A$2:$A$225,B258,'03_DESPIECE'!$B$2:$B$225,C258)</f>
        <v>4.861111111</v>
      </c>
      <c r="L258" s="5" t="n">
        <f aca="false">SUMIFS('03_DESPIECE'!$L$2:$L$225,'03_DESPIECE'!$A$2:$A$225,B258,'03_DESPIECE'!$B$2:$B$225,C258)</f>
        <v>1</v>
      </c>
      <c r="M258" s="2" t="s">
        <v>629</v>
      </c>
    </row>
    <row r="259" customFormat="false" ht="15" hidden="false" customHeight="false" outlineLevel="0" collapsed="false">
      <c r="A259" s="2" t="s">
        <v>563</v>
      </c>
      <c r="B259" s="2" t="s">
        <v>119</v>
      </c>
      <c r="C259" s="2" t="s">
        <v>310</v>
      </c>
      <c r="D259" s="2" t="s">
        <v>174</v>
      </c>
      <c r="E259" s="5" t="n">
        <f aca="false">INDEX('08_PEDIDOS'!$D$2:$D$97,MATCH(A259,'08_PEDIDOS'!$A$2:$A$97,0))</f>
        <v>10</v>
      </c>
      <c r="F259" s="5" t="n">
        <f aca="false">SUMIFS('03_DESPIECE'!$D$2:$D$225,'03_DESPIECE'!$A$2:$A$225,B259,'03_DESPIECE'!$B$2:$B$225,C259)</f>
        <v>3</v>
      </c>
      <c r="G259" s="5" t="n">
        <f aca="false">E259*F259</f>
        <v>30</v>
      </c>
      <c r="H259" s="16" t="n">
        <f aca="false">SUMIFS('03_DESPIECE'!$J$2:$J$225,'03_DESPIECE'!$A$2:$A$225,B259,'03_DESPIECE'!$B$2:$B$225,C259)</f>
        <v>83.5513043478</v>
      </c>
      <c r="I259" s="16" t="n">
        <f aca="false">E259*H259</f>
        <v>835.513043478</v>
      </c>
      <c r="J259" s="17" t="n">
        <f aca="false">E259*SUMIFS('03_DESPIECE'!$I$2:$I$225,'03_DESPIECE'!$A$2:$A$225,B259,'03_DESPIECE'!$B$2:$B$225,C259)</f>
        <v>113.04</v>
      </c>
      <c r="K259" s="19" t="n">
        <f aca="false">E259*SUMIFS('03_DESPIECE'!$K$2:$K$225,'03_DESPIECE'!$A$2:$A$225,B259,'03_DESPIECE'!$B$2:$B$225,C259)</f>
        <v>5</v>
      </c>
      <c r="L259" s="5" t="n">
        <f aca="false">SUMIFS('03_DESPIECE'!$L$2:$L$225,'03_DESPIECE'!$A$2:$A$225,B259,'03_DESPIECE'!$B$2:$B$225,C259)</f>
        <v>1</v>
      </c>
      <c r="M259" s="2" t="s">
        <v>629</v>
      </c>
    </row>
    <row r="260" customFormat="false" ht="15" hidden="false" customHeight="false" outlineLevel="0" collapsed="false">
      <c r="A260" s="2" t="s">
        <v>563</v>
      </c>
      <c r="B260" s="2" t="s">
        <v>119</v>
      </c>
      <c r="C260" s="2" t="s">
        <v>319</v>
      </c>
      <c r="D260" s="2" t="s">
        <v>188</v>
      </c>
      <c r="E260" s="5" t="n">
        <f aca="false">INDEX('08_PEDIDOS'!$D$2:$D$97,MATCH(A260,'08_PEDIDOS'!$A$2:$A$97,0))</f>
        <v>10</v>
      </c>
      <c r="F260" s="5" t="n">
        <f aca="false">SUMIFS('03_DESPIECE'!$D$2:$D$225,'03_DESPIECE'!$A$2:$A$225,B260,'03_DESPIECE'!$B$2:$B$225,C260)</f>
        <v>4</v>
      </c>
      <c r="G260" s="5" t="n">
        <f aca="false">E260*F260</f>
        <v>40</v>
      </c>
      <c r="H260" s="16" t="n">
        <f aca="false">SUMIFS('03_DESPIECE'!$J$2:$J$225,'03_DESPIECE'!$A$2:$A$225,B260,'03_DESPIECE'!$B$2:$B$225,C260)</f>
        <v>3.6</v>
      </c>
      <c r="I260" s="16" t="n">
        <f aca="false">E260*H260</f>
        <v>36</v>
      </c>
      <c r="J260" s="17" t="n">
        <f aca="false">E260*SUMIFS('03_DESPIECE'!$I$2:$I$225,'03_DESPIECE'!$A$2:$A$225,B260,'03_DESPIECE'!$B$2:$B$225,C260)</f>
        <v>0</v>
      </c>
      <c r="K260" s="19" t="n">
        <f aca="false">E260*SUMIFS('03_DESPIECE'!$K$2:$K$225,'03_DESPIECE'!$A$2:$A$225,B260,'03_DESPIECE'!$B$2:$B$225,C260)</f>
        <v>0</v>
      </c>
      <c r="L260" s="5" t="n">
        <f aca="false">SUMIFS('03_DESPIECE'!$L$2:$L$225,'03_DESPIECE'!$A$2:$A$225,B260,'03_DESPIECE'!$B$2:$B$225,C260)</f>
        <v>1</v>
      </c>
      <c r="M260" s="2" t="s">
        <v>629</v>
      </c>
    </row>
    <row r="261" customFormat="false" ht="15" hidden="false" customHeight="false" outlineLevel="0" collapsed="false">
      <c r="A261" s="2" t="s">
        <v>563</v>
      </c>
      <c r="B261" s="2" t="s">
        <v>119</v>
      </c>
      <c r="C261" s="2" t="s">
        <v>320</v>
      </c>
      <c r="D261" s="2" t="s">
        <v>188</v>
      </c>
      <c r="E261" s="5" t="n">
        <f aca="false">INDEX('08_PEDIDOS'!$D$2:$D$97,MATCH(A261,'08_PEDIDOS'!$A$2:$A$97,0))</f>
        <v>10</v>
      </c>
      <c r="F261" s="5" t="n">
        <f aca="false">SUMIFS('03_DESPIECE'!$D$2:$D$225,'03_DESPIECE'!$A$2:$A$225,B261,'03_DESPIECE'!$B$2:$B$225,C261)</f>
        <v>2</v>
      </c>
      <c r="G261" s="5" t="n">
        <f aca="false">E261*F261</f>
        <v>20</v>
      </c>
      <c r="H261" s="16" t="n">
        <f aca="false">SUMIFS('03_DESPIECE'!$J$2:$J$225,'03_DESPIECE'!$A$2:$A$225,B261,'03_DESPIECE'!$B$2:$B$225,C261)</f>
        <v>1.8</v>
      </c>
      <c r="I261" s="16" t="n">
        <f aca="false">E261*H261</f>
        <v>18</v>
      </c>
      <c r="J261" s="17" t="n">
        <f aca="false">E261*SUMIFS('03_DESPIECE'!$I$2:$I$225,'03_DESPIECE'!$A$2:$A$225,B261,'03_DESPIECE'!$B$2:$B$225,C261)</f>
        <v>0</v>
      </c>
      <c r="K261" s="19" t="n">
        <f aca="false">E261*SUMIFS('03_DESPIECE'!$K$2:$K$225,'03_DESPIECE'!$A$2:$A$225,B261,'03_DESPIECE'!$B$2:$B$225,C261)</f>
        <v>0</v>
      </c>
      <c r="L261" s="5" t="n">
        <f aca="false">SUMIFS('03_DESPIECE'!$L$2:$L$225,'03_DESPIECE'!$A$2:$A$225,B261,'03_DESPIECE'!$B$2:$B$225,C261)</f>
        <v>1</v>
      </c>
      <c r="M261" s="2" t="s">
        <v>629</v>
      </c>
    </row>
    <row r="262" customFormat="false" ht="15" hidden="false" customHeight="false" outlineLevel="0" collapsed="false">
      <c r="A262" s="2" t="s">
        <v>564</v>
      </c>
      <c r="B262" s="2" t="s">
        <v>121</v>
      </c>
      <c r="C262" s="2" t="s">
        <v>329</v>
      </c>
      <c r="D262" s="2" t="s">
        <v>184</v>
      </c>
      <c r="E262" s="5" t="n">
        <f aca="false">INDEX('08_PEDIDOS'!$D$2:$D$97,MATCH(A262,'08_PEDIDOS'!$A$2:$A$97,0))</f>
        <v>10</v>
      </c>
      <c r="F262" s="5" t="n">
        <f aca="false">SUMIFS('03_DESPIECE'!$D$2:$D$225,'03_DESPIECE'!$A$2:$A$225,B262,'03_DESPIECE'!$B$2:$B$225,C262)</f>
        <v>4</v>
      </c>
      <c r="G262" s="5" t="n">
        <f aca="false">E262*F262</f>
        <v>40</v>
      </c>
      <c r="H262" s="16" t="n">
        <f aca="false">SUMIFS('03_DESPIECE'!$J$2:$J$225,'03_DESPIECE'!$A$2:$A$225,B262,'03_DESPIECE'!$B$2:$B$225,C262)</f>
        <v>62.90625</v>
      </c>
      <c r="I262" s="16" t="n">
        <f aca="false">E262*H262</f>
        <v>629.0625</v>
      </c>
      <c r="J262" s="17" t="n">
        <f aca="false">E262*SUMIFS('03_DESPIECE'!$I$2:$I$225,'03_DESPIECE'!$A$2:$A$225,B262,'03_DESPIECE'!$B$2:$B$225,C262)</f>
        <v>99</v>
      </c>
      <c r="K262" s="19" t="n">
        <f aca="false">E262*SUMIFS('03_DESPIECE'!$K$2:$K$225,'03_DESPIECE'!$A$2:$A$225,B262,'03_DESPIECE'!$B$2:$B$225,C262)</f>
        <v>0</v>
      </c>
      <c r="L262" s="5" t="n">
        <f aca="false">SUMIFS('03_DESPIECE'!$L$2:$L$225,'03_DESPIECE'!$A$2:$A$225,B262,'03_DESPIECE'!$B$2:$B$225,C262)</f>
        <v>1</v>
      </c>
      <c r="M262" s="2" t="s">
        <v>629</v>
      </c>
    </row>
    <row r="263" customFormat="false" ht="15" hidden="false" customHeight="false" outlineLevel="0" collapsed="false">
      <c r="A263" s="2" t="s">
        <v>564</v>
      </c>
      <c r="B263" s="2" t="s">
        <v>121</v>
      </c>
      <c r="C263" s="2" t="s">
        <v>330</v>
      </c>
      <c r="D263" s="2" t="s">
        <v>184</v>
      </c>
      <c r="E263" s="5" t="n">
        <f aca="false">INDEX('08_PEDIDOS'!$D$2:$D$97,MATCH(A263,'08_PEDIDOS'!$A$2:$A$97,0))</f>
        <v>10</v>
      </c>
      <c r="F263" s="5" t="n">
        <f aca="false">SUMIFS('03_DESPIECE'!$D$2:$D$225,'03_DESPIECE'!$A$2:$A$225,B263,'03_DESPIECE'!$B$2:$B$225,C263)</f>
        <v>8</v>
      </c>
      <c r="G263" s="5" t="n">
        <f aca="false">E263*F263</f>
        <v>80</v>
      </c>
      <c r="H263" s="16" t="n">
        <f aca="false">SUMIFS('03_DESPIECE'!$J$2:$J$225,'03_DESPIECE'!$A$2:$A$225,B263,'03_DESPIECE'!$B$2:$B$225,C263)</f>
        <v>68.625</v>
      </c>
      <c r="I263" s="16" t="n">
        <f aca="false">E263*H263</f>
        <v>686.25</v>
      </c>
      <c r="J263" s="17" t="n">
        <f aca="false">E263*SUMIFS('03_DESPIECE'!$I$2:$I$225,'03_DESPIECE'!$A$2:$A$225,B263,'03_DESPIECE'!$B$2:$B$225,C263)</f>
        <v>108</v>
      </c>
      <c r="K263" s="19" t="n">
        <f aca="false">E263*SUMIFS('03_DESPIECE'!$K$2:$K$225,'03_DESPIECE'!$A$2:$A$225,B263,'03_DESPIECE'!$B$2:$B$225,C263)</f>
        <v>0</v>
      </c>
      <c r="L263" s="5" t="n">
        <f aca="false">SUMIFS('03_DESPIECE'!$L$2:$L$225,'03_DESPIECE'!$A$2:$A$225,B263,'03_DESPIECE'!$B$2:$B$225,C263)</f>
        <v>1</v>
      </c>
      <c r="M263" s="2" t="s">
        <v>629</v>
      </c>
    </row>
    <row r="264" customFormat="false" ht="15" hidden="false" customHeight="false" outlineLevel="0" collapsed="false">
      <c r="A264" s="2" t="s">
        <v>564</v>
      </c>
      <c r="B264" s="2" t="s">
        <v>121</v>
      </c>
      <c r="C264" s="2" t="s">
        <v>310</v>
      </c>
      <c r="D264" s="2" t="s">
        <v>174</v>
      </c>
      <c r="E264" s="5" t="n">
        <f aca="false">INDEX('08_PEDIDOS'!$D$2:$D$97,MATCH(A264,'08_PEDIDOS'!$A$2:$A$97,0))</f>
        <v>10</v>
      </c>
      <c r="F264" s="5" t="n">
        <f aca="false">SUMIFS('03_DESPIECE'!$D$2:$D$225,'03_DESPIECE'!$A$2:$A$225,B264,'03_DESPIECE'!$B$2:$B$225,C264)</f>
        <v>5</v>
      </c>
      <c r="G264" s="5" t="n">
        <f aca="false">E264*F264</f>
        <v>50</v>
      </c>
      <c r="H264" s="16" t="n">
        <f aca="false">SUMIFS('03_DESPIECE'!$J$2:$J$225,'03_DESPIECE'!$A$2:$A$225,B264,'03_DESPIECE'!$B$2:$B$225,C264)</f>
        <v>116.0434782609</v>
      </c>
      <c r="I264" s="16" t="n">
        <f aca="false">E264*H264</f>
        <v>1160.434782609</v>
      </c>
      <c r="J264" s="17" t="n">
        <f aca="false">E264*SUMIFS('03_DESPIECE'!$I$2:$I$225,'03_DESPIECE'!$A$2:$A$225,B264,'03_DESPIECE'!$B$2:$B$225,C264)</f>
        <v>157</v>
      </c>
      <c r="K264" s="19" t="n">
        <f aca="false">E264*SUMIFS('03_DESPIECE'!$K$2:$K$225,'03_DESPIECE'!$A$2:$A$225,B264,'03_DESPIECE'!$B$2:$B$225,C264)</f>
        <v>6.944444444</v>
      </c>
      <c r="L264" s="5" t="n">
        <f aca="false">SUMIFS('03_DESPIECE'!$L$2:$L$225,'03_DESPIECE'!$A$2:$A$225,B264,'03_DESPIECE'!$B$2:$B$225,C264)</f>
        <v>1</v>
      </c>
      <c r="M264" s="2" t="s">
        <v>629</v>
      </c>
    </row>
    <row r="265" customFormat="false" ht="15" hidden="false" customHeight="false" outlineLevel="0" collapsed="false">
      <c r="A265" s="2" t="s">
        <v>564</v>
      </c>
      <c r="B265" s="2" t="s">
        <v>121</v>
      </c>
      <c r="C265" s="2" t="s">
        <v>331</v>
      </c>
      <c r="D265" s="2" t="s">
        <v>174</v>
      </c>
      <c r="E265" s="5" t="n">
        <f aca="false">INDEX('08_PEDIDOS'!$D$2:$D$97,MATCH(A265,'08_PEDIDOS'!$A$2:$A$97,0))</f>
        <v>10</v>
      </c>
      <c r="F265" s="5" t="n">
        <f aca="false">SUMIFS('03_DESPIECE'!$D$2:$D$225,'03_DESPIECE'!$A$2:$A$225,B265,'03_DESPIECE'!$B$2:$B$225,C265)</f>
        <v>8</v>
      </c>
      <c r="G265" s="5" t="n">
        <f aca="false">E265*F265</f>
        <v>80</v>
      </c>
      <c r="H265" s="16" t="n">
        <f aca="false">SUMIFS('03_DESPIECE'!$J$2:$J$225,'03_DESPIECE'!$A$2:$A$225,B265,'03_DESPIECE'!$B$2:$B$225,C265)</f>
        <v>16.2460869565</v>
      </c>
      <c r="I265" s="16" t="n">
        <f aca="false">E265*H265</f>
        <v>162.460869565</v>
      </c>
      <c r="J265" s="17" t="n">
        <f aca="false">E265*SUMIFS('03_DESPIECE'!$I$2:$I$225,'03_DESPIECE'!$A$2:$A$225,B265,'03_DESPIECE'!$B$2:$B$225,C265)</f>
        <v>21.98</v>
      </c>
      <c r="K265" s="19" t="n">
        <f aca="false">E265*SUMIFS('03_DESPIECE'!$K$2:$K$225,'03_DESPIECE'!$A$2:$A$225,B265,'03_DESPIECE'!$B$2:$B$225,C265)</f>
        <v>0.972222222</v>
      </c>
      <c r="L265" s="5" t="n">
        <f aca="false">SUMIFS('03_DESPIECE'!$L$2:$L$225,'03_DESPIECE'!$A$2:$A$225,B265,'03_DESPIECE'!$B$2:$B$225,C265)</f>
        <v>1</v>
      </c>
      <c r="M265" s="2" t="s">
        <v>629</v>
      </c>
    </row>
    <row r="266" customFormat="false" ht="15" hidden="false" customHeight="false" outlineLevel="0" collapsed="false">
      <c r="A266" s="2" t="s">
        <v>564</v>
      </c>
      <c r="B266" s="2" t="s">
        <v>121</v>
      </c>
      <c r="C266" s="2" t="s">
        <v>332</v>
      </c>
      <c r="D266" s="2" t="s">
        <v>188</v>
      </c>
      <c r="E266" s="5" t="n">
        <f aca="false">INDEX('08_PEDIDOS'!$D$2:$D$97,MATCH(A266,'08_PEDIDOS'!$A$2:$A$97,0))</f>
        <v>10</v>
      </c>
      <c r="F266" s="5" t="n">
        <f aca="false">SUMIFS('03_DESPIECE'!$D$2:$D$225,'03_DESPIECE'!$A$2:$A$225,B266,'03_DESPIECE'!$B$2:$B$225,C266)</f>
        <v>32</v>
      </c>
      <c r="G266" s="5" t="n">
        <f aca="false">E266*F266</f>
        <v>320</v>
      </c>
      <c r="H266" s="16" t="n">
        <f aca="false">SUMIFS('03_DESPIECE'!$J$2:$J$225,'03_DESPIECE'!$A$2:$A$225,B266,'03_DESPIECE'!$B$2:$B$225,C266)</f>
        <v>28.8</v>
      </c>
      <c r="I266" s="16" t="n">
        <f aca="false">E266*H266</f>
        <v>288</v>
      </c>
      <c r="J266" s="17" t="n">
        <f aca="false">E266*SUMIFS('03_DESPIECE'!$I$2:$I$225,'03_DESPIECE'!$A$2:$A$225,B266,'03_DESPIECE'!$B$2:$B$225,C266)</f>
        <v>0</v>
      </c>
      <c r="K266" s="19" t="n">
        <f aca="false">E266*SUMIFS('03_DESPIECE'!$K$2:$K$225,'03_DESPIECE'!$A$2:$A$225,B266,'03_DESPIECE'!$B$2:$B$225,C266)</f>
        <v>0</v>
      </c>
      <c r="L266" s="5" t="n">
        <f aca="false">SUMIFS('03_DESPIECE'!$L$2:$L$225,'03_DESPIECE'!$A$2:$A$225,B266,'03_DESPIECE'!$B$2:$B$225,C266)</f>
        <v>1</v>
      </c>
      <c r="M266" s="2" t="s">
        <v>629</v>
      </c>
    </row>
    <row r="267" customFormat="false" ht="15" hidden="false" customHeight="false" outlineLevel="0" collapsed="false">
      <c r="A267" s="2" t="s">
        <v>565</v>
      </c>
      <c r="B267" s="2" t="s">
        <v>80</v>
      </c>
      <c r="C267" s="2" t="s">
        <v>285</v>
      </c>
      <c r="D267" s="2" t="s">
        <v>184</v>
      </c>
      <c r="E267" s="5" t="n">
        <f aca="false">INDEX('08_PEDIDOS'!$D$2:$D$97,MATCH(A267,'08_PEDIDOS'!$A$2:$A$97,0))</f>
        <v>13</v>
      </c>
      <c r="F267" s="5" t="n">
        <f aca="false">SUMIFS('03_DESPIECE'!$D$2:$D$225,'03_DESPIECE'!$A$2:$A$225,B267,'03_DESPIECE'!$B$2:$B$225,C267)</f>
        <v>4</v>
      </c>
      <c r="G267" s="5" t="n">
        <f aca="false">E267*F267</f>
        <v>52</v>
      </c>
      <c r="H267" s="16" t="n">
        <f aca="false">SUMIFS('03_DESPIECE'!$J$2:$J$225,'03_DESPIECE'!$A$2:$A$225,B267,'03_DESPIECE'!$B$2:$B$225,C267)</f>
        <v>68.625</v>
      </c>
      <c r="I267" s="16" t="n">
        <f aca="false">E267*H267</f>
        <v>892.125</v>
      </c>
      <c r="J267" s="17" t="n">
        <f aca="false">E267*SUMIFS('03_DESPIECE'!$I$2:$I$225,'03_DESPIECE'!$A$2:$A$225,B267,'03_DESPIECE'!$B$2:$B$225,C267)</f>
        <v>140.4</v>
      </c>
      <c r="K267" s="19" t="n">
        <f aca="false">E267*SUMIFS('03_DESPIECE'!$K$2:$K$225,'03_DESPIECE'!$A$2:$A$225,B267,'03_DESPIECE'!$B$2:$B$225,C267)</f>
        <v>0</v>
      </c>
      <c r="L267" s="5" t="n">
        <f aca="false">SUMIFS('03_DESPIECE'!$L$2:$L$225,'03_DESPIECE'!$A$2:$A$225,B267,'03_DESPIECE'!$B$2:$B$225,C267)</f>
        <v>1</v>
      </c>
      <c r="M267" s="2" t="s">
        <v>629</v>
      </c>
    </row>
    <row r="268" customFormat="false" ht="15" hidden="false" customHeight="false" outlineLevel="0" collapsed="false">
      <c r="A268" s="2" t="s">
        <v>565</v>
      </c>
      <c r="B268" s="2" t="s">
        <v>80</v>
      </c>
      <c r="C268" s="2" t="s">
        <v>287</v>
      </c>
      <c r="D268" s="2" t="s">
        <v>184</v>
      </c>
      <c r="E268" s="5" t="n">
        <f aca="false">INDEX('08_PEDIDOS'!$D$2:$D$97,MATCH(A268,'08_PEDIDOS'!$A$2:$A$97,0))</f>
        <v>13</v>
      </c>
      <c r="F268" s="5" t="n">
        <f aca="false">SUMIFS('03_DESPIECE'!$D$2:$D$225,'03_DESPIECE'!$A$2:$A$225,B268,'03_DESPIECE'!$B$2:$B$225,C268)</f>
        <v>8</v>
      </c>
      <c r="G268" s="5" t="n">
        <f aca="false">E268*F268</f>
        <v>104</v>
      </c>
      <c r="H268" s="16" t="n">
        <f aca="false">SUMIFS('03_DESPIECE'!$J$2:$J$225,'03_DESPIECE'!$A$2:$A$225,B268,'03_DESPIECE'!$B$2:$B$225,C268)</f>
        <v>91.5</v>
      </c>
      <c r="I268" s="16" t="n">
        <f aca="false">E268*H268</f>
        <v>1189.5</v>
      </c>
      <c r="J268" s="17" t="n">
        <f aca="false">E268*SUMIFS('03_DESPIECE'!$I$2:$I$225,'03_DESPIECE'!$A$2:$A$225,B268,'03_DESPIECE'!$B$2:$B$225,C268)</f>
        <v>187.2</v>
      </c>
      <c r="K268" s="19" t="n">
        <f aca="false">E268*SUMIFS('03_DESPIECE'!$K$2:$K$225,'03_DESPIECE'!$A$2:$A$225,B268,'03_DESPIECE'!$B$2:$B$225,C268)</f>
        <v>0</v>
      </c>
      <c r="L268" s="5" t="n">
        <f aca="false">SUMIFS('03_DESPIECE'!$L$2:$L$225,'03_DESPIECE'!$A$2:$A$225,B268,'03_DESPIECE'!$B$2:$B$225,C268)</f>
        <v>1</v>
      </c>
      <c r="M268" s="2" t="s">
        <v>629</v>
      </c>
    </row>
    <row r="269" customFormat="false" ht="15" hidden="false" customHeight="false" outlineLevel="0" collapsed="false">
      <c r="A269" s="2" t="s">
        <v>565</v>
      </c>
      <c r="B269" s="2" t="s">
        <v>80</v>
      </c>
      <c r="C269" s="2" t="s">
        <v>288</v>
      </c>
      <c r="D269" s="2" t="s">
        <v>184</v>
      </c>
      <c r="E269" s="5" t="n">
        <f aca="false">INDEX('08_PEDIDOS'!$D$2:$D$97,MATCH(A269,'08_PEDIDOS'!$A$2:$A$97,0))</f>
        <v>13</v>
      </c>
      <c r="F269" s="5" t="n">
        <f aca="false">SUMIFS('03_DESPIECE'!$D$2:$D$225,'03_DESPIECE'!$A$2:$A$225,B269,'03_DESPIECE'!$B$2:$B$225,C269)</f>
        <v>4</v>
      </c>
      <c r="G269" s="5" t="n">
        <f aca="false">E269*F269</f>
        <v>52</v>
      </c>
      <c r="H269" s="16" t="n">
        <f aca="false">SUMIFS('03_DESPIECE'!$J$2:$J$225,'03_DESPIECE'!$A$2:$A$225,B269,'03_DESPIECE'!$B$2:$B$225,C269)</f>
        <v>22.875</v>
      </c>
      <c r="I269" s="16" t="n">
        <f aca="false">E269*H269</f>
        <v>297.375</v>
      </c>
      <c r="J269" s="17" t="n">
        <f aca="false">E269*SUMIFS('03_DESPIECE'!$I$2:$I$225,'03_DESPIECE'!$A$2:$A$225,B269,'03_DESPIECE'!$B$2:$B$225,C269)</f>
        <v>46.8</v>
      </c>
      <c r="K269" s="19" t="n">
        <f aca="false">E269*SUMIFS('03_DESPIECE'!$K$2:$K$225,'03_DESPIECE'!$A$2:$A$225,B269,'03_DESPIECE'!$B$2:$B$225,C269)</f>
        <v>0</v>
      </c>
      <c r="L269" s="5" t="n">
        <f aca="false">SUMIFS('03_DESPIECE'!$L$2:$L$225,'03_DESPIECE'!$A$2:$A$225,B269,'03_DESPIECE'!$B$2:$B$225,C269)</f>
        <v>1</v>
      </c>
      <c r="M269" s="2" t="s">
        <v>629</v>
      </c>
    </row>
    <row r="270" customFormat="false" ht="15" hidden="false" customHeight="false" outlineLevel="0" collapsed="false">
      <c r="A270" s="2" t="s">
        <v>565</v>
      </c>
      <c r="B270" s="2" t="s">
        <v>80</v>
      </c>
      <c r="C270" s="2" t="s">
        <v>289</v>
      </c>
      <c r="D270" s="2" t="s">
        <v>170</v>
      </c>
      <c r="E270" s="5" t="n">
        <f aca="false">INDEX('08_PEDIDOS'!$D$2:$D$97,MATCH(A270,'08_PEDIDOS'!$A$2:$A$97,0))</f>
        <v>13</v>
      </c>
      <c r="F270" s="5" t="n">
        <f aca="false">SUMIFS('03_DESPIECE'!$D$2:$D$225,'03_DESPIECE'!$A$2:$A$225,B270,'03_DESPIECE'!$B$2:$B$225,C270)</f>
        <v>4</v>
      </c>
      <c r="G270" s="5" t="n">
        <f aca="false">E270*F270</f>
        <v>52</v>
      </c>
      <c r="H270" s="16" t="n">
        <f aca="false">SUMIFS('03_DESPIECE'!$J$2:$J$225,'03_DESPIECE'!$A$2:$A$225,B270,'03_DESPIECE'!$B$2:$B$225,C270)</f>
        <v>334.2052173913</v>
      </c>
      <c r="I270" s="16" t="n">
        <f aca="false">E270*H270</f>
        <v>4344.6678260869</v>
      </c>
      <c r="J270" s="17" t="n">
        <f aca="false">E270*SUMIFS('03_DESPIECE'!$I$2:$I$225,'03_DESPIECE'!$A$2:$A$225,B270,'03_DESPIECE'!$B$2:$B$225,C270)</f>
        <v>587.808</v>
      </c>
      <c r="K270" s="19" t="n">
        <f aca="false">E270*SUMIFS('03_DESPIECE'!$K$2:$K$225,'03_DESPIECE'!$A$2:$A$225,B270,'03_DESPIECE'!$B$2:$B$225,C270)</f>
        <v>13</v>
      </c>
      <c r="L270" s="5" t="n">
        <f aca="false">SUMIFS('03_DESPIECE'!$L$2:$L$225,'03_DESPIECE'!$A$2:$A$225,B270,'03_DESPIECE'!$B$2:$B$225,C270)</f>
        <v>1</v>
      </c>
      <c r="M270" s="2" t="s">
        <v>629</v>
      </c>
    </row>
    <row r="271" customFormat="false" ht="15" hidden="false" customHeight="false" outlineLevel="0" collapsed="false">
      <c r="A271" s="2" t="s">
        <v>565</v>
      </c>
      <c r="B271" s="2" t="s">
        <v>80</v>
      </c>
      <c r="C271" s="2" t="s">
        <v>291</v>
      </c>
      <c r="D271" s="2" t="s">
        <v>170</v>
      </c>
      <c r="E271" s="5" t="n">
        <f aca="false">INDEX('08_PEDIDOS'!$D$2:$D$97,MATCH(A271,'08_PEDIDOS'!$A$2:$A$97,0))</f>
        <v>13</v>
      </c>
      <c r="F271" s="5" t="n">
        <f aca="false">SUMIFS('03_DESPIECE'!$D$2:$D$225,'03_DESPIECE'!$A$2:$A$225,B271,'03_DESPIECE'!$B$2:$B$225,C271)</f>
        <v>8</v>
      </c>
      <c r="G271" s="5" t="n">
        <f aca="false">E271*F271</f>
        <v>104</v>
      </c>
      <c r="H271" s="16" t="n">
        <f aca="false">SUMIFS('03_DESPIECE'!$J$2:$J$225,'03_DESPIECE'!$A$2:$A$225,B271,'03_DESPIECE'!$B$2:$B$225,C271)</f>
        <v>23.2086956522</v>
      </c>
      <c r="I271" s="16" t="n">
        <f aca="false">E271*H271</f>
        <v>301.7130434786</v>
      </c>
      <c r="J271" s="17" t="n">
        <f aca="false">E271*SUMIFS('03_DESPIECE'!$I$2:$I$225,'03_DESPIECE'!$A$2:$A$225,B271,'03_DESPIECE'!$B$2:$B$225,C271)</f>
        <v>40.82</v>
      </c>
      <c r="K271" s="19" t="n">
        <f aca="false">E271*SUMIFS('03_DESPIECE'!$K$2:$K$225,'03_DESPIECE'!$A$2:$A$225,B271,'03_DESPIECE'!$B$2:$B$225,C271)</f>
        <v>0.9027777772</v>
      </c>
      <c r="L271" s="5" t="n">
        <f aca="false">SUMIFS('03_DESPIECE'!$L$2:$L$225,'03_DESPIECE'!$A$2:$A$225,B271,'03_DESPIECE'!$B$2:$B$225,C271)</f>
        <v>1</v>
      </c>
      <c r="M271" s="2" t="s">
        <v>629</v>
      </c>
    </row>
    <row r="272" customFormat="false" ht="15" hidden="false" customHeight="false" outlineLevel="0" collapsed="false">
      <c r="A272" s="2" t="s">
        <v>565</v>
      </c>
      <c r="B272" s="2" t="s">
        <v>80</v>
      </c>
      <c r="C272" s="2" t="s">
        <v>292</v>
      </c>
      <c r="D272" s="2" t="s">
        <v>188</v>
      </c>
      <c r="E272" s="5" t="n">
        <f aca="false">INDEX('08_PEDIDOS'!$D$2:$D$97,MATCH(A272,'08_PEDIDOS'!$A$2:$A$97,0))</f>
        <v>13</v>
      </c>
      <c r="F272" s="5" t="n">
        <f aca="false">SUMIFS('03_DESPIECE'!$D$2:$D$225,'03_DESPIECE'!$A$2:$A$225,B272,'03_DESPIECE'!$B$2:$B$225,C272)</f>
        <v>24</v>
      </c>
      <c r="G272" s="5" t="n">
        <f aca="false">E272*F272</f>
        <v>312</v>
      </c>
      <c r="H272" s="16" t="n">
        <f aca="false">SUMIFS('03_DESPIECE'!$J$2:$J$225,'03_DESPIECE'!$A$2:$A$225,B272,'03_DESPIECE'!$B$2:$B$225,C272)</f>
        <v>21.6</v>
      </c>
      <c r="I272" s="16" t="n">
        <f aca="false">E272*H272</f>
        <v>280.8</v>
      </c>
      <c r="J272" s="17" t="n">
        <f aca="false">E272*SUMIFS('03_DESPIECE'!$I$2:$I$225,'03_DESPIECE'!$A$2:$A$225,B272,'03_DESPIECE'!$B$2:$B$225,C272)</f>
        <v>0</v>
      </c>
      <c r="K272" s="19" t="n">
        <f aca="false">E272*SUMIFS('03_DESPIECE'!$K$2:$K$225,'03_DESPIECE'!$A$2:$A$225,B272,'03_DESPIECE'!$B$2:$B$225,C272)</f>
        <v>0</v>
      </c>
      <c r="L272" s="5" t="n">
        <f aca="false">SUMIFS('03_DESPIECE'!$L$2:$L$225,'03_DESPIECE'!$A$2:$A$225,B272,'03_DESPIECE'!$B$2:$B$225,C272)</f>
        <v>1</v>
      </c>
      <c r="M272" s="2" t="s">
        <v>629</v>
      </c>
    </row>
    <row r="273" customFormat="false" ht="15" hidden="false" customHeight="false" outlineLevel="0" collapsed="false">
      <c r="A273" s="2" t="s">
        <v>565</v>
      </c>
      <c r="B273" s="2" t="s">
        <v>80</v>
      </c>
      <c r="C273" s="2" t="s">
        <v>294</v>
      </c>
      <c r="D273" s="2" t="s">
        <v>188</v>
      </c>
      <c r="E273" s="5" t="n">
        <f aca="false">INDEX('08_PEDIDOS'!$D$2:$D$97,MATCH(A273,'08_PEDIDOS'!$A$2:$A$97,0))</f>
        <v>13</v>
      </c>
      <c r="F273" s="5" t="n">
        <f aca="false">SUMIFS('03_DESPIECE'!$D$2:$D$225,'03_DESPIECE'!$A$2:$A$225,B273,'03_DESPIECE'!$B$2:$B$225,C273)</f>
        <v>4</v>
      </c>
      <c r="G273" s="5" t="n">
        <f aca="false">E273*F273</f>
        <v>52</v>
      </c>
      <c r="H273" s="16" t="n">
        <f aca="false">SUMIFS('03_DESPIECE'!$J$2:$J$225,'03_DESPIECE'!$A$2:$A$225,B273,'03_DESPIECE'!$B$2:$B$225,C273)</f>
        <v>3.6</v>
      </c>
      <c r="I273" s="16" t="n">
        <f aca="false">E273*H273</f>
        <v>46.8</v>
      </c>
      <c r="J273" s="17" t="n">
        <f aca="false">E273*SUMIFS('03_DESPIECE'!$I$2:$I$225,'03_DESPIECE'!$A$2:$A$225,B273,'03_DESPIECE'!$B$2:$B$225,C273)</f>
        <v>0</v>
      </c>
      <c r="K273" s="19" t="n">
        <f aca="false">E273*SUMIFS('03_DESPIECE'!$K$2:$K$225,'03_DESPIECE'!$A$2:$A$225,B273,'03_DESPIECE'!$B$2:$B$225,C273)</f>
        <v>0</v>
      </c>
      <c r="L273" s="5" t="n">
        <f aca="false">SUMIFS('03_DESPIECE'!$L$2:$L$225,'03_DESPIECE'!$A$2:$A$225,B273,'03_DESPIECE'!$B$2:$B$225,C273)</f>
        <v>1</v>
      </c>
      <c r="M273" s="2" t="s">
        <v>629</v>
      </c>
    </row>
    <row r="274" customFormat="false" ht="15" hidden="false" customHeight="false" outlineLevel="0" collapsed="false">
      <c r="A274" s="2" t="s">
        <v>566</v>
      </c>
      <c r="B274" s="2" t="s">
        <v>83</v>
      </c>
      <c r="C274" s="2" t="s">
        <v>295</v>
      </c>
      <c r="D274" s="2" t="s">
        <v>184</v>
      </c>
      <c r="E274" s="5" t="n">
        <f aca="false">INDEX('08_PEDIDOS'!$D$2:$D$97,MATCH(A274,'08_PEDIDOS'!$A$2:$A$97,0))</f>
        <v>14</v>
      </c>
      <c r="F274" s="5" t="n">
        <f aca="false">SUMIFS('03_DESPIECE'!$D$2:$D$225,'03_DESPIECE'!$A$2:$A$225,B274,'03_DESPIECE'!$B$2:$B$225,C274)</f>
        <v>4</v>
      </c>
      <c r="G274" s="5" t="n">
        <f aca="false">E274*F274</f>
        <v>56</v>
      </c>
      <c r="H274" s="16" t="n">
        <f aca="false">SUMIFS('03_DESPIECE'!$J$2:$J$225,'03_DESPIECE'!$A$2:$A$225,B274,'03_DESPIECE'!$B$2:$B$225,C274)</f>
        <v>76.25</v>
      </c>
      <c r="I274" s="16" t="n">
        <f aca="false">E274*H274</f>
        <v>1067.5</v>
      </c>
      <c r="J274" s="17" t="n">
        <f aca="false">E274*SUMIFS('03_DESPIECE'!$I$2:$I$225,'03_DESPIECE'!$A$2:$A$225,B274,'03_DESPIECE'!$B$2:$B$225,C274)</f>
        <v>168</v>
      </c>
      <c r="K274" s="19" t="n">
        <f aca="false">E274*SUMIFS('03_DESPIECE'!$K$2:$K$225,'03_DESPIECE'!$A$2:$A$225,B274,'03_DESPIECE'!$B$2:$B$225,C274)</f>
        <v>0</v>
      </c>
      <c r="L274" s="5" t="n">
        <f aca="false">SUMIFS('03_DESPIECE'!$L$2:$L$225,'03_DESPIECE'!$A$2:$A$225,B274,'03_DESPIECE'!$B$2:$B$225,C274)</f>
        <v>1</v>
      </c>
      <c r="M274" s="2" t="s">
        <v>629</v>
      </c>
    </row>
    <row r="275" customFormat="false" ht="15" hidden="false" customHeight="false" outlineLevel="0" collapsed="false">
      <c r="A275" s="2" t="s">
        <v>566</v>
      </c>
      <c r="B275" s="2" t="s">
        <v>83</v>
      </c>
      <c r="C275" s="2" t="s">
        <v>296</v>
      </c>
      <c r="D275" s="2" t="s">
        <v>184</v>
      </c>
      <c r="E275" s="5" t="n">
        <f aca="false">INDEX('08_PEDIDOS'!$D$2:$D$97,MATCH(A275,'08_PEDIDOS'!$A$2:$A$97,0))</f>
        <v>14</v>
      </c>
      <c r="F275" s="5" t="n">
        <f aca="false">SUMIFS('03_DESPIECE'!$D$2:$D$225,'03_DESPIECE'!$A$2:$A$225,B275,'03_DESPIECE'!$B$2:$B$225,C275)</f>
        <v>8</v>
      </c>
      <c r="G275" s="5" t="n">
        <f aca="false">E275*F275</f>
        <v>112</v>
      </c>
      <c r="H275" s="16" t="n">
        <f aca="false">SUMIFS('03_DESPIECE'!$J$2:$J$225,'03_DESPIECE'!$A$2:$A$225,B275,'03_DESPIECE'!$B$2:$B$225,C275)</f>
        <v>76.25</v>
      </c>
      <c r="I275" s="16" t="n">
        <f aca="false">E275*H275</f>
        <v>1067.5</v>
      </c>
      <c r="J275" s="17" t="n">
        <f aca="false">E275*SUMIFS('03_DESPIECE'!$I$2:$I$225,'03_DESPIECE'!$A$2:$A$225,B275,'03_DESPIECE'!$B$2:$B$225,C275)</f>
        <v>168</v>
      </c>
      <c r="K275" s="19" t="n">
        <f aca="false">E275*SUMIFS('03_DESPIECE'!$K$2:$K$225,'03_DESPIECE'!$A$2:$A$225,B275,'03_DESPIECE'!$B$2:$B$225,C275)</f>
        <v>0</v>
      </c>
      <c r="L275" s="5" t="n">
        <f aca="false">SUMIFS('03_DESPIECE'!$L$2:$L$225,'03_DESPIECE'!$A$2:$A$225,B275,'03_DESPIECE'!$B$2:$B$225,C275)</f>
        <v>1</v>
      </c>
      <c r="M275" s="2" t="s">
        <v>629</v>
      </c>
    </row>
    <row r="276" customFormat="false" ht="15" hidden="false" customHeight="false" outlineLevel="0" collapsed="false">
      <c r="A276" s="2" t="s">
        <v>566</v>
      </c>
      <c r="B276" s="2" t="s">
        <v>83</v>
      </c>
      <c r="C276" s="2" t="s">
        <v>297</v>
      </c>
      <c r="D276" s="2" t="s">
        <v>184</v>
      </c>
      <c r="E276" s="5" t="n">
        <f aca="false">INDEX('08_PEDIDOS'!$D$2:$D$97,MATCH(A276,'08_PEDIDOS'!$A$2:$A$97,0))</f>
        <v>14</v>
      </c>
      <c r="F276" s="5" t="n">
        <f aca="false">SUMIFS('03_DESPIECE'!$D$2:$D$225,'03_DESPIECE'!$A$2:$A$225,B276,'03_DESPIECE'!$B$2:$B$225,C276)</f>
        <v>8</v>
      </c>
      <c r="G276" s="5" t="n">
        <f aca="false">E276*F276</f>
        <v>112</v>
      </c>
      <c r="H276" s="16" t="n">
        <f aca="false">SUMIFS('03_DESPIECE'!$J$2:$J$225,'03_DESPIECE'!$A$2:$A$225,B276,'03_DESPIECE'!$B$2:$B$225,C276)</f>
        <v>38.125</v>
      </c>
      <c r="I276" s="16" t="n">
        <f aca="false">E276*H276</f>
        <v>533.75</v>
      </c>
      <c r="J276" s="17" t="n">
        <f aca="false">E276*SUMIFS('03_DESPIECE'!$I$2:$I$225,'03_DESPIECE'!$A$2:$A$225,B276,'03_DESPIECE'!$B$2:$B$225,C276)</f>
        <v>84</v>
      </c>
      <c r="K276" s="19" t="n">
        <f aca="false">E276*SUMIFS('03_DESPIECE'!$K$2:$K$225,'03_DESPIECE'!$A$2:$A$225,B276,'03_DESPIECE'!$B$2:$B$225,C276)</f>
        <v>0</v>
      </c>
      <c r="L276" s="5" t="n">
        <f aca="false">SUMIFS('03_DESPIECE'!$L$2:$L$225,'03_DESPIECE'!$A$2:$A$225,B276,'03_DESPIECE'!$B$2:$B$225,C276)</f>
        <v>1</v>
      </c>
      <c r="M276" s="2" t="s">
        <v>629</v>
      </c>
    </row>
    <row r="277" customFormat="false" ht="15" hidden="false" customHeight="false" outlineLevel="0" collapsed="false">
      <c r="A277" s="2" t="s">
        <v>566</v>
      </c>
      <c r="B277" s="2" t="s">
        <v>83</v>
      </c>
      <c r="C277" s="2" t="s">
        <v>298</v>
      </c>
      <c r="D277" s="2" t="s">
        <v>170</v>
      </c>
      <c r="E277" s="5" t="n">
        <f aca="false">INDEX('08_PEDIDOS'!$D$2:$D$97,MATCH(A277,'08_PEDIDOS'!$A$2:$A$97,0))</f>
        <v>14</v>
      </c>
      <c r="F277" s="5" t="n">
        <f aca="false">SUMIFS('03_DESPIECE'!$D$2:$D$225,'03_DESPIECE'!$A$2:$A$225,B277,'03_DESPIECE'!$B$2:$B$225,C277)</f>
        <v>5</v>
      </c>
      <c r="G277" s="5" t="n">
        <f aca="false">E277*F277</f>
        <v>70</v>
      </c>
      <c r="H277" s="16" t="n">
        <f aca="false">SUMIFS('03_DESPIECE'!$J$2:$J$225,'03_DESPIECE'!$A$2:$A$225,B277,'03_DESPIECE'!$B$2:$B$225,C277)</f>
        <v>290.1086956522</v>
      </c>
      <c r="I277" s="16" t="n">
        <f aca="false">E277*H277</f>
        <v>4061.5217391308</v>
      </c>
      <c r="J277" s="17" t="n">
        <f aca="false">E277*SUMIFS('03_DESPIECE'!$I$2:$I$225,'03_DESPIECE'!$A$2:$A$225,B277,'03_DESPIECE'!$B$2:$B$225,C277)</f>
        <v>549.5</v>
      </c>
      <c r="K277" s="19" t="n">
        <f aca="false">E277*SUMIFS('03_DESPIECE'!$K$2:$K$225,'03_DESPIECE'!$A$2:$A$225,B277,'03_DESPIECE'!$B$2:$B$225,C277)</f>
        <v>12.1527777784</v>
      </c>
      <c r="L277" s="5" t="n">
        <f aca="false">SUMIFS('03_DESPIECE'!$L$2:$L$225,'03_DESPIECE'!$A$2:$A$225,B277,'03_DESPIECE'!$B$2:$B$225,C277)</f>
        <v>1</v>
      </c>
      <c r="M277" s="2" t="s">
        <v>629</v>
      </c>
    </row>
    <row r="278" customFormat="false" ht="15" hidden="false" customHeight="false" outlineLevel="0" collapsed="false">
      <c r="A278" s="2" t="s">
        <v>566</v>
      </c>
      <c r="B278" s="2" t="s">
        <v>83</v>
      </c>
      <c r="C278" s="2" t="s">
        <v>299</v>
      </c>
      <c r="D278" s="2" t="s">
        <v>170</v>
      </c>
      <c r="E278" s="5" t="n">
        <f aca="false">INDEX('08_PEDIDOS'!$D$2:$D$97,MATCH(A278,'08_PEDIDOS'!$A$2:$A$97,0))</f>
        <v>14</v>
      </c>
      <c r="F278" s="5" t="n">
        <f aca="false">SUMIFS('03_DESPIECE'!$D$2:$D$225,'03_DESPIECE'!$A$2:$A$225,B278,'03_DESPIECE'!$B$2:$B$225,C278)</f>
        <v>8</v>
      </c>
      <c r="G278" s="5" t="n">
        <f aca="false">E278*F278</f>
        <v>112</v>
      </c>
      <c r="H278" s="16" t="n">
        <f aca="false">SUMIFS('03_DESPIECE'!$J$2:$J$225,'03_DESPIECE'!$A$2:$A$225,B278,'03_DESPIECE'!$B$2:$B$225,C278)</f>
        <v>32.492173913</v>
      </c>
      <c r="I278" s="16" t="n">
        <f aca="false">E278*H278</f>
        <v>454.890434782</v>
      </c>
      <c r="J278" s="17" t="n">
        <f aca="false">E278*SUMIFS('03_DESPIECE'!$I$2:$I$225,'03_DESPIECE'!$A$2:$A$225,B278,'03_DESPIECE'!$B$2:$B$225,C278)</f>
        <v>61.544</v>
      </c>
      <c r="K278" s="19" t="n">
        <f aca="false">E278*SUMIFS('03_DESPIECE'!$K$2:$K$225,'03_DESPIECE'!$A$2:$A$225,B278,'03_DESPIECE'!$B$2:$B$225,C278)</f>
        <v>1.3611111108</v>
      </c>
      <c r="L278" s="5" t="n">
        <f aca="false">SUMIFS('03_DESPIECE'!$L$2:$L$225,'03_DESPIECE'!$A$2:$A$225,B278,'03_DESPIECE'!$B$2:$B$225,C278)</f>
        <v>1</v>
      </c>
      <c r="M278" s="2" t="s">
        <v>629</v>
      </c>
    </row>
    <row r="279" customFormat="false" ht="15" hidden="false" customHeight="false" outlineLevel="0" collapsed="false">
      <c r="A279" s="2" t="s">
        <v>566</v>
      </c>
      <c r="B279" s="2" t="s">
        <v>83</v>
      </c>
      <c r="C279" s="2" t="s">
        <v>300</v>
      </c>
      <c r="D279" s="2" t="s">
        <v>188</v>
      </c>
      <c r="E279" s="5" t="n">
        <f aca="false">INDEX('08_PEDIDOS'!$D$2:$D$97,MATCH(A279,'08_PEDIDOS'!$A$2:$A$97,0))</f>
        <v>14</v>
      </c>
      <c r="F279" s="5" t="n">
        <f aca="false">SUMIFS('03_DESPIECE'!$D$2:$D$225,'03_DESPIECE'!$A$2:$A$225,B279,'03_DESPIECE'!$B$2:$B$225,C279)</f>
        <v>28</v>
      </c>
      <c r="G279" s="5" t="n">
        <f aca="false">E279*F279</f>
        <v>392</v>
      </c>
      <c r="H279" s="16" t="n">
        <f aca="false">SUMIFS('03_DESPIECE'!$J$2:$J$225,'03_DESPIECE'!$A$2:$A$225,B279,'03_DESPIECE'!$B$2:$B$225,C279)</f>
        <v>25.2</v>
      </c>
      <c r="I279" s="16" t="n">
        <f aca="false">E279*H279</f>
        <v>352.8</v>
      </c>
      <c r="J279" s="17" t="n">
        <f aca="false">E279*SUMIFS('03_DESPIECE'!$I$2:$I$225,'03_DESPIECE'!$A$2:$A$225,B279,'03_DESPIECE'!$B$2:$B$225,C279)</f>
        <v>0</v>
      </c>
      <c r="K279" s="19" t="n">
        <f aca="false">E279*SUMIFS('03_DESPIECE'!$K$2:$K$225,'03_DESPIECE'!$A$2:$A$225,B279,'03_DESPIECE'!$B$2:$B$225,C279)</f>
        <v>0</v>
      </c>
      <c r="L279" s="5" t="n">
        <f aca="false">SUMIFS('03_DESPIECE'!$L$2:$L$225,'03_DESPIECE'!$A$2:$A$225,B279,'03_DESPIECE'!$B$2:$B$225,C279)</f>
        <v>1</v>
      </c>
      <c r="M279" s="2" t="s">
        <v>629</v>
      </c>
    </row>
    <row r="280" customFormat="false" ht="15" hidden="false" customHeight="false" outlineLevel="0" collapsed="false">
      <c r="A280" s="2" t="s">
        <v>567</v>
      </c>
      <c r="B280" s="2" t="s">
        <v>94</v>
      </c>
      <c r="C280" s="2" t="s">
        <v>301</v>
      </c>
      <c r="D280" s="2" t="s">
        <v>184</v>
      </c>
      <c r="E280" s="5" t="n">
        <f aca="false">INDEX('08_PEDIDOS'!$D$2:$D$97,MATCH(A280,'08_PEDIDOS'!$A$2:$A$97,0))</f>
        <v>8</v>
      </c>
      <c r="F280" s="5" t="n">
        <f aca="false">SUMIFS('03_DESPIECE'!$D$2:$D$225,'03_DESPIECE'!$A$2:$A$225,B280,'03_DESPIECE'!$B$2:$B$225,C280)</f>
        <v>2</v>
      </c>
      <c r="G280" s="5" t="n">
        <f aca="false">E280*F280</f>
        <v>16</v>
      </c>
      <c r="H280" s="16" t="n">
        <f aca="false">SUMIFS('03_DESPIECE'!$J$2:$J$225,'03_DESPIECE'!$A$2:$A$225,B280,'03_DESPIECE'!$B$2:$B$225,C280)</f>
        <v>31.453125</v>
      </c>
      <c r="I280" s="16" t="n">
        <f aca="false">E280*H280</f>
        <v>251.625</v>
      </c>
      <c r="J280" s="17" t="n">
        <f aca="false">E280*SUMIFS('03_DESPIECE'!$I$2:$I$225,'03_DESPIECE'!$A$2:$A$225,B280,'03_DESPIECE'!$B$2:$B$225,C280)</f>
        <v>39.6</v>
      </c>
      <c r="K280" s="19" t="n">
        <f aca="false">E280*SUMIFS('03_DESPIECE'!$K$2:$K$225,'03_DESPIECE'!$A$2:$A$225,B280,'03_DESPIECE'!$B$2:$B$225,C280)</f>
        <v>0</v>
      </c>
      <c r="L280" s="5" t="n">
        <f aca="false">SUMIFS('03_DESPIECE'!$L$2:$L$225,'03_DESPIECE'!$A$2:$A$225,B280,'03_DESPIECE'!$B$2:$B$225,C280)</f>
        <v>1</v>
      </c>
      <c r="M280" s="2" t="s">
        <v>629</v>
      </c>
    </row>
    <row r="281" customFormat="false" ht="15" hidden="false" customHeight="false" outlineLevel="0" collapsed="false">
      <c r="A281" s="2" t="s">
        <v>567</v>
      </c>
      <c r="B281" s="2" t="s">
        <v>94</v>
      </c>
      <c r="C281" s="2" t="s">
        <v>302</v>
      </c>
      <c r="D281" s="2" t="s">
        <v>174</v>
      </c>
      <c r="E281" s="5" t="n">
        <f aca="false">INDEX('08_PEDIDOS'!$D$2:$D$97,MATCH(A281,'08_PEDIDOS'!$A$2:$A$97,0))</f>
        <v>8</v>
      </c>
      <c r="F281" s="5" t="n">
        <f aca="false">SUMIFS('03_DESPIECE'!$D$2:$D$225,'03_DESPIECE'!$A$2:$A$225,B281,'03_DESPIECE'!$B$2:$B$225,C281)</f>
        <v>2</v>
      </c>
      <c r="G281" s="5" t="n">
        <f aca="false">E281*F281</f>
        <v>16</v>
      </c>
      <c r="H281" s="16" t="n">
        <f aca="false">SUMIFS('03_DESPIECE'!$J$2:$J$225,'03_DESPIECE'!$A$2:$A$225,B281,'03_DESPIECE'!$B$2:$B$225,C281)</f>
        <v>34.8130434783</v>
      </c>
      <c r="I281" s="16" t="n">
        <f aca="false">E281*H281</f>
        <v>278.5043478264</v>
      </c>
      <c r="J281" s="17" t="n">
        <f aca="false">E281*SUMIFS('03_DESPIECE'!$I$2:$I$225,'03_DESPIECE'!$A$2:$A$225,B281,'03_DESPIECE'!$B$2:$B$225,C281)</f>
        <v>37.68</v>
      </c>
      <c r="K281" s="19" t="n">
        <f aca="false">E281*SUMIFS('03_DESPIECE'!$K$2:$K$225,'03_DESPIECE'!$A$2:$A$225,B281,'03_DESPIECE'!$B$2:$B$225,C281)</f>
        <v>1.6666666664</v>
      </c>
      <c r="L281" s="5" t="n">
        <f aca="false">SUMIFS('03_DESPIECE'!$L$2:$L$225,'03_DESPIECE'!$A$2:$A$225,B281,'03_DESPIECE'!$B$2:$B$225,C281)</f>
        <v>1</v>
      </c>
      <c r="M281" s="2" t="s">
        <v>629</v>
      </c>
    </row>
    <row r="282" customFormat="false" ht="15" hidden="false" customHeight="false" outlineLevel="0" collapsed="false">
      <c r="A282" s="2" t="s">
        <v>567</v>
      </c>
      <c r="B282" s="2" t="s">
        <v>94</v>
      </c>
      <c r="C282" s="2" t="s">
        <v>303</v>
      </c>
      <c r="D282" s="2" t="s">
        <v>174</v>
      </c>
      <c r="E282" s="5" t="n">
        <f aca="false">INDEX('08_PEDIDOS'!$D$2:$D$97,MATCH(A282,'08_PEDIDOS'!$A$2:$A$97,0))</f>
        <v>8</v>
      </c>
      <c r="F282" s="5" t="n">
        <f aca="false">SUMIFS('03_DESPIECE'!$D$2:$D$225,'03_DESPIECE'!$A$2:$A$225,B282,'03_DESPIECE'!$B$2:$B$225,C282)</f>
        <v>4</v>
      </c>
      <c r="G282" s="5" t="n">
        <f aca="false">E282*F282</f>
        <v>32</v>
      </c>
      <c r="H282" s="16" t="n">
        <f aca="false">SUMIFS('03_DESPIECE'!$J$2:$J$225,'03_DESPIECE'!$A$2:$A$225,B282,'03_DESPIECE'!$B$2:$B$225,C282)</f>
        <v>129.9686956522</v>
      </c>
      <c r="I282" s="16" t="n">
        <f aca="false">E282*H282</f>
        <v>1039.7495652176</v>
      </c>
      <c r="J282" s="17" t="n">
        <f aca="false">E282*SUMIFS('03_DESPIECE'!$I$2:$I$225,'03_DESPIECE'!$A$2:$A$225,B282,'03_DESPIECE'!$B$2:$B$225,C282)</f>
        <v>140.672</v>
      </c>
      <c r="K282" s="19" t="n">
        <f aca="false">E282*SUMIFS('03_DESPIECE'!$K$2:$K$225,'03_DESPIECE'!$A$2:$A$225,B282,'03_DESPIECE'!$B$2:$B$225,C282)</f>
        <v>6.2222222224</v>
      </c>
      <c r="L282" s="5" t="n">
        <f aca="false">SUMIFS('03_DESPIECE'!$L$2:$L$225,'03_DESPIECE'!$A$2:$A$225,B282,'03_DESPIECE'!$B$2:$B$225,C282)</f>
        <v>1</v>
      </c>
      <c r="M282" s="2" t="s">
        <v>629</v>
      </c>
    </row>
    <row r="283" customFormat="false" ht="15" hidden="false" customHeight="false" outlineLevel="0" collapsed="false">
      <c r="A283" s="2" t="s">
        <v>567</v>
      </c>
      <c r="B283" s="2" t="s">
        <v>94</v>
      </c>
      <c r="C283" s="2" t="s">
        <v>304</v>
      </c>
      <c r="D283" s="2" t="s">
        <v>174</v>
      </c>
      <c r="E283" s="5" t="n">
        <f aca="false">INDEX('08_PEDIDOS'!$D$2:$D$97,MATCH(A283,'08_PEDIDOS'!$A$2:$A$97,0))</f>
        <v>8</v>
      </c>
      <c r="F283" s="5" t="n">
        <f aca="false">SUMIFS('03_DESPIECE'!$D$2:$D$225,'03_DESPIECE'!$A$2:$A$225,B283,'03_DESPIECE'!$B$2:$B$225,C283)</f>
        <v>8</v>
      </c>
      <c r="G283" s="5" t="n">
        <f aca="false">E283*F283</f>
        <v>64</v>
      </c>
      <c r="H283" s="16" t="n">
        <f aca="false">SUMIFS('03_DESPIECE'!$J$2:$J$225,'03_DESPIECE'!$A$2:$A$225,B283,'03_DESPIECE'!$B$2:$B$225,C283)</f>
        <v>185.6695652174</v>
      </c>
      <c r="I283" s="16" t="n">
        <f aca="false">E283*H283</f>
        <v>1485.3565217392</v>
      </c>
      <c r="J283" s="17" t="n">
        <f aca="false">E283*SUMIFS('03_DESPIECE'!$I$2:$I$225,'03_DESPIECE'!$A$2:$A$225,B283,'03_DESPIECE'!$B$2:$B$225,C283)</f>
        <v>200.96</v>
      </c>
      <c r="K283" s="19" t="n">
        <f aca="false">E283*SUMIFS('03_DESPIECE'!$K$2:$K$225,'03_DESPIECE'!$A$2:$A$225,B283,'03_DESPIECE'!$B$2:$B$225,C283)</f>
        <v>8.8888888888</v>
      </c>
      <c r="L283" s="5" t="n">
        <f aca="false">SUMIFS('03_DESPIECE'!$L$2:$L$225,'03_DESPIECE'!$A$2:$A$225,B283,'03_DESPIECE'!$B$2:$B$225,C283)</f>
        <v>1</v>
      </c>
      <c r="M283" s="2" t="s">
        <v>629</v>
      </c>
    </row>
    <row r="284" customFormat="false" ht="15" hidden="false" customHeight="false" outlineLevel="0" collapsed="false">
      <c r="A284" s="2" t="s">
        <v>567</v>
      </c>
      <c r="B284" s="2" t="s">
        <v>94</v>
      </c>
      <c r="C284" s="2" t="s">
        <v>305</v>
      </c>
      <c r="D284" s="2" t="s">
        <v>174</v>
      </c>
      <c r="E284" s="5" t="n">
        <f aca="false">INDEX('08_PEDIDOS'!$D$2:$D$97,MATCH(A284,'08_PEDIDOS'!$A$2:$A$97,0))</f>
        <v>8</v>
      </c>
      <c r="F284" s="5" t="n">
        <f aca="false">SUMIFS('03_DESPIECE'!$D$2:$D$225,'03_DESPIECE'!$A$2:$A$225,B284,'03_DESPIECE'!$B$2:$B$225,C284)</f>
        <v>16</v>
      </c>
      <c r="G284" s="5" t="n">
        <f aca="false">E284*F284</f>
        <v>128</v>
      </c>
      <c r="H284" s="16" t="n">
        <f aca="false">SUMIFS('03_DESPIECE'!$J$2:$J$225,'03_DESPIECE'!$A$2:$A$225,B284,'03_DESPIECE'!$B$2:$B$225,C284)</f>
        <v>37.1339130435</v>
      </c>
      <c r="I284" s="16" t="n">
        <f aca="false">E284*H284</f>
        <v>297.071304348</v>
      </c>
      <c r="J284" s="17" t="n">
        <f aca="false">E284*SUMIFS('03_DESPIECE'!$I$2:$I$225,'03_DESPIECE'!$A$2:$A$225,B284,'03_DESPIECE'!$B$2:$B$225,C284)</f>
        <v>40.192</v>
      </c>
      <c r="K284" s="19" t="n">
        <f aca="false">E284*SUMIFS('03_DESPIECE'!$K$2:$K$225,'03_DESPIECE'!$A$2:$A$225,B284,'03_DESPIECE'!$B$2:$B$225,C284)</f>
        <v>1.7777777776</v>
      </c>
      <c r="L284" s="5" t="n">
        <f aca="false">SUMIFS('03_DESPIECE'!$L$2:$L$225,'03_DESPIECE'!$A$2:$A$225,B284,'03_DESPIECE'!$B$2:$B$225,C284)</f>
        <v>1</v>
      </c>
      <c r="M284" s="2" t="s">
        <v>629</v>
      </c>
    </row>
    <row r="285" customFormat="false" ht="15" hidden="false" customHeight="false" outlineLevel="0" collapsed="false">
      <c r="A285" s="2" t="s">
        <v>567</v>
      </c>
      <c r="B285" s="2" t="s">
        <v>94</v>
      </c>
      <c r="C285" s="2" t="s">
        <v>306</v>
      </c>
      <c r="D285" s="2" t="s">
        <v>174</v>
      </c>
      <c r="E285" s="5" t="n">
        <f aca="false">INDEX('08_PEDIDOS'!$D$2:$D$97,MATCH(A285,'08_PEDIDOS'!$A$2:$A$97,0))</f>
        <v>8</v>
      </c>
      <c r="F285" s="5" t="n">
        <f aca="false">SUMIFS('03_DESPIECE'!$D$2:$D$225,'03_DESPIECE'!$A$2:$A$225,B285,'03_DESPIECE'!$B$2:$B$225,C285)</f>
        <v>2</v>
      </c>
      <c r="G285" s="5" t="n">
        <f aca="false">E285*F285</f>
        <v>16</v>
      </c>
      <c r="H285" s="16" t="n">
        <f aca="false">SUMIFS('03_DESPIECE'!$J$2:$J$225,'03_DESPIECE'!$A$2:$A$225,B285,'03_DESPIECE'!$B$2:$B$225,C285)</f>
        <v>13.9252173913</v>
      </c>
      <c r="I285" s="16" t="n">
        <f aca="false">E285*H285</f>
        <v>111.4017391304</v>
      </c>
      <c r="J285" s="17" t="n">
        <f aca="false">E285*SUMIFS('03_DESPIECE'!$I$2:$I$225,'03_DESPIECE'!$A$2:$A$225,B285,'03_DESPIECE'!$B$2:$B$225,C285)</f>
        <v>15.072</v>
      </c>
      <c r="K285" s="19" t="n">
        <f aca="false">E285*SUMIFS('03_DESPIECE'!$K$2:$K$225,'03_DESPIECE'!$A$2:$A$225,B285,'03_DESPIECE'!$B$2:$B$225,C285)</f>
        <v>0.6666666664</v>
      </c>
      <c r="L285" s="5" t="n">
        <f aca="false">SUMIFS('03_DESPIECE'!$L$2:$L$225,'03_DESPIECE'!$A$2:$A$225,B285,'03_DESPIECE'!$B$2:$B$225,C285)</f>
        <v>1</v>
      </c>
      <c r="M285" s="2" t="s">
        <v>629</v>
      </c>
    </row>
    <row r="286" customFormat="false" ht="15" hidden="false" customHeight="false" outlineLevel="0" collapsed="false">
      <c r="A286" s="2" t="s">
        <v>567</v>
      </c>
      <c r="B286" s="2" t="s">
        <v>94</v>
      </c>
      <c r="C286" s="2" t="s">
        <v>307</v>
      </c>
      <c r="D286" s="2" t="s">
        <v>188</v>
      </c>
      <c r="E286" s="5" t="n">
        <f aca="false">INDEX('08_PEDIDOS'!$D$2:$D$97,MATCH(A286,'08_PEDIDOS'!$A$2:$A$97,0))</f>
        <v>8</v>
      </c>
      <c r="F286" s="5" t="n">
        <f aca="false">SUMIFS('03_DESPIECE'!$D$2:$D$225,'03_DESPIECE'!$A$2:$A$225,B286,'03_DESPIECE'!$B$2:$B$225,C286)</f>
        <v>36</v>
      </c>
      <c r="G286" s="5" t="n">
        <f aca="false">E286*F286</f>
        <v>288</v>
      </c>
      <c r="H286" s="16" t="n">
        <f aca="false">SUMIFS('03_DESPIECE'!$J$2:$J$225,'03_DESPIECE'!$A$2:$A$225,B286,'03_DESPIECE'!$B$2:$B$225,C286)</f>
        <v>32.4</v>
      </c>
      <c r="I286" s="16" t="n">
        <f aca="false">E286*H286</f>
        <v>259.2</v>
      </c>
      <c r="J286" s="17" t="n">
        <f aca="false">E286*SUMIFS('03_DESPIECE'!$I$2:$I$225,'03_DESPIECE'!$A$2:$A$225,B286,'03_DESPIECE'!$B$2:$B$225,C286)</f>
        <v>0</v>
      </c>
      <c r="K286" s="19" t="n">
        <f aca="false">E286*SUMIFS('03_DESPIECE'!$K$2:$K$225,'03_DESPIECE'!$A$2:$A$225,B286,'03_DESPIECE'!$B$2:$B$225,C286)</f>
        <v>0</v>
      </c>
      <c r="L286" s="5" t="n">
        <f aca="false">SUMIFS('03_DESPIECE'!$L$2:$L$225,'03_DESPIECE'!$A$2:$A$225,B286,'03_DESPIECE'!$B$2:$B$225,C286)</f>
        <v>1</v>
      </c>
      <c r="M286" s="2" t="s">
        <v>629</v>
      </c>
    </row>
    <row r="287" customFormat="false" ht="15" hidden="false" customHeight="false" outlineLevel="0" collapsed="false">
      <c r="A287" s="2" t="s">
        <v>568</v>
      </c>
      <c r="B287" s="2" t="s">
        <v>96</v>
      </c>
      <c r="C287" s="2" t="s">
        <v>308</v>
      </c>
      <c r="D287" s="2" t="s">
        <v>184</v>
      </c>
      <c r="E287" s="5" t="n">
        <f aca="false">INDEX('08_PEDIDOS'!$D$2:$D$97,MATCH(A287,'08_PEDIDOS'!$A$2:$A$97,0))</f>
        <v>8</v>
      </c>
      <c r="F287" s="5" t="n">
        <f aca="false">SUMIFS('03_DESPIECE'!$D$2:$D$225,'03_DESPIECE'!$A$2:$A$225,B287,'03_DESPIECE'!$B$2:$B$225,C287)</f>
        <v>2</v>
      </c>
      <c r="G287" s="5" t="n">
        <f aca="false">E287*F287</f>
        <v>16</v>
      </c>
      <c r="H287" s="16" t="n">
        <f aca="false">SUMIFS('03_DESPIECE'!$J$2:$J$225,'03_DESPIECE'!$A$2:$A$225,B287,'03_DESPIECE'!$B$2:$B$225,C287)</f>
        <v>36.21875</v>
      </c>
      <c r="I287" s="16" t="n">
        <f aca="false">E287*H287</f>
        <v>289.75</v>
      </c>
      <c r="J287" s="17" t="n">
        <f aca="false">E287*SUMIFS('03_DESPIECE'!$I$2:$I$225,'03_DESPIECE'!$A$2:$A$225,B287,'03_DESPIECE'!$B$2:$B$225,C287)</f>
        <v>45.6</v>
      </c>
      <c r="K287" s="19" t="n">
        <f aca="false">E287*SUMIFS('03_DESPIECE'!$K$2:$K$225,'03_DESPIECE'!$A$2:$A$225,B287,'03_DESPIECE'!$B$2:$B$225,C287)</f>
        <v>0</v>
      </c>
      <c r="L287" s="5" t="n">
        <f aca="false">SUMIFS('03_DESPIECE'!$L$2:$L$225,'03_DESPIECE'!$A$2:$A$225,B287,'03_DESPIECE'!$B$2:$B$225,C287)</f>
        <v>1</v>
      </c>
      <c r="M287" s="2" t="s">
        <v>629</v>
      </c>
    </row>
    <row r="288" customFormat="false" ht="15" hidden="false" customHeight="false" outlineLevel="0" collapsed="false">
      <c r="A288" s="2" t="s">
        <v>568</v>
      </c>
      <c r="B288" s="2" t="s">
        <v>96</v>
      </c>
      <c r="C288" s="2" t="s">
        <v>309</v>
      </c>
      <c r="D288" s="2" t="s">
        <v>174</v>
      </c>
      <c r="E288" s="5" t="n">
        <f aca="false">INDEX('08_PEDIDOS'!$D$2:$D$97,MATCH(A288,'08_PEDIDOS'!$A$2:$A$97,0))</f>
        <v>8</v>
      </c>
      <c r="F288" s="5" t="n">
        <f aca="false">SUMIFS('03_DESPIECE'!$D$2:$D$225,'03_DESPIECE'!$A$2:$A$225,B288,'03_DESPIECE'!$B$2:$B$225,C288)</f>
        <v>3</v>
      </c>
      <c r="G288" s="5" t="n">
        <f aca="false">E288*F288</f>
        <v>24</v>
      </c>
      <c r="H288" s="16" t="n">
        <f aca="false">SUMIFS('03_DESPIECE'!$J$2:$J$225,'03_DESPIECE'!$A$2:$A$225,B288,'03_DESPIECE'!$B$2:$B$225,C288)</f>
        <v>95.7358695652</v>
      </c>
      <c r="I288" s="16" t="n">
        <f aca="false">E288*H288</f>
        <v>765.8869565216</v>
      </c>
      <c r="J288" s="17" t="n">
        <f aca="false">E288*SUMIFS('03_DESPIECE'!$I$2:$I$225,'03_DESPIECE'!$A$2:$A$225,B288,'03_DESPIECE'!$B$2:$B$225,C288)</f>
        <v>103.62</v>
      </c>
      <c r="K288" s="19" t="n">
        <f aca="false">E288*SUMIFS('03_DESPIECE'!$K$2:$K$225,'03_DESPIECE'!$A$2:$A$225,B288,'03_DESPIECE'!$B$2:$B$225,C288)</f>
        <v>4.5833333336</v>
      </c>
      <c r="L288" s="5" t="n">
        <f aca="false">SUMIFS('03_DESPIECE'!$L$2:$L$225,'03_DESPIECE'!$A$2:$A$225,B288,'03_DESPIECE'!$B$2:$B$225,C288)</f>
        <v>1</v>
      </c>
      <c r="M288" s="2" t="s">
        <v>629</v>
      </c>
    </row>
    <row r="289" customFormat="false" ht="15" hidden="false" customHeight="false" outlineLevel="0" collapsed="false">
      <c r="A289" s="2" t="s">
        <v>568</v>
      </c>
      <c r="B289" s="2" t="s">
        <v>96</v>
      </c>
      <c r="C289" s="2" t="s">
        <v>310</v>
      </c>
      <c r="D289" s="2" t="s">
        <v>174</v>
      </c>
      <c r="E289" s="5" t="n">
        <f aca="false">INDEX('08_PEDIDOS'!$D$2:$D$97,MATCH(A289,'08_PEDIDOS'!$A$2:$A$97,0))</f>
        <v>8</v>
      </c>
      <c r="F289" s="5" t="n">
        <f aca="false">SUMIFS('03_DESPIECE'!$D$2:$D$225,'03_DESPIECE'!$A$2:$A$225,B289,'03_DESPIECE'!$B$2:$B$225,C289)</f>
        <v>5</v>
      </c>
      <c r="G289" s="5" t="n">
        <f aca="false">E289*F289</f>
        <v>40</v>
      </c>
      <c r="H289" s="16" t="n">
        <f aca="false">SUMIFS('03_DESPIECE'!$J$2:$J$225,'03_DESPIECE'!$A$2:$A$225,B289,'03_DESPIECE'!$B$2:$B$225,C289)</f>
        <v>121.8456521739</v>
      </c>
      <c r="I289" s="16" t="n">
        <f aca="false">E289*H289</f>
        <v>974.7652173912</v>
      </c>
      <c r="J289" s="17" t="n">
        <f aca="false">E289*SUMIFS('03_DESPIECE'!$I$2:$I$225,'03_DESPIECE'!$A$2:$A$225,B289,'03_DESPIECE'!$B$2:$B$225,C289)</f>
        <v>131.88</v>
      </c>
      <c r="K289" s="19" t="n">
        <f aca="false">E289*SUMIFS('03_DESPIECE'!$K$2:$K$225,'03_DESPIECE'!$A$2:$A$225,B289,'03_DESPIECE'!$B$2:$B$225,C289)</f>
        <v>5.8333333336</v>
      </c>
      <c r="L289" s="5" t="n">
        <f aca="false">SUMIFS('03_DESPIECE'!$L$2:$L$225,'03_DESPIECE'!$A$2:$A$225,B289,'03_DESPIECE'!$B$2:$B$225,C289)</f>
        <v>1</v>
      </c>
      <c r="M289" s="2" t="s">
        <v>629</v>
      </c>
    </row>
    <row r="290" customFormat="false" ht="15" hidden="false" customHeight="false" outlineLevel="0" collapsed="false">
      <c r="A290" s="2" t="s">
        <v>568</v>
      </c>
      <c r="B290" s="2" t="s">
        <v>96</v>
      </c>
      <c r="C290" s="2" t="s">
        <v>311</v>
      </c>
      <c r="D290" s="2" t="s">
        <v>174</v>
      </c>
      <c r="E290" s="5" t="n">
        <f aca="false">INDEX('08_PEDIDOS'!$D$2:$D$97,MATCH(A290,'08_PEDIDOS'!$A$2:$A$97,0))</f>
        <v>8</v>
      </c>
      <c r="F290" s="5" t="n">
        <f aca="false">SUMIFS('03_DESPIECE'!$D$2:$D$225,'03_DESPIECE'!$A$2:$A$225,B290,'03_DESPIECE'!$B$2:$B$225,C290)</f>
        <v>10</v>
      </c>
      <c r="G290" s="5" t="n">
        <f aca="false">E290*F290</f>
        <v>80</v>
      </c>
      <c r="H290" s="16" t="n">
        <f aca="false">SUMIFS('03_DESPIECE'!$J$2:$J$225,'03_DESPIECE'!$A$2:$A$225,B290,'03_DESPIECE'!$B$2:$B$225,C290)</f>
        <v>23.2086956522</v>
      </c>
      <c r="I290" s="16" t="n">
        <f aca="false">E290*H290</f>
        <v>185.6695652176</v>
      </c>
      <c r="J290" s="17" t="n">
        <f aca="false">E290*SUMIFS('03_DESPIECE'!$I$2:$I$225,'03_DESPIECE'!$A$2:$A$225,B290,'03_DESPIECE'!$B$2:$B$225,C290)</f>
        <v>25.12</v>
      </c>
      <c r="K290" s="19" t="n">
        <f aca="false">E290*SUMIFS('03_DESPIECE'!$K$2:$K$225,'03_DESPIECE'!$A$2:$A$225,B290,'03_DESPIECE'!$B$2:$B$225,C290)</f>
        <v>1.1111111112</v>
      </c>
      <c r="L290" s="5" t="n">
        <f aca="false">SUMIFS('03_DESPIECE'!$L$2:$L$225,'03_DESPIECE'!$A$2:$A$225,B290,'03_DESPIECE'!$B$2:$B$225,C290)</f>
        <v>1</v>
      </c>
      <c r="M290" s="2" t="s">
        <v>629</v>
      </c>
    </row>
    <row r="291" customFormat="false" ht="15" hidden="false" customHeight="false" outlineLevel="0" collapsed="false">
      <c r="A291" s="2" t="s">
        <v>568</v>
      </c>
      <c r="B291" s="2" t="s">
        <v>96</v>
      </c>
      <c r="C291" s="2" t="s">
        <v>312</v>
      </c>
      <c r="D291" s="2" t="s">
        <v>174</v>
      </c>
      <c r="E291" s="5" t="n">
        <f aca="false">INDEX('08_PEDIDOS'!$D$2:$D$97,MATCH(A291,'08_PEDIDOS'!$A$2:$A$97,0))</f>
        <v>8</v>
      </c>
      <c r="F291" s="5" t="n">
        <f aca="false">SUMIFS('03_DESPIECE'!$D$2:$D$225,'03_DESPIECE'!$A$2:$A$225,B291,'03_DESPIECE'!$B$2:$B$225,C291)</f>
        <v>2</v>
      </c>
      <c r="G291" s="5" t="n">
        <f aca="false">E291*F291</f>
        <v>16</v>
      </c>
      <c r="H291" s="16" t="n">
        <f aca="false">SUMIFS('03_DESPIECE'!$J$2:$J$225,'03_DESPIECE'!$A$2:$A$225,B291,'03_DESPIECE'!$B$2:$B$225,C291)</f>
        <v>29.0108695652</v>
      </c>
      <c r="I291" s="16" t="n">
        <f aca="false">E291*H291</f>
        <v>232.0869565216</v>
      </c>
      <c r="J291" s="17" t="n">
        <f aca="false">E291*SUMIFS('03_DESPIECE'!$I$2:$I$225,'03_DESPIECE'!$A$2:$A$225,B291,'03_DESPIECE'!$B$2:$B$225,C291)</f>
        <v>31.4</v>
      </c>
      <c r="K291" s="19" t="n">
        <f aca="false">E291*SUMIFS('03_DESPIECE'!$K$2:$K$225,'03_DESPIECE'!$A$2:$A$225,B291,'03_DESPIECE'!$B$2:$B$225,C291)</f>
        <v>1.3888888888</v>
      </c>
      <c r="L291" s="5" t="n">
        <f aca="false">SUMIFS('03_DESPIECE'!$L$2:$L$225,'03_DESPIECE'!$A$2:$A$225,B291,'03_DESPIECE'!$B$2:$B$225,C291)</f>
        <v>1</v>
      </c>
      <c r="M291" s="2" t="s">
        <v>629</v>
      </c>
    </row>
    <row r="292" customFormat="false" ht="15" hidden="false" customHeight="false" outlineLevel="0" collapsed="false">
      <c r="A292" s="2" t="s">
        <v>568</v>
      </c>
      <c r="B292" s="2" t="s">
        <v>96</v>
      </c>
      <c r="C292" s="2" t="s">
        <v>313</v>
      </c>
      <c r="D292" s="2" t="s">
        <v>188</v>
      </c>
      <c r="E292" s="5" t="n">
        <f aca="false">INDEX('08_PEDIDOS'!$D$2:$D$97,MATCH(A292,'08_PEDIDOS'!$A$2:$A$97,0))</f>
        <v>8</v>
      </c>
      <c r="F292" s="5" t="n">
        <f aca="false">SUMIFS('03_DESPIECE'!$D$2:$D$225,'03_DESPIECE'!$A$2:$A$225,B292,'03_DESPIECE'!$B$2:$B$225,C292)</f>
        <v>26</v>
      </c>
      <c r="G292" s="5" t="n">
        <f aca="false">E292*F292</f>
        <v>208</v>
      </c>
      <c r="H292" s="16" t="n">
        <f aca="false">SUMIFS('03_DESPIECE'!$J$2:$J$225,'03_DESPIECE'!$A$2:$A$225,B292,'03_DESPIECE'!$B$2:$B$225,C292)</f>
        <v>23.4</v>
      </c>
      <c r="I292" s="16" t="n">
        <f aca="false">E292*H292</f>
        <v>187.2</v>
      </c>
      <c r="J292" s="17" t="n">
        <f aca="false">E292*SUMIFS('03_DESPIECE'!$I$2:$I$225,'03_DESPIECE'!$A$2:$A$225,B292,'03_DESPIECE'!$B$2:$B$225,C292)</f>
        <v>0</v>
      </c>
      <c r="K292" s="19" t="n">
        <f aca="false">E292*SUMIFS('03_DESPIECE'!$K$2:$K$225,'03_DESPIECE'!$A$2:$A$225,B292,'03_DESPIECE'!$B$2:$B$225,C292)</f>
        <v>0</v>
      </c>
      <c r="L292" s="5" t="n">
        <f aca="false">SUMIFS('03_DESPIECE'!$L$2:$L$225,'03_DESPIECE'!$A$2:$A$225,B292,'03_DESPIECE'!$B$2:$B$225,C292)</f>
        <v>1</v>
      </c>
      <c r="M292" s="2" t="s">
        <v>629</v>
      </c>
    </row>
    <row r="293" customFormat="false" ht="15" hidden="false" customHeight="false" outlineLevel="0" collapsed="false">
      <c r="A293" s="2" t="s">
        <v>569</v>
      </c>
      <c r="B293" s="2" t="s">
        <v>106</v>
      </c>
      <c r="C293" s="2" t="s">
        <v>314</v>
      </c>
      <c r="D293" s="2" t="s">
        <v>176</v>
      </c>
      <c r="E293" s="5" t="n">
        <f aca="false">INDEX('08_PEDIDOS'!$D$2:$D$97,MATCH(A293,'08_PEDIDOS'!$A$2:$A$97,0))</f>
        <v>6</v>
      </c>
      <c r="F293" s="5" t="n">
        <f aca="false">SUMIFS('03_DESPIECE'!$D$2:$D$225,'03_DESPIECE'!$A$2:$A$225,B293,'03_DESPIECE'!$B$2:$B$225,C293)</f>
        <v>2</v>
      </c>
      <c r="G293" s="5" t="n">
        <f aca="false">E293*F293</f>
        <v>12</v>
      </c>
      <c r="H293" s="16" t="n">
        <f aca="false">SUMIFS('03_DESPIECE'!$J$2:$J$225,'03_DESPIECE'!$A$2:$A$225,B293,'03_DESPIECE'!$B$2:$B$225,C293)</f>
        <v>165.3619565217</v>
      </c>
      <c r="I293" s="16" t="n">
        <f aca="false">E293*H293</f>
        <v>992.1717391302</v>
      </c>
      <c r="J293" s="17" t="n">
        <f aca="false">E293*SUMIFS('03_DESPIECE'!$I$2:$I$225,'03_DESPIECE'!$A$2:$A$225,B293,'03_DESPIECE'!$B$2:$B$225,C293)</f>
        <v>134.235</v>
      </c>
      <c r="K293" s="19" t="n">
        <f aca="false">E293*SUMIFS('03_DESPIECE'!$K$2:$K$225,'03_DESPIECE'!$A$2:$A$225,B293,'03_DESPIECE'!$B$2:$B$225,C293)</f>
        <v>3.9583333332</v>
      </c>
      <c r="L293" s="5" t="n">
        <f aca="false">SUMIFS('03_DESPIECE'!$L$2:$L$225,'03_DESPIECE'!$A$2:$A$225,B293,'03_DESPIECE'!$B$2:$B$225,C293)</f>
        <v>1</v>
      </c>
      <c r="M293" s="2" t="s">
        <v>629</v>
      </c>
    </row>
    <row r="294" customFormat="false" ht="15" hidden="false" customHeight="false" outlineLevel="0" collapsed="false">
      <c r="A294" s="2" t="s">
        <v>569</v>
      </c>
      <c r="B294" s="2" t="s">
        <v>106</v>
      </c>
      <c r="C294" s="2" t="s">
        <v>315</v>
      </c>
      <c r="D294" s="2" t="s">
        <v>176</v>
      </c>
      <c r="E294" s="5" t="n">
        <f aca="false">INDEX('08_PEDIDOS'!$D$2:$D$97,MATCH(A294,'08_PEDIDOS'!$A$2:$A$97,0))</f>
        <v>6</v>
      </c>
      <c r="F294" s="5" t="n">
        <f aca="false">SUMIFS('03_DESPIECE'!$D$2:$D$225,'03_DESPIECE'!$A$2:$A$225,B294,'03_DESPIECE'!$B$2:$B$225,C294)</f>
        <v>2</v>
      </c>
      <c r="G294" s="5" t="n">
        <f aca="false">E294*F294</f>
        <v>12</v>
      </c>
      <c r="H294" s="16" t="n">
        <f aca="false">SUMIFS('03_DESPIECE'!$J$2:$J$225,'03_DESPIECE'!$A$2:$A$225,B294,'03_DESPIECE'!$B$2:$B$225,C294)</f>
        <v>60.922826087</v>
      </c>
      <c r="I294" s="16" t="n">
        <f aca="false">E294*H294</f>
        <v>365.536956522</v>
      </c>
      <c r="J294" s="17" t="n">
        <f aca="false">E294*SUMIFS('03_DESPIECE'!$I$2:$I$225,'03_DESPIECE'!$A$2:$A$225,B294,'03_DESPIECE'!$B$2:$B$225,C294)</f>
        <v>49.455</v>
      </c>
      <c r="K294" s="19" t="n">
        <f aca="false">E294*SUMIFS('03_DESPIECE'!$K$2:$K$225,'03_DESPIECE'!$A$2:$A$225,B294,'03_DESPIECE'!$B$2:$B$225,C294)</f>
        <v>1.4583333336</v>
      </c>
      <c r="L294" s="5" t="n">
        <f aca="false">SUMIFS('03_DESPIECE'!$L$2:$L$225,'03_DESPIECE'!$A$2:$A$225,B294,'03_DESPIECE'!$B$2:$B$225,C294)</f>
        <v>1</v>
      </c>
      <c r="M294" s="2" t="s">
        <v>629</v>
      </c>
    </row>
    <row r="295" customFormat="false" ht="15" hidden="false" customHeight="false" outlineLevel="0" collapsed="false">
      <c r="A295" s="2" t="s">
        <v>569</v>
      </c>
      <c r="B295" s="2" t="s">
        <v>106</v>
      </c>
      <c r="C295" s="2" t="s">
        <v>316</v>
      </c>
      <c r="D295" s="2" t="s">
        <v>176</v>
      </c>
      <c r="E295" s="5" t="n">
        <f aca="false">INDEX('08_PEDIDOS'!$D$2:$D$97,MATCH(A295,'08_PEDIDOS'!$A$2:$A$97,0))</f>
        <v>6</v>
      </c>
      <c r="F295" s="5" t="n">
        <f aca="false">SUMIFS('03_DESPIECE'!$D$2:$D$225,'03_DESPIECE'!$A$2:$A$225,B295,'03_DESPIECE'!$B$2:$B$225,C295)</f>
        <v>1</v>
      </c>
      <c r="G295" s="5" t="n">
        <f aca="false">E295*F295</f>
        <v>6</v>
      </c>
      <c r="H295" s="16" t="n">
        <f aca="false">SUMIFS('03_DESPIECE'!$J$2:$J$225,'03_DESPIECE'!$A$2:$A$225,B295,'03_DESPIECE'!$B$2:$B$225,C295)</f>
        <v>147.9554347826</v>
      </c>
      <c r="I295" s="16" t="n">
        <f aca="false">E295*H295</f>
        <v>887.7326086956</v>
      </c>
      <c r="J295" s="17" t="n">
        <f aca="false">E295*SUMIFS('03_DESPIECE'!$I$2:$I$225,'03_DESPIECE'!$A$2:$A$225,B295,'03_DESPIECE'!$B$2:$B$225,C295)</f>
        <v>120.105</v>
      </c>
      <c r="K295" s="19" t="n">
        <f aca="false">E295*SUMIFS('03_DESPIECE'!$K$2:$K$225,'03_DESPIECE'!$A$2:$A$225,B295,'03_DESPIECE'!$B$2:$B$225,C295)</f>
        <v>3.5416666668</v>
      </c>
      <c r="L295" s="5" t="n">
        <f aca="false">SUMIFS('03_DESPIECE'!$L$2:$L$225,'03_DESPIECE'!$A$2:$A$225,B295,'03_DESPIECE'!$B$2:$B$225,C295)</f>
        <v>1</v>
      </c>
      <c r="M295" s="2" t="s">
        <v>629</v>
      </c>
    </row>
    <row r="296" customFormat="false" ht="15" hidden="false" customHeight="false" outlineLevel="0" collapsed="false">
      <c r="A296" s="2" t="s">
        <v>569</v>
      </c>
      <c r="B296" s="2" t="s">
        <v>106</v>
      </c>
      <c r="C296" s="2" t="s">
        <v>317</v>
      </c>
      <c r="D296" s="2" t="s">
        <v>176</v>
      </c>
      <c r="E296" s="5" t="n">
        <f aca="false">INDEX('08_PEDIDOS'!$D$2:$D$97,MATCH(A296,'08_PEDIDOS'!$A$2:$A$97,0))</f>
        <v>6</v>
      </c>
      <c r="F296" s="5" t="n">
        <f aca="false">SUMIFS('03_DESPIECE'!$D$2:$D$225,'03_DESPIECE'!$A$2:$A$225,B296,'03_DESPIECE'!$B$2:$B$225,C296)</f>
        <v>4</v>
      </c>
      <c r="G296" s="5" t="n">
        <f aca="false">E296*F296</f>
        <v>24</v>
      </c>
      <c r="H296" s="16" t="n">
        <f aca="false">SUMIFS('03_DESPIECE'!$J$2:$J$225,'03_DESPIECE'!$A$2:$A$225,B296,'03_DESPIECE'!$B$2:$B$225,C296)</f>
        <v>128.8082608696</v>
      </c>
      <c r="I296" s="16" t="n">
        <f aca="false">E296*H296</f>
        <v>772.8495652176</v>
      </c>
      <c r="J296" s="17" t="n">
        <f aca="false">E296*SUMIFS('03_DESPIECE'!$I$2:$I$225,'03_DESPIECE'!$A$2:$A$225,B296,'03_DESPIECE'!$B$2:$B$225,C296)</f>
        <v>104.562</v>
      </c>
      <c r="K296" s="19" t="n">
        <f aca="false">E296*SUMIFS('03_DESPIECE'!$K$2:$K$225,'03_DESPIECE'!$A$2:$A$225,B296,'03_DESPIECE'!$B$2:$B$225,C296)</f>
        <v>3.0833333334</v>
      </c>
      <c r="L296" s="5" t="n">
        <f aca="false">SUMIFS('03_DESPIECE'!$L$2:$L$225,'03_DESPIECE'!$A$2:$A$225,B296,'03_DESPIECE'!$B$2:$B$225,C296)</f>
        <v>1</v>
      </c>
      <c r="M296" s="2" t="s">
        <v>629</v>
      </c>
    </row>
    <row r="297" customFormat="false" ht="15" hidden="false" customHeight="false" outlineLevel="0" collapsed="false">
      <c r="A297" s="2" t="s">
        <v>569</v>
      </c>
      <c r="B297" s="2" t="s">
        <v>106</v>
      </c>
      <c r="C297" s="2" t="s">
        <v>318</v>
      </c>
      <c r="D297" s="2" t="s">
        <v>176</v>
      </c>
      <c r="E297" s="5" t="n">
        <f aca="false">INDEX('08_PEDIDOS'!$D$2:$D$97,MATCH(A297,'08_PEDIDOS'!$A$2:$A$97,0))</f>
        <v>6</v>
      </c>
      <c r="F297" s="5" t="n">
        <f aca="false">SUMIFS('03_DESPIECE'!$D$2:$D$225,'03_DESPIECE'!$A$2:$A$225,B297,'03_DESPIECE'!$B$2:$B$225,C297)</f>
        <v>3</v>
      </c>
      <c r="G297" s="5" t="n">
        <f aca="false">E297*F297</f>
        <v>18</v>
      </c>
      <c r="H297" s="16" t="n">
        <f aca="false">SUMIFS('03_DESPIECE'!$J$2:$J$225,'03_DESPIECE'!$A$2:$A$225,B297,'03_DESPIECE'!$B$2:$B$225,C297)</f>
        <v>91.3842391304</v>
      </c>
      <c r="I297" s="16" t="n">
        <f aca="false">E297*H297</f>
        <v>548.3054347824</v>
      </c>
      <c r="J297" s="17" t="n">
        <f aca="false">E297*SUMIFS('03_DESPIECE'!$I$2:$I$225,'03_DESPIECE'!$A$2:$A$225,B297,'03_DESPIECE'!$B$2:$B$225,C297)</f>
        <v>74.1825</v>
      </c>
      <c r="K297" s="19" t="n">
        <f aca="false">E297*SUMIFS('03_DESPIECE'!$K$2:$K$225,'03_DESPIECE'!$A$2:$A$225,B297,'03_DESPIECE'!$B$2:$B$225,C297)</f>
        <v>2.1874999998</v>
      </c>
      <c r="L297" s="5" t="n">
        <f aca="false">SUMIFS('03_DESPIECE'!$L$2:$L$225,'03_DESPIECE'!$A$2:$A$225,B297,'03_DESPIECE'!$B$2:$B$225,C297)</f>
        <v>1</v>
      </c>
      <c r="M297" s="2" t="s">
        <v>629</v>
      </c>
    </row>
    <row r="298" customFormat="false" ht="15" hidden="false" customHeight="false" outlineLevel="0" collapsed="false">
      <c r="A298" s="2" t="s">
        <v>569</v>
      </c>
      <c r="B298" s="2" t="s">
        <v>106</v>
      </c>
      <c r="C298" s="2" t="s">
        <v>319</v>
      </c>
      <c r="D298" s="2" t="s">
        <v>188</v>
      </c>
      <c r="E298" s="5" t="n">
        <f aca="false">INDEX('08_PEDIDOS'!$D$2:$D$97,MATCH(A298,'08_PEDIDOS'!$A$2:$A$97,0))</f>
        <v>6</v>
      </c>
      <c r="F298" s="5" t="n">
        <f aca="false">SUMIFS('03_DESPIECE'!$D$2:$D$225,'03_DESPIECE'!$A$2:$A$225,B298,'03_DESPIECE'!$B$2:$B$225,C298)</f>
        <v>8</v>
      </c>
      <c r="G298" s="5" t="n">
        <f aca="false">E298*F298</f>
        <v>48</v>
      </c>
      <c r="H298" s="16" t="n">
        <f aca="false">SUMIFS('03_DESPIECE'!$J$2:$J$225,'03_DESPIECE'!$A$2:$A$225,B298,'03_DESPIECE'!$B$2:$B$225,C298)</f>
        <v>7.2</v>
      </c>
      <c r="I298" s="16" t="n">
        <f aca="false">E298*H298</f>
        <v>43.2</v>
      </c>
      <c r="J298" s="17" t="n">
        <f aca="false">E298*SUMIFS('03_DESPIECE'!$I$2:$I$225,'03_DESPIECE'!$A$2:$A$225,B298,'03_DESPIECE'!$B$2:$B$225,C298)</f>
        <v>0</v>
      </c>
      <c r="K298" s="19" t="n">
        <f aca="false">E298*SUMIFS('03_DESPIECE'!$K$2:$K$225,'03_DESPIECE'!$A$2:$A$225,B298,'03_DESPIECE'!$B$2:$B$225,C298)</f>
        <v>0</v>
      </c>
      <c r="L298" s="5" t="n">
        <f aca="false">SUMIFS('03_DESPIECE'!$L$2:$L$225,'03_DESPIECE'!$A$2:$A$225,B298,'03_DESPIECE'!$B$2:$B$225,C298)</f>
        <v>1</v>
      </c>
      <c r="M298" s="2" t="s">
        <v>629</v>
      </c>
    </row>
    <row r="299" customFormat="false" ht="15" hidden="false" customHeight="false" outlineLevel="0" collapsed="false">
      <c r="A299" s="2" t="s">
        <v>569</v>
      </c>
      <c r="B299" s="2" t="s">
        <v>106</v>
      </c>
      <c r="C299" s="2" t="s">
        <v>320</v>
      </c>
      <c r="D299" s="2" t="s">
        <v>188</v>
      </c>
      <c r="E299" s="5" t="n">
        <f aca="false">INDEX('08_PEDIDOS'!$D$2:$D$97,MATCH(A299,'08_PEDIDOS'!$A$2:$A$97,0))</f>
        <v>6</v>
      </c>
      <c r="F299" s="5" t="n">
        <f aca="false">SUMIFS('03_DESPIECE'!$D$2:$D$225,'03_DESPIECE'!$A$2:$A$225,B299,'03_DESPIECE'!$B$2:$B$225,C299)</f>
        <v>4</v>
      </c>
      <c r="G299" s="5" t="n">
        <f aca="false">E299*F299</f>
        <v>24</v>
      </c>
      <c r="H299" s="16" t="n">
        <f aca="false">SUMIFS('03_DESPIECE'!$J$2:$J$225,'03_DESPIECE'!$A$2:$A$225,B299,'03_DESPIECE'!$B$2:$B$225,C299)</f>
        <v>3.6</v>
      </c>
      <c r="I299" s="16" t="n">
        <f aca="false">E299*H299</f>
        <v>21.6</v>
      </c>
      <c r="J299" s="17" t="n">
        <f aca="false">E299*SUMIFS('03_DESPIECE'!$I$2:$I$225,'03_DESPIECE'!$A$2:$A$225,B299,'03_DESPIECE'!$B$2:$B$225,C299)</f>
        <v>0</v>
      </c>
      <c r="K299" s="19" t="n">
        <f aca="false">E299*SUMIFS('03_DESPIECE'!$K$2:$K$225,'03_DESPIECE'!$A$2:$A$225,B299,'03_DESPIECE'!$B$2:$B$225,C299)</f>
        <v>0</v>
      </c>
      <c r="L299" s="5" t="n">
        <f aca="false">SUMIFS('03_DESPIECE'!$L$2:$L$225,'03_DESPIECE'!$A$2:$A$225,B299,'03_DESPIECE'!$B$2:$B$225,C299)</f>
        <v>1</v>
      </c>
      <c r="M299" s="2" t="s">
        <v>629</v>
      </c>
    </row>
    <row r="300" customFormat="false" ht="15" hidden="false" customHeight="false" outlineLevel="0" collapsed="false">
      <c r="A300" s="2" t="s">
        <v>570</v>
      </c>
      <c r="B300" s="2" t="s">
        <v>108</v>
      </c>
      <c r="C300" s="2" t="s">
        <v>321</v>
      </c>
      <c r="D300" s="2" t="s">
        <v>176</v>
      </c>
      <c r="E300" s="5" t="n">
        <f aca="false">INDEX('08_PEDIDOS'!$D$2:$D$97,MATCH(A300,'08_PEDIDOS'!$A$2:$A$97,0))</f>
        <v>7</v>
      </c>
      <c r="F300" s="5" t="n">
        <f aca="false">SUMIFS('03_DESPIECE'!$D$2:$D$225,'03_DESPIECE'!$A$2:$A$225,B300,'03_DESPIECE'!$B$2:$B$225,C300)</f>
        <v>2</v>
      </c>
      <c r="G300" s="5" t="n">
        <f aca="false">E300*F300</f>
        <v>14</v>
      </c>
      <c r="H300" s="16" t="n">
        <f aca="false">SUMIFS('03_DESPIECE'!$J$2:$J$225,'03_DESPIECE'!$A$2:$A$225,B300,'03_DESPIECE'!$B$2:$B$225,C300)</f>
        <v>191.4717391304</v>
      </c>
      <c r="I300" s="16" t="n">
        <f aca="false">E300*H300</f>
        <v>1340.3021739128</v>
      </c>
      <c r="J300" s="17" t="n">
        <f aca="false">E300*SUMIFS('03_DESPIECE'!$I$2:$I$225,'03_DESPIECE'!$A$2:$A$225,B300,'03_DESPIECE'!$B$2:$B$225,C300)</f>
        <v>181.335</v>
      </c>
      <c r="K300" s="19" t="n">
        <f aca="false">E300*SUMIFS('03_DESPIECE'!$K$2:$K$225,'03_DESPIECE'!$A$2:$A$225,B300,'03_DESPIECE'!$B$2:$B$225,C300)</f>
        <v>5.3472222223</v>
      </c>
      <c r="L300" s="5" t="n">
        <f aca="false">SUMIFS('03_DESPIECE'!$L$2:$L$225,'03_DESPIECE'!$A$2:$A$225,B300,'03_DESPIECE'!$B$2:$B$225,C300)</f>
        <v>1</v>
      </c>
      <c r="M300" s="2" t="s">
        <v>629</v>
      </c>
    </row>
    <row r="301" customFormat="false" ht="15" hidden="false" customHeight="false" outlineLevel="0" collapsed="false">
      <c r="A301" s="2" t="s">
        <v>570</v>
      </c>
      <c r="B301" s="2" t="s">
        <v>108</v>
      </c>
      <c r="C301" s="2" t="s">
        <v>322</v>
      </c>
      <c r="D301" s="2" t="s">
        <v>176</v>
      </c>
      <c r="E301" s="5" t="n">
        <f aca="false">INDEX('08_PEDIDOS'!$D$2:$D$97,MATCH(A301,'08_PEDIDOS'!$A$2:$A$97,0))</f>
        <v>7</v>
      </c>
      <c r="F301" s="5" t="n">
        <f aca="false">SUMIFS('03_DESPIECE'!$D$2:$D$225,'03_DESPIECE'!$A$2:$A$225,B301,'03_DESPIECE'!$B$2:$B$225,C301)</f>
        <v>2</v>
      </c>
      <c r="G301" s="5" t="n">
        <f aca="false">E301*F301</f>
        <v>14</v>
      </c>
      <c r="H301" s="16" t="n">
        <f aca="false">SUMIFS('03_DESPIECE'!$J$2:$J$225,'03_DESPIECE'!$A$2:$A$225,B301,'03_DESPIECE'!$B$2:$B$225,C301)</f>
        <v>83.5513043478</v>
      </c>
      <c r="I301" s="16" t="n">
        <f aca="false">E301*H301</f>
        <v>584.8591304346</v>
      </c>
      <c r="J301" s="17" t="n">
        <f aca="false">E301*SUMIFS('03_DESPIECE'!$I$2:$I$225,'03_DESPIECE'!$A$2:$A$225,B301,'03_DESPIECE'!$B$2:$B$225,C301)</f>
        <v>79.128</v>
      </c>
      <c r="K301" s="19" t="n">
        <f aca="false">E301*SUMIFS('03_DESPIECE'!$K$2:$K$225,'03_DESPIECE'!$A$2:$A$225,B301,'03_DESPIECE'!$B$2:$B$225,C301)</f>
        <v>2.3333333331</v>
      </c>
      <c r="L301" s="5" t="n">
        <f aca="false">SUMIFS('03_DESPIECE'!$L$2:$L$225,'03_DESPIECE'!$A$2:$A$225,B301,'03_DESPIECE'!$B$2:$B$225,C301)</f>
        <v>1</v>
      </c>
      <c r="M301" s="2" t="s">
        <v>629</v>
      </c>
    </row>
    <row r="302" customFormat="false" ht="15" hidden="false" customHeight="false" outlineLevel="0" collapsed="false">
      <c r="A302" s="2" t="s">
        <v>570</v>
      </c>
      <c r="B302" s="2" t="s">
        <v>108</v>
      </c>
      <c r="C302" s="2" t="s">
        <v>323</v>
      </c>
      <c r="D302" s="2" t="s">
        <v>176</v>
      </c>
      <c r="E302" s="5" t="n">
        <f aca="false">INDEX('08_PEDIDOS'!$D$2:$D$97,MATCH(A302,'08_PEDIDOS'!$A$2:$A$97,0))</f>
        <v>7</v>
      </c>
      <c r="F302" s="5" t="n">
        <f aca="false">SUMIFS('03_DESPIECE'!$D$2:$D$225,'03_DESPIECE'!$A$2:$A$225,B302,'03_DESPIECE'!$B$2:$B$225,C302)</f>
        <v>1</v>
      </c>
      <c r="G302" s="5" t="n">
        <f aca="false">E302*F302</f>
        <v>7</v>
      </c>
      <c r="H302" s="16" t="n">
        <f aca="false">SUMIFS('03_DESPIECE'!$J$2:$J$225,'03_DESPIECE'!$A$2:$A$225,B302,'03_DESPIECE'!$B$2:$B$225,C302)</f>
        <v>156.6586956522</v>
      </c>
      <c r="I302" s="16" t="n">
        <f aca="false">E302*H302</f>
        <v>1096.6108695654</v>
      </c>
      <c r="J302" s="17" t="n">
        <f aca="false">E302*SUMIFS('03_DESPIECE'!$I$2:$I$225,'03_DESPIECE'!$A$2:$A$225,B302,'03_DESPIECE'!$B$2:$B$225,C302)</f>
        <v>148.365</v>
      </c>
      <c r="K302" s="19" t="n">
        <f aca="false">E302*SUMIFS('03_DESPIECE'!$K$2:$K$225,'03_DESPIECE'!$A$2:$A$225,B302,'03_DESPIECE'!$B$2:$B$225,C302)</f>
        <v>4.375</v>
      </c>
      <c r="L302" s="5" t="n">
        <f aca="false">SUMIFS('03_DESPIECE'!$L$2:$L$225,'03_DESPIECE'!$A$2:$A$225,B302,'03_DESPIECE'!$B$2:$B$225,C302)</f>
        <v>1</v>
      </c>
      <c r="M302" s="2" t="s">
        <v>629</v>
      </c>
    </row>
    <row r="303" customFormat="false" ht="15" hidden="false" customHeight="false" outlineLevel="0" collapsed="false">
      <c r="A303" s="2" t="s">
        <v>570</v>
      </c>
      <c r="B303" s="2" t="s">
        <v>108</v>
      </c>
      <c r="C303" s="2" t="s">
        <v>324</v>
      </c>
      <c r="D303" s="2" t="s">
        <v>176</v>
      </c>
      <c r="E303" s="5" t="n">
        <f aca="false">INDEX('08_PEDIDOS'!$D$2:$D$97,MATCH(A303,'08_PEDIDOS'!$A$2:$A$97,0))</f>
        <v>7</v>
      </c>
      <c r="F303" s="5" t="n">
        <f aca="false">SUMIFS('03_DESPIECE'!$D$2:$D$225,'03_DESPIECE'!$A$2:$A$225,B303,'03_DESPIECE'!$B$2:$B$225,C303)</f>
        <v>6</v>
      </c>
      <c r="G303" s="5" t="n">
        <f aca="false">E303*F303</f>
        <v>42</v>
      </c>
      <c r="H303" s="16" t="n">
        <f aca="false">SUMIFS('03_DESPIECE'!$J$2:$J$225,'03_DESPIECE'!$A$2:$A$225,B303,'03_DESPIECE'!$B$2:$B$225,C303)</f>
        <v>156.6586956522</v>
      </c>
      <c r="I303" s="16" t="n">
        <f aca="false">E303*H303</f>
        <v>1096.6108695654</v>
      </c>
      <c r="J303" s="17" t="n">
        <f aca="false">E303*SUMIFS('03_DESPIECE'!$I$2:$I$225,'03_DESPIECE'!$A$2:$A$225,B303,'03_DESPIECE'!$B$2:$B$225,C303)</f>
        <v>148.365</v>
      </c>
      <c r="K303" s="19" t="n">
        <f aca="false">E303*SUMIFS('03_DESPIECE'!$K$2:$K$225,'03_DESPIECE'!$A$2:$A$225,B303,'03_DESPIECE'!$B$2:$B$225,C303)</f>
        <v>4.375</v>
      </c>
      <c r="L303" s="5" t="n">
        <f aca="false">SUMIFS('03_DESPIECE'!$L$2:$L$225,'03_DESPIECE'!$A$2:$A$225,B303,'03_DESPIECE'!$B$2:$B$225,C303)</f>
        <v>1</v>
      </c>
      <c r="M303" s="2" t="s">
        <v>629</v>
      </c>
    </row>
    <row r="304" customFormat="false" ht="15" hidden="false" customHeight="false" outlineLevel="0" collapsed="false">
      <c r="A304" s="2" t="s">
        <v>570</v>
      </c>
      <c r="B304" s="2" t="s">
        <v>108</v>
      </c>
      <c r="C304" s="2" t="s">
        <v>325</v>
      </c>
      <c r="D304" s="2" t="s">
        <v>176</v>
      </c>
      <c r="E304" s="5" t="n">
        <f aca="false">INDEX('08_PEDIDOS'!$D$2:$D$97,MATCH(A304,'08_PEDIDOS'!$A$2:$A$97,0))</f>
        <v>7</v>
      </c>
      <c r="F304" s="5" t="n">
        <f aca="false">SUMIFS('03_DESPIECE'!$D$2:$D$225,'03_DESPIECE'!$A$2:$A$225,B304,'03_DESPIECE'!$B$2:$B$225,C304)</f>
        <v>2</v>
      </c>
      <c r="G304" s="5" t="n">
        <f aca="false">E304*F304</f>
        <v>14</v>
      </c>
      <c r="H304" s="16" t="n">
        <f aca="false">SUMIFS('03_DESPIECE'!$J$2:$J$225,'03_DESPIECE'!$A$2:$A$225,B304,'03_DESPIECE'!$B$2:$B$225,C304)</f>
        <v>121.8456521739</v>
      </c>
      <c r="I304" s="16" t="n">
        <f aca="false">E304*H304</f>
        <v>852.9195652173</v>
      </c>
      <c r="J304" s="17" t="n">
        <f aca="false">E304*SUMIFS('03_DESPIECE'!$I$2:$I$225,'03_DESPIECE'!$A$2:$A$225,B304,'03_DESPIECE'!$B$2:$B$225,C304)</f>
        <v>115.395</v>
      </c>
      <c r="K304" s="19" t="n">
        <f aca="false">E304*SUMIFS('03_DESPIECE'!$K$2:$K$225,'03_DESPIECE'!$A$2:$A$225,B304,'03_DESPIECE'!$B$2:$B$225,C304)</f>
        <v>3.4027777777</v>
      </c>
      <c r="L304" s="5" t="n">
        <f aca="false">SUMIFS('03_DESPIECE'!$L$2:$L$225,'03_DESPIECE'!$A$2:$A$225,B304,'03_DESPIECE'!$B$2:$B$225,C304)</f>
        <v>1</v>
      </c>
      <c r="M304" s="2" t="s">
        <v>629</v>
      </c>
    </row>
    <row r="305" customFormat="false" ht="15" hidden="false" customHeight="false" outlineLevel="0" collapsed="false">
      <c r="A305" s="2" t="s">
        <v>570</v>
      </c>
      <c r="B305" s="2" t="s">
        <v>108</v>
      </c>
      <c r="C305" s="2" t="s">
        <v>326</v>
      </c>
      <c r="D305" s="2" t="s">
        <v>176</v>
      </c>
      <c r="E305" s="5" t="n">
        <f aca="false">INDEX('08_PEDIDOS'!$D$2:$D$97,MATCH(A305,'08_PEDIDOS'!$A$2:$A$97,0))</f>
        <v>7</v>
      </c>
      <c r="F305" s="5" t="n">
        <f aca="false">SUMIFS('03_DESPIECE'!$D$2:$D$225,'03_DESPIECE'!$A$2:$A$225,B305,'03_DESPIECE'!$B$2:$B$225,C305)</f>
        <v>4</v>
      </c>
      <c r="G305" s="5" t="n">
        <f aca="false">E305*F305</f>
        <v>28</v>
      </c>
      <c r="H305" s="16" t="n">
        <f aca="false">SUMIFS('03_DESPIECE'!$J$2:$J$225,'03_DESPIECE'!$A$2:$A$225,B305,'03_DESPIECE'!$B$2:$B$225,C305)</f>
        <v>139.252173913</v>
      </c>
      <c r="I305" s="16" t="n">
        <f aca="false">E305*H305</f>
        <v>974.765217391</v>
      </c>
      <c r="J305" s="17" t="n">
        <f aca="false">E305*SUMIFS('03_DESPIECE'!$I$2:$I$225,'03_DESPIECE'!$A$2:$A$225,B305,'03_DESPIECE'!$B$2:$B$225,C305)</f>
        <v>131.88</v>
      </c>
      <c r="K305" s="19" t="n">
        <f aca="false">E305*SUMIFS('03_DESPIECE'!$K$2:$K$225,'03_DESPIECE'!$A$2:$A$225,B305,'03_DESPIECE'!$B$2:$B$225,C305)</f>
        <v>3.8888888892</v>
      </c>
      <c r="L305" s="5" t="n">
        <f aca="false">SUMIFS('03_DESPIECE'!$L$2:$L$225,'03_DESPIECE'!$A$2:$A$225,B305,'03_DESPIECE'!$B$2:$B$225,C305)</f>
        <v>1</v>
      </c>
      <c r="M305" s="2" t="s">
        <v>629</v>
      </c>
    </row>
    <row r="306" customFormat="false" ht="15" hidden="false" customHeight="false" outlineLevel="0" collapsed="false">
      <c r="A306" s="2" t="s">
        <v>570</v>
      </c>
      <c r="B306" s="2" t="s">
        <v>108</v>
      </c>
      <c r="C306" s="2" t="s">
        <v>319</v>
      </c>
      <c r="D306" s="2" t="s">
        <v>188</v>
      </c>
      <c r="E306" s="5" t="n">
        <f aca="false">INDEX('08_PEDIDOS'!$D$2:$D$97,MATCH(A306,'08_PEDIDOS'!$A$2:$A$97,0))</f>
        <v>7</v>
      </c>
      <c r="F306" s="5" t="n">
        <f aca="false">SUMIFS('03_DESPIECE'!$D$2:$D$225,'03_DESPIECE'!$A$2:$A$225,B306,'03_DESPIECE'!$B$2:$B$225,C306)</f>
        <v>12</v>
      </c>
      <c r="G306" s="5" t="n">
        <f aca="false">E306*F306</f>
        <v>84</v>
      </c>
      <c r="H306" s="16" t="n">
        <f aca="false">SUMIFS('03_DESPIECE'!$J$2:$J$225,'03_DESPIECE'!$A$2:$A$225,B306,'03_DESPIECE'!$B$2:$B$225,C306)</f>
        <v>10.8</v>
      </c>
      <c r="I306" s="16" t="n">
        <f aca="false">E306*H306</f>
        <v>75.6</v>
      </c>
      <c r="J306" s="17" t="n">
        <f aca="false">E306*SUMIFS('03_DESPIECE'!$I$2:$I$225,'03_DESPIECE'!$A$2:$A$225,B306,'03_DESPIECE'!$B$2:$B$225,C306)</f>
        <v>0</v>
      </c>
      <c r="K306" s="19" t="n">
        <f aca="false">E306*SUMIFS('03_DESPIECE'!$K$2:$K$225,'03_DESPIECE'!$A$2:$A$225,B306,'03_DESPIECE'!$B$2:$B$225,C306)</f>
        <v>0</v>
      </c>
      <c r="L306" s="5" t="n">
        <f aca="false">SUMIFS('03_DESPIECE'!$L$2:$L$225,'03_DESPIECE'!$A$2:$A$225,B306,'03_DESPIECE'!$B$2:$B$225,C306)</f>
        <v>1</v>
      </c>
      <c r="M306" s="2" t="s">
        <v>629</v>
      </c>
    </row>
    <row r="307" customFormat="false" ht="15" hidden="false" customHeight="false" outlineLevel="0" collapsed="false">
      <c r="A307" s="2" t="s">
        <v>570</v>
      </c>
      <c r="B307" s="2" t="s">
        <v>108</v>
      </c>
      <c r="C307" s="2" t="s">
        <v>320</v>
      </c>
      <c r="D307" s="2" t="s">
        <v>188</v>
      </c>
      <c r="E307" s="5" t="n">
        <f aca="false">INDEX('08_PEDIDOS'!$D$2:$D$97,MATCH(A307,'08_PEDIDOS'!$A$2:$A$97,0))</f>
        <v>7</v>
      </c>
      <c r="F307" s="5" t="n">
        <f aca="false">SUMIFS('03_DESPIECE'!$D$2:$D$225,'03_DESPIECE'!$A$2:$A$225,B307,'03_DESPIECE'!$B$2:$B$225,C307)</f>
        <v>6</v>
      </c>
      <c r="G307" s="5" t="n">
        <f aca="false">E307*F307</f>
        <v>42</v>
      </c>
      <c r="H307" s="16" t="n">
        <f aca="false">SUMIFS('03_DESPIECE'!$J$2:$J$225,'03_DESPIECE'!$A$2:$A$225,B307,'03_DESPIECE'!$B$2:$B$225,C307)</f>
        <v>5.4</v>
      </c>
      <c r="I307" s="16" t="n">
        <f aca="false">E307*H307</f>
        <v>37.8</v>
      </c>
      <c r="J307" s="17" t="n">
        <f aca="false">E307*SUMIFS('03_DESPIECE'!$I$2:$I$225,'03_DESPIECE'!$A$2:$A$225,B307,'03_DESPIECE'!$B$2:$B$225,C307)</f>
        <v>0</v>
      </c>
      <c r="K307" s="19" t="n">
        <f aca="false">E307*SUMIFS('03_DESPIECE'!$K$2:$K$225,'03_DESPIECE'!$A$2:$A$225,B307,'03_DESPIECE'!$B$2:$B$225,C307)</f>
        <v>0</v>
      </c>
      <c r="L307" s="5" t="n">
        <f aca="false">SUMIFS('03_DESPIECE'!$L$2:$L$225,'03_DESPIECE'!$A$2:$A$225,B307,'03_DESPIECE'!$B$2:$B$225,C307)</f>
        <v>1</v>
      </c>
      <c r="M307" s="2" t="s">
        <v>629</v>
      </c>
    </row>
    <row r="308" customFormat="false" ht="15" hidden="false" customHeight="false" outlineLevel="0" collapsed="false">
      <c r="A308" s="2" t="s">
        <v>571</v>
      </c>
      <c r="B308" s="2" t="s">
        <v>119</v>
      </c>
      <c r="C308" s="2" t="s">
        <v>327</v>
      </c>
      <c r="D308" s="2" t="s">
        <v>174</v>
      </c>
      <c r="E308" s="5" t="n">
        <f aca="false">INDEX('08_PEDIDOS'!$D$2:$D$97,MATCH(A308,'08_PEDIDOS'!$A$2:$A$97,0))</f>
        <v>12</v>
      </c>
      <c r="F308" s="5" t="n">
        <f aca="false">SUMIFS('03_DESPIECE'!$D$2:$D$225,'03_DESPIECE'!$A$2:$A$225,B308,'03_DESPIECE'!$B$2:$B$225,C308)</f>
        <v>2</v>
      </c>
      <c r="G308" s="5" t="n">
        <f aca="false">E308*F308</f>
        <v>24</v>
      </c>
      <c r="H308" s="16" t="n">
        <f aca="false">SUMIFS('03_DESPIECE'!$J$2:$J$225,'03_DESPIECE'!$A$2:$A$225,B308,'03_DESPIECE'!$B$2:$B$225,C308)</f>
        <v>110.2413043478</v>
      </c>
      <c r="I308" s="16" t="n">
        <f aca="false">E308*H308</f>
        <v>1322.8956521736</v>
      </c>
      <c r="J308" s="17" t="n">
        <f aca="false">E308*SUMIFS('03_DESPIECE'!$I$2:$I$225,'03_DESPIECE'!$A$2:$A$225,B308,'03_DESPIECE'!$B$2:$B$225,C308)</f>
        <v>178.98</v>
      </c>
      <c r="K308" s="19" t="n">
        <f aca="false">E308*SUMIFS('03_DESPIECE'!$K$2:$K$225,'03_DESPIECE'!$A$2:$A$225,B308,'03_DESPIECE'!$B$2:$B$225,C308)</f>
        <v>7.9166666664</v>
      </c>
      <c r="L308" s="5" t="n">
        <f aca="false">SUMIFS('03_DESPIECE'!$L$2:$L$225,'03_DESPIECE'!$A$2:$A$225,B308,'03_DESPIECE'!$B$2:$B$225,C308)</f>
        <v>1</v>
      </c>
      <c r="M308" s="2" t="s">
        <v>629</v>
      </c>
    </row>
    <row r="309" customFormat="false" ht="15" hidden="false" customHeight="false" outlineLevel="0" collapsed="false">
      <c r="A309" s="2" t="s">
        <v>571</v>
      </c>
      <c r="B309" s="2" t="s">
        <v>119</v>
      </c>
      <c r="C309" s="2" t="s">
        <v>316</v>
      </c>
      <c r="D309" s="2" t="s">
        <v>174</v>
      </c>
      <c r="E309" s="5" t="n">
        <f aca="false">INDEX('08_PEDIDOS'!$D$2:$D$97,MATCH(A309,'08_PEDIDOS'!$A$2:$A$97,0))</f>
        <v>12</v>
      </c>
      <c r="F309" s="5" t="n">
        <f aca="false">SUMIFS('03_DESPIECE'!$D$2:$D$225,'03_DESPIECE'!$A$2:$A$225,B309,'03_DESPIECE'!$B$2:$B$225,C309)</f>
        <v>1</v>
      </c>
      <c r="G309" s="5" t="n">
        <f aca="false">E309*F309</f>
        <v>12</v>
      </c>
      <c r="H309" s="16" t="n">
        <f aca="false">SUMIFS('03_DESPIECE'!$J$2:$J$225,'03_DESPIECE'!$A$2:$A$225,B309,'03_DESPIECE'!$B$2:$B$225,C309)</f>
        <v>75.4282608696</v>
      </c>
      <c r="I309" s="16" t="n">
        <f aca="false">E309*H309</f>
        <v>905.1391304352</v>
      </c>
      <c r="J309" s="17" t="n">
        <f aca="false">E309*SUMIFS('03_DESPIECE'!$I$2:$I$225,'03_DESPIECE'!$A$2:$A$225,B309,'03_DESPIECE'!$B$2:$B$225,C309)</f>
        <v>122.46</v>
      </c>
      <c r="K309" s="19" t="n">
        <f aca="false">E309*SUMIFS('03_DESPIECE'!$K$2:$K$225,'03_DESPIECE'!$A$2:$A$225,B309,'03_DESPIECE'!$B$2:$B$225,C309)</f>
        <v>5.4166666668</v>
      </c>
      <c r="L309" s="5" t="n">
        <f aca="false">SUMIFS('03_DESPIECE'!$L$2:$L$225,'03_DESPIECE'!$A$2:$A$225,B309,'03_DESPIECE'!$B$2:$B$225,C309)</f>
        <v>1</v>
      </c>
      <c r="M309" s="2" t="s">
        <v>629</v>
      </c>
    </row>
    <row r="310" customFormat="false" ht="15" hidden="false" customHeight="false" outlineLevel="0" collapsed="false">
      <c r="A310" s="2" t="s">
        <v>571</v>
      </c>
      <c r="B310" s="2" t="s">
        <v>119</v>
      </c>
      <c r="C310" s="2" t="s">
        <v>322</v>
      </c>
      <c r="D310" s="2" t="s">
        <v>174</v>
      </c>
      <c r="E310" s="5" t="n">
        <f aca="false">INDEX('08_PEDIDOS'!$D$2:$D$97,MATCH(A310,'08_PEDIDOS'!$A$2:$A$97,0))</f>
        <v>12</v>
      </c>
      <c r="F310" s="5" t="n">
        <f aca="false">SUMIFS('03_DESPIECE'!$D$2:$D$225,'03_DESPIECE'!$A$2:$A$225,B310,'03_DESPIECE'!$B$2:$B$225,C310)</f>
        <v>2</v>
      </c>
      <c r="G310" s="5" t="n">
        <f aca="false">E310*F310</f>
        <v>24</v>
      </c>
      <c r="H310" s="16" t="n">
        <f aca="false">SUMIFS('03_DESPIECE'!$J$2:$J$225,'03_DESPIECE'!$A$2:$A$225,B310,'03_DESPIECE'!$B$2:$B$225,C310)</f>
        <v>58.0217391304</v>
      </c>
      <c r="I310" s="16" t="n">
        <f aca="false">E310*H310</f>
        <v>696.2608695648</v>
      </c>
      <c r="J310" s="17" t="n">
        <f aca="false">E310*SUMIFS('03_DESPIECE'!$I$2:$I$225,'03_DESPIECE'!$A$2:$A$225,B310,'03_DESPIECE'!$B$2:$B$225,C310)</f>
        <v>94.2</v>
      </c>
      <c r="K310" s="19" t="n">
        <f aca="false">E310*SUMIFS('03_DESPIECE'!$K$2:$K$225,'03_DESPIECE'!$A$2:$A$225,B310,'03_DESPIECE'!$B$2:$B$225,C310)</f>
        <v>4.1666666664</v>
      </c>
      <c r="L310" s="5" t="n">
        <f aca="false">SUMIFS('03_DESPIECE'!$L$2:$L$225,'03_DESPIECE'!$A$2:$A$225,B310,'03_DESPIECE'!$B$2:$B$225,C310)</f>
        <v>1</v>
      </c>
      <c r="M310" s="2" t="s">
        <v>629</v>
      </c>
    </row>
    <row r="311" customFormat="false" ht="15" hidden="false" customHeight="false" outlineLevel="0" collapsed="false">
      <c r="A311" s="2" t="s">
        <v>571</v>
      </c>
      <c r="B311" s="2" t="s">
        <v>119</v>
      </c>
      <c r="C311" s="2" t="s">
        <v>328</v>
      </c>
      <c r="D311" s="2" t="s">
        <v>174</v>
      </c>
      <c r="E311" s="5" t="n">
        <f aca="false">INDEX('08_PEDIDOS'!$D$2:$D$97,MATCH(A311,'08_PEDIDOS'!$A$2:$A$97,0))</f>
        <v>12</v>
      </c>
      <c r="F311" s="5" t="n">
        <f aca="false">SUMIFS('03_DESPIECE'!$D$2:$D$225,'03_DESPIECE'!$A$2:$A$225,B311,'03_DESPIECE'!$B$2:$B$225,C311)</f>
        <v>2</v>
      </c>
      <c r="G311" s="5" t="n">
        <f aca="false">E311*F311</f>
        <v>24</v>
      </c>
      <c r="H311" s="16" t="n">
        <f aca="false">SUMIFS('03_DESPIECE'!$J$2:$J$225,'03_DESPIECE'!$A$2:$A$225,B311,'03_DESPIECE'!$B$2:$B$225,C311)</f>
        <v>81.2304347826</v>
      </c>
      <c r="I311" s="16" t="n">
        <f aca="false">E311*H311</f>
        <v>974.7652173912</v>
      </c>
      <c r="J311" s="17" t="n">
        <f aca="false">E311*SUMIFS('03_DESPIECE'!$I$2:$I$225,'03_DESPIECE'!$A$2:$A$225,B311,'03_DESPIECE'!$B$2:$B$225,C311)</f>
        <v>131.88</v>
      </c>
      <c r="K311" s="19" t="n">
        <f aca="false">E311*SUMIFS('03_DESPIECE'!$K$2:$K$225,'03_DESPIECE'!$A$2:$A$225,B311,'03_DESPIECE'!$B$2:$B$225,C311)</f>
        <v>5.8333333332</v>
      </c>
      <c r="L311" s="5" t="n">
        <f aca="false">SUMIFS('03_DESPIECE'!$L$2:$L$225,'03_DESPIECE'!$A$2:$A$225,B311,'03_DESPIECE'!$B$2:$B$225,C311)</f>
        <v>1</v>
      </c>
      <c r="M311" s="2" t="s">
        <v>629</v>
      </c>
    </row>
    <row r="312" customFormat="false" ht="15" hidden="false" customHeight="false" outlineLevel="0" collapsed="false">
      <c r="A312" s="2" t="s">
        <v>571</v>
      </c>
      <c r="B312" s="2" t="s">
        <v>119</v>
      </c>
      <c r="C312" s="2" t="s">
        <v>310</v>
      </c>
      <c r="D312" s="2" t="s">
        <v>174</v>
      </c>
      <c r="E312" s="5" t="n">
        <f aca="false">INDEX('08_PEDIDOS'!$D$2:$D$97,MATCH(A312,'08_PEDIDOS'!$A$2:$A$97,0))</f>
        <v>12</v>
      </c>
      <c r="F312" s="5" t="n">
        <f aca="false">SUMIFS('03_DESPIECE'!$D$2:$D$225,'03_DESPIECE'!$A$2:$A$225,B312,'03_DESPIECE'!$B$2:$B$225,C312)</f>
        <v>3</v>
      </c>
      <c r="G312" s="5" t="n">
        <f aca="false">E312*F312</f>
        <v>36</v>
      </c>
      <c r="H312" s="16" t="n">
        <f aca="false">SUMIFS('03_DESPIECE'!$J$2:$J$225,'03_DESPIECE'!$A$2:$A$225,B312,'03_DESPIECE'!$B$2:$B$225,C312)</f>
        <v>83.5513043478</v>
      </c>
      <c r="I312" s="16" t="n">
        <f aca="false">E312*H312</f>
        <v>1002.6156521736</v>
      </c>
      <c r="J312" s="17" t="n">
        <f aca="false">E312*SUMIFS('03_DESPIECE'!$I$2:$I$225,'03_DESPIECE'!$A$2:$A$225,B312,'03_DESPIECE'!$B$2:$B$225,C312)</f>
        <v>135.648</v>
      </c>
      <c r="K312" s="19" t="n">
        <f aca="false">E312*SUMIFS('03_DESPIECE'!$K$2:$K$225,'03_DESPIECE'!$A$2:$A$225,B312,'03_DESPIECE'!$B$2:$B$225,C312)</f>
        <v>6</v>
      </c>
      <c r="L312" s="5" t="n">
        <f aca="false">SUMIFS('03_DESPIECE'!$L$2:$L$225,'03_DESPIECE'!$A$2:$A$225,B312,'03_DESPIECE'!$B$2:$B$225,C312)</f>
        <v>1</v>
      </c>
      <c r="M312" s="2" t="s">
        <v>629</v>
      </c>
    </row>
    <row r="313" customFormat="false" ht="15" hidden="false" customHeight="false" outlineLevel="0" collapsed="false">
      <c r="A313" s="2" t="s">
        <v>571</v>
      </c>
      <c r="B313" s="2" t="s">
        <v>119</v>
      </c>
      <c r="C313" s="2" t="s">
        <v>319</v>
      </c>
      <c r="D313" s="2" t="s">
        <v>188</v>
      </c>
      <c r="E313" s="5" t="n">
        <f aca="false">INDEX('08_PEDIDOS'!$D$2:$D$97,MATCH(A313,'08_PEDIDOS'!$A$2:$A$97,0))</f>
        <v>12</v>
      </c>
      <c r="F313" s="5" t="n">
        <f aca="false">SUMIFS('03_DESPIECE'!$D$2:$D$225,'03_DESPIECE'!$A$2:$A$225,B313,'03_DESPIECE'!$B$2:$B$225,C313)</f>
        <v>4</v>
      </c>
      <c r="G313" s="5" t="n">
        <f aca="false">E313*F313</f>
        <v>48</v>
      </c>
      <c r="H313" s="16" t="n">
        <f aca="false">SUMIFS('03_DESPIECE'!$J$2:$J$225,'03_DESPIECE'!$A$2:$A$225,B313,'03_DESPIECE'!$B$2:$B$225,C313)</f>
        <v>3.6</v>
      </c>
      <c r="I313" s="16" t="n">
        <f aca="false">E313*H313</f>
        <v>43.2</v>
      </c>
      <c r="J313" s="17" t="n">
        <f aca="false">E313*SUMIFS('03_DESPIECE'!$I$2:$I$225,'03_DESPIECE'!$A$2:$A$225,B313,'03_DESPIECE'!$B$2:$B$225,C313)</f>
        <v>0</v>
      </c>
      <c r="K313" s="19" t="n">
        <f aca="false">E313*SUMIFS('03_DESPIECE'!$K$2:$K$225,'03_DESPIECE'!$A$2:$A$225,B313,'03_DESPIECE'!$B$2:$B$225,C313)</f>
        <v>0</v>
      </c>
      <c r="L313" s="5" t="n">
        <f aca="false">SUMIFS('03_DESPIECE'!$L$2:$L$225,'03_DESPIECE'!$A$2:$A$225,B313,'03_DESPIECE'!$B$2:$B$225,C313)</f>
        <v>1</v>
      </c>
      <c r="M313" s="2" t="s">
        <v>629</v>
      </c>
    </row>
    <row r="314" customFormat="false" ht="15" hidden="false" customHeight="false" outlineLevel="0" collapsed="false">
      <c r="A314" s="2" t="s">
        <v>571</v>
      </c>
      <c r="B314" s="2" t="s">
        <v>119</v>
      </c>
      <c r="C314" s="2" t="s">
        <v>320</v>
      </c>
      <c r="D314" s="2" t="s">
        <v>188</v>
      </c>
      <c r="E314" s="5" t="n">
        <f aca="false">INDEX('08_PEDIDOS'!$D$2:$D$97,MATCH(A314,'08_PEDIDOS'!$A$2:$A$97,0))</f>
        <v>12</v>
      </c>
      <c r="F314" s="5" t="n">
        <f aca="false">SUMIFS('03_DESPIECE'!$D$2:$D$225,'03_DESPIECE'!$A$2:$A$225,B314,'03_DESPIECE'!$B$2:$B$225,C314)</f>
        <v>2</v>
      </c>
      <c r="G314" s="5" t="n">
        <f aca="false">E314*F314</f>
        <v>24</v>
      </c>
      <c r="H314" s="16" t="n">
        <f aca="false">SUMIFS('03_DESPIECE'!$J$2:$J$225,'03_DESPIECE'!$A$2:$A$225,B314,'03_DESPIECE'!$B$2:$B$225,C314)</f>
        <v>1.8</v>
      </c>
      <c r="I314" s="16" t="n">
        <f aca="false">E314*H314</f>
        <v>21.6</v>
      </c>
      <c r="J314" s="17" t="n">
        <f aca="false">E314*SUMIFS('03_DESPIECE'!$I$2:$I$225,'03_DESPIECE'!$A$2:$A$225,B314,'03_DESPIECE'!$B$2:$B$225,C314)</f>
        <v>0</v>
      </c>
      <c r="K314" s="19" t="n">
        <f aca="false">E314*SUMIFS('03_DESPIECE'!$K$2:$K$225,'03_DESPIECE'!$A$2:$A$225,B314,'03_DESPIECE'!$B$2:$B$225,C314)</f>
        <v>0</v>
      </c>
      <c r="L314" s="5" t="n">
        <f aca="false">SUMIFS('03_DESPIECE'!$L$2:$L$225,'03_DESPIECE'!$A$2:$A$225,B314,'03_DESPIECE'!$B$2:$B$225,C314)</f>
        <v>1</v>
      </c>
      <c r="M314" s="2" t="s">
        <v>629</v>
      </c>
    </row>
    <row r="315" customFormat="false" ht="15" hidden="false" customHeight="false" outlineLevel="0" collapsed="false">
      <c r="A315" s="2" t="s">
        <v>572</v>
      </c>
      <c r="B315" s="2" t="s">
        <v>121</v>
      </c>
      <c r="C315" s="2" t="s">
        <v>329</v>
      </c>
      <c r="D315" s="2" t="s">
        <v>184</v>
      </c>
      <c r="E315" s="5" t="n">
        <f aca="false">INDEX('08_PEDIDOS'!$D$2:$D$97,MATCH(A315,'08_PEDIDOS'!$A$2:$A$97,0))</f>
        <v>12</v>
      </c>
      <c r="F315" s="5" t="n">
        <f aca="false">SUMIFS('03_DESPIECE'!$D$2:$D$225,'03_DESPIECE'!$A$2:$A$225,B315,'03_DESPIECE'!$B$2:$B$225,C315)</f>
        <v>4</v>
      </c>
      <c r="G315" s="5" t="n">
        <f aca="false">E315*F315</f>
        <v>48</v>
      </c>
      <c r="H315" s="16" t="n">
        <f aca="false">SUMIFS('03_DESPIECE'!$J$2:$J$225,'03_DESPIECE'!$A$2:$A$225,B315,'03_DESPIECE'!$B$2:$B$225,C315)</f>
        <v>62.90625</v>
      </c>
      <c r="I315" s="16" t="n">
        <f aca="false">E315*H315</f>
        <v>754.875</v>
      </c>
      <c r="J315" s="17" t="n">
        <f aca="false">E315*SUMIFS('03_DESPIECE'!$I$2:$I$225,'03_DESPIECE'!$A$2:$A$225,B315,'03_DESPIECE'!$B$2:$B$225,C315)</f>
        <v>118.8</v>
      </c>
      <c r="K315" s="19" t="n">
        <f aca="false">E315*SUMIFS('03_DESPIECE'!$K$2:$K$225,'03_DESPIECE'!$A$2:$A$225,B315,'03_DESPIECE'!$B$2:$B$225,C315)</f>
        <v>0</v>
      </c>
      <c r="L315" s="5" t="n">
        <f aca="false">SUMIFS('03_DESPIECE'!$L$2:$L$225,'03_DESPIECE'!$A$2:$A$225,B315,'03_DESPIECE'!$B$2:$B$225,C315)</f>
        <v>1</v>
      </c>
      <c r="M315" s="2" t="s">
        <v>629</v>
      </c>
    </row>
    <row r="316" customFormat="false" ht="15" hidden="false" customHeight="false" outlineLevel="0" collapsed="false">
      <c r="A316" s="2" t="s">
        <v>572</v>
      </c>
      <c r="B316" s="2" t="s">
        <v>121</v>
      </c>
      <c r="C316" s="2" t="s">
        <v>330</v>
      </c>
      <c r="D316" s="2" t="s">
        <v>184</v>
      </c>
      <c r="E316" s="5" t="n">
        <f aca="false">INDEX('08_PEDIDOS'!$D$2:$D$97,MATCH(A316,'08_PEDIDOS'!$A$2:$A$97,0))</f>
        <v>12</v>
      </c>
      <c r="F316" s="5" t="n">
        <f aca="false">SUMIFS('03_DESPIECE'!$D$2:$D$225,'03_DESPIECE'!$A$2:$A$225,B316,'03_DESPIECE'!$B$2:$B$225,C316)</f>
        <v>8</v>
      </c>
      <c r="G316" s="5" t="n">
        <f aca="false">E316*F316</f>
        <v>96</v>
      </c>
      <c r="H316" s="16" t="n">
        <f aca="false">SUMIFS('03_DESPIECE'!$J$2:$J$225,'03_DESPIECE'!$A$2:$A$225,B316,'03_DESPIECE'!$B$2:$B$225,C316)</f>
        <v>68.625</v>
      </c>
      <c r="I316" s="16" t="n">
        <f aca="false">E316*H316</f>
        <v>823.5</v>
      </c>
      <c r="J316" s="17" t="n">
        <f aca="false">E316*SUMIFS('03_DESPIECE'!$I$2:$I$225,'03_DESPIECE'!$A$2:$A$225,B316,'03_DESPIECE'!$B$2:$B$225,C316)</f>
        <v>129.6</v>
      </c>
      <c r="K316" s="19" t="n">
        <f aca="false">E316*SUMIFS('03_DESPIECE'!$K$2:$K$225,'03_DESPIECE'!$A$2:$A$225,B316,'03_DESPIECE'!$B$2:$B$225,C316)</f>
        <v>0</v>
      </c>
      <c r="L316" s="5" t="n">
        <f aca="false">SUMIFS('03_DESPIECE'!$L$2:$L$225,'03_DESPIECE'!$A$2:$A$225,B316,'03_DESPIECE'!$B$2:$B$225,C316)</f>
        <v>1</v>
      </c>
      <c r="M316" s="2" t="s">
        <v>629</v>
      </c>
    </row>
    <row r="317" customFormat="false" ht="15" hidden="false" customHeight="false" outlineLevel="0" collapsed="false">
      <c r="A317" s="2" t="s">
        <v>572</v>
      </c>
      <c r="B317" s="2" t="s">
        <v>121</v>
      </c>
      <c r="C317" s="2" t="s">
        <v>310</v>
      </c>
      <c r="D317" s="2" t="s">
        <v>174</v>
      </c>
      <c r="E317" s="5" t="n">
        <f aca="false">INDEX('08_PEDIDOS'!$D$2:$D$97,MATCH(A317,'08_PEDIDOS'!$A$2:$A$97,0))</f>
        <v>12</v>
      </c>
      <c r="F317" s="5" t="n">
        <f aca="false">SUMIFS('03_DESPIECE'!$D$2:$D$225,'03_DESPIECE'!$A$2:$A$225,B317,'03_DESPIECE'!$B$2:$B$225,C317)</f>
        <v>5</v>
      </c>
      <c r="G317" s="5" t="n">
        <f aca="false">E317*F317</f>
        <v>60</v>
      </c>
      <c r="H317" s="16" t="n">
        <f aca="false">SUMIFS('03_DESPIECE'!$J$2:$J$225,'03_DESPIECE'!$A$2:$A$225,B317,'03_DESPIECE'!$B$2:$B$225,C317)</f>
        <v>116.0434782609</v>
      </c>
      <c r="I317" s="16" t="n">
        <f aca="false">E317*H317</f>
        <v>1392.5217391308</v>
      </c>
      <c r="J317" s="17" t="n">
        <f aca="false">E317*SUMIFS('03_DESPIECE'!$I$2:$I$225,'03_DESPIECE'!$A$2:$A$225,B317,'03_DESPIECE'!$B$2:$B$225,C317)</f>
        <v>188.4</v>
      </c>
      <c r="K317" s="19" t="n">
        <f aca="false">E317*SUMIFS('03_DESPIECE'!$K$2:$K$225,'03_DESPIECE'!$A$2:$A$225,B317,'03_DESPIECE'!$B$2:$B$225,C317)</f>
        <v>8.3333333328</v>
      </c>
      <c r="L317" s="5" t="n">
        <f aca="false">SUMIFS('03_DESPIECE'!$L$2:$L$225,'03_DESPIECE'!$A$2:$A$225,B317,'03_DESPIECE'!$B$2:$B$225,C317)</f>
        <v>1</v>
      </c>
      <c r="M317" s="2" t="s">
        <v>629</v>
      </c>
    </row>
    <row r="318" customFormat="false" ht="15" hidden="false" customHeight="false" outlineLevel="0" collapsed="false">
      <c r="A318" s="2" t="s">
        <v>572</v>
      </c>
      <c r="B318" s="2" t="s">
        <v>121</v>
      </c>
      <c r="C318" s="2" t="s">
        <v>331</v>
      </c>
      <c r="D318" s="2" t="s">
        <v>174</v>
      </c>
      <c r="E318" s="5" t="n">
        <f aca="false">INDEX('08_PEDIDOS'!$D$2:$D$97,MATCH(A318,'08_PEDIDOS'!$A$2:$A$97,0))</f>
        <v>12</v>
      </c>
      <c r="F318" s="5" t="n">
        <f aca="false">SUMIFS('03_DESPIECE'!$D$2:$D$225,'03_DESPIECE'!$A$2:$A$225,B318,'03_DESPIECE'!$B$2:$B$225,C318)</f>
        <v>8</v>
      </c>
      <c r="G318" s="5" t="n">
        <f aca="false">E318*F318</f>
        <v>96</v>
      </c>
      <c r="H318" s="16" t="n">
        <f aca="false">SUMIFS('03_DESPIECE'!$J$2:$J$225,'03_DESPIECE'!$A$2:$A$225,B318,'03_DESPIECE'!$B$2:$B$225,C318)</f>
        <v>16.2460869565</v>
      </c>
      <c r="I318" s="16" t="n">
        <f aca="false">E318*H318</f>
        <v>194.953043478</v>
      </c>
      <c r="J318" s="17" t="n">
        <f aca="false">E318*SUMIFS('03_DESPIECE'!$I$2:$I$225,'03_DESPIECE'!$A$2:$A$225,B318,'03_DESPIECE'!$B$2:$B$225,C318)</f>
        <v>26.376</v>
      </c>
      <c r="K318" s="19" t="n">
        <f aca="false">E318*SUMIFS('03_DESPIECE'!$K$2:$K$225,'03_DESPIECE'!$A$2:$A$225,B318,'03_DESPIECE'!$B$2:$B$225,C318)</f>
        <v>1.1666666664</v>
      </c>
      <c r="L318" s="5" t="n">
        <f aca="false">SUMIFS('03_DESPIECE'!$L$2:$L$225,'03_DESPIECE'!$A$2:$A$225,B318,'03_DESPIECE'!$B$2:$B$225,C318)</f>
        <v>1</v>
      </c>
      <c r="M318" s="2" t="s">
        <v>629</v>
      </c>
    </row>
    <row r="319" customFormat="false" ht="15" hidden="false" customHeight="false" outlineLevel="0" collapsed="false">
      <c r="A319" s="2" t="s">
        <v>572</v>
      </c>
      <c r="B319" s="2" t="s">
        <v>121</v>
      </c>
      <c r="C319" s="2" t="s">
        <v>332</v>
      </c>
      <c r="D319" s="2" t="s">
        <v>188</v>
      </c>
      <c r="E319" s="5" t="n">
        <f aca="false">INDEX('08_PEDIDOS'!$D$2:$D$97,MATCH(A319,'08_PEDIDOS'!$A$2:$A$97,0))</f>
        <v>12</v>
      </c>
      <c r="F319" s="5" t="n">
        <f aca="false">SUMIFS('03_DESPIECE'!$D$2:$D$225,'03_DESPIECE'!$A$2:$A$225,B319,'03_DESPIECE'!$B$2:$B$225,C319)</f>
        <v>32</v>
      </c>
      <c r="G319" s="5" t="n">
        <f aca="false">E319*F319</f>
        <v>384</v>
      </c>
      <c r="H319" s="16" t="n">
        <f aca="false">SUMIFS('03_DESPIECE'!$J$2:$J$225,'03_DESPIECE'!$A$2:$A$225,B319,'03_DESPIECE'!$B$2:$B$225,C319)</f>
        <v>28.8</v>
      </c>
      <c r="I319" s="16" t="n">
        <f aca="false">E319*H319</f>
        <v>345.6</v>
      </c>
      <c r="J319" s="17" t="n">
        <f aca="false">E319*SUMIFS('03_DESPIECE'!$I$2:$I$225,'03_DESPIECE'!$A$2:$A$225,B319,'03_DESPIECE'!$B$2:$B$225,C319)</f>
        <v>0</v>
      </c>
      <c r="K319" s="19" t="n">
        <f aca="false">E319*SUMIFS('03_DESPIECE'!$K$2:$K$225,'03_DESPIECE'!$A$2:$A$225,B319,'03_DESPIECE'!$B$2:$B$225,C319)</f>
        <v>0</v>
      </c>
      <c r="L319" s="5" t="n">
        <f aca="false">SUMIFS('03_DESPIECE'!$L$2:$L$225,'03_DESPIECE'!$A$2:$A$225,B319,'03_DESPIECE'!$B$2:$B$225,C319)</f>
        <v>1</v>
      </c>
      <c r="M319" s="2" t="s">
        <v>629</v>
      </c>
    </row>
    <row r="320" customFormat="false" ht="15" hidden="false" customHeight="false" outlineLevel="0" collapsed="false">
      <c r="A320" s="2" t="s">
        <v>573</v>
      </c>
      <c r="B320" s="2" t="s">
        <v>80</v>
      </c>
      <c r="C320" s="2" t="s">
        <v>285</v>
      </c>
      <c r="D320" s="2" t="s">
        <v>184</v>
      </c>
      <c r="E320" s="5" t="n">
        <f aca="false">INDEX('08_PEDIDOS'!$D$2:$D$97,MATCH(A320,'08_PEDIDOS'!$A$2:$A$97,0))</f>
        <v>13</v>
      </c>
      <c r="F320" s="5" t="n">
        <f aca="false">SUMIFS('03_DESPIECE'!$D$2:$D$225,'03_DESPIECE'!$A$2:$A$225,B320,'03_DESPIECE'!$B$2:$B$225,C320)</f>
        <v>4</v>
      </c>
      <c r="G320" s="5" t="n">
        <f aca="false">E320*F320</f>
        <v>52</v>
      </c>
      <c r="H320" s="16" t="n">
        <f aca="false">SUMIFS('03_DESPIECE'!$J$2:$J$225,'03_DESPIECE'!$A$2:$A$225,B320,'03_DESPIECE'!$B$2:$B$225,C320)</f>
        <v>68.625</v>
      </c>
      <c r="I320" s="16" t="n">
        <f aca="false">E320*H320</f>
        <v>892.125</v>
      </c>
      <c r="J320" s="17" t="n">
        <f aca="false">E320*SUMIFS('03_DESPIECE'!$I$2:$I$225,'03_DESPIECE'!$A$2:$A$225,B320,'03_DESPIECE'!$B$2:$B$225,C320)</f>
        <v>140.4</v>
      </c>
      <c r="K320" s="19" t="n">
        <f aca="false">E320*SUMIFS('03_DESPIECE'!$K$2:$K$225,'03_DESPIECE'!$A$2:$A$225,B320,'03_DESPIECE'!$B$2:$B$225,C320)</f>
        <v>0</v>
      </c>
      <c r="L320" s="5" t="n">
        <f aca="false">SUMIFS('03_DESPIECE'!$L$2:$L$225,'03_DESPIECE'!$A$2:$A$225,B320,'03_DESPIECE'!$B$2:$B$225,C320)</f>
        <v>1</v>
      </c>
      <c r="M320" s="2" t="s">
        <v>629</v>
      </c>
    </row>
    <row r="321" customFormat="false" ht="15" hidden="false" customHeight="false" outlineLevel="0" collapsed="false">
      <c r="A321" s="2" t="s">
        <v>573</v>
      </c>
      <c r="B321" s="2" t="s">
        <v>80</v>
      </c>
      <c r="C321" s="2" t="s">
        <v>287</v>
      </c>
      <c r="D321" s="2" t="s">
        <v>184</v>
      </c>
      <c r="E321" s="5" t="n">
        <f aca="false">INDEX('08_PEDIDOS'!$D$2:$D$97,MATCH(A321,'08_PEDIDOS'!$A$2:$A$97,0))</f>
        <v>13</v>
      </c>
      <c r="F321" s="5" t="n">
        <f aca="false">SUMIFS('03_DESPIECE'!$D$2:$D$225,'03_DESPIECE'!$A$2:$A$225,B321,'03_DESPIECE'!$B$2:$B$225,C321)</f>
        <v>8</v>
      </c>
      <c r="G321" s="5" t="n">
        <f aca="false">E321*F321</f>
        <v>104</v>
      </c>
      <c r="H321" s="16" t="n">
        <f aca="false">SUMIFS('03_DESPIECE'!$J$2:$J$225,'03_DESPIECE'!$A$2:$A$225,B321,'03_DESPIECE'!$B$2:$B$225,C321)</f>
        <v>91.5</v>
      </c>
      <c r="I321" s="16" t="n">
        <f aca="false">E321*H321</f>
        <v>1189.5</v>
      </c>
      <c r="J321" s="17" t="n">
        <f aca="false">E321*SUMIFS('03_DESPIECE'!$I$2:$I$225,'03_DESPIECE'!$A$2:$A$225,B321,'03_DESPIECE'!$B$2:$B$225,C321)</f>
        <v>187.2</v>
      </c>
      <c r="K321" s="19" t="n">
        <f aca="false">E321*SUMIFS('03_DESPIECE'!$K$2:$K$225,'03_DESPIECE'!$A$2:$A$225,B321,'03_DESPIECE'!$B$2:$B$225,C321)</f>
        <v>0</v>
      </c>
      <c r="L321" s="5" t="n">
        <f aca="false">SUMIFS('03_DESPIECE'!$L$2:$L$225,'03_DESPIECE'!$A$2:$A$225,B321,'03_DESPIECE'!$B$2:$B$225,C321)</f>
        <v>1</v>
      </c>
      <c r="M321" s="2" t="s">
        <v>629</v>
      </c>
    </row>
    <row r="322" customFormat="false" ht="15" hidden="false" customHeight="false" outlineLevel="0" collapsed="false">
      <c r="A322" s="2" t="s">
        <v>573</v>
      </c>
      <c r="B322" s="2" t="s">
        <v>80</v>
      </c>
      <c r="C322" s="2" t="s">
        <v>288</v>
      </c>
      <c r="D322" s="2" t="s">
        <v>184</v>
      </c>
      <c r="E322" s="5" t="n">
        <f aca="false">INDEX('08_PEDIDOS'!$D$2:$D$97,MATCH(A322,'08_PEDIDOS'!$A$2:$A$97,0))</f>
        <v>13</v>
      </c>
      <c r="F322" s="5" t="n">
        <f aca="false">SUMIFS('03_DESPIECE'!$D$2:$D$225,'03_DESPIECE'!$A$2:$A$225,B322,'03_DESPIECE'!$B$2:$B$225,C322)</f>
        <v>4</v>
      </c>
      <c r="G322" s="5" t="n">
        <f aca="false">E322*F322</f>
        <v>52</v>
      </c>
      <c r="H322" s="16" t="n">
        <f aca="false">SUMIFS('03_DESPIECE'!$J$2:$J$225,'03_DESPIECE'!$A$2:$A$225,B322,'03_DESPIECE'!$B$2:$B$225,C322)</f>
        <v>22.875</v>
      </c>
      <c r="I322" s="16" t="n">
        <f aca="false">E322*H322</f>
        <v>297.375</v>
      </c>
      <c r="J322" s="17" t="n">
        <f aca="false">E322*SUMIFS('03_DESPIECE'!$I$2:$I$225,'03_DESPIECE'!$A$2:$A$225,B322,'03_DESPIECE'!$B$2:$B$225,C322)</f>
        <v>46.8</v>
      </c>
      <c r="K322" s="19" t="n">
        <f aca="false">E322*SUMIFS('03_DESPIECE'!$K$2:$K$225,'03_DESPIECE'!$A$2:$A$225,B322,'03_DESPIECE'!$B$2:$B$225,C322)</f>
        <v>0</v>
      </c>
      <c r="L322" s="5" t="n">
        <f aca="false">SUMIFS('03_DESPIECE'!$L$2:$L$225,'03_DESPIECE'!$A$2:$A$225,B322,'03_DESPIECE'!$B$2:$B$225,C322)</f>
        <v>1</v>
      </c>
      <c r="M322" s="2" t="s">
        <v>629</v>
      </c>
    </row>
    <row r="323" customFormat="false" ht="15" hidden="false" customHeight="false" outlineLevel="0" collapsed="false">
      <c r="A323" s="2" t="s">
        <v>573</v>
      </c>
      <c r="B323" s="2" t="s">
        <v>80</v>
      </c>
      <c r="C323" s="2" t="s">
        <v>289</v>
      </c>
      <c r="D323" s="2" t="s">
        <v>170</v>
      </c>
      <c r="E323" s="5" t="n">
        <f aca="false">INDEX('08_PEDIDOS'!$D$2:$D$97,MATCH(A323,'08_PEDIDOS'!$A$2:$A$97,0))</f>
        <v>13</v>
      </c>
      <c r="F323" s="5" t="n">
        <f aca="false">SUMIFS('03_DESPIECE'!$D$2:$D$225,'03_DESPIECE'!$A$2:$A$225,B323,'03_DESPIECE'!$B$2:$B$225,C323)</f>
        <v>4</v>
      </c>
      <c r="G323" s="5" t="n">
        <f aca="false">E323*F323</f>
        <v>52</v>
      </c>
      <c r="H323" s="16" t="n">
        <f aca="false">SUMIFS('03_DESPIECE'!$J$2:$J$225,'03_DESPIECE'!$A$2:$A$225,B323,'03_DESPIECE'!$B$2:$B$225,C323)</f>
        <v>334.2052173913</v>
      </c>
      <c r="I323" s="16" t="n">
        <f aca="false">E323*H323</f>
        <v>4344.6678260869</v>
      </c>
      <c r="J323" s="17" t="n">
        <f aca="false">E323*SUMIFS('03_DESPIECE'!$I$2:$I$225,'03_DESPIECE'!$A$2:$A$225,B323,'03_DESPIECE'!$B$2:$B$225,C323)</f>
        <v>587.808</v>
      </c>
      <c r="K323" s="19" t="n">
        <f aca="false">E323*SUMIFS('03_DESPIECE'!$K$2:$K$225,'03_DESPIECE'!$A$2:$A$225,B323,'03_DESPIECE'!$B$2:$B$225,C323)</f>
        <v>13</v>
      </c>
      <c r="L323" s="5" t="n">
        <f aca="false">SUMIFS('03_DESPIECE'!$L$2:$L$225,'03_DESPIECE'!$A$2:$A$225,B323,'03_DESPIECE'!$B$2:$B$225,C323)</f>
        <v>1</v>
      </c>
      <c r="M323" s="2" t="s">
        <v>629</v>
      </c>
    </row>
    <row r="324" customFormat="false" ht="15" hidden="false" customHeight="false" outlineLevel="0" collapsed="false">
      <c r="A324" s="2" t="s">
        <v>573</v>
      </c>
      <c r="B324" s="2" t="s">
        <v>80</v>
      </c>
      <c r="C324" s="2" t="s">
        <v>291</v>
      </c>
      <c r="D324" s="2" t="s">
        <v>170</v>
      </c>
      <c r="E324" s="5" t="n">
        <f aca="false">INDEX('08_PEDIDOS'!$D$2:$D$97,MATCH(A324,'08_PEDIDOS'!$A$2:$A$97,0))</f>
        <v>13</v>
      </c>
      <c r="F324" s="5" t="n">
        <f aca="false">SUMIFS('03_DESPIECE'!$D$2:$D$225,'03_DESPIECE'!$A$2:$A$225,B324,'03_DESPIECE'!$B$2:$B$225,C324)</f>
        <v>8</v>
      </c>
      <c r="G324" s="5" t="n">
        <f aca="false">E324*F324</f>
        <v>104</v>
      </c>
      <c r="H324" s="16" t="n">
        <f aca="false">SUMIFS('03_DESPIECE'!$J$2:$J$225,'03_DESPIECE'!$A$2:$A$225,B324,'03_DESPIECE'!$B$2:$B$225,C324)</f>
        <v>23.2086956522</v>
      </c>
      <c r="I324" s="16" t="n">
        <f aca="false">E324*H324</f>
        <v>301.7130434786</v>
      </c>
      <c r="J324" s="17" t="n">
        <f aca="false">E324*SUMIFS('03_DESPIECE'!$I$2:$I$225,'03_DESPIECE'!$A$2:$A$225,B324,'03_DESPIECE'!$B$2:$B$225,C324)</f>
        <v>40.82</v>
      </c>
      <c r="K324" s="19" t="n">
        <f aca="false">E324*SUMIFS('03_DESPIECE'!$K$2:$K$225,'03_DESPIECE'!$A$2:$A$225,B324,'03_DESPIECE'!$B$2:$B$225,C324)</f>
        <v>0.9027777772</v>
      </c>
      <c r="L324" s="5" t="n">
        <f aca="false">SUMIFS('03_DESPIECE'!$L$2:$L$225,'03_DESPIECE'!$A$2:$A$225,B324,'03_DESPIECE'!$B$2:$B$225,C324)</f>
        <v>1</v>
      </c>
      <c r="M324" s="2" t="s">
        <v>629</v>
      </c>
    </row>
    <row r="325" customFormat="false" ht="15" hidden="false" customHeight="false" outlineLevel="0" collapsed="false">
      <c r="A325" s="2" t="s">
        <v>573</v>
      </c>
      <c r="B325" s="2" t="s">
        <v>80</v>
      </c>
      <c r="C325" s="2" t="s">
        <v>292</v>
      </c>
      <c r="D325" s="2" t="s">
        <v>188</v>
      </c>
      <c r="E325" s="5" t="n">
        <f aca="false">INDEX('08_PEDIDOS'!$D$2:$D$97,MATCH(A325,'08_PEDIDOS'!$A$2:$A$97,0))</f>
        <v>13</v>
      </c>
      <c r="F325" s="5" t="n">
        <f aca="false">SUMIFS('03_DESPIECE'!$D$2:$D$225,'03_DESPIECE'!$A$2:$A$225,B325,'03_DESPIECE'!$B$2:$B$225,C325)</f>
        <v>24</v>
      </c>
      <c r="G325" s="5" t="n">
        <f aca="false">E325*F325</f>
        <v>312</v>
      </c>
      <c r="H325" s="16" t="n">
        <f aca="false">SUMIFS('03_DESPIECE'!$J$2:$J$225,'03_DESPIECE'!$A$2:$A$225,B325,'03_DESPIECE'!$B$2:$B$225,C325)</f>
        <v>21.6</v>
      </c>
      <c r="I325" s="16" t="n">
        <f aca="false">E325*H325</f>
        <v>280.8</v>
      </c>
      <c r="J325" s="17" t="n">
        <f aca="false">E325*SUMIFS('03_DESPIECE'!$I$2:$I$225,'03_DESPIECE'!$A$2:$A$225,B325,'03_DESPIECE'!$B$2:$B$225,C325)</f>
        <v>0</v>
      </c>
      <c r="K325" s="19" t="n">
        <f aca="false">E325*SUMIFS('03_DESPIECE'!$K$2:$K$225,'03_DESPIECE'!$A$2:$A$225,B325,'03_DESPIECE'!$B$2:$B$225,C325)</f>
        <v>0</v>
      </c>
      <c r="L325" s="5" t="n">
        <f aca="false">SUMIFS('03_DESPIECE'!$L$2:$L$225,'03_DESPIECE'!$A$2:$A$225,B325,'03_DESPIECE'!$B$2:$B$225,C325)</f>
        <v>1</v>
      </c>
      <c r="M325" s="2" t="s">
        <v>629</v>
      </c>
    </row>
    <row r="326" customFormat="false" ht="15" hidden="false" customHeight="false" outlineLevel="0" collapsed="false">
      <c r="A326" s="2" t="s">
        <v>573</v>
      </c>
      <c r="B326" s="2" t="s">
        <v>80</v>
      </c>
      <c r="C326" s="2" t="s">
        <v>294</v>
      </c>
      <c r="D326" s="2" t="s">
        <v>188</v>
      </c>
      <c r="E326" s="5" t="n">
        <f aca="false">INDEX('08_PEDIDOS'!$D$2:$D$97,MATCH(A326,'08_PEDIDOS'!$A$2:$A$97,0))</f>
        <v>13</v>
      </c>
      <c r="F326" s="5" t="n">
        <f aca="false">SUMIFS('03_DESPIECE'!$D$2:$D$225,'03_DESPIECE'!$A$2:$A$225,B326,'03_DESPIECE'!$B$2:$B$225,C326)</f>
        <v>4</v>
      </c>
      <c r="G326" s="5" t="n">
        <f aca="false">E326*F326</f>
        <v>52</v>
      </c>
      <c r="H326" s="16" t="n">
        <f aca="false">SUMIFS('03_DESPIECE'!$J$2:$J$225,'03_DESPIECE'!$A$2:$A$225,B326,'03_DESPIECE'!$B$2:$B$225,C326)</f>
        <v>3.6</v>
      </c>
      <c r="I326" s="16" t="n">
        <f aca="false">E326*H326</f>
        <v>46.8</v>
      </c>
      <c r="J326" s="17" t="n">
        <f aca="false">E326*SUMIFS('03_DESPIECE'!$I$2:$I$225,'03_DESPIECE'!$A$2:$A$225,B326,'03_DESPIECE'!$B$2:$B$225,C326)</f>
        <v>0</v>
      </c>
      <c r="K326" s="19" t="n">
        <f aca="false">E326*SUMIFS('03_DESPIECE'!$K$2:$K$225,'03_DESPIECE'!$A$2:$A$225,B326,'03_DESPIECE'!$B$2:$B$225,C326)</f>
        <v>0</v>
      </c>
      <c r="L326" s="5" t="n">
        <f aca="false">SUMIFS('03_DESPIECE'!$L$2:$L$225,'03_DESPIECE'!$A$2:$A$225,B326,'03_DESPIECE'!$B$2:$B$225,C326)</f>
        <v>1</v>
      </c>
      <c r="M326" s="2" t="s">
        <v>629</v>
      </c>
    </row>
    <row r="327" customFormat="false" ht="15" hidden="false" customHeight="false" outlineLevel="0" collapsed="false">
      <c r="A327" s="2" t="s">
        <v>574</v>
      </c>
      <c r="B327" s="2" t="s">
        <v>83</v>
      </c>
      <c r="C327" s="2" t="s">
        <v>295</v>
      </c>
      <c r="D327" s="2" t="s">
        <v>184</v>
      </c>
      <c r="E327" s="5" t="n">
        <f aca="false">INDEX('08_PEDIDOS'!$D$2:$D$97,MATCH(A327,'08_PEDIDOS'!$A$2:$A$97,0))</f>
        <v>14</v>
      </c>
      <c r="F327" s="5" t="n">
        <f aca="false">SUMIFS('03_DESPIECE'!$D$2:$D$225,'03_DESPIECE'!$A$2:$A$225,B327,'03_DESPIECE'!$B$2:$B$225,C327)</f>
        <v>4</v>
      </c>
      <c r="G327" s="5" t="n">
        <f aca="false">E327*F327</f>
        <v>56</v>
      </c>
      <c r="H327" s="16" t="n">
        <f aca="false">SUMIFS('03_DESPIECE'!$J$2:$J$225,'03_DESPIECE'!$A$2:$A$225,B327,'03_DESPIECE'!$B$2:$B$225,C327)</f>
        <v>76.25</v>
      </c>
      <c r="I327" s="16" t="n">
        <f aca="false">E327*H327</f>
        <v>1067.5</v>
      </c>
      <c r="J327" s="17" t="n">
        <f aca="false">E327*SUMIFS('03_DESPIECE'!$I$2:$I$225,'03_DESPIECE'!$A$2:$A$225,B327,'03_DESPIECE'!$B$2:$B$225,C327)</f>
        <v>168</v>
      </c>
      <c r="K327" s="19" t="n">
        <f aca="false">E327*SUMIFS('03_DESPIECE'!$K$2:$K$225,'03_DESPIECE'!$A$2:$A$225,B327,'03_DESPIECE'!$B$2:$B$225,C327)</f>
        <v>0</v>
      </c>
      <c r="L327" s="5" t="n">
        <f aca="false">SUMIFS('03_DESPIECE'!$L$2:$L$225,'03_DESPIECE'!$A$2:$A$225,B327,'03_DESPIECE'!$B$2:$B$225,C327)</f>
        <v>1</v>
      </c>
      <c r="M327" s="2" t="s">
        <v>629</v>
      </c>
    </row>
    <row r="328" customFormat="false" ht="15" hidden="false" customHeight="false" outlineLevel="0" collapsed="false">
      <c r="A328" s="2" t="s">
        <v>574</v>
      </c>
      <c r="B328" s="2" t="s">
        <v>83</v>
      </c>
      <c r="C328" s="2" t="s">
        <v>296</v>
      </c>
      <c r="D328" s="2" t="s">
        <v>184</v>
      </c>
      <c r="E328" s="5" t="n">
        <f aca="false">INDEX('08_PEDIDOS'!$D$2:$D$97,MATCH(A328,'08_PEDIDOS'!$A$2:$A$97,0))</f>
        <v>14</v>
      </c>
      <c r="F328" s="5" t="n">
        <f aca="false">SUMIFS('03_DESPIECE'!$D$2:$D$225,'03_DESPIECE'!$A$2:$A$225,B328,'03_DESPIECE'!$B$2:$B$225,C328)</f>
        <v>8</v>
      </c>
      <c r="G328" s="5" t="n">
        <f aca="false">E328*F328</f>
        <v>112</v>
      </c>
      <c r="H328" s="16" t="n">
        <f aca="false">SUMIFS('03_DESPIECE'!$J$2:$J$225,'03_DESPIECE'!$A$2:$A$225,B328,'03_DESPIECE'!$B$2:$B$225,C328)</f>
        <v>76.25</v>
      </c>
      <c r="I328" s="16" t="n">
        <f aca="false">E328*H328</f>
        <v>1067.5</v>
      </c>
      <c r="J328" s="17" t="n">
        <f aca="false">E328*SUMIFS('03_DESPIECE'!$I$2:$I$225,'03_DESPIECE'!$A$2:$A$225,B328,'03_DESPIECE'!$B$2:$B$225,C328)</f>
        <v>168</v>
      </c>
      <c r="K328" s="19" t="n">
        <f aca="false">E328*SUMIFS('03_DESPIECE'!$K$2:$K$225,'03_DESPIECE'!$A$2:$A$225,B328,'03_DESPIECE'!$B$2:$B$225,C328)</f>
        <v>0</v>
      </c>
      <c r="L328" s="5" t="n">
        <f aca="false">SUMIFS('03_DESPIECE'!$L$2:$L$225,'03_DESPIECE'!$A$2:$A$225,B328,'03_DESPIECE'!$B$2:$B$225,C328)</f>
        <v>1</v>
      </c>
      <c r="M328" s="2" t="s">
        <v>629</v>
      </c>
    </row>
    <row r="329" customFormat="false" ht="15" hidden="false" customHeight="false" outlineLevel="0" collapsed="false">
      <c r="A329" s="2" t="s">
        <v>574</v>
      </c>
      <c r="B329" s="2" t="s">
        <v>83</v>
      </c>
      <c r="C329" s="2" t="s">
        <v>297</v>
      </c>
      <c r="D329" s="2" t="s">
        <v>184</v>
      </c>
      <c r="E329" s="5" t="n">
        <f aca="false">INDEX('08_PEDIDOS'!$D$2:$D$97,MATCH(A329,'08_PEDIDOS'!$A$2:$A$97,0))</f>
        <v>14</v>
      </c>
      <c r="F329" s="5" t="n">
        <f aca="false">SUMIFS('03_DESPIECE'!$D$2:$D$225,'03_DESPIECE'!$A$2:$A$225,B329,'03_DESPIECE'!$B$2:$B$225,C329)</f>
        <v>8</v>
      </c>
      <c r="G329" s="5" t="n">
        <f aca="false">E329*F329</f>
        <v>112</v>
      </c>
      <c r="H329" s="16" t="n">
        <f aca="false">SUMIFS('03_DESPIECE'!$J$2:$J$225,'03_DESPIECE'!$A$2:$A$225,B329,'03_DESPIECE'!$B$2:$B$225,C329)</f>
        <v>38.125</v>
      </c>
      <c r="I329" s="16" t="n">
        <f aca="false">E329*H329</f>
        <v>533.75</v>
      </c>
      <c r="J329" s="17" t="n">
        <f aca="false">E329*SUMIFS('03_DESPIECE'!$I$2:$I$225,'03_DESPIECE'!$A$2:$A$225,B329,'03_DESPIECE'!$B$2:$B$225,C329)</f>
        <v>84</v>
      </c>
      <c r="K329" s="19" t="n">
        <f aca="false">E329*SUMIFS('03_DESPIECE'!$K$2:$K$225,'03_DESPIECE'!$A$2:$A$225,B329,'03_DESPIECE'!$B$2:$B$225,C329)</f>
        <v>0</v>
      </c>
      <c r="L329" s="5" t="n">
        <f aca="false">SUMIFS('03_DESPIECE'!$L$2:$L$225,'03_DESPIECE'!$A$2:$A$225,B329,'03_DESPIECE'!$B$2:$B$225,C329)</f>
        <v>1</v>
      </c>
      <c r="M329" s="2" t="s">
        <v>629</v>
      </c>
    </row>
    <row r="330" customFormat="false" ht="15" hidden="false" customHeight="false" outlineLevel="0" collapsed="false">
      <c r="A330" s="2" t="s">
        <v>574</v>
      </c>
      <c r="B330" s="2" t="s">
        <v>83</v>
      </c>
      <c r="C330" s="2" t="s">
        <v>298</v>
      </c>
      <c r="D330" s="2" t="s">
        <v>170</v>
      </c>
      <c r="E330" s="5" t="n">
        <f aca="false">INDEX('08_PEDIDOS'!$D$2:$D$97,MATCH(A330,'08_PEDIDOS'!$A$2:$A$97,0))</f>
        <v>14</v>
      </c>
      <c r="F330" s="5" t="n">
        <f aca="false">SUMIFS('03_DESPIECE'!$D$2:$D$225,'03_DESPIECE'!$A$2:$A$225,B330,'03_DESPIECE'!$B$2:$B$225,C330)</f>
        <v>5</v>
      </c>
      <c r="G330" s="5" t="n">
        <f aca="false">E330*F330</f>
        <v>70</v>
      </c>
      <c r="H330" s="16" t="n">
        <f aca="false">SUMIFS('03_DESPIECE'!$J$2:$J$225,'03_DESPIECE'!$A$2:$A$225,B330,'03_DESPIECE'!$B$2:$B$225,C330)</f>
        <v>290.1086956522</v>
      </c>
      <c r="I330" s="16" t="n">
        <f aca="false">E330*H330</f>
        <v>4061.5217391308</v>
      </c>
      <c r="J330" s="17" t="n">
        <f aca="false">E330*SUMIFS('03_DESPIECE'!$I$2:$I$225,'03_DESPIECE'!$A$2:$A$225,B330,'03_DESPIECE'!$B$2:$B$225,C330)</f>
        <v>549.5</v>
      </c>
      <c r="K330" s="19" t="n">
        <f aca="false">E330*SUMIFS('03_DESPIECE'!$K$2:$K$225,'03_DESPIECE'!$A$2:$A$225,B330,'03_DESPIECE'!$B$2:$B$225,C330)</f>
        <v>12.1527777784</v>
      </c>
      <c r="L330" s="5" t="n">
        <f aca="false">SUMIFS('03_DESPIECE'!$L$2:$L$225,'03_DESPIECE'!$A$2:$A$225,B330,'03_DESPIECE'!$B$2:$B$225,C330)</f>
        <v>1</v>
      </c>
      <c r="M330" s="2" t="s">
        <v>629</v>
      </c>
    </row>
    <row r="331" customFormat="false" ht="15" hidden="false" customHeight="false" outlineLevel="0" collapsed="false">
      <c r="A331" s="2" t="s">
        <v>574</v>
      </c>
      <c r="B331" s="2" t="s">
        <v>83</v>
      </c>
      <c r="C331" s="2" t="s">
        <v>299</v>
      </c>
      <c r="D331" s="2" t="s">
        <v>170</v>
      </c>
      <c r="E331" s="5" t="n">
        <f aca="false">INDEX('08_PEDIDOS'!$D$2:$D$97,MATCH(A331,'08_PEDIDOS'!$A$2:$A$97,0))</f>
        <v>14</v>
      </c>
      <c r="F331" s="5" t="n">
        <f aca="false">SUMIFS('03_DESPIECE'!$D$2:$D$225,'03_DESPIECE'!$A$2:$A$225,B331,'03_DESPIECE'!$B$2:$B$225,C331)</f>
        <v>8</v>
      </c>
      <c r="G331" s="5" t="n">
        <f aca="false">E331*F331</f>
        <v>112</v>
      </c>
      <c r="H331" s="16" t="n">
        <f aca="false">SUMIFS('03_DESPIECE'!$J$2:$J$225,'03_DESPIECE'!$A$2:$A$225,B331,'03_DESPIECE'!$B$2:$B$225,C331)</f>
        <v>32.492173913</v>
      </c>
      <c r="I331" s="16" t="n">
        <f aca="false">E331*H331</f>
        <v>454.890434782</v>
      </c>
      <c r="J331" s="17" t="n">
        <f aca="false">E331*SUMIFS('03_DESPIECE'!$I$2:$I$225,'03_DESPIECE'!$A$2:$A$225,B331,'03_DESPIECE'!$B$2:$B$225,C331)</f>
        <v>61.544</v>
      </c>
      <c r="K331" s="19" t="n">
        <f aca="false">E331*SUMIFS('03_DESPIECE'!$K$2:$K$225,'03_DESPIECE'!$A$2:$A$225,B331,'03_DESPIECE'!$B$2:$B$225,C331)</f>
        <v>1.3611111108</v>
      </c>
      <c r="L331" s="5" t="n">
        <f aca="false">SUMIFS('03_DESPIECE'!$L$2:$L$225,'03_DESPIECE'!$A$2:$A$225,B331,'03_DESPIECE'!$B$2:$B$225,C331)</f>
        <v>1</v>
      </c>
      <c r="M331" s="2" t="s">
        <v>629</v>
      </c>
    </row>
    <row r="332" customFormat="false" ht="15" hidden="false" customHeight="false" outlineLevel="0" collapsed="false">
      <c r="A332" s="2" t="s">
        <v>574</v>
      </c>
      <c r="B332" s="2" t="s">
        <v>83</v>
      </c>
      <c r="C332" s="2" t="s">
        <v>300</v>
      </c>
      <c r="D332" s="2" t="s">
        <v>188</v>
      </c>
      <c r="E332" s="5" t="n">
        <f aca="false">INDEX('08_PEDIDOS'!$D$2:$D$97,MATCH(A332,'08_PEDIDOS'!$A$2:$A$97,0))</f>
        <v>14</v>
      </c>
      <c r="F332" s="5" t="n">
        <f aca="false">SUMIFS('03_DESPIECE'!$D$2:$D$225,'03_DESPIECE'!$A$2:$A$225,B332,'03_DESPIECE'!$B$2:$B$225,C332)</f>
        <v>28</v>
      </c>
      <c r="G332" s="5" t="n">
        <f aca="false">E332*F332</f>
        <v>392</v>
      </c>
      <c r="H332" s="16" t="n">
        <f aca="false">SUMIFS('03_DESPIECE'!$J$2:$J$225,'03_DESPIECE'!$A$2:$A$225,B332,'03_DESPIECE'!$B$2:$B$225,C332)</f>
        <v>25.2</v>
      </c>
      <c r="I332" s="16" t="n">
        <f aca="false">E332*H332</f>
        <v>352.8</v>
      </c>
      <c r="J332" s="17" t="n">
        <f aca="false">E332*SUMIFS('03_DESPIECE'!$I$2:$I$225,'03_DESPIECE'!$A$2:$A$225,B332,'03_DESPIECE'!$B$2:$B$225,C332)</f>
        <v>0</v>
      </c>
      <c r="K332" s="19" t="n">
        <f aca="false">E332*SUMIFS('03_DESPIECE'!$K$2:$K$225,'03_DESPIECE'!$A$2:$A$225,B332,'03_DESPIECE'!$B$2:$B$225,C332)</f>
        <v>0</v>
      </c>
      <c r="L332" s="5" t="n">
        <f aca="false">SUMIFS('03_DESPIECE'!$L$2:$L$225,'03_DESPIECE'!$A$2:$A$225,B332,'03_DESPIECE'!$B$2:$B$225,C332)</f>
        <v>1</v>
      </c>
      <c r="M332" s="2" t="s">
        <v>629</v>
      </c>
    </row>
    <row r="333" customFormat="false" ht="15" hidden="false" customHeight="false" outlineLevel="0" collapsed="false">
      <c r="A333" s="2" t="s">
        <v>575</v>
      </c>
      <c r="B333" s="2" t="s">
        <v>94</v>
      </c>
      <c r="C333" s="2" t="s">
        <v>301</v>
      </c>
      <c r="D333" s="2" t="s">
        <v>184</v>
      </c>
      <c r="E333" s="5" t="n">
        <f aca="false">INDEX('08_PEDIDOS'!$D$2:$D$97,MATCH(A333,'08_PEDIDOS'!$A$2:$A$97,0))</f>
        <v>8</v>
      </c>
      <c r="F333" s="5" t="n">
        <f aca="false">SUMIFS('03_DESPIECE'!$D$2:$D$225,'03_DESPIECE'!$A$2:$A$225,B333,'03_DESPIECE'!$B$2:$B$225,C333)</f>
        <v>2</v>
      </c>
      <c r="G333" s="5" t="n">
        <f aca="false">E333*F333</f>
        <v>16</v>
      </c>
      <c r="H333" s="16" t="n">
        <f aca="false">SUMIFS('03_DESPIECE'!$J$2:$J$225,'03_DESPIECE'!$A$2:$A$225,B333,'03_DESPIECE'!$B$2:$B$225,C333)</f>
        <v>31.453125</v>
      </c>
      <c r="I333" s="16" t="n">
        <f aca="false">E333*H333</f>
        <v>251.625</v>
      </c>
      <c r="J333" s="17" t="n">
        <f aca="false">E333*SUMIFS('03_DESPIECE'!$I$2:$I$225,'03_DESPIECE'!$A$2:$A$225,B333,'03_DESPIECE'!$B$2:$B$225,C333)</f>
        <v>39.6</v>
      </c>
      <c r="K333" s="19" t="n">
        <f aca="false">E333*SUMIFS('03_DESPIECE'!$K$2:$K$225,'03_DESPIECE'!$A$2:$A$225,B333,'03_DESPIECE'!$B$2:$B$225,C333)</f>
        <v>0</v>
      </c>
      <c r="L333" s="5" t="n">
        <f aca="false">SUMIFS('03_DESPIECE'!$L$2:$L$225,'03_DESPIECE'!$A$2:$A$225,B333,'03_DESPIECE'!$B$2:$B$225,C333)</f>
        <v>1</v>
      </c>
      <c r="M333" s="2" t="s">
        <v>629</v>
      </c>
    </row>
    <row r="334" customFormat="false" ht="15" hidden="false" customHeight="false" outlineLevel="0" collapsed="false">
      <c r="A334" s="2" t="s">
        <v>575</v>
      </c>
      <c r="B334" s="2" t="s">
        <v>94</v>
      </c>
      <c r="C334" s="2" t="s">
        <v>302</v>
      </c>
      <c r="D334" s="2" t="s">
        <v>174</v>
      </c>
      <c r="E334" s="5" t="n">
        <f aca="false">INDEX('08_PEDIDOS'!$D$2:$D$97,MATCH(A334,'08_PEDIDOS'!$A$2:$A$97,0))</f>
        <v>8</v>
      </c>
      <c r="F334" s="5" t="n">
        <f aca="false">SUMIFS('03_DESPIECE'!$D$2:$D$225,'03_DESPIECE'!$A$2:$A$225,B334,'03_DESPIECE'!$B$2:$B$225,C334)</f>
        <v>2</v>
      </c>
      <c r="G334" s="5" t="n">
        <f aca="false">E334*F334</f>
        <v>16</v>
      </c>
      <c r="H334" s="16" t="n">
        <f aca="false">SUMIFS('03_DESPIECE'!$J$2:$J$225,'03_DESPIECE'!$A$2:$A$225,B334,'03_DESPIECE'!$B$2:$B$225,C334)</f>
        <v>34.8130434783</v>
      </c>
      <c r="I334" s="16" t="n">
        <f aca="false">E334*H334</f>
        <v>278.5043478264</v>
      </c>
      <c r="J334" s="17" t="n">
        <f aca="false">E334*SUMIFS('03_DESPIECE'!$I$2:$I$225,'03_DESPIECE'!$A$2:$A$225,B334,'03_DESPIECE'!$B$2:$B$225,C334)</f>
        <v>37.68</v>
      </c>
      <c r="K334" s="19" t="n">
        <f aca="false">E334*SUMIFS('03_DESPIECE'!$K$2:$K$225,'03_DESPIECE'!$A$2:$A$225,B334,'03_DESPIECE'!$B$2:$B$225,C334)</f>
        <v>1.6666666664</v>
      </c>
      <c r="L334" s="5" t="n">
        <f aca="false">SUMIFS('03_DESPIECE'!$L$2:$L$225,'03_DESPIECE'!$A$2:$A$225,B334,'03_DESPIECE'!$B$2:$B$225,C334)</f>
        <v>1</v>
      </c>
      <c r="M334" s="2" t="s">
        <v>629</v>
      </c>
    </row>
    <row r="335" customFormat="false" ht="15" hidden="false" customHeight="false" outlineLevel="0" collapsed="false">
      <c r="A335" s="2" t="s">
        <v>575</v>
      </c>
      <c r="B335" s="2" t="s">
        <v>94</v>
      </c>
      <c r="C335" s="2" t="s">
        <v>303</v>
      </c>
      <c r="D335" s="2" t="s">
        <v>174</v>
      </c>
      <c r="E335" s="5" t="n">
        <f aca="false">INDEX('08_PEDIDOS'!$D$2:$D$97,MATCH(A335,'08_PEDIDOS'!$A$2:$A$97,0))</f>
        <v>8</v>
      </c>
      <c r="F335" s="5" t="n">
        <f aca="false">SUMIFS('03_DESPIECE'!$D$2:$D$225,'03_DESPIECE'!$A$2:$A$225,B335,'03_DESPIECE'!$B$2:$B$225,C335)</f>
        <v>4</v>
      </c>
      <c r="G335" s="5" t="n">
        <f aca="false">E335*F335</f>
        <v>32</v>
      </c>
      <c r="H335" s="16" t="n">
        <f aca="false">SUMIFS('03_DESPIECE'!$J$2:$J$225,'03_DESPIECE'!$A$2:$A$225,B335,'03_DESPIECE'!$B$2:$B$225,C335)</f>
        <v>129.9686956522</v>
      </c>
      <c r="I335" s="16" t="n">
        <f aca="false">E335*H335</f>
        <v>1039.7495652176</v>
      </c>
      <c r="J335" s="17" t="n">
        <f aca="false">E335*SUMIFS('03_DESPIECE'!$I$2:$I$225,'03_DESPIECE'!$A$2:$A$225,B335,'03_DESPIECE'!$B$2:$B$225,C335)</f>
        <v>140.672</v>
      </c>
      <c r="K335" s="19" t="n">
        <f aca="false">E335*SUMIFS('03_DESPIECE'!$K$2:$K$225,'03_DESPIECE'!$A$2:$A$225,B335,'03_DESPIECE'!$B$2:$B$225,C335)</f>
        <v>6.2222222224</v>
      </c>
      <c r="L335" s="5" t="n">
        <f aca="false">SUMIFS('03_DESPIECE'!$L$2:$L$225,'03_DESPIECE'!$A$2:$A$225,B335,'03_DESPIECE'!$B$2:$B$225,C335)</f>
        <v>1</v>
      </c>
      <c r="M335" s="2" t="s">
        <v>629</v>
      </c>
    </row>
    <row r="336" customFormat="false" ht="15" hidden="false" customHeight="false" outlineLevel="0" collapsed="false">
      <c r="A336" s="2" t="s">
        <v>575</v>
      </c>
      <c r="B336" s="2" t="s">
        <v>94</v>
      </c>
      <c r="C336" s="2" t="s">
        <v>304</v>
      </c>
      <c r="D336" s="2" t="s">
        <v>174</v>
      </c>
      <c r="E336" s="5" t="n">
        <f aca="false">INDEX('08_PEDIDOS'!$D$2:$D$97,MATCH(A336,'08_PEDIDOS'!$A$2:$A$97,0))</f>
        <v>8</v>
      </c>
      <c r="F336" s="5" t="n">
        <f aca="false">SUMIFS('03_DESPIECE'!$D$2:$D$225,'03_DESPIECE'!$A$2:$A$225,B336,'03_DESPIECE'!$B$2:$B$225,C336)</f>
        <v>8</v>
      </c>
      <c r="G336" s="5" t="n">
        <f aca="false">E336*F336</f>
        <v>64</v>
      </c>
      <c r="H336" s="16" t="n">
        <f aca="false">SUMIFS('03_DESPIECE'!$J$2:$J$225,'03_DESPIECE'!$A$2:$A$225,B336,'03_DESPIECE'!$B$2:$B$225,C336)</f>
        <v>185.6695652174</v>
      </c>
      <c r="I336" s="16" t="n">
        <f aca="false">E336*H336</f>
        <v>1485.3565217392</v>
      </c>
      <c r="J336" s="17" t="n">
        <f aca="false">E336*SUMIFS('03_DESPIECE'!$I$2:$I$225,'03_DESPIECE'!$A$2:$A$225,B336,'03_DESPIECE'!$B$2:$B$225,C336)</f>
        <v>200.96</v>
      </c>
      <c r="K336" s="19" t="n">
        <f aca="false">E336*SUMIFS('03_DESPIECE'!$K$2:$K$225,'03_DESPIECE'!$A$2:$A$225,B336,'03_DESPIECE'!$B$2:$B$225,C336)</f>
        <v>8.8888888888</v>
      </c>
      <c r="L336" s="5" t="n">
        <f aca="false">SUMIFS('03_DESPIECE'!$L$2:$L$225,'03_DESPIECE'!$A$2:$A$225,B336,'03_DESPIECE'!$B$2:$B$225,C336)</f>
        <v>1</v>
      </c>
      <c r="M336" s="2" t="s">
        <v>629</v>
      </c>
    </row>
    <row r="337" customFormat="false" ht="15" hidden="false" customHeight="false" outlineLevel="0" collapsed="false">
      <c r="A337" s="2" t="s">
        <v>575</v>
      </c>
      <c r="B337" s="2" t="s">
        <v>94</v>
      </c>
      <c r="C337" s="2" t="s">
        <v>305</v>
      </c>
      <c r="D337" s="2" t="s">
        <v>174</v>
      </c>
      <c r="E337" s="5" t="n">
        <f aca="false">INDEX('08_PEDIDOS'!$D$2:$D$97,MATCH(A337,'08_PEDIDOS'!$A$2:$A$97,0))</f>
        <v>8</v>
      </c>
      <c r="F337" s="5" t="n">
        <f aca="false">SUMIFS('03_DESPIECE'!$D$2:$D$225,'03_DESPIECE'!$A$2:$A$225,B337,'03_DESPIECE'!$B$2:$B$225,C337)</f>
        <v>16</v>
      </c>
      <c r="G337" s="5" t="n">
        <f aca="false">E337*F337</f>
        <v>128</v>
      </c>
      <c r="H337" s="16" t="n">
        <f aca="false">SUMIFS('03_DESPIECE'!$J$2:$J$225,'03_DESPIECE'!$A$2:$A$225,B337,'03_DESPIECE'!$B$2:$B$225,C337)</f>
        <v>37.1339130435</v>
      </c>
      <c r="I337" s="16" t="n">
        <f aca="false">E337*H337</f>
        <v>297.071304348</v>
      </c>
      <c r="J337" s="17" t="n">
        <f aca="false">E337*SUMIFS('03_DESPIECE'!$I$2:$I$225,'03_DESPIECE'!$A$2:$A$225,B337,'03_DESPIECE'!$B$2:$B$225,C337)</f>
        <v>40.192</v>
      </c>
      <c r="K337" s="19" t="n">
        <f aca="false">E337*SUMIFS('03_DESPIECE'!$K$2:$K$225,'03_DESPIECE'!$A$2:$A$225,B337,'03_DESPIECE'!$B$2:$B$225,C337)</f>
        <v>1.7777777776</v>
      </c>
      <c r="L337" s="5" t="n">
        <f aca="false">SUMIFS('03_DESPIECE'!$L$2:$L$225,'03_DESPIECE'!$A$2:$A$225,B337,'03_DESPIECE'!$B$2:$B$225,C337)</f>
        <v>1</v>
      </c>
      <c r="M337" s="2" t="s">
        <v>629</v>
      </c>
    </row>
    <row r="338" customFormat="false" ht="15" hidden="false" customHeight="false" outlineLevel="0" collapsed="false">
      <c r="A338" s="2" t="s">
        <v>575</v>
      </c>
      <c r="B338" s="2" t="s">
        <v>94</v>
      </c>
      <c r="C338" s="2" t="s">
        <v>306</v>
      </c>
      <c r="D338" s="2" t="s">
        <v>174</v>
      </c>
      <c r="E338" s="5" t="n">
        <f aca="false">INDEX('08_PEDIDOS'!$D$2:$D$97,MATCH(A338,'08_PEDIDOS'!$A$2:$A$97,0))</f>
        <v>8</v>
      </c>
      <c r="F338" s="5" t="n">
        <f aca="false">SUMIFS('03_DESPIECE'!$D$2:$D$225,'03_DESPIECE'!$A$2:$A$225,B338,'03_DESPIECE'!$B$2:$B$225,C338)</f>
        <v>2</v>
      </c>
      <c r="G338" s="5" t="n">
        <f aca="false">E338*F338</f>
        <v>16</v>
      </c>
      <c r="H338" s="16" t="n">
        <f aca="false">SUMIFS('03_DESPIECE'!$J$2:$J$225,'03_DESPIECE'!$A$2:$A$225,B338,'03_DESPIECE'!$B$2:$B$225,C338)</f>
        <v>13.9252173913</v>
      </c>
      <c r="I338" s="16" t="n">
        <f aca="false">E338*H338</f>
        <v>111.4017391304</v>
      </c>
      <c r="J338" s="17" t="n">
        <f aca="false">E338*SUMIFS('03_DESPIECE'!$I$2:$I$225,'03_DESPIECE'!$A$2:$A$225,B338,'03_DESPIECE'!$B$2:$B$225,C338)</f>
        <v>15.072</v>
      </c>
      <c r="K338" s="19" t="n">
        <f aca="false">E338*SUMIFS('03_DESPIECE'!$K$2:$K$225,'03_DESPIECE'!$A$2:$A$225,B338,'03_DESPIECE'!$B$2:$B$225,C338)</f>
        <v>0.6666666664</v>
      </c>
      <c r="L338" s="5" t="n">
        <f aca="false">SUMIFS('03_DESPIECE'!$L$2:$L$225,'03_DESPIECE'!$A$2:$A$225,B338,'03_DESPIECE'!$B$2:$B$225,C338)</f>
        <v>1</v>
      </c>
      <c r="M338" s="2" t="s">
        <v>629</v>
      </c>
    </row>
    <row r="339" customFormat="false" ht="15" hidden="false" customHeight="false" outlineLevel="0" collapsed="false">
      <c r="A339" s="2" t="s">
        <v>575</v>
      </c>
      <c r="B339" s="2" t="s">
        <v>94</v>
      </c>
      <c r="C339" s="2" t="s">
        <v>307</v>
      </c>
      <c r="D339" s="2" t="s">
        <v>188</v>
      </c>
      <c r="E339" s="5" t="n">
        <f aca="false">INDEX('08_PEDIDOS'!$D$2:$D$97,MATCH(A339,'08_PEDIDOS'!$A$2:$A$97,0))</f>
        <v>8</v>
      </c>
      <c r="F339" s="5" t="n">
        <f aca="false">SUMIFS('03_DESPIECE'!$D$2:$D$225,'03_DESPIECE'!$A$2:$A$225,B339,'03_DESPIECE'!$B$2:$B$225,C339)</f>
        <v>36</v>
      </c>
      <c r="G339" s="5" t="n">
        <f aca="false">E339*F339</f>
        <v>288</v>
      </c>
      <c r="H339" s="16" t="n">
        <f aca="false">SUMIFS('03_DESPIECE'!$J$2:$J$225,'03_DESPIECE'!$A$2:$A$225,B339,'03_DESPIECE'!$B$2:$B$225,C339)</f>
        <v>32.4</v>
      </c>
      <c r="I339" s="16" t="n">
        <f aca="false">E339*H339</f>
        <v>259.2</v>
      </c>
      <c r="J339" s="17" t="n">
        <f aca="false">E339*SUMIFS('03_DESPIECE'!$I$2:$I$225,'03_DESPIECE'!$A$2:$A$225,B339,'03_DESPIECE'!$B$2:$B$225,C339)</f>
        <v>0</v>
      </c>
      <c r="K339" s="19" t="n">
        <f aca="false">E339*SUMIFS('03_DESPIECE'!$K$2:$K$225,'03_DESPIECE'!$A$2:$A$225,B339,'03_DESPIECE'!$B$2:$B$225,C339)</f>
        <v>0</v>
      </c>
      <c r="L339" s="5" t="n">
        <f aca="false">SUMIFS('03_DESPIECE'!$L$2:$L$225,'03_DESPIECE'!$A$2:$A$225,B339,'03_DESPIECE'!$B$2:$B$225,C339)</f>
        <v>1</v>
      </c>
      <c r="M339" s="2" t="s">
        <v>629</v>
      </c>
    </row>
    <row r="340" customFormat="false" ht="15" hidden="false" customHeight="false" outlineLevel="0" collapsed="false">
      <c r="A340" s="2" t="s">
        <v>576</v>
      </c>
      <c r="B340" s="2" t="s">
        <v>96</v>
      </c>
      <c r="C340" s="2" t="s">
        <v>308</v>
      </c>
      <c r="D340" s="2" t="s">
        <v>184</v>
      </c>
      <c r="E340" s="5" t="n">
        <f aca="false">INDEX('08_PEDIDOS'!$D$2:$D$97,MATCH(A340,'08_PEDIDOS'!$A$2:$A$97,0))</f>
        <v>8</v>
      </c>
      <c r="F340" s="5" t="n">
        <f aca="false">SUMIFS('03_DESPIECE'!$D$2:$D$225,'03_DESPIECE'!$A$2:$A$225,B340,'03_DESPIECE'!$B$2:$B$225,C340)</f>
        <v>2</v>
      </c>
      <c r="G340" s="5" t="n">
        <f aca="false">E340*F340</f>
        <v>16</v>
      </c>
      <c r="H340" s="16" t="n">
        <f aca="false">SUMIFS('03_DESPIECE'!$J$2:$J$225,'03_DESPIECE'!$A$2:$A$225,B340,'03_DESPIECE'!$B$2:$B$225,C340)</f>
        <v>36.21875</v>
      </c>
      <c r="I340" s="16" t="n">
        <f aca="false">E340*H340</f>
        <v>289.75</v>
      </c>
      <c r="J340" s="17" t="n">
        <f aca="false">E340*SUMIFS('03_DESPIECE'!$I$2:$I$225,'03_DESPIECE'!$A$2:$A$225,B340,'03_DESPIECE'!$B$2:$B$225,C340)</f>
        <v>45.6</v>
      </c>
      <c r="K340" s="19" t="n">
        <f aca="false">E340*SUMIFS('03_DESPIECE'!$K$2:$K$225,'03_DESPIECE'!$A$2:$A$225,B340,'03_DESPIECE'!$B$2:$B$225,C340)</f>
        <v>0</v>
      </c>
      <c r="L340" s="5" t="n">
        <f aca="false">SUMIFS('03_DESPIECE'!$L$2:$L$225,'03_DESPIECE'!$A$2:$A$225,B340,'03_DESPIECE'!$B$2:$B$225,C340)</f>
        <v>1</v>
      </c>
      <c r="M340" s="2" t="s">
        <v>629</v>
      </c>
    </row>
    <row r="341" customFormat="false" ht="15" hidden="false" customHeight="false" outlineLevel="0" collapsed="false">
      <c r="A341" s="2" t="s">
        <v>576</v>
      </c>
      <c r="B341" s="2" t="s">
        <v>96</v>
      </c>
      <c r="C341" s="2" t="s">
        <v>309</v>
      </c>
      <c r="D341" s="2" t="s">
        <v>174</v>
      </c>
      <c r="E341" s="5" t="n">
        <f aca="false">INDEX('08_PEDIDOS'!$D$2:$D$97,MATCH(A341,'08_PEDIDOS'!$A$2:$A$97,0))</f>
        <v>8</v>
      </c>
      <c r="F341" s="5" t="n">
        <f aca="false">SUMIFS('03_DESPIECE'!$D$2:$D$225,'03_DESPIECE'!$A$2:$A$225,B341,'03_DESPIECE'!$B$2:$B$225,C341)</f>
        <v>3</v>
      </c>
      <c r="G341" s="5" t="n">
        <f aca="false">E341*F341</f>
        <v>24</v>
      </c>
      <c r="H341" s="16" t="n">
        <f aca="false">SUMIFS('03_DESPIECE'!$J$2:$J$225,'03_DESPIECE'!$A$2:$A$225,B341,'03_DESPIECE'!$B$2:$B$225,C341)</f>
        <v>95.7358695652</v>
      </c>
      <c r="I341" s="16" t="n">
        <f aca="false">E341*H341</f>
        <v>765.8869565216</v>
      </c>
      <c r="J341" s="17" t="n">
        <f aca="false">E341*SUMIFS('03_DESPIECE'!$I$2:$I$225,'03_DESPIECE'!$A$2:$A$225,B341,'03_DESPIECE'!$B$2:$B$225,C341)</f>
        <v>103.62</v>
      </c>
      <c r="K341" s="19" t="n">
        <f aca="false">E341*SUMIFS('03_DESPIECE'!$K$2:$K$225,'03_DESPIECE'!$A$2:$A$225,B341,'03_DESPIECE'!$B$2:$B$225,C341)</f>
        <v>4.5833333336</v>
      </c>
      <c r="L341" s="5" t="n">
        <f aca="false">SUMIFS('03_DESPIECE'!$L$2:$L$225,'03_DESPIECE'!$A$2:$A$225,B341,'03_DESPIECE'!$B$2:$B$225,C341)</f>
        <v>1</v>
      </c>
      <c r="M341" s="2" t="s">
        <v>629</v>
      </c>
    </row>
    <row r="342" customFormat="false" ht="15" hidden="false" customHeight="false" outlineLevel="0" collapsed="false">
      <c r="A342" s="2" t="s">
        <v>576</v>
      </c>
      <c r="B342" s="2" t="s">
        <v>96</v>
      </c>
      <c r="C342" s="2" t="s">
        <v>310</v>
      </c>
      <c r="D342" s="2" t="s">
        <v>174</v>
      </c>
      <c r="E342" s="5" t="n">
        <f aca="false">INDEX('08_PEDIDOS'!$D$2:$D$97,MATCH(A342,'08_PEDIDOS'!$A$2:$A$97,0))</f>
        <v>8</v>
      </c>
      <c r="F342" s="5" t="n">
        <f aca="false">SUMIFS('03_DESPIECE'!$D$2:$D$225,'03_DESPIECE'!$A$2:$A$225,B342,'03_DESPIECE'!$B$2:$B$225,C342)</f>
        <v>5</v>
      </c>
      <c r="G342" s="5" t="n">
        <f aca="false">E342*F342</f>
        <v>40</v>
      </c>
      <c r="H342" s="16" t="n">
        <f aca="false">SUMIFS('03_DESPIECE'!$J$2:$J$225,'03_DESPIECE'!$A$2:$A$225,B342,'03_DESPIECE'!$B$2:$B$225,C342)</f>
        <v>121.8456521739</v>
      </c>
      <c r="I342" s="16" t="n">
        <f aca="false">E342*H342</f>
        <v>974.7652173912</v>
      </c>
      <c r="J342" s="17" t="n">
        <f aca="false">E342*SUMIFS('03_DESPIECE'!$I$2:$I$225,'03_DESPIECE'!$A$2:$A$225,B342,'03_DESPIECE'!$B$2:$B$225,C342)</f>
        <v>131.88</v>
      </c>
      <c r="K342" s="19" t="n">
        <f aca="false">E342*SUMIFS('03_DESPIECE'!$K$2:$K$225,'03_DESPIECE'!$A$2:$A$225,B342,'03_DESPIECE'!$B$2:$B$225,C342)</f>
        <v>5.8333333336</v>
      </c>
      <c r="L342" s="5" t="n">
        <f aca="false">SUMIFS('03_DESPIECE'!$L$2:$L$225,'03_DESPIECE'!$A$2:$A$225,B342,'03_DESPIECE'!$B$2:$B$225,C342)</f>
        <v>1</v>
      </c>
      <c r="M342" s="2" t="s">
        <v>629</v>
      </c>
    </row>
    <row r="343" customFormat="false" ht="15" hidden="false" customHeight="false" outlineLevel="0" collapsed="false">
      <c r="A343" s="2" t="s">
        <v>576</v>
      </c>
      <c r="B343" s="2" t="s">
        <v>96</v>
      </c>
      <c r="C343" s="2" t="s">
        <v>311</v>
      </c>
      <c r="D343" s="2" t="s">
        <v>174</v>
      </c>
      <c r="E343" s="5" t="n">
        <f aca="false">INDEX('08_PEDIDOS'!$D$2:$D$97,MATCH(A343,'08_PEDIDOS'!$A$2:$A$97,0))</f>
        <v>8</v>
      </c>
      <c r="F343" s="5" t="n">
        <f aca="false">SUMIFS('03_DESPIECE'!$D$2:$D$225,'03_DESPIECE'!$A$2:$A$225,B343,'03_DESPIECE'!$B$2:$B$225,C343)</f>
        <v>10</v>
      </c>
      <c r="G343" s="5" t="n">
        <f aca="false">E343*F343</f>
        <v>80</v>
      </c>
      <c r="H343" s="16" t="n">
        <f aca="false">SUMIFS('03_DESPIECE'!$J$2:$J$225,'03_DESPIECE'!$A$2:$A$225,B343,'03_DESPIECE'!$B$2:$B$225,C343)</f>
        <v>23.2086956522</v>
      </c>
      <c r="I343" s="16" t="n">
        <f aca="false">E343*H343</f>
        <v>185.6695652176</v>
      </c>
      <c r="J343" s="17" t="n">
        <f aca="false">E343*SUMIFS('03_DESPIECE'!$I$2:$I$225,'03_DESPIECE'!$A$2:$A$225,B343,'03_DESPIECE'!$B$2:$B$225,C343)</f>
        <v>25.12</v>
      </c>
      <c r="K343" s="19" t="n">
        <f aca="false">E343*SUMIFS('03_DESPIECE'!$K$2:$K$225,'03_DESPIECE'!$A$2:$A$225,B343,'03_DESPIECE'!$B$2:$B$225,C343)</f>
        <v>1.1111111112</v>
      </c>
      <c r="L343" s="5" t="n">
        <f aca="false">SUMIFS('03_DESPIECE'!$L$2:$L$225,'03_DESPIECE'!$A$2:$A$225,B343,'03_DESPIECE'!$B$2:$B$225,C343)</f>
        <v>1</v>
      </c>
      <c r="M343" s="2" t="s">
        <v>629</v>
      </c>
    </row>
    <row r="344" customFormat="false" ht="15" hidden="false" customHeight="false" outlineLevel="0" collapsed="false">
      <c r="A344" s="2" t="s">
        <v>576</v>
      </c>
      <c r="B344" s="2" t="s">
        <v>96</v>
      </c>
      <c r="C344" s="2" t="s">
        <v>312</v>
      </c>
      <c r="D344" s="2" t="s">
        <v>174</v>
      </c>
      <c r="E344" s="5" t="n">
        <f aca="false">INDEX('08_PEDIDOS'!$D$2:$D$97,MATCH(A344,'08_PEDIDOS'!$A$2:$A$97,0))</f>
        <v>8</v>
      </c>
      <c r="F344" s="5" t="n">
        <f aca="false">SUMIFS('03_DESPIECE'!$D$2:$D$225,'03_DESPIECE'!$A$2:$A$225,B344,'03_DESPIECE'!$B$2:$B$225,C344)</f>
        <v>2</v>
      </c>
      <c r="G344" s="5" t="n">
        <f aca="false">E344*F344</f>
        <v>16</v>
      </c>
      <c r="H344" s="16" t="n">
        <f aca="false">SUMIFS('03_DESPIECE'!$J$2:$J$225,'03_DESPIECE'!$A$2:$A$225,B344,'03_DESPIECE'!$B$2:$B$225,C344)</f>
        <v>29.0108695652</v>
      </c>
      <c r="I344" s="16" t="n">
        <f aca="false">E344*H344</f>
        <v>232.0869565216</v>
      </c>
      <c r="J344" s="17" t="n">
        <f aca="false">E344*SUMIFS('03_DESPIECE'!$I$2:$I$225,'03_DESPIECE'!$A$2:$A$225,B344,'03_DESPIECE'!$B$2:$B$225,C344)</f>
        <v>31.4</v>
      </c>
      <c r="K344" s="19" t="n">
        <f aca="false">E344*SUMIFS('03_DESPIECE'!$K$2:$K$225,'03_DESPIECE'!$A$2:$A$225,B344,'03_DESPIECE'!$B$2:$B$225,C344)</f>
        <v>1.3888888888</v>
      </c>
      <c r="L344" s="5" t="n">
        <f aca="false">SUMIFS('03_DESPIECE'!$L$2:$L$225,'03_DESPIECE'!$A$2:$A$225,B344,'03_DESPIECE'!$B$2:$B$225,C344)</f>
        <v>1</v>
      </c>
      <c r="M344" s="2" t="s">
        <v>629</v>
      </c>
    </row>
    <row r="345" customFormat="false" ht="15" hidden="false" customHeight="false" outlineLevel="0" collapsed="false">
      <c r="A345" s="2" t="s">
        <v>576</v>
      </c>
      <c r="B345" s="2" t="s">
        <v>96</v>
      </c>
      <c r="C345" s="2" t="s">
        <v>313</v>
      </c>
      <c r="D345" s="2" t="s">
        <v>188</v>
      </c>
      <c r="E345" s="5" t="n">
        <f aca="false">INDEX('08_PEDIDOS'!$D$2:$D$97,MATCH(A345,'08_PEDIDOS'!$A$2:$A$97,0))</f>
        <v>8</v>
      </c>
      <c r="F345" s="5" t="n">
        <f aca="false">SUMIFS('03_DESPIECE'!$D$2:$D$225,'03_DESPIECE'!$A$2:$A$225,B345,'03_DESPIECE'!$B$2:$B$225,C345)</f>
        <v>26</v>
      </c>
      <c r="G345" s="5" t="n">
        <f aca="false">E345*F345</f>
        <v>208</v>
      </c>
      <c r="H345" s="16" t="n">
        <f aca="false">SUMIFS('03_DESPIECE'!$J$2:$J$225,'03_DESPIECE'!$A$2:$A$225,B345,'03_DESPIECE'!$B$2:$B$225,C345)</f>
        <v>23.4</v>
      </c>
      <c r="I345" s="16" t="n">
        <f aca="false">E345*H345</f>
        <v>187.2</v>
      </c>
      <c r="J345" s="17" t="n">
        <f aca="false">E345*SUMIFS('03_DESPIECE'!$I$2:$I$225,'03_DESPIECE'!$A$2:$A$225,B345,'03_DESPIECE'!$B$2:$B$225,C345)</f>
        <v>0</v>
      </c>
      <c r="K345" s="19" t="n">
        <f aca="false">E345*SUMIFS('03_DESPIECE'!$K$2:$K$225,'03_DESPIECE'!$A$2:$A$225,B345,'03_DESPIECE'!$B$2:$B$225,C345)</f>
        <v>0</v>
      </c>
      <c r="L345" s="5" t="n">
        <f aca="false">SUMIFS('03_DESPIECE'!$L$2:$L$225,'03_DESPIECE'!$A$2:$A$225,B345,'03_DESPIECE'!$B$2:$B$225,C345)</f>
        <v>1</v>
      </c>
      <c r="M345" s="2" t="s">
        <v>629</v>
      </c>
    </row>
    <row r="346" customFormat="false" ht="15" hidden="false" customHeight="false" outlineLevel="0" collapsed="false">
      <c r="A346" s="2" t="s">
        <v>577</v>
      </c>
      <c r="B346" s="2" t="s">
        <v>106</v>
      </c>
      <c r="C346" s="2" t="s">
        <v>314</v>
      </c>
      <c r="D346" s="2" t="s">
        <v>176</v>
      </c>
      <c r="E346" s="5" t="n">
        <f aca="false">INDEX('08_PEDIDOS'!$D$2:$D$97,MATCH(A346,'08_PEDIDOS'!$A$2:$A$97,0))</f>
        <v>6</v>
      </c>
      <c r="F346" s="5" t="n">
        <f aca="false">SUMIFS('03_DESPIECE'!$D$2:$D$225,'03_DESPIECE'!$A$2:$A$225,B346,'03_DESPIECE'!$B$2:$B$225,C346)</f>
        <v>2</v>
      </c>
      <c r="G346" s="5" t="n">
        <f aca="false">E346*F346</f>
        <v>12</v>
      </c>
      <c r="H346" s="16" t="n">
        <f aca="false">SUMIFS('03_DESPIECE'!$J$2:$J$225,'03_DESPIECE'!$A$2:$A$225,B346,'03_DESPIECE'!$B$2:$B$225,C346)</f>
        <v>165.3619565217</v>
      </c>
      <c r="I346" s="16" t="n">
        <f aca="false">E346*H346</f>
        <v>992.1717391302</v>
      </c>
      <c r="J346" s="17" t="n">
        <f aca="false">E346*SUMIFS('03_DESPIECE'!$I$2:$I$225,'03_DESPIECE'!$A$2:$A$225,B346,'03_DESPIECE'!$B$2:$B$225,C346)</f>
        <v>134.235</v>
      </c>
      <c r="K346" s="19" t="n">
        <f aca="false">E346*SUMIFS('03_DESPIECE'!$K$2:$K$225,'03_DESPIECE'!$A$2:$A$225,B346,'03_DESPIECE'!$B$2:$B$225,C346)</f>
        <v>3.9583333332</v>
      </c>
      <c r="L346" s="5" t="n">
        <f aca="false">SUMIFS('03_DESPIECE'!$L$2:$L$225,'03_DESPIECE'!$A$2:$A$225,B346,'03_DESPIECE'!$B$2:$B$225,C346)</f>
        <v>1</v>
      </c>
      <c r="M346" s="2" t="s">
        <v>629</v>
      </c>
    </row>
    <row r="347" customFormat="false" ht="15" hidden="false" customHeight="false" outlineLevel="0" collapsed="false">
      <c r="A347" s="2" t="s">
        <v>577</v>
      </c>
      <c r="B347" s="2" t="s">
        <v>106</v>
      </c>
      <c r="C347" s="2" t="s">
        <v>315</v>
      </c>
      <c r="D347" s="2" t="s">
        <v>176</v>
      </c>
      <c r="E347" s="5" t="n">
        <f aca="false">INDEX('08_PEDIDOS'!$D$2:$D$97,MATCH(A347,'08_PEDIDOS'!$A$2:$A$97,0))</f>
        <v>6</v>
      </c>
      <c r="F347" s="5" t="n">
        <f aca="false">SUMIFS('03_DESPIECE'!$D$2:$D$225,'03_DESPIECE'!$A$2:$A$225,B347,'03_DESPIECE'!$B$2:$B$225,C347)</f>
        <v>2</v>
      </c>
      <c r="G347" s="5" t="n">
        <f aca="false">E347*F347</f>
        <v>12</v>
      </c>
      <c r="H347" s="16" t="n">
        <f aca="false">SUMIFS('03_DESPIECE'!$J$2:$J$225,'03_DESPIECE'!$A$2:$A$225,B347,'03_DESPIECE'!$B$2:$B$225,C347)</f>
        <v>60.922826087</v>
      </c>
      <c r="I347" s="16" t="n">
        <f aca="false">E347*H347</f>
        <v>365.536956522</v>
      </c>
      <c r="J347" s="17" t="n">
        <f aca="false">E347*SUMIFS('03_DESPIECE'!$I$2:$I$225,'03_DESPIECE'!$A$2:$A$225,B347,'03_DESPIECE'!$B$2:$B$225,C347)</f>
        <v>49.455</v>
      </c>
      <c r="K347" s="19" t="n">
        <f aca="false">E347*SUMIFS('03_DESPIECE'!$K$2:$K$225,'03_DESPIECE'!$A$2:$A$225,B347,'03_DESPIECE'!$B$2:$B$225,C347)</f>
        <v>1.4583333336</v>
      </c>
      <c r="L347" s="5" t="n">
        <f aca="false">SUMIFS('03_DESPIECE'!$L$2:$L$225,'03_DESPIECE'!$A$2:$A$225,B347,'03_DESPIECE'!$B$2:$B$225,C347)</f>
        <v>1</v>
      </c>
      <c r="M347" s="2" t="s">
        <v>629</v>
      </c>
    </row>
    <row r="348" customFormat="false" ht="15" hidden="false" customHeight="false" outlineLevel="0" collapsed="false">
      <c r="A348" s="2" t="s">
        <v>577</v>
      </c>
      <c r="B348" s="2" t="s">
        <v>106</v>
      </c>
      <c r="C348" s="2" t="s">
        <v>316</v>
      </c>
      <c r="D348" s="2" t="s">
        <v>176</v>
      </c>
      <c r="E348" s="5" t="n">
        <f aca="false">INDEX('08_PEDIDOS'!$D$2:$D$97,MATCH(A348,'08_PEDIDOS'!$A$2:$A$97,0))</f>
        <v>6</v>
      </c>
      <c r="F348" s="5" t="n">
        <f aca="false">SUMIFS('03_DESPIECE'!$D$2:$D$225,'03_DESPIECE'!$A$2:$A$225,B348,'03_DESPIECE'!$B$2:$B$225,C348)</f>
        <v>1</v>
      </c>
      <c r="G348" s="5" t="n">
        <f aca="false">E348*F348</f>
        <v>6</v>
      </c>
      <c r="H348" s="16" t="n">
        <f aca="false">SUMIFS('03_DESPIECE'!$J$2:$J$225,'03_DESPIECE'!$A$2:$A$225,B348,'03_DESPIECE'!$B$2:$B$225,C348)</f>
        <v>147.9554347826</v>
      </c>
      <c r="I348" s="16" t="n">
        <f aca="false">E348*H348</f>
        <v>887.7326086956</v>
      </c>
      <c r="J348" s="17" t="n">
        <f aca="false">E348*SUMIFS('03_DESPIECE'!$I$2:$I$225,'03_DESPIECE'!$A$2:$A$225,B348,'03_DESPIECE'!$B$2:$B$225,C348)</f>
        <v>120.105</v>
      </c>
      <c r="K348" s="19" t="n">
        <f aca="false">E348*SUMIFS('03_DESPIECE'!$K$2:$K$225,'03_DESPIECE'!$A$2:$A$225,B348,'03_DESPIECE'!$B$2:$B$225,C348)</f>
        <v>3.5416666668</v>
      </c>
      <c r="L348" s="5" t="n">
        <f aca="false">SUMIFS('03_DESPIECE'!$L$2:$L$225,'03_DESPIECE'!$A$2:$A$225,B348,'03_DESPIECE'!$B$2:$B$225,C348)</f>
        <v>1</v>
      </c>
      <c r="M348" s="2" t="s">
        <v>629</v>
      </c>
    </row>
    <row r="349" customFormat="false" ht="15" hidden="false" customHeight="false" outlineLevel="0" collapsed="false">
      <c r="A349" s="2" t="s">
        <v>577</v>
      </c>
      <c r="B349" s="2" t="s">
        <v>106</v>
      </c>
      <c r="C349" s="2" t="s">
        <v>317</v>
      </c>
      <c r="D349" s="2" t="s">
        <v>176</v>
      </c>
      <c r="E349" s="5" t="n">
        <f aca="false">INDEX('08_PEDIDOS'!$D$2:$D$97,MATCH(A349,'08_PEDIDOS'!$A$2:$A$97,0))</f>
        <v>6</v>
      </c>
      <c r="F349" s="5" t="n">
        <f aca="false">SUMIFS('03_DESPIECE'!$D$2:$D$225,'03_DESPIECE'!$A$2:$A$225,B349,'03_DESPIECE'!$B$2:$B$225,C349)</f>
        <v>4</v>
      </c>
      <c r="G349" s="5" t="n">
        <f aca="false">E349*F349</f>
        <v>24</v>
      </c>
      <c r="H349" s="16" t="n">
        <f aca="false">SUMIFS('03_DESPIECE'!$J$2:$J$225,'03_DESPIECE'!$A$2:$A$225,B349,'03_DESPIECE'!$B$2:$B$225,C349)</f>
        <v>128.8082608696</v>
      </c>
      <c r="I349" s="16" t="n">
        <f aca="false">E349*H349</f>
        <v>772.8495652176</v>
      </c>
      <c r="J349" s="17" t="n">
        <f aca="false">E349*SUMIFS('03_DESPIECE'!$I$2:$I$225,'03_DESPIECE'!$A$2:$A$225,B349,'03_DESPIECE'!$B$2:$B$225,C349)</f>
        <v>104.562</v>
      </c>
      <c r="K349" s="19" t="n">
        <f aca="false">E349*SUMIFS('03_DESPIECE'!$K$2:$K$225,'03_DESPIECE'!$A$2:$A$225,B349,'03_DESPIECE'!$B$2:$B$225,C349)</f>
        <v>3.0833333334</v>
      </c>
      <c r="L349" s="5" t="n">
        <f aca="false">SUMIFS('03_DESPIECE'!$L$2:$L$225,'03_DESPIECE'!$A$2:$A$225,B349,'03_DESPIECE'!$B$2:$B$225,C349)</f>
        <v>1</v>
      </c>
      <c r="M349" s="2" t="s">
        <v>629</v>
      </c>
    </row>
    <row r="350" customFormat="false" ht="15" hidden="false" customHeight="false" outlineLevel="0" collapsed="false">
      <c r="A350" s="2" t="s">
        <v>577</v>
      </c>
      <c r="B350" s="2" t="s">
        <v>106</v>
      </c>
      <c r="C350" s="2" t="s">
        <v>318</v>
      </c>
      <c r="D350" s="2" t="s">
        <v>176</v>
      </c>
      <c r="E350" s="5" t="n">
        <f aca="false">INDEX('08_PEDIDOS'!$D$2:$D$97,MATCH(A350,'08_PEDIDOS'!$A$2:$A$97,0))</f>
        <v>6</v>
      </c>
      <c r="F350" s="5" t="n">
        <f aca="false">SUMIFS('03_DESPIECE'!$D$2:$D$225,'03_DESPIECE'!$A$2:$A$225,B350,'03_DESPIECE'!$B$2:$B$225,C350)</f>
        <v>3</v>
      </c>
      <c r="G350" s="5" t="n">
        <f aca="false">E350*F350</f>
        <v>18</v>
      </c>
      <c r="H350" s="16" t="n">
        <f aca="false">SUMIFS('03_DESPIECE'!$J$2:$J$225,'03_DESPIECE'!$A$2:$A$225,B350,'03_DESPIECE'!$B$2:$B$225,C350)</f>
        <v>91.3842391304</v>
      </c>
      <c r="I350" s="16" t="n">
        <f aca="false">E350*H350</f>
        <v>548.3054347824</v>
      </c>
      <c r="J350" s="17" t="n">
        <f aca="false">E350*SUMIFS('03_DESPIECE'!$I$2:$I$225,'03_DESPIECE'!$A$2:$A$225,B350,'03_DESPIECE'!$B$2:$B$225,C350)</f>
        <v>74.1825</v>
      </c>
      <c r="K350" s="19" t="n">
        <f aca="false">E350*SUMIFS('03_DESPIECE'!$K$2:$K$225,'03_DESPIECE'!$A$2:$A$225,B350,'03_DESPIECE'!$B$2:$B$225,C350)</f>
        <v>2.1874999998</v>
      </c>
      <c r="L350" s="5" t="n">
        <f aca="false">SUMIFS('03_DESPIECE'!$L$2:$L$225,'03_DESPIECE'!$A$2:$A$225,B350,'03_DESPIECE'!$B$2:$B$225,C350)</f>
        <v>1</v>
      </c>
      <c r="M350" s="2" t="s">
        <v>629</v>
      </c>
    </row>
    <row r="351" customFormat="false" ht="15" hidden="false" customHeight="false" outlineLevel="0" collapsed="false">
      <c r="A351" s="2" t="s">
        <v>577</v>
      </c>
      <c r="B351" s="2" t="s">
        <v>106</v>
      </c>
      <c r="C351" s="2" t="s">
        <v>319</v>
      </c>
      <c r="D351" s="2" t="s">
        <v>188</v>
      </c>
      <c r="E351" s="5" t="n">
        <f aca="false">INDEX('08_PEDIDOS'!$D$2:$D$97,MATCH(A351,'08_PEDIDOS'!$A$2:$A$97,0))</f>
        <v>6</v>
      </c>
      <c r="F351" s="5" t="n">
        <f aca="false">SUMIFS('03_DESPIECE'!$D$2:$D$225,'03_DESPIECE'!$A$2:$A$225,B351,'03_DESPIECE'!$B$2:$B$225,C351)</f>
        <v>8</v>
      </c>
      <c r="G351" s="5" t="n">
        <f aca="false">E351*F351</f>
        <v>48</v>
      </c>
      <c r="H351" s="16" t="n">
        <f aca="false">SUMIFS('03_DESPIECE'!$J$2:$J$225,'03_DESPIECE'!$A$2:$A$225,B351,'03_DESPIECE'!$B$2:$B$225,C351)</f>
        <v>7.2</v>
      </c>
      <c r="I351" s="16" t="n">
        <f aca="false">E351*H351</f>
        <v>43.2</v>
      </c>
      <c r="J351" s="17" t="n">
        <f aca="false">E351*SUMIFS('03_DESPIECE'!$I$2:$I$225,'03_DESPIECE'!$A$2:$A$225,B351,'03_DESPIECE'!$B$2:$B$225,C351)</f>
        <v>0</v>
      </c>
      <c r="K351" s="19" t="n">
        <f aca="false">E351*SUMIFS('03_DESPIECE'!$K$2:$K$225,'03_DESPIECE'!$A$2:$A$225,B351,'03_DESPIECE'!$B$2:$B$225,C351)</f>
        <v>0</v>
      </c>
      <c r="L351" s="5" t="n">
        <f aca="false">SUMIFS('03_DESPIECE'!$L$2:$L$225,'03_DESPIECE'!$A$2:$A$225,B351,'03_DESPIECE'!$B$2:$B$225,C351)</f>
        <v>1</v>
      </c>
      <c r="M351" s="2" t="s">
        <v>629</v>
      </c>
    </row>
    <row r="352" customFormat="false" ht="15" hidden="false" customHeight="false" outlineLevel="0" collapsed="false">
      <c r="A352" s="2" t="s">
        <v>577</v>
      </c>
      <c r="B352" s="2" t="s">
        <v>106</v>
      </c>
      <c r="C352" s="2" t="s">
        <v>320</v>
      </c>
      <c r="D352" s="2" t="s">
        <v>188</v>
      </c>
      <c r="E352" s="5" t="n">
        <f aca="false">INDEX('08_PEDIDOS'!$D$2:$D$97,MATCH(A352,'08_PEDIDOS'!$A$2:$A$97,0))</f>
        <v>6</v>
      </c>
      <c r="F352" s="5" t="n">
        <f aca="false">SUMIFS('03_DESPIECE'!$D$2:$D$225,'03_DESPIECE'!$A$2:$A$225,B352,'03_DESPIECE'!$B$2:$B$225,C352)</f>
        <v>4</v>
      </c>
      <c r="G352" s="5" t="n">
        <f aca="false">E352*F352</f>
        <v>24</v>
      </c>
      <c r="H352" s="16" t="n">
        <f aca="false">SUMIFS('03_DESPIECE'!$J$2:$J$225,'03_DESPIECE'!$A$2:$A$225,B352,'03_DESPIECE'!$B$2:$B$225,C352)</f>
        <v>3.6</v>
      </c>
      <c r="I352" s="16" t="n">
        <f aca="false">E352*H352</f>
        <v>21.6</v>
      </c>
      <c r="J352" s="17" t="n">
        <f aca="false">E352*SUMIFS('03_DESPIECE'!$I$2:$I$225,'03_DESPIECE'!$A$2:$A$225,B352,'03_DESPIECE'!$B$2:$B$225,C352)</f>
        <v>0</v>
      </c>
      <c r="K352" s="19" t="n">
        <f aca="false">E352*SUMIFS('03_DESPIECE'!$K$2:$K$225,'03_DESPIECE'!$A$2:$A$225,B352,'03_DESPIECE'!$B$2:$B$225,C352)</f>
        <v>0</v>
      </c>
      <c r="L352" s="5" t="n">
        <f aca="false">SUMIFS('03_DESPIECE'!$L$2:$L$225,'03_DESPIECE'!$A$2:$A$225,B352,'03_DESPIECE'!$B$2:$B$225,C352)</f>
        <v>1</v>
      </c>
      <c r="M352" s="2" t="s">
        <v>629</v>
      </c>
    </row>
    <row r="353" customFormat="false" ht="15" hidden="false" customHeight="false" outlineLevel="0" collapsed="false">
      <c r="A353" s="2" t="s">
        <v>578</v>
      </c>
      <c r="B353" s="2" t="s">
        <v>108</v>
      </c>
      <c r="C353" s="2" t="s">
        <v>321</v>
      </c>
      <c r="D353" s="2" t="s">
        <v>176</v>
      </c>
      <c r="E353" s="5" t="n">
        <f aca="false">INDEX('08_PEDIDOS'!$D$2:$D$97,MATCH(A353,'08_PEDIDOS'!$A$2:$A$97,0))</f>
        <v>7</v>
      </c>
      <c r="F353" s="5" t="n">
        <f aca="false">SUMIFS('03_DESPIECE'!$D$2:$D$225,'03_DESPIECE'!$A$2:$A$225,B353,'03_DESPIECE'!$B$2:$B$225,C353)</f>
        <v>2</v>
      </c>
      <c r="G353" s="5" t="n">
        <f aca="false">E353*F353</f>
        <v>14</v>
      </c>
      <c r="H353" s="16" t="n">
        <f aca="false">SUMIFS('03_DESPIECE'!$J$2:$J$225,'03_DESPIECE'!$A$2:$A$225,B353,'03_DESPIECE'!$B$2:$B$225,C353)</f>
        <v>191.4717391304</v>
      </c>
      <c r="I353" s="16" t="n">
        <f aca="false">E353*H353</f>
        <v>1340.3021739128</v>
      </c>
      <c r="J353" s="17" t="n">
        <f aca="false">E353*SUMIFS('03_DESPIECE'!$I$2:$I$225,'03_DESPIECE'!$A$2:$A$225,B353,'03_DESPIECE'!$B$2:$B$225,C353)</f>
        <v>181.335</v>
      </c>
      <c r="K353" s="19" t="n">
        <f aca="false">E353*SUMIFS('03_DESPIECE'!$K$2:$K$225,'03_DESPIECE'!$A$2:$A$225,B353,'03_DESPIECE'!$B$2:$B$225,C353)</f>
        <v>5.3472222223</v>
      </c>
      <c r="L353" s="5" t="n">
        <f aca="false">SUMIFS('03_DESPIECE'!$L$2:$L$225,'03_DESPIECE'!$A$2:$A$225,B353,'03_DESPIECE'!$B$2:$B$225,C353)</f>
        <v>1</v>
      </c>
      <c r="M353" s="2" t="s">
        <v>629</v>
      </c>
    </row>
    <row r="354" customFormat="false" ht="15" hidden="false" customHeight="false" outlineLevel="0" collapsed="false">
      <c r="A354" s="2" t="s">
        <v>578</v>
      </c>
      <c r="B354" s="2" t="s">
        <v>108</v>
      </c>
      <c r="C354" s="2" t="s">
        <v>322</v>
      </c>
      <c r="D354" s="2" t="s">
        <v>176</v>
      </c>
      <c r="E354" s="5" t="n">
        <f aca="false">INDEX('08_PEDIDOS'!$D$2:$D$97,MATCH(A354,'08_PEDIDOS'!$A$2:$A$97,0))</f>
        <v>7</v>
      </c>
      <c r="F354" s="5" t="n">
        <f aca="false">SUMIFS('03_DESPIECE'!$D$2:$D$225,'03_DESPIECE'!$A$2:$A$225,B354,'03_DESPIECE'!$B$2:$B$225,C354)</f>
        <v>2</v>
      </c>
      <c r="G354" s="5" t="n">
        <f aca="false">E354*F354</f>
        <v>14</v>
      </c>
      <c r="H354" s="16" t="n">
        <f aca="false">SUMIFS('03_DESPIECE'!$J$2:$J$225,'03_DESPIECE'!$A$2:$A$225,B354,'03_DESPIECE'!$B$2:$B$225,C354)</f>
        <v>83.5513043478</v>
      </c>
      <c r="I354" s="16" t="n">
        <f aca="false">E354*H354</f>
        <v>584.8591304346</v>
      </c>
      <c r="J354" s="17" t="n">
        <f aca="false">E354*SUMIFS('03_DESPIECE'!$I$2:$I$225,'03_DESPIECE'!$A$2:$A$225,B354,'03_DESPIECE'!$B$2:$B$225,C354)</f>
        <v>79.128</v>
      </c>
      <c r="K354" s="19" t="n">
        <f aca="false">E354*SUMIFS('03_DESPIECE'!$K$2:$K$225,'03_DESPIECE'!$A$2:$A$225,B354,'03_DESPIECE'!$B$2:$B$225,C354)</f>
        <v>2.3333333331</v>
      </c>
      <c r="L354" s="5" t="n">
        <f aca="false">SUMIFS('03_DESPIECE'!$L$2:$L$225,'03_DESPIECE'!$A$2:$A$225,B354,'03_DESPIECE'!$B$2:$B$225,C354)</f>
        <v>1</v>
      </c>
      <c r="M354" s="2" t="s">
        <v>629</v>
      </c>
    </row>
    <row r="355" customFormat="false" ht="15" hidden="false" customHeight="false" outlineLevel="0" collapsed="false">
      <c r="A355" s="2" t="s">
        <v>578</v>
      </c>
      <c r="B355" s="2" t="s">
        <v>108</v>
      </c>
      <c r="C355" s="2" t="s">
        <v>323</v>
      </c>
      <c r="D355" s="2" t="s">
        <v>176</v>
      </c>
      <c r="E355" s="5" t="n">
        <f aca="false">INDEX('08_PEDIDOS'!$D$2:$D$97,MATCH(A355,'08_PEDIDOS'!$A$2:$A$97,0))</f>
        <v>7</v>
      </c>
      <c r="F355" s="5" t="n">
        <f aca="false">SUMIFS('03_DESPIECE'!$D$2:$D$225,'03_DESPIECE'!$A$2:$A$225,B355,'03_DESPIECE'!$B$2:$B$225,C355)</f>
        <v>1</v>
      </c>
      <c r="G355" s="5" t="n">
        <f aca="false">E355*F355</f>
        <v>7</v>
      </c>
      <c r="H355" s="16" t="n">
        <f aca="false">SUMIFS('03_DESPIECE'!$J$2:$J$225,'03_DESPIECE'!$A$2:$A$225,B355,'03_DESPIECE'!$B$2:$B$225,C355)</f>
        <v>156.6586956522</v>
      </c>
      <c r="I355" s="16" t="n">
        <f aca="false">E355*H355</f>
        <v>1096.6108695654</v>
      </c>
      <c r="J355" s="17" t="n">
        <f aca="false">E355*SUMIFS('03_DESPIECE'!$I$2:$I$225,'03_DESPIECE'!$A$2:$A$225,B355,'03_DESPIECE'!$B$2:$B$225,C355)</f>
        <v>148.365</v>
      </c>
      <c r="K355" s="19" t="n">
        <f aca="false">E355*SUMIFS('03_DESPIECE'!$K$2:$K$225,'03_DESPIECE'!$A$2:$A$225,B355,'03_DESPIECE'!$B$2:$B$225,C355)</f>
        <v>4.375</v>
      </c>
      <c r="L355" s="5" t="n">
        <f aca="false">SUMIFS('03_DESPIECE'!$L$2:$L$225,'03_DESPIECE'!$A$2:$A$225,B355,'03_DESPIECE'!$B$2:$B$225,C355)</f>
        <v>1</v>
      </c>
      <c r="M355" s="2" t="s">
        <v>629</v>
      </c>
    </row>
    <row r="356" customFormat="false" ht="15" hidden="false" customHeight="false" outlineLevel="0" collapsed="false">
      <c r="A356" s="2" t="s">
        <v>578</v>
      </c>
      <c r="B356" s="2" t="s">
        <v>108</v>
      </c>
      <c r="C356" s="2" t="s">
        <v>324</v>
      </c>
      <c r="D356" s="2" t="s">
        <v>176</v>
      </c>
      <c r="E356" s="5" t="n">
        <f aca="false">INDEX('08_PEDIDOS'!$D$2:$D$97,MATCH(A356,'08_PEDIDOS'!$A$2:$A$97,0))</f>
        <v>7</v>
      </c>
      <c r="F356" s="5" t="n">
        <f aca="false">SUMIFS('03_DESPIECE'!$D$2:$D$225,'03_DESPIECE'!$A$2:$A$225,B356,'03_DESPIECE'!$B$2:$B$225,C356)</f>
        <v>6</v>
      </c>
      <c r="G356" s="5" t="n">
        <f aca="false">E356*F356</f>
        <v>42</v>
      </c>
      <c r="H356" s="16" t="n">
        <f aca="false">SUMIFS('03_DESPIECE'!$J$2:$J$225,'03_DESPIECE'!$A$2:$A$225,B356,'03_DESPIECE'!$B$2:$B$225,C356)</f>
        <v>156.6586956522</v>
      </c>
      <c r="I356" s="16" t="n">
        <f aca="false">E356*H356</f>
        <v>1096.6108695654</v>
      </c>
      <c r="J356" s="17" t="n">
        <f aca="false">E356*SUMIFS('03_DESPIECE'!$I$2:$I$225,'03_DESPIECE'!$A$2:$A$225,B356,'03_DESPIECE'!$B$2:$B$225,C356)</f>
        <v>148.365</v>
      </c>
      <c r="K356" s="19" t="n">
        <f aca="false">E356*SUMIFS('03_DESPIECE'!$K$2:$K$225,'03_DESPIECE'!$A$2:$A$225,B356,'03_DESPIECE'!$B$2:$B$225,C356)</f>
        <v>4.375</v>
      </c>
      <c r="L356" s="5" t="n">
        <f aca="false">SUMIFS('03_DESPIECE'!$L$2:$L$225,'03_DESPIECE'!$A$2:$A$225,B356,'03_DESPIECE'!$B$2:$B$225,C356)</f>
        <v>1</v>
      </c>
      <c r="M356" s="2" t="s">
        <v>629</v>
      </c>
    </row>
    <row r="357" customFormat="false" ht="15" hidden="false" customHeight="false" outlineLevel="0" collapsed="false">
      <c r="A357" s="2" t="s">
        <v>578</v>
      </c>
      <c r="B357" s="2" t="s">
        <v>108</v>
      </c>
      <c r="C357" s="2" t="s">
        <v>325</v>
      </c>
      <c r="D357" s="2" t="s">
        <v>176</v>
      </c>
      <c r="E357" s="5" t="n">
        <f aca="false">INDEX('08_PEDIDOS'!$D$2:$D$97,MATCH(A357,'08_PEDIDOS'!$A$2:$A$97,0))</f>
        <v>7</v>
      </c>
      <c r="F357" s="5" t="n">
        <f aca="false">SUMIFS('03_DESPIECE'!$D$2:$D$225,'03_DESPIECE'!$A$2:$A$225,B357,'03_DESPIECE'!$B$2:$B$225,C357)</f>
        <v>2</v>
      </c>
      <c r="G357" s="5" t="n">
        <f aca="false">E357*F357</f>
        <v>14</v>
      </c>
      <c r="H357" s="16" t="n">
        <f aca="false">SUMIFS('03_DESPIECE'!$J$2:$J$225,'03_DESPIECE'!$A$2:$A$225,B357,'03_DESPIECE'!$B$2:$B$225,C357)</f>
        <v>121.8456521739</v>
      </c>
      <c r="I357" s="16" t="n">
        <f aca="false">E357*H357</f>
        <v>852.9195652173</v>
      </c>
      <c r="J357" s="17" t="n">
        <f aca="false">E357*SUMIFS('03_DESPIECE'!$I$2:$I$225,'03_DESPIECE'!$A$2:$A$225,B357,'03_DESPIECE'!$B$2:$B$225,C357)</f>
        <v>115.395</v>
      </c>
      <c r="K357" s="19" t="n">
        <f aca="false">E357*SUMIFS('03_DESPIECE'!$K$2:$K$225,'03_DESPIECE'!$A$2:$A$225,B357,'03_DESPIECE'!$B$2:$B$225,C357)</f>
        <v>3.4027777777</v>
      </c>
      <c r="L357" s="5" t="n">
        <f aca="false">SUMIFS('03_DESPIECE'!$L$2:$L$225,'03_DESPIECE'!$A$2:$A$225,B357,'03_DESPIECE'!$B$2:$B$225,C357)</f>
        <v>1</v>
      </c>
      <c r="M357" s="2" t="s">
        <v>629</v>
      </c>
    </row>
    <row r="358" customFormat="false" ht="15" hidden="false" customHeight="false" outlineLevel="0" collapsed="false">
      <c r="A358" s="2" t="s">
        <v>578</v>
      </c>
      <c r="B358" s="2" t="s">
        <v>108</v>
      </c>
      <c r="C358" s="2" t="s">
        <v>326</v>
      </c>
      <c r="D358" s="2" t="s">
        <v>176</v>
      </c>
      <c r="E358" s="5" t="n">
        <f aca="false">INDEX('08_PEDIDOS'!$D$2:$D$97,MATCH(A358,'08_PEDIDOS'!$A$2:$A$97,0))</f>
        <v>7</v>
      </c>
      <c r="F358" s="5" t="n">
        <f aca="false">SUMIFS('03_DESPIECE'!$D$2:$D$225,'03_DESPIECE'!$A$2:$A$225,B358,'03_DESPIECE'!$B$2:$B$225,C358)</f>
        <v>4</v>
      </c>
      <c r="G358" s="5" t="n">
        <f aca="false">E358*F358</f>
        <v>28</v>
      </c>
      <c r="H358" s="16" t="n">
        <f aca="false">SUMIFS('03_DESPIECE'!$J$2:$J$225,'03_DESPIECE'!$A$2:$A$225,B358,'03_DESPIECE'!$B$2:$B$225,C358)</f>
        <v>139.252173913</v>
      </c>
      <c r="I358" s="16" t="n">
        <f aca="false">E358*H358</f>
        <v>974.765217391</v>
      </c>
      <c r="J358" s="17" t="n">
        <f aca="false">E358*SUMIFS('03_DESPIECE'!$I$2:$I$225,'03_DESPIECE'!$A$2:$A$225,B358,'03_DESPIECE'!$B$2:$B$225,C358)</f>
        <v>131.88</v>
      </c>
      <c r="K358" s="19" t="n">
        <f aca="false">E358*SUMIFS('03_DESPIECE'!$K$2:$K$225,'03_DESPIECE'!$A$2:$A$225,B358,'03_DESPIECE'!$B$2:$B$225,C358)</f>
        <v>3.8888888892</v>
      </c>
      <c r="L358" s="5" t="n">
        <f aca="false">SUMIFS('03_DESPIECE'!$L$2:$L$225,'03_DESPIECE'!$A$2:$A$225,B358,'03_DESPIECE'!$B$2:$B$225,C358)</f>
        <v>1</v>
      </c>
      <c r="M358" s="2" t="s">
        <v>629</v>
      </c>
    </row>
    <row r="359" customFormat="false" ht="15" hidden="false" customHeight="false" outlineLevel="0" collapsed="false">
      <c r="A359" s="2" t="s">
        <v>578</v>
      </c>
      <c r="B359" s="2" t="s">
        <v>108</v>
      </c>
      <c r="C359" s="2" t="s">
        <v>319</v>
      </c>
      <c r="D359" s="2" t="s">
        <v>188</v>
      </c>
      <c r="E359" s="5" t="n">
        <f aca="false">INDEX('08_PEDIDOS'!$D$2:$D$97,MATCH(A359,'08_PEDIDOS'!$A$2:$A$97,0))</f>
        <v>7</v>
      </c>
      <c r="F359" s="5" t="n">
        <f aca="false">SUMIFS('03_DESPIECE'!$D$2:$D$225,'03_DESPIECE'!$A$2:$A$225,B359,'03_DESPIECE'!$B$2:$B$225,C359)</f>
        <v>12</v>
      </c>
      <c r="G359" s="5" t="n">
        <f aca="false">E359*F359</f>
        <v>84</v>
      </c>
      <c r="H359" s="16" t="n">
        <f aca="false">SUMIFS('03_DESPIECE'!$J$2:$J$225,'03_DESPIECE'!$A$2:$A$225,B359,'03_DESPIECE'!$B$2:$B$225,C359)</f>
        <v>10.8</v>
      </c>
      <c r="I359" s="16" t="n">
        <f aca="false">E359*H359</f>
        <v>75.6</v>
      </c>
      <c r="J359" s="17" t="n">
        <f aca="false">E359*SUMIFS('03_DESPIECE'!$I$2:$I$225,'03_DESPIECE'!$A$2:$A$225,B359,'03_DESPIECE'!$B$2:$B$225,C359)</f>
        <v>0</v>
      </c>
      <c r="K359" s="19" t="n">
        <f aca="false">E359*SUMIFS('03_DESPIECE'!$K$2:$K$225,'03_DESPIECE'!$A$2:$A$225,B359,'03_DESPIECE'!$B$2:$B$225,C359)</f>
        <v>0</v>
      </c>
      <c r="L359" s="5" t="n">
        <f aca="false">SUMIFS('03_DESPIECE'!$L$2:$L$225,'03_DESPIECE'!$A$2:$A$225,B359,'03_DESPIECE'!$B$2:$B$225,C359)</f>
        <v>1</v>
      </c>
      <c r="M359" s="2" t="s">
        <v>629</v>
      </c>
    </row>
    <row r="360" customFormat="false" ht="15" hidden="false" customHeight="false" outlineLevel="0" collapsed="false">
      <c r="A360" s="2" t="s">
        <v>578</v>
      </c>
      <c r="B360" s="2" t="s">
        <v>108</v>
      </c>
      <c r="C360" s="2" t="s">
        <v>320</v>
      </c>
      <c r="D360" s="2" t="s">
        <v>188</v>
      </c>
      <c r="E360" s="5" t="n">
        <f aca="false">INDEX('08_PEDIDOS'!$D$2:$D$97,MATCH(A360,'08_PEDIDOS'!$A$2:$A$97,0))</f>
        <v>7</v>
      </c>
      <c r="F360" s="5" t="n">
        <f aca="false">SUMIFS('03_DESPIECE'!$D$2:$D$225,'03_DESPIECE'!$A$2:$A$225,B360,'03_DESPIECE'!$B$2:$B$225,C360)</f>
        <v>6</v>
      </c>
      <c r="G360" s="5" t="n">
        <f aca="false">E360*F360</f>
        <v>42</v>
      </c>
      <c r="H360" s="16" t="n">
        <f aca="false">SUMIFS('03_DESPIECE'!$J$2:$J$225,'03_DESPIECE'!$A$2:$A$225,B360,'03_DESPIECE'!$B$2:$B$225,C360)</f>
        <v>5.4</v>
      </c>
      <c r="I360" s="16" t="n">
        <f aca="false">E360*H360</f>
        <v>37.8</v>
      </c>
      <c r="J360" s="17" t="n">
        <f aca="false">E360*SUMIFS('03_DESPIECE'!$I$2:$I$225,'03_DESPIECE'!$A$2:$A$225,B360,'03_DESPIECE'!$B$2:$B$225,C360)</f>
        <v>0</v>
      </c>
      <c r="K360" s="19" t="n">
        <f aca="false">E360*SUMIFS('03_DESPIECE'!$K$2:$K$225,'03_DESPIECE'!$A$2:$A$225,B360,'03_DESPIECE'!$B$2:$B$225,C360)</f>
        <v>0</v>
      </c>
      <c r="L360" s="5" t="n">
        <f aca="false">SUMIFS('03_DESPIECE'!$L$2:$L$225,'03_DESPIECE'!$A$2:$A$225,B360,'03_DESPIECE'!$B$2:$B$225,C360)</f>
        <v>1</v>
      </c>
      <c r="M360" s="2" t="s">
        <v>629</v>
      </c>
    </row>
    <row r="361" customFormat="false" ht="15" hidden="false" customHeight="false" outlineLevel="0" collapsed="false">
      <c r="A361" s="2" t="s">
        <v>579</v>
      </c>
      <c r="B361" s="2" t="s">
        <v>119</v>
      </c>
      <c r="C361" s="2" t="s">
        <v>327</v>
      </c>
      <c r="D361" s="2" t="s">
        <v>174</v>
      </c>
      <c r="E361" s="5" t="n">
        <f aca="false">INDEX('08_PEDIDOS'!$D$2:$D$97,MATCH(A361,'08_PEDIDOS'!$A$2:$A$97,0))</f>
        <v>11</v>
      </c>
      <c r="F361" s="5" t="n">
        <f aca="false">SUMIFS('03_DESPIECE'!$D$2:$D$225,'03_DESPIECE'!$A$2:$A$225,B361,'03_DESPIECE'!$B$2:$B$225,C361)</f>
        <v>2</v>
      </c>
      <c r="G361" s="5" t="n">
        <f aca="false">E361*F361</f>
        <v>22</v>
      </c>
      <c r="H361" s="16" t="n">
        <f aca="false">SUMIFS('03_DESPIECE'!$J$2:$J$225,'03_DESPIECE'!$A$2:$A$225,B361,'03_DESPIECE'!$B$2:$B$225,C361)</f>
        <v>110.2413043478</v>
      </c>
      <c r="I361" s="16" t="n">
        <f aca="false">E361*H361</f>
        <v>1212.6543478258</v>
      </c>
      <c r="J361" s="17" t="n">
        <f aca="false">E361*SUMIFS('03_DESPIECE'!$I$2:$I$225,'03_DESPIECE'!$A$2:$A$225,B361,'03_DESPIECE'!$B$2:$B$225,C361)</f>
        <v>164.065</v>
      </c>
      <c r="K361" s="19" t="n">
        <f aca="false">E361*SUMIFS('03_DESPIECE'!$K$2:$K$225,'03_DESPIECE'!$A$2:$A$225,B361,'03_DESPIECE'!$B$2:$B$225,C361)</f>
        <v>7.2569444442</v>
      </c>
      <c r="L361" s="5" t="n">
        <f aca="false">SUMIFS('03_DESPIECE'!$L$2:$L$225,'03_DESPIECE'!$A$2:$A$225,B361,'03_DESPIECE'!$B$2:$B$225,C361)</f>
        <v>1</v>
      </c>
      <c r="M361" s="2" t="s">
        <v>629</v>
      </c>
    </row>
    <row r="362" customFormat="false" ht="15" hidden="false" customHeight="false" outlineLevel="0" collapsed="false">
      <c r="A362" s="2" t="s">
        <v>579</v>
      </c>
      <c r="B362" s="2" t="s">
        <v>119</v>
      </c>
      <c r="C362" s="2" t="s">
        <v>316</v>
      </c>
      <c r="D362" s="2" t="s">
        <v>174</v>
      </c>
      <c r="E362" s="5" t="n">
        <f aca="false">INDEX('08_PEDIDOS'!$D$2:$D$97,MATCH(A362,'08_PEDIDOS'!$A$2:$A$97,0))</f>
        <v>11</v>
      </c>
      <c r="F362" s="5" t="n">
        <f aca="false">SUMIFS('03_DESPIECE'!$D$2:$D$225,'03_DESPIECE'!$A$2:$A$225,B362,'03_DESPIECE'!$B$2:$B$225,C362)</f>
        <v>1</v>
      </c>
      <c r="G362" s="5" t="n">
        <f aca="false">E362*F362</f>
        <v>11</v>
      </c>
      <c r="H362" s="16" t="n">
        <f aca="false">SUMIFS('03_DESPIECE'!$J$2:$J$225,'03_DESPIECE'!$A$2:$A$225,B362,'03_DESPIECE'!$B$2:$B$225,C362)</f>
        <v>75.4282608696</v>
      </c>
      <c r="I362" s="16" t="n">
        <f aca="false">E362*H362</f>
        <v>829.7108695656</v>
      </c>
      <c r="J362" s="17" t="n">
        <f aca="false">E362*SUMIFS('03_DESPIECE'!$I$2:$I$225,'03_DESPIECE'!$A$2:$A$225,B362,'03_DESPIECE'!$B$2:$B$225,C362)</f>
        <v>112.255</v>
      </c>
      <c r="K362" s="19" t="n">
        <f aca="false">E362*SUMIFS('03_DESPIECE'!$K$2:$K$225,'03_DESPIECE'!$A$2:$A$225,B362,'03_DESPIECE'!$B$2:$B$225,C362)</f>
        <v>4.9652777779</v>
      </c>
      <c r="L362" s="5" t="n">
        <f aca="false">SUMIFS('03_DESPIECE'!$L$2:$L$225,'03_DESPIECE'!$A$2:$A$225,B362,'03_DESPIECE'!$B$2:$B$225,C362)</f>
        <v>1</v>
      </c>
      <c r="M362" s="2" t="s">
        <v>629</v>
      </c>
    </row>
    <row r="363" customFormat="false" ht="15" hidden="false" customHeight="false" outlineLevel="0" collapsed="false">
      <c r="A363" s="2" t="s">
        <v>579</v>
      </c>
      <c r="B363" s="2" t="s">
        <v>119</v>
      </c>
      <c r="C363" s="2" t="s">
        <v>322</v>
      </c>
      <c r="D363" s="2" t="s">
        <v>174</v>
      </c>
      <c r="E363" s="5" t="n">
        <f aca="false">INDEX('08_PEDIDOS'!$D$2:$D$97,MATCH(A363,'08_PEDIDOS'!$A$2:$A$97,0))</f>
        <v>11</v>
      </c>
      <c r="F363" s="5" t="n">
        <f aca="false">SUMIFS('03_DESPIECE'!$D$2:$D$225,'03_DESPIECE'!$A$2:$A$225,B363,'03_DESPIECE'!$B$2:$B$225,C363)</f>
        <v>2</v>
      </c>
      <c r="G363" s="5" t="n">
        <f aca="false">E363*F363</f>
        <v>22</v>
      </c>
      <c r="H363" s="16" t="n">
        <f aca="false">SUMIFS('03_DESPIECE'!$J$2:$J$225,'03_DESPIECE'!$A$2:$A$225,B363,'03_DESPIECE'!$B$2:$B$225,C363)</f>
        <v>58.0217391304</v>
      </c>
      <c r="I363" s="16" t="n">
        <f aca="false">E363*H363</f>
        <v>638.2391304344</v>
      </c>
      <c r="J363" s="17" t="n">
        <f aca="false">E363*SUMIFS('03_DESPIECE'!$I$2:$I$225,'03_DESPIECE'!$A$2:$A$225,B363,'03_DESPIECE'!$B$2:$B$225,C363)</f>
        <v>86.35</v>
      </c>
      <c r="K363" s="19" t="n">
        <f aca="false">E363*SUMIFS('03_DESPIECE'!$K$2:$K$225,'03_DESPIECE'!$A$2:$A$225,B363,'03_DESPIECE'!$B$2:$B$225,C363)</f>
        <v>3.8194444442</v>
      </c>
      <c r="L363" s="5" t="n">
        <f aca="false">SUMIFS('03_DESPIECE'!$L$2:$L$225,'03_DESPIECE'!$A$2:$A$225,B363,'03_DESPIECE'!$B$2:$B$225,C363)</f>
        <v>1</v>
      </c>
      <c r="M363" s="2" t="s">
        <v>629</v>
      </c>
    </row>
    <row r="364" customFormat="false" ht="15" hidden="false" customHeight="false" outlineLevel="0" collapsed="false">
      <c r="A364" s="2" t="s">
        <v>579</v>
      </c>
      <c r="B364" s="2" t="s">
        <v>119</v>
      </c>
      <c r="C364" s="2" t="s">
        <v>328</v>
      </c>
      <c r="D364" s="2" t="s">
        <v>174</v>
      </c>
      <c r="E364" s="5" t="n">
        <f aca="false">INDEX('08_PEDIDOS'!$D$2:$D$97,MATCH(A364,'08_PEDIDOS'!$A$2:$A$97,0))</f>
        <v>11</v>
      </c>
      <c r="F364" s="5" t="n">
        <f aca="false">SUMIFS('03_DESPIECE'!$D$2:$D$225,'03_DESPIECE'!$A$2:$A$225,B364,'03_DESPIECE'!$B$2:$B$225,C364)</f>
        <v>2</v>
      </c>
      <c r="G364" s="5" t="n">
        <f aca="false">E364*F364</f>
        <v>22</v>
      </c>
      <c r="H364" s="16" t="n">
        <f aca="false">SUMIFS('03_DESPIECE'!$J$2:$J$225,'03_DESPIECE'!$A$2:$A$225,B364,'03_DESPIECE'!$B$2:$B$225,C364)</f>
        <v>81.2304347826</v>
      </c>
      <c r="I364" s="16" t="n">
        <f aca="false">E364*H364</f>
        <v>893.5347826086</v>
      </c>
      <c r="J364" s="17" t="n">
        <f aca="false">E364*SUMIFS('03_DESPIECE'!$I$2:$I$225,'03_DESPIECE'!$A$2:$A$225,B364,'03_DESPIECE'!$B$2:$B$225,C364)</f>
        <v>120.89</v>
      </c>
      <c r="K364" s="19" t="n">
        <f aca="false">E364*SUMIFS('03_DESPIECE'!$K$2:$K$225,'03_DESPIECE'!$A$2:$A$225,B364,'03_DESPIECE'!$B$2:$B$225,C364)</f>
        <v>5.3472222221</v>
      </c>
      <c r="L364" s="5" t="n">
        <f aca="false">SUMIFS('03_DESPIECE'!$L$2:$L$225,'03_DESPIECE'!$A$2:$A$225,B364,'03_DESPIECE'!$B$2:$B$225,C364)</f>
        <v>1</v>
      </c>
      <c r="M364" s="2" t="s">
        <v>629</v>
      </c>
    </row>
    <row r="365" customFormat="false" ht="15" hidden="false" customHeight="false" outlineLevel="0" collapsed="false">
      <c r="A365" s="2" t="s">
        <v>579</v>
      </c>
      <c r="B365" s="2" t="s">
        <v>119</v>
      </c>
      <c r="C365" s="2" t="s">
        <v>310</v>
      </c>
      <c r="D365" s="2" t="s">
        <v>174</v>
      </c>
      <c r="E365" s="5" t="n">
        <f aca="false">INDEX('08_PEDIDOS'!$D$2:$D$97,MATCH(A365,'08_PEDIDOS'!$A$2:$A$97,0))</f>
        <v>11</v>
      </c>
      <c r="F365" s="5" t="n">
        <f aca="false">SUMIFS('03_DESPIECE'!$D$2:$D$225,'03_DESPIECE'!$A$2:$A$225,B365,'03_DESPIECE'!$B$2:$B$225,C365)</f>
        <v>3</v>
      </c>
      <c r="G365" s="5" t="n">
        <f aca="false">E365*F365</f>
        <v>33</v>
      </c>
      <c r="H365" s="16" t="n">
        <f aca="false">SUMIFS('03_DESPIECE'!$J$2:$J$225,'03_DESPIECE'!$A$2:$A$225,B365,'03_DESPIECE'!$B$2:$B$225,C365)</f>
        <v>83.5513043478</v>
      </c>
      <c r="I365" s="16" t="n">
        <f aca="false">E365*H365</f>
        <v>919.0643478258</v>
      </c>
      <c r="J365" s="17" t="n">
        <f aca="false">E365*SUMIFS('03_DESPIECE'!$I$2:$I$225,'03_DESPIECE'!$A$2:$A$225,B365,'03_DESPIECE'!$B$2:$B$225,C365)</f>
        <v>124.344</v>
      </c>
      <c r="K365" s="19" t="n">
        <f aca="false">E365*SUMIFS('03_DESPIECE'!$K$2:$K$225,'03_DESPIECE'!$A$2:$A$225,B365,'03_DESPIECE'!$B$2:$B$225,C365)</f>
        <v>5.5</v>
      </c>
      <c r="L365" s="5" t="n">
        <f aca="false">SUMIFS('03_DESPIECE'!$L$2:$L$225,'03_DESPIECE'!$A$2:$A$225,B365,'03_DESPIECE'!$B$2:$B$225,C365)</f>
        <v>1</v>
      </c>
      <c r="M365" s="2" t="s">
        <v>629</v>
      </c>
    </row>
    <row r="366" customFormat="false" ht="15" hidden="false" customHeight="false" outlineLevel="0" collapsed="false">
      <c r="A366" s="2" t="s">
        <v>579</v>
      </c>
      <c r="B366" s="2" t="s">
        <v>119</v>
      </c>
      <c r="C366" s="2" t="s">
        <v>319</v>
      </c>
      <c r="D366" s="2" t="s">
        <v>188</v>
      </c>
      <c r="E366" s="5" t="n">
        <f aca="false">INDEX('08_PEDIDOS'!$D$2:$D$97,MATCH(A366,'08_PEDIDOS'!$A$2:$A$97,0))</f>
        <v>11</v>
      </c>
      <c r="F366" s="5" t="n">
        <f aca="false">SUMIFS('03_DESPIECE'!$D$2:$D$225,'03_DESPIECE'!$A$2:$A$225,B366,'03_DESPIECE'!$B$2:$B$225,C366)</f>
        <v>4</v>
      </c>
      <c r="G366" s="5" t="n">
        <f aca="false">E366*F366</f>
        <v>44</v>
      </c>
      <c r="H366" s="16" t="n">
        <f aca="false">SUMIFS('03_DESPIECE'!$J$2:$J$225,'03_DESPIECE'!$A$2:$A$225,B366,'03_DESPIECE'!$B$2:$B$225,C366)</f>
        <v>3.6</v>
      </c>
      <c r="I366" s="16" t="n">
        <f aca="false">E366*H366</f>
        <v>39.6</v>
      </c>
      <c r="J366" s="17" t="n">
        <f aca="false">E366*SUMIFS('03_DESPIECE'!$I$2:$I$225,'03_DESPIECE'!$A$2:$A$225,B366,'03_DESPIECE'!$B$2:$B$225,C366)</f>
        <v>0</v>
      </c>
      <c r="K366" s="19" t="n">
        <f aca="false">E366*SUMIFS('03_DESPIECE'!$K$2:$K$225,'03_DESPIECE'!$A$2:$A$225,B366,'03_DESPIECE'!$B$2:$B$225,C366)</f>
        <v>0</v>
      </c>
      <c r="L366" s="5" t="n">
        <f aca="false">SUMIFS('03_DESPIECE'!$L$2:$L$225,'03_DESPIECE'!$A$2:$A$225,B366,'03_DESPIECE'!$B$2:$B$225,C366)</f>
        <v>1</v>
      </c>
      <c r="M366" s="2" t="s">
        <v>629</v>
      </c>
    </row>
    <row r="367" customFormat="false" ht="15" hidden="false" customHeight="false" outlineLevel="0" collapsed="false">
      <c r="A367" s="2" t="s">
        <v>579</v>
      </c>
      <c r="B367" s="2" t="s">
        <v>119</v>
      </c>
      <c r="C367" s="2" t="s">
        <v>320</v>
      </c>
      <c r="D367" s="2" t="s">
        <v>188</v>
      </c>
      <c r="E367" s="5" t="n">
        <f aca="false">INDEX('08_PEDIDOS'!$D$2:$D$97,MATCH(A367,'08_PEDIDOS'!$A$2:$A$97,0))</f>
        <v>11</v>
      </c>
      <c r="F367" s="5" t="n">
        <f aca="false">SUMIFS('03_DESPIECE'!$D$2:$D$225,'03_DESPIECE'!$A$2:$A$225,B367,'03_DESPIECE'!$B$2:$B$225,C367)</f>
        <v>2</v>
      </c>
      <c r="G367" s="5" t="n">
        <f aca="false">E367*F367</f>
        <v>22</v>
      </c>
      <c r="H367" s="16" t="n">
        <f aca="false">SUMIFS('03_DESPIECE'!$J$2:$J$225,'03_DESPIECE'!$A$2:$A$225,B367,'03_DESPIECE'!$B$2:$B$225,C367)</f>
        <v>1.8</v>
      </c>
      <c r="I367" s="16" t="n">
        <f aca="false">E367*H367</f>
        <v>19.8</v>
      </c>
      <c r="J367" s="17" t="n">
        <f aca="false">E367*SUMIFS('03_DESPIECE'!$I$2:$I$225,'03_DESPIECE'!$A$2:$A$225,B367,'03_DESPIECE'!$B$2:$B$225,C367)</f>
        <v>0</v>
      </c>
      <c r="K367" s="19" t="n">
        <f aca="false">E367*SUMIFS('03_DESPIECE'!$K$2:$K$225,'03_DESPIECE'!$A$2:$A$225,B367,'03_DESPIECE'!$B$2:$B$225,C367)</f>
        <v>0</v>
      </c>
      <c r="L367" s="5" t="n">
        <f aca="false">SUMIFS('03_DESPIECE'!$L$2:$L$225,'03_DESPIECE'!$A$2:$A$225,B367,'03_DESPIECE'!$B$2:$B$225,C367)</f>
        <v>1</v>
      </c>
      <c r="M367" s="2" t="s">
        <v>629</v>
      </c>
    </row>
    <row r="368" customFormat="false" ht="15" hidden="false" customHeight="false" outlineLevel="0" collapsed="false">
      <c r="A368" s="2" t="s">
        <v>580</v>
      </c>
      <c r="B368" s="2" t="s">
        <v>121</v>
      </c>
      <c r="C368" s="2" t="s">
        <v>329</v>
      </c>
      <c r="D368" s="2" t="s">
        <v>184</v>
      </c>
      <c r="E368" s="5" t="n">
        <f aca="false">INDEX('08_PEDIDOS'!$D$2:$D$97,MATCH(A368,'08_PEDIDOS'!$A$2:$A$97,0))</f>
        <v>12</v>
      </c>
      <c r="F368" s="5" t="n">
        <f aca="false">SUMIFS('03_DESPIECE'!$D$2:$D$225,'03_DESPIECE'!$A$2:$A$225,B368,'03_DESPIECE'!$B$2:$B$225,C368)</f>
        <v>4</v>
      </c>
      <c r="G368" s="5" t="n">
        <f aca="false">E368*F368</f>
        <v>48</v>
      </c>
      <c r="H368" s="16" t="n">
        <f aca="false">SUMIFS('03_DESPIECE'!$J$2:$J$225,'03_DESPIECE'!$A$2:$A$225,B368,'03_DESPIECE'!$B$2:$B$225,C368)</f>
        <v>62.90625</v>
      </c>
      <c r="I368" s="16" t="n">
        <f aca="false">E368*H368</f>
        <v>754.875</v>
      </c>
      <c r="J368" s="17" t="n">
        <f aca="false">E368*SUMIFS('03_DESPIECE'!$I$2:$I$225,'03_DESPIECE'!$A$2:$A$225,B368,'03_DESPIECE'!$B$2:$B$225,C368)</f>
        <v>118.8</v>
      </c>
      <c r="K368" s="19" t="n">
        <f aca="false">E368*SUMIFS('03_DESPIECE'!$K$2:$K$225,'03_DESPIECE'!$A$2:$A$225,B368,'03_DESPIECE'!$B$2:$B$225,C368)</f>
        <v>0</v>
      </c>
      <c r="L368" s="5" t="n">
        <f aca="false">SUMIFS('03_DESPIECE'!$L$2:$L$225,'03_DESPIECE'!$A$2:$A$225,B368,'03_DESPIECE'!$B$2:$B$225,C368)</f>
        <v>1</v>
      </c>
      <c r="M368" s="2" t="s">
        <v>629</v>
      </c>
    </row>
    <row r="369" customFormat="false" ht="15" hidden="false" customHeight="false" outlineLevel="0" collapsed="false">
      <c r="A369" s="2" t="s">
        <v>580</v>
      </c>
      <c r="B369" s="2" t="s">
        <v>121</v>
      </c>
      <c r="C369" s="2" t="s">
        <v>330</v>
      </c>
      <c r="D369" s="2" t="s">
        <v>184</v>
      </c>
      <c r="E369" s="5" t="n">
        <f aca="false">INDEX('08_PEDIDOS'!$D$2:$D$97,MATCH(A369,'08_PEDIDOS'!$A$2:$A$97,0))</f>
        <v>12</v>
      </c>
      <c r="F369" s="5" t="n">
        <f aca="false">SUMIFS('03_DESPIECE'!$D$2:$D$225,'03_DESPIECE'!$A$2:$A$225,B369,'03_DESPIECE'!$B$2:$B$225,C369)</f>
        <v>8</v>
      </c>
      <c r="G369" s="5" t="n">
        <f aca="false">E369*F369</f>
        <v>96</v>
      </c>
      <c r="H369" s="16" t="n">
        <f aca="false">SUMIFS('03_DESPIECE'!$J$2:$J$225,'03_DESPIECE'!$A$2:$A$225,B369,'03_DESPIECE'!$B$2:$B$225,C369)</f>
        <v>68.625</v>
      </c>
      <c r="I369" s="16" t="n">
        <f aca="false">E369*H369</f>
        <v>823.5</v>
      </c>
      <c r="J369" s="17" t="n">
        <f aca="false">E369*SUMIFS('03_DESPIECE'!$I$2:$I$225,'03_DESPIECE'!$A$2:$A$225,B369,'03_DESPIECE'!$B$2:$B$225,C369)</f>
        <v>129.6</v>
      </c>
      <c r="K369" s="19" t="n">
        <f aca="false">E369*SUMIFS('03_DESPIECE'!$K$2:$K$225,'03_DESPIECE'!$A$2:$A$225,B369,'03_DESPIECE'!$B$2:$B$225,C369)</f>
        <v>0</v>
      </c>
      <c r="L369" s="5" t="n">
        <f aca="false">SUMIFS('03_DESPIECE'!$L$2:$L$225,'03_DESPIECE'!$A$2:$A$225,B369,'03_DESPIECE'!$B$2:$B$225,C369)</f>
        <v>1</v>
      </c>
      <c r="M369" s="2" t="s">
        <v>629</v>
      </c>
    </row>
    <row r="370" customFormat="false" ht="15" hidden="false" customHeight="false" outlineLevel="0" collapsed="false">
      <c r="A370" s="2" t="s">
        <v>580</v>
      </c>
      <c r="B370" s="2" t="s">
        <v>121</v>
      </c>
      <c r="C370" s="2" t="s">
        <v>310</v>
      </c>
      <c r="D370" s="2" t="s">
        <v>174</v>
      </c>
      <c r="E370" s="5" t="n">
        <f aca="false">INDEX('08_PEDIDOS'!$D$2:$D$97,MATCH(A370,'08_PEDIDOS'!$A$2:$A$97,0))</f>
        <v>12</v>
      </c>
      <c r="F370" s="5" t="n">
        <f aca="false">SUMIFS('03_DESPIECE'!$D$2:$D$225,'03_DESPIECE'!$A$2:$A$225,B370,'03_DESPIECE'!$B$2:$B$225,C370)</f>
        <v>5</v>
      </c>
      <c r="G370" s="5" t="n">
        <f aca="false">E370*F370</f>
        <v>60</v>
      </c>
      <c r="H370" s="16" t="n">
        <f aca="false">SUMIFS('03_DESPIECE'!$J$2:$J$225,'03_DESPIECE'!$A$2:$A$225,B370,'03_DESPIECE'!$B$2:$B$225,C370)</f>
        <v>116.0434782609</v>
      </c>
      <c r="I370" s="16" t="n">
        <f aca="false">E370*H370</f>
        <v>1392.5217391308</v>
      </c>
      <c r="J370" s="17" t="n">
        <f aca="false">E370*SUMIFS('03_DESPIECE'!$I$2:$I$225,'03_DESPIECE'!$A$2:$A$225,B370,'03_DESPIECE'!$B$2:$B$225,C370)</f>
        <v>188.4</v>
      </c>
      <c r="K370" s="19" t="n">
        <f aca="false">E370*SUMIFS('03_DESPIECE'!$K$2:$K$225,'03_DESPIECE'!$A$2:$A$225,B370,'03_DESPIECE'!$B$2:$B$225,C370)</f>
        <v>8.3333333328</v>
      </c>
      <c r="L370" s="5" t="n">
        <f aca="false">SUMIFS('03_DESPIECE'!$L$2:$L$225,'03_DESPIECE'!$A$2:$A$225,B370,'03_DESPIECE'!$B$2:$B$225,C370)</f>
        <v>1</v>
      </c>
      <c r="M370" s="2" t="s">
        <v>629</v>
      </c>
    </row>
    <row r="371" customFormat="false" ht="15" hidden="false" customHeight="false" outlineLevel="0" collapsed="false">
      <c r="A371" s="2" t="s">
        <v>580</v>
      </c>
      <c r="B371" s="2" t="s">
        <v>121</v>
      </c>
      <c r="C371" s="2" t="s">
        <v>331</v>
      </c>
      <c r="D371" s="2" t="s">
        <v>174</v>
      </c>
      <c r="E371" s="5" t="n">
        <f aca="false">INDEX('08_PEDIDOS'!$D$2:$D$97,MATCH(A371,'08_PEDIDOS'!$A$2:$A$97,0))</f>
        <v>12</v>
      </c>
      <c r="F371" s="5" t="n">
        <f aca="false">SUMIFS('03_DESPIECE'!$D$2:$D$225,'03_DESPIECE'!$A$2:$A$225,B371,'03_DESPIECE'!$B$2:$B$225,C371)</f>
        <v>8</v>
      </c>
      <c r="G371" s="5" t="n">
        <f aca="false">E371*F371</f>
        <v>96</v>
      </c>
      <c r="H371" s="16" t="n">
        <f aca="false">SUMIFS('03_DESPIECE'!$J$2:$J$225,'03_DESPIECE'!$A$2:$A$225,B371,'03_DESPIECE'!$B$2:$B$225,C371)</f>
        <v>16.2460869565</v>
      </c>
      <c r="I371" s="16" t="n">
        <f aca="false">E371*H371</f>
        <v>194.953043478</v>
      </c>
      <c r="J371" s="17" t="n">
        <f aca="false">E371*SUMIFS('03_DESPIECE'!$I$2:$I$225,'03_DESPIECE'!$A$2:$A$225,B371,'03_DESPIECE'!$B$2:$B$225,C371)</f>
        <v>26.376</v>
      </c>
      <c r="K371" s="19" t="n">
        <f aca="false">E371*SUMIFS('03_DESPIECE'!$K$2:$K$225,'03_DESPIECE'!$A$2:$A$225,B371,'03_DESPIECE'!$B$2:$B$225,C371)</f>
        <v>1.1666666664</v>
      </c>
      <c r="L371" s="5" t="n">
        <f aca="false">SUMIFS('03_DESPIECE'!$L$2:$L$225,'03_DESPIECE'!$A$2:$A$225,B371,'03_DESPIECE'!$B$2:$B$225,C371)</f>
        <v>1</v>
      </c>
      <c r="M371" s="2" t="s">
        <v>629</v>
      </c>
    </row>
    <row r="372" customFormat="false" ht="15" hidden="false" customHeight="false" outlineLevel="0" collapsed="false">
      <c r="A372" s="2" t="s">
        <v>580</v>
      </c>
      <c r="B372" s="2" t="s">
        <v>121</v>
      </c>
      <c r="C372" s="2" t="s">
        <v>332</v>
      </c>
      <c r="D372" s="2" t="s">
        <v>188</v>
      </c>
      <c r="E372" s="5" t="n">
        <f aca="false">INDEX('08_PEDIDOS'!$D$2:$D$97,MATCH(A372,'08_PEDIDOS'!$A$2:$A$97,0))</f>
        <v>12</v>
      </c>
      <c r="F372" s="5" t="n">
        <f aca="false">SUMIFS('03_DESPIECE'!$D$2:$D$225,'03_DESPIECE'!$A$2:$A$225,B372,'03_DESPIECE'!$B$2:$B$225,C372)</f>
        <v>32</v>
      </c>
      <c r="G372" s="5" t="n">
        <f aca="false">E372*F372</f>
        <v>384</v>
      </c>
      <c r="H372" s="16" t="n">
        <f aca="false">SUMIFS('03_DESPIECE'!$J$2:$J$225,'03_DESPIECE'!$A$2:$A$225,B372,'03_DESPIECE'!$B$2:$B$225,C372)</f>
        <v>28.8</v>
      </c>
      <c r="I372" s="16" t="n">
        <f aca="false">E372*H372</f>
        <v>345.6</v>
      </c>
      <c r="J372" s="17" t="n">
        <f aca="false">E372*SUMIFS('03_DESPIECE'!$I$2:$I$225,'03_DESPIECE'!$A$2:$A$225,B372,'03_DESPIECE'!$B$2:$B$225,C372)</f>
        <v>0</v>
      </c>
      <c r="K372" s="19" t="n">
        <f aca="false">E372*SUMIFS('03_DESPIECE'!$K$2:$K$225,'03_DESPIECE'!$A$2:$A$225,B372,'03_DESPIECE'!$B$2:$B$225,C372)</f>
        <v>0</v>
      </c>
      <c r="L372" s="5" t="n">
        <f aca="false">SUMIFS('03_DESPIECE'!$L$2:$L$225,'03_DESPIECE'!$A$2:$A$225,B372,'03_DESPIECE'!$B$2:$B$225,C372)</f>
        <v>1</v>
      </c>
      <c r="M372" s="2" t="s">
        <v>629</v>
      </c>
    </row>
    <row r="373" customFormat="false" ht="15" hidden="false" customHeight="false" outlineLevel="0" collapsed="false">
      <c r="A373" s="2" t="s">
        <v>581</v>
      </c>
      <c r="B373" s="2" t="s">
        <v>80</v>
      </c>
      <c r="C373" s="2" t="s">
        <v>285</v>
      </c>
      <c r="D373" s="2" t="s">
        <v>184</v>
      </c>
      <c r="E373" s="5" t="n">
        <f aca="false">INDEX('08_PEDIDOS'!$D$2:$D$97,MATCH(A373,'08_PEDIDOS'!$A$2:$A$97,0))</f>
        <v>13</v>
      </c>
      <c r="F373" s="5" t="n">
        <f aca="false">SUMIFS('03_DESPIECE'!$D$2:$D$225,'03_DESPIECE'!$A$2:$A$225,B373,'03_DESPIECE'!$B$2:$B$225,C373)</f>
        <v>4</v>
      </c>
      <c r="G373" s="5" t="n">
        <f aca="false">E373*F373</f>
        <v>52</v>
      </c>
      <c r="H373" s="16" t="n">
        <f aca="false">SUMIFS('03_DESPIECE'!$J$2:$J$225,'03_DESPIECE'!$A$2:$A$225,B373,'03_DESPIECE'!$B$2:$B$225,C373)</f>
        <v>68.625</v>
      </c>
      <c r="I373" s="16" t="n">
        <f aca="false">E373*H373</f>
        <v>892.125</v>
      </c>
      <c r="J373" s="17" t="n">
        <f aca="false">E373*SUMIFS('03_DESPIECE'!$I$2:$I$225,'03_DESPIECE'!$A$2:$A$225,B373,'03_DESPIECE'!$B$2:$B$225,C373)</f>
        <v>140.4</v>
      </c>
      <c r="K373" s="19" t="n">
        <f aca="false">E373*SUMIFS('03_DESPIECE'!$K$2:$K$225,'03_DESPIECE'!$A$2:$A$225,B373,'03_DESPIECE'!$B$2:$B$225,C373)</f>
        <v>0</v>
      </c>
      <c r="L373" s="5" t="n">
        <f aca="false">SUMIFS('03_DESPIECE'!$L$2:$L$225,'03_DESPIECE'!$A$2:$A$225,B373,'03_DESPIECE'!$B$2:$B$225,C373)</f>
        <v>1</v>
      </c>
      <c r="M373" s="2" t="s">
        <v>629</v>
      </c>
    </row>
    <row r="374" customFormat="false" ht="15" hidden="false" customHeight="false" outlineLevel="0" collapsed="false">
      <c r="A374" s="2" t="s">
        <v>581</v>
      </c>
      <c r="B374" s="2" t="s">
        <v>80</v>
      </c>
      <c r="C374" s="2" t="s">
        <v>287</v>
      </c>
      <c r="D374" s="2" t="s">
        <v>184</v>
      </c>
      <c r="E374" s="5" t="n">
        <f aca="false">INDEX('08_PEDIDOS'!$D$2:$D$97,MATCH(A374,'08_PEDIDOS'!$A$2:$A$97,0))</f>
        <v>13</v>
      </c>
      <c r="F374" s="5" t="n">
        <f aca="false">SUMIFS('03_DESPIECE'!$D$2:$D$225,'03_DESPIECE'!$A$2:$A$225,B374,'03_DESPIECE'!$B$2:$B$225,C374)</f>
        <v>8</v>
      </c>
      <c r="G374" s="5" t="n">
        <f aca="false">E374*F374</f>
        <v>104</v>
      </c>
      <c r="H374" s="16" t="n">
        <f aca="false">SUMIFS('03_DESPIECE'!$J$2:$J$225,'03_DESPIECE'!$A$2:$A$225,B374,'03_DESPIECE'!$B$2:$B$225,C374)</f>
        <v>91.5</v>
      </c>
      <c r="I374" s="16" t="n">
        <f aca="false">E374*H374</f>
        <v>1189.5</v>
      </c>
      <c r="J374" s="17" t="n">
        <f aca="false">E374*SUMIFS('03_DESPIECE'!$I$2:$I$225,'03_DESPIECE'!$A$2:$A$225,B374,'03_DESPIECE'!$B$2:$B$225,C374)</f>
        <v>187.2</v>
      </c>
      <c r="K374" s="19" t="n">
        <f aca="false">E374*SUMIFS('03_DESPIECE'!$K$2:$K$225,'03_DESPIECE'!$A$2:$A$225,B374,'03_DESPIECE'!$B$2:$B$225,C374)</f>
        <v>0</v>
      </c>
      <c r="L374" s="5" t="n">
        <f aca="false">SUMIFS('03_DESPIECE'!$L$2:$L$225,'03_DESPIECE'!$A$2:$A$225,B374,'03_DESPIECE'!$B$2:$B$225,C374)</f>
        <v>1</v>
      </c>
      <c r="M374" s="2" t="s">
        <v>629</v>
      </c>
    </row>
    <row r="375" customFormat="false" ht="15" hidden="false" customHeight="false" outlineLevel="0" collapsed="false">
      <c r="A375" s="2" t="s">
        <v>581</v>
      </c>
      <c r="B375" s="2" t="s">
        <v>80</v>
      </c>
      <c r="C375" s="2" t="s">
        <v>288</v>
      </c>
      <c r="D375" s="2" t="s">
        <v>184</v>
      </c>
      <c r="E375" s="5" t="n">
        <f aca="false">INDEX('08_PEDIDOS'!$D$2:$D$97,MATCH(A375,'08_PEDIDOS'!$A$2:$A$97,0))</f>
        <v>13</v>
      </c>
      <c r="F375" s="5" t="n">
        <f aca="false">SUMIFS('03_DESPIECE'!$D$2:$D$225,'03_DESPIECE'!$A$2:$A$225,B375,'03_DESPIECE'!$B$2:$B$225,C375)</f>
        <v>4</v>
      </c>
      <c r="G375" s="5" t="n">
        <f aca="false">E375*F375</f>
        <v>52</v>
      </c>
      <c r="H375" s="16" t="n">
        <f aca="false">SUMIFS('03_DESPIECE'!$J$2:$J$225,'03_DESPIECE'!$A$2:$A$225,B375,'03_DESPIECE'!$B$2:$B$225,C375)</f>
        <v>22.875</v>
      </c>
      <c r="I375" s="16" t="n">
        <f aca="false">E375*H375</f>
        <v>297.375</v>
      </c>
      <c r="J375" s="17" t="n">
        <f aca="false">E375*SUMIFS('03_DESPIECE'!$I$2:$I$225,'03_DESPIECE'!$A$2:$A$225,B375,'03_DESPIECE'!$B$2:$B$225,C375)</f>
        <v>46.8</v>
      </c>
      <c r="K375" s="19" t="n">
        <f aca="false">E375*SUMIFS('03_DESPIECE'!$K$2:$K$225,'03_DESPIECE'!$A$2:$A$225,B375,'03_DESPIECE'!$B$2:$B$225,C375)</f>
        <v>0</v>
      </c>
      <c r="L375" s="5" t="n">
        <f aca="false">SUMIFS('03_DESPIECE'!$L$2:$L$225,'03_DESPIECE'!$A$2:$A$225,B375,'03_DESPIECE'!$B$2:$B$225,C375)</f>
        <v>1</v>
      </c>
      <c r="M375" s="2" t="s">
        <v>629</v>
      </c>
    </row>
    <row r="376" customFormat="false" ht="15" hidden="false" customHeight="false" outlineLevel="0" collapsed="false">
      <c r="A376" s="2" t="s">
        <v>581</v>
      </c>
      <c r="B376" s="2" t="s">
        <v>80</v>
      </c>
      <c r="C376" s="2" t="s">
        <v>289</v>
      </c>
      <c r="D376" s="2" t="s">
        <v>170</v>
      </c>
      <c r="E376" s="5" t="n">
        <f aca="false">INDEX('08_PEDIDOS'!$D$2:$D$97,MATCH(A376,'08_PEDIDOS'!$A$2:$A$97,0))</f>
        <v>13</v>
      </c>
      <c r="F376" s="5" t="n">
        <f aca="false">SUMIFS('03_DESPIECE'!$D$2:$D$225,'03_DESPIECE'!$A$2:$A$225,B376,'03_DESPIECE'!$B$2:$B$225,C376)</f>
        <v>4</v>
      </c>
      <c r="G376" s="5" t="n">
        <f aca="false">E376*F376</f>
        <v>52</v>
      </c>
      <c r="H376" s="16" t="n">
        <f aca="false">SUMIFS('03_DESPIECE'!$J$2:$J$225,'03_DESPIECE'!$A$2:$A$225,B376,'03_DESPIECE'!$B$2:$B$225,C376)</f>
        <v>334.2052173913</v>
      </c>
      <c r="I376" s="16" t="n">
        <f aca="false">E376*H376</f>
        <v>4344.6678260869</v>
      </c>
      <c r="J376" s="17" t="n">
        <f aca="false">E376*SUMIFS('03_DESPIECE'!$I$2:$I$225,'03_DESPIECE'!$A$2:$A$225,B376,'03_DESPIECE'!$B$2:$B$225,C376)</f>
        <v>587.808</v>
      </c>
      <c r="K376" s="19" t="n">
        <f aca="false">E376*SUMIFS('03_DESPIECE'!$K$2:$K$225,'03_DESPIECE'!$A$2:$A$225,B376,'03_DESPIECE'!$B$2:$B$225,C376)</f>
        <v>13</v>
      </c>
      <c r="L376" s="5" t="n">
        <f aca="false">SUMIFS('03_DESPIECE'!$L$2:$L$225,'03_DESPIECE'!$A$2:$A$225,B376,'03_DESPIECE'!$B$2:$B$225,C376)</f>
        <v>1</v>
      </c>
      <c r="M376" s="2" t="s">
        <v>629</v>
      </c>
    </row>
    <row r="377" customFormat="false" ht="15" hidden="false" customHeight="false" outlineLevel="0" collapsed="false">
      <c r="A377" s="2" t="s">
        <v>581</v>
      </c>
      <c r="B377" s="2" t="s">
        <v>80</v>
      </c>
      <c r="C377" s="2" t="s">
        <v>291</v>
      </c>
      <c r="D377" s="2" t="s">
        <v>170</v>
      </c>
      <c r="E377" s="5" t="n">
        <f aca="false">INDEX('08_PEDIDOS'!$D$2:$D$97,MATCH(A377,'08_PEDIDOS'!$A$2:$A$97,0))</f>
        <v>13</v>
      </c>
      <c r="F377" s="5" t="n">
        <f aca="false">SUMIFS('03_DESPIECE'!$D$2:$D$225,'03_DESPIECE'!$A$2:$A$225,B377,'03_DESPIECE'!$B$2:$B$225,C377)</f>
        <v>8</v>
      </c>
      <c r="G377" s="5" t="n">
        <f aca="false">E377*F377</f>
        <v>104</v>
      </c>
      <c r="H377" s="16" t="n">
        <f aca="false">SUMIFS('03_DESPIECE'!$J$2:$J$225,'03_DESPIECE'!$A$2:$A$225,B377,'03_DESPIECE'!$B$2:$B$225,C377)</f>
        <v>23.2086956522</v>
      </c>
      <c r="I377" s="16" t="n">
        <f aca="false">E377*H377</f>
        <v>301.7130434786</v>
      </c>
      <c r="J377" s="17" t="n">
        <f aca="false">E377*SUMIFS('03_DESPIECE'!$I$2:$I$225,'03_DESPIECE'!$A$2:$A$225,B377,'03_DESPIECE'!$B$2:$B$225,C377)</f>
        <v>40.82</v>
      </c>
      <c r="K377" s="19" t="n">
        <f aca="false">E377*SUMIFS('03_DESPIECE'!$K$2:$K$225,'03_DESPIECE'!$A$2:$A$225,B377,'03_DESPIECE'!$B$2:$B$225,C377)</f>
        <v>0.9027777772</v>
      </c>
      <c r="L377" s="5" t="n">
        <f aca="false">SUMIFS('03_DESPIECE'!$L$2:$L$225,'03_DESPIECE'!$A$2:$A$225,B377,'03_DESPIECE'!$B$2:$B$225,C377)</f>
        <v>1</v>
      </c>
      <c r="M377" s="2" t="s">
        <v>629</v>
      </c>
    </row>
    <row r="378" customFormat="false" ht="15" hidden="false" customHeight="false" outlineLevel="0" collapsed="false">
      <c r="A378" s="2" t="s">
        <v>581</v>
      </c>
      <c r="B378" s="2" t="s">
        <v>80</v>
      </c>
      <c r="C378" s="2" t="s">
        <v>292</v>
      </c>
      <c r="D378" s="2" t="s">
        <v>188</v>
      </c>
      <c r="E378" s="5" t="n">
        <f aca="false">INDEX('08_PEDIDOS'!$D$2:$D$97,MATCH(A378,'08_PEDIDOS'!$A$2:$A$97,0))</f>
        <v>13</v>
      </c>
      <c r="F378" s="5" t="n">
        <f aca="false">SUMIFS('03_DESPIECE'!$D$2:$D$225,'03_DESPIECE'!$A$2:$A$225,B378,'03_DESPIECE'!$B$2:$B$225,C378)</f>
        <v>24</v>
      </c>
      <c r="G378" s="5" t="n">
        <f aca="false">E378*F378</f>
        <v>312</v>
      </c>
      <c r="H378" s="16" t="n">
        <f aca="false">SUMIFS('03_DESPIECE'!$J$2:$J$225,'03_DESPIECE'!$A$2:$A$225,B378,'03_DESPIECE'!$B$2:$B$225,C378)</f>
        <v>21.6</v>
      </c>
      <c r="I378" s="16" t="n">
        <f aca="false">E378*H378</f>
        <v>280.8</v>
      </c>
      <c r="J378" s="17" t="n">
        <f aca="false">E378*SUMIFS('03_DESPIECE'!$I$2:$I$225,'03_DESPIECE'!$A$2:$A$225,B378,'03_DESPIECE'!$B$2:$B$225,C378)</f>
        <v>0</v>
      </c>
      <c r="K378" s="19" t="n">
        <f aca="false">E378*SUMIFS('03_DESPIECE'!$K$2:$K$225,'03_DESPIECE'!$A$2:$A$225,B378,'03_DESPIECE'!$B$2:$B$225,C378)</f>
        <v>0</v>
      </c>
      <c r="L378" s="5" t="n">
        <f aca="false">SUMIFS('03_DESPIECE'!$L$2:$L$225,'03_DESPIECE'!$A$2:$A$225,B378,'03_DESPIECE'!$B$2:$B$225,C378)</f>
        <v>1</v>
      </c>
      <c r="M378" s="2" t="s">
        <v>629</v>
      </c>
    </row>
    <row r="379" customFormat="false" ht="15" hidden="false" customHeight="false" outlineLevel="0" collapsed="false">
      <c r="A379" s="2" t="s">
        <v>581</v>
      </c>
      <c r="B379" s="2" t="s">
        <v>80</v>
      </c>
      <c r="C379" s="2" t="s">
        <v>294</v>
      </c>
      <c r="D379" s="2" t="s">
        <v>188</v>
      </c>
      <c r="E379" s="5" t="n">
        <f aca="false">INDEX('08_PEDIDOS'!$D$2:$D$97,MATCH(A379,'08_PEDIDOS'!$A$2:$A$97,0))</f>
        <v>13</v>
      </c>
      <c r="F379" s="5" t="n">
        <f aca="false">SUMIFS('03_DESPIECE'!$D$2:$D$225,'03_DESPIECE'!$A$2:$A$225,B379,'03_DESPIECE'!$B$2:$B$225,C379)</f>
        <v>4</v>
      </c>
      <c r="G379" s="5" t="n">
        <f aca="false">E379*F379</f>
        <v>52</v>
      </c>
      <c r="H379" s="16" t="n">
        <f aca="false">SUMIFS('03_DESPIECE'!$J$2:$J$225,'03_DESPIECE'!$A$2:$A$225,B379,'03_DESPIECE'!$B$2:$B$225,C379)</f>
        <v>3.6</v>
      </c>
      <c r="I379" s="16" t="n">
        <f aca="false">E379*H379</f>
        <v>46.8</v>
      </c>
      <c r="J379" s="17" t="n">
        <f aca="false">E379*SUMIFS('03_DESPIECE'!$I$2:$I$225,'03_DESPIECE'!$A$2:$A$225,B379,'03_DESPIECE'!$B$2:$B$225,C379)</f>
        <v>0</v>
      </c>
      <c r="K379" s="19" t="n">
        <f aca="false">E379*SUMIFS('03_DESPIECE'!$K$2:$K$225,'03_DESPIECE'!$A$2:$A$225,B379,'03_DESPIECE'!$B$2:$B$225,C379)</f>
        <v>0</v>
      </c>
      <c r="L379" s="5" t="n">
        <f aca="false">SUMIFS('03_DESPIECE'!$L$2:$L$225,'03_DESPIECE'!$A$2:$A$225,B379,'03_DESPIECE'!$B$2:$B$225,C379)</f>
        <v>1</v>
      </c>
      <c r="M379" s="2" t="s">
        <v>629</v>
      </c>
    </row>
    <row r="380" customFormat="false" ht="15" hidden="false" customHeight="false" outlineLevel="0" collapsed="false">
      <c r="A380" s="2" t="s">
        <v>582</v>
      </c>
      <c r="B380" s="2" t="s">
        <v>83</v>
      </c>
      <c r="C380" s="2" t="s">
        <v>295</v>
      </c>
      <c r="D380" s="2" t="s">
        <v>184</v>
      </c>
      <c r="E380" s="5" t="n">
        <f aca="false">INDEX('08_PEDIDOS'!$D$2:$D$97,MATCH(A380,'08_PEDIDOS'!$A$2:$A$97,0))</f>
        <v>14</v>
      </c>
      <c r="F380" s="5" t="n">
        <f aca="false">SUMIFS('03_DESPIECE'!$D$2:$D$225,'03_DESPIECE'!$A$2:$A$225,B380,'03_DESPIECE'!$B$2:$B$225,C380)</f>
        <v>4</v>
      </c>
      <c r="G380" s="5" t="n">
        <f aca="false">E380*F380</f>
        <v>56</v>
      </c>
      <c r="H380" s="16" t="n">
        <f aca="false">SUMIFS('03_DESPIECE'!$J$2:$J$225,'03_DESPIECE'!$A$2:$A$225,B380,'03_DESPIECE'!$B$2:$B$225,C380)</f>
        <v>76.25</v>
      </c>
      <c r="I380" s="16" t="n">
        <f aca="false">E380*H380</f>
        <v>1067.5</v>
      </c>
      <c r="J380" s="17" t="n">
        <f aca="false">E380*SUMIFS('03_DESPIECE'!$I$2:$I$225,'03_DESPIECE'!$A$2:$A$225,B380,'03_DESPIECE'!$B$2:$B$225,C380)</f>
        <v>168</v>
      </c>
      <c r="K380" s="19" t="n">
        <f aca="false">E380*SUMIFS('03_DESPIECE'!$K$2:$K$225,'03_DESPIECE'!$A$2:$A$225,B380,'03_DESPIECE'!$B$2:$B$225,C380)</f>
        <v>0</v>
      </c>
      <c r="L380" s="5" t="n">
        <f aca="false">SUMIFS('03_DESPIECE'!$L$2:$L$225,'03_DESPIECE'!$A$2:$A$225,B380,'03_DESPIECE'!$B$2:$B$225,C380)</f>
        <v>1</v>
      </c>
      <c r="M380" s="2" t="s">
        <v>629</v>
      </c>
    </row>
    <row r="381" customFormat="false" ht="15" hidden="false" customHeight="false" outlineLevel="0" collapsed="false">
      <c r="A381" s="2" t="s">
        <v>582</v>
      </c>
      <c r="B381" s="2" t="s">
        <v>83</v>
      </c>
      <c r="C381" s="2" t="s">
        <v>296</v>
      </c>
      <c r="D381" s="2" t="s">
        <v>184</v>
      </c>
      <c r="E381" s="5" t="n">
        <f aca="false">INDEX('08_PEDIDOS'!$D$2:$D$97,MATCH(A381,'08_PEDIDOS'!$A$2:$A$97,0))</f>
        <v>14</v>
      </c>
      <c r="F381" s="5" t="n">
        <f aca="false">SUMIFS('03_DESPIECE'!$D$2:$D$225,'03_DESPIECE'!$A$2:$A$225,B381,'03_DESPIECE'!$B$2:$B$225,C381)</f>
        <v>8</v>
      </c>
      <c r="G381" s="5" t="n">
        <f aca="false">E381*F381</f>
        <v>112</v>
      </c>
      <c r="H381" s="16" t="n">
        <f aca="false">SUMIFS('03_DESPIECE'!$J$2:$J$225,'03_DESPIECE'!$A$2:$A$225,B381,'03_DESPIECE'!$B$2:$B$225,C381)</f>
        <v>76.25</v>
      </c>
      <c r="I381" s="16" t="n">
        <f aca="false">E381*H381</f>
        <v>1067.5</v>
      </c>
      <c r="J381" s="17" t="n">
        <f aca="false">E381*SUMIFS('03_DESPIECE'!$I$2:$I$225,'03_DESPIECE'!$A$2:$A$225,B381,'03_DESPIECE'!$B$2:$B$225,C381)</f>
        <v>168</v>
      </c>
      <c r="K381" s="19" t="n">
        <f aca="false">E381*SUMIFS('03_DESPIECE'!$K$2:$K$225,'03_DESPIECE'!$A$2:$A$225,B381,'03_DESPIECE'!$B$2:$B$225,C381)</f>
        <v>0</v>
      </c>
      <c r="L381" s="5" t="n">
        <f aca="false">SUMIFS('03_DESPIECE'!$L$2:$L$225,'03_DESPIECE'!$A$2:$A$225,B381,'03_DESPIECE'!$B$2:$B$225,C381)</f>
        <v>1</v>
      </c>
      <c r="M381" s="2" t="s">
        <v>629</v>
      </c>
    </row>
    <row r="382" customFormat="false" ht="15" hidden="false" customHeight="false" outlineLevel="0" collapsed="false">
      <c r="A382" s="2" t="s">
        <v>582</v>
      </c>
      <c r="B382" s="2" t="s">
        <v>83</v>
      </c>
      <c r="C382" s="2" t="s">
        <v>297</v>
      </c>
      <c r="D382" s="2" t="s">
        <v>184</v>
      </c>
      <c r="E382" s="5" t="n">
        <f aca="false">INDEX('08_PEDIDOS'!$D$2:$D$97,MATCH(A382,'08_PEDIDOS'!$A$2:$A$97,0))</f>
        <v>14</v>
      </c>
      <c r="F382" s="5" t="n">
        <f aca="false">SUMIFS('03_DESPIECE'!$D$2:$D$225,'03_DESPIECE'!$A$2:$A$225,B382,'03_DESPIECE'!$B$2:$B$225,C382)</f>
        <v>8</v>
      </c>
      <c r="G382" s="5" t="n">
        <f aca="false">E382*F382</f>
        <v>112</v>
      </c>
      <c r="H382" s="16" t="n">
        <f aca="false">SUMIFS('03_DESPIECE'!$J$2:$J$225,'03_DESPIECE'!$A$2:$A$225,B382,'03_DESPIECE'!$B$2:$B$225,C382)</f>
        <v>38.125</v>
      </c>
      <c r="I382" s="16" t="n">
        <f aca="false">E382*H382</f>
        <v>533.75</v>
      </c>
      <c r="J382" s="17" t="n">
        <f aca="false">E382*SUMIFS('03_DESPIECE'!$I$2:$I$225,'03_DESPIECE'!$A$2:$A$225,B382,'03_DESPIECE'!$B$2:$B$225,C382)</f>
        <v>84</v>
      </c>
      <c r="K382" s="19" t="n">
        <f aca="false">E382*SUMIFS('03_DESPIECE'!$K$2:$K$225,'03_DESPIECE'!$A$2:$A$225,B382,'03_DESPIECE'!$B$2:$B$225,C382)</f>
        <v>0</v>
      </c>
      <c r="L382" s="5" t="n">
        <f aca="false">SUMIFS('03_DESPIECE'!$L$2:$L$225,'03_DESPIECE'!$A$2:$A$225,B382,'03_DESPIECE'!$B$2:$B$225,C382)</f>
        <v>1</v>
      </c>
      <c r="M382" s="2" t="s">
        <v>629</v>
      </c>
    </row>
    <row r="383" customFormat="false" ht="15" hidden="false" customHeight="false" outlineLevel="0" collapsed="false">
      <c r="A383" s="2" t="s">
        <v>582</v>
      </c>
      <c r="B383" s="2" t="s">
        <v>83</v>
      </c>
      <c r="C383" s="2" t="s">
        <v>298</v>
      </c>
      <c r="D383" s="2" t="s">
        <v>170</v>
      </c>
      <c r="E383" s="5" t="n">
        <f aca="false">INDEX('08_PEDIDOS'!$D$2:$D$97,MATCH(A383,'08_PEDIDOS'!$A$2:$A$97,0))</f>
        <v>14</v>
      </c>
      <c r="F383" s="5" t="n">
        <f aca="false">SUMIFS('03_DESPIECE'!$D$2:$D$225,'03_DESPIECE'!$A$2:$A$225,B383,'03_DESPIECE'!$B$2:$B$225,C383)</f>
        <v>5</v>
      </c>
      <c r="G383" s="5" t="n">
        <f aca="false">E383*F383</f>
        <v>70</v>
      </c>
      <c r="H383" s="16" t="n">
        <f aca="false">SUMIFS('03_DESPIECE'!$J$2:$J$225,'03_DESPIECE'!$A$2:$A$225,B383,'03_DESPIECE'!$B$2:$B$225,C383)</f>
        <v>290.1086956522</v>
      </c>
      <c r="I383" s="16" t="n">
        <f aca="false">E383*H383</f>
        <v>4061.5217391308</v>
      </c>
      <c r="J383" s="17" t="n">
        <f aca="false">E383*SUMIFS('03_DESPIECE'!$I$2:$I$225,'03_DESPIECE'!$A$2:$A$225,B383,'03_DESPIECE'!$B$2:$B$225,C383)</f>
        <v>549.5</v>
      </c>
      <c r="K383" s="19" t="n">
        <f aca="false">E383*SUMIFS('03_DESPIECE'!$K$2:$K$225,'03_DESPIECE'!$A$2:$A$225,B383,'03_DESPIECE'!$B$2:$B$225,C383)</f>
        <v>12.1527777784</v>
      </c>
      <c r="L383" s="5" t="n">
        <f aca="false">SUMIFS('03_DESPIECE'!$L$2:$L$225,'03_DESPIECE'!$A$2:$A$225,B383,'03_DESPIECE'!$B$2:$B$225,C383)</f>
        <v>1</v>
      </c>
      <c r="M383" s="2" t="s">
        <v>629</v>
      </c>
    </row>
    <row r="384" customFormat="false" ht="15" hidden="false" customHeight="false" outlineLevel="0" collapsed="false">
      <c r="A384" s="2" t="s">
        <v>582</v>
      </c>
      <c r="B384" s="2" t="s">
        <v>83</v>
      </c>
      <c r="C384" s="2" t="s">
        <v>299</v>
      </c>
      <c r="D384" s="2" t="s">
        <v>170</v>
      </c>
      <c r="E384" s="5" t="n">
        <f aca="false">INDEX('08_PEDIDOS'!$D$2:$D$97,MATCH(A384,'08_PEDIDOS'!$A$2:$A$97,0))</f>
        <v>14</v>
      </c>
      <c r="F384" s="5" t="n">
        <f aca="false">SUMIFS('03_DESPIECE'!$D$2:$D$225,'03_DESPIECE'!$A$2:$A$225,B384,'03_DESPIECE'!$B$2:$B$225,C384)</f>
        <v>8</v>
      </c>
      <c r="G384" s="5" t="n">
        <f aca="false">E384*F384</f>
        <v>112</v>
      </c>
      <c r="H384" s="16" t="n">
        <f aca="false">SUMIFS('03_DESPIECE'!$J$2:$J$225,'03_DESPIECE'!$A$2:$A$225,B384,'03_DESPIECE'!$B$2:$B$225,C384)</f>
        <v>32.492173913</v>
      </c>
      <c r="I384" s="16" t="n">
        <f aca="false">E384*H384</f>
        <v>454.890434782</v>
      </c>
      <c r="J384" s="17" t="n">
        <f aca="false">E384*SUMIFS('03_DESPIECE'!$I$2:$I$225,'03_DESPIECE'!$A$2:$A$225,B384,'03_DESPIECE'!$B$2:$B$225,C384)</f>
        <v>61.544</v>
      </c>
      <c r="K384" s="19" t="n">
        <f aca="false">E384*SUMIFS('03_DESPIECE'!$K$2:$K$225,'03_DESPIECE'!$A$2:$A$225,B384,'03_DESPIECE'!$B$2:$B$225,C384)</f>
        <v>1.3611111108</v>
      </c>
      <c r="L384" s="5" t="n">
        <f aca="false">SUMIFS('03_DESPIECE'!$L$2:$L$225,'03_DESPIECE'!$A$2:$A$225,B384,'03_DESPIECE'!$B$2:$B$225,C384)</f>
        <v>1</v>
      </c>
      <c r="M384" s="2" t="s">
        <v>629</v>
      </c>
    </row>
    <row r="385" customFormat="false" ht="15" hidden="false" customHeight="false" outlineLevel="0" collapsed="false">
      <c r="A385" s="2" t="s">
        <v>582</v>
      </c>
      <c r="B385" s="2" t="s">
        <v>83</v>
      </c>
      <c r="C385" s="2" t="s">
        <v>300</v>
      </c>
      <c r="D385" s="2" t="s">
        <v>188</v>
      </c>
      <c r="E385" s="5" t="n">
        <f aca="false">INDEX('08_PEDIDOS'!$D$2:$D$97,MATCH(A385,'08_PEDIDOS'!$A$2:$A$97,0))</f>
        <v>14</v>
      </c>
      <c r="F385" s="5" t="n">
        <f aca="false">SUMIFS('03_DESPIECE'!$D$2:$D$225,'03_DESPIECE'!$A$2:$A$225,B385,'03_DESPIECE'!$B$2:$B$225,C385)</f>
        <v>28</v>
      </c>
      <c r="G385" s="5" t="n">
        <f aca="false">E385*F385</f>
        <v>392</v>
      </c>
      <c r="H385" s="16" t="n">
        <f aca="false">SUMIFS('03_DESPIECE'!$J$2:$J$225,'03_DESPIECE'!$A$2:$A$225,B385,'03_DESPIECE'!$B$2:$B$225,C385)</f>
        <v>25.2</v>
      </c>
      <c r="I385" s="16" t="n">
        <f aca="false">E385*H385</f>
        <v>352.8</v>
      </c>
      <c r="J385" s="17" t="n">
        <f aca="false">E385*SUMIFS('03_DESPIECE'!$I$2:$I$225,'03_DESPIECE'!$A$2:$A$225,B385,'03_DESPIECE'!$B$2:$B$225,C385)</f>
        <v>0</v>
      </c>
      <c r="K385" s="19" t="n">
        <f aca="false">E385*SUMIFS('03_DESPIECE'!$K$2:$K$225,'03_DESPIECE'!$A$2:$A$225,B385,'03_DESPIECE'!$B$2:$B$225,C385)</f>
        <v>0</v>
      </c>
      <c r="L385" s="5" t="n">
        <f aca="false">SUMIFS('03_DESPIECE'!$L$2:$L$225,'03_DESPIECE'!$A$2:$A$225,B385,'03_DESPIECE'!$B$2:$B$225,C385)</f>
        <v>1</v>
      </c>
      <c r="M385" s="2" t="s">
        <v>629</v>
      </c>
    </row>
    <row r="386" customFormat="false" ht="15" hidden="false" customHeight="false" outlineLevel="0" collapsed="false">
      <c r="A386" s="2" t="s">
        <v>583</v>
      </c>
      <c r="B386" s="2" t="s">
        <v>94</v>
      </c>
      <c r="C386" s="2" t="s">
        <v>301</v>
      </c>
      <c r="D386" s="2" t="s">
        <v>184</v>
      </c>
      <c r="E386" s="5" t="n">
        <f aca="false">INDEX('08_PEDIDOS'!$D$2:$D$97,MATCH(A386,'08_PEDIDOS'!$A$2:$A$97,0))</f>
        <v>8</v>
      </c>
      <c r="F386" s="5" t="n">
        <f aca="false">SUMIFS('03_DESPIECE'!$D$2:$D$225,'03_DESPIECE'!$A$2:$A$225,B386,'03_DESPIECE'!$B$2:$B$225,C386)</f>
        <v>2</v>
      </c>
      <c r="G386" s="5" t="n">
        <f aca="false">E386*F386</f>
        <v>16</v>
      </c>
      <c r="H386" s="16" t="n">
        <f aca="false">SUMIFS('03_DESPIECE'!$J$2:$J$225,'03_DESPIECE'!$A$2:$A$225,B386,'03_DESPIECE'!$B$2:$B$225,C386)</f>
        <v>31.453125</v>
      </c>
      <c r="I386" s="16" t="n">
        <f aca="false">E386*H386</f>
        <v>251.625</v>
      </c>
      <c r="J386" s="17" t="n">
        <f aca="false">E386*SUMIFS('03_DESPIECE'!$I$2:$I$225,'03_DESPIECE'!$A$2:$A$225,B386,'03_DESPIECE'!$B$2:$B$225,C386)</f>
        <v>39.6</v>
      </c>
      <c r="K386" s="19" t="n">
        <f aca="false">E386*SUMIFS('03_DESPIECE'!$K$2:$K$225,'03_DESPIECE'!$A$2:$A$225,B386,'03_DESPIECE'!$B$2:$B$225,C386)</f>
        <v>0</v>
      </c>
      <c r="L386" s="5" t="n">
        <f aca="false">SUMIFS('03_DESPIECE'!$L$2:$L$225,'03_DESPIECE'!$A$2:$A$225,B386,'03_DESPIECE'!$B$2:$B$225,C386)</f>
        <v>1</v>
      </c>
      <c r="M386" s="2" t="s">
        <v>629</v>
      </c>
    </row>
    <row r="387" customFormat="false" ht="15" hidden="false" customHeight="false" outlineLevel="0" collapsed="false">
      <c r="A387" s="2" t="s">
        <v>583</v>
      </c>
      <c r="B387" s="2" t="s">
        <v>94</v>
      </c>
      <c r="C387" s="2" t="s">
        <v>302</v>
      </c>
      <c r="D387" s="2" t="s">
        <v>174</v>
      </c>
      <c r="E387" s="5" t="n">
        <f aca="false">INDEX('08_PEDIDOS'!$D$2:$D$97,MATCH(A387,'08_PEDIDOS'!$A$2:$A$97,0))</f>
        <v>8</v>
      </c>
      <c r="F387" s="5" t="n">
        <f aca="false">SUMIFS('03_DESPIECE'!$D$2:$D$225,'03_DESPIECE'!$A$2:$A$225,B387,'03_DESPIECE'!$B$2:$B$225,C387)</f>
        <v>2</v>
      </c>
      <c r="G387" s="5" t="n">
        <f aca="false">E387*F387</f>
        <v>16</v>
      </c>
      <c r="H387" s="16" t="n">
        <f aca="false">SUMIFS('03_DESPIECE'!$J$2:$J$225,'03_DESPIECE'!$A$2:$A$225,B387,'03_DESPIECE'!$B$2:$B$225,C387)</f>
        <v>34.8130434783</v>
      </c>
      <c r="I387" s="16" t="n">
        <f aca="false">E387*H387</f>
        <v>278.5043478264</v>
      </c>
      <c r="J387" s="17" t="n">
        <f aca="false">E387*SUMIFS('03_DESPIECE'!$I$2:$I$225,'03_DESPIECE'!$A$2:$A$225,B387,'03_DESPIECE'!$B$2:$B$225,C387)</f>
        <v>37.68</v>
      </c>
      <c r="K387" s="19" t="n">
        <f aca="false">E387*SUMIFS('03_DESPIECE'!$K$2:$K$225,'03_DESPIECE'!$A$2:$A$225,B387,'03_DESPIECE'!$B$2:$B$225,C387)</f>
        <v>1.6666666664</v>
      </c>
      <c r="L387" s="5" t="n">
        <f aca="false">SUMIFS('03_DESPIECE'!$L$2:$L$225,'03_DESPIECE'!$A$2:$A$225,B387,'03_DESPIECE'!$B$2:$B$225,C387)</f>
        <v>1</v>
      </c>
      <c r="M387" s="2" t="s">
        <v>629</v>
      </c>
    </row>
    <row r="388" customFormat="false" ht="15" hidden="false" customHeight="false" outlineLevel="0" collapsed="false">
      <c r="A388" s="2" t="s">
        <v>583</v>
      </c>
      <c r="B388" s="2" t="s">
        <v>94</v>
      </c>
      <c r="C388" s="2" t="s">
        <v>303</v>
      </c>
      <c r="D388" s="2" t="s">
        <v>174</v>
      </c>
      <c r="E388" s="5" t="n">
        <f aca="false">INDEX('08_PEDIDOS'!$D$2:$D$97,MATCH(A388,'08_PEDIDOS'!$A$2:$A$97,0))</f>
        <v>8</v>
      </c>
      <c r="F388" s="5" t="n">
        <f aca="false">SUMIFS('03_DESPIECE'!$D$2:$D$225,'03_DESPIECE'!$A$2:$A$225,B388,'03_DESPIECE'!$B$2:$B$225,C388)</f>
        <v>4</v>
      </c>
      <c r="G388" s="5" t="n">
        <f aca="false">E388*F388</f>
        <v>32</v>
      </c>
      <c r="H388" s="16" t="n">
        <f aca="false">SUMIFS('03_DESPIECE'!$J$2:$J$225,'03_DESPIECE'!$A$2:$A$225,B388,'03_DESPIECE'!$B$2:$B$225,C388)</f>
        <v>129.9686956522</v>
      </c>
      <c r="I388" s="16" t="n">
        <f aca="false">E388*H388</f>
        <v>1039.7495652176</v>
      </c>
      <c r="J388" s="17" t="n">
        <f aca="false">E388*SUMIFS('03_DESPIECE'!$I$2:$I$225,'03_DESPIECE'!$A$2:$A$225,B388,'03_DESPIECE'!$B$2:$B$225,C388)</f>
        <v>140.672</v>
      </c>
      <c r="K388" s="19" t="n">
        <f aca="false">E388*SUMIFS('03_DESPIECE'!$K$2:$K$225,'03_DESPIECE'!$A$2:$A$225,B388,'03_DESPIECE'!$B$2:$B$225,C388)</f>
        <v>6.2222222224</v>
      </c>
      <c r="L388" s="5" t="n">
        <f aca="false">SUMIFS('03_DESPIECE'!$L$2:$L$225,'03_DESPIECE'!$A$2:$A$225,B388,'03_DESPIECE'!$B$2:$B$225,C388)</f>
        <v>1</v>
      </c>
      <c r="M388" s="2" t="s">
        <v>629</v>
      </c>
    </row>
    <row r="389" customFormat="false" ht="15" hidden="false" customHeight="false" outlineLevel="0" collapsed="false">
      <c r="A389" s="2" t="s">
        <v>583</v>
      </c>
      <c r="B389" s="2" t="s">
        <v>94</v>
      </c>
      <c r="C389" s="2" t="s">
        <v>304</v>
      </c>
      <c r="D389" s="2" t="s">
        <v>174</v>
      </c>
      <c r="E389" s="5" t="n">
        <f aca="false">INDEX('08_PEDIDOS'!$D$2:$D$97,MATCH(A389,'08_PEDIDOS'!$A$2:$A$97,0))</f>
        <v>8</v>
      </c>
      <c r="F389" s="5" t="n">
        <f aca="false">SUMIFS('03_DESPIECE'!$D$2:$D$225,'03_DESPIECE'!$A$2:$A$225,B389,'03_DESPIECE'!$B$2:$B$225,C389)</f>
        <v>8</v>
      </c>
      <c r="G389" s="5" t="n">
        <f aca="false">E389*F389</f>
        <v>64</v>
      </c>
      <c r="H389" s="16" t="n">
        <f aca="false">SUMIFS('03_DESPIECE'!$J$2:$J$225,'03_DESPIECE'!$A$2:$A$225,B389,'03_DESPIECE'!$B$2:$B$225,C389)</f>
        <v>185.6695652174</v>
      </c>
      <c r="I389" s="16" t="n">
        <f aca="false">E389*H389</f>
        <v>1485.3565217392</v>
      </c>
      <c r="J389" s="17" t="n">
        <f aca="false">E389*SUMIFS('03_DESPIECE'!$I$2:$I$225,'03_DESPIECE'!$A$2:$A$225,B389,'03_DESPIECE'!$B$2:$B$225,C389)</f>
        <v>200.96</v>
      </c>
      <c r="K389" s="19" t="n">
        <f aca="false">E389*SUMIFS('03_DESPIECE'!$K$2:$K$225,'03_DESPIECE'!$A$2:$A$225,B389,'03_DESPIECE'!$B$2:$B$225,C389)</f>
        <v>8.8888888888</v>
      </c>
      <c r="L389" s="5" t="n">
        <f aca="false">SUMIFS('03_DESPIECE'!$L$2:$L$225,'03_DESPIECE'!$A$2:$A$225,B389,'03_DESPIECE'!$B$2:$B$225,C389)</f>
        <v>1</v>
      </c>
      <c r="M389" s="2" t="s">
        <v>629</v>
      </c>
    </row>
    <row r="390" customFormat="false" ht="15" hidden="false" customHeight="false" outlineLevel="0" collapsed="false">
      <c r="A390" s="2" t="s">
        <v>583</v>
      </c>
      <c r="B390" s="2" t="s">
        <v>94</v>
      </c>
      <c r="C390" s="2" t="s">
        <v>305</v>
      </c>
      <c r="D390" s="2" t="s">
        <v>174</v>
      </c>
      <c r="E390" s="5" t="n">
        <f aca="false">INDEX('08_PEDIDOS'!$D$2:$D$97,MATCH(A390,'08_PEDIDOS'!$A$2:$A$97,0))</f>
        <v>8</v>
      </c>
      <c r="F390" s="5" t="n">
        <f aca="false">SUMIFS('03_DESPIECE'!$D$2:$D$225,'03_DESPIECE'!$A$2:$A$225,B390,'03_DESPIECE'!$B$2:$B$225,C390)</f>
        <v>16</v>
      </c>
      <c r="G390" s="5" t="n">
        <f aca="false">E390*F390</f>
        <v>128</v>
      </c>
      <c r="H390" s="16" t="n">
        <f aca="false">SUMIFS('03_DESPIECE'!$J$2:$J$225,'03_DESPIECE'!$A$2:$A$225,B390,'03_DESPIECE'!$B$2:$B$225,C390)</f>
        <v>37.1339130435</v>
      </c>
      <c r="I390" s="16" t="n">
        <f aca="false">E390*H390</f>
        <v>297.071304348</v>
      </c>
      <c r="J390" s="17" t="n">
        <f aca="false">E390*SUMIFS('03_DESPIECE'!$I$2:$I$225,'03_DESPIECE'!$A$2:$A$225,B390,'03_DESPIECE'!$B$2:$B$225,C390)</f>
        <v>40.192</v>
      </c>
      <c r="K390" s="19" t="n">
        <f aca="false">E390*SUMIFS('03_DESPIECE'!$K$2:$K$225,'03_DESPIECE'!$A$2:$A$225,B390,'03_DESPIECE'!$B$2:$B$225,C390)</f>
        <v>1.7777777776</v>
      </c>
      <c r="L390" s="5" t="n">
        <f aca="false">SUMIFS('03_DESPIECE'!$L$2:$L$225,'03_DESPIECE'!$A$2:$A$225,B390,'03_DESPIECE'!$B$2:$B$225,C390)</f>
        <v>1</v>
      </c>
      <c r="M390" s="2" t="s">
        <v>629</v>
      </c>
    </row>
    <row r="391" customFormat="false" ht="15" hidden="false" customHeight="false" outlineLevel="0" collapsed="false">
      <c r="A391" s="2" t="s">
        <v>583</v>
      </c>
      <c r="B391" s="2" t="s">
        <v>94</v>
      </c>
      <c r="C391" s="2" t="s">
        <v>306</v>
      </c>
      <c r="D391" s="2" t="s">
        <v>174</v>
      </c>
      <c r="E391" s="5" t="n">
        <f aca="false">INDEX('08_PEDIDOS'!$D$2:$D$97,MATCH(A391,'08_PEDIDOS'!$A$2:$A$97,0))</f>
        <v>8</v>
      </c>
      <c r="F391" s="5" t="n">
        <f aca="false">SUMIFS('03_DESPIECE'!$D$2:$D$225,'03_DESPIECE'!$A$2:$A$225,B391,'03_DESPIECE'!$B$2:$B$225,C391)</f>
        <v>2</v>
      </c>
      <c r="G391" s="5" t="n">
        <f aca="false">E391*F391</f>
        <v>16</v>
      </c>
      <c r="H391" s="16" t="n">
        <f aca="false">SUMIFS('03_DESPIECE'!$J$2:$J$225,'03_DESPIECE'!$A$2:$A$225,B391,'03_DESPIECE'!$B$2:$B$225,C391)</f>
        <v>13.9252173913</v>
      </c>
      <c r="I391" s="16" t="n">
        <f aca="false">E391*H391</f>
        <v>111.4017391304</v>
      </c>
      <c r="J391" s="17" t="n">
        <f aca="false">E391*SUMIFS('03_DESPIECE'!$I$2:$I$225,'03_DESPIECE'!$A$2:$A$225,B391,'03_DESPIECE'!$B$2:$B$225,C391)</f>
        <v>15.072</v>
      </c>
      <c r="K391" s="19" t="n">
        <f aca="false">E391*SUMIFS('03_DESPIECE'!$K$2:$K$225,'03_DESPIECE'!$A$2:$A$225,B391,'03_DESPIECE'!$B$2:$B$225,C391)</f>
        <v>0.6666666664</v>
      </c>
      <c r="L391" s="5" t="n">
        <f aca="false">SUMIFS('03_DESPIECE'!$L$2:$L$225,'03_DESPIECE'!$A$2:$A$225,B391,'03_DESPIECE'!$B$2:$B$225,C391)</f>
        <v>1</v>
      </c>
      <c r="M391" s="2" t="s">
        <v>629</v>
      </c>
    </row>
    <row r="392" customFormat="false" ht="15" hidden="false" customHeight="false" outlineLevel="0" collapsed="false">
      <c r="A392" s="2" t="s">
        <v>583</v>
      </c>
      <c r="B392" s="2" t="s">
        <v>94</v>
      </c>
      <c r="C392" s="2" t="s">
        <v>307</v>
      </c>
      <c r="D392" s="2" t="s">
        <v>188</v>
      </c>
      <c r="E392" s="5" t="n">
        <f aca="false">INDEX('08_PEDIDOS'!$D$2:$D$97,MATCH(A392,'08_PEDIDOS'!$A$2:$A$97,0))</f>
        <v>8</v>
      </c>
      <c r="F392" s="5" t="n">
        <f aca="false">SUMIFS('03_DESPIECE'!$D$2:$D$225,'03_DESPIECE'!$A$2:$A$225,B392,'03_DESPIECE'!$B$2:$B$225,C392)</f>
        <v>36</v>
      </c>
      <c r="G392" s="5" t="n">
        <f aca="false">E392*F392</f>
        <v>288</v>
      </c>
      <c r="H392" s="16" t="n">
        <f aca="false">SUMIFS('03_DESPIECE'!$J$2:$J$225,'03_DESPIECE'!$A$2:$A$225,B392,'03_DESPIECE'!$B$2:$B$225,C392)</f>
        <v>32.4</v>
      </c>
      <c r="I392" s="16" t="n">
        <f aca="false">E392*H392</f>
        <v>259.2</v>
      </c>
      <c r="J392" s="17" t="n">
        <f aca="false">E392*SUMIFS('03_DESPIECE'!$I$2:$I$225,'03_DESPIECE'!$A$2:$A$225,B392,'03_DESPIECE'!$B$2:$B$225,C392)</f>
        <v>0</v>
      </c>
      <c r="K392" s="19" t="n">
        <f aca="false">E392*SUMIFS('03_DESPIECE'!$K$2:$K$225,'03_DESPIECE'!$A$2:$A$225,B392,'03_DESPIECE'!$B$2:$B$225,C392)</f>
        <v>0</v>
      </c>
      <c r="L392" s="5" t="n">
        <f aca="false">SUMIFS('03_DESPIECE'!$L$2:$L$225,'03_DESPIECE'!$A$2:$A$225,B392,'03_DESPIECE'!$B$2:$B$225,C392)</f>
        <v>1</v>
      </c>
      <c r="M392" s="2" t="s">
        <v>629</v>
      </c>
    </row>
    <row r="393" customFormat="false" ht="15" hidden="false" customHeight="false" outlineLevel="0" collapsed="false">
      <c r="A393" s="2" t="s">
        <v>584</v>
      </c>
      <c r="B393" s="2" t="s">
        <v>96</v>
      </c>
      <c r="C393" s="2" t="s">
        <v>308</v>
      </c>
      <c r="D393" s="2" t="s">
        <v>184</v>
      </c>
      <c r="E393" s="5" t="n">
        <f aca="false">INDEX('08_PEDIDOS'!$D$2:$D$97,MATCH(A393,'08_PEDIDOS'!$A$2:$A$97,0))</f>
        <v>8</v>
      </c>
      <c r="F393" s="5" t="n">
        <f aca="false">SUMIFS('03_DESPIECE'!$D$2:$D$225,'03_DESPIECE'!$A$2:$A$225,B393,'03_DESPIECE'!$B$2:$B$225,C393)</f>
        <v>2</v>
      </c>
      <c r="G393" s="5" t="n">
        <f aca="false">E393*F393</f>
        <v>16</v>
      </c>
      <c r="H393" s="16" t="n">
        <f aca="false">SUMIFS('03_DESPIECE'!$J$2:$J$225,'03_DESPIECE'!$A$2:$A$225,B393,'03_DESPIECE'!$B$2:$B$225,C393)</f>
        <v>36.21875</v>
      </c>
      <c r="I393" s="16" t="n">
        <f aca="false">E393*H393</f>
        <v>289.75</v>
      </c>
      <c r="J393" s="17" t="n">
        <f aca="false">E393*SUMIFS('03_DESPIECE'!$I$2:$I$225,'03_DESPIECE'!$A$2:$A$225,B393,'03_DESPIECE'!$B$2:$B$225,C393)</f>
        <v>45.6</v>
      </c>
      <c r="K393" s="19" t="n">
        <f aca="false">E393*SUMIFS('03_DESPIECE'!$K$2:$K$225,'03_DESPIECE'!$A$2:$A$225,B393,'03_DESPIECE'!$B$2:$B$225,C393)</f>
        <v>0</v>
      </c>
      <c r="L393" s="5" t="n">
        <f aca="false">SUMIFS('03_DESPIECE'!$L$2:$L$225,'03_DESPIECE'!$A$2:$A$225,B393,'03_DESPIECE'!$B$2:$B$225,C393)</f>
        <v>1</v>
      </c>
      <c r="M393" s="2" t="s">
        <v>629</v>
      </c>
    </row>
    <row r="394" customFormat="false" ht="15" hidden="false" customHeight="false" outlineLevel="0" collapsed="false">
      <c r="A394" s="2" t="s">
        <v>584</v>
      </c>
      <c r="B394" s="2" t="s">
        <v>96</v>
      </c>
      <c r="C394" s="2" t="s">
        <v>309</v>
      </c>
      <c r="D394" s="2" t="s">
        <v>174</v>
      </c>
      <c r="E394" s="5" t="n">
        <f aca="false">INDEX('08_PEDIDOS'!$D$2:$D$97,MATCH(A394,'08_PEDIDOS'!$A$2:$A$97,0))</f>
        <v>8</v>
      </c>
      <c r="F394" s="5" t="n">
        <f aca="false">SUMIFS('03_DESPIECE'!$D$2:$D$225,'03_DESPIECE'!$A$2:$A$225,B394,'03_DESPIECE'!$B$2:$B$225,C394)</f>
        <v>3</v>
      </c>
      <c r="G394" s="5" t="n">
        <f aca="false">E394*F394</f>
        <v>24</v>
      </c>
      <c r="H394" s="16" t="n">
        <f aca="false">SUMIFS('03_DESPIECE'!$J$2:$J$225,'03_DESPIECE'!$A$2:$A$225,B394,'03_DESPIECE'!$B$2:$B$225,C394)</f>
        <v>95.7358695652</v>
      </c>
      <c r="I394" s="16" t="n">
        <f aca="false">E394*H394</f>
        <v>765.8869565216</v>
      </c>
      <c r="J394" s="17" t="n">
        <f aca="false">E394*SUMIFS('03_DESPIECE'!$I$2:$I$225,'03_DESPIECE'!$A$2:$A$225,B394,'03_DESPIECE'!$B$2:$B$225,C394)</f>
        <v>103.62</v>
      </c>
      <c r="K394" s="19" t="n">
        <f aca="false">E394*SUMIFS('03_DESPIECE'!$K$2:$K$225,'03_DESPIECE'!$A$2:$A$225,B394,'03_DESPIECE'!$B$2:$B$225,C394)</f>
        <v>4.5833333336</v>
      </c>
      <c r="L394" s="5" t="n">
        <f aca="false">SUMIFS('03_DESPIECE'!$L$2:$L$225,'03_DESPIECE'!$A$2:$A$225,B394,'03_DESPIECE'!$B$2:$B$225,C394)</f>
        <v>1</v>
      </c>
      <c r="M394" s="2" t="s">
        <v>629</v>
      </c>
    </row>
    <row r="395" customFormat="false" ht="15" hidden="false" customHeight="false" outlineLevel="0" collapsed="false">
      <c r="A395" s="2" t="s">
        <v>584</v>
      </c>
      <c r="B395" s="2" t="s">
        <v>96</v>
      </c>
      <c r="C395" s="2" t="s">
        <v>310</v>
      </c>
      <c r="D395" s="2" t="s">
        <v>174</v>
      </c>
      <c r="E395" s="5" t="n">
        <f aca="false">INDEX('08_PEDIDOS'!$D$2:$D$97,MATCH(A395,'08_PEDIDOS'!$A$2:$A$97,0))</f>
        <v>8</v>
      </c>
      <c r="F395" s="5" t="n">
        <f aca="false">SUMIFS('03_DESPIECE'!$D$2:$D$225,'03_DESPIECE'!$A$2:$A$225,B395,'03_DESPIECE'!$B$2:$B$225,C395)</f>
        <v>5</v>
      </c>
      <c r="G395" s="5" t="n">
        <f aca="false">E395*F395</f>
        <v>40</v>
      </c>
      <c r="H395" s="16" t="n">
        <f aca="false">SUMIFS('03_DESPIECE'!$J$2:$J$225,'03_DESPIECE'!$A$2:$A$225,B395,'03_DESPIECE'!$B$2:$B$225,C395)</f>
        <v>121.8456521739</v>
      </c>
      <c r="I395" s="16" t="n">
        <f aca="false">E395*H395</f>
        <v>974.7652173912</v>
      </c>
      <c r="J395" s="17" t="n">
        <f aca="false">E395*SUMIFS('03_DESPIECE'!$I$2:$I$225,'03_DESPIECE'!$A$2:$A$225,B395,'03_DESPIECE'!$B$2:$B$225,C395)</f>
        <v>131.88</v>
      </c>
      <c r="K395" s="19" t="n">
        <f aca="false">E395*SUMIFS('03_DESPIECE'!$K$2:$K$225,'03_DESPIECE'!$A$2:$A$225,B395,'03_DESPIECE'!$B$2:$B$225,C395)</f>
        <v>5.8333333336</v>
      </c>
      <c r="L395" s="5" t="n">
        <f aca="false">SUMIFS('03_DESPIECE'!$L$2:$L$225,'03_DESPIECE'!$A$2:$A$225,B395,'03_DESPIECE'!$B$2:$B$225,C395)</f>
        <v>1</v>
      </c>
      <c r="M395" s="2" t="s">
        <v>629</v>
      </c>
    </row>
    <row r="396" customFormat="false" ht="15" hidden="false" customHeight="false" outlineLevel="0" collapsed="false">
      <c r="A396" s="2" t="s">
        <v>584</v>
      </c>
      <c r="B396" s="2" t="s">
        <v>96</v>
      </c>
      <c r="C396" s="2" t="s">
        <v>311</v>
      </c>
      <c r="D396" s="2" t="s">
        <v>174</v>
      </c>
      <c r="E396" s="5" t="n">
        <f aca="false">INDEX('08_PEDIDOS'!$D$2:$D$97,MATCH(A396,'08_PEDIDOS'!$A$2:$A$97,0))</f>
        <v>8</v>
      </c>
      <c r="F396" s="5" t="n">
        <f aca="false">SUMIFS('03_DESPIECE'!$D$2:$D$225,'03_DESPIECE'!$A$2:$A$225,B396,'03_DESPIECE'!$B$2:$B$225,C396)</f>
        <v>10</v>
      </c>
      <c r="G396" s="5" t="n">
        <f aca="false">E396*F396</f>
        <v>80</v>
      </c>
      <c r="H396" s="16" t="n">
        <f aca="false">SUMIFS('03_DESPIECE'!$J$2:$J$225,'03_DESPIECE'!$A$2:$A$225,B396,'03_DESPIECE'!$B$2:$B$225,C396)</f>
        <v>23.2086956522</v>
      </c>
      <c r="I396" s="16" t="n">
        <f aca="false">E396*H396</f>
        <v>185.6695652176</v>
      </c>
      <c r="J396" s="17" t="n">
        <f aca="false">E396*SUMIFS('03_DESPIECE'!$I$2:$I$225,'03_DESPIECE'!$A$2:$A$225,B396,'03_DESPIECE'!$B$2:$B$225,C396)</f>
        <v>25.12</v>
      </c>
      <c r="K396" s="19" t="n">
        <f aca="false">E396*SUMIFS('03_DESPIECE'!$K$2:$K$225,'03_DESPIECE'!$A$2:$A$225,B396,'03_DESPIECE'!$B$2:$B$225,C396)</f>
        <v>1.1111111112</v>
      </c>
      <c r="L396" s="5" t="n">
        <f aca="false">SUMIFS('03_DESPIECE'!$L$2:$L$225,'03_DESPIECE'!$A$2:$A$225,B396,'03_DESPIECE'!$B$2:$B$225,C396)</f>
        <v>1</v>
      </c>
      <c r="M396" s="2" t="s">
        <v>629</v>
      </c>
    </row>
    <row r="397" customFormat="false" ht="15" hidden="false" customHeight="false" outlineLevel="0" collapsed="false">
      <c r="A397" s="2" t="s">
        <v>584</v>
      </c>
      <c r="B397" s="2" t="s">
        <v>96</v>
      </c>
      <c r="C397" s="2" t="s">
        <v>312</v>
      </c>
      <c r="D397" s="2" t="s">
        <v>174</v>
      </c>
      <c r="E397" s="5" t="n">
        <f aca="false">INDEX('08_PEDIDOS'!$D$2:$D$97,MATCH(A397,'08_PEDIDOS'!$A$2:$A$97,0))</f>
        <v>8</v>
      </c>
      <c r="F397" s="5" t="n">
        <f aca="false">SUMIFS('03_DESPIECE'!$D$2:$D$225,'03_DESPIECE'!$A$2:$A$225,B397,'03_DESPIECE'!$B$2:$B$225,C397)</f>
        <v>2</v>
      </c>
      <c r="G397" s="5" t="n">
        <f aca="false">E397*F397</f>
        <v>16</v>
      </c>
      <c r="H397" s="16" t="n">
        <f aca="false">SUMIFS('03_DESPIECE'!$J$2:$J$225,'03_DESPIECE'!$A$2:$A$225,B397,'03_DESPIECE'!$B$2:$B$225,C397)</f>
        <v>29.0108695652</v>
      </c>
      <c r="I397" s="16" t="n">
        <f aca="false">E397*H397</f>
        <v>232.0869565216</v>
      </c>
      <c r="J397" s="17" t="n">
        <f aca="false">E397*SUMIFS('03_DESPIECE'!$I$2:$I$225,'03_DESPIECE'!$A$2:$A$225,B397,'03_DESPIECE'!$B$2:$B$225,C397)</f>
        <v>31.4</v>
      </c>
      <c r="K397" s="19" t="n">
        <f aca="false">E397*SUMIFS('03_DESPIECE'!$K$2:$K$225,'03_DESPIECE'!$A$2:$A$225,B397,'03_DESPIECE'!$B$2:$B$225,C397)</f>
        <v>1.3888888888</v>
      </c>
      <c r="L397" s="5" t="n">
        <f aca="false">SUMIFS('03_DESPIECE'!$L$2:$L$225,'03_DESPIECE'!$A$2:$A$225,B397,'03_DESPIECE'!$B$2:$B$225,C397)</f>
        <v>1</v>
      </c>
      <c r="M397" s="2" t="s">
        <v>629</v>
      </c>
    </row>
    <row r="398" customFormat="false" ht="15" hidden="false" customHeight="false" outlineLevel="0" collapsed="false">
      <c r="A398" s="2" t="s">
        <v>584</v>
      </c>
      <c r="B398" s="2" t="s">
        <v>96</v>
      </c>
      <c r="C398" s="2" t="s">
        <v>313</v>
      </c>
      <c r="D398" s="2" t="s">
        <v>188</v>
      </c>
      <c r="E398" s="5" t="n">
        <f aca="false">INDEX('08_PEDIDOS'!$D$2:$D$97,MATCH(A398,'08_PEDIDOS'!$A$2:$A$97,0))</f>
        <v>8</v>
      </c>
      <c r="F398" s="5" t="n">
        <f aca="false">SUMIFS('03_DESPIECE'!$D$2:$D$225,'03_DESPIECE'!$A$2:$A$225,B398,'03_DESPIECE'!$B$2:$B$225,C398)</f>
        <v>26</v>
      </c>
      <c r="G398" s="5" t="n">
        <f aca="false">E398*F398</f>
        <v>208</v>
      </c>
      <c r="H398" s="16" t="n">
        <f aca="false">SUMIFS('03_DESPIECE'!$J$2:$J$225,'03_DESPIECE'!$A$2:$A$225,B398,'03_DESPIECE'!$B$2:$B$225,C398)</f>
        <v>23.4</v>
      </c>
      <c r="I398" s="16" t="n">
        <f aca="false">E398*H398</f>
        <v>187.2</v>
      </c>
      <c r="J398" s="17" t="n">
        <f aca="false">E398*SUMIFS('03_DESPIECE'!$I$2:$I$225,'03_DESPIECE'!$A$2:$A$225,B398,'03_DESPIECE'!$B$2:$B$225,C398)</f>
        <v>0</v>
      </c>
      <c r="K398" s="19" t="n">
        <f aca="false">E398*SUMIFS('03_DESPIECE'!$K$2:$K$225,'03_DESPIECE'!$A$2:$A$225,B398,'03_DESPIECE'!$B$2:$B$225,C398)</f>
        <v>0</v>
      </c>
      <c r="L398" s="5" t="n">
        <f aca="false">SUMIFS('03_DESPIECE'!$L$2:$L$225,'03_DESPIECE'!$A$2:$A$225,B398,'03_DESPIECE'!$B$2:$B$225,C398)</f>
        <v>1</v>
      </c>
      <c r="M398" s="2" t="s">
        <v>629</v>
      </c>
    </row>
    <row r="399" customFormat="false" ht="15" hidden="false" customHeight="false" outlineLevel="0" collapsed="false">
      <c r="A399" s="2" t="s">
        <v>585</v>
      </c>
      <c r="B399" s="2" t="s">
        <v>106</v>
      </c>
      <c r="C399" s="2" t="s">
        <v>314</v>
      </c>
      <c r="D399" s="2" t="s">
        <v>176</v>
      </c>
      <c r="E399" s="5" t="n">
        <f aca="false">INDEX('08_PEDIDOS'!$D$2:$D$97,MATCH(A399,'08_PEDIDOS'!$A$2:$A$97,0))</f>
        <v>6</v>
      </c>
      <c r="F399" s="5" t="n">
        <f aca="false">SUMIFS('03_DESPIECE'!$D$2:$D$225,'03_DESPIECE'!$A$2:$A$225,B399,'03_DESPIECE'!$B$2:$B$225,C399)</f>
        <v>2</v>
      </c>
      <c r="G399" s="5" t="n">
        <f aca="false">E399*F399</f>
        <v>12</v>
      </c>
      <c r="H399" s="16" t="n">
        <f aca="false">SUMIFS('03_DESPIECE'!$J$2:$J$225,'03_DESPIECE'!$A$2:$A$225,B399,'03_DESPIECE'!$B$2:$B$225,C399)</f>
        <v>165.3619565217</v>
      </c>
      <c r="I399" s="16" t="n">
        <f aca="false">E399*H399</f>
        <v>992.1717391302</v>
      </c>
      <c r="J399" s="17" t="n">
        <f aca="false">E399*SUMIFS('03_DESPIECE'!$I$2:$I$225,'03_DESPIECE'!$A$2:$A$225,B399,'03_DESPIECE'!$B$2:$B$225,C399)</f>
        <v>134.235</v>
      </c>
      <c r="K399" s="19" t="n">
        <f aca="false">E399*SUMIFS('03_DESPIECE'!$K$2:$K$225,'03_DESPIECE'!$A$2:$A$225,B399,'03_DESPIECE'!$B$2:$B$225,C399)</f>
        <v>3.9583333332</v>
      </c>
      <c r="L399" s="5" t="n">
        <f aca="false">SUMIFS('03_DESPIECE'!$L$2:$L$225,'03_DESPIECE'!$A$2:$A$225,B399,'03_DESPIECE'!$B$2:$B$225,C399)</f>
        <v>1</v>
      </c>
      <c r="M399" s="2" t="s">
        <v>629</v>
      </c>
    </row>
    <row r="400" customFormat="false" ht="15" hidden="false" customHeight="false" outlineLevel="0" collapsed="false">
      <c r="A400" s="2" t="s">
        <v>585</v>
      </c>
      <c r="B400" s="2" t="s">
        <v>106</v>
      </c>
      <c r="C400" s="2" t="s">
        <v>315</v>
      </c>
      <c r="D400" s="2" t="s">
        <v>176</v>
      </c>
      <c r="E400" s="5" t="n">
        <f aca="false">INDEX('08_PEDIDOS'!$D$2:$D$97,MATCH(A400,'08_PEDIDOS'!$A$2:$A$97,0))</f>
        <v>6</v>
      </c>
      <c r="F400" s="5" t="n">
        <f aca="false">SUMIFS('03_DESPIECE'!$D$2:$D$225,'03_DESPIECE'!$A$2:$A$225,B400,'03_DESPIECE'!$B$2:$B$225,C400)</f>
        <v>2</v>
      </c>
      <c r="G400" s="5" t="n">
        <f aca="false">E400*F400</f>
        <v>12</v>
      </c>
      <c r="H400" s="16" t="n">
        <f aca="false">SUMIFS('03_DESPIECE'!$J$2:$J$225,'03_DESPIECE'!$A$2:$A$225,B400,'03_DESPIECE'!$B$2:$B$225,C400)</f>
        <v>60.922826087</v>
      </c>
      <c r="I400" s="16" t="n">
        <f aca="false">E400*H400</f>
        <v>365.536956522</v>
      </c>
      <c r="J400" s="17" t="n">
        <f aca="false">E400*SUMIFS('03_DESPIECE'!$I$2:$I$225,'03_DESPIECE'!$A$2:$A$225,B400,'03_DESPIECE'!$B$2:$B$225,C400)</f>
        <v>49.455</v>
      </c>
      <c r="K400" s="19" t="n">
        <f aca="false">E400*SUMIFS('03_DESPIECE'!$K$2:$K$225,'03_DESPIECE'!$A$2:$A$225,B400,'03_DESPIECE'!$B$2:$B$225,C400)</f>
        <v>1.4583333336</v>
      </c>
      <c r="L400" s="5" t="n">
        <f aca="false">SUMIFS('03_DESPIECE'!$L$2:$L$225,'03_DESPIECE'!$A$2:$A$225,B400,'03_DESPIECE'!$B$2:$B$225,C400)</f>
        <v>1</v>
      </c>
      <c r="M400" s="2" t="s">
        <v>629</v>
      </c>
    </row>
    <row r="401" customFormat="false" ht="15" hidden="false" customHeight="false" outlineLevel="0" collapsed="false">
      <c r="A401" s="2" t="s">
        <v>585</v>
      </c>
      <c r="B401" s="2" t="s">
        <v>106</v>
      </c>
      <c r="C401" s="2" t="s">
        <v>316</v>
      </c>
      <c r="D401" s="2" t="s">
        <v>176</v>
      </c>
      <c r="E401" s="5" t="n">
        <f aca="false">INDEX('08_PEDIDOS'!$D$2:$D$97,MATCH(A401,'08_PEDIDOS'!$A$2:$A$97,0))</f>
        <v>6</v>
      </c>
      <c r="F401" s="5" t="n">
        <f aca="false">SUMIFS('03_DESPIECE'!$D$2:$D$225,'03_DESPIECE'!$A$2:$A$225,B401,'03_DESPIECE'!$B$2:$B$225,C401)</f>
        <v>1</v>
      </c>
      <c r="G401" s="5" t="n">
        <f aca="false">E401*F401</f>
        <v>6</v>
      </c>
      <c r="H401" s="16" t="n">
        <f aca="false">SUMIFS('03_DESPIECE'!$J$2:$J$225,'03_DESPIECE'!$A$2:$A$225,B401,'03_DESPIECE'!$B$2:$B$225,C401)</f>
        <v>147.9554347826</v>
      </c>
      <c r="I401" s="16" t="n">
        <f aca="false">E401*H401</f>
        <v>887.7326086956</v>
      </c>
      <c r="J401" s="17" t="n">
        <f aca="false">E401*SUMIFS('03_DESPIECE'!$I$2:$I$225,'03_DESPIECE'!$A$2:$A$225,B401,'03_DESPIECE'!$B$2:$B$225,C401)</f>
        <v>120.105</v>
      </c>
      <c r="K401" s="19" t="n">
        <f aca="false">E401*SUMIFS('03_DESPIECE'!$K$2:$K$225,'03_DESPIECE'!$A$2:$A$225,B401,'03_DESPIECE'!$B$2:$B$225,C401)</f>
        <v>3.5416666668</v>
      </c>
      <c r="L401" s="5" t="n">
        <f aca="false">SUMIFS('03_DESPIECE'!$L$2:$L$225,'03_DESPIECE'!$A$2:$A$225,B401,'03_DESPIECE'!$B$2:$B$225,C401)</f>
        <v>1</v>
      </c>
      <c r="M401" s="2" t="s">
        <v>629</v>
      </c>
    </row>
    <row r="402" customFormat="false" ht="15" hidden="false" customHeight="false" outlineLevel="0" collapsed="false">
      <c r="A402" s="2" t="s">
        <v>585</v>
      </c>
      <c r="B402" s="2" t="s">
        <v>106</v>
      </c>
      <c r="C402" s="2" t="s">
        <v>317</v>
      </c>
      <c r="D402" s="2" t="s">
        <v>176</v>
      </c>
      <c r="E402" s="5" t="n">
        <f aca="false">INDEX('08_PEDIDOS'!$D$2:$D$97,MATCH(A402,'08_PEDIDOS'!$A$2:$A$97,0))</f>
        <v>6</v>
      </c>
      <c r="F402" s="5" t="n">
        <f aca="false">SUMIFS('03_DESPIECE'!$D$2:$D$225,'03_DESPIECE'!$A$2:$A$225,B402,'03_DESPIECE'!$B$2:$B$225,C402)</f>
        <v>4</v>
      </c>
      <c r="G402" s="5" t="n">
        <f aca="false">E402*F402</f>
        <v>24</v>
      </c>
      <c r="H402" s="16" t="n">
        <f aca="false">SUMIFS('03_DESPIECE'!$J$2:$J$225,'03_DESPIECE'!$A$2:$A$225,B402,'03_DESPIECE'!$B$2:$B$225,C402)</f>
        <v>128.8082608696</v>
      </c>
      <c r="I402" s="16" t="n">
        <f aca="false">E402*H402</f>
        <v>772.8495652176</v>
      </c>
      <c r="J402" s="17" t="n">
        <f aca="false">E402*SUMIFS('03_DESPIECE'!$I$2:$I$225,'03_DESPIECE'!$A$2:$A$225,B402,'03_DESPIECE'!$B$2:$B$225,C402)</f>
        <v>104.562</v>
      </c>
      <c r="K402" s="19" t="n">
        <f aca="false">E402*SUMIFS('03_DESPIECE'!$K$2:$K$225,'03_DESPIECE'!$A$2:$A$225,B402,'03_DESPIECE'!$B$2:$B$225,C402)</f>
        <v>3.0833333334</v>
      </c>
      <c r="L402" s="5" t="n">
        <f aca="false">SUMIFS('03_DESPIECE'!$L$2:$L$225,'03_DESPIECE'!$A$2:$A$225,B402,'03_DESPIECE'!$B$2:$B$225,C402)</f>
        <v>1</v>
      </c>
      <c r="M402" s="2" t="s">
        <v>629</v>
      </c>
    </row>
    <row r="403" customFormat="false" ht="15" hidden="false" customHeight="false" outlineLevel="0" collapsed="false">
      <c r="A403" s="2" t="s">
        <v>585</v>
      </c>
      <c r="B403" s="2" t="s">
        <v>106</v>
      </c>
      <c r="C403" s="2" t="s">
        <v>318</v>
      </c>
      <c r="D403" s="2" t="s">
        <v>176</v>
      </c>
      <c r="E403" s="5" t="n">
        <f aca="false">INDEX('08_PEDIDOS'!$D$2:$D$97,MATCH(A403,'08_PEDIDOS'!$A$2:$A$97,0))</f>
        <v>6</v>
      </c>
      <c r="F403" s="5" t="n">
        <f aca="false">SUMIFS('03_DESPIECE'!$D$2:$D$225,'03_DESPIECE'!$A$2:$A$225,B403,'03_DESPIECE'!$B$2:$B$225,C403)</f>
        <v>3</v>
      </c>
      <c r="G403" s="5" t="n">
        <f aca="false">E403*F403</f>
        <v>18</v>
      </c>
      <c r="H403" s="16" t="n">
        <f aca="false">SUMIFS('03_DESPIECE'!$J$2:$J$225,'03_DESPIECE'!$A$2:$A$225,B403,'03_DESPIECE'!$B$2:$B$225,C403)</f>
        <v>91.3842391304</v>
      </c>
      <c r="I403" s="16" t="n">
        <f aca="false">E403*H403</f>
        <v>548.3054347824</v>
      </c>
      <c r="J403" s="17" t="n">
        <f aca="false">E403*SUMIFS('03_DESPIECE'!$I$2:$I$225,'03_DESPIECE'!$A$2:$A$225,B403,'03_DESPIECE'!$B$2:$B$225,C403)</f>
        <v>74.1825</v>
      </c>
      <c r="K403" s="19" t="n">
        <f aca="false">E403*SUMIFS('03_DESPIECE'!$K$2:$K$225,'03_DESPIECE'!$A$2:$A$225,B403,'03_DESPIECE'!$B$2:$B$225,C403)</f>
        <v>2.1874999998</v>
      </c>
      <c r="L403" s="5" t="n">
        <f aca="false">SUMIFS('03_DESPIECE'!$L$2:$L$225,'03_DESPIECE'!$A$2:$A$225,B403,'03_DESPIECE'!$B$2:$B$225,C403)</f>
        <v>1</v>
      </c>
      <c r="M403" s="2" t="s">
        <v>629</v>
      </c>
    </row>
    <row r="404" customFormat="false" ht="15" hidden="false" customHeight="false" outlineLevel="0" collapsed="false">
      <c r="A404" s="2" t="s">
        <v>585</v>
      </c>
      <c r="B404" s="2" t="s">
        <v>106</v>
      </c>
      <c r="C404" s="2" t="s">
        <v>319</v>
      </c>
      <c r="D404" s="2" t="s">
        <v>188</v>
      </c>
      <c r="E404" s="5" t="n">
        <f aca="false">INDEX('08_PEDIDOS'!$D$2:$D$97,MATCH(A404,'08_PEDIDOS'!$A$2:$A$97,0))</f>
        <v>6</v>
      </c>
      <c r="F404" s="5" t="n">
        <f aca="false">SUMIFS('03_DESPIECE'!$D$2:$D$225,'03_DESPIECE'!$A$2:$A$225,B404,'03_DESPIECE'!$B$2:$B$225,C404)</f>
        <v>8</v>
      </c>
      <c r="G404" s="5" t="n">
        <f aca="false">E404*F404</f>
        <v>48</v>
      </c>
      <c r="H404" s="16" t="n">
        <f aca="false">SUMIFS('03_DESPIECE'!$J$2:$J$225,'03_DESPIECE'!$A$2:$A$225,B404,'03_DESPIECE'!$B$2:$B$225,C404)</f>
        <v>7.2</v>
      </c>
      <c r="I404" s="16" t="n">
        <f aca="false">E404*H404</f>
        <v>43.2</v>
      </c>
      <c r="J404" s="17" t="n">
        <f aca="false">E404*SUMIFS('03_DESPIECE'!$I$2:$I$225,'03_DESPIECE'!$A$2:$A$225,B404,'03_DESPIECE'!$B$2:$B$225,C404)</f>
        <v>0</v>
      </c>
      <c r="K404" s="19" t="n">
        <f aca="false">E404*SUMIFS('03_DESPIECE'!$K$2:$K$225,'03_DESPIECE'!$A$2:$A$225,B404,'03_DESPIECE'!$B$2:$B$225,C404)</f>
        <v>0</v>
      </c>
      <c r="L404" s="5" t="n">
        <f aca="false">SUMIFS('03_DESPIECE'!$L$2:$L$225,'03_DESPIECE'!$A$2:$A$225,B404,'03_DESPIECE'!$B$2:$B$225,C404)</f>
        <v>1</v>
      </c>
      <c r="M404" s="2" t="s">
        <v>629</v>
      </c>
    </row>
    <row r="405" customFormat="false" ht="15" hidden="false" customHeight="false" outlineLevel="0" collapsed="false">
      <c r="A405" s="2" t="s">
        <v>585</v>
      </c>
      <c r="B405" s="2" t="s">
        <v>106</v>
      </c>
      <c r="C405" s="2" t="s">
        <v>320</v>
      </c>
      <c r="D405" s="2" t="s">
        <v>188</v>
      </c>
      <c r="E405" s="5" t="n">
        <f aca="false">INDEX('08_PEDIDOS'!$D$2:$D$97,MATCH(A405,'08_PEDIDOS'!$A$2:$A$97,0))</f>
        <v>6</v>
      </c>
      <c r="F405" s="5" t="n">
        <f aca="false">SUMIFS('03_DESPIECE'!$D$2:$D$225,'03_DESPIECE'!$A$2:$A$225,B405,'03_DESPIECE'!$B$2:$B$225,C405)</f>
        <v>4</v>
      </c>
      <c r="G405" s="5" t="n">
        <f aca="false">E405*F405</f>
        <v>24</v>
      </c>
      <c r="H405" s="16" t="n">
        <f aca="false">SUMIFS('03_DESPIECE'!$J$2:$J$225,'03_DESPIECE'!$A$2:$A$225,B405,'03_DESPIECE'!$B$2:$B$225,C405)</f>
        <v>3.6</v>
      </c>
      <c r="I405" s="16" t="n">
        <f aca="false">E405*H405</f>
        <v>21.6</v>
      </c>
      <c r="J405" s="17" t="n">
        <f aca="false">E405*SUMIFS('03_DESPIECE'!$I$2:$I$225,'03_DESPIECE'!$A$2:$A$225,B405,'03_DESPIECE'!$B$2:$B$225,C405)</f>
        <v>0</v>
      </c>
      <c r="K405" s="19" t="n">
        <f aca="false">E405*SUMIFS('03_DESPIECE'!$K$2:$K$225,'03_DESPIECE'!$A$2:$A$225,B405,'03_DESPIECE'!$B$2:$B$225,C405)</f>
        <v>0</v>
      </c>
      <c r="L405" s="5" t="n">
        <f aca="false">SUMIFS('03_DESPIECE'!$L$2:$L$225,'03_DESPIECE'!$A$2:$A$225,B405,'03_DESPIECE'!$B$2:$B$225,C405)</f>
        <v>1</v>
      </c>
      <c r="M405" s="2" t="s">
        <v>629</v>
      </c>
    </row>
    <row r="406" customFormat="false" ht="15" hidden="false" customHeight="false" outlineLevel="0" collapsed="false">
      <c r="A406" s="2" t="s">
        <v>586</v>
      </c>
      <c r="B406" s="2" t="s">
        <v>108</v>
      </c>
      <c r="C406" s="2" t="s">
        <v>321</v>
      </c>
      <c r="D406" s="2" t="s">
        <v>176</v>
      </c>
      <c r="E406" s="5" t="n">
        <f aca="false">INDEX('08_PEDIDOS'!$D$2:$D$97,MATCH(A406,'08_PEDIDOS'!$A$2:$A$97,0))</f>
        <v>7</v>
      </c>
      <c r="F406" s="5" t="n">
        <f aca="false">SUMIFS('03_DESPIECE'!$D$2:$D$225,'03_DESPIECE'!$A$2:$A$225,B406,'03_DESPIECE'!$B$2:$B$225,C406)</f>
        <v>2</v>
      </c>
      <c r="G406" s="5" t="n">
        <f aca="false">E406*F406</f>
        <v>14</v>
      </c>
      <c r="H406" s="16" t="n">
        <f aca="false">SUMIFS('03_DESPIECE'!$J$2:$J$225,'03_DESPIECE'!$A$2:$A$225,B406,'03_DESPIECE'!$B$2:$B$225,C406)</f>
        <v>191.4717391304</v>
      </c>
      <c r="I406" s="16" t="n">
        <f aca="false">E406*H406</f>
        <v>1340.3021739128</v>
      </c>
      <c r="J406" s="17" t="n">
        <f aca="false">E406*SUMIFS('03_DESPIECE'!$I$2:$I$225,'03_DESPIECE'!$A$2:$A$225,B406,'03_DESPIECE'!$B$2:$B$225,C406)</f>
        <v>181.335</v>
      </c>
      <c r="K406" s="19" t="n">
        <f aca="false">E406*SUMIFS('03_DESPIECE'!$K$2:$K$225,'03_DESPIECE'!$A$2:$A$225,B406,'03_DESPIECE'!$B$2:$B$225,C406)</f>
        <v>5.3472222223</v>
      </c>
      <c r="L406" s="5" t="n">
        <f aca="false">SUMIFS('03_DESPIECE'!$L$2:$L$225,'03_DESPIECE'!$A$2:$A$225,B406,'03_DESPIECE'!$B$2:$B$225,C406)</f>
        <v>1</v>
      </c>
      <c r="M406" s="2" t="s">
        <v>629</v>
      </c>
    </row>
    <row r="407" customFormat="false" ht="15" hidden="false" customHeight="false" outlineLevel="0" collapsed="false">
      <c r="A407" s="2" t="s">
        <v>586</v>
      </c>
      <c r="B407" s="2" t="s">
        <v>108</v>
      </c>
      <c r="C407" s="2" t="s">
        <v>322</v>
      </c>
      <c r="D407" s="2" t="s">
        <v>176</v>
      </c>
      <c r="E407" s="5" t="n">
        <f aca="false">INDEX('08_PEDIDOS'!$D$2:$D$97,MATCH(A407,'08_PEDIDOS'!$A$2:$A$97,0))</f>
        <v>7</v>
      </c>
      <c r="F407" s="5" t="n">
        <f aca="false">SUMIFS('03_DESPIECE'!$D$2:$D$225,'03_DESPIECE'!$A$2:$A$225,B407,'03_DESPIECE'!$B$2:$B$225,C407)</f>
        <v>2</v>
      </c>
      <c r="G407" s="5" t="n">
        <f aca="false">E407*F407</f>
        <v>14</v>
      </c>
      <c r="H407" s="16" t="n">
        <f aca="false">SUMIFS('03_DESPIECE'!$J$2:$J$225,'03_DESPIECE'!$A$2:$A$225,B407,'03_DESPIECE'!$B$2:$B$225,C407)</f>
        <v>83.5513043478</v>
      </c>
      <c r="I407" s="16" t="n">
        <f aca="false">E407*H407</f>
        <v>584.8591304346</v>
      </c>
      <c r="J407" s="17" t="n">
        <f aca="false">E407*SUMIFS('03_DESPIECE'!$I$2:$I$225,'03_DESPIECE'!$A$2:$A$225,B407,'03_DESPIECE'!$B$2:$B$225,C407)</f>
        <v>79.128</v>
      </c>
      <c r="K407" s="19" t="n">
        <f aca="false">E407*SUMIFS('03_DESPIECE'!$K$2:$K$225,'03_DESPIECE'!$A$2:$A$225,B407,'03_DESPIECE'!$B$2:$B$225,C407)</f>
        <v>2.3333333331</v>
      </c>
      <c r="L407" s="5" t="n">
        <f aca="false">SUMIFS('03_DESPIECE'!$L$2:$L$225,'03_DESPIECE'!$A$2:$A$225,B407,'03_DESPIECE'!$B$2:$B$225,C407)</f>
        <v>1</v>
      </c>
      <c r="M407" s="2" t="s">
        <v>629</v>
      </c>
    </row>
    <row r="408" customFormat="false" ht="15" hidden="false" customHeight="false" outlineLevel="0" collapsed="false">
      <c r="A408" s="2" t="s">
        <v>586</v>
      </c>
      <c r="B408" s="2" t="s">
        <v>108</v>
      </c>
      <c r="C408" s="2" t="s">
        <v>323</v>
      </c>
      <c r="D408" s="2" t="s">
        <v>176</v>
      </c>
      <c r="E408" s="5" t="n">
        <f aca="false">INDEX('08_PEDIDOS'!$D$2:$D$97,MATCH(A408,'08_PEDIDOS'!$A$2:$A$97,0))</f>
        <v>7</v>
      </c>
      <c r="F408" s="5" t="n">
        <f aca="false">SUMIFS('03_DESPIECE'!$D$2:$D$225,'03_DESPIECE'!$A$2:$A$225,B408,'03_DESPIECE'!$B$2:$B$225,C408)</f>
        <v>1</v>
      </c>
      <c r="G408" s="5" t="n">
        <f aca="false">E408*F408</f>
        <v>7</v>
      </c>
      <c r="H408" s="16" t="n">
        <f aca="false">SUMIFS('03_DESPIECE'!$J$2:$J$225,'03_DESPIECE'!$A$2:$A$225,B408,'03_DESPIECE'!$B$2:$B$225,C408)</f>
        <v>156.6586956522</v>
      </c>
      <c r="I408" s="16" t="n">
        <f aca="false">E408*H408</f>
        <v>1096.6108695654</v>
      </c>
      <c r="J408" s="17" t="n">
        <f aca="false">E408*SUMIFS('03_DESPIECE'!$I$2:$I$225,'03_DESPIECE'!$A$2:$A$225,B408,'03_DESPIECE'!$B$2:$B$225,C408)</f>
        <v>148.365</v>
      </c>
      <c r="K408" s="19" t="n">
        <f aca="false">E408*SUMIFS('03_DESPIECE'!$K$2:$K$225,'03_DESPIECE'!$A$2:$A$225,B408,'03_DESPIECE'!$B$2:$B$225,C408)</f>
        <v>4.375</v>
      </c>
      <c r="L408" s="5" t="n">
        <f aca="false">SUMIFS('03_DESPIECE'!$L$2:$L$225,'03_DESPIECE'!$A$2:$A$225,B408,'03_DESPIECE'!$B$2:$B$225,C408)</f>
        <v>1</v>
      </c>
      <c r="M408" s="2" t="s">
        <v>629</v>
      </c>
    </row>
    <row r="409" customFormat="false" ht="15" hidden="false" customHeight="false" outlineLevel="0" collapsed="false">
      <c r="A409" s="2" t="s">
        <v>586</v>
      </c>
      <c r="B409" s="2" t="s">
        <v>108</v>
      </c>
      <c r="C409" s="2" t="s">
        <v>324</v>
      </c>
      <c r="D409" s="2" t="s">
        <v>176</v>
      </c>
      <c r="E409" s="5" t="n">
        <f aca="false">INDEX('08_PEDIDOS'!$D$2:$D$97,MATCH(A409,'08_PEDIDOS'!$A$2:$A$97,0))</f>
        <v>7</v>
      </c>
      <c r="F409" s="5" t="n">
        <f aca="false">SUMIFS('03_DESPIECE'!$D$2:$D$225,'03_DESPIECE'!$A$2:$A$225,B409,'03_DESPIECE'!$B$2:$B$225,C409)</f>
        <v>6</v>
      </c>
      <c r="G409" s="5" t="n">
        <f aca="false">E409*F409</f>
        <v>42</v>
      </c>
      <c r="H409" s="16" t="n">
        <f aca="false">SUMIFS('03_DESPIECE'!$J$2:$J$225,'03_DESPIECE'!$A$2:$A$225,B409,'03_DESPIECE'!$B$2:$B$225,C409)</f>
        <v>156.6586956522</v>
      </c>
      <c r="I409" s="16" t="n">
        <f aca="false">E409*H409</f>
        <v>1096.6108695654</v>
      </c>
      <c r="J409" s="17" t="n">
        <f aca="false">E409*SUMIFS('03_DESPIECE'!$I$2:$I$225,'03_DESPIECE'!$A$2:$A$225,B409,'03_DESPIECE'!$B$2:$B$225,C409)</f>
        <v>148.365</v>
      </c>
      <c r="K409" s="19" t="n">
        <f aca="false">E409*SUMIFS('03_DESPIECE'!$K$2:$K$225,'03_DESPIECE'!$A$2:$A$225,B409,'03_DESPIECE'!$B$2:$B$225,C409)</f>
        <v>4.375</v>
      </c>
      <c r="L409" s="5" t="n">
        <f aca="false">SUMIFS('03_DESPIECE'!$L$2:$L$225,'03_DESPIECE'!$A$2:$A$225,B409,'03_DESPIECE'!$B$2:$B$225,C409)</f>
        <v>1</v>
      </c>
      <c r="M409" s="2" t="s">
        <v>629</v>
      </c>
    </row>
    <row r="410" customFormat="false" ht="15" hidden="false" customHeight="false" outlineLevel="0" collapsed="false">
      <c r="A410" s="2" t="s">
        <v>586</v>
      </c>
      <c r="B410" s="2" t="s">
        <v>108</v>
      </c>
      <c r="C410" s="2" t="s">
        <v>325</v>
      </c>
      <c r="D410" s="2" t="s">
        <v>176</v>
      </c>
      <c r="E410" s="5" t="n">
        <f aca="false">INDEX('08_PEDIDOS'!$D$2:$D$97,MATCH(A410,'08_PEDIDOS'!$A$2:$A$97,0))</f>
        <v>7</v>
      </c>
      <c r="F410" s="5" t="n">
        <f aca="false">SUMIFS('03_DESPIECE'!$D$2:$D$225,'03_DESPIECE'!$A$2:$A$225,B410,'03_DESPIECE'!$B$2:$B$225,C410)</f>
        <v>2</v>
      </c>
      <c r="G410" s="5" t="n">
        <f aca="false">E410*F410</f>
        <v>14</v>
      </c>
      <c r="H410" s="16" t="n">
        <f aca="false">SUMIFS('03_DESPIECE'!$J$2:$J$225,'03_DESPIECE'!$A$2:$A$225,B410,'03_DESPIECE'!$B$2:$B$225,C410)</f>
        <v>121.8456521739</v>
      </c>
      <c r="I410" s="16" t="n">
        <f aca="false">E410*H410</f>
        <v>852.9195652173</v>
      </c>
      <c r="J410" s="17" t="n">
        <f aca="false">E410*SUMIFS('03_DESPIECE'!$I$2:$I$225,'03_DESPIECE'!$A$2:$A$225,B410,'03_DESPIECE'!$B$2:$B$225,C410)</f>
        <v>115.395</v>
      </c>
      <c r="K410" s="19" t="n">
        <f aca="false">E410*SUMIFS('03_DESPIECE'!$K$2:$K$225,'03_DESPIECE'!$A$2:$A$225,B410,'03_DESPIECE'!$B$2:$B$225,C410)</f>
        <v>3.4027777777</v>
      </c>
      <c r="L410" s="5" t="n">
        <f aca="false">SUMIFS('03_DESPIECE'!$L$2:$L$225,'03_DESPIECE'!$A$2:$A$225,B410,'03_DESPIECE'!$B$2:$B$225,C410)</f>
        <v>1</v>
      </c>
      <c r="M410" s="2" t="s">
        <v>629</v>
      </c>
    </row>
    <row r="411" customFormat="false" ht="15" hidden="false" customHeight="false" outlineLevel="0" collapsed="false">
      <c r="A411" s="2" t="s">
        <v>586</v>
      </c>
      <c r="B411" s="2" t="s">
        <v>108</v>
      </c>
      <c r="C411" s="2" t="s">
        <v>326</v>
      </c>
      <c r="D411" s="2" t="s">
        <v>176</v>
      </c>
      <c r="E411" s="5" t="n">
        <f aca="false">INDEX('08_PEDIDOS'!$D$2:$D$97,MATCH(A411,'08_PEDIDOS'!$A$2:$A$97,0))</f>
        <v>7</v>
      </c>
      <c r="F411" s="5" t="n">
        <f aca="false">SUMIFS('03_DESPIECE'!$D$2:$D$225,'03_DESPIECE'!$A$2:$A$225,B411,'03_DESPIECE'!$B$2:$B$225,C411)</f>
        <v>4</v>
      </c>
      <c r="G411" s="5" t="n">
        <f aca="false">E411*F411</f>
        <v>28</v>
      </c>
      <c r="H411" s="16" t="n">
        <f aca="false">SUMIFS('03_DESPIECE'!$J$2:$J$225,'03_DESPIECE'!$A$2:$A$225,B411,'03_DESPIECE'!$B$2:$B$225,C411)</f>
        <v>139.252173913</v>
      </c>
      <c r="I411" s="16" t="n">
        <f aca="false">E411*H411</f>
        <v>974.765217391</v>
      </c>
      <c r="J411" s="17" t="n">
        <f aca="false">E411*SUMIFS('03_DESPIECE'!$I$2:$I$225,'03_DESPIECE'!$A$2:$A$225,B411,'03_DESPIECE'!$B$2:$B$225,C411)</f>
        <v>131.88</v>
      </c>
      <c r="K411" s="19" t="n">
        <f aca="false">E411*SUMIFS('03_DESPIECE'!$K$2:$K$225,'03_DESPIECE'!$A$2:$A$225,B411,'03_DESPIECE'!$B$2:$B$225,C411)</f>
        <v>3.8888888892</v>
      </c>
      <c r="L411" s="5" t="n">
        <f aca="false">SUMIFS('03_DESPIECE'!$L$2:$L$225,'03_DESPIECE'!$A$2:$A$225,B411,'03_DESPIECE'!$B$2:$B$225,C411)</f>
        <v>1</v>
      </c>
      <c r="M411" s="2" t="s">
        <v>629</v>
      </c>
    </row>
    <row r="412" customFormat="false" ht="15" hidden="false" customHeight="false" outlineLevel="0" collapsed="false">
      <c r="A412" s="2" t="s">
        <v>586</v>
      </c>
      <c r="B412" s="2" t="s">
        <v>108</v>
      </c>
      <c r="C412" s="2" t="s">
        <v>319</v>
      </c>
      <c r="D412" s="2" t="s">
        <v>188</v>
      </c>
      <c r="E412" s="5" t="n">
        <f aca="false">INDEX('08_PEDIDOS'!$D$2:$D$97,MATCH(A412,'08_PEDIDOS'!$A$2:$A$97,0))</f>
        <v>7</v>
      </c>
      <c r="F412" s="5" t="n">
        <f aca="false">SUMIFS('03_DESPIECE'!$D$2:$D$225,'03_DESPIECE'!$A$2:$A$225,B412,'03_DESPIECE'!$B$2:$B$225,C412)</f>
        <v>12</v>
      </c>
      <c r="G412" s="5" t="n">
        <f aca="false">E412*F412</f>
        <v>84</v>
      </c>
      <c r="H412" s="16" t="n">
        <f aca="false">SUMIFS('03_DESPIECE'!$J$2:$J$225,'03_DESPIECE'!$A$2:$A$225,B412,'03_DESPIECE'!$B$2:$B$225,C412)</f>
        <v>10.8</v>
      </c>
      <c r="I412" s="16" t="n">
        <f aca="false">E412*H412</f>
        <v>75.6</v>
      </c>
      <c r="J412" s="17" t="n">
        <f aca="false">E412*SUMIFS('03_DESPIECE'!$I$2:$I$225,'03_DESPIECE'!$A$2:$A$225,B412,'03_DESPIECE'!$B$2:$B$225,C412)</f>
        <v>0</v>
      </c>
      <c r="K412" s="19" t="n">
        <f aca="false">E412*SUMIFS('03_DESPIECE'!$K$2:$K$225,'03_DESPIECE'!$A$2:$A$225,B412,'03_DESPIECE'!$B$2:$B$225,C412)</f>
        <v>0</v>
      </c>
      <c r="L412" s="5" t="n">
        <f aca="false">SUMIFS('03_DESPIECE'!$L$2:$L$225,'03_DESPIECE'!$A$2:$A$225,B412,'03_DESPIECE'!$B$2:$B$225,C412)</f>
        <v>1</v>
      </c>
      <c r="M412" s="2" t="s">
        <v>629</v>
      </c>
    </row>
    <row r="413" customFormat="false" ht="15" hidden="false" customHeight="false" outlineLevel="0" collapsed="false">
      <c r="A413" s="2" t="s">
        <v>586</v>
      </c>
      <c r="B413" s="2" t="s">
        <v>108</v>
      </c>
      <c r="C413" s="2" t="s">
        <v>320</v>
      </c>
      <c r="D413" s="2" t="s">
        <v>188</v>
      </c>
      <c r="E413" s="5" t="n">
        <f aca="false">INDEX('08_PEDIDOS'!$D$2:$D$97,MATCH(A413,'08_PEDIDOS'!$A$2:$A$97,0))</f>
        <v>7</v>
      </c>
      <c r="F413" s="5" t="n">
        <f aca="false">SUMIFS('03_DESPIECE'!$D$2:$D$225,'03_DESPIECE'!$A$2:$A$225,B413,'03_DESPIECE'!$B$2:$B$225,C413)</f>
        <v>6</v>
      </c>
      <c r="G413" s="5" t="n">
        <f aca="false">E413*F413</f>
        <v>42</v>
      </c>
      <c r="H413" s="16" t="n">
        <f aca="false">SUMIFS('03_DESPIECE'!$J$2:$J$225,'03_DESPIECE'!$A$2:$A$225,B413,'03_DESPIECE'!$B$2:$B$225,C413)</f>
        <v>5.4</v>
      </c>
      <c r="I413" s="16" t="n">
        <f aca="false">E413*H413</f>
        <v>37.8</v>
      </c>
      <c r="J413" s="17" t="n">
        <f aca="false">E413*SUMIFS('03_DESPIECE'!$I$2:$I$225,'03_DESPIECE'!$A$2:$A$225,B413,'03_DESPIECE'!$B$2:$B$225,C413)</f>
        <v>0</v>
      </c>
      <c r="K413" s="19" t="n">
        <f aca="false">E413*SUMIFS('03_DESPIECE'!$K$2:$K$225,'03_DESPIECE'!$A$2:$A$225,B413,'03_DESPIECE'!$B$2:$B$225,C413)</f>
        <v>0</v>
      </c>
      <c r="L413" s="5" t="n">
        <f aca="false">SUMIFS('03_DESPIECE'!$L$2:$L$225,'03_DESPIECE'!$A$2:$A$225,B413,'03_DESPIECE'!$B$2:$B$225,C413)</f>
        <v>1</v>
      </c>
      <c r="M413" s="2" t="s">
        <v>629</v>
      </c>
    </row>
    <row r="414" customFormat="false" ht="15" hidden="false" customHeight="false" outlineLevel="0" collapsed="false">
      <c r="A414" s="2" t="s">
        <v>587</v>
      </c>
      <c r="B414" s="2" t="s">
        <v>119</v>
      </c>
      <c r="C414" s="2" t="s">
        <v>327</v>
      </c>
      <c r="D414" s="2" t="s">
        <v>174</v>
      </c>
      <c r="E414" s="5" t="n">
        <f aca="false">INDEX('08_PEDIDOS'!$D$2:$D$97,MATCH(A414,'08_PEDIDOS'!$A$2:$A$97,0))</f>
        <v>11</v>
      </c>
      <c r="F414" s="5" t="n">
        <f aca="false">SUMIFS('03_DESPIECE'!$D$2:$D$225,'03_DESPIECE'!$A$2:$A$225,B414,'03_DESPIECE'!$B$2:$B$225,C414)</f>
        <v>2</v>
      </c>
      <c r="G414" s="5" t="n">
        <f aca="false">E414*F414</f>
        <v>22</v>
      </c>
      <c r="H414" s="16" t="n">
        <f aca="false">SUMIFS('03_DESPIECE'!$J$2:$J$225,'03_DESPIECE'!$A$2:$A$225,B414,'03_DESPIECE'!$B$2:$B$225,C414)</f>
        <v>110.2413043478</v>
      </c>
      <c r="I414" s="16" t="n">
        <f aca="false">E414*H414</f>
        <v>1212.6543478258</v>
      </c>
      <c r="J414" s="17" t="n">
        <f aca="false">E414*SUMIFS('03_DESPIECE'!$I$2:$I$225,'03_DESPIECE'!$A$2:$A$225,B414,'03_DESPIECE'!$B$2:$B$225,C414)</f>
        <v>164.065</v>
      </c>
      <c r="K414" s="19" t="n">
        <f aca="false">E414*SUMIFS('03_DESPIECE'!$K$2:$K$225,'03_DESPIECE'!$A$2:$A$225,B414,'03_DESPIECE'!$B$2:$B$225,C414)</f>
        <v>7.2569444442</v>
      </c>
      <c r="L414" s="5" t="n">
        <f aca="false">SUMIFS('03_DESPIECE'!$L$2:$L$225,'03_DESPIECE'!$A$2:$A$225,B414,'03_DESPIECE'!$B$2:$B$225,C414)</f>
        <v>1</v>
      </c>
      <c r="M414" s="2" t="s">
        <v>629</v>
      </c>
    </row>
    <row r="415" customFormat="false" ht="15" hidden="false" customHeight="false" outlineLevel="0" collapsed="false">
      <c r="A415" s="2" t="s">
        <v>587</v>
      </c>
      <c r="B415" s="2" t="s">
        <v>119</v>
      </c>
      <c r="C415" s="2" t="s">
        <v>316</v>
      </c>
      <c r="D415" s="2" t="s">
        <v>174</v>
      </c>
      <c r="E415" s="5" t="n">
        <f aca="false">INDEX('08_PEDIDOS'!$D$2:$D$97,MATCH(A415,'08_PEDIDOS'!$A$2:$A$97,0))</f>
        <v>11</v>
      </c>
      <c r="F415" s="5" t="n">
        <f aca="false">SUMIFS('03_DESPIECE'!$D$2:$D$225,'03_DESPIECE'!$A$2:$A$225,B415,'03_DESPIECE'!$B$2:$B$225,C415)</f>
        <v>1</v>
      </c>
      <c r="G415" s="5" t="n">
        <f aca="false">E415*F415</f>
        <v>11</v>
      </c>
      <c r="H415" s="16" t="n">
        <f aca="false">SUMIFS('03_DESPIECE'!$J$2:$J$225,'03_DESPIECE'!$A$2:$A$225,B415,'03_DESPIECE'!$B$2:$B$225,C415)</f>
        <v>75.4282608696</v>
      </c>
      <c r="I415" s="16" t="n">
        <f aca="false">E415*H415</f>
        <v>829.7108695656</v>
      </c>
      <c r="J415" s="17" t="n">
        <f aca="false">E415*SUMIFS('03_DESPIECE'!$I$2:$I$225,'03_DESPIECE'!$A$2:$A$225,B415,'03_DESPIECE'!$B$2:$B$225,C415)</f>
        <v>112.255</v>
      </c>
      <c r="K415" s="19" t="n">
        <f aca="false">E415*SUMIFS('03_DESPIECE'!$K$2:$K$225,'03_DESPIECE'!$A$2:$A$225,B415,'03_DESPIECE'!$B$2:$B$225,C415)</f>
        <v>4.9652777779</v>
      </c>
      <c r="L415" s="5" t="n">
        <f aca="false">SUMIFS('03_DESPIECE'!$L$2:$L$225,'03_DESPIECE'!$A$2:$A$225,B415,'03_DESPIECE'!$B$2:$B$225,C415)</f>
        <v>1</v>
      </c>
      <c r="M415" s="2" t="s">
        <v>629</v>
      </c>
    </row>
    <row r="416" customFormat="false" ht="15" hidden="false" customHeight="false" outlineLevel="0" collapsed="false">
      <c r="A416" s="2" t="s">
        <v>587</v>
      </c>
      <c r="B416" s="2" t="s">
        <v>119</v>
      </c>
      <c r="C416" s="2" t="s">
        <v>322</v>
      </c>
      <c r="D416" s="2" t="s">
        <v>174</v>
      </c>
      <c r="E416" s="5" t="n">
        <f aca="false">INDEX('08_PEDIDOS'!$D$2:$D$97,MATCH(A416,'08_PEDIDOS'!$A$2:$A$97,0))</f>
        <v>11</v>
      </c>
      <c r="F416" s="5" t="n">
        <f aca="false">SUMIFS('03_DESPIECE'!$D$2:$D$225,'03_DESPIECE'!$A$2:$A$225,B416,'03_DESPIECE'!$B$2:$B$225,C416)</f>
        <v>2</v>
      </c>
      <c r="G416" s="5" t="n">
        <f aca="false">E416*F416</f>
        <v>22</v>
      </c>
      <c r="H416" s="16" t="n">
        <f aca="false">SUMIFS('03_DESPIECE'!$J$2:$J$225,'03_DESPIECE'!$A$2:$A$225,B416,'03_DESPIECE'!$B$2:$B$225,C416)</f>
        <v>58.0217391304</v>
      </c>
      <c r="I416" s="16" t="n">
        <f aca="false">E416*H416</f>
        <v>638.2391304344</v>
      </c>
      <c r="J416" s="17" t="n">
        <f aca="false">E416*SUMIFS('03_DESPIECE'!$I$2:$I$225,'03_DESPIECE'!$A$2:$A$225,B416,'03_DESPIECE'!$B$2:$B$225,C416)</f>
        <v>86.35</v>
      </c>
      <c r="K416" s="19" t="n">
        <f aca="false">E416*SUMIFS('03_DESPIECE'!$K$2:$K$225,'03_DESPIECE'!$A$2:$A$225,B416,'03_DESPIECE'!$B$2:$B$225,C416)</f>
        <v>3.8194444442</v>
      </c>
      <c r="L416" s="5" t="n">
        <f aca="false">SUMIFS('03_DESPIECE'!$L$2:$L$225,'03_DESPIECE'!$A$2:$A$225,B416,'03_DESPIECE'!$B$2:$B$225,C416)</f>
        <v>1</v>
      </c>
      <c r="M416" s="2" t="s">
        <v>629</v>
      </c>
    </row>
    <row r="417" customFormat="false" ht="15" hidden="false" customHeight="false" outlineLevel="0" collapsed="false">
      <c r="A417" s="2" t="s">
        <v>587</v>
      </c>
      <c r="B417" s="2" t="s">
        <v>119</v>
      </c>
      <c r="C417" s="2" t="s">
        <v>328</v>
      </c>
      <c r="D417" s="2" t="s">
        <v>174</v>
      </c>
      <c r="E417" s="5" t="n">
        <f aca="false">INDEX('08_PEDIDOS'!$D$2:$D$97,MATCH(A417,'08_PEDIDOS'!$A$2:$A$97,0))</f>
        <v>11</v>
      </c>
      <c r="F417" s="5" t="n">
        <f aca="false">SUMIFS('03_DESPIECE'!$D$2:$D$225,'03_DESPIECE'!$A$2:$A$225,B417,'03_DESPIECE'!$B$2:$B$225,C417)</f>
        <v>2</v>
      </c>
      <c r="G417" s="5" t="n">
        <f aca="false">E417*F417</f>
        <v>22</v>
      </c>
      <c r="H417" s="16" t="n">
        <f aca="false">SUMIFS('03_DESPIECE'!$J$2:$J$225,'03_DESPIECE'!$A$2:$A$225,B417,'03_DESPIECE'!$B$2:$B$225,C417)</f>
        <v>81.2304347826</v>
      </c>
      <c r="I417" s="16" t="n">
        <f aca="false">E417*H417</f>
        <v>893.5347826086</v>
      </c>
      <c r="J417" s="17" t="n">
        <f aca="false">E417*SUMIFS('03_DESPIECE'!$I$2:$I$225,'03_DESPIECE'!$A$2:$A$225,B417,'03_DESPIECE'!$B$2:$B$225,C417)</f>
        <v>120.89</v>
      </c>
      <c r="K417" s="19" t="n">
        <f aca="false">E417*SUMIFS('03_DESPIECE'!$K$2:$K$225,'03_DESPIECE'!$A$2:$A$225,B417,'03_DESPIECE'!$B$2:$B$225,C417)</f>
        <v>5.3472222221</v>
      </c>
      <c r="L417" s="5" t="n">
        <f aca="false">SUMIFS('03_DESPIECE'!$L$2:$L$225,'03_DESPIECE'!$A$2:$A$225,B417,'03_DESPIECE'!$B$2:$B$225,C417)</f>
        <v>1</v>
      </c>
      <c r="M417" s="2" t="s">
        <v>629</v>
      </c>
    </row>
    <row r="418" customFormat="false" ht="15" hidden="false" customHeight="false" outlineLevel="0" collapsed="false">
      <c r="A418" s="2" t="s">
        <v>587</v>
      </c>
      <c r="B418" s="2" t="s">
        <v>119</v>
      </c>
      <c r="C418" s="2" t="s">
        <v>310</v>
      </c>
      <c r="D418" s="2" t="s">
        <v>174</v>
      </c>
      <c r="E418" s="5" t="n">
        <f aca="false">INDEX('08_PEDIDOS'!$D$2:$D$97,MATCH(A418,'08_PEDIDOS'!$A$2:$A$97,0))</f>
        <v>11</v>
      </c>
      <c r="F418" s="5" t="n">
        <f aca="false">SUMIFS('03_DESPIECE'!$D$2:$D$225,'03_DESPIECE'!$A$2:$A$225,B418,'03_DESPIECE'!$B$2:$B$225,C418)</f>
        <v>3</v>
      </c>
      <c r="G418" s="5" t="n">
        <f aca="false">E418*F418</f>
        <v>33</v>
      </c>
      <c r="H418" s="16" t="n">
        <f aca="false">SUMIFS('03_DESPIECE'!$J$2:$J$225,'03_DESPIECE'!$A$2:$A$225,B418,'03_DESPIECE'!$B$2:$B$225,C418)</f>
        <v>83.5513043478</v>
      </c>
      <c r="I418" s="16" t="n">
        <f aca="false">E418*H418</f>
        <v>919.0643478258</v>
      </c>
      <c r="J418" s="17" t="n">
        <f aca="false">E418*SUMIFS('03_DESPIECE'!$I$2:$I$225,'03_DESPIECE'!$A$2:$A$225,B418,'03_DESPIECE'!$B$2:$B$225,C418)</f>
        <v>124.344</v>
      </c>
      <c r="K418" s="19" t="n">
        <f aca="false">E418*SUMIFS('03_DESPIECE'!$K$2:$K$225,'03_DESPIECE'!$A$2:$A$225,B418,'03_DESPIECE'!$B$2:$B$225,C418)</f>
        <v>5.5</v>
      </c>
      <c r="L418" s="5" t="n">
        <f aca="false">SUMIFS('03_DESPIECE'!$L$2:$L$225,'03_DESPIECE'!$A$2:$A$225,B418,'03_DESPIECE'!$B$2:$B$225,C418)</f>
        <v>1</v>
      </c>
      <c r="M418" s="2" t="s">
        <v>629</v>
      </c>
    </row>
    <row r="419" customFormat="false" ht="15" hidden="false" customHeight="false" outlineLevel="0" collapsed="false">
      <c r="A419" s="2" t="s">
        <v>587</v>
      </c>
      <c r="B419" s="2" t="s">
        <v>119</v>
      </c>
      <c r="C419" s="2" t="s">
        <v>319</v>
      </c>
      <c r="D419" s="2" t="s">
        <v>188</v>
      </c>
      <c r="E419" s="5" t="n">
        <f aca="false">INDEX('08_PEDIDOS'!$D$2:$D$97,MATCH(A419,'08_PEDIDOS'!$A$2:$A$97,0))</f>
        <v>11</v>
      </c>
      <c r="F419" s="5" t="n">
        <f aca="false">SUMIFS('03_DESPIECE'!$D$2:$D$225,'03_DESPIECE'!$A$2:$A$225,B419,'03_DESPIECE'!$B$2:$B$225,C419)</f>
        <v>4</v>
      </c>
      <c r="G419" s="5" t="n">
        <f aca="false">E419*F419</f>
        <v>44</v>
      </c>
      <c r="H419" s="16" t="n">
        <f aca="false">SUMIFS('03_DESPIECE'!$J$2:$J$225,'03_DESPIECE'!$A$2:$A$225,B419,'03_DESPIECE'!$B$2:$B$225,C419)</f>
        <v>3.6</v>
      </c>
      <c r="I419" s="16" t="n">
        <f aca="false">E419*H419</f>
        <v>39.6</v>
      </c>
      <c r="J419" s="17" t="n">
        <f aca="false">E419*SUMIFS('03_DESPIECE'!$I$2:$I$225,'03_DESPIECE'!$A$2:$A$225,B419,'03_DESPIECE'!$B$2:$B$225,C419)</f>
        <v>0</v>
      </c>
      <c r="K419" s="19" t="n">
        <f aca="false">E419*SUMIFS('03_DESPIECE'!$K$2:$K$225,'03_DESPIECE'!$A$2:$A$225,B419,'03_DESPIECE'!$B$2:$B$225,C419)</f>
        <v>0</v>
      </c>
      <c r="L419" s="5" t="n">
        <f aca="false">SUMIFS('03_DESPIECE'!$L$2:$L$225,'03_DESPIECE'!$A$2:$A$225,B419,'03_DESPIECE'!$B$2:$B$225,C419)</f>
        <v>1</v>
      </c>
      <c r="M419" s="2" t="s">
        <v>629</v>
      </c>
    </row>
    <row r="420" customFormat="false" ht="15" hidden="false" customHeight="false" outlineLevel="0" collapsed="false">
      <c r="A420" s="2" t="s">
        <v>587</v>
      </c>
      <c r="B420" s="2" t="s">
        <v>119</v>
      </c>
      <c r="C420" s="2" t="s">
        <v>320</v>
      </c>
      <c r="D420" s="2" t="s">
        <v>188</v>
      </c>
      <c r="E420" s="5" t="n">
        <f aca="false">INDEX('08_PEDIDOS'!$D$2:$D$97,MATCH(A420,'08_PEDIDOS'!$A$2:$A$97,0))</f>
        <v>11</v>
      </c>
      <c r="F420" s="5" t="n">
        <f aca="false">SUMIFS('03_DESPIECE'!$D$2:$D$225,'03_DESPIECE'!$A$2:$A$225,B420,'03_DESPIECE'!$B$2:$B$225,C420)</f>
        <v>2</v>
      </c>
      <c r="G420" s="5" t="n">
        <f aca="false">E420*F420</f>
        <v>22</v>
      </c>
      <c r="H420" s="16" t="n">
        <f aca="false">SUMIFS('03_DESPIECE'!$J$2:$J$225,'03_DESPIECE'!$A$2:$A$225,B420,'03_DESPIECE'!$B$2:$B$225,C420)</f>
        <v>1.8</v>
      </c>
      <c r="I420" s="16" t="n">
        <f aca="false">E420*H420</f>
        <v>19.8</v>
      </c>
      <c r="J420" s="17" t="n">
        <f aca="false">E420*SUMIFS('03_DESPIECE'!$I$2:$I$225,'03_DESPIECE'!$A$2:$A$225,B420,'03_DESPIECE'!$B$2:$B$225,C420)</f>
        <v>0</v>
      </c>
      <c r="K420" s="19" t="n">
        <f aca="false">E420*SUMIFS('03_DESPIECE'!$K$2:$K$225,'03_DESPIECE'!$A$2:$A$225,B420,'03_DESPIECE'!$B$2:$B$225,C420)</f>
        <v>0</v>
      </c>
      <c r="L420" s="5" t="n">
        <f aca="false">SUMIFS('03_DESPIECE'!$L$2:$L$225,'03_DESPIECE'!$A$2:$A$225,B420,'03_DESPIECE'!$B$2:$B$225,C420)</f>
        <v>1</v>
      </c>
      <c r="M420" s="2" t="s">
        <v>629</v>
      </c>
    </row>
    <row r="421" customFormat="false" ht="15" hidden="false" customHeight="false" outlineLevel="0" collapsed="false">
      <c r="A421" s="2" t="s">
        <v>588</v>
      </c>
      <c r="B421" s="2" t="s">
        <v>121</v>
      </c>
      <c r="C421" s="2" t="s">
        <v>329</v>
      </c>
      <c r="D421" s="2" t="s">
        <v>184</v>
      </c>
      <c r="E421" s="5" t="n">
        <f aca="false">INDEX('08_PEDIDOS'!$D$2:$D$97,MATCH(A421,'08_PEDIDOS'!$A$2:$A$97,0))</f>
        <v>12</v>
      </c>
      <c r="F421" s="5" t="n">
        <f aca="false">SUMIFS('03_DESPIECE'!$D$2:$D$225,'03_DESPIECE'!$A$2:$A$225,B421,'03_DESPIECE'!$B$2:$B$225,C421)</f>
        <v>4</v>
      </c>
      <c r="G421" s="5" t="n">
        <f aca="false">E421*F421</f>
        <v>48</v>
      </c>
      <c r="H421" s="16" t="n">
        <f aca="false">SUMIFS('03_DESPIECE'!$J$2:$J$225,'03_DESPIECE'!$A$2:$A$225,B421,'03_DESPIECE'!$B$2:$B$225,C421)</f>
        <v>62.90625</v>
      </c>
      <c r="I421" s="16" t="n">
        <f aca="false">E421*H421</f>
        <v>754.875</v>
      </c>
      <c r="J421" s="17" t="n">
        <f aca="false">E421*SUMIFS('03_DESPIECE'!$I$2:$I$225,'03_DESPIECE'!$A$2:$A$225,B421,'03_DESPIECE'!$B$2:$B$225,C421)</f>
        <v>118.8</v>
      </c>
      <c r="K421" s="19" t="n">
        <f aca="false">E421*SUMIFS('03_DESPIECE'!$K$2:$K$225,'03_DESPIECE'!$A$2:$A$225,B421,'03_DESPIECE'!$B$2:$B$225,C421)</f>
        <v>0</v>
      </c>
      <c r="L421" s="5" t="n">
        <f aca="false">SUMIFS('03_DESPIECE'!$L$2:$L$225,'03_DESPIECE'!$A$2:$A$225,B421,'03_DESPIECE'!$B$2:$B$225,C421)</f>
        <v>1</v>
      </c>
      <c r="M421" s="2" t="s">
        <v>629</v>
      </c>
    </row>
    <row r="422" customFormat="false" ht="15" hidden="false" customHeight="false" outlineLevel="0" collapsed="false">
      <c r="A422" s="2" t="s">
        <v>588</v>
      </c>
      <c r="B422" s="2" t="s">
        <v>121</v>
      </c>
      <c r="C422" s="2" t="s">
        <v>330</v>
      </c>
      <c r="D422" s="2" t="s">
        <v>184</v>
      </c>
      <c r="E422" s="5" t="n">
        <f aca="false">INDEX('08_PEDIDOS'!$D$2:$D$97,MATCH(A422,'08_PEDIDOS'!$A$2:$A$97,0))</f>
        <v>12</v>
      </c>
      <c r="F422" s="5" t="n">
        <f aca="false">SUMIFS('03_DESPIECE'!$D$2:$D$225,'03_DESPIECE'!$A$2:$A$225,B422,'03_DESPIECE'!$B$2:$B$225,C422)</f>
        <v>8</v>
      </c>
      <c r="G422" s="5" t="n">
        <f aca="false">E422*F422</f>
        <v>96</v>
      </c>
      <c r="H422" s="16" t="n">
        <f aca="false">SUMIFS('03_DESPIECE'!$J$2:$J$225,'03_DESPIECE'!$A$2:$A$225,B422,'03_DESPIECE'!$B$2:$B$225,C422)</f>
        <v>68.625</v>
      </c>
      <c r="I422" s="16" t="n">
        <f aca="false">E422*H422</f>
        <v>823.5</v>
      </c>
      <c r="J422" s="17" t="n">
        <f aca="false">E422*SUMIFS('03_DESPIECE'!$I$2:$I$225,'03_DESPIECE'!$A$2:$A$225,B422,'03_DESPIECE'!$B$2:$B$225,C422)</f>
        <v>129.6</v>
      </c>
      <c r="K422" s="19" t="n">
        <f aca="false">E422*SUMIFS('03_DESPIECE'!$K$2:$K$225,'03_DESPIECE'!$A$2:$A$225,B422,'03_DESPIECE'!$B$2:$B$225,C422)</f>
        <v>0</v>
      </c>
      <c r="L422" s="5" t="n">
        <f aca="false">SUMIFS('03_DESPIECE'!$L$2:$L$225,'03_DESPIECE'!$A$2:$A$225,B422,'03_DESPIECE'!$B$2:$B$225,C422)</f>
        <v>1</v>
      </c>
      <c r="M422" s="2" t="s">
        <v>629</v>
      </c>
    </row>
    <row r="423" customFormat="false" ht="15" hidden="false" customHeight="false" outlineLevel="0" collapsed="false">
      <c r="A423" s="2" t="s">
        <v>588</v>
      </c>
      <c r="B423" s="2" t="s">
        <v>121</v>
      </c>
      <c r="C423" s="2" t="s">
        <v>310</v>
      </c>
      <c r="D423" s="2" t="s">
        <v>174</v>
      </c>
      <c r="E423" s="5" t="n">
        <f aca="false">INDEX('08_PEDIDOS'!$D$2:$D$97,MATCH(A423,'08_PEDIDOS'!$A$2:$A$97,0))</f>
        <v>12</v>
      </c>
      <c r="F423" s="5" t="n">
        <f aca="false">SUMIFS('03_DESPIECE'!$D$2:$D$225,'03_DESPIECE'!$A$2:$A$225,B423,'03_DESPIECE'!$B$2:$B$225,C423)</f>
        <v>5</v>
      </c>
      <c r="G423" s="5" t="n">
        <f aca="false">E423*F423</f>
        <v>60</v>
      </c>
      <c r="H423" s="16" t="n">
        <f aca="false">SUMIFS('03_DESPIECE'!$J$2:$J$225,'03_DESPIECE'!$A$2:$A$225,B423,'03_DESPIECE'!$B$2:$B$225,C423)</f>
        <v>116.0434782609</v>
      </c>
      <c r="I423" s="16" t="n">
        <f aca="false">E423*H423</f>
        <v>1392.5217391308</v>
      </c>
      <c r="J423" s="17" t="n">
        <f aca="false">E423*SUMIFS('03_DESPIECE'!$I$2:$I$225,'03_DESPIECE'!$A$2:$A$225,B423,'03_DESPIECE'!$B$2:$B$225,C423)</f>
        <v>188.4</v>
      </c>
      <c r="K423" s="19" t="n">
        <f aca="false">E423*SUMIFS('03_DESPIECE'!$K$2:$K$225,'03_DESPIECE'!$A$2:$A$225,B423,'03_DESPIECE'!$B$2:$B$225,C423)</f>
        <v>8.3333333328</v>
      </c>
      <c r="L423" s="5" t="n">
        <f aca="false">SUMIFS('03_DESPIECE'!$L$2:$L$225,'03_DESPIECE'!$A$2:$A$225,B423,'03_DESPIECE'!$B$2:$B$225,C423)</f>
        <v>1</v>
      </c>
      <c r="M423" s="2" t="s">
        <v>629</v>
      </c>
    </row>
    <row r="424" customFormat="false" ht="15" hidden="false" customHeight="false" outlineLevel="0" collapsed="false">
      <c r="A424" s="2" t="s">
        <v>588</v>
      </c>
      <c r="B424" s="2" t="s">
        <v>121</v>
      </c>
      <c r="C424" s="2" t="s">
        <v>331</v>
      </c>
      <c r="D424" s="2" t="s">
        <v>174</v>
      </c>
      <c r="E424" s="5" t="n">
        <f aca="false">INDEX('08_PEDIDOS'!$D$2:$D$97,MATCH(A424,'08_PEDIDOS'!$A$2:$A$97,0))</f>
        <v>12</v>
      </c>
      <c r="F424" s="5" t="n">
        <f aca="false">SUMIFS('03_DESPIECE'!$D$2:$D$225,'03_DESPIECE'!$A$2:$A$225,B424,'03_DESPIECE'!$B$2:$B$225,C424)</f>
        <v>8</v>
      </c>
      <c r="G424" s="5" t="n">
        <f aca="false">E424*F424</f>
        <v>96</v>
      </c>
      <c r="H424" s="16" t="n">
        <f aca="false">SUMIFS('03_DESPIECE'!$J$2:$J$225,'03_DESPIECE'!$A$2:$A$225,B424,'03_DESPIECE'!$B$2:$B$225,C424)</f>
        <v>16.2460869565</v>
      </c>
      <c r="I424" s="16" t="n">
        <f aca="false">E424*H424</f>
        <v>194.953043478</v>
      </c>
      <c r="J424" s="17" t="n">
        <f aca="false">E424*SUMIFS('03_DESPIECE'!$I$2:$I$225,'03_DESPIECE'!$A$2:$A$225,B424,'03_DESPIECE'!$B$2:$B$225,C424)</f>
        <v>26.376</v>
      </c>
      <c r="K424" s="19" t="n">
        <f aca="false">E424*SUMIFS('03_DESPIECE'!$K$2:$K$225,'03_DESPIECE'!$A$2:$A$225,B424,'03_DESPIECE'!$B$2:$B$225,C424)</f>
        <v>1.1666666664</v>
      </c>
      <c r="L424" s="5" t="n">
        <f aca="false">SUMIFS('03_DESPIECE'!$L$2:$L$225,'03_DESPIECE'!$A$2:$A$225,B424,'03_DESPIECE'!$B$2:$B$225,C424)</f>
        <v>1</v>
      </c>
      <c r="M424" s="2" t="s">
        <v>629</v>
      </c>
    </row>
    <row r="425" customFormat="false" ht="15" hidden="false" customHeight="false" outlineLevel="0" collapsed="false">
      <c r="A425" s="2" t="s">
        <v>588</v>
      </c>
      <c r="B425" s="2" t="s">
        <v>121</v>
      </c>
      <c r="C425" s="2" t="s">
        <v>332</v>
      </c>
      <c r="D425" s="2" t="s">
        <v>188</v>
      </c>
      <c r="E425" s="5" t="n">
        <f aca="false">INDEX('08_PEDIDOS'!$D$2:$D$97,MATCH(A425,'08_PEDIDOS'!$A$2:$A$97,0))</f>
        <v>12</v>
      </c>
      <c r="F425" s="5" t="n">
        <f aca="false">SUMIFS('03_DESPIECE'!$D$2:$D$225,'03_DESPIECE'!$A$2:$A$225,B425,'03_DESPIECE'!$B$2:$B$225,C425)</f>
        <v>32</v>
      </c>
      <c r="G425" s="5" t="n">
        <f aca="false">E425*F425</f>
        <v>384</v>
      </c>
      <c r="H425" s="16" t="n">
        <f aca="false">SUMIFS('03_DESPIECE'!$J$2:$J$225,'03_DESPIECE'!$A$2:$A$225,B425,'03_DESPIECE'!$B$2:$B$225,C425)</f>
        <v>28.8</v>
      </c>
      <c r="I425" s="16" t="n">
        <f aca="false">E425*H425</f>
        <v>345.6</v>
      </c>
      <c r="J425" s="17" t="n">
        <f aca="false">E425*SUMIFS('03_DESPIECE'!$I$2:$I$225,'03_DESPIECE'!$A$2:$A$225,B425,'03_DESPIECE'!$B$2:$B$225,C425)</f>
        <v>0</v>
      </c>
      <c r="K425" s="19" t="n">
        <f aca="false">E425*SUMIFS('03_DESPIECE'!$K$2:$K$225,'03_DESPIECE'!$A$2:$A$225,B425,'03_DESPIECE'!$B$2:$B$225,C425)</f>
        <v>0</v>
      </c>
      <c r="L425" s="5" t="n">
        <f aca="false">SUMIFS('03_DESPIECE'!$L$2:$L$225,'03_DESPIECE'!$A$2:$A$225,B425,'03_DESPIECE'!$B$2:$B$225,C425)</f>
        <v>1</v>
      </c>
      <c r="M425" s="2" t="s">
        <v>629</v>
      </c>
    </row>
    <row r="426" customFormat="false" ht="15" hidden="false" customHeight="false" outlineLevel="0" collapsed="false">
      <c r="A426" s="2" t="s">
        <v>589</v>
      </c>
      <c r="B426" s="2" t="s">
        <v>80</v>
      </c>
      <c r="C426" s="2" t="s">
        <v>285</v>
      </c>
      <c r="D426" s="2" t="s">
        <v>184</v>
      </c>
      <c r="E426" s="5" t="n">
        <f aca="false">INDEX('08_PEDIDOS'!$D$2:$D$97,MATCH(A426,'08_PEDIDOS'!$A$2:$A$97,0))</f>
        <v>12</v>
      </c>
      <c r="F426" s="5" t="n">
        <f aca="false">SUMIFS('03_DESPIECE'!$D$2:$D$225,'03_DESPIECE'!$A$2:$A$225,B426,'03_DESPIECE'!$B$2:$B$225,C426)</f>
        <v>4</v>
      </c>
      <c r="G426" s="5" t="n">
        <f aca="false">E426*F426</f>
        <v>48</v>
      </c>
      <c r="H426" s="16" t="n">
        <f aca="false">SUMIFS('03_DESPIECE'!$J$2:$J$225,'03_DESPIECE'!$A$2:$A$225,B426,'03_DESPIECE'!$B$2:$B$225,C426)</f>
        <v>68.625</v>
      </c>
      <c r="I426" s="16" t="n">
        <f aca="false">E426*H426</f>
        <v>823.5</v>
      </c>
      <c r="J426" s="17" t="n">
        <f aca="false">E426*SUMIFS('03_DESPIECE'!$I$2:$I$225,'03_DESPIECE'!$A$2:$A$225,B426,'03_DESPIECE'!$B$2:$B$225,C426)</f>
        <v>129.6</v>
      </c>
      <c r="K426" s="19" t="n">
        <f aca="false">E426*SUMIFS('03_DESPIECE'!$K$2:$K$225,'03_DESPIECE'!$A$2:$A$225,B426,'03_DESPIECE'!$B$2:$B$225,C426)</f>
        <v>0</v>
      </c>
      <c r="L426" s="5" t="n">
        <f aca="false">SUMIFS('03_DESPIECE'!$L$2:$L$225,'03_DESPIECE'!$A$2:$A$225,B426,'03_DESPIECE'!$B$2:$B$225,C426)</f>
        <v>1</v>
      </c>
      <c r="M426" s="2" t="s">
        <v>629</v>
      </c>
    </row>
    <row r="427" customFormat="false" ht="15" hidden="false" customHeight="false" outlineLevel="0" collapsed="false">
      <c r="A427" s="2" t="s">
        <v>589</v>
      </c>
      <c r="B427" s="2" t="s">
        <v>80</v>
      </c>
      <c r="C427" s="2" t="s">
        <v>287</v>
      </c>
      <c r="D427" s="2" t="s">
        <v>184</v>
      </c>
      <c r="E427" s="5" t="n">
        <f aca="false">INDEX('08_PEDIDOS'!$D$2:$D$97,MATCH(A427,'08_PEDIDOS'!$A$2:$A$97,0))</f>
        <v>12</v>
      </c>
      <c r="F427" s="5" t="n">
        <f aca="false">SUMIFS('03_DESPIECE'!$D$2:$D$225,'03_DESPIECE'!$A$2:$A$225,B427,'03_DESPIECE'!$B$2:$B$225,C427)</f>
        <v>8</v>
      </c>
      <c r="G427" s="5" t="n">
        <f aca="false">E427*F427</f>
        <v>96</v>
      </c>
      <c r="H427" s="16" t="n">
        <f aca="false">SUMIFS('03_DESPIECE'!$J$2:$J$225,'03_DESPIECE'!$A$2:$A$225,B427,'03_DESPIECE'!$B$2:$B$225,C427)</f>
        <v>91.5</v>
      </c>
      <c r="I427" s="16" t="n">
        <f aca="false">E427*H427</f>
        <v>1098</v>
      </c>
      <c r="J427" s="17" t="n">
        <f aca="false">E427*SUMIFS('03_DESPIECE'!$I$2:$I$225,'03_DESPIECE'!$A$2:$A$225,B427,'03_DESPIECE'!$B$2:$B$225,C427)</f>
        <v>172.8</v>
      </c>
      <c r="K427" s="19" t="n">
        <f aca="false">E427*SUMIFS('03_DESPIECE'!$K$2:$K$225,'03_DESPIECE'!$A$2:$A$225,B427,'03_DESPIECE'!$B$2:$B$225,C427)</f>
        <v>0</v>
      </c>
      <c r="L427" s="5" t="n">
        <f aca="false">SUMIFS('03_DESPIECE'!$L$2:$L$225,'03_DESPIECE'!$A$2:$A$225,B427,'03_DESPIECE'!$B$2:$B$225,C427)</f>
        <v>1</v>
      </c>
      <c r="M427" s="2" t="s">
        <v>629</v>
      </c>
    </row>
    <row r="428" customFormat="false" ht="15" hidden="false" customHeight="false" outlineLevel="0" collapsed="false">
      <c r="A428" s="2" t="s">
        <v>589</v>
      </c>
      <c r="B428" s="2" t="s">
        <v>80</v>
      </c>
      <c r="C428" s="2" t="s">
        <v>288</v>
      </c>
      <c r="D428" s="2" t="s">
        <v>184</v>
      </c>
      <c r="E428" s="5" t="n">
        <f aca="false">INDEX('08_PEDIDOS'!$D$2:$D$97,MATCH(A428,'08_PEDIDOS'!$A$2:$A$97,0))</f>
        <v>12</v>
      </c>
      <c r="F428" s="5" t="n">
        <f aca="false">SUMIFS('03_DESPIECE'!$D$2:$D$225,'03_DESPIECE'!$A$2:$A$225,B428,'03_DESPIECE'!$B$2:$B$225,C428)</f>
        <v>4</v>
      </c>
      <c r="G428" s="5" t="n">
        <f aca="false">E428*F428</f>
        <v>48</v>
      </c>
      <c r="H428" s="16" t="n">
        <f aca="false">SUMIFS('03_DESPIECE'!$J$2:$J$225,'03_DESPIECE'!$A$2:$A$225,B428,'03_DESPIECE'!$B$2:$B$225,C428)</f>
        <v>22.875</v>
      </c>
      <c r="I428" s="16" t="n">
        <f aca="false">E428*H428</f>
        <v>274.5</v>
      </c>
      <c r="J428" s="17" t="n">
        <f aca="false">E428*SUMIFS('03_DESPIECE'!$I$2:$I$225,'03_DESPIECE'!$A$2:$A$225,B428,'03_DESPIECE'!$B$2:$B$225,C428)</f>
        <v>43.2</v>
      </c>
      <c r="K428" s="19" t="n">
        <f aca="false">E428*SUMIFS('03_DESPIECE'!$K$2:$K$225,'03_DESPIECE'!$A$2:$A$225,B428,'03_DESPIECE'!$B$2:$B$225,C428)</f>
        <v>0</v>
      </c>
      <c r="L428" s="5" t="n">
        <f aca="false">SUMIFS('03_DESPIECE'!$L$2:$L$225,'03_DESPIECE'!$A$2:$A$225,B428,'03_DESPIECE'!$B$2:$B$225,C428)</f>
        <v>1</v>
      </c>
      <c r="M428" s="2" t="s">
        <v>629</v>
      </c>
    </row>
    <row r="429" customFormat="false" ht="15" hidden="false" customHeight="false" outlineLevel="0" collapsed="false">
      <c r="A429" s="2" t="s">
        <v>589</v>
      </c>
      <c r="B429" s="2" t="s">
        <v>80</v>
      </c>
      <c r="C429" s="2" t="s">
        <v>289</v>
      </c>
      <c r="D429" s="2" t="s">
        <v>170</v>
      </c>
      <c r="E429" s="5" t="n">
        <f aca="false">INDEX('08_PEDIDOS'!$D$2:$D$97,MATCH(A429,'08_PEDIDOS'!$A$2:$A$97,0))</f>
        <v>12</v>
      </c>
      <c r="F429" s="5" t="n">
        <f aca="false">SUMIFS('03_DESPIECE'!$D$2:$D$225,'03_DESPIECE'!$A$2:$A$225,B429,'03_DESPIECE'!$B$2:$B$225,C429)</f>
        <v>4</v>
      </c>
      <c r="G429" s="5" t="n">
        <f aca="false">E429*F429</f>
        <v>48</v>
      </c>
      <c r="H429" s="16" t="n">
        <f aca="false">SUMIFS('03_DESPIECE'!$J$2:$J$225,'03_DESPIECE'!$A$2:$A$225,B429,'03_DESPIECE'!$B$2:$B$225,C429)</f>
        <v>334.2052173913</v>
      </c>
      <c r="I429" s="16" t="n">
        <f aca="false">E429*H429</f>
        <v>4010.4626086956</v>
      </c>
      <c r="J429" s="17" t="n">
        <f aca="false">E429*SUMIFS('03_DESPIECE'!$I$2:$I$225,'03_DESPIECE'!$A$2:$A$225,B429,'03_DESPIECE'!$B$2:$B$225,C429)</f>
        <v>542.592</v>
      </c>
      <c r="K429" s="19" t="n">
        <f aca="false">E429*SUMIFS('03_DESPIECE'!$K$2:$K$225,'03_DESPIECE'!$A$2:$A$225,B429,'03_DESPIECE'!$B$2:$B$225,C429)</f>
        <v>12</v>
      </c>
      <c r="L429" s="5" t="n">
        <f aca="false">SUMIFS('03_DESPIECE'!$L$2:$L$225,'03_DESPIECE'!$A$2:$A$225,B429,'03_DESPIECE'!$B$2:$B$225,C429)</f>
        <v>1</v>
      </c>
      <c r="M429" s="2" t="s">
        <v>629</v>
      </c>
    </row>
    <row r="430" customFormat="false" ht="15" hidden="false" customHeight="false" outlineLevel="0" collapsed="false">
      <c r="A430" s="2" t="s">
        <v>589</v>
      </c>
      <c r="B430" s="2" t="s">
        <v>80</v>
      </c>
      <c r="C430" s="2" t="s">
        <v>291</v>
      </c>
      <c r="D430" s="2" t="s">
        <v>170</v>
      </c>
      <c r="E430" s="5" t="n">
        <f aca="false">INDEX('08_PEDIDOS'!$D$2:$D$97,MATCH(A430,'08_PEDIDOS'!$A$2:$A$97,0))</f>
        <v>12</v>
      </c>
      <c r="F430" s="5" t="n">
        <f aca="false">SUMIFS('03_DESPIECE'!$D$2:$D$225,'03_DESPIECE'!$A$2:$A$225,B430,'03_DESPIECE'!$B$2:$B$225,C430)</f>
        <v>8</v>
      </c>
      <c r="G430" s="5" t="n">
        <f aca="false">E430*F430</f>
        <v>96</v>
      </c>
      <c r="H430" s="16" t="n">
        <f aca="false">SUMIFS('03_DESPIECE'!$J$2:$J$225,'03_DESPIECE'!$A$2:$A$225,B430,'03_DESPIECE'!$B$2:$B$225,C430)</f>
        <v>23.2086956522</v>
      </c>
      <c r="I430" s="16" t="n">
        <f aca="false">E430*H430</f>
        <v>278.5043478264</v>
      </c>
      <c r="J430" s="17" t="n">
        <f aca="false">E430*SUMIFS('03_DESPIECE'!$I$2:$I$225,'03_DESPIECE'!$A$2:$A$225,B430,'03_DESPIECE'!$B$2:$B$225,C430)</f>
        <v>37.68</v>
      </c>
      <c r="K430" s="19" t="n">
        <f aca="false">E430*SUMIFS('03_DESPIECE'!$K$2:$K$225,'03_DESPIECE'!$A$2:$A$225,B430,'03_DESPIECE'!$B$2:$B$225,C430)</f>
        <v>0.8333333328</v>
      </c>
      <c r="L430" s="5" t="n">
        <f aca="false">SUMIFS('03_DESPIECE'!$L$2:$L$225,'03_DESPIECE'!$A$2:$A$225,B430,'03_DESPIECE'!$B$2:$B$225,C430)</f>
        <v>1</v>
      </c>
      <c r="M430" s="2" t="s">
        <v>629</v>
      </c>
    </row>
    <row r="431" customFormat="false" ht="15" hidden="false" customHeight="false" outlineLevel="0" collapsed="false">
      <c r="A431" s="2" t="s">
        <v>589</v>
      </c>
      <c r="B431" s="2" t="s">
        <v>80</v>
      </c>
      <c r="C431" s="2" t="s">
        <v>292</v>
      </c>
      <c r="D431" s="2" t="s">
        <v>188</v>
      </c>
      <c r="E431" s="5" t="n">
        <f aca="false">INDEX('08_PEDIDOS'!$D$2:$D$97,MATCH(A431,'08_PEDIDOS'!$A$2:$A$97,0))</f>
        <v>12</v>
      </c>
      <c r="F431" s="5" t="n">
        <f aca="false">SUMIFS('03_DESPIECE'!$D$2:$D$225,'03_DESPIECE'!$A$2:$A$225,B431,'03_DESPIECE'!$B$2:$B$225,C431)</f>
        <v>24</v>
      </c>
      <c r="G431" s="5" t="n">
        <f aca="false">E431*F431</f>
        <v>288</v>
      </c>
      <c r="H431" s="16" t="n">
        <f aca="false">SUMIFS('03_DESPIECE'!$J$2:$J$225,'03_DESPIECE'!$A$2:$A$225,B431,'03_DESPIECE'!$B$2:$B$225,C431)</f>
        <v>21.6</v>
      </c>
      <c r="I431" s="16" t="n">
        <f aca="false">E431*H431</f>
        <v>259.2</v>
      </c>
      <c r="J431" s="17" t="n">
        <f aca="false">E431*SUMIFS('03_DESPIECE'!$I$2:$I$225,'03_DESPIECE'!$A$2:$A$225,B431,'03_DESPIECE'!$B$2:$B$225,C431)</f>
        <v>0</v>
      </c>
      <c r="K431" s="19" t="n">
        <f aca="false">E431*SUMIFS('03_DESPIECE'!$K$2:$K$225,'03_DESPIECE'!$A$2:$A$225,B431,'03_DESPIECE'!$B$2:$B$225,C431)</f>
        <v>0</v>
      </c>
      <c r="L431" s="5" t="n">
        <f aca="false">SUMIFS('03_DESPIECE'!$L$2:$L$225,'03_DESPIECE'!$A$2:$A$225,B431,'03_DESPIECE'!$B$2:$B$225,C431)</f>
        <v>1</v>
      </c>
      <c r="M431" s="2" t="s">
        <v>629</v>
      </c>
    </row>
    <row r="432" customFormat="false" ht="15" hidden="false" customHeight="false" outlineLevel="0" collapsed="false">
      <c r="A432" s="2" t="s">
        <v>589</v>
      </c>
      <c r="B432" s="2" t="s">
        <v>80</v>
      </c>
      <c r="C432" s="2" t="s">
        <v>294</v>
      </c>
      <c r="D432" s="2" t="s">
        <v>188</v>
      </c>
      <c r="E432" s="5" t="n">
        <f aca="false">INDEX('08_PEDIDOS'!$D$2:$D$97,MATCH(A432,'08_PEDIDOS'!$A$2:$A$97,0))</f>
        <v>12</v>
      </c>
      <c r="F432" s="5" t="n">
        <f aca="false">SUMIFS('03_DESPIECE'!$D$2:$D$225,'03_DESPIECE'!$A$2:$A$225,B432,'03_DESPIECE'!$B$2:$B$225,C432)</f>
        <v>4</v>
      </c>
      <c r="G432" s="5" t="n">
        <f aca="false">E432*F432</f>
        <v>48</v>
      </c>
      <c r="H432" s="16" t="n">
        <f aca="false">SUMIFS('03_DESPIECE'!$J$2:$J$225,'03_DESPIECE'!$A$2:$A$225,B432,'03_DESPIECE'!$B$2:$B$225,C432)</f>
        <v>3.6</v>
      </c>
      <c r="I432" s="16" t="n">
        <f aca="false">E432*H432</f>
        <v>43.2</v>
      </c>
      <c r="J432" s="17" t="n">
        <f aca="false">E432*SUMIFS('03_DESPIECE'!$I$2:$I$225,'03_DESPIECE'!$A$2:$A$225,B432,'03_DESPIECE'!$B$2:$B$225,C432)</f>
        <v>0</v>
      </c>
      <c r="K432" s="19" t="n">
        <f aca="false">E432*SUMIFS('03_DESPIECE'!$K$2:$K$225,'03_DESPIECE'!$A$2:$A$225,B432,'03_DESPIECE'!$B$2:$B$225,C432)</f>
        <v>0</v>
      </c>
      <c r="L432" s="5" t="n">
        <f aca="false">SUMIFS('03_DESPIECE'!$L$2:$L$225,'03_DESPIECE'!$A$2:$A$225,B432,'03_DESPIECE'!$B$2:$B$225,C432)</f>
        <v>1</v>
      </c>
      <c r="M432" s="2" t="s">
        <v>629</v>
      </c>
    </row>
    <row r="433" customFormat="false" ht="15" hidden="false" customHeight="false" outlineLevel="0" collapsed="false">
      <c r="A433" s="2" t="s">
        <v>590</v>
      </c>
      <c r="B433" s="2" t="s">
        <v>83</v>
      </c>
      <c r="C433" s="2" t="s">
        <v>295</v>
      </c>
      <c r="D433" s="2" t="s">
        <v>184</v>
      </c>
      <c r="E433" s="5" t="n">
        <f aca="false">INDEX('08_PEDIDOS'!$D$2:$D$97,MATCH(A433,'08_PEDIDOS'!$A$2:$A$97,0))</f>
        <v>12</v>
      </c>
      <c r="F433" s="5" t="n">
        <f aca="false">SUMIFS('03_DESPIECE'!$D$2:$D$225,'03_DESPIECE'!$A$2:$A$225,B433,'03_DESPIECE'!$B$2:$B$225,C433)</f>
        <v>4</v>
      </c>
      <c r="G433" s="5" t="n">
        <f aca="false">E433*F433</f>
        <v>48</v>
      </c>
      <c r="H433" s="16" t="n">
        <f aca="false">SUMIFS('03_DESPIECE'!$J$2:$J$225,'03_DESPIECE'!$A$2:$A$225,B433,'03_DESPIECE'!$B$2:$B$225,C433)</f>
        <v>76.25</v>
      </c>
      <c r="I433" s="16" t="n">
        <f aca="false">E433*H433</f>
        <v>915</v>
      </c>
      <c r="J433" s="17" t="n">
        <f aca="false">E433*SUMIFS('03_DESPIECE'!$I$2:$I$225,'03_DESPIECE'!$A$2:$A$225,B433,'03_DESPIECE'!$B$2:$B$225,C433)</f>
        <v>144</v>
      </c>
      <c r="K433" s="19" t="n">
        <f aca="false">E433*SUMIFS('03_DESPIECE'!$K$2:$K$225,'03_DESPIECE'!$A$2:$A$225,B433,'03_DESPIECE'!$B$2:$B$225,C433)</f>
        <v>0</v>
      </c>
      <c r="L433" s="5" t="n">
        <f aca="false">SUMIFS('03_DESPIECE'!$L$2:$L$225,'03_DESPIECE'!$A$2:$A$225,B433,'03_DESPIECE'!$B$2:$B$225,C433)</f>
        <v>1</v>
      </c>
      <c r="M433" s="2" t="s">
        <v>629</v>
      </c>
    </row>
    <row r="434" customFormat="false" ht="15" hidden="false" customHeight="false" outlineLevel="0" collapsed="false">
      <c r="A434" s="2" t="s">
        <v>590</v>
      </c>
      <c r="B434" s="2" t="s">
        <v>83</v>
      </c>
      <c r="C434" s="2" t="s">
        <v>296</v>
      </c>
      <c r="D434" s="2" t="s">
        <v>184</v>
      </c>
      <c r="E434" s="5" t="n">
        <f aca="false">INDEX('08_PEDIDOS'!$D$2:$D$97,MATCH(A434,'08_PEDIDOS'!$A$2:$A$97,0))</f>
        <v>12</v>
      </c>
      <c r="F434" s="5" t="n">
        <f aca="false">SUMIFS('03_DESPIECE'!$D$2:$D$225,'03_DESPIECE'!$A$2:$A$225,B434,'03_DESPIECE'!$B$2:$B$225,C434)</f>
        <v>8</v>
      </c>
      <c r="G434" s="5" t="n">
        <f aca="false">E434*F434</f>
        <v>96</v>
      </c>
      <c r="H434" s="16" t="n">
        <f aca="false">SUMIFS('03_DESPIECE'!$J$2:$J$225,'03_DESPIECE'!$A$2:$A$225,B434,'03_DESPIECE'!$B$2:$B$225,C434)</f>
        <v>76.25</v>
      </c>
      <c r="I434" s="16" t="n">
        <f aca="false">E434*H434</f>
        <v>915</v>
      </c>
      <c r="J434" s="17" t="n">
        <f aca="false">E434*SUMIFS('03_DESPIECE'!$I$2:$I$225,'03_DESPIECE'!$A$2:$A$225,B434,'03_DESPIECE'!$B$2:$B$225,C434)</f>
        <v>144</v>
      </c>
      <c r="K434" s="19" t="n">
        <f aca="false">E434*SUMIFS('03_DESPIECE'!$K$2:$K$225,'03_DESPIECE'!$A$2:$A$225,B434,'03_DESPIECE'!$B$2:$B$225,C434)</f>
        <v>0</v>
      </c>
      <c r="L434" s="5" t="n">
        <f aca="false">SUMIFS('03_DESPIECE'!$L$2:$L$225,'03_DESPIECE'!$A$2:$A$225,B434,'03_DESPIECE'!$B$2:$B$225,C434)</f>
        <v>1</v>
      </c>
      <c r="M434" s="2" t="s">
        <v>629</v>
      </c>
    </row>
    <row r="435" customFormat="false" ht="15" hidden="false" customHeight="false" outlineLevel="0" collapsed="false">
      <c r="A435" s="2" t="s">
        <v>590</v>
      </c>
      <c r="B435" s="2" t="s">
        <v>83</v>
      </c>
      <c r="C435" s="2" t="s">
        <v>297</v>
      </c>
      <c r="D435" s="2" t="s">
        <v>184</v>
      </c>
      <c r="E435" s="5" t="n">
        <f aca="false">INDEX('08_PEDIDOS'!$D$2:$D$97,MATCH(A435,'08_PEDIDOS'!$A$2:$A$97,0))</f>
        <v>12</v>
      </c>
      <c r="F435" s="5" t="n">
        <f aca="false">SUMIFS('03_DESPIECE'!$D$2:$D$225,'03_DESPIECE'!$A$2:$A$225,B435,'03_DESPIECE'!$B$2:$B$225,C435)</f>
        <v>8</v>
      </c>
      <c r="G435" s="5" t="n">
        <f aca="false">E435*F435</f>
        <v>96</v>
      </c>
      <c r="H435" s="16" t="n">
        <f aca="false">SUMIFS('03_DESPIECE'!$J$2:$J$225,'03_DESPIECE'!$A$2:$A$225,B435,'03_DESPIECE'!$B$2:$B$225,C435)</f>
        <v>38.125</v>
      </c>
      <c r="I435" s="16" t="n">
        <f aca="false">E435*H435</f>
        <v>457.5</v>
      </c>
      <c r="J435" s="17" t="n">
        <f aca="false">E435*SUMIFS('03_DESPIECE'!$I$2:$I$225,'03_DESPIECE'!$A$2:$A$225,B435,'03_DESPIECE'!$B$2:$B$225,C435)</f>
        <v>72</v>
      </c>
      <c r="K435" s="19" t="n">
        <f aca="false">E435*SUMIFS('03_DESPIECE'!$K$2:$K$225,'03_DESPIECE'!$A$2:$A$225,B435,'03_DESPIECE'!$B$2:$B$225,C435)</f>
        <v>0</v>
      </c>
      <c r="L435" s="5" t="n">
        <f aca="false">SUMIFS('03_DESPIECE'!$L$2:$L$225,'03_DESPIECE'!$A$2:$A$225,B435,'03_DESPIECE'!$B$2:$B$225,C435)</f>
        <v>1</v>
      </c>
      <c r="M435" s="2" t="s">
        <v>629</v>
      </c>
    </row>
    <row r="436" customFormat="false" ht="15" hidden="false" customHeight="false" outlineLevel="0" collapsed="false">
      <c r="A436" s="2" t="s">
        <v>590</v>
      </c>
      <c r="B436" s="2" t="s">
        <v>83</v>
      </c>
      <c r="C436" s="2" t="s">
        <v>298</v>
      </c>
      <c r="D436" s="2" t="s">
        <v>170</v>
      </c>
      <c r="E436" s="5" t="n">
        <f aca="false">INDEX('08_PEDIDOS'!$D$2:$D$97,MATCH(A436,'08_PEDIDOS'!$A$2:$A$97,0))</f>
        <v>12</v>
      </c>
      <c r="F436" s="5" t="n">
        <f aca="false">SUMIFS('03_DESPIECE'!$D$2:$D$225,'03_DESPIECE'!$A$2:$A$225,B436,'03_DESPIECE'!$B$2:$B$225,C436)</f>
        <v>5</v>
      </c>
      <c r="G436" s="5" t="n">
        <f aca="false">E436*F436</f>
        <v>60</v>
      </c>
      <c r="H436" s="16" t="n">
        <f aca="false">SUMIFS('03_DESPIECE'!$J$2:$J$225,'03_DESPIECE'!$A$2:$A$225,B436,'03_DESPIECE'!$B$2:$B$225,C436)</f>
        <v>290.1086956522</v>
      </c>
      <c r="I436" s="16" t="n">
        <f aca="false">E436*H436</f>
        <v>3481.3043478264</v>
      </c>
      <c r="J436" s="17" t="n">
        <f aca="false">E436*SUMIFS('03_DESPIECE'!$I$2:$I$225,'03_DESPIECE'!$A$2:$A$225,B436,'03_DESPIECE'!$B$2:$B$225,C436)</f>
        <v>471</v>
      </c>
      <c r="K436" s="19" t="n">
        <f aca="false">E436*SUMIFS('03_DESPIECE'!$K$2:$K$225,'03_DESPIECE'!$A$2:$A$225,B436,'03_DESPIECE'!$B$2:$B$225,C436)</f>
        <v>10.4166666672</v>
      </c>
      <c r="L436" s="5" t="n">
        <f aca="false">SUMIFS('03_DESPIECE'!$L$2:$L$225,'03_DESPIECE'!$A$2:$A$225,B436,'03_DESPIECE'!$B$2:$B$225,C436)</f>
        <v>1</v>
      </c>
      <c r="M436" s="2" t="s">
        <v>629</v>
      </c>
    </row>
    <row r="437" customFormat="false" ht="15" hidden="false" customHeight="false" outlineLevel="0" collapsed="false">
      <c r="A437" s="2" t="s">
        <v>590</v>
      </c>
      <c r="B437" s="2" t="s">
        <v>83</v>
      </c>
      <c r="C437" s="2" t="s">
        <v>299</v>
      </c>
      <c r="D437" s="2" t="s">
        <v>170</v>
      </c>
      <c r="E437" s="5" t="n">
        <f aca="false">INDEX('08_PEDIDOS'!$D$2:$D$97,MATCH(A437,'08_PEDIDOS'!$A$2:$A$97,0))</f>
        <v>12</v>
      </c>
      <c r="F437" s="5" t="n">
        <f aca="false">SUMIFS('03_DESPIECE'!$D$2:$D$225,'03_DESPIECE'!$A$2:$A$225,B437,'03_DESPIECE'!$B$2:$B$225,C437)</f>
        <v>8</v>
      </c>
      <c r="G437" s="5" t="n">
        <f aca="false">E437*F437</f>
        <v>96</v>
      </c>
      <c r="H437" s="16" t="n">
        <f aca="false">SUMIFS('03_DESPIECE'!$J$2:$J$225,'03_DESPIECE'!$A$2:$A$225,B437,'03_DESPIECE'!$B$2:$B$225,C437)</f>
        <v>32.492173913</v>
      </c>
      <c r="I437" s="16" t="n">
        <f aca="false">E437*H437</f>
        <v>389.906086956</v>
      </c>
      <c r="J437" s="17" t="n">
        <f aca="false">E437*SUMIFS('03_DESPIECE'!$I$2:$I$225,'03_DESPIECE'!$A$2:$A$225,B437,'03_DESPIECE'!$B$2:$B$225,C437)</f>
        <v>52.752</v>
      </c>
      <c r="K437" s="19" t="n">
        <f aca="false">E437*SUMIFS('03_DESPIECE'!$K$2:$K$225,'03_DESPIECE'!$A$2:$A$225,B437,'03_DESPIECE'!$B$2:$B$225,C437)</f>
        <v>1.1666666664</v>
      </c>
      <c r="L437" s="5" t="n">
        <f aca="false">SUMIFS('03_DESPIECE'!$L$2:$L$225,'03_DESPIECE'!$A$2:$A$225,B437,'03_DESPIECE'!$B$2:$B$225,C437)</f>
        <v>1</v>
      </c>
      <c r="M437" s="2" t="s">
        <v>629</v>
      </c>
    </row>
    <row r="438" customFormat="false" ht="15" hidden="false" customHeight="false" outlineLevel="0" collapsed="false">
      <c r="A438" s="2" t="s">
        <v>590</v>
      </c>
      <c r="B438" s="2" t="s">
        <v>83</v>
      </c>
      <c r="C438" s="2" t="s">
        <v>300</v>
      </c>
      <c r="D438" s="2" t="s">
        <v>188</v>
      </c>
      <c r="E438" s="5" t="n">
        <f aca="false">INDEX('08_PEDIDOS'!$D$2:$D$97,MATCH(A438,'08_PEDIDOS'!$A$2:$A$97,0))</f>
        <v>12</v>
      </c>
      <c r="F438" s="5" t="n">
        <f aca="false">SUMIFS('03_DESPIECE'!$D$2:$D$225,'03_DESPIECE'!$A$2:$A$225,B438,'03_DESPIECE'!$B$2:$B$225,C438)</f>
        <v>28</v>
      </c>
      <c r="G438" s="5" t="n">
        <f aca="false">E438*F438</f>
        <v>336</v>
      </c>
      <c r="H438" s="16" t="n">
        <f aca="false">SUMIFS('03_DESPIECE'!$J$2:$J$225,'03_DESPIECE'!$A$2:$A$225,B438,'03_DESPIECE'!$B$2:$B$225,C438)</f>
        <v>25.2</v>
      </c>
      <c r="I438" s="16" t="n">
        <f aca="false">E438*H438</f>
        <v>302.4</v>
      </c>
      <c r="J438" s="17" t="n">
        <f aca="false">E438*SUMIFS('03_DESPIECE'!$I$2:$I$225,'03_DESPIECE'!$A$2:$A$225,B438,'03_DESPIECE'!$B$2:$B$225,C438)</f>
        <v>0</v>
      </c>
      <c r="K438" s="19" t="n">
        <f aca="false">E438*SUMIFS('03_DESPIECE'!$K$2:$K$225,'03_DESPIECE'!$A$2:$A$225,B438,'03_DESPIECE'!$B$2:$B$225,C438)</f>
        <v>0</v>
      </c>
      <c r="L438" s="5" t="n">
        <f aca="false">SUMIFS('03_DESPIECE'!$L$2:$L$225,'03_DESPIECE'!$A$2:$A$225,B438,'03_DESPIECE'!$B$2:$B$225,C438)</f>
        <v>1</v>
      </c>
      <c r="M438" s="2" t="s">
        <v>629</v>
      </c>
    </row>
    <row r="439" customFormat="false" ht="15" hidden="false" customHeight="false" outlineLevel="0" collapsed="false">
      <c r="A439" s="2" t="s">
        <v>591</v>
      </c>
      <c r="B439" s="2" t="s">
        <v>94</v>
      </c>
      <c r="C439" s="2" t="s">
        <v>301</v>
      </c>
      <c r="D439" s="2" t="s">
        <v>184</v>
      </c>
      <c r="E439" s="5" t="n">
        <f aca="false">INDEX('08_PEDIDOS'!$D$2:$D$97,MATCH(A439,'08_PEDIDOS'!$A$2:$A$97,0))</f>
        <v>6</v>
      </c>
      <c r="F439" s="5" t="n">
        <f aca="false">SUMIFS('03_DESPIECE'!$D$2:$D$225,'03_DESPIECE'!$A$2:$A$225,B439,'03_DESPIECE'!$B$2:$B$225,C439)</f>
        <v>2</v>
      </c>
      <c r="G439" s="5" t="n">
        <f aca="false">E439*F439</f>
        <v>12</v>
      </c>
      <c r="H439" s="16" t="n">
        <f aca="false">SUMIFS('03_DESPIECE'!$J$2:$J$225,'03_DESPIECE'!$A$2:$A$225,B439,'03_DESPIECE'!$B$2:$B$225,C439)</f>
        <v>31.453125</v>
      </c>
      <c r="I439" s="16" t="n">
        <f aca="false">E439*H439</f>
        <v>188.71875</v>
      </c>
      <c r="J439" s="17" t="n">
        <f aca="false">E439*SUMIFS('03_DESPIECE'!$I$2:$I$225,'03_DESPIECE'!$A$2:$A$225,B439,'03_DESPIECE'!$B$2:$B$225,C439)</f>
        <v>29.7</v>
      </c>
      <c r="K439" s="19" t="n">
        <f aca="false">E439*SUMIFS('03_DESPIECE'!$K$2:$K$225,'03_DESPIECE'!$A$2:$A$225,B439,'03_DESPIECE'!$B$2:$B$225,C439)</f>
        <v>0</v>
      </c>
      <c r="L439" s="5" t="n">
        <f aca="false">SUMIFS('03_DESPIECE'!$L$2:$L$225,'03_DESPIECE'!$A$2:$A$225,B439,'03_DESPIECE'!$B$2:$B$225,C439)</f>
        <v>1</v>
      </c>
      <c r="M439" s="2" t="s">
        <v>629</v>
      </c>
    </row>
    <row r="440" customFormat="false" ht="15" hidden="false" customHeight="false" outlineLevel="0" collapsed="false">
      <c r="A440" s="2" t="s">
        <v>591</v>
      </c>
      <c r="B440" s="2" t="s">
        <v>94</v>
      </c>
      <c r="C440" s="2" t="s">
        <v>302</v>
      </c>
      <c r="D440" s="2" t="s">
        <v>174</v>
      </c>
      <c r="E440" s="5" t="n">
        <f aca="false">INDEX('08_PEDIDOS'!$D$2:$D$97,MATCH(A440,'08_PEDIDOS'!$A$2:$A$97,0))</f>
        <v>6</v>
      </c>
      <c r="F440" s="5" t="n">
        <f aca="false">SUMIFS('03_DESPIECE'!$D$2:$D$225,'03_DESPIECE'!$A$2:$A$225,B440,'03_DESPIECE'!$B$2:$B$225,C440)</f>
        <v>2</v>
      </c>
      <c r="G440" s="5" t="n">
        <f aca="false">E440*F440</f>
        <v>12</v>
      </c>
      <c r="H440" s="16" t="n">
        <f aca="false">SUMIFS('03_DESPIECE'!$J$2:$J$225,'03_DESPIECE'!$A$2:$A$225,B440,'03_DESPIECE'!$B$2:$B$225,C440)</f>
        <v>34.8130434783</v>
      </c>
      <c r="I440" s="16" t="n">
        <f aca="false">E440*H440</f>
        <v>208.8782608698</v>
      </c>
      <c r="J440" s="17" t="n">
        <f aca="false">E440*SUMIFS('03_DESPIECE'!$I$2:$I$225,'03_DESPIECE'!$A$2:$A$225,B440,'03_DESPIECE'!$B$2:$B$225,C440)</f>
        <v>28.26</v>
      </c>
      <c r="K440" s="19" t="n">
        <f aca="false">E440*SUMIFS('03_DESPIECE'!$K$2:$K$225,'03_DESPIECE'!$A$2:$A$225,B440,'03_DESPIECE'!$B$2:$B$225,C440)</f>
        <v>1.2499999998</v>
      </c>
      <c r="L440" s="5" t="n">
        <f aca="false">SUMIFS('03_DESPIECE'!$L$2:$L$225,'03_DESPIECE'!$A$2:$A$225,B440,'03_DESPIECE'!$B$2:$B$225,C440)</f>
        <v>1</v>
      </c>
      <c r="M440" s="2" t="s">
        <v>629</v>
      </c>
    </row>
    <row r="441" customFormat="false" ht="15" hidden="false" customHeight="false" outlineLevel="0" collapsed="false">
      <c r="A441" s="2" t="s">
        <v>591</v>
      </c>
      <c r="B441" s="2" t="s">
        <v>94</v>
      </c>
      <c r="C441" s="2" t="s">
        <v>303</v>
      </c>
      <c r="D441" s="2" t="s">
        <v>174</v>
      </c>
      <c r="E441" s="5" t="n">
        <f aca="false">INDEX('08_PEDIDOS'!$D$2:$D$97,MATCH(A441,'08_PEDIDOS'!$A$2:$A$97,0))</f>
        <v>6</v>
      </c>
      <c r="F441" s="5" t="n">
        <f aca="false">SUMIFS('03_DESPIECE'!$D$2:$D$225,'03_DESPIECE'!$A$2:$A$225,B441,'03_DESPIECE'!$B$2:$B$225,C441)</f>
        <v>4</v>
      </c>
      <c r="G441" s="5" t="n">
        <f aca="false">E441*F441</f>
        <v>24</v>
      </c>
      <c r="H441" s="16" t="n">
        <f aca="false">SUMIFS('03_DESPIECE'!$J$2:$J$225,'03_DESPIECE'!$A$2:$A$225,B441,'03_DESPIECE'!$B$2:$B$225,C441)</f>
        <v>129.9686956522</v>
      </c>
      <c r="I441" s="16" t="n">
        <f aca="false">E441*H441</f>
        <v>779.8121739132</v>
      </c>
      <c r="J441" s="17" t="n">
        <f aca="false">E441*SUMIFS('03_DESPIECE'!$I$2:$I$225,'03_DESPIECE'!$A$2:$A$225,B441,'03_DESPIECE'!$B$2:$B$225,C441)</f>
        <v>105.504</v>
      </c>
      <c r="K441" s="19" t="n">
        <f aca="false">E441*SUMIFS('03_DESPIECE'!$K$2:$K$225,'03_DESPIECE'!$A$2:$A$225,B441,'03_DESPIECE'!$B$2:$B$225,C441)</f>
        <v>4.6666666668</v>
      </c>
      <c r="L441" s="5" t="n">
        <f aca="false">SUMIFS('03_DESPIECE'!$L$2:$L$225,'03_DESPIECE'!$A$2:$A$225,B441,'03_DESPIECE'!$B$2:$B$225,C441)</f>
        <v>1</v>
      </c>
      <c r="M441" s="2" t="s">
        <v>629</v>
      </c>
    </row>
    <row r="442" customFormat="false" ht="15" hidden="false" customHeight="false" outlineLevel="0" collapsed="false">
      <c r="A442" s="2" t="s">
        <v>591</v>
      </c>
      <c r="B442" s="2" t="s">
        <v>94</v>
      </c>
      <c r="C442" s="2" t="s">
        <v>304</v>
      </c>
      <c r="D442" s="2" t="s">
        <v>174</v>
      </c>
      <c r="E442" s="5" t="n">
        <f aca="false">INDEX('08_PEDIDOS'!$D$2:$D$97,MATCH(A442,'08_PEDIDOS'!$A$2:$A$97,0))</f>
        <v>6</v>
      </c>
      <c r="F442" s="5" t="n">
        <f aca="false">SUMIFS('03_DESPIECE'!$D$2:$D$225,'03_DESPIECE'!$A$2:$A$225,B442,'03_DESPIECE'!$B$2:$B$225,C442)</f>
        <v>8</v>
      </c>
      <c r="G442" s="5" t="n">
        <f aca="false">E442*F442</f>
        <v>48</v>
      </c>
      <c r="H442" s="16" t="n">
        <f aca="false">SUMIFS('03_DESPIECE'!$J$2:$J$225,'03_DESPIECE'!$A$2:$A$225,B442,'03_DESPIECE'!$B$2:$B$225,C442)</f>
        <v>185.6695652174</v>
      </c>
      <c r="I442" s="16" t="n">
        <f aca="false">E442*H442</f>
        <v>1114.0173913044</v>
      </c>
      <c r="J442" s="17" t="n">
        <f aca="false">E442*SUMIFS('03_DESPIECE'!$I$2:$I$225,'03_DESPIECE'!$A$2:$A$225,B442,'03_DESPIECE'!$B$2:$B$225,C442)</f>
        <v>150.72</v>
      </c>
      <c r="K442" s="19" t="n">
        <f aca="false">E442*SUMIFS('03_DESPIECE'!$K$2:$K$225,'03_DESPIECE'!$A$2:$A$225,B442,'03_DESPIECE'!$B$2:$B$225,C442)</f>
        <v>6.6666666666</v>
      </c>
      <c r="L442" s="5" t="n">
        <f aca="false">SUMIFS('03_DESPIECE'!$L$2:$L$225,'03_DESPIECE'!$A$2:$A$225,B442,'03_DESPIECE'!$B$2:$B$225,C442)</f>
        <v>1</v>
      </c>
      <c r="M442" s="2" t="s">
        <v>629</v>
      </c>
    </row>
    <row r="443" customFormat="false" ht="15" hidden="false" customHeight="false" outlineLevel="0" collapsed="false">
      <c r="A443" s="2" t="s">
        <v>591</v>
      </c>
      <c r="B443" s="2" t="s">
        <v>94</v>
      </c>
      <c r="C443" s="2" t="s">
        <v>305</v>
      </c>
      <c r="D443" s="2" t="s">
        <v>174</v>
      </c>
      <c r="E443" s="5" t="n">
        <f aca="false">INDEX('08_PEDIDOS'!$D$2:$D$97,MATCH(A443,'08_PEDIDOS'!$A$2:$A$97,0))</f>
        <v>6</v>
      </c>
      <c r="F443" s="5" t="n">
        <f aca="false">SUMIFS('03_DESPIECE'!$D$2:$D$225,'03_DESPIECE'!$A$2:$A$225,B443,'03_DESPIECE'!$B$2:$B$225,C443)</f>
        <v>16</v>
      </c>
      <c r="G443" s="5" t="n">
        <f aca="false">E443*F443</f>
        <v>96</v>
      </c>
      <c r="H443" s="16" t="n">
        <f aca="false">SUMIFS('03_DESPIECE'!$J$2:$J$225,'03_DESPIECE'!$A$2:$A$225,B443,'03_DESPIECE'!$B$2:$B$225,C443)</f>
        <v>37.1339130435</v>
      </c>
      <c r="I443" s="16" t="n">
        <f aca="false">E443*H443</f>
        <v>222.803478261</v>
      </c>
      <c r="J443" s="17" t="n">
        <f aca="false">E443*SUMIFS('03_DESPIECE'!$I$2:$I$225,'03_DESPIECE'!$A$2:$A$225,B443,'03_DESPIECE'!$B$2:$B$225,C443)</f>
        <v>30.144</v>
      </c>
      <c r="K443" s="19" t="n">
        <f aca="false">E443*SUMIFS('03_DESPIECE'!$K$2:$K$225,'03_DESPIECE'!$A$2:$A$225,B443,'03_DESPIECE'!$B$2:$B$225,C443)</f>
        <v>1.3333333332</v>
      </c>
      <c r="L443" s="5" t="n">
        <f aca="false">SUMIFS('03_DESPIECE'!$L$2:$L$225,'03_DESPIECE'!$A$2:$A$225,B443,'03_DESPIECE'!$B$2:$B$225,C443)</f>
        <v>1</v>
      </c>
      <c r="M443" s="2" t="s">
        <v>629</v>
      </c>
    </row>
    <row r="444" customFormat="false" ht="15" hidden="false" customHeight="false" outlineLevel="0" collapsed="false">
      <c r="A444" s="2" t="s">
        <v>591</v>
      </c>
      <c r="B444" s="2" t="s">
        <v>94</v>
      </c>
      <c r="C444" s="2" t="s">
        <v>306</v>
      </c>
      <c r="D444" s="2" t="s">
        <v>174</v>
      </c>
      <c r="E444" s="5" t="n">
        <f aca="false">INDEX('08_PEDIDOS'!$D$2:$D$97,MATCH(A444,'08_PEDIDOS'!$A$2:$A$97,0))</f>
        <v>6</v>
      </c>
      <c r="F444" s="5" t="n">
        <f aca="false">SUMIFS('03_DESPIECE'!$D$2:$D$225,'03_DESPIECE'!$A$2:$A$225,B444,'03_DESPIECE'!$B$2:$B$225,C444)</f>
        <v>2</v>
      </c>
      <c r="G444" s="5" t="n">
        <f aca="false">E444*F444</f>
        <v>12</v>
      </c>
      <c r="H444" s="16" t="n">
        <f aca="false">SUMIFS('03_DESPIECE'!$J$2:$J$225,'03_DESPIECE'!$A$2:$A$225,B444,'03_DESPIECE'!$B$2:$B$225,C444)</f>
        <v>13.9252173913</v>
      </c>
      <c r="I444" s="16" t="n">
        <f aca="false">E444*H444</f>
        <v>83.5513043478</v>
      </c>
      <c r="J444" s="17" t="n">
        <f aca="false">E444*SUMIFS('03_DESPIECE'!$I$2:$I$225,'03_DESPIECE'!$A$2:$A$225,B444,'03_DESPIECE'!$B$2:$B$225,C444)</f>
        <v>11.304</v>
      </c>
      <c r="K444" s="19" t="n">
        <f aca="false">E444*SUMIFS('03_DESPIECE'!$K$2:$K$225,'03_DESPIECE'!$A$2:$A$225,B444,'03_DESPIECE'!$B$2:$B$225,C444)</f>
        <v>0.4999999998</v>
      </c>
      <c r="L444" s="5" t="n">
        <f aca="false">SUMIFS('03_DESPIECE'!$L$2:$L$225,'03_DESPIECE'!$A$2:$A$225,B444,'03_DESPIECE'!$B$2:$B$225,C444)</f>
        <v>1</v>
      </c>
      <c r="M444" s="2" t="s">
        <v>629</v>
      </c>
    </row>
    <row r="445" customFormat="false" ht="15" hidden="false" customHeight="false" outlineLevel="0" collapsed="false">
      <c r="A445" s="2" t="s">
        <v>591</v>
      </c>
      <c r="B445" s="2" t="s">
        <v>94</v>
      </c>
      <c r="C445" s="2" t="s">
        <v>307</v>
      </c>
      <c r="D445" s="2" t="s">
        <v>188</v>
      </c>
      <c r="E445" s="5" t="n">
        <f aca="false">INDEX('08_PEDIDOS'!$D$2:$D$97,MATCH(A445,'08_PEDIDOS'!$A$2:$A$97,0))</f>
        <v>6</v>
      </c>
      <c r="F445" s="5" t="n">
        <f aca="false">SUMIFS('03_DESPIECE'!$D$2:$D$225,'03_DESPIECE'!$A$2:$A$225,B445,'03_DESPIECE'!$B$2:$B$225,C445)</f>
        <v>36</v>
      </c>
      <c r="G445" s="5" t="n">
        <f aca="false">E445*F445</f>
        <v>216</v>
      </c>
      <c r="H445" s="16" t="n">
        <f aca="false">SUMIFS('03_DESPIECE'!$J$2:$J$225,'03_DESPIECE'!$A$2:$A$225,B445,'03_DESPIECE'!$B$2:$B$225,C445)</f>
        <v>32.4</v>
      </c>
      <c r="I445" s="16" t="n">
        <f aca="false">E445*H445</f>
        <v>194.4</v>
      </c>
      <c r="J445" s="17" t="n">
        <f aca="false">E445*SUMIFS('03_DESPIECE'!$I$2:$I$225,'03_DESPIECE'!$A$2:$A$225,B445,'03_DESPIECE'!$B$2:$B$225,C445)</f>
        <v>0</v>
      </c>
      <c r="K445" s="19" t="n">
        <f aca="false">E445*SUMIFS('03_DESPIECE'!$K$2:$K$225,'03_DESPIECE'!$A$2:$A$225,B445,'03_DESPIECE'!$B$2:$B$225,C445)</f>
        <v>0</v>
      </c>
      <c r="L445" s="5" t="n">
        <f aca="false">SUMIFS('03_DESPIECE'!$L$2:$L$225,'03_DESPIECE'!$A$2:$A$225,B445,'03_DESPIECE'!$B$2:$B$225,C445)</f>
        <v>1</v>
      </c>
      <c r="M445" s="2" t="s">
        <v>629</v>
      </c>
    </row>
    <row r="446" customFormat="false" ht="15" hidden="false" customHeight="false" outlineLevel="0" collapsed="false">
      <c r="A446" s="2" t="s">
        <v>592</v>
      </c>
      <c r="B446" s="2" t="s">
        <v>96</v>
      </c>
      <c r="C446" s="2" t="s">
        <v>308</v>
      </c>
      <c r="D446" s="2" t="s">
        <v>184</v>
      </c>
      <c r="E446" s="5" t="n">
        <f aca="false">INDEX('08_PEDIDOS'!$D$2:$D$97,MATCH(A446,'08_PEDIDOS'!$A$2:$A$97,0))</f>
        <v>7</v>
      </c>
      <c r="F446" s="5" t="n">
        <f aca="false">SUMIFS('03_DESPIECE'!$D$2:$D$225,'03_DESPIECE'!$A$2:$A$225,B446,'03_DESPIECE'!$B$2:$B$225,C446)</f>
        <v>2</v>
      </c>
      <c r="G446" s="5" t="n">
        <f aca="false">E446*F446</f>
        <v>14</v>
      </c>
      <c r="H446" s="16" t="n">
        <f aca="false">SUMIFS('03_DESPIECE'!$J$2:$J$225,'03_DESPIECE'!$A$2:$A$225,B446,'03_DESPIECE'!$B$2:$B$225,C446)</f>
        <v>36.21875</v>
      </c>
      <c r="I446" s="16" t="n">
        <f aca="false">E446*H446</f>
        <v>253.53125</v>
      </c>
      <c r="J446" s="17" t="n">
        <f aca="false">E446*SUMIFS('03_DESPIECE'!$I$2:$I$225,'03_DESPIECE'!$A$2:$A$225,B446,'03_DESPIECE'!$B$2:$B$225,C446)</f>
        <v>39.9</v>
      </c>
      <c r="K446" s="19" t="n">
        <f aca="false">E446*SUMIFS('03_DESPIECE'!$K$2:$K$225,'03_DESPIECE'!$A$2:$A$225,B446,'03_DESPIECE'!$B$2:$B$225,C446)</f>
        <v>0</v>
      </c>
      <c r="L446" s="5" t="n">
        <f aca="false">SUMIFS('03_DESPIECE'!$L$2:$L$225,'03_DESPIECE'!$A$2:$A$225,B446,'03_DESPIECE'!$B$2:$B$225,C446)</f>
        <v>1</v>
      </c>
      <c r="M446" s="2" t="s">
        <v>629</v>
      </c>
    </row>
    <row r="447" customFormat="false" ht="15" hidden="false" customHeight="false" outlineLevel="0" collapsed="false">
      <c r="A447" s="2" t="s">
        <v>592</v>
      </c>
      <c r="B447" s="2" t="s">
        <v>96</v>
      </c>
      <c r="C447" s="2" t="s">
        <v>309</v>
      </c>
      <c r="D447" s="2" t="s">
        <v>174</v>
      </c>
      <c r="E447" s="5" t="n">
        <f aca="false">INDEX('08_PEDIDOS'!$D$2:$D$97,MATCH(A447,'08_PEDIDOS'!$A$2:$A$97,0))</f>
        <v>7</v>
      </c>
      <c r="F447" s="5" t="n">
        <f aca="false">SUMIFS('03_DESPIECE'!$D$2:$D$225,'03_DESPIECE'!$A$2:$A$225,B447,'03_DESPIECE'!$B$2:$B$225,C447)</f>
        <v>3</v>
      </c>
      <c r="G447" s="5" t="n">
        <f aca="false">E447*F447</f>
        <v>21</v>
      </c>
      <c r="H447" s="16" t="n">
        <f aca="false">SUMIFS('03_DESPIECE'!$J$2:$J$225,'03_DESPIECE'!$A$2:$A$225,B447,'03_DESPIECE'!$B$2:$B$225,C447)</f>
        <v>95.7358695652</v>
      </c>
      <c r="I447" s="16" t="n">
        <f aca="false">E447*H447</f>
        <v>670.1510869564</v>
      </c>
      <c r="J447" s="17" t="n">
        <f aca="false">E447*SUMIFS('03_DESPIECE'!$I$2:$I$225,'03_DESPIECE'!$A$2:$A$225,B447,'03_DESPIECE'!$B$2:$B$225,C447)</f>
        <v>90.6675</v>
      </c>
      <c r="K447" s="19" t="n">
        <f aca="false">E447*SUMIFS('03_DESPIECE'!$K$2:$K$225,'03_DESPIECE'!$A$2:$A$225,B447,'03_DESPIECE'!$B$2:$B$225,C447)</f>
        <v>4.0104166669</v>
      </c>
      <c r="L447" s="5" t="n">
        <f aca="false">SUMIFS('03_DESPIECE'!$L$2:$L$225,'03_DESPIECE'!$A$2:$A$225,B447,'03_DESPIECE'!$B$2:$B$225,C447)</f>
        <v>1</v>
      </c>
      <c r="M447" s="2" t="s">
        <v>629</v>
      </c>
    </row>
    <row r="448" customFormat="false" ht="15" hidden="false" customHeight="false" outlineLevel="0" collapsed="false">
      <c r="A448" s="2" t="s">
        <v>592</v>
      </c>
      <c r="B448" s="2" t="s">
        <v>96</v>
      </c>
      <c r="C448" s="2" t="s">
        <v>310</v>
      </c>
      <c r="D448" s="2" t="s">
        <v>174</v>
      </c>
      <c r="E448" s="5" t="n">
        <f aca="false">INDEX('08_PEDIDOS'!$D$2:$D$97,MATCH(A448,'08_PEDIDOS'!$A$2:$A$97,0))</f>
        <v>7</v>
      </c>
      <c r="F448" s="5" t="n">
        <f aca="false">SUMIFS('03_DESPIECE'!$D$2:$D$225,'03_DESPIECE'!$A$2:$A$225,B448,'03_DESPIECE'!$B$2:$B$225,C448)</f>
        <v>5</v>
      </c>
      <c r="G448" s="5" t="n">
        <f aca="false">E448*F448</f>
        <v>35</v>
      </c>
      <c r="H448" s="16" t="n">
        <f aca="false">SUMIFS('03_DESPIECE'!$J$2:$J$225,'03_DESPIECE'!$A$2:$A$225,B448,'03_DESPIECE'!$B$2:$B$225,C448)</f>
        <v>121.8456521739</v>
      </c>
      <c r="I448" s="16" t="n">
        <f aca="false">E448*H448</f>
        <v>852.9195652173</v>
      </c>
      <c r="J448" s="17" t="n">
        <f aca="false">E448*SUMIFS('03_DESPIECE'!$I$2:$I$225,'03_DESPIECE'!$A$2:$A$225,B448,'03_DESPIECE'!$B$2:$B$225,C448)</f>
        <v>115.395</v>
      </c>
      <c r="K448" s="19" t="n">
        <f aca="false">E448*SUMIFS('03_DESPIECE'!$K$2:$K$225,'03_DESPIECE'!$A$2:$A$225,B448,'03_DESPIECE'!$B$2:$B$225,C448)</f>
        <v>5.1041666669</v>
      </c>
      <c r="L448" s="5" t="n">
        <f aca="false">SUMIFS('03_DESPIECE'!$L$2:$L$225,'03_DESPIECE'!$A$2:$A$225,B448,'03_DESPIECE'!$B$2:$B$225,C448)</f>
        <v>1</v>
      </c>
      <c r="M448" s="2" t="s">
        <v>629</v>
      </c>
    </row>
    <row r="449" customFormat="false" ht="15" hidden="false" customHeight="false" outlineLevel="0" collapsed="false">
      <c r="A449" s="2" t="s">
        <v>592</v>
      </c>
      <c r="B449" s="2" t="s">
        <v>96</v>
      </c>
      <c r="C449" s="2" t="s">
        <v>311</v>
      </c>
      <c r="D449" s="2" t="s">
        <v>174</v>
      </c>
      <c r="E449" s="5" t="n">
        <f aca="false">INDEX('08_PEDIDOS'!$D$2:$D$97,MATCH(A449,'08_PEDIDOS'!$A$2:$A$97,0))</f>
        <v>7</v>
      </c>
      <c r="F449" s="5" t="n">
        <f aca="false">SUMIFS('03_DESPIECE'!$D$2:$D$225,'03_DESPIECE'!$A$2:$A$225,B449,'03_DESPIECE'!$B$2:$B$225,C449)</f>
        <v>10</v>
      </c>
      <c r="G449" s="5" t="n">
        <f aca="false">E449*F449</f>
        <v>70</v>
      </c>
      <c r="H449" s="16" t="n">
        <f aca="false">SUMIFS('03_DESPIECE'!$J$2:$J$225,'03_DESPIECE'!$A$2:$A$225,B449,'03_DESPIECE'!$B$2:$B$225,C449)</f>
        <v>23.2086956522</v>
      </c>
      <c r="I449" s="16" t="n">
        <f aca="false">E449*H449</f>
        <v>162.4608695654</v>
      </c>
      <c r="J449" s="17" t="n">
        <f aca="false">E449*SUMIFS('03_DESPIECE'!$I$2:$I$225,'03_DESPIECE'!$A$2:$A$225,B449,'03_DESPIECE'!$B$2:$B$225,C449)</f>
        <v>21.98</v>
      </c>
      <c r="K449" s="19" t="n">
        <f aca="false">E449*SUMIFS('03_DESPIECE'!$K$2:$K$225,'03_DESPIECE'!$A$2:$A$225,B449,'03_DESPIECE'!$B$2:$B$225,C449)</f>
        <v>0.9722222223</v>
      </c>
      <c r="L449" s="5" t="n">
        <f aca="false">SUMIFS('03_DESPIECE'!$L$2:$L$225,'03_DESPIECE'!$A$2:$A$225,B449,'03_DESPIECE'!$B$2:$B$225,C449)</f>
        <v>1</v>
      </c>
      <c r="M449" s="2" t="s">
        <v>629</v>
      </c>
    </row>
    <row r="450" customFormat="false" ht="15" hidden="false" customHeight="false" outlineLevel="0" collapsed="false">
      <c r="A450" s="2" t="s">
        <v>592</v>
      </c>
      <c r="B450" s="2" t="s">
        <v>96</v>
      </c>
      <c r="C450" s="2" t="s">
        <v>312</v>
      </c>
      <c r="D450" s="2" t="s">
        <v>174</v>
      </c>
      <c r="E450" s="5" t="n">
        <f aca="false">INDEX('08_PEDIDOS'!$D$2:$D$97,MATCH(A450,'08_PEDIDOS'!$A$2:$A$97,0))</f>
        <v>7</v>
      </c>
      <c r="F450" s="5" t="n">
        <f aca="false">SUMIFS('03_DESPIECE'!$D$2:$D$225,'03_DESPIECE'!$A$2:$A$225,B450,'03_DESPIECE'!$B$2:$B$225,C450)</f>
        <v>2</v>
      </c>
      <c r="G450" s="5" t="n">
        <f aca="false">E450*F450</f>
        <v>14</v>
      </c>
      <c r="H450" s="16" t="n">
        <f aca="false">SUMIFS('03_DESPIECE'!$J$2:$J$225,'03_DESPIECE'!$A$2:$A$225,B450,'03_DESPIECE'!$B$2:$B$225,C450)</f>
        <v>29.0108695652</v>
      </c>
      <c r="I450" s="16" t="n">
        <f aca="false">E450*H450</f>
        <v>203.0760869564</v>
      </c>
      <c r="J450" s="17" t="n">
        <f aca="false">E450*SUMIFS('03_DESPIECE'!$I$2:$I$225,'03_DESPIECE'!$A$2:$A$225,B450,'03_DESPIECE'!$B$2:$B$225,C450)</f>
        <v>27.475</v>
      </c>
      <c r="K450" s="19" t="n">
        <f aca="false">E450*SUMIFS('03_DESPIECE'!$K$2:$K$225,'03_DESPIECE'!$A$2:$A$225,B450,'03_DESPIECE'!$B$2:$B$225,C450)</f>
        <v>1.2152777777</v>
      </c>
      <c r="L450" s="5" t="n">
        <f aca="false">SUMIFS('03_DESPIECE'!$L$2:$L$225,'03_DESPIECE'!$A$2:$A$225,B450,'03_DESPIECE'!$B$2:$B$225,C450)</f>
        <v>1</v>
      </c>
      <c r="M450" s="2" t="s">
        <v>629</v>
      </c>
    </row>
    <row r="451" customFormat="false" ht="15" hidden="false" customHeight="false" outlineLevel="0" collapsed="false">
      <c r="A451" s="2" t="s">
        <v>592</v>
      </c>
      <c r="B451" s="2" t="s">
        <v>96</v>
      </c>
      <c r="C451" s="2" t="s">
        <v>313</v>
      </c>
      <c r="D451" s="2" t="s">
        <v>188</v>
      </c>
      <c r="E451" s="5" t="n">
        <f aca="false">INDEX('08_PEDIDOS'!$D$2:$D$97,MATCH(A451,'08_PEDIDOS'!$A$2:$A$97,0))</f>
        <v>7</v>
      </c>
      <c r="F451" s="5" t="n">
        <f aca="false">SUMIFS('03_DESPIECE'!$D$2:$D$225,'03_DESPIECE'!$A$2:$A$225,B451,'03_DESPIECE'!$B$2:$B$225,C451)</f>
        <v>26</v>
      </c>
      <c r="G451" s="5" t="n">
        <f aca="false">E451*F451</f>
        <v>182</v>
      </c>
      <c r="H451" s="16" t="n">
        <f aca="false">SUMIFS('03_DESPIECE'!$J$2:$J$225,'03_DESPIECE'!$A$2:$A$225,B451,'03_DESPIECE'!$B$2:$B$225,C451)</f>
        <v>23.4</v>
      </c>
      <c r="I451" s="16" t="n">
        <f aca="false">E451*H451</f>
        <v>163.8</v>
      </c>
      <c r="J451" s="17" t="n">
        <f aca="false">E451*SUMIFS('03_DESPIECE'!$I$2:$I$225,'03_DESPIECE'!$A$2:$A$225,B451,'03_DESPIECE'!$B$2:$B$225,C451)</f>
        <v>0</v>
      </c>
      <c r="K451" s="19" t="n">
        <f aca="false">E451*SUMIFS('03_DESPIECE'!$K$2:$K$225,'03_DESPIECE'!$A$2:$A$225,B451,'03_DESPIECE'!$B$2:$B$225,C451)</f>
        <v>0</v>
      </c>
      <c r="L451" s="5" t="n">
        <f aca="false">SUMIFS('03_DESPIECE'!$L$2:$L$225,'03_DESPIECE'!$A$2:$A$225,B451,'03_DESPIECE'!$B$2:$B$225,C451)</f>
        <v>1</v>
      </c>
      <c r="M451" s="2" t="s">
        <v>629</v>
      </c>
    </row>
    <row r="452" customFormat="false" ht="15" hidden="false" customHeight="false" outlineLevel="0" collapsed="false">
      <c r="A452" s="2" t="s">
        <v>593</v>
      </c>
      <c r="B452" s="2" t="s">
        <v>106</v>
      </c>
      <c r="C452" s="2" t="s">
        <v>314</v>
      </c>
      <c r="D452" s="2" t="s">
        <v>176</v>
      </c>
      <c r="E452" s="5" t="n">
        <f aca="false">INDEX('08_PEDIDOS'!$D$2:$D$97,MATCH(A452,'08_PEDIDOS'!$A$2:$A$97,0))</f>
        <v>5</v>
      </c>
      <c r="F452" s="5" t="n">
        <f aca="false">SUMIFS('03_DESPIECE'!$D$2:$D$225,'03_DESPIECE'!$A$2:$A$225,B452,'03_DESPIECE'!$B$2:$B$225,C452)</f>
        <v>2</v>
      </c>
      <c r="G452" s="5" t="n">
        <f aca="false">E452*F452</f>
        <v>10</v>
      </c>
      <c r="H452" s="16" t="n">
        <f aca="false">SUMIFS('03_DESPIECE'!$J$2:$J$225,'03_DESPIECE'!$A$2:$A$225,B452,'03_DESPIECE'!$B$2:$B$225,C452)</f>
        <v>165.3619565217</v>
      </c>
      <c r="I452" s="16" t="n">
        <f aca="false">E452*H452</f>
        <v>826.8097826085</v>
      </c>
      <c r="J452" s="17" t="n">
        <f aca="false">E452*SUMIFS('03_DESPIECE'!$I$2:$I$225,'03_DESPIECE'!$A$2:$A$225,B452,'03_DESPIECE'!$B$2:$B$225,C452)</f>
        <v>111.8625</v>
      </c>
      <c r="K452" s="19" t="n">
        <f aca="false">E452*SUMIFS('03_DESPIECE'!$K$2:$K$225,'03_DESPIECE'!$A$2:$A$225,B452,'03_DESPIECE'!$B$2:$B$225,C452)</f>
        <v>3.298611111</v>
      </c>
      <c r="L452" s="5" t="n">
        <f aca="false">SUMIFS('03_DESPIECE'!$L$2:$L$225,'03_DESPIECE'!$A$2:$A$225,B452,'03_DESPIECE'!$B$2:$B$225,C452)</f>
        <v>1</v>
      </c>
      <c r="M452" s="2" t="s">
        <v>629</v>
      </c>
    </row>
    <row r="453" customFormat="false" ht="15" hidden="false" customHeight="false" outlineLevel="0" collapsed="false">
      <c r="A453" s="2" t="s">
        <v>593</v>
      </c>
      <c r="B453" s="2" t="s">
        <v>106</v>
      </c>
      <c r="C453" s="2" t="s">
        <v>315</v>
      </c>
      <c r="D453" s="2" t="s">
        <v>176</v>
      </c>
      <c r="E453" s="5" t="n">
        <f aca="false">INDEX('08_PEDIDOS'!$D$2:$D$97,MATCH(A453,'08_PEDIDOS'!$A$2:$A$97,0))</f>
        <v>5</v>
      </c>
      <c r="F453" s="5" t="n">
        <f aca="false">SUMIFS('03_DESPIECE'!$D$2:$D$225,'03_DESPIECE'!$A$2:$A$225,B453,'03_DESPIECE'!$B$2:$B$225,C453)</f>
        <v>2</v>
      </c>
      <c r="G453" s="5" t="n">
        <f aca="false">E453*F453</f>
        <v>10</v>
      </c>
      <c r="H453" s="16" t="n">
        <f aca="false">SUMIFS('03_DESPIECE'!$J$2:$J$225,'03_DESPIECE'!$A$2:$A$225,B453,'03_DESPIECE'!$B$2:$B$225,C453)</f>
        <v>60.922826087</v>
      </c>
      <c r="I453" s="16" t="n">
        <f aca="false">E453*H453</f>
        <v>304.614130435</v>
      </c>
      <c r="J453" s="17" t="n">
        <f aca="false">E453*SUMIFS('03_DESPIECE'!$I$2:$I$225,'03_DESPIECE'!$A$2:$A$225,B453,'03_DESPIECE'!$B$2:$B$225,C453)</f>
        <v>41.2125</v>
      </c>
      <c r="K453" s="19" t="n">
        <f aca="false">E453*SUMIFS('03_DESPIECE'!$K$2:$K$225,'03_DESPIECE'!$A$2:$A$225,B453,'03_DESPIECE'!$B$2:$B$225,C453)</f>
        <v>1.215277778</v>
      </c>
      <c r="L453" s="5" t="n">
        <f aca="false">SUMIFS('03_DESPIECE'!$L$2:$L$225,'03_DESPIECE'!$A$2:$A$225,B453,'03_DESPIECE'!$B$2:$B$225,C453)</f>
        <v>1</v>
      </c>
      <c r="M453" s="2" t="s">
        <v>629</v>
      </c>
    </row>
    <row r="454" customFormat="false" ht="15" hidden="false" customHeight="false" outlineLevel="0" collapsed="false">
      <c r="A454" s="2" t="s">
        <v>593</v>
      </c>
      <c r="B454" s="2" t="s">
        <v>106</v>
      </c>
      <c r="C454" s="2" t="s">
        <v>316</v>
      </c>
      <c r="D454" s="2" t="s">
        <v>176</v>
      </c>
      <c r="E454" s="5" t="n">
        <f aca="false">INDEX('08_PEDIDOS'!$D$2:$D$97,MATCH(A454,'08_PEDIDOS'!$A$2:$A$97,0))</f>
        <v>5</v>
      </c>
      <c r="F454" s="5" t="n">
        <f aca="false">SUMIFS('03_DESPIECE'!$D$2:$D$225,'03_DESPIECE'!$A$2:$A$225,B454,'03_DESPIECE'!$B$2:$B$225,C454)</f>
        <v>1</v>
      </c>
      <c r="G454" s="5" t="n">
        <f aca="false">E454*F454</f>
        <v>5</v>
      </c>
      <c r="H454" s="16" t="n">
        <f aca="false">SUMIFS('03_DESPIECE'!$J$2:$J$225,'03_DESPIECE'!$A$2:$A$225,B454,'03_DESPIECE'!$B$2:$B$225,C454)</f>
        <v>147.9554347826</v>
      </c>
      <c r="I454" s="16" t="n">
        <f aca="false">E454*H454</f>
        <v>739.777173913</v>
      </c>
      <c r="J454" s="17" t="n">
        <f aca="false">E454*SUMIFS('03_DESPIECE'!$I$2:$I$225,'03_DESPIECE'!$A$2:$A$225,B454,'03_DESPIECE'!$B$2:$B$225,C454)</f>
        <v>100.0875</v>
      </c>
      <c r="K454" s="19" t="n">
        <f aca="false">E454*SUMIFS('03_DESPIECE'!$K$2:$K$225,'03_DESPIECE'!$A$2:$A$225,B454,'03_DESPIECE'!$B$2:$B$225,C454)</f>
        <v>2.951388889</v>
      </c>
      <c r="L454" s="5" t="n">
        <f aca="false">SUMIFS('03_DESPIECE'!$L$2:$L$225,'03_DESPIECE'!$A$2:$A$225,B454,'03_DESPIECE'!$B$2:$B$225,C454)</f>
        <v>1</v>
      </c>
      <c r="M454" s="2" t="s">
        <v>629</v>
      </c>
    </row>
    <row r="455" customFormat="false" ht="15" hidden="false" customHeight="false" outlineLevel="0" collapsed="false">
      <c r="A455" s="2" t="s">
        <v>593</v>
      </c>
      <c r="B455" s="2" t="s">
        <v>106</v>
      </c>
      <c r="C455" s="2" t="s">
        <v>317</v>
      </c>
      <c r="D455" s="2" t="s">
        <v>176</v>
      </c>
      <c r="E455" s="5" t="n">
        <f aca="false">INDEX('08_PEDIDOS'!$D$2:$D$97,MATCH(A455,'08_PEDIDOS'!$A$2:$A$97,0))</f>
        <v>5</v>
      </c>
      <c r="F455" s="5" t="n">
        <f aca="false">SUMIFS('03_DESPIECE'!$D$2:$D$225,'03_DESPIECE'!$A$2:$A$225,B455,'03_DESPIECE'!$B$2:$B$225,C455)</f>
        <v>4</v>
      </c>
      <c r="G455" s="5" t="n">
        <f aca="false">E455*F455</f>
        <v>20</v>
      </c>
      <c r="H455" s="16" t="n">
        <f aca="false">SUMIFS('03_DESPIECE'!$J$2:$J$225,'03_DESPIECE'!$A$2:$A$225,B455,'03_DESPIECE'!$B$2:$B$225,C455)</f>
        <v>128.8082608696</v>
      </c>
      <c r="I455" s="16" t="n">
        <f aca="false">E455*H455</f>
        <v>644.041304348</v>
      </c>
      <c r="J455" s="17" t="n">
        <f aca="false">E455*SUMIFS('03_DESPIECE'!$I$2:$I$225,'03_DESPIECE'!$A$2:$A$225,B455,'03_DESPIECE'!$B$2:$B$225,C455)</f>
        <v>87.135</v>
      </c>
      <c r="K455" s="19" t="n">
        <f aca="false">E455*SUMIFS('03_DESPIECE'!$K$2:$K$225,'03_DESPIECE'!$A$2:$A$225,B455,'03_DESPIECE'!$B$2:$B$225,C455)</f>
        <v>2.5694444445</v>
      </c>
      <c r="L455" s="5" t="n">
        <f aca="false">SUMIFS('03_DESPIECE'!$L$2:$L$225,'03_DESPIECE'!$A$2:$A$225,B455,'03_DESPIECE'!$B$2:$B$225,C455)</f>
        <v>1</v>
      </c>
      <c r="M455" s="2" t="s">
        <v>629</v>
      </c>
    </row>
    <row r="456" customFormat="false" ht="15" hidden="false" customHeight="false" outlineLevel="0" collapsed="false">
      <c r="A456" s="2" t="s">
        <v>593</v>
      </c>
      <c r="B456" s="2" t="s">
        <v>106</v>
      </c>
      <c r="C456" s="2" t="s">
        <v>318</v>
      </c>
      <c r="D456" s="2" t="s">
        <v>176</v>
      </c>
      <c r="E456" s="5" t="n">
        <f aca="false">INDEX('08_PEDIDOS'!$D$2:$D$97,MATCH(A456,'08_PEDIDOS'!$A$2:$A$97,0))</f>
        <v>5</v>
      </c>
      <c r="F456" s="5" t="n">
        <f aca="false">SUMIFS('03_DESPIECE'!$D$2:$D$225,'03_DESPIECE'!$A$2:$A$225,B456,'03_DESPIECE'!$B$2:$B$225,C456)</f>
        <v>3</v>
      </c>
      <c r="G456" s="5" t="n">
        <f aca="false">E456*F456</f>
        <v>15</v>
      </c>
      <c r="H456" s="16" t="n">
        <f aca="false">SUMIFS('03_DESPIECE'!$J$2:$J$225,'03_DESPIECE'!$A$2:$A$225,B456,'03_DESPIECE'!$B$2:$B$225,C456)</f>
        <v>91.3842391304</v>
      </c>
      <c r="I456" s="16" t="n">
        <f aca="false">E456*H456</f>
        <v>456.921195652</v>
      </c>
      <c r="J456" s="17" t="n">
        <f aca="false">E456*SUMIFS('03_DESPIECE'!$I$2:$I$225,'03_DESPIECE'!$A$2:$A$225,B456,'03_DESPIECE'!$B$2:$B$225,C456)</f>
        <v>61.81875</v>
      </c>
      <c r="K456" s="19" t="n">
        <f aca="false">E456*SUMIFS('03_DESPIECE'!$K$2:$K$225,'03_DESPIECE'!$A$2:$A$225,B456,'03_DESPIECE'!$B$2:$B$225,C456)</f>
        <v>1.8229166665</v>
      </c>
      <c r="L456" s="5" t="n">
        <f aca="false">SUMIFS('03_DESPIECE'!$L$2:$L$225,'03_DESPIECE'!$A$2:$A$225,B456,'03_DESPIECE'!$B$2:$B$225,C456)</f>
        <v>1</v>
      </c>
      <c r="M456" s="2" t="s">
        <v>629</v>
      </c>
    </row>
    <row r="457" customFormat="false" ht="15" hidden="false" customHeight="false" outlineLevel="0" collapsed="false">
      <c r="A457" s="2" t="s">
        <v>593</v>
      </c>
      <c r="B457" s="2" t="s">
        <v>106</v>
      </c>
      <c r="C457" s="2" t="s">
        <v>319</v>
      </c>
      <c r="D457" s="2" t="s">
        <v>188</v>
      </c>
      <c r="E457" s="5" t="n">
        <f aca="false">INDEX('08_PEDIDOS'!$D$2:$D$97,MATCH(A457,'08_PEDIDOS'!$A$2:$A$97,0))</f>
        <v>5</v>
      </c>
      <c r="F457" s="5" t="n">
        <f aca="false">SUMIFS('03_DESPIECE'!$D$2:$D$225,'03_DESPIECE'!$A$2:$A$225,B457,'03_DESPIECE'!$B$2:$B$225,C457)</f>
        <v>8</v>
      </c>
      <c r="G457" s="5" t="n">
        <f aca="false">E457*F457</f>
        <v>40</v>
      </c>
      <c r="H457" s="16" t="n">
        <f aca="false">SUMIFS('03_DESPIECE'!$J$2:$J$225,'03_DESPIECE'!$A$2:$A$225,B457,'03_DESPIECE'!$B$2:$B$225,C457)</f>
        <v>7.2</v>
      </c>
      <c r="I457" s="16" t="n">
        <f aca="false">E457*H457</f>
        <v>36</v>
      </c>
      <c r="J457" s="17" t="n">
        <f aca="false">E457*SUMIFS('03_DESPIECE'!$I$2:$I$225,'03_DESPIECE'!$A$2:$A$225,B457,'03_DESPIECE'!$B$2:$B$225,C457)</f>
        <v>0</v>
      </c>
      <c r="K457" s="19" t="n">
        <f aca="false">E457*SUMIFS('03_DESPIECE'!$K$2:$K$225,'03_DESPIECE'!$A$2:$A$225,B457,'03_DESPIECE'!$B$2:$B$225,C457)</f>
        <v>0</v>
      </c>
      <c r="L457" s="5" t="n">
        <f aca="false">SUMIFS('03_DESPIECE'!$L$2:$L$225,'03_DESPIECE'!$A$2:$A$225,B457,'03_DESPIECE'!$B$2:$B$225,C457)</f>
        <v>1</v>
      </c>
      <c r="M457" s="2" t="s">
        <v>629</v>
      </c>
    </row>
    <row r="458" customFormat="false" ht="15" hidden="false" customHeight="false" outlineLevel="0" collapsed="false">
      <c r="A458" s="2" t="s">
        <v>593</v>
      </c>
      <c r="B458" s="2" t="s">
        <v>106</v>
      </c>
      <c r="C458" s="2" t="s">
        <v>320</v>
      </c>
      <c r="D458" s="2" t="s">
        <v>188</v>
      </c>
      <c r="E458" s="5" t="n">
        <f aca="false">INDEX('08_PEDIDOS'!$D$2:$D$97,MATCH(A458,'08_PEDIDOS'!$A$2:$A$97,0))</f>
        <v>5</v>
      </c>
      <c r="F458" s="5" t="n">
        <f aca="false">SUMIFS('03_DESPIECE'!$D$2:$D$225,'03_DESPIECE'!$A$2:$A$225,B458,'03_DESPIECE'!$B$2:$B$225,C458)</f>
        <v>4</v>
      </c>
      <c r="G458" s="5" t="n">
        <f aca="false">E458*F458</f>
        <v>20</v>
      </c>
      <c r="H458" s="16" t="n">
        <f aca="false">SUMIFS('03_DESPIECE'!$J$2:$J$225,'03_DESPIECE'!$A$2:$A$225,B458,'03_DESPIECE'!$B$2:$B$225,C458)</f>
        <v>3.6</v>
      </c>
      <c r="I458" s="16" t="n">
        <f aca="false">E458*H458</f>
        <v>18</v>
      </c>
      <c r="J458" s="17" t="n">
        <f aca="false">E458*SUMIFS('03_DESPIECE'!$I$2:$I$225,'03_DESPIECE'!$A$2:$A$225,B458,'03_DESPIECE'!$B$2:$B$225,C458)</f>
        <v>0</v>
      </c>
      <c r="K458" s="19" t="n">
        <f aca="false">E458*SUMIFS('03_DESPIECE'!$K$2:$K$225,'03_DESPIECE'!$A$2:$A$225,B458,'03_DESPIECE'!$B$2:$B$225,C458)</f>
        <v>0</v>
      </c>
      <c r="L458" s="5" t="n">
        <f aca="false">SUMIFS('03_DESPIECE'!$L$2:$L$225,'03_DESPIECE'!$A$2:$A$225,B458,'03_DESPIECE'!$B$2:$B$225,C458)</f>
        <v>1</v>
      </c>
      <c r="M458" s="2" t="s">
        <v>629</v>
      </c>
    </row>
    <row r="459" customFormat="false" ht="15" hidden="false" customHeight="false" outlineLevel="0" collapsed="false">
      <c r="A459" s="2" t="s">
        <v>594</v>
      </c>
      <c r="B459" s="2" t="s">
        <v>108</v>
      </c>
      <c r="C459" s="2" t="s">
        <v>321</v>
      </c>
      <c r="D459" s="2" t="s">
        <v>176</v>
      </c>
      <c r="E459" s="5" t="n">
        <f aca="false">INDEX('08_PEDIDOS'!$D$2:$D$97,MATCH(A459,'08_PEDIDOS'!$A$2:$A$97,0))</f>
        <v>6</v>
      </c>
      <c r="F459" s="5" t="n">
        <f aca="false">SUMIFS('03_DESPIECE'!$D$2:$D$225,'03_DESPIECE'!$A$2:$A$225,B459,'03_DESPIECE'!$B$2:$B$225,C459)</f>
        <v>2</v>
      </c>
      <c r="G459" s="5" t="n">
        <f aca="false">E459*F459</f>
        <v>12</v>
      </c>
      <c r="H459" s="16" t="n">
        <f aca="false">SUMIFS('03_DESPIECE'!$J$2:$J$225,'03_DESPIECE'!$A$2:$A$225,B459,'03_DESPIECE'!$B$2:$B$225,C459)</f>
        <v>191.4717391304</v>
      </c>
      <c r="I459" s="16" t="n">
        <f aca="false">E459*H459</f>
        <v>1148.8304347824</v>
      </c>
      <c r="J459" s="17" t="n">
        <f aca="false">E459*SUMIFS('03_DESPIECE'!$I$2:$I$225,'03_DESPIECE'!$A$2:$A$225,B459,'03_DESPIECE'!$B$2:$B$225,C459)</f>
        <v>155.43</v>
      </c>
      <c r="K459" s="19" t="n">
        <f aca="false">E459*SUMIFS('03_DESPIECE'!$K$2:$K$225,'03_DESPIECE'!$A$2:$A$225,B459,'03_DESPIECE'!$B$2:$B$225,C459)</f>
        <v>4.5833333334</v>
      </c>
      <c r="L459" s="5" t="n">
        <f aca="false">SUMIFS('03_DESPIECE'!$L$2:$L$225,'03_DESPIECE'!$A$2:$A$225,B459,'03_DESPIECE'!$B$2:$B$225,C459)</f>
        <v>1</v>
      </c>
      <c r="M459" s="2" t="s">
        <v>629</v>
      </c>
    </row>
    <row r="460" customFormat="false" ht="15" hidden="false" customHeight="false" outlineLevel="0" collapsed="false">
      <c r="A460" s="2" t="s">
        <v>594</v>
      </c>
      <c r="B460" s="2" t="s">
        <v>108</v>
      </c>
      <c r="C460" s="2" t="s">
        <v>322</v>
      </c>
      <c r="D460" s="2" t="s">
        <v>176</v>
      </c>
      <c r="E460" s="5" t="n">
        <f aca="false">INDEX('08_PEDIDOS'!$D$2:$D$97,MATCH(A460,'08_PEDIDOS'!$A$2:$A$97,0))</f>
        <v>6</v>
      </c>
      <c r="F460" s="5" t="n">
        <f aca="false">SUMIFS('03_DESPIECE'!$D$2:$D$225,'03_DESPIECE'!$A$2:$A$225,B460,'03_DESPIECE'!$B$2:$B$225,C460)</f>
        <v>2</v>
      </c>
      <c r="G460" s="5" t="n">
        <f aca="false">E460*F460</f>
        <v>12</v>
      </c>
      <c r="H460" s="16" t="n">
        <f aca="false">SUMIFS('03_DESPIECE'!$J$2:$J$225,'03_DESPIECE'!$A$2:$A$225,B460,'03_DESPIECE'!$B$2:$B$225,C460)</f>
        <v>83.5513043478</v>
      </c>
      <c r="I460" s="16" t="n">
        <f aca="false">E460*H460</f>
        <v>501.3078260868</v>
      </c>
      <c r="J460" s="17" t="n">
        <f aca="false">E460*SUMIFS('03_DESPIECE'!$I$2:$I$225,'03_DESPIECE'!$A$2:$A$225,B460,'03_DESPIECE'!$B$2:$B$225,C460)</f>
        <v>67.824</v>
      </c>
      <c r="K460" s="19" t="n">
        <f aca="false">E460*SUMIFS('03_DESPIECE'!$K$2:$K$225,'03_DESPIECE'!$A$2:$A$225,B460,'03_DESPIECE'!$B$2:$B$225,C460)</f>
        <v>1.9999999998</v>
      </c>
      <c r="L460" s="5" t="n">
        <f aca="false">SUMIFS('03_DESPIECE'!$L$2:$L$225,'03_DESPIECE'!$A$2:$A$225,B460,'03_DESPIECE'!$B$2:$B$225,C460)</f>
        <v>1</v>
      </c>
      <c r="M460" s="2" t="s">
        <v>629</v>
      </c>
    </row>
    <row r="461" customFormat="false" ht="15" hidden="false" customHeight="false" outlineLevel="0" collapsed="false">
      <c r="A461" s="2" t="s">
        <v>594</v>
      </c>
      <c r="B461" s="2" t="s">
        <v>108</v>
      </c>
      <c r="C461" s="2" t="s">
        <v>323</v>
      </c>
      <c r="D461" s="2" t="s">
        <v>176</v>
      </c>
      <c r="E461" s="5" t="n">
        <f aca="false">INDEX('08_PEDIDOS'!$D$2:$D$97,MATCH(A461,'08_PEDIDOS'!$A$2:$A$97,0))</f>
        <v>6</v>
      </c>
      <c r="F461" s="5" t="n">
        <f aca="false">SUMIFS('03_DESPIECE'!$D$2:$D$225,'03_DESPIECE'!$A$2:$A$225,B461,'03_DESPIECE'!$B$2:$B$225,C461)</f>
        <v>1</v>
      </c>
      <c r="G461" s="5" t="n">
        <f aca="false">E461*F461</f>
        <v>6</v>
      </c>
      <c r="H461" s="16" t="n">
        <f aca="false">SUMIFS('03_DESPIECE'!$J$2:$J$225,'03_DESPIECE'!$A$2:$A$225,B461,'03_DESPIECE'!$B$2:$B$225,C461)</f>
        <v>156.6586956522</v>
      </c>
      <c r="I461" s="16" t="n">
        <f aca="false">E461*H461</f>
        <v>939.9521739132</v>
      </c>
      <c r="J461" s="17" t="n">
        <f aca="false">E461*SUMIFS('03_DESPIECE'!$I$2:$I$225,'03_DESPIECE'!$A$2:$A$225,B461,'03_DESPIECE'!$B$2:$B$225,C461)</f>
        <v>127.17</v>
      </c>
      <c r="K461" s="19" t="n">
        <f aca="false">E461*SUMIFS('03_DESPIECE'!$K$2:$K$225,'03_DESPIECE'!$A$2:$A$225,B461,'03_DESPIECE'!$B$2:$B$225,C461)</f>
        <v>3.75</v>
      </c>
      <c r="L461" s="5" t="n">
        <f aca="false">SUMIFS('03_DESPIECE'!$L$2:$L$225,'03_DESPIECE'!$A$2:$A$225,B461,'03_DESPIECE'!$B$2:$B$225,C461)</f>
        <v>1</v>
      </c>
      <c r="M461" s="2" t="s">
        <v>629</v>
      </c>
    </row>
    <row r="462" customFormat="false" ht="15" hidden="false" customHeight="false" outlineLevel="0" collapsed="false">
      <c r="A462" s="2" t="s">
        <v>594</v>
      </c>
      <c r="B462" s="2" t="s">
        <v>108</v>
      </c>
      <c r="C462" s="2" t="s">
        <v>324</v>
      </c>
      <c r="D462" s="2" t="s">
        <v>176</v>
      </c>
      <c r="E462" s="5" t="n">
        <f aca="false">INDEX('08_PEDIDOS'!$D$2:$D$97,MATCH(A462,'08_PEDIDOS'!$A$2:$A$97,0))</f>
        <v>6</v>
      </c>
      <c r="F462" s="5" t="n">
        <f aca="false">SUMIFS('03_DESPIECE'!$D$2:$D$225,'03_DESPIECE'!$A$2:$A$225,B462,'03_DESPIECE'!$B$2:$B$225,C462)</f>
        <v>6</v>
      </c>
      <c r="G462" s="5" t="n">
        <f aca="false">E462*F462</f>
        <v>36</v>
      </c>
      <c r="H462" s="16" t="n">
        <f aca="false">SUMIFS('03_DESPIECE'!$J$2:$J$225,'03_DESPIECE'!$A$2:$A$225,B462,'03_DESPIECE'!$B$2:$B$225,C462)</f>
        <v>156.6586956522</v>
      </c>
      <c r="I462" s="16" t="n">
        <f aca="false">E462*H462</f>
        <v>939.9521739132</v>
      </c>
      <c r="J462" s="17" t="n">
        <f aca="false">E462*SUMIFS('03_DESPIECE'!$I$2:$I$225,'03_DESPIECE'!$A$2:$A$225,B462,'03_DESPIECE'!$B$2:$B$225,C462)</f>
        <v>127.17</v>
      </c>
      <c r="K462" s="19" t="n">
        <f aca="false">E462*SUMIFS('03_DESPIECE'!$K$2:$K$225,'03_DESPIECE'!$A$2:$A$225,B462,'03_DESPIECE'!$B$2:$B$225,C462)</f>
        <v>3.75</v>
      </c>
      <c r="L462" s="5" t="n">
        <f aca="false">SUMIFS('03_DESPIECE'!$L$2:$L$225,'03_DESPIECE'!$A$2:$A$225,B462,'03_DESPIECE'!$B$2:$B$225,C462)</f>
        <v>1</v>
      </c>
      <c r="M462" s="2" t="s">
        <v>629</v>
      </c>
    </row>
    <row r="463" customFormat="false" ht="15" hidden="false" customHeight="false" outlineLevel="0" collapsed="false">
      <c r="A463" s="2" t="s">
        <v>594</v>
      </c>
      <c r="B463" s="2" t="s">
        <v>108</v>
      </c>
      <c r="C463" s="2" t="s">
        <v>325</v>
      </c>
      <c r="D463" s="2" t="s">
        <v>176</v>
      </c>
      <c r="E463" s="5" t="n">
        <f aca="false">INDEX('08_PEDIDOS'!$D$2:$D$97,MATCH(A463,'08_PEDIDOS'!$A$2:$A$97,0))</f>
        <v>6</v>
      </c>
      <c r="F463" s="5" t="n">
        <f aca="false">SUMIFS('03_DESPIECE'!$D$2:$D$225,'03_DESPIECE'!$A$2:$A$225,B463,'03_DESPIECE'!$B$2:$B$225,C463)</f>
        <v>2</v>
      </c>
      <c r="G463" s="5" t="n">
        <f aca="false">E463*F463</f>
        <v>12</v>
      </c>
      <c r="H463" s="16" t="n">
        <f aca="false">SUMIFS('03_DESPIECE'!$J$2:$J$225,'03_DESPIECE'!$A$2:$A$225,B463,'03_DESPIECE'!$B$2:$B$225,C463)</f>
        <v>121.8456521739</v>
      </c>
      <c r="I463" s="16" t="n">
        <f aca="false">E463*H463</f>
        <v>731.0739130434</v>
      </c>
      <c r="J463" s="17" t="n">
        <f aca="false">E463*SUMIFS('03_DESPIECE'!$I$2:$I$225,'03_DESPIECE'!$A$2:$A$225,B463,'03_DESPIECE'!$B$2:$B$225,C463)</f>
        <v>98.91</v>
      </c>
      <c r="K463" s="19" t="n">
        <f aca="false">E463*SUMIFS('03_DESPIECE'!$K$2:$K$225,'03_DESPIECE'!$A$2:$A$225,B463,'03_DESPIECE'!$B$2:$B$225,C463)</f>
        <v>2.9166666666</v>
      </c>
      <c r="L463" s="5" t="n">
        <f aca="false">SUMIFS('03_DESPIECE'!$L$2:$L$225,'03_DESPIECE'!$A$2:$A$225,B463,'03_DESPIECE'!$B$2:$B$225,C463)</f>
        <v>1</v>
      </c>
      <c r="M463" s="2" t="s">
        <v>629</v>
      </c>
    </row>
    <row r="464" customFormat="false" ht="15" hidden="false" customHeight="false" outlineLevel="0" collapsed="false">
      <c r="A464" s="2" t="s">
        <v>594</v>
      </c>
      <c r="B464" s="2" t="s">
        <v>108</v>
      </c>
      <c r="C464" s="2" t="s">
        <v>326</v>
      </c>
      <c r="D464" s="2" t="s">
        <v>176</v>
      </c>
      <c r="E464" s="5" t="n">
        <f aca="false">INDEX('08_PEDIDOS'!$D$2:$D$97,MATCH(A464,'08_PEDIDOS'!$A$2:$A$97,0))</f>
        <v>6</v>
      </c>
      <c r="F464" s="5" t="n">
        <f aca="false">SUMIFS('03_DESPIECE'!$D$2:$D$225,'03_DESPIECE'!$A$2:$A$225,B464,'03_DESPIECE'!$B$2:$B$225,C464)</f>
        <v>4</v>
      </c>
      <c r="G464" s="5" t="n">
        <f aca="false">E464*F464</f>
        <v>24</v>
      </c>
      <c r="H464" s="16" t="n">
        <f aca="false">SUMIFS('03_DESPIECE'!$J$2:$J$225,'03_DESPIECE'!$A$2:$A$225,B464,'03_DESPIECE'!$B$2:$B$225,C464)</f>
        <v>139.252173913</v>
      </c>
      <c r="I464" s="16" t="n">
        <f aca="false">E464*H464</f>
        <v>835.513043478</v>
      </c>
      <c r="J464" s="17" t="n">
        <f aca="false">E464*SUMIFS('03_DESPIECE'!$I$2:$I$225,'03_DESPIECE'!$A$2:$A$225,B464,'03_DESPIECE'!$B$2:$B$225,C464)</f>
        <v>113.04</v>
      </c>
      <c r="K464" s="19" t="n">
        <f aca="false">E464*SUMIFS('03_DESPIECE'!$K$2:$K$225,'03_DESPIECE'!$A$2:$A$225,B464,'03_DESPIECE'!$B$2:$B$225,C464)</f>
        <v>3.3333333336</v>
      </c>
      <c r="L464" s="5" t="n">
        <f aca="false">SUMIFS('03_DESPIECE'!$L$2:$L$225,'03_DESPIECE'!$A$2:$A$225,B464,'03_DESPIECE'!$B$2:$B$225,C464)</f>
        <v>1</v>
      </c>
      <c r="M464" s="2" t="s">
        <v>629</v>
      </c>
    </row>
    <row r="465" customFormat="false" ht="15" hidden="false" customHeight="false" outlineLevel="0" collapsed="false">
      <c r="A465" s="2" t="s">
        <v>594</v>
      </c>
      <c r="B465" s="2" t="s">
        <v>108</v>
      </c>
      <c r="C465" s="2" t="s">
        <v>319</v>
      </c>
      <c r="D465" s="2" t="s">
        <v>188</v>
      </c>
      <c r="E465" s="5" t="n">
        <f aca="false">INDEX('08_PEDIDOS'!$D$2:$D$97,MATCH(A465,'08_PEDIDOS'!$A$2:$A$97,0))</f>
        <v>6</v>
      </c>
      <c r="F465" s="5" t="n">
        <f aca="false">SUMIFS('03_DESPIECE'!$D$2:$D$225,'03_DESPIECE'!$A$2:$A$225,B465,'03_DESPIECE'!$B$2:$B$225,C465)</f>
        <v>12</v>
      </c>
      <c r="G465" s="5" t="n">
        <f aca="false">E465*F465</f>
        <v>72</v>
      </c>
      <c r="H465" s="16" t="n">
        <f aca="false">SUMIFS('03_DESPIECE'!$J$2:$J$225,'03_DESPIECE'!$A$2:$A$225,B465,'03_DESPIECE'!$B$2:$B$225,C465)</f>
        <v>10.8</v>
      </c>
      <c r="I465" s="16" t="n">
        <f aca="false">E465*H465</f>
        <v>64.8</v>
      </c>
      <c r="J465" s="17" t="n">
        <f aca="false">E465*SUMIFS('03_DESPIECE'!$I$2:$I$225,'03_DESPIECE'!$A$2:$A$225,B465,'03_DESPIECE'!$B$2:$B$225,C465)</f>
        <v>0</v>
      </c>
      <c r="K465" s="19" t="n">
        <f aca="false">E465*SUMIFS('03_DESPIECE'!$K$2:$K$225,'03_DESPIECE'!$A$2:$A$225,B465,'03_DESPIECE'!$B$2:$B$225,C465)</f>
        <v>0</v>
      </c>
      <c r="L465" s="5" t="n">
        <f aca="false">SUMIFS('03_DESPIECE'!$L$2:$L$225,'03_DESPIECE'!$A$2:$A$225,B465,'03_DESPIECE'!$B$2:$B$225,C465)</f>
        <v>1</v>
      </c>
      <c r="M465" s="2" t="s">
        <v>629</v>
      </c>
    </row>
    <row r="466" customFormat="false" ht="15" hidden="false" customHeight="false" outlineLevel="0" collapsed="false">
      <c r="A466" s="2" t="s">
        <v>594</v>
      </c>
      <c r="B466" s="2" t="s">
        <v>108</v>
      </c>
      <c r="C466" s="2" t="s">
        <v>320</v>
      </c>
      <c r="D466" s="2" t="s">
        <v>188</v>
      </c>
      <c r="E466" s="5" t="n">
        <f aca="false">INDEX('08_PEDIDOS'!$D$2:$D$97,MATCH(A466,'08_PEDIDOS'!$A$2:$A$97,0))</f>
        <v>6</v>
      </c>
      <c r="F466" s="5" t="n">
        <f aca="false">SUMIFS('03_DESPIECE'!$D$2:$D$225,'03_DESPIECE'!$A$2:$A$225,B466,'03_DESPIECE'!$B$2:$B$225,C466)</f>
        <v>6</v>
      </c>
      <c r="G466" s="5" t="n">
        <f aca="false">E466*F466</f>
        <v>36</v>
      </c>
      <c r="H466" s="16" t="n">
        <f aca="false">SUMIFS('03_DESPIECE'!$J$2:$J$225,'03_DESPIECE'!$A$2:$A$225,B466,'03_DESPIECE'!$B$2:$B$225,C466)</f>
        <v>5.4</v>
      </c>
      <c r="I466" s="16" t="n">
        <f aca="false">E466*H466</f>
        <v>32.4</v>
      </c>
      <c r="J466" s="17" t="n">
        <f aca="false">E466*SUMIFS('03_DESPIECE'!$I$2:$I$225,'03_DESPIECE'!$A$2:$A$225,B466,'03_DESPIECE'!$B$2:$B$225,C466)</f>
        <v>0</v>
      </c>
      <c r="K466" s="19" t="n">
        <f aca="false">E466*SUMIFS('03_DESPIECE'!$K$2:$K$225,'03_DESPIECE'!$A$2:$A$225,B466,'03_DESPIECE'!$B$2:$B$225,C466)</f>
        <v>0</v>
      </c>
      <c r="L466" s="5" t="n">
        <f aca="false">SUMIFS('03_DESPIECE'!$L$2:$L$225,'03_DESPIECE'!$A$2:$A$225,B466,'03_DESPIECE'!$B$2:$B$225,C466)</f>
        <v>1</v>
      </c>
      <c r="M466" s="2" t="s">
        <v>629</v>
      </c>
    </row>
    <row r="467" customFormat="false" ht="15" hidden="false" customHeight="false" outlineLevel="0" collapsed="false">
      <c r="A467" s="2" t="s">
        <v>595</v>
      </c>
      <c r="B467" s="2" t="s">
        <v>119</v>
      </c>
      <c r="C467" s="2" t="s">
        <v>327</v>
      </c>
      <c r="D467" s="2" t="s">
        <v>174</v>
      </c>
      <c r="E467" s="5" t="n">
        <f aca="false">INDEX('08_PEDIDOS'!$D$2:$D$97,MATCH(A467,'08_PEDIDOS'!$A$2:$A$97,0))</f>
        <v>10</v>
      </c>
      <c r="F467" s="5" t="n">
        <f aca="false">SUMIFS('03_DESPIECE'!$D$2:$D$225,'03_DESPIECE'!$A$2:$A$225,B467,'03_DESPIECE'!$B$2:$B$225,C467)</f>
        <v>2</v>
      </c>
      <c r="G467" s="5" t="n">
        <f aca="false">E467*F467</f>
        <v>20</v>
      </c>
      <c r="H467" s="16" t="n">
        <f aca="false">SUMIFS('03_DESPIECE'!$J$2:$J$225,'03_DESPIECE'!$A$2:$A$225,B467,'03_DESPIECE'!$B$2:$B$225,C467)</f>
        <v>110.2413043478</v>
      </c>
      <c r="I467" s="16" t="n">
        <f aca="false">E467*H467</f>
        <v>1102.413043478</v>
      </c>
      <c r="J467" s="17" t="n">
        <f aca="false">E467*SUMIFS('03_DESPIECE'!$I$2:$I$225,'03_DESPIECE'!$A$2:$A$225,B467,'03_DESPIECE'!$B$2:$B$225,C467)</f>
        <v>149.15</v>
      </c>
      <c r="K467" s="19" t="n">
        <f aca="false">E467*SUMIFS('03_DESPIECE'!$K$2:$K$225,'03_DESPIECE'!$A$2:$A$225,B467,'03_DESPIECE'!$B$2:$B$225,C467)</f>
        <v>6.597222222</v>
      </c>
      <c r="L467" s="5" t="n">
        <f aca="false">SUMIFS('03_DESPIECE'!$L$2:$L$225,'03_DESPIECE'!$A$2:$A$225,B467,'03_DESPIECE'!$B$2:$B$225,C467)</f>
        <v>1</v>
      </c>
      <c r="M467" s="2" t="s">
        <v>629</v>
      </c>
    </row>
    <row r="468" customFormat="false" ht="15" hidden="false" customHeight="false" outlineLevel="0" collapsed="false">
      <c r="A468" s="2" t="s">
        <v>595</v>
      </c>
      <c r="B468" s="2" t="s">
        <v>119</v>
      </c>
      <c r="C468" s="2" t="s">
        <v>316</v>
      </c>
      <c r="D468" s="2" t="s">
        <v>174</v>
      </c>
      <c r="E468" s="5" t="n">
        <f aca="false">INDEX('08_PEDIDOS'!$D$2:$D$97,MATCH(A468,'08_PEDIDOS'!$A$2:$A$97,0))</f>
        <v>10</v>
      </c>
      <c r="F468" s="5" t="n">
        <f aca="false">SUMIFS('03_DESPIECE'!$D$2:$D$225,'03_DESPIECE'!$A$2:$A$225,B468,'03_DESPIECE'!$B$2:$B$225,C468)</f>
        <v>1</v>
      </c>
      <c r="G468" s="5" t="n">
        <f aca="false">E468*F468</f>
        <v>10</v>
      </c>
      <c r="H468" s="16" t="n">
        <f aca="false">SUMIFS('03_DESPIECE'!$J$2:$J$225,'03_DESPIECE'!$A$2:$A$225,B468,'03_DESPIECE'!$B$2:$B$225,C468)</f>
        <v>75.4282608696</v>
      </c>
      <c r="I468" s="16" t="n">
        <f aca="false">E468*H468</f>
        <v>754.282608696</v>
      </c>
      <c r="J468" s="17" t="n">
        <f aca="false">E468*SUMIFS('03_DESPIECE'!$I$2:$I$225,'03_DESPIECE'!$A$2:$A$225,B468,'03_DESPIECE'!$B$2:$B$225,C468)</f>
        <v>102.05</v>
      </c>
      <c r="K468" s="19" t="n">
        <f aca="false">E468*SUMIFS('03_DESPIECE'!$K$2:$K$225,'03_DESPIECE'!$A$2:$A$225,B468,'03_DESPIECE'!$B$2:$B$225,C468)</f>
        <v>4.513888889</v>
      </c>
      <c r="L468" s="5" t="n">
        <f aca="false">SUMIFS('03_DESPIECE'!$L$2:$L$225,'03_DESPIECE'!$A$2:$A$225,B468,'03_DESPIECE'!$B$2:$B$225,C468)</f>
        <v>1</v>
      </c>
      <c r="M468" s="2" t="s">
        <v>629</v>
      </c>
    </row>
    <row r="469" customFormat="false" ht="15" hidden="false" customHeight="false" outlineLevel="0" collapsed="false">
      <c r="A469" s="2" t="s">
        <v>595</v>
      </c>
      <c r="B469" s="2" t="s">
        <v>119</v>
      </c>
      <c r="C469" s="2" t="s">
        <v>322</v>
      </c>
      <c r="D469" s="2" t="s">
        <v>174</v>
      </c>
      <c r="E469" s="5" t="n">
        <f aca="false">INDEX('08_PEDIDOS'!$D$2:$D$97,MATCH(A469,'08_PEDIDOS'!$A$2:$A$97,0))</f>
        <v>10</v>
      </c>
      <c r="F469" s="5" t="n">
        <f aca="false">SUMIFS('03_DESPIECE'!$D$2:$D$225,'03_DESPIECE'!$A$2:$A$225,B469,'03_DESPIECE'!$B$2:$B$225,C469)</f>
        <v>2</v>
      </c>
      <c r="G469" s="5" t="n">
        <f aca="false">E469*F469</f>
        <v>20</v>
      </c>
      <c r="H469" s="16" t="n">
        <f aca="false">SUMIFS('03_DESPIECE'!$J$2:$J$225,'03_DESPIECE'!$A$2:$A$225,B469,'03_DESPIECE'!$B$2:$B$225,C469)</f>
        <v>58.0217391304</v>
      </c>
      <c r="I469" s="16" t="n">
        <f aca="false">E469*H469</f>
        <v>580.217391304</v>
      </c>
      <c r="J469" s="17" t="n">
        <f aca="false">E469*SUMIFS('03_DESPIECE'!$I$2:$I$225,'03_DESPIECE'!$A$2:$A$225,B469,'03_DESPIECE'!$B$2:$B$225,C469)</f>
        <v>78.5</v>
      </c>
      <c r="K469" s="19" t="n">
        <f aca="false">E469*SUMIFS('03_DESPIECE'!$K$2:$K$225,'03_DESPIECE'!$A$2:$A$225,B469,'03_DESPIECE'!$B$2:$B$225,C469)</f>
        <v>3.472222222</v>
      </c>
      <c r="L469" s="5" t="n">
        <f aca="false">SUMIFS('03_DESPIECE'!$L$2:$L$225,'03_DESPIECE'!$A$2:$A$225,B469,'03_DESPIECE'!$B$2:$B$225,C469)</f>
        <v>1</v>
      </c>
      <c r="M469" s="2" t="s">
        <v>629</v>
      </c>
    </row>
    <row r="470" customFormat="false" ht="15" hidden="false" customHeight="false" outlineLevel="0" collapsed="false">
      <c r="A470" s="2" t="s">
        <v>595</v>
      </c>
      <c r="B470" s="2" t="s">
        <v>119</v>
      </c>
      <c r="C470" s="2" t="s">
        <v>328</v>
      </c>
      <c r="D470" s="2" t="s">
        <v>174</v>
      </c>
      <c r="E470" s="5" t="n">
        <f aca="false">INDEX('08_PEDIDOS'!$D$2:$D$97,MATCH(A470,'08_PEDIDOS'!$A$2:$A$97,0))</f>
        <v>10</v>
      </c>
      <c r="F470" s="5" t="n">
        <f aca="false">SUMIFS('03_DESPIECE'!$D$2:$D$225,'03_DESPIECE'!$A$2:$A$225,B470,'03_DESPIECE'!$B$2:$B$225,C470)</f>
        <v>2</v>
      </c>
      <c r="G470" s="5" t="n">
        <f aca="false">E470*F470</f>
        <v>20</v>
      </c>
      <c r="H470" s="16" t="n">
        <f aca="false">SUMIFS('03_DESPIECE'!$J$2:$J$225,'03_DESPIECE'!$A$2:$A$225,B470,'03_DESPIECE'!$B$2:$B$225,C470)</f>
        <v>81.2304347826</v>
      </c>
      <c r="I470" s="16" t="n">
        <f aca="false">E470*H470</f>
        <v>812.304347826</v>
      </c>
      <c r="J470" s="17" t="n">
        <f aca="false">E470*SUMIFS('03_DESPIECE'!$I$2:$I$225,'03_DESPIECE'!$A$2:$A$225,B470,'03_DESPIECE'!$B$2:$B$225,C470)</f>
        <v>109.9</v>
      </c>
      <c r="K470" s="19" t="n">
        <f aca="false">E470*SUMIFS('03_DESPIECE'!$K$2:$K$225,'03_DESPIECE'!$A$2:$A$225,B470,'03_DESPIECE'!$B$2:$B$225,C470)</f>
        <v>4.861111111</v>
      </c>
      <c r="L470" s="5" t="n">
        <f aca="false">SUMIFS('03_DESPIECE'!$L$2:$L$225,'03_DESPIECE'!$A$2:$A$225,B470,'03_DESPIECE'!$B$2:$B$225,C470)</f>
        <v>1</v>
      </c>
      <c r="M470" s="2" t="s">
        <v>629</v>
      </c>
    </row>
    <row r="471" customFormat="false" ht="15" hidden="false" customHeight="false" outlineLevel="0" collapsed="false">
      <c r="A471" s="2" t="s">
        <v>595</v>
      </c>
      <c r="B471" s="2" t="s">
        <v>119</v>
      </c>
      <c r="C471" s="2" t="s">
        <v>310</v>
      </c>
      <c r="D471" s="2" t="s">
        <v>174</v>
      </c>
      <c r="E471" s="5" t="n">
        <f aca="false">INDEX('08_PEDIDOS'!$D$2:$D$97,MATCH(A471,'08_PEDIDOS'!$A$2:$A$97,0))</f>
        <v>10</v>
      </c>
      <c r="F471" s="5" t="n">
        <f aca="false">SUMIFS('03_DESPIECE'!$D$2:$D$225,'03_DESPIECE'!$A$2:$A$225,B471,'03_DESPIECE'!$B$2:$B$225,C471)</f>
        <v>3</v>
      </c>
      <c r="G471" s="5" t="n">
        <f aca="false">E471*F471</f>
        <v>30</v>
      </c>
      <c r="H471" s="16" t="n">
        <f aca="false">SUMIFS('03_DESPIECE'!$J$2:$J$225,'03_DESPIECE'!$A$2:$A$225,B471,'03_DESPIECE'!$B$2:$B$225,C471)</f>
        <v>83.5513043478</v>
      </c>
      <c r="I471" s="16" t="n">
        <f aca="false">E471*H471</f>
        <v>835.513043478</v>
      </c>
      <c r="J471" s="17" t="n">
        <f aca="false">E471*SUMIFS('03_DESPIECE'!$I$2:$I$225,'03_DESPIECE'!$A$2:$A$225,B471,'03_DESPIECE'!$B$2:$B$225,C471)</f>
        <v>113.04</v>
      </c>
      <c r="K471" s="19" t="n">
        <f aca="false">E471*SUMIFS('03_DESPIECE'!$K$2:$K$225,'03_DESPIECE'!$A$2:$A$225,B471,'03_DESPIECE'!$B$2:$B$225,C471)</f>
        <v>5</v>
      </c>
      <c r="L471" s="5" t="n">
        <f aca="false">SUMIFS('03_DESPIECE'!$L$2:$L$225,'03_DESPIECE'!$A$2:$A$225,B471,'03_DESPIECE'!$B$2:$B$225,C471)</f>
        <v>1</v>
      </c>
      <c r="M471" s="2" t="s">
        <v>629</v>
      </c>
    </row>
    <row r="472" customFormat="false" ht="15" hidden="false" customHeight="false" outlineLevel="0" collapsed="false">
      <c r="A472" s="2" t="s">
        <v>595</v>
      </c>
      <c r="B472" s="2" t="s">
        <v>119</v>
      </c>
      <c r="C472" s="2" t="s">
        <v>319</v>
      </c>
      <c r="D472" s="2" t="s">
        <v>188</v>
      </c>
      <c r="E472" s="5" t="n">
        <f aca="false">INDEX('08_PEDIDOS'!$D$2:$D$97,MATCH(A472,'08_PEDIDOS'!$A$2:$A$97,0))</f>
        <v>10</v>
      </c>
      <c r="F472" s="5" t="n">
        <f aca="false">SUMIFS('03_DESPIECE'!$D$2:$D$225,'03_DESPIECE'!$A$2:$A$225,B472,'03_DESPIECE'!$B$2:$B$225,C472)</f>
        <v>4</v>
      </c>
      <c r="G472" s="5" t="n">
        <f aca="false">E472*F472</f>
        <v>40</v>
      </c>
      <c r="H472" s="16" t="n">
        <f aca="false">SUMIFS('03_DESPIECE'!$J$2:$J$225,'03_DESPIECE'!$A$2:$A$225,B472,'03_DESPIECE'!$B$2:$B$225,C472)</f>
        <v>3.6</v>
      </c>
      <c r="I472" s="16" t="n">
        <f aca="false">E472*H472</f>
        <v>36</v>
      </c>
      <c r="J472" s="17" t="n">
        <f aca="false">E472*SUMIFS('03_DESPIECE'!$I$2:$I$225,'03_DESPIECE'!$A$2:$A$225,B472,'03_DESPIECE'!$B$2:$B$225,C472)</f>
        <v>0</v>
      </c>
      <c r="K472" s="19" t="n">
        <f aca="false">E472*SUMIFS('03_DESPIECE'!$K$2:$K$225,'03_DESPIECE'!$A$2:$A$225,B472,'03_DESPIECE'!$B$2:$B$225,C472)</f>
        <v>0</v>
      </c>
      <c r="L472" s="5" t="n">
        <f aca="false">SUMIFS('03_DESPIECE'!$L$2:$L$225,'03_DESPIECE'!$A$2:$A$225,B472,'03_DESPIECE'!$B$2:$B$225,C472)</f>
        <v>1</v>
      </c>
      <c r="M472" s="2" t="s">
        <v>629</v>
      </c>
    </row>
    <row r="473" customFormat="false" ht="15" hidden="false" customHeight="false" outlineLevel="0" collapsed="false">
      <c r="A473" s="2" t="s">
        <v>595</v>
      </c>
      <c r="B473" s="2" t="s">
        <v>119</v>
      </c>
      <c r="C473" s="2" t="s">
        <v>320</v>
      </c>
      <c r="D473" s="2" t="s">
        <v>188</v>
      </c>
      <c r="E473" s="5" t="n">
        <f aca="false">INDEX('08_PEDIDOS'!$D$2:$D$97,MATCH(A473,'08_PEDIDOS'!$A$2:$A$97,0))</f>
        <v>10</v>
      </c>
      <c r="F473" s="5" t="n">
        <f aca="false">SUMIFS('03_DESPIECE'!$D$2:$D$225,'03_DESPIECE'!$A$2:$A$225,B473,'03_DESPIECE'!$B$2:$B$225,C473)</f>
        <v>2</v>
      </c>
      <c r="G473" s="5" t="n">
        <f aca="false">E473*F473</f>
        <v>20</v>
      </c>
      <c r="H473" s="16" t="n">
        <f aca="false">SUMIFS('03_DESPIECE'!$J$2:$J$225,'03_DESPIECE'!$A$2:$A$225,B473,'03_DESPIECE'!$B$2:$B$225,C473)</f>
        <v>1.8</v>
      </c>
      <c r="I473" s="16" t="n">
        <f aca="false">E473*H473</f>
        <v>18</v>
      </c>
      <c r="J473" s="17" t="n">
        <f aca="false">E473*SUMIFS('03_DESPIECE'!$I$2:$I$225,'03_DESPIECE'!$A$2:$A$225,B473,'03_DESPIECE'!$B$2:$B$225,C473)</f>
        <v>0</v>
      </c>
      <c r="K473" s="19" t="n">
        <f aca="false">E473*SUMIFS('03_DESPIECE'!$K$2:$K$225,'03_DESPIECE'!$A$2:$A$225,B473,'03_DESPIECE'!$B$2:$B$225,C473)</f>
        <v>0</v>
      </c>
      <c r="L473" s="5" t="n">
        <f aca="false">SUMIFS('03_DESPIECE'!$L$2:$L$225,'03_DESPIECE'!$A$2:$A$225,B473,'03_DESPIECE'!$B$2:$B$225,C473)</f>
        <v>1</v>
      </c>
      <c r="M473" s="2" t="s">
        <v>629</v>
      </c>
    </row>
    <row r="474" customFormat="false" ht="15" hidden="false" customHeight="false" outlineLevel="0" collapsed="false">
      <c r="A474" s="2" t="s">
        <v>596</v>
      </c>
      <c r="B474" s="2" t="s">
        <v>121</v>
      </c>
      <c r="C474" s="2" t="s">
        <v>329</v>
      </c>
      <c r="D474" s="2" t="s">
        <v>184</v>
      </c>
      <c r="E474" s="5" t="n">
        <f aca="false">INDEX('08_PEDIDOS'!$D$2:$D$97,MATCH(A474,'08_PEDIDOS'!$A$2:$A$97,0))</f>
        <v>10</v>
      </c>
      <c r="F474" s="5" t="n">
        <f aca="false">SUMIFS('03_DESPIECE'!$D$2:$D$225,'03_DESPIECE'!$A$2:$A$225,B474,'03_DESPIECE'!$B$2:$B$225,C474)</f>
        <v>4</v>
      </c>
      <c r="G474" s="5" t="n">
        <f aca="false">E474*F474</f>
        <v>40</v>
      </c>
      <c r="H474" s="16" t="n">
        <f aca="false">SUMIFS('03_DESPIECE'!$J$2:$J$225,'03_DESPIECE'!$A$2:$A$225,B474,'03_DESPIECE'!$B$2:$B$225,C474)</f>
        <v>62.90625</v>
      </c>
      <c r="I474" s="16" t="n">
        <f aca="false">E474*H474</f>
        <v>629.0625</v>
      </c>
      <c r="J474" s="17" t="n">
        <f aca="false">E474*SUMIFS('03_DESPIECE'!$I$2:$I$225,'03_DESPIECE'!$A$2:$A$225,B474,'03_DESPIECE'!$B$2:$B$225,C474)</f>
        <v>99</v>
      </c>
      <c r="K474" s="19" t="n">
        <f aca="false">E474*SUMIFS('03_DESPIECE'!$K$2:$K$225,'03_DESPIECE'!$A$2:$A$225,B474,'03_DESPIECE'!$B$2:$B$225,C474)</f>
        <v>0</v>
      </c>
      <c r="L474" s="5" t="n">
        <f aca="false">SUMIFS('03_DESPIECE'!$L$2:$L$225,'03_DESPIECE'!$A$2:$A$225,B474,'03_DESPIECE'!$B$2:$B$225,C474)</f>
        <v>1</v>
      </c>
      <c r="M474" s="2" t="s">
        <v>629</v>
      </c>
    </row>
    <row r="475" customFormat="false" ht="15" hidden="false" customHeight="false" outlineLevel="0" collapsed="false">
      <c r="A475" s="2" t="s">
        <v>596</v>
      </c>
      <c r="B475" s="2" t="s">
        <v>121</v>
      </c>
      <c r="C475" s="2" t="s">
        <v>330</v>
      </c>
      <c r="D475" s="2" t="s">
        <v>184</v>
      </c>
      <c r="E475" s="5" t="n">
        <f aca="false">INDEX('08_PEDIDOS'!$D$2:$D$97,MATCH(A475,'08_PEDIDOS'!$A$2:$A$97,0))</f>
        <v>10</v>
      </c>
      <c r="F475" s="5" t="n">
        <f aca="false">SUMIFS('03_DESPIECE'!$D$2:$D$225,'03_DESPIECE'!$A$2:$A$225,B475,'03_DESPIECE'!$B$2:$B$225,C475)</f>
        <v>8</v>
      </c>
      <c r="G475" s="5" t="n">
        <f aca="false">E475*F475</f>
        <v>80</v>
      </c>
      <c r="H475" s="16" t="n">
        <f aca="false">SUMIFS('03_DESPIECE'!$J$2:$J$225,'03_DESPIECE'!$A$2:$A$225,B475,'03_DESPIECE'!$B$2:$B$225,C475)</f>
        <v>68.625</v>
      </c>
      <c r="I475" s="16" t="n">
        <f aca="false">E475*H475</f>
        <v>686.25</v>
      </c>
      <c r="J475" s="17" t="n">
        <f aca="false">E475*SUMIFS('03_DESPIECE'!$I$2:$I$225,'03_DESPIECE'!$A$2:$A$225,B475,'03_DESPIECE'!$B$2:$B$225,C475)</f>
        <v>108</v>
      </c>
      <c r="K475" s="19" t="n">
        <f aca="false">E475*SUMIFS('03_DESPIECE'!$K$2:$K$225,'03_DESPIECE'!$A$2:$A$225,B475,'03_DESPIECE'!$B$2:$B$225,C475)</f>
        <v>0</v>
      </c>
      <c r="L475" s="5" t="n">
        <f aca="false">SUMIFS('03_DESPIECE'!$L$2:$L$225,'03_DESPIECE'!$A$2:$A$225,B475,'03_DESPIECE'!$B$2:$B$225,C475)</f>
        <v>1</v>
      </c>
      <c r="M475" s="2" t="s">
        <v>629</v>
      </c>
    </row>
    <row r="476" customFormat="false" ht="15" hidden="false" customHeight="false" outlineLevel="0" collapsed="false">
      <c r="A476" s="2" t="s">
        <v>596</v>
      </c>
      <c r="B476" s="2" t="s">
        <v>121</v>
      </c>
      <c r="C476" s="2" t="s">
        <v>310</v>
      </c>
      <c r="D476" s="2" t="s">
        <v>174</v>
      </c>
      <c r="E476" s="5" t="n">
        <f aca="false">INDEX('08_PEDIDOS'!$D$2:$D$97,MATCH(A476,'08_PEDIDOS'!$A$2:$A$97,0))</f>
        <v>10</v>
      </c>
      <c r="F476" s="5" t="n">
        <f aca="false">SUMIFS('03_DESPIECE'!$D$2:$D$225,'03_DESPIECE'!$A$2:$A$225,B476,'03_DESPIECE'!$B$2:$B$225,C476)</f>
        <v>5</v>
      </c>
      <c r="G476" s="5" t="n">
        <f aca="false">E476*F476</f>
        <v>50</v>
      </c>
      <c r="H476" s="16" t="n">
        <f aca="false">SUMIFS('03_DESPIECE'!$J$2:$J$225,'03_DESPIECE'!$A$2:$A$225,B476,'03_DESPIECE'!$B$2:$B$225,C476)</f>
        <v>116.0434782609</v>
      </c>
      <c r="I476" s="16" t="n">
        <f aca="false">E476*H476</f>
        <v>1160.434782609</v>
      </c>
      <c r="J476" s="17" t="n">
        <f aca="false">E476*SUMIFS('03_DESPIECE'!$I$2:$I$225,'03_DESPIECE'!$A$2:$A$225,B476,'03_DESPIECE'!$B$2:$B$225,C476)</f>
        <v>157</v>
      </c>
      <c r="K476" s="19" t="n">
        <f aca="false">E476*SUMIFS('03_DESPIECE'!$K$2:$K$225,'03_DESPIECE'!$A$2:$A$225,B476,'03_DESPIECE'!$B$2:$B$225,C476)</f>
        <v>6.944444444</v>
      </c>
      <c r="L476" s="5" t="n">
        <f aca="false">SUMIFS('03_DESPIECE'!$L$2:$L$225,'03_DESPIECE'!$A$2:$A$225,B476,'03_DESPIECE'!$B$2:$B$225,C476)</f>
        <v>1</v>
      </c>
      <c r="M476" s="2" t="s">
        <v>629</v>
      </c>
    </row>
    <row r="477" customFormat="false" ht="15" hidden="false" customHeight="false" outlineLevel="0" collapsed="false">
      <c r="A477" s="2" t="s">
        <v>596</v>
      </c>
      <c r="B477" s="2" t="s">
        <v>121</v>
      </c>
      <c r="C477" s="2" t="s">
        <v>331</v>
      </c>
      <c r="D477" s="2" t="s">
        <v>174</v>
      </c>
      <c r="E477" s="5" t="n">
        <f aca="false">INDEX('08_PEDIDOS'!$D$2:$D$97,MATCH(A477,'08_PEDIDOS'!$A$2:$A$97,0))</f>
        <v>10</v>
      </c>
      <c r="F477" s="5" t="n">
        <f aca="false">SUMIFS('03_DESPIECE'!$D$2:$D$225,'03_DESPIECE'!$A$2:$A$225,B477,'03_DESPIECE'!$B$2:$B$225,C477)</f>
        <v>8</v>
      </c>
      <c r="G477" s="5" t="n">
        <f aca="false">E477*F477</f>
        <v>80</v>
      </c>
      <c r="H477" s="16" t="n">
        <f aca="false">SUMIFS('03_DESPIECE'!$J$2:$J$225,'03_DESPIECE'!$A$2:$A$225,B477,'03_DESPIECE'!$B$2:$B$225,C477)</f>
        <v>16.2460869565</v>
      </c>
      <c r="I477" s="16" t="n">
        <f aca="false">E477*H477</f>
        <v>162.460869565</v>
      </c>
      <c r="J477" s="17" t="n">
        <f aca="false">E477*SUMIFS('03_DESPIECE'!$I$2:$I$225,'03_DESPIECE'!$A$2:$A$225,B477,'03_DESPIECE'!$B$2:$B$225,C477)</f>
        <v>21.98</v>
      </c>
      <c r="K477" s="19" t="n">
        <f aca="false">E477*SUMIFS('03_DESPIECE'!$K$2:$K$225,'03_DESPIECE'!$A$2:$A$225,B477,'03_DESPIECE'!$B$2:$B$225,C477)</f>
        <v>0.972222222</v>
      </c>
      <c r="L477" s="5" t="n">
        <f aca="false">SUMIFS('03_DESPIECE'!$L$2:$L$225,'03_DESPIECE'!$A$2:$A$225,B477,'03_DESPIECE'!$B$2:$B$225,C477)</f>
        <v>1</v>
      </c>
      <c r="M477" s="2" t="s">
        <v>629</v>
      </c>
    </row>
    <row r="478" customFormat="false" ht="15" hidden="false" customHeight="false" outlineLevel="0" collapsed="false">
      <c r="A478" s="2" t="s">
        <v>596</v>
      </c>
      <c r="B478" s="2" t="s">
        <v>121</v>
      </c>
      <c r="C478" s="2" t="s">
        <v>332</v>
      </c>
      <c r="D478" s="2" t="s">
        <v>188</v>
      </c>
      <c r="E478" s="5" t="n">
        <f aca="false">INDEX('08_PEDIDOS'!$D$2:$D$97,MATCH(A478,'08_PEDIDOS'!$A$2:$A$97,0))</f>
        <v>10</v>
      </c>
      <c r="F478" s="5" t="n">
        <f aca="false">SUMIFS('03_DESPIECE'!$D$2:$D$225,'03_DESPIECE'!$A$2:$A$225,B478,'03_DESPIECE'!$B$2:$B$225,C478)</f>
        <v>32</v>
      </c>
      <c r="G478" s="5" t="n">
        <f aca="false">E478*F478</f>
        <v>320</v>
      </c>
      <c r="H478" s="16" t="n">
        <f aca="false">SUMIFS('03_DESPIECE'!$J$2:$J$225,'03_DESPIECE'!$A$2:$A$225,B478,'03_DESPIECE'!$B$2:$B$225,C478)</f>
        <v>28.8</v>
      </c>
      <c r="I478" s="16" t="n">
        <f aca="false">E478*H478</f>
        <v>288</v>
      </c>
      <c r="J478" s="17" t="n">
        <f aca="false">E478*SUMIFS('03_DESPIECE'!$I$2:$I$225,'03_DESPIECE'!$A$2:$A$225,B478,'03_DESPIECE'!$B$2:$B$225,C478)</f>
        <v>0</v>
      </c>
      <c r="K478" s="19" t="n">
        <f aca="false">E478*SUMIFS('03_DESPIECE'!$K$2:$K$225,'03_DESPIECE'!$A$2:$A$225,B478,'03_DESPIECE'!$B$2:$B$225,C478)</f>
        <v>0</v>
      </c>
      <c r="L478" s="5" t="n">
        <f aca="false">SUMIFS('03_DESPIECE'!$L$2:$L$225,'03_DESPIECE'!$A$2:$A$225,B478,'03_DESPIECE'!$B$2:$B$225,C478)</f>
        <v>1</v>
      </c>
      <c r="M478" s="2" t="s">
        <v>629</v>
      </c>
    </row>
    <row r="479" customFormat="false" ht="15" hidden="false" customHeight="false" outlineLevel="0" collapsed="false">
      <c r="A479" s="2" t="s">
        <v>597</v>
      </c>
      <c r="B479" s="2" t="s">
        <v>80</v>
      </c>
      <c r="C479" s="2" t="s">
        <v>285</v>
      </c>
      <c r="D479" s="2" t="s">
        <v>184</v>
      </c>
      <c r="E479" s="5" t="n">
        <f aca="false">INDEX('08_PEDIDOS'!$D$2:$D$97,MATCH(A479,'08_PEDIDOS'!$A$2:$A$97,0))</f>
        <v>12</v>
      </c>
      <c r="F479" s="5" t="n">
        <f aca="false">SUMIFS('03_DESPIECE'!$D$2:$D$225,'03_DESPIECE'!$A$2:$A$225,B479,'03_DESPIECE'!$B$2:$B$225,C479)</f>
        <v>4</v>
      </c>
      <c r="G479" s="5" t="n">
        <f aca="false">E479*F479</f>
        <v>48</v>
      </c>
      <c r="H479" s="16" t="n">
        <f aca="false">SUMIFS('03_DESPIECE'!$J$2:$J$225,'03_DESPIECE'!$A$2:$A$225,B479,'03_DESPIECE'!$B$2:$B$225,C479)</f>
        <v>68.625</v>
      </c>
      <c r="I479" s="16" t="n">
        <f aca="false">E479*H479</f>
        <v>823.5</v>
      </c>
      <c r="J479" s="17" t="n">
        <f aca="false">E479*SUMIFS('03_DESPIECE'!$I$2:$I$225,'03_DESPIECE'!$A$2:$A$225,B479,'03_DESPIECE'!$B$2:$B$225,C479)</f>
        <v>129.6</v>
      </c>
      <c r="K479" s="19" t="n">
        <f aca="false">E479*SUMIFS('03_DESPIECE'!$K$2:$K$225,'03_DESPIECE'!$A$2:$A$225,B479,'03_DESPIECE'!$B$2:$B$225,C479)</f>
        <v>0</v>
      </c>
      <c r="L479" s="5" t="n">
        <f aca="false">SUMIFS('03_DESPIECE'!$L$2:$L$225,'03_DESPIECE'!$A$2:$A$225,B479,'03_DESPIECE'!$B$2:$B$225,C479)</f>
        <v>1</v>
      </c>
      <c r="M479" s="2" t="s">
        <v>629</v>
      </c>
    </row>
    <row r="480" customFormat="false" ht="15" hidden="false" customHeight="false" outlineLevel="0" collapsed="false">
      <c r="A480" s="2" t="s">
        <v>597</v>
      </c>
      <c r="B480" s="2" t="s">
        <v>80</v>
      </c>
      <c r="C480" s="2" t="s">
        <v>287</v>
      </c>
      <c r="D480" s="2" t="s">
        <v>184</v>
      </c>
      <c r="E480" s="5" t="n">
        <f aca="false">INDEX('08_PEDIDOS'!$D$2:$D$97,MATCH(A480,'08_PEDIDOS'!$A$2:$A$97,0))</f>
        <v>12</v>
      </c>
      <c r="F480" s="5" t="n">
        <f aca="false">SUMIFS('03_DESPIECE'!$D$2:$D$225,'03_DESPIECE'!$A$2:$A$225,B480,'03_DESPIECE'!$B$2:$B$225,C480)</f>
        <v>8</v>
      </c>
      <c r="G480" s="5" t="n">
        <f aca="false">E480*F480</f>
        <v>96</v>
      </c>
      <c r="H480" s="16" t="n">
        <f aca="false">SUMIFS('03_DESPIECE'!$J$2:$J$225,'03_DESPIECE'!$A$2:$A$225,B480,'03_DESPIECE'!$B$2:$B$225,C480)</f>
        <v>91.5</v>
      </c>
      <c r="I480" s="16" t="n">
        <f aca="false">E480*H480</f>
        <v>1098</v>
      </c>
      <c r="J480" s="17" t="n">
        <f aca="false">E480*SUMIFS('03_DESPIECE'!$I$2:$I$225,'03_DESPIECE'!$A$2:$A$225,B480,'03_DESPIECE'!$B$2:$B$225,C480)</f>
        <v>172.8</v>
      </c>
      <c r="K480" s="19" t="n">
        <f aca="false">E480*SUMIFS('03_DESPIECE'!$K$2:$K$225,'03_DESPIECE'!$A$2:$A$225,B480,'03_DESPIECE'!$B$2:$B$225,C480)</f>
        <v>0</v>
      </c>
      <c r="L480" s="5" t="n">
        <f aca="false">SUMIFS('03_DESPIECE'!$L$2:$L$225,'03_DESPIECE'!$A$2:$A$225,B480,'03_DESPIECE'!$B$2:$B$225,C480)</f>
        <v>1</v>
      </c>
      <c r="M480" s="2" t="s">
        <v>629</v>
      </c>
    </row>
    <row r="481" customFormat="false" ht="15" hidden="false" customHeight="false" outlineLevel="0" collapsed="false">
      <c r="A481" s="2" t="s">
        <v>597</v>
      </c>
      <c r="B481" s="2" t="s">
        <v>80</v>
      </c>
      <c r="C481" s="2" t="s">
        <v>288</v>
      </c>
      <c r="D481" s="2" t="s">
        <v>184</v>
      </c>
      <c r="E481" s="5" t="n">
        <f aca="false">INDEX('08_PEDIDOS'!$D$2:$D$97,MATCH(A481,'08_PEDIDOS'!$A$2:$A$97,0))</f>
        <v>12</v>
      </c>
      <c r="F481" s="5" t="n">
        <f aca="false">SUMIFS('03_DESPIECE'!$D$2:$D$225,'03_DESPIECE'!$A$2:$A$225,B481,'03_DESPIECE'!$B$2:$B$225,C481)</f>
        <v>4</v>
      </c>
      <c r="G481" s="5" t="n">
        <f aca="false">E481*F481</f>
        <v>48</v>
      </c>
      <c r="H481" s="16" t="n">
        <f aca="false">SUMIFS('03_DESPIECE'!$J$2:$J$225,'03_DESPIECE'!$A$2:$A$225,B481,'03_DESPIECE'!$B$2:$B$225,C481)</f>
        <v>22.875</v>
      </c>
      <c r="I481" s="16" t="n">
        <f aca="false">E481*H481</f>
        <v>274.5</v>
      </c>
      <c r="J481" s="17" t="n">
        <f aca="false">E481*SUMIFS('03_DESPIECE'!$I$2:$I$225,'03_DESPIECE'!$A$2:$A$225,B481,'03_DESPIECE'!$B$2:$B$225,C481)</f>
        <v>43.2</v>
      </c>
      <c r="K481" s="19" t="n">
        <f aca="false">E481*SUMIFS('03_DESPIECE'!$K$2:$K$225,'03_DESPIECE'!$A$2:$A$225,B481,'03_DESPIECE'!$B$2:$B$225,C481)</f>
        <v>0</v>
      </c>
      <c r="L481" s="5" t="n">
        <f aca="false">SUMIFS('03_DESPIECE'!$L$2:$L$225,'03_DESPIECE'!$A$2:$A$225,B481,'03_DESPIECE'!$B$2:$B$225,C481)</f>
        <v>1</v>
      </c>
      <c r="M481" s="2" t="s">
        <v>629</v>
      </c>
    </row>
    <row r="482" customFormat="false" ht="15" hidden="false" customHeight="false" outlineLevel="0" collapsed="false">
      <c r="A482" s="2" t="s">
        <v>597</v>
      </c>
      <c r="B482" s="2" t="s">
        <v>80</v>
      </c>
      <c r="C482" s="2" t="s">
        <v>289</v>
      </c>
      <c r="D482" s="2" t="s">
        <v>170</v>
      </c>
      <c r="E482" s="5" t="n">
        <f aca="false">INDEX('08_PEDIDOS'!$D$2:$D$97,MATCH(A482,'08_PEDIDOS'!$A$2:$A$97,0))</f>
        <v>12</v>
      </c>
      <c r="F482" s="5" t="n">
        <f aca="false">SUMIFS('03_DESPIECE'!$D$2:$D$225,'03_DESPIECE'!$A$2:$A$225,B482,'03_DESPIECE'!$B$2:$B$225,C482)</f>
        <v>4</v>
      </c>
      <c r="G482" s="5" t="n">
        <f aca="false">E482*F482</f>
        <v>48</v>
      </c>
      <c r="H482" s="16" t="n">
        <f aca="false">SUMIFS('03_DESPIECE'!$J$2:$J$225,'03_DESPIECE'!$A$2:$A$225,B482,'03_DESPIECE'!$B$2:$B$225,C482)</f>
        <v>334.2052173913</v>
      </c>
      <c r="I482" s="16" t="n">
        <f aca="false">E482*H482</f>
        <v>4010.4626086956</v>
      </c>
      <c r="J482" s="17" t="n">
        <f aca="false">E482*SUMIFS('03_DESPIECE'!$I$2:$I$225,'03_DESPIECE'!$A$2:$A$225,B482,'03_DESPIECE'!$B$2:$B$225,C482)</f>
        <v>542.592</v>
      </c>
      <c r="K482" s="19" t="n">
        <f aca="false">E482*SUMIFS('03_DESPIECE'!$K$2:$K$225,'03_DESPIECE'!$A$2:$A$225,B482,'03_DESPIECE'!$B$2:$B$225,C482)</f>
        <v>12</v>
      </c>
      <c r="L482" s="5" t="n">
        <f aca="false">SUMIFS('03_DESPIECE'!$L$2:$L$225,'03_DESPIECE'!$A$2:$A$225,B482,'03_DESPIECE'!$B$2:$B$225,C482)</f>
        <v>1</v>
      </c>
      <c r="M482" s="2" t="s">
        <v>629</v>
      </c>
    </row>
    <row r="483" customFormat="false" ht="15" hidden="false" customHeight="false" outlineLevel="0" collapsed="false">
      <c r="A483" s="2" t="s">
        <v>597</v>
      </c>
      <c r="B483" s="2" t="s">
        <v>80</v>
      </c>
      <c r="C483" s="2" t="s">
        <v>291</v>
      </c>
      <c r="D483" s="2" t="s">
        <v>170</v>
      </c>
      <c r="E483" s="5" t="n">
        <f aca="false">INDEX('08_PEDIDOS'!$D$2:$D$97,MATCH(A483,'08_PEDIDOS'!$A$2:$A$97,0))</f>
        <v>12</v>
      </c>
      <c r="F483" s="5" t="n">
        <f aca="false">SUMIFS('03_DESPIECE'!$D$2:$D$225,'03_DESPIECE'!$A$2:$A$225,B483,'03_DESPIECE'!$B$2:$B$225,C483)</f>
        <v>8</v>
      </c>
      <c r="G483" s="5" t="n">
        <f aca="false">E483*F483</f>
        <v>96</v>
      </c>
      <c r="H483" s="16" t="n">
        <f aca="false">SUMIFS('03_DESPIECE'!$J$2:$J$225,'03_DESPIECE'!$A$2:$A$225,B483,'03_DESPIECE'!$B$2:$B$225,C483)</f>
        <v>23.2086956522</v>
      </c>
      <c r="I483" s="16" t="n">
        <f aca="false">E483*H483</f>
        <v>278.5043478264</v>
      </c>
      <c r="J483" s="17" t="n">
        <f aca="false">E483*SUMIFS('03_DESPIECE'!$I$2:$I$225,'03_DESPIECE'!$A$2:$A$225,B483,'03_DESPIECE'!$B$2:$B$225,C483)</f>
        <v>37.68</v>
      </c>
      <c r="K483" s="19" t="n">
        <f aca="false">E483*SUMIFS('03_DESPIECE'!$K$2:$K$225,'03_DESPIECE'!$A$2:$A$225,B483,'03_DESPIECE'!$B$2:$B$225,C483)</f>
        <v>0.8333333328</v>
      </c>
      <c r="L483" s="5" t="n">
        <f aca="false">SUMIFS('03_DESPIECE'!$L$2:$L$225,'03_DESPIECE'!$A$2:$A$225,B483,'03_DESPIECE'!$B$2:$B$225,C483)</f>
        <v>1</v>
      </c>
      <c r="M483" s="2" t="s">
        <v>629</v>
      </c>
    </row>
    <row r="484" customFormat="false" ht="15" hidden="false" customHeight="false" outlineLevel="0" collapsed="false">
      <c r="A484" s="2" t="s">
        <v>597</v>
      </c>
      <c r="B484" s="2" t="s">
        <v>80</v>
      </c>
      <c r="C484" s="2" t="s">
        <v>292</v>
      </c>
      <c r="D484" s="2" t="s">
        <v>188</v>
      </c>
      <c r="E484" s="5" t="n">
        <f aca="false">INDEX('08_PEDIDOS'!$D$2:$D$97,MATCH(A484,'08_PEDIDOS'!$A$2:$A$97,0))</f>
        <v>12</v>
      </c>
      <c r="F484" s="5" t="n">
        <f aca="false">SUMIFS('03_DESPIECE'!$D$2:$D$225,'03_DESPIECE'!$A$2:$A$225,B484,'03_DESPIECE'!$B$2:$B$225,C484)</f>
        <v>24</v>
      </c>
      <c r="G484" s="5" t="n">
        <f aca="false">E484*F484</f>
        <v>288</v>
      </c>
      <c r="H484" s="16" t="n">
        <f aca="false">SUMIFS('03_DESPIECE'!$J$2:$J$225,'03_DESPIECE'!$A$2:$A$225,B484,'03_DESPIECE'!$B$2:$B$225,C484)</f>
        <v>21.6</v>
      </c>
      <c r="I484" s="16" t="n">
        <f aca="false">E484*H484</f>
        <v>259.2</v>
      </c>
      <c r="J484" s="17" t="n">
        <f aca="false">E484*SUMIFS('03_DESPIECE'!$I$2:$I$225,'03_DESPIECE'!$A$2:$A$225,B484,'03_DESPIECE'!$B$2:$B$225,C484)</f>
        <v>0</v>
      </c>
      <c r="K484" s="19" t="n">
        <f aca="false">E484*SUMIFS('03_DESPIECE'!$K$2:$K$225,'03_DESPIECE'!$A$2:$A$225,B484,'03_DESPIECE'!$B$2:$B$225,C484)</f>
        <v>0</v>
      </c>
      <c r="L484" s="5" t="n">
        <f aca="false">SUMIFS('03_DESPIECE'!$L$2:$L$225,'03_DESPIECE'!$A$2:$A$225,B484,'03_DESPIECE'!$B$2:$B$225,C484)</f>
        <v>1</v>
      </c>
      <c r="M484" s="2" t="s">
        <v>629</v>
      </c>
    </row>
    <row r="485" customFormat="false" ht="15" hidden="false" customHeight="false" outlineLevel="0" collapsed="false">
      <c r="A485" s="2" t="s">
        <v>597</v>
      </c>
      <c r="B485" s="2" t="s">
        <v>80</v>
      </c>
      <c r="C485" s="2" t="s">
        <v>294</v>
      </c>
      <c r="D485" s="2" t="s">
        <v>188</v>
      </c>
      <c r="E485" s="5" t="n">
        <f aca="false">INDEX('08_PEDIDOS'!$D$2:$D$97,MATCH(A485,'08_PEDIDOS'!$A$2:$A$97,0))</f>
        <v>12</v>
      </c>
      <c r="F485" s="5" t="n">
        <f aca="false">SUMIFS('03_DESPIECE'!$D$2:$D$225,'03_DESPIECE'!$A$2:$A$225,B485,'03_DESPIECE'!$B$2:$B$225,C485)</f>
        <v>4</v>
      </c>
      <c r="G485" s="5" t="n">
        <f aca="false">E485*F485</f>
        <v>48</v>
      </c>
      <c r="H485" s="16" t="n">
        <f aca="false">SUMIFS('03_DESPIECE'!$J$2:$J$225,'03_DESPIECE'!$A$2:$A$225,B485,'03_DESPIECE'!$B$2:$B$225,C485)</f>
        <v>3.6</v>
      </c>
      <c r="I485" s="16" t="n">
        <f aca="false">E485*H485</f>
        <v>43.2</v>
      </c>
      <c r="J485" s="17" t="n">
        <f aca="false">E485*SUMIFS('03_DESPIECE'!$I$2:$I$225,'03_DESPIECE'!$A$2:$A$225,B485,'03_DESPIECE'!$B$2:$B$225,C485)</f>
        <v>0</v>
      </c>
      <c r="K485" s="19" t="n">
        <f aca="false">E485*SUMIFS('03_DESPIECE'!$K$2:$K$225,'03_DESPIECE'!$A$2:$A$225,B485,'03_DESPIECE'!$B$2:$B$225,C485)</f>
        <v>0</v>
      </c>
      <c r="L485" s="5" t="n">
        <f aca="false">SUMIFS('03_DESPIECE'!$L$2:$L$225,'03_DESPIECE'!$A$2:$A$225,B485,'03_DESPIECE'!$B$2:$B$225,C485)</f>
        <v>1</v>
      </c>
      <c r="M485" s="2" t="s">
        <v>629</v>
      </c>
    </row>
    <row r="486" customFormat="false" ht="15" hidden="false" customHeight="false" outlineLevel="0" collapsed="false">
      <c r="A486" s="2" t="s">
        <v>598</v>
      </c>
      <c r="B486" s="2" t="s">
        <v>83</v>
      </c>
      <c r="C486" s="2" t="s">
        <v>295</v>
      </c>
      <c r="D486" s="2" t="s">
        <v>184</v>
      </c>
      <c r="E486" s="5" t="n">
        <f aca="false">INDEX('08_PEDIDOS'!$D$2:$D$97,MATCH(A486,'08_PEDIDOS'!$A$2:$A$97,0))</f>
        <v>12</v>
      </c>
      <c r="F486" s="5" t="n">
        <f aca="false">SUMIFS('03_DESPIECE'!$D$2:$D$225,'03_DESPIECE'!$A$2:$A$225,B486,'03_DESPIECE'!$B$2:$B$225,C486)</f>
        <v>4</v>
      </c>
      <c r="G486" s="5" t="n">
        <f aca="false">E486*F486</f>
        <v>48</v>
      </c>
      <c r="H486" s="16" t="n">
        <f aca="false">SUMIFS('03_DESPIECE'!$J$2:$J$225,'03_DESPIECE'!$A$2:$A$225,B486,'03_DESPIECE'!$B$2:$B$225,C486)</f>
        <v>76.25</v>
      </c>
      <c r="I486" s="16" t="n">
        <f aca="false">E486*H486</f>
        <v>915</v>
      </c>
      <c r="J486" s="17" t="n">
        <f aca="false">E486*SUMIFS('03_DESPIECE'!$I$2:$I$225,'03_DESPIECE'!$A$2:$A$225,B486,'03_DESPIECE'!$B$2:$B$225,C486)</f>
        <v>144</v>
      </c>
      <c r="K486" s="19" t="n">
        <f aca="false">E486*SUMIFS('03_DESPIECE'!$K$2:$K$225,'03_DESPIECE'!$A$2:$A$225,B486,'03_DESPIECE'!$B$2:$B$225,C486)</f>
        <v>0</v>
      </c>
      <c r="L486" s="5" t="n">
        <f aca="false">SUMIFS('03_DESPIECE'!$L$2:$L$225,'03_DESPIECE'!$A$2:$A$225,B486,'03_DESPIECE'!$B$2:$B$225,C486)</f>
        <v>1</v>
      </c>
      <c r="M486" s="2" t="s">
        <v>629</v>
      </c>
    </row>
    <row r="487" customFormat="false" ht="15" hidden="false" customHeight="false" outlineLevel="0" collapsed="false">
      <c r="A487" s="2" t="s">
        <v>598</v>
      </c>
      <c r="B487" s="2" t="s">
        <v>83</v>
      </c>
      <c r="C487" s="2" t="s">
        <v>296</v>
      </c>
      <c r="D487" s="2" t="s">
        <v>184</v>
      </c>
      <c r="E487" s="5" t="n">
        <f aca="false">INDEX('08_PEDIDOS'!$D$2:$D$97,MATCH(A487,'08_PEDIDOS'!$A$2:$A$97,0))</f>
        <v>12</v>
      </c>
      <c r="F487" s="5" t="n">
        <f aca="false">SUMIFS('03_DESPIECE'!$D$2:$D$225,'03_DESPIECE'!$A$2:$A$225,B487,'03_DESPIECE'!$B$2:$B$225,C487)</f>
        <v>8</v>
      </c>
      <c r="G487" s="5" t="n">
        <f aca="false">E487*F487</f>
        <v>96</v>
      </c>
      <c r="H487" s="16" t="n">
        <f aca="false">SUMIFS('03_DESPIECE'!$J$2:$J$225,'03_DESPIECE'!$A$2:$A$225,B487,'03_DESPIECE'!$B$2:$B$225,C487)</f>
        <v>76.25</v>
      </c>
      <c r="I487" s="16" t="n">
        <f aca="false">E487*H487</f>
        <v>915</v>
      </c>
      <c r="J487" s="17" t="n">
        <f aca="false">E487*SUMIFS('03_DESPIECE'!$I$2:$I$225,'03_DESPIECE'!$A$2:$A$225,B487,'03_DESPIECE'!$B$2:$B$225,C487)</f>
        <v>144</v>
      </c>
      <c r="K487" s="19" t="n">
        <f aca="false">E487*SUMIFS('03_DESPIECE'!$K$2:$K$225,'03_DESPIECE'!$A$2:$A$225,B487,'03_DESPIECE'!$B$2:$B$225,C487)</f>
        <v>0</v>
      </c>
      <c r="L487" s="5" t="n">
        <f aca="false">SUMIFS('03_DESPIECE'!$L$2:$L$225,'03_DESPIECE'!$A$2:$A$225,B487,'03_DESPIECE'!$B$2:$B$225,C487)</f>
        <v>1</v>
      </c>
      <c r="M487" s="2" t="s">
        <v>629</v>
      </c>
    </row>
    <row r="488" customFormat="false" ht="15" hidden="false" customHeight="false" outlineLevel="0" collapsed="false">
      <c r="A488" s="2" t="s">
        <v>598</v>
      </c>
      <c r="B488" s="2" t="s">
        <v>83</v>
      </c>
      <c r="C488" s="2" t="s">
        <v>297</v>
      </c>
      <c r="D488" s="2" t="s">
        <v>184</v>
      </c>
      <c r="E488" s="5" t="n">
        <f aca="false">INDEX('08_PEDIDOS'!$D$2:$D$97,MATCH(A488,'08_PEDIDOS'!$A$2:$A$97,0))</f>
        <v>12</v>
      </c>
      <c r="F488" s="5" t="n">
        <f aca="false">SUMIFS('03_DESPIECE'!$D$2:$D$225,'03_DESPIECE'!$A$2:$A$225,B488,'03_DESPIECE'!$B$2:$B$225,C488)</f>
        <v>8</v>
      </c>
      <c r="G488" s="5" t="n">
        <f aca="false">E488*F488</f>
        <v>96</v>
      </c>
      <c r="H488" s="16" t="n">
        <f aca="false">SUMIFS('03_DESPIECE'!$J$2:$J$225,'03_DESPIECE'!$A$2:$A$225,B488,'03_DESPIECE'!$B$2:$B$225,C488)</f>
        <v>38.125</v>
      </c>
      <c r="I488" s="16" t="n">
        <f aca="false">E488*H488</f>
        <v>457.5</v>
      </c>
      <c r="J488" s="17" t="n">
        <f aca="false">E488*SUMIFS('03_DESPIECE'!$I$2:$I$225,'03_DESPIECE'!$A$2:$A$225,B488,'03_DESPIECE'!$B$2:$B$225,C488)</f>
        <v>72</v>
      </c>
      <c r="K488" s="19" t="n">
        <f aca="false">E488*SUMIFS('03_DESPIECE'!$K$2:$K$225,'03_DESPIECE'!$A$2:$A$225,B488,'03_DESPIECE'!$B$2:$B$225,C488)</f>
        <v>0</v>
      </c>
      <c r="L488" s="5" t="n">
        <f aca="false">SUMIFS('03_DESPIECE'!$L$2:$L$225,'03_DESPIECE'!$A$2:$A$225,B488,'03_DESPIECE'!$B$2:$B$225,C488)</f>
        <v>1</v>
      </c>
      <c r="M488" s="2" t="s">
        <v>629</v>
      </c>
    </row>
    <row r="489" customFormat="false" ht="15" hidden="false" customHeight="false" outlineLevel="0" collapsed="false">
      <c r="A489" s="2" t="s">
        <v>598</v>
      </c>
      <c r="B489" s="2" t="s">
        <v>83</v>
      </c>
      <c r="C489" s="2" t="s">
        <v>298</v>
      </c>
      <c r="D489" s="2" t="s">
        <v>170</v>
      </c>
      <c r="E489" s="5" t="n">
        <f aca="false">INDEX('08_PEDIDOS'!$D$2:$D$97,MATCH(A489,'08_PEDIDOS'!$A$2:$A$97,0))</f>
        <v>12</v>
      </c>
      <c r="F489" s="5" t="n">
        <f aca="false">SUMIFS('03_DESPIECE'!$D$2:$D$225,'03_DESPIECE'!$A$2:$A$225,B489,'03_DESPIECE'!$B$2:$B$225,C489)</f>
        <v>5</v>
      </c>
      <c r="G489" s="5" t="n">
        <f aca="false">E489*F489</f>
        <v>60</v>
      </c>
      <c r="H489" s="16" t="n">
        <f aca="false">SUMIFS('03_DESPIECE'!$J$2:$J$225,'03_DESPIECE'!$A$2:$A$225,B489,'03_DESPIECE'!$B$2:$B$225,C489)</f>
        <v>290.1086956522</v>
      </c>
      <c r="I489" s="16" t="n">
        <f aca="false">E489*H489</f>
        <v>3481.3043478264</v>
      </c>
      <c r="J489" s="17" t="n">
        <f aca="false">E489*SUMIFS('03_DESPIECE'!$I$2:$I$225,'03_DESPIECE'!$A$2:$A$225,B489,'03_DESPIECE'!$B$2:$B$225,C489)</f>
        <v>471</v>
      </c>
      <c r="K489" s="19" t="n">
        <f aca="false">E489*SUMIFS('03_DESPIECE'!$K$2:$K$225,'03_DESPIECE'!$A$2:$A$225,B489,'03_DESPIECE'!$B$2:$B$225,C489)</f>
        <v>10.4166666672</v>
      </c>
      <c r="L489" s="5" t="n">
        <f aca="false">SUMIFS('03_DESPIECE'!$L$2:$L$225,'03_DESPIECE'!$A$2:$A$225,B489,'03_DESPIECE'!$B$2:$B$225,C489)</f>
        <v>1</v>
      </c>
      <c r="M489" s="2" t="s">
        <v>629</v>
      </c>
    </row>
    <row r="490" customFormat="false" ht="15" hidden="false" customHeight="false" outlineLevel="0" collapsed="false">
      <c r="A490" s="2" t="s">
        <v>598</v>
      </c>
      <c r="B490" s="2" t="s">
        <v>83</v>
      </c>
      <c r="C490" s="2" t="s">
        <v>299</v>
      </c>
      <c r="D490" s="2" t="s">
        <v>170</v>
      </c>
      <c r="E490" s="5" t="n">
        <f aca="false">INDEX('08_PEDIDOS'!$D$2:$D$97,MATCH(A490,'08_PEDIDOS'!$A$2:$A$97,0))</f>
        <v>12</v>
      </c>
      <c r="F490" s="5" t="n">
        <f aca="false">SUMIFS('03_DESPIECE'!$D$2:$D$225,'03_DESPIECE'!$A$2:$A$225,B490,'03_DESPIECE'!$B$2:$B$225,C490)</f>
        <v>8</v>
      </c>
      <c r="G490" s="5" t="n">
        <f aca="false">E490*F490</f>
        <v>96</v>
      </c>
      <c r="H490" s="16" t="n">
        <f aca="false">SUMIFS('03_DESPIECE'!$J$2:$J$225,'03_DESPIECE'!$A$2:$A$225,B490,'03_DESPIECE'!$B$2:$B$225,C490)</f>
        <v>32.492173913</v>
      </c>
      <c r="I490" s="16" t="n">
        <f aca="false">E490*H490</f>
        <v>389.906086956</v>
      </c>
      <c r="J490" s="17" t="n">
        <f aca="false">E490*SUMIFS('03_DESPIECE'!$I$2:$I$225,'03_DESPIECE'!$A$2:$A$225,B490,'03_DESPIECE'!$B$2:$B$225,C490)</f>
        <v>52.752</v>
      </c>
      <c r="K490" s="19" t="n">
        <f aca="false">E490*SUMIFS('03_DESPIECE'!$K$2:$K$225,'03_DESPIECE'!$A$2:$A$225,B490,'03_DESPIECE'!$B$2:$B$225,C490)</f>
        <v>1.1666666664</v>
      </c>
      <c r="L490" s="5" t="n">
        <f aca="false">SUMIFS('03_DESPIECE'!$L$2:$L$225,'03_DESPIECE'!$A$2:$A$225,B490,'03_DESPIECE'!$B$2:$B$225,C490)</f>
        <v>1</v>
      </c>
      <c r="M490" s="2" t="s">
        <v>629</v>
      </c>
    </row>
    <row r="491" customFormat="false" ht="15" hidden="false" customHeight="false" outlineLevel="0" collapsed="false">
      <c r="A491" s="2" t="s">
        <v>598</v>
      </c>
      <c r="B491" s="2" t="s">
        <v>83</v>
      </c>
      <c r="C491" s="2" t="s">
        <v>300</v>
      </c>
      <c r="D491" s="2" t="s">
        <v>188</v>
      </c>
      <c r="E491" s="5" t="n">
        <f aca="false">INDEX('08_PEDIDOS'!$D$2:$D$97,MATCH(A491,'08_PEDIDOS'!$A$2:$A$97,0))</f>
        <v>12</v>
      </c>
      <c r="F491" s="5" t="n">
        <f aca="false">SUMIFS('03_DESPIECE'!$D$2:$D$225,'03_DESPIECE'!$A$2:$A$225,B491,'03_DESPIECE'!$B$2:$B$225,C491)</f>
        <v>28</v>
      </c>
      <c r="G491" s="5" t="n">
        <f aca="false">E491*F491</f>
        <v>336</v>
      </c>
      <c r="H491" s="16" t="n">
        <f aca="false">SUMIFS('03_DESPIECE'!$J$2:$J$225,'03_DESPIECE'!$A$2:$A$225,B491,'03_DESPIECE'!$B$2:$B$225,C491)</f>
        <v>25.2</v>
      </c>
      <c r="I491" s="16" t="n">
        <f aca="false">E491*H491</f>
        <v>302.4</v>
      </c>
      <c r="J491" s="17" t="n">
        <f aca="false">E491*SUMIFS('03_DESPIECE'!$I$2:$I$225,'03_DESPIECE'!$A$2:$A$225,B491,'03_DESPIECE'!$B$2:$B$225,C491)</f>
        <v>0</v>
      </c>
      <c r="K491" s="19" t="n">
        <f aca="false">E491*SUMIFS('03_DESPIECE'!$K$2:$K$225,'03_DESPIECE'!$A$2:$A$225,B491,'03_DESPIECE'!$B$2:$B$225,C491)</f>
        <v>0</v>
      </c>
      <c r="L491" s="5" t="n">
        <f aca="false">SUMIFS('03_DESPIECE'!$L$2:$L$225,'03_DESPIECE'!$A$2:$A$225,B491,'03_DESPIECE'!$B$2:$B$225,C491)</f>
        <v>1</v>
      </c>
      <c r="M491" s="2" t="s">
        <v>629</v>
      </c>
    </row>
    <row r="492" customFormat="false" ht="15" hidden="false" customHeight="false" outlineLevel="0" collapsed="false">
      <c r="A492" s="2" t="s">
        <v>599</v>
      </c>
      <c r="B492" s="2" t="s">
        <v>94</v>
      </c>
      <c r="C492" s="2" t="s">
        <v>301</v>
      </c>
      <c r="D492" s="2" t="s">
        <v>184</v>
      </c>
      <c r="E492" s="5" t="n">
        <f aca="false">INDEX('08_PEDIDOS'!$D$2:$D$97,MATCH(A492,'08_PEDIDOS'!$A$2:$A$97,0))</f>
        <v>6</v>
      </c>
      <c r="F492" s="5" t="n">
        <f aca="false">SUMIFS('03_DESPIECE'!$D$2:$D$225,'03_DESPIECE'!$A$2:$A$225,B492,'03_DESPIECE'!$B$2:$B$225,C492)</f>
        <v>2</v>
      </c>
      <c r="G492" s="5" t="n">
        <f aca="false">E492*F492</f>
        <v>12</v>
      </c>
      <c r="H492" s="16" t="n">
        <f aca="false">SUMIFS('03_DESPIECE'!$J$2:$J$225,'03_DESPIECE'!$A$2:$A$225,B492,'03_DESPIECE'!$B$2:$B$225,C492)</f>
        <v>31.453125</v>
      </c>
      <c r="I492" s="16" t="n">
        <f aca="false">E492*H492</f>
        <v>188.71875</v>
      </c>
      <c r="J492" s="17" t="n">
        <f aca="false">E492*SUMIFS('03_DESPIECE'!$I$2:$I$225,'03_DESPIECE'!$A$2:$A$225,B492,'03_DESPIECE'!$B$2:$B$225,C492)</f>
        <v>29.7</v>
      </c>
      <c r="K492" s="19" t="n">
        <f aca="false">E492*SUMIFS('03_DESPIECE'!$K$2:$K$225,'03_DESPIECE'!$A$2:$A$225,B492,'03_DESPIECE'!$B$2:$B$225,C492)</f>
        <v>0</v>
      </c>
      <c r="L492" s="5" t="n">
        <f aca="false">SUMIFS('03_DESPIECE'!$L$2:$L$225,'03_DESPIECE'!$A$2:$A$225,B492,'03_DESPIECE'!$B$2:$B$225,C492)</f>
        <v>1</v>
      </c>
      <c r="M492" s="2" t="s">
        <v>629</v>
      </c>
    </row>
    <row r="493" customFormat="false" ht="15" hidden="false" customHeight="false" outlineLevel="0" collapsed="false">
      <c r="A493" s="2" t="s">
        <v>599</v>
      </c>
      <c r="B493" s="2" t="s">
        <v>94</v>
      </c>
      <c r="C493" s="2" t="s">
        <v>302</v>
      </c>
      <c r="D493" s="2" t="s">
        <v>174</v>
      </c>
      <c r="E493" s="5" t="n">
        <f aca="false">INDEX('08_PEDIDOS'!$D$2:$D$97,MATCH(A493,'08_PEDIDOS'!$A$2:$A$97,0))</f>
        <v>6</v>
      </c>
      <c r="F493" s="5" t="n">
        <f aca="false">SUMIFS('03_DESPIECE'!$D$2:$D$225,'03_DESPIECE'!$A$2:$A$225,B493,'03_DESPIECE'!$B$2:$B$225,C493)</f>
        <v>2</v>
      </c>
      <c r="G493" s="5" t="n">
        <f aca="false">E493*F493</f>
        <v>12</v>
      </c>
      <c r="H493" s="16" t="n">
        <f aca="false">SUMIFS('03_DESPIECE'!$J$2:$J$225,'03_DESPIECE'!$A$2:$A$225,B493,'03_DESPIECE'!$B$2:$B$225,C493)</f>
        <v>34.8130434783</v>
      </c>
      <c r="I493" s="16" t="n">
        <f aca="false">E493*H493</f>
        <v>208.8782608698</v>
      </c>
      <c r="J493" s="17" t="n">
        <f aca="false">E493*SUMIFS('03_DESPIECE'!$I$2:$I$225,'03_DESPIECE'!$A$2:$A$225,B493,'03_DESPIECE'!$B$2:$B$225,C493)</f>
        <v>28.26</v>
      </c>
      <c r="K493" s="19" t="n">
        <f aca="false">E493*SUMIFS('03_DESPIECE'!$K$2:$K$225,'03_DESPIECE'!$A$2:$A$225,B493,'03_DESPIECE'!$B$2:$B$225,C493)</f>
        <v>1.2499999998</v>
      </c>
      <c r="L493" s="5" t="n">
        <f aca="false">SUMIFS('03_DESPIECE'!$L$2:$L$225,'03_DESPIECE'!$A$2:$A$225,B493,'03_DESPIECE'!$B$2:$B$225,C493)</f>
        <v>1</v>
      </c>
      <c r="M493" s="2" t="s">
        <v>629</v>
      </c>
    </row>
    <row r="494" customFormat="false" ht="15" hidden="false" customHeight="false" outlineLevel="0" collapsed="false">
      <c r="A494" s="2" t="s">
        <v>599</v>
      </c>
      <c r="B494" s="2" t="s">
        <v>94</v>
      </c>
      <c r="C494" s="2" t="s">
        <v>303</v>
      </c>
      <c r="D494" s="2" t="s">
        <v>174</v>
      </c>
      <c r="E494" s="5" t="n">
        <f aca="false">INDEX('08_PEDIDOS'!$D$2:$D$97,MATCH(A494,'08_PEDIDOS'!$A$2:$A$97,0))</f>
        <v>6</v>
      </c>
      <c r="F494" s="5" t="n">
        <f aca="false">SUMIFS('03_DESPIECE'!$D$2:$D$225,'03_DESPIECE'!$A$2:$A$225,B494,'03_DESPIECE'!$B$2:$B$225,C494)</f>
        <v>4</v>
      </c>
      <c r="G494" s="5" t="n">
        <f aca="false">E494*F494</f>
        <v>24</v>
      </c>
      <c r="H494" s="16" t="n">
        <f aca="false">SUMIFS('03_DESPIECE'!$J$2:$J$225,'03_DESPIECE'!$A$2:$A$225,B494,'03_DESPIECE'!$B$2:$B$225,C494)</f>
        <v>129.9686956522</v>
      </c>
      <c r="I494" s="16" t="n">
        <f aca="false">E494*H494</f>
        <v>779.8121739132</v>
      </c>
      <c r="J494" s="17" t="n">
        <f aca="false">E494*SUMIFS('03_DESPIECE'!$I$2:$I$225,'03_DESPIECE'!$A$2:$A$225,B494,'03_DESPIECE'!$B$2:$B$225,C494)</f>
        <v>105.504</v>
      </c>
      <c r="K494" s="19" t="n">
        <f aca="false">E494*SUMIFS('03_DESPIECE'!$K$2:$K$225,'03_DESPIECE'!$A$2:$A$225,B494,'03_DESPIECE'!$B$2:$B$225,C494)</f>
        <v>4.6666666668</v>
      </c>
      <c r="L494" s="5" t="n">
        <f aca="false">SUMIFS('03_DESPIECE'!$L$2:$L$225,'03_DESPIECE'!$A$2:$A$225,B494,'03_DESPIECE'!$B$2:$B$225,C494)</f>
        <v>1</v>
      </c>
      <c r="M494" s="2" t="s">
        <v>629</v>
      </c>
    </row>
    <row r="495" customFormat="false" ht="15" hidden="false" customHeight="false" outlineLevel="0" collapsed="false">
      <c r="A495" s="2" t="s">
        <v>599</v>
      </c>
      <c r="B495" s="2" t="s">
        <v>94</v>
      </c>
      <c r="C495" s="2" t="s">
        <v>304</v>
      </c>
      <c r="D495" s="2" t="s">
        <v>174</v>
      </c>
      <c r="E495" s="5" t="n">
        <f aca="false">INDEX('08_PEDIDOS'!$D$2:$D$97,MATCH(A495,'08_PEDIDOS'!$A$2:$A$97,0))</f>
        <v>6</v>
      </c>
      <c r="F495" s="5" t="n">
        <f aca="false">SUMIFS('03_DESPIECE'!$D$2:$D$225,'03_DESPIECE'!$A$2:$A$225,B495,'03_DESPIECE'!$B$2:$B$225,C495)</f>
        <v>8</v>
      </c>
      <c r="G495" s="5" t="n">
        <f aca="false">E495*F495</f>
        <v>48</v>
      </c>
      <c r="H495" s="16" t="n">
        <f aca="false">SUMIFS('03_DESPIECE'!$J$2:$J$225,'03_DESPIECE'!$A$2:$A$225,B495,'03_DESPIECE'!$B$2:$B$225,C495)</f>
        <v>185.6695652174</v>
      </c>
      <c r="I495" s="16" t="n">
        <f aca="false">E495*H495</f>
        <v>1114.0173913044</v>
      </c>
      <c r="J495" s="17" t="n">
        <f aca="false">E495*SUMIFS('03_DESPIECE'!$I$2:$I$225,'03_DESPIECE'!$A$2:$A$225,B495,'03_DESPIECE'!$B$2:$B$225,C495)</f>
        <v>150.72</v>
      </c>
      <c r="K495" s="19" t="n">
        <f aca="false">E495*SUMIFS('03_DESPIECE'!$K$2:$K$225,'03_DESPIECE'!$A$2:$A$225,B495,'03_DESPIECE'!$B$2:$B$225,C495)</f>
        <v>6.6666666666</v>
      </c>
      <c r="L495" s="5" t="n">
        <f aca="false">SUMIFS('03_DESPIECE'!$L$2:$L$225,'03_DESPIECE'!$A$2:$A$225,B495,'03_DESPIECE'!$B$2:$B$225,C495)</f>
        <v>1</v>
      </c>
      <c r="M495" s="2" t="s">
        <v>629</v>
      </c>
    </row>
    <row r="496" customFormat="false" ht="15" hidden="false" customHeight="false" outlineLevel="0" collapsed="false">
      <c r="A496" s="2" t="s">
        <v>599</v>
      </c>
      <c r="B496" s="2" t="s">
        <v>94</v>
      </c>
      <c r="C496" s="2" t="s">
        <v>305</v>
      </c>
      <c r="D496" s="2" t="s">
        <v>174</v>
      </c>
      <c r="E496" s="5" t="n">
        <f aca="false">INDEX('08_PEDIDOS'!$D$2:$D$97,MATCH(A496,'08_PEDIDOS'!$A$2:$A$97,0))</f>
        <v>6</v>
      </c>
      <c r="F496" s="5" t="n">
        <f aca="false">SUMIFS('03_DESPIECE'!$D$2:$D$225,'03_DESPIECE'!$A$2:$A$225,B496,'03_DESPIECE'!$B$2:$B$225,C496)</f>
        <v>16</v>
      </c>
      <c r="G496" s="5" t="n">
        <f aca="false">E496*F496</f>
        <v>96</v>
      </c>
      <c r="H496" s="16" t="n">
        <f aca="false">SUMIFS('03_DESPIECE'!$J$2:$J$225,'03_DESPIECE'!$A$2:$A$225,B496,'03_DESPIECE'!$B$2:$B$225,C496)</f>
        <v>37.1339130435</v>
      </c>
      <c r="I496" s="16" t="n">
        <f aca="false">E496*H496</f>
        <v>222.803478261</v>
      </c>
      <c r="J496" s="17" t="n">
        <f aca="false">E496*SUMIFS('03_DESPIECE'!$I$2:$I$225,'03_DESPIECE'!$A$2:$A$225,B496,'03_DESPIECE'!$B$2:$B$225,C496)</f>
        <v>30.144</v>
      </c>
      <c r="K496" s="19" t="n">
        <f aca="false">E496*SUMIFS('03_DESPIECE'!$K$2:$K$225,'03_DESPIECE'!$A$2:$A$225,B496,'03_DESPIECE'!$B$2:$B$225,C496)</f>
        <v>1.3333333332</v>
      </c>
      <c r="L496" s="5" t="n">
        <f aca="false">SUMIFS('03_DESPIECE'!$L$2:$L$225,'03_DESPIECE'!$A$2:$A$225,B496,'03_DESPIECE'!$B$2:$B$225,C496)</f>
        <v>1</v>
      </c>
      <c r="M496" s="2" t="s">
        <v>629</v>
      </c>
    </row>
    <row r="497" customFormat="false" ht="15" hidden="false" customHeight="false" outlineLevel="0" collapsed="false">
      <c r="A497" s="2" t="s">
        <v>599</v>
      </c>
      <c r="B497" s="2" t="s">
        <v>94</v>
      </c>
      <c r="C497" s="2" t="s">
        <v>306</v>
      </c>
      <c r="D497" s="2" t="s">
        <v>174</v>
      </c>
      <c r="E497" s="5" t="n">
        <f aca="false">INDEX('08_PEDIDOS'!$D$2:$D$97,MATCH(A497,'08_PEDIDOS'!$A$2:$A$97,0))</f>
        <v>6</v>
      </c>
      <c r="F497" s="5" t="n">
        <f aca="false">SUMIFS('03_DESPIECE'!$D$2:$D$225,'03_DESPIECE'!$A$2:$A$225,B497,'03_DESPIECE'!$B$2:$B$225,C497)</f>
        <v>2</v>
      </c>
      <c r="G497" s="5" t="n">
        <f aca="false">E497*F497</f>
        <v>12</v>
      </c>
      <c r="H497" s="16" t="n">
        <f aca="false">SUMIFS('03_DESPIECE'!$J$2:$J$225,'03_DESPIECE'!$A$2:$A$225,B497,'03_DESPIECE'!$B$2:$B$225,C497)</f>
        <v>13.9252173913</v>
      </c>
      <c r="I497" s="16" t="n">
        <f aca="false">E497*H497</f>
        <v>83.5513043478</v>
      </c>
      <c r="J497" s="17" t="n">
        <f aca="false">E497*SUMIFS('03_DESPIECE'!$I$2:$I$225,'03_DESPIECE'!$A$2:$A$225,B497,'03_DESPIECE'!$B$2:$B$225,C497)</f>
        <v>11.304</v>
      </c>
      <c r="K497" s="19" t="n">
        <f aca="false">E497*SUMIFS('03_DESPIECE'!$K$2:$K$225,'03_DESPIECE'!$A$2:$A$225,B497,'03_DESPIECE'!$B$2:$B$225,C497)</f>
        <v>0.4999999998</v>
      </c>
      <c r="L497" s="5" t="n">
        <f aca="false">SUMIFS('03_DESPIECE'!$L$2:$L$225,'03_DESPIECE'!$A$2:$A$225,B497,'03_DESPIECE'!$B$2:$B$225,C497)</f>
        <v>1</v>
      </c>
      <c r="M497" s="2" t="s">
        <v>629</v>
      </c>
    </row>
    <row r="498" customFormat="false" ht="15" hidden="false" customHeight="false" outlineLevel="0" collapsed="false">
      <c r="A498" s="2" t="s">
        <v>599</v>
      </c>
      <c r="B498" s="2" t="s">
        <v>94</v>
      </c>
      <c r="C498" s="2" t="s">
        <v>307</v>
      </c>
      <c r="D498" s="2" t="s">
        <v>188</v>
      </c>
      <c r="E498" s="5" t="n">
        <f aca="false">INDEX('08_PEDIDOS'!$D$2:$D$97,MATCH(A498,'08_PEDIDOS'!$A$2:$A$97,0))</f>
        <v>6</v>
      </c>
      <c r="F498" s="5" t="n">
        <f aca="false">SUMIFS('03_DESPIECE'!$D$2:$D$225,'03_DESPIECE'!$A$2:$A$225,B498,'03_DESPIECE'!$B$2:$B$225,C498)</f>
        <v>36</v>
      </c>
      <c r="G498" s="5" t="n">
        <f aca="false">E498*F498</f>
        <v>216</v>
      </c>
      <c r="H498" s="16" t="n">
        <f aca="false">SUMIFS('03_DESPIECE'!$J$2:$J$225,'03_DESPIECE'!$A$2:$A$225,B498,'03_DESPIECE'!$B$2:$B$225,C498)</f>
        <v>32.4</v>
      </c>
      <c r="I498" s="16" t="n">
        <f aca="false">E498*H498</f>
        <v>194.4</v>
      </c>
      <c r="J498" s="17" t="n">
        <f aca="false">E498*SUMIFS('03_DESPIECE'!$I$2:$I$225,'03_DESPIECE'!$A$2:$A$225,B498,'03_DESPIECE'!$B$2:$B$225,C498)</f>
        <v>0</v>
      </c>
      <c r="K498" s="19" t="n">
        <f aca="false">E498*SUMIFS('03_DESPIECE'!$K$2:$K$225,'03_DESPIECE'!$A$2:$A$225,B498,'03_DESPIECE'!$B$2:$B$225,C498)</f>
        <v>0</v>
      </c>
      <c r="L498" s="5" t="n">
        <f aca="false">SUMIFS('03_DESPIECE'!$L$2:$L$225,'03_DESPIECE'!$A$2:$A$225,B498,'03_DESPIECE'!$B$2:$B$225,C498)</f>
        <v>1</v>
      </c>
      <c r="M498" s="2" t="s">
        <v>629</v>
      </c>
    </row>
    <row r="499" customFormat="false" ht="15" hidden="false" customHeight="false" outlineLevel="0" collapsed="false">
      <c r="A499" s="2" t="s">
        <v>600</v>
      </c>
      <c r="B499" s="2" t="s">
        <v>96</v>
      </c>
      <c r="C499" s="2" t="s">
        <v>308</v>
      </c>
      <c r="D499" s="2" t="s">
        <v>184</v>
      </c>
      <c r="E499" s="5" t="n">
        <f aca="false">INDEX('08_PEDIDOS'!$D$2:$D$97,MATCH(A499,'08_PEDIDOS'!$A$2:$A$97,0))</f>
        <v>7</v>
      </c>
      <c r="F499" s="5" t="n">
        <f aca="false">SUMIFS('03_DESPIECE'!$D$2:$D$225,'03_DESPIECE'!$A$2:$A$225,B499,'03_DESPIECE'!$B$2:$B$225,C499)</f>
        <v>2</v>
      </c>
      <c r="G499" s="5" t="n">
        <f aca="false">E499*F499</f>
        <v>14</v>
      </c>
      <c r="H499" s="16" t="n">
        <f aca="false">SUMIFS('03_DESPIECE'!$J$2:$J$225,'03_DESPIECE'!$A$2:$A$225,B499,'03_DESPIECE'!$B$2:$B$225,C499)</f>
        <v>36.21875</v>
      </c>
      <c r="I499" s="16" t="n">
        <f aca="false">E499*H499</f>
        <v>253.53125</v>
      </c>
      <c r="J499" s="17" t="n">
        <f aca="false">E499*SUMIFS('03_DESPIECE'!$I$2:$I$225,'03_DESPIECE'!$A$2:$A$225,B499,'03_DESPIECE'!$B$2:$B$225,C499)</f>
        <v>39.9</v>
      </c>
      <c r="K499" s="19" t="n">
        <f aca="false">E499*SUMIFS('03_DESPIECE'!$K$2:$K$225,'03_DESPIECE'!$A$2:$A$225,B499,'03_DESPIECE'!$B$2:$B$225,C499)</f>
        <v>0</v>
      </c>
      <c r="L499" s="5" t="n">
        <f aca="false">SUMIFS('03_DESPIECE'!$L$2:$L$225,'03_DESPIECE'!$A$2:$A$225,B499,'03_DESPIECE'!$B$2:$B$225,C499)</f>
        <v>1</v>
      </c>
      <c r="M499" s="2" t="s">
        <v>629</v>
      </c>
    </row>
    <row r="500" customFormat="false" ht="15" hidden="false" customHeight="false" outlineLevel="0" collapsed="false">
      <c r="A500" s="2" t="s">
        <v>600</v>
      </c>
      <c r="B500" s="2" t="s">
        <v>96</v>
      </c>
      <c r="C500" s="2" t="s">
        <v>309</v>
      </c>
      <c r="D500" s="2" t="s">
        <v>174</v>
      </c>
      <c r="E500" s="5" t="n">
        <f aca="false">INDEX('08_PEDIDOS'!$D$2:$D$97,MATCH(A500,'08_PEDIDOS'!$A$2:$A$97,0))</f>
        <v>7</v>
      </c>
      <c r="F500" s="5" t="n">
        <f aca="false">SUMIFS('03_DESPIECE'!$D$2:$D$225,'03_DESPIECE'!$A$2:$A$225,B500,'03_DESPIECE'!$B$2:$B$225,C500)</f>
        <v>3</v>
      </c>
      <c r="G500" s="5" t="n">
        <f aca="false">E500*F500</f>
        <v>21</v>
      </c>
      <c r="H500" s="16" t="n">
        <f aca="false">SUMIFS('03_DESPIECE'!$J$2:$J$225,'03_DESPIECE'!$A$2:$A$225,B500,'03_DESPIECE'!$B$2:$B$225,C500)</f>
        <v>95.7358695652</v>
      </c>
      <c r="I500" s="16" t="n">
        <f aca="false">E500*H500</f>
        <v>670.1510869564</v>
      </c>
      <c r="J500" s="17" t="n">
        <f aca="false">E500*SUMIFS('03_DESPIECE'!$I$2:$I$225,'03_DESPIECE'!$A$2:$A$225,B500,'03_DESPIECE'!$B$2:$B$225,C500)</f>
        <v>90.6675</v>
      </c>
      <c r="K500" s="19" t="n">
        <f aca="false">E500*SUMIFS('03_DESPIECE'!$K$2:$K$225,'03_DESPIECE'!$A$2:$A$225,B500,'03_DESPIECE'!$B$2:$B$225,C500)</f>
        <v>4.0104166669</v>
      </c>
      <c r="L500" s="5" t="n">
        <f aca="false">SUMIFS('03_DESPIECE'!$L$2:$L$225,'03_DESPIECE'!$A$2:$A$225,B500,'03_DESPIECE'!$B$2:$B$225,C500)</f>
        <v>1</v>
      </c>
      <c r="M500" s="2" t="s">
        <v>629</v>
      </c>
    </row>
    <row r="501" customFormat="false" ht="15" hidden="false" customHeight="false" outlineLevel="0" collapsed="false">
      <c r="A501" s="2" t="s">
        <v>600</v>
      </c>
      <c r="B501" s="2" t="s">
        <v>96</v>
      </c>
      <c r="C501" s="2" t="s">
        <v>310</v>
      </c>
      <c r="D501" s="2" t="s">
        <v>174</v>
      </c>
      <c r="E501" s="5" t="n">
        <f aca="false">INDEX('08_PEDIDOS'!$D$2:$D$97,MATCH(A501,'08_PEDIDOS'!$A$2:$A$97,0))</f>
        <v>7</v>
      </c>
      <c r="F501" s="5" t="n">
        <f aca="false">SUMIFS('03_DESPIECE'!$D$2:$D$225,'03_DESPIECE'!$A$2:$A$225,B501,'03_DESPIECE'!$B$2:$B$225,C501)</f>
        <v>5</v>
      </c>
      <c r="G501" s="5" t="n">
        <f aca="false">E501*F501</f>
        <v>35</v>
      </c>
      <c r="H501" s="16" t="n">
        <f aca="false">SUMIFS('03_DESPIECE'!$J$2:$J$225,'03_DESPIECE'!$A$2:$A$225,B501,'03_DESPIECE'!$B$2:$B$225,C501)</f>
        <v>121.8456521739</v>
      </c>
      <c r="I501" s="16" t="n">
        <f aca="false">E501*H501</f>
        <v>852.9195652173</v>
      </c>
      <c r="J501" s="17" t="n">
        <f aca="false">E501*SUMIFS('03_DESPIECE'!$I$2:$I$225,'03_DESPIECE'!$A$2:$A$225,B501,'03_DESPIECE'!$B$2:$B$225,C501)</f>
        <v>115.395</v>
      </c>
      <c r="K501" s="19" t="n">
        <f aca="false">E501*SUMIFS('03_DESPIECE'!$K$2:$K$225,'03_DESPIECE'!$A$2:$A$225,B501,'03_DESPIECE'!$B$2:$B$225,C501)</f>
        <v>5.1041666669</v>
      </c>
      <c r="L501" s="5" t="n">
        <f aca="false">SUMIFS('03_DESPIECE'!$L$2:$L$225,'03_DESPIECE'!$A$2:$A$225,B501,'03_DESPIECE'!$B$2:$B$225,C501)</f>
        <v>1</v>
      </c>
      <c r="M501" s="2" t="s">
        <v>629</v>
      </c>
    </row>
    <row r="502" customFormat="false" ht="15" hidden="false" customHeight="false" outlineLevel="0" collapsed="false">
      <c r="A502" s="2" t="s">
        <v>600</v>
      </c>
      <c r="B502" s="2" t="s">
        <v>96</v>
      </c>
      <c r="C502" s="2" t="s">
        <v>311</v>
      </c>
      <c r="D502" s="2" t="s">
        <v>174</v>
      </c>
      <c r="E502" s="5" t="n">
        <f aca="false">INDEX('08_PEDIDOS'!$D$2:$D$97,MATCH(A502,'08_PEDIDOS'!$A$2:$A$97,0))</f>
        <v>7</v>
      </c>
      <c r="F502" s="5" t="n">
        <f aca="false">SUMIFS('03_DESPIECE'!$D$2:$D$225,'03_DESPIECE'!$A$2:$A$225,B502,'03_DESPIECE'!$B$2:$B$225,C502)</f>
        <v>10</v>
      </c>
      <c r="G502" s="5" t="n">
        <f aca="false">E502*F502</f>
        <v>70</v>
      </c>
      <c r="H502" s="16" t="n">
        <f aca="false">SUMIFS('03_DESPIECE'!$J$2:$J$225,'03_DESPIECE'!$A$2:$A$225,B502,'03_DESPIECE'!$B$2:$B$225,C502)</f>
        <v>23.2086956522</v>
      </c>
      <c r="I502" s="16" t="n">
        <f aca="false">E502*H502</f>
        <v>162.4608695654</v>
      </c>
      <c r="J502" s="17" t="n">
        <f aca="false">E502*SUMIFS('03_DESPIECE'!$I$2:$I$225,'03_DESPIECE'!$A$2:$A$225,B502,'03_DESPIECE'!$B$2:$B$225,C502)</f>
        <v>21.98</v>
      </c>
      <c r="K502" s="19" t="n">
        <f aca="false">E502*SUMIFS('03_DESPIECE'!$K$2:$K$225,'03_DESPIECE'!$A$2:$A$225,B502,'03_DESPIECE'!$B$2:$B$225,C502)</f>
        <v>0.9722222223</v>
      </c>
      <c r="L502" s="5" t="n">
        <f aca="false">SUMIFS('03_DESPIECE'!$L$2:$L$225,'03_DESPIECE'!$A$2:$A$225,B502,'03_DESPIECE'!$B$2:$B$225,C502)</f>
        <v>1</v>
      </c>
      <c r="M502" s="2" t="s">
        <v>629</v>
      </c>
    </row>
    <row r="503" customFormat="false" ht="15" hidden="false" customHeight="false" outlineLevel="0" collapsed="false">
      <c r="A503" s="2" t="s">
        <v>600</v>
      </c>
      <c r="B503" s="2" t="s">
        <v>96</v>
      </c>
      <c r="C503" s="2" t="s">
        <v>312</v>
      </c>
      <c r="D503" s="2" t="s">
        <v>174</v>
      </c>
      <c r="E503" s="5" t="n">
        <f aca="false">INDEX('08_PEDIDOS'!$D$2:$D$97,MATCH(A503,'08_PEDIDOS'!$A$2:$A$97,0))</f>
        <v>7</v>
      </c>
      <c r="F503" s="5" t="n">
        <f aca="false">SUMIFS('03_DESPIECE'!$D$2:$D$225,'03_DESPIECE'!$A$2:$A$225,B503,'03_DESPIECE'!$B$2:$B$225,C503)</f>
        <v>2</v>
      </c>
      <c r="G503" s="5" t="n">
        <f aca="false">E503*F503</f>
        <v>14</v>
      </c>
      <c r="H503" s="16" t="n">
        <f aca="false">SUMIFS('03_DESPIECE'!$J$2:$J$225,'03_DESPIECE'!$A$2:$A$225,B503,'03_DESPIECE'!$B$2:$B$225,C503)</f>
        <v>29.0108695652</v>
      </c>
      <c r="I503" s="16" t="n">
        <f aca="false">E503*H503</f>
        <v>203.0760869564</v>
      </c>
      <c r="J503" s="17" t="n">
        <f aca="false">E503*SUMIFS('03_DESPIECE'!$I$2:$I$225,'03_DESPIECE'!$A$2:$A$225,B503,'03_DESPIECE'!$B$2:$B$225,C503)</f>
        <v>27.475</v>
      </c>
      <c r="K503" s="19" t="n">
        <f aca="false">E503*SUMIFS('03_DESPIECE'!$K$2:$K$225,'03_DESPIECE'!$A$2:$A$225,B503,'03_DESPIECE'!$B$2:$B$225,C503)</f>
        <v>1.2152777777</v>
      </c>
      <c r="L503" s="5" t="n">
        <f aca="false">SUMIFS('03_DESPIECE'!$L$2:$L$225,'03_DESPIECE'!$A$2:$A$225,B503,'03_DESPIECE'!$B$2:$B$225,C503)</f>
        <v>1</v>
      </c>
      <c r="M503" s="2" t="s">
        <v>629</v>
      </c>
    </row>
    <row r="504" customFormat="false" ht="15" hidden="false" customHeight="false" outlineLevel="0" collapsed="false">
      <c r="A504" s="2" t="s">
        <v>600</v>
      </c>
      <c r="B504" s="2" t="s">
        <v>96</v>
      </c>
      <c r="C504" s="2" t="s">
        <v>313</v>
      </c>
      <c r="D504" s="2" t="s">
        <v>188</v>
      </c>
      <c r="E504" s="5" t="n">
        <f aca="false">INDEX('08_PEDIDOS'!$D$2:$D$97,MATCH(A504,'08_PEDIDOS'!$A$2:$A$97,0))</f>
        <v>7</v>
      </c>
      <c r="F504" s="5" t="n">
        <f aca="false">SUMIFS('03_DESPIECE'!$D$2:$D$225,'03_DESPIECE'!$A$2:$A$225,B504,'03_DESPIECE'!$B$2:$B$225,C504)</f>
        <v>26</v>
      </c>
      <c r="G504" s="5" t="n">
        <f aca="false">E504*F504</f>
        <v>182</v>
      </c>
      <c r="H504" s="16" t="n">
        <f aca="false">SUMIFS('03_DESPIECE'!$J$2:$J$225,'03_DESPIECE'!$A$2:$A$225,B504,'03_DESPIECE'!$B$2:$B$225,C504)</f>
        <v>23.4</v>
      </c>
      <c r="I504" s="16" t="n">
        <f aca="false">E504*H504</f>
        <v>163.8</v>
      </c>
      <c r="J504" s="17" t="n">
        <f aca="false">E504*SUMIFS('03_DESPIECE'!$I$2:$I$225,'03_DESPIECE'!$A$2:$A$225,B504,'03_DESPIECE'!$B$2:$B$225,C504)</f>
        <v>0</v>
      </c>
      <c r="K504" s="19" t="n">
        <f aca="false">E504*SUMIFS('03_DESPIECE'!$K$2:$K$225,'03_DESPIECE'!$A$2:$A$225,B504,'03_DESPIECE'!$B$2:$B$225,C504)</f>
        <v>0</v>
      </c>
      <c r="L504" s="5" t="n">
        <f aca="false">SUMIFS('03_DESPIECE'!$L$2:$L$225,'03_DESPIECE'!$A$2:$A$225,B504,'03_DESPIECE'!$B$2:$B$225,C504)</f>
        <v>1</v>
      </c>
      <c r="M504" s="2" t="s">
        <v>629</v>
      </c>
    </row>
    <row r="505" customFormat="false" ht="15" hidden="false" customHeight="false" outlineLevel="0" collapsed="false">
      <c r="A505" s="2" t="s">
        <v>601</v>
      </c>
      <c r="B505" s="2" t="s">
        <v>106</v>
      </c>
      <c r="C505" s="2" t="s">
        <v>314</v>
      </c>
      <c r="D505" s="2" t="s">
        <v>176</v>
      </c>
      <c r="E505" s="5" t="n">
        <f aca="false">INDEX('08_PEDIDOS'!$D$2:$D$97,MATCH(A505,'08_PEDIDOS'!$A$2:$A$97,0))</f>
        <v>5</v>
      </c>
      <c r="F505" s="5" t="n">
        <f aca="false">SUMIFS('03_DESPIECE'!$D$2:$D$225,'03_DESPIECE'!$A$2:$A$225,B505,'03_DESPIECE'!$B$2:$B$225,C505)</f>
        <v>2</v>
      </c>
      <c r="G505" s="5" t="n">
        <f aca="false">E505*F505</f>
        <v>10</v>
      </c>
      <c r="H505" s="16" t="n">
        <f aca="false">SUMIFS('03_DESPIECE'!$J$2:$J$225,'03_DESPIECE'!$A$2:$A$225,B505,'03_DESPIECE'!$B$2:$B$225,C505)</f>
        <v>165.3619565217</v>
      </c>
      <c r="I505" s="16" t="n">
        <f aca="false">E505*H505</f>
        <v>826.8097826085</v>
      </c>
      <c r="J505" s="17" t="n">
        <f aca="false">E505*SUMIFS('03_DESPIECE'!$I$2:$I$225,'03_DESPIECE'!$A$2:$A$225,B505,'03_DESPIECE'!$B$2:$B$225,C505)</f>
        <v>111.8625</v>
      </c>
      <c r="K505" s="19" t="n">
        <f aca="false">E505*SUMIFS('03_DESPIECE'!$K$2:$K$225,'03_DESPIECE'!$A$2:$A$225,B505,'03_DESPIECE'!$B$2:$B$225,C505)</f>
        <v>3.298611111</v>
      </c>
      <c r="L505" s="5" t="n">
        <f aca="false">SUMIFS('03_DESPIECE'!$L$2:$L$225,'03_DESPIECE'!$A$2:$A$225,B505,'03_DESPIECE'!$B$2:$B$225,C505)</f>
        <v>1</v>
      </c>
      <c r="M505" s="2" t="s">
        <v>629</v>
      </c>
    </row>
    <row r="506" customFormat="false" ht="15" hidden="false" customHeight="false" outlineLevel="0" collapsed="false">
      <c r="A506" s="2" t="s">
        <v>601</v>
      </c>
      <c r="B506" s="2" t="s">
        <v>106</v>
      </c>
      <c r="C506" s="2" t="s">
        <v>315</v>
      </c>
      <c r="D506" s="2" t="s">
        <v>176</v>
      </c>
      <c r="E506" s="5" t="n">
        <f aca="false">INDEX('08_PEDIDOS'!$D$2:$D$97,MATCH(A506,'08_PEDIDOS'!$A$2:$A$97,0))</f>
        <v>5</v>
      </c>
      <c r="F506" s="5" t="n">
        <f aca="false">SUMIFS('03_DESPIECE'!$D$2:$D$225,'03_DESPIECE'!$A$2:$A$225,B506,'03_DESPIECE'!$B$2:$B$225,C506)</f>
        <v>2</v>
      </c>
      <c r="G506" s="5" t="n">
        <f aca="false">E506*F506</f>
        <v>10</v>
      </c>
      <c r="H506" s="16" t="n">
        <f aca="false">SUMIFS('03_DESPIECE'!$J$2:$J$225,'03_DESPIECE'!$A$2:$A$225,B506,'03_DESPIECE'!$B$2:$B$225,C506)</f>
        <v>60.922826087</v>
      </c>
      <c r="I506" s="16" t="n">
        <f aca="false">E506*H506</f>
        <v>304.614130435</v>
      </c>
      <c r="J506" s="17" t="n">
        <f aca="false">E506*SUMIFS('03_DESPIECE'!$I$2:$I$225,'03_DESPIECE'!$A$2:$A$225,B506,'03_DESPIECE'!$B$2:$B$225,C506)</f>
        <v>41.2125</v>
      </c>
      <c r="K506" s="19" t="n">
        <f aca="false">E506*SUMIFS('03_DESPIECE'!$K$2:$K$225,'03_DESPIECE'!$A$2:$A$225,B506,'03_DESPIECE'!$B$2:$B$225,C506)</f>
        <v>1.215277778</v>
      </c>
      <c r="L506" s="5" t="n">
        <f aca="false">SUMIFS('03_DESPIECE'!$L$2:$L$225,'03_DESPIECE'!$A$2:$A$225,B506,'03_DESPIECE'!$B$2:$B$225,C506)</f>
        <v>1</v>
      </c>
      <c r="M506" s="2" t="s">
        <v>629</v>
      </c>
    </row>
    <row r="507" customFormat="false" ht="15" hidden="false" customHeight="false" outlineLevel="0" collapsed="false">
      <c r="A507" s="2" t="s">
        <v>601</v>
      </c>
      <c r="B507" s="2" t="s">
        <v>106</v>
      </c>
      <c r="C507" s="2" t="s">
        <v>316</v>
      </c>
      <c r="D507" s="2" t="s">
        <v>176</v>
      </c>
      <c r="E507" s="5" t="n">
        <f aca="false">INDEX('08_PEDIDOS'!$D$2:$D$97,MATCH(A507,'08_PEDIDOS'!$A$2:$A$97,0))</f>
        <v>5</v>
      </c>
      <c r="F507" s="5" t="n">
        <f aca="false">SUMIFS('03_DESPIECE'!$D$2:$D$225,'03_DESPIECE'!$A$2:$A$225,B507,'03_DESPIECE'!$B$2:$B$225,C507)</f>
        <v>1</v>
      </c>
      <c r="G507" s="5" t="n">
        <f aca="false">E507*F507</f>
        <v>5</v>
      </c>
      <c r="H507" s="16" t="n">
        <f aca="false">SUMIFS('03_DESPIECE'!$J$2:$J$225,'03_DESPIECE'!$A$2:$A$225,B507,'03_DESPIECE'!$B$2:$B$225,C507)</f>
        <v>147.9554347826</v>
      </c>
      <c r="I507" s="16" t="n">
        <f aca="false">E507*H507</f>
        <v>739.777173913</v>
      </c>
      <c r="J507" s="17" t="n">
        <f aca="false">E507*SUMIFS('03_DESPIECE'!$I$2:$I$225,'03_DESPIECE'!$A$2:$A$225,B507,'03_DESPIECE'!$B$2:$B$225,C507)</f>
        <v>100.0875</v>
      </c>
      <c r="K507" s="19" t="n">
        <f aca="false">E507*SUMIFS('03_DESPIECE'!$K$2:$K$225,'03_DESPIECE'!$A$2:$A$225,B507,'03_DESPIECE'!$B$2:$B$225,C507)</f>
        <v>2.951388889</v>
      </c>
      <c r="L507" s="5" t="n">
        <f aca="false">SUMIFS('03_DESPIECE'!$L$2:$L$225,'03_DESPIECE'!$A$2:$A$225,B507,'03_DESPIECE'!$B$2:$B$225,C507)</f>
        <v>1</v>
      </c>
      <c r="M507" s="2" t="s">
        <v>629</v>
      </c>
    </row>
    <row r="508" customFormat="false" ht="15" hidden="false" customHeight="false" outlineLevel="0" collapsed="false">
      <c r="A508" s="2" t="s">
        <v>601</v>
      </c>
      <c r="B508" s="2" t="s">
        <v>106</v>
      </c>
      <c r="C508" s="2" t="s">
        <v>317</v>
      </c>
      <c r="D508" s="2" t="s">
        <v>176</v>
      </c>
      <c r="E508" s="5" t="n">
        <f aca="false">INDEX('08_PEDIDOS'!$D$2:$D$97,MATCH(A508,'08_PEDIDOS'!$A$2:$A$97,0))</f>
        <v>5</v>
      </c>
      <c r="F508" s="5" t="n">
        <f aca="false">SUMIFS('03_DESPIECE'!$D$2:$D$225,'03_DESPIECE'!$A$2:$A$225,B508,'03_DESPIECE'!$B$2:$B$225,C508)</f>
        <v>4</v>
      </c>
      <c r="G508" s="5" t="n">
        <f aca="false">E508*F508</f>
        <v>20</v>
      </c>
      <c r="H508" s="16" t="n">
        <f aca="false">SUMIFS('03_DESPIECE'!$J$2:$J$225,'03_DESPIECE'!$A$2:$A$225,B508,'03_DESPIECE'!$B$2:$B$225,C508)</f>
        <v>128.8082608696</v>
      </c>
      <c r="I508" s="16" t="n">
        <f aca="false">E508*H508</f>
        <v>644.041304348</v>
      </c>
      <c r="J508" s="17" t="n">
        <f aca="false">E508*SUMIFS('03_DESPIECE'!$I$2:$I$225,'03_DESPIECE'!$A$2:$A$225,B508,'03_DESPIECE'!$B$2:$B$225,C508)</f>
        <v>87.135</v>
      </c>
      <c r="K508" s="19" t="n">
        <f aca="false">E508*SUMIFS('03_DESPIECE'!$K$2:$K$225,'03_DESPIECE'!$A$2:$A$225,B508,'03_DESPIECE'!$B$2:$B$225,C508)</f>
        <v>2.5694444445</v>
      </c>
      <c r="L508" s="5" t="n">
        <f aca="false">SUMIFS('03_DESPIECE'!$L$2:$L$225,'03_DESPIECE'!$A$2:$A$225,B508,'03_DESPIECE'!$B$2:$B$225,C508)</f>
        <v>1</v>
      </c>
      <c r="M508" s="2" t="s">
        <v>629</v>
      </c>
    </row>
    <row r="509" customFormat="false" ht="15" hidden="false" customHeight="false" outlineLevel="0" collapsed="false">
      <c r="A509" s="2" t="s">
        <v>601</v>
      </c>
      <c r="B509" s="2" t="s">
        <v>106</v>
      </c>
      <c r="C509" s="2" t="s">
        <v>318</v>
      </c>
      <c r="D509" s="2" t="s">
        <v>176</v>
      </c>
      <c r="E509" s="5" t="n">
        <f aca="false">INDEX('08_PEDIDOS'!$D$2:$D$97,MATCH(A509,'08_PEDIDOS'!$A$2:$A$97,0))</f>
        <v>5</v>
      </c>
      <c r="F509" s="5" t="n">
        <f aca="false">SUMIFS('03_DESPIECE'!$D$2:$D$225,'03_DESPIECE'!$A$2:$A$225,B509,'03_DESPIECE'!$B$2:$B$225,C509)</f>
        <v>3</v>
      </c>
      <c r="G509" s="5" t="n">
        <f aca="false">E509*F509</f>
        <v>15</v>
      </c>
      <c r="H509" s="16" t="n">
        <f aca="false">SUMIFS('03_DESPIECE'!$J$2:$J$225,'03_DESPIECE'!$A$2:$A$225,B509,'03_DESPIECE'!$B$2:$B$225,C509)</f>
        <v>91.3842391304</v>
      </c>
      <c r="I509" s="16" t="n">
        <f aca="false">E509*H509</f>
        <v>456.921195652</v>
      </c>
      <c r="J509" s="17" t="n">
        <f aca="false">E509*SUMIFS('03_DESPIECE'!$I$2:$I$225,'03_DESPIECE'!$A$2:$A$225,B509,'03_DESPIECE'!$B$2:$B$225,C509)</f>
        <v>61.81875</v>
      </c>
      <c r="K509" s="19" t="n">
        <f aca="false">E509*SUMIFS('03_DESPIECE'!$K$2:$K$225,'03_DESPIECE'!$A$2:$A$225,B509,'03_DESPIECE'!$B$2:$B$225,C509)</f>
        <v>1.8229166665</v>
      </c>
      <c r="L509" s="5" t="n">
        <f aca="false">SUMIFS('03_DESPIECE'!$L$2:$L$225,'03_DESPIECE'!$A$2:$A$225,B509,'03_DESPIECE'!$B$2:$B$225,C509)</f>
        <v>1</v>
      </c>
      <c r="M509" s="2" t="s">
        <v>629</v>
      </c>
    </row>
    <row r="510" customFormat="false" ht="15" hidden="false" customHeight="false" outlineLevel="0" collapsed="false">
      <c r="A510" s="2" t="s">
        <v>601</v>
      </c>
      <c r="B510" s="2" t="s">
        <v>106</v>
      </c>
      <c r="C510" s="2" t="s">
        <v>319</v>
      </c>
      <c r="D510" s="2" t="s">
        <v>188</v>
      </c>
      <c r="E510" s="5" t="n">
        <f aca="false">INDEX('08_PEDIDOS'!$D$2:$D$97,MATCH(A510,'08_PEDIDOS'!$A$2:$A$97,0))</f>
        <v>5</v>
      </c>
      <c r="F510" s="5" t="n">
        <f aca="false">SUMIFS('03_DESPIECE'!$D$2:$D$225,'03_DESPIECE'!$A$2:$A$225,B510,'03_DESPIECE'!$B$2:$B$225,C510)</f>
        <v>8</v>
      </c>
      <c r="G510" s="5" t="n">
        <f aca="false">E510*F510</f>
        <v>40</v>
      </c>
      <c r="H510" s="16" t="n">
        <f aca="false">SUMIFS('03_DESPIECE'!$J$2:$J$225,'03_DESPIECE'!$A$2:$A$225,B510,'03_DESPIECE'!$B$2:$B$225,C510)</f>
        <v>7.2</v>
      </c>
      <c r="I510" s="16" t="n">
        <f aca="false">E510*H510</f>
        <v>36</v>
      </c>
      <c r="J510" s="17" t="n">
        <f aca="false">E510*SUMIFS('03_DESPIECE'!$I$2:$I$225,'03_DESPIECE'!$A$2:$A$225,B510,'03_DESPIECE'!$B$2:$B$225,C510)</f>
        <v>0</v>
      </c>
      <c r="K510" s="19" t="n">
        <f aca="false">E510*SUMIFS('03_DESPIECE'!$K$2:$K$225,'03_DESPIECE'!$A$2:$A$225,B510,'03_DESPIECE'!$B$2:$B$225,C510)</f>
        <v>0</v>
      </c>
      <c r="L510" s="5" t="n">
        <f aca="false">SUMIFS('03_DESPIECE'!$L$2:$L$225,'03_DESPIECE'!$A$2:$A$225,B510,'03_DESPIECE'!$B$2:$B$225,C510)</f>
        <v>1</v>
      </c>
      <c r="M510" s="2" t="s">
        <v>629</v>
      </c>
    </row>
    <row r="511" customFormat="false" ht="15" hidden="false" customHeight="false" outlineLevel="0" collapsed="false">
      <c r="A511" s="2" t="s">
        <v>601</v>
      </c>
      <c r="B511" s="2" t="s">
        <v>106</v>
      </c>
      <c r="C511" s="2" t="s">
        <v>320</v>
      </c>
      <c r="D511" s="2" t="s">
        <v>188</v>
      </c>
      <c r="E511" s="5" t="n">
        <f aca="false">INDEX('08_PEDIDOS'!$D$2:$D$97,MATCH(A511,'08_PEDIDOS'!$A$2:$A$97,0))</f>
        <v>5</v>
      </c>
      <c r="F511" s="5" t="n">
        <f aca="false">SUMIFS('03_DESPIECE'!$D$2:$D$225,'03_DESPIECE'!$A$2:$A$225,B511,'03_DESPIECE'!$B$2:$B$225,C511)</f>
        <v>4</v>
      </c>
      <c r="G511" s="5" t="n">
        <f aca="false">E511*F511</f>
        <v>20</v>
      </c>
      <c r="H511" s="16" t="n">
        <f aca="false">SUMIFS('03_DESPIECE'!$J$2:$J$225,'03_DESPIECE'!$A$2:$A$225,B511,'03_DESPIECE'!$B$2:$B$225,C511)</f>
        <v>3.6</v>
      </c>
      <c r="I511" s="16" t="n">
        <f aca="false">E511*H511</f>
        <v>18</v>
      </c>
      <c r="J511" s="17" t="n">
        <f aca="false">E511*SUMIFS('03_DESPIECE'!$I$2:$I$225,'03_DESPIECE'!$A$2:$A$225,B511,'03_DESPIECE'!$B$2:$B$225,C511)</f>
        <v>0</v>
      </c>
      <c r="K511" s="19" t="n">
        <f aca="false">E511*SUMIFS('03_DESPIECE'!$K$2:$K$225,'03_DESPIECE'!$A$2:$A$225,B511,'03_DESPIECE'!$B$2:$B$225,C511)</f>
        <v>0</v>
      </c>
      <c r="L511" s="5" t="n">
        <f aca="false">SUMIFS('03_DESPIECE'!$L$2:$L$225,'03_DESPIECE'!$A$2:$A$225,B511,'03_DESPIECE'!$B$2:$B$225,C511)</f>
        <v>1</v>
      </c>
      <c r="M511" s="2" t="s">
        <v>629</v>
      </c>
    </row>
    <row r="512" customFormat="false" ht="15" hidden="false" customHeight="false" outlineLevel="0" collapsed="false">
      <c r="A512" s="2" t="s">
        <v>602</v>
      </c>
      <c r="B512" s="2" t="s">
        <v>108</v>
      </c>
      <c r="C512" s="2" t="s">
        <v>321</v>
      </c>
      <c r="D512" s="2" t="s">
        <v>176</v>
      </c>
      <c r="E512" s="5" t="n">
        <f aca="false">INDEX('08_PEDIDOS'!$D$2:$D$97,MATCH(A512,'08_PEDIDOS'!$A$2:$A$97,0))</f>
        <v>6</v>
      </c>
      <c r="F512" s="5" t="n">
        <f aca="false">SUMIFS('03_DESPIECE'!$D$2:$D$225,'03_DESPIECE'!$A$2:$A$225,B512,'03_DESPIECE'!$B$2:$B$225,C512)</f>
        <v>2</v>
      </c>
      <c r="G512" s="5" t="n">
        <f aca="false">E512*F512</f>
        <v>12</v>
      </c>
      <c r="H512" s="16" t="n">
        <f aca="false">SUMIFS('03_DESPIECE'!$J$2:$J$225,'03_DESPIECE'!$A$2:$A$225,B512,'03_DESPIECE'!$B$2:$B$225,C512)</f>
        <v>191.4717391304</v>
      </c>
      <c r="I512" s="16" t="n">
        <f aca="false">E512*H512</f>
        <v>1148.8304347824</v>
      </c>
      <c r="J512" s="17" t="n">
        <f aca="false">E512*SUMIFS('03_DESPIECE'!$I$2:$I$225,'03_DESPIECE'!$A$2:$A$225,B512,'03_DESPIECE'!$B$2:$B$225,C512)</f>
        <v>155.43</v>
      </c>
      <c r="K512" s="19" t="n">
        <f aca="false">E512*SUMIFS('03_DESPIECE'!$K$2:$K$225,'03_DESPIECE'!$A$2:$A$225,B512,'03_DESPIECE'!$B$2:$B$225,C512)</f>
        <v>4.5833333334</v>
      </c>
      <c r="L512" s="5" t="n">
        <f aca="false">SUMIFS('03_DESPIECE'!$L$2:$L$225,'03_DESPIECE'!$A$2:$A$225,B512,'03_DESPIECE'!$B$2:$B$225,C512)</f>
        <v>1</v>
      </c>
      <c r="M512" s="2" t="s">
        <v>629</v>
      </c>
    </row>
    <row r="513" customFormat="false" ht="15" hidden="false" customHeight="false" outlineLevel="0" collapsed="false">
      <c r="A513" s="2" t="s">
        <v>602</v>
      </c>
      <c r="B513" s="2" t="s">
        <v>108</v>
      </c>
      <c r="C513" s="2" t="s">
        <v>322</v>
      </c>
      <c r="D513" s="2" t="s">
        <v>176</v>
      </c>
      <c r="E513" s="5" t="n">
        <f aca="false">INDEX('08_PEDIDOS'!$D$2:$D$97,MATCH(A513,'08_PEDIDOS'!$A$2:$A$97,0))</f>
        <v>6</v>
      </c>
      <c r="F513" s="5" t="n">
        <f aca="false">SUMIFS('03_DESPIECE'!$D$2:$D$225,'03_DESPIECE'!$A$2:$A$225,B513,'03_DESPIECE'!$B$2:$B$225,C513)</f>
        <v>2</v>
      </c>
      <c r="G513" s="5" t="n">
        <f aca="false">E513*F513</f>
        <v>12</v>
      </c>
      <c r="H513" s="16" t="n">
        <f aca="false">SUMIFS('03_DESPIECE'!$J$2:$J$225,'03_DESPIECE'!$A$2:$A$225,B513,'03_DESPIECE'!$B$2:$B$225,C513)</f>
        <v>83.5513043478</v>
      </c>
      <c r="I513" s="16" t="n">
        <f aca="false">E513*H513</f>
        <v>501.3078260868</v>
      </c>
      <c r="J513" s="17" t="n">
        <f aca="false">E513*SUMIFS('03_DESPIECE'!$I$2:$I$225,'03_DESPIECE'!$A$2:$A$225,B513,'03_DESPIECE'!$B$2:$B$225,C513)</f>
        <v>67.824</v>
      </c>
      <c r="K513" s="19" t="n">
        <f aca="false">E513*SUMIFS('03_DESPIECE'!$K$2:$K$225,'03_DESPIECE'!$A$2:$A$225,B513,'03_DESPIECE'!$B$2:$B$225,C513)</f>
        <v>1.9999999998</v>
      </c>
      <c r="L513" s="5" t="n">
        <f aca="false">SUMIFS('03_DESPIECE'!$L$2:$L$225,'03_DESPIECE'!$A$2:$A$225,B513,'03_DESPIECE'!$B$2:$B$225,C513)</f>
        <v>1</v>
      </c>
      <c r="M513" s="2" t="s">
        <v>629</v>
      </c>
    </row>
    <row r="514" customFormat="false" ht="15" hidden="false" customHeight="false" outlineLevel="0" collapsed="false">
      <c r="A514" s="2" t="s">
        <v>602</v>
      </c>
      <c r="B514" s="2" t="s">
        <v>108</v>
      </c>
      <c r="C514" s="2" t="s">
        <v>323</v>
      </c>
      <c r="D514" s="2" t="s">
        <v>176</v>
      </c>
      <c r="E514" s="5" t="n">
        <f aca="false">INDEX('08_PEDIDOS'!$D$2:$D$97,MATCH(A514,'08_PEDIDOS'!$A$2:$A$97,0))</f>
        <v>6</v>
      </c>
      <c r="F514" s="5" t="n">
        <f aca="false">SUMIFS('03_DESPIECE'!$D$2:$D$225,'03_DESPIECE'!$A$2:$A$225,B514,'03_DESPIECE'!$B$2:$B$225,C514)</f>
        <v>1</v>
      </c>
      <c r="G514" s="5" t="n">
        <f aca="false">E514*F514</f>
        <v>6</v>
      </c>
      <c r="H514" s="16" t="n">
        <f aca="false">SUMIFS('03_DESPIECE'!$J$2:$J$225,'03_DESPIECE'!$A$2:$A$225,B514,'03_DESPIECE'!$B$2:$B$225,C514)</f>
        <v>156.6586956522</v>
      </c>
      <c r="I514" s="16" t="n">
        <f aca="false">E514*H514</f>
        <v>939.9521739132</v>
      </c>
      <c r="J514" s="17" t="n">
        <f aca="false">E514*SUMIFS('03_DESPIECE'!$I$2:$I$225,'03_DESPIECE'!$A$2:$A$225,B514,'03_DESPIECE'!$B$2:$B$225,C514)</f>
        <v>127.17</v>
      </c>
      <c r="K514" s="19" t="n">
        <f aca="false">E514*SUMIFS('03_DESPIECE'!$K$2:$K$225,'03_DESPIECE'!$A$2:$A$225,B514,'03_DESPIECE'!$B$2:$B$225,C514)</f>
        <v>3.75</v>
      </c>
      <c r="L514" s="5" t="n">
        <f aca="false">SUMIFS('03_DESPIECE'!$L$2:$L$225,'03_DESPIECE'!$A$2:$A$225,B514,'03_DESPIECE'!$B$2:$B$225,C514)</f>
        <v>1</v>
      </c>
      <c r="M514" s="2" t="s">
        <v>629</v>
      </c>
    </row>
    <row r="515" customFormat="false" ht="15" hidden="false" customHeight="false" outlineLevel="0" collapsed="false">
      <c r="A515" s="2" t="s">
        <v>602</v>
      </c>
      <c r="B515" s="2" t="s">
        <v>108</v>
      </c>
      <c r="C515" s="2" t="s">
        <v>324</v>
      </c>
      <c r="D515" s="2" t="s">
        <v>176</v>
      </c>
      <c r="E515" s="5" t="n">
        <f aca="false">INDEX('08_PEDIDOS'!$D$2:$D$97,MATCH(A515,'08_PEDIDOS'!$A$2:$A$97,0))</f>
        <v>6</v>
      </c>
      <c r="F515" s="5" t="n">
        <f aca="false">SUMIFS('03_DESPIECE'!$D$2:$D$225,'03_DESPIECE'!$A$2:$A$225,B515,'03_DESPIECE'!$B$2:$B$225,C515)</f>
        <v>6</v>
      </c>
      <c r="G515" s="5" t="n">
        <f aca="false">E515*F515</f>
        <v>36</v>
      </c>
      <c r="H515" s="16" t="n">
        <f aca="false">SUMIFS('03_DESPIECE'!$J$2:$J$225,'03_DESPIECE'!$A$2:$A$225,B515,'03_DESPIECE'!$B$2:$B$225,C515)</f>
        <v>156.6586956522</v>
      </c>
      <c r="I515" s="16" t="n">
        <f aca="false">E515*H515</f>
        <v>939.9521739132</v>
      </c>
      <c r="J515" s="17" t="n">
        <f aca="false">E515*SUMIFS('03_DESPIECE'!$I$2:$I$225,'03_DESPIECE'!$A$2:$A$225,B515,'03_DESPIECE'!$B$2:$B$225,C515)</f>
        <v>127.17</v>
      </c>
      <c r="K515" s="19" t="n">
        <f aca="false">E515*SUMIFS('03_DESPIECE'!$K$2:$K$225,'03_DESPIECE'!$A$2:$A$225,B515,'03_DESPIECE'!$B$2:$B$225,C515)</f>
        <v>3.75</v>
      </c>
      <c r="L515" s="5" t="n">
        <f aca="false">SUMIFS('03_DESPIECE'!$L$2:$L$225,'03_DESPIECE'!$A$2:$A$225,B515,'03_DESPIECE'!$B$2:$B$225,C515)</f>
        <v>1</v>
      </c>
      <c r="M515" s="2" t="s">
        <v>629</v>
      </c>
    </row>
    <row r="516" customFormat="false" ht="15" hidden="false" customHeight="false" outlineLevel="0" collapsed="false">
      <c r="A516" s="2" t="s">
        <v>602</v>
      </c>
      <c r="B516" s="2" t="s">
        <v>108</v>
      </c>
      <c r="C516" s="2" t="s">
        <v>325</v>
      </c>
      <c r="D516" s="2" t="s">
        <v>176</v>
      </c>
      <c r="E516" s="5" t="n">
        <f aca="false">INDEX('08_PEDIDOS'!$D$2:$D$97,MATCH(A516,'08_PEDIDOS'!$A$2:$A$97,0))</f>
        <v>6</v>
      </c>
      <c r="F516" s="5" t="n">
        <f aca="false">SUMIFS('03_DESPIECE'!$D$2:$D$225,'03_DESPIECE'!$A$2:$A$225,B516,'03_DESPIECE'!$B$2:$B$225,C516)</f>
        <v>2</v>
      </c>
      <c r="G516" s="5" t="n">
        <f aca="false">E516*F516</f>
        <v>12</v>
      </c>
      <c r="H516" s="16" t="n">
        <f aca="false">SUMIFS('03_DESPIECE'!$J$2:$J$225,'03_DESPIECE'!$A$2:$A$225,B516,'03_DESPIECE'!$B$2:$B$225,C516)</f>
        <v>121.8456521739</v>
      </c>
      <c r="I516" s="16" t="n">
        <f aca="false">E516*H516</f>
        <v>731.0739130434</v>
      </c>
      <c r="J516" s="17" t="n">
        <f aca="false">E516*SUMIFS('03_DESPIECE'!$I$2:$I$225,'03_DESPIECE'!$A$2:$A$225,B516,'03_DESPIECE'!$B$2:$B$225,C516)</f>
        <v>98.91</v>
      </c>
      <c r="K516" s="19" t="n">
        <f aca="false">E516*SUMIFS('03_DESPIECE'!$K$2:$K$225,'03_DESPIECE'!$A$2:$A$225,B516,'03_DESPIECE'!$B$2:$B$225,C516)</f>
        <v>2.9166666666</v>
      </c>
      <c r="L516" s="5" t="n">
        <f aca="false">SUMIFS('03_DESPIECE'!$L$2:$L$225,'03_DESPIECE'!$A$2:$A$225,B516,'03_DESPIECE'!$B$2:$B$225,C516)</f>
        <v>1</v>
      </c>
      <c r="M516" s="2" t="s">
        <v>629</v>
      </c>
    </row>
    <row r="517" customFormat="false" ht="15" hidden="false" customHeight="false" outlineLevel="0" collapsed="false">
      <c r="A517" s="2" t="s">
        <v>602</v>
      </c>
      <c r="B517" s="2" t="s">
        <v>108</v>
      </c>
      <c r="C517" s="2" t="s">
        <v>326</v>
      </c>
      <c r="D517" s="2" t="s">
        <v>176</v>
      </c>
      <c r="E517" s="5" t="n">
        <f aca="false">INDEX('08_PEDIDOS'!$D$2:$D$97,MATCH(A517,'08_PEDIDOS'!$A$2:$A$97,0))</f>
        <v>6</v>
      </c>
      <c r="F517" s="5" t="n">
        <f aca="false">SUMIFS('03_DESPIECE'!$D$2:$D$225,'03_DESPIECE'!$A$2:$A$225,B517,'03_DESPIECE'!$B$2:$B$225,C517)</f>
        <v>4</v>
      </c>
      <c r="G517" s="5" t="n">
        <f aca="false">E517*F517</f>
        <v>24</v>
      </c>
      <c r="H517" s="16" t="n">
        <f aca="false">SUMIFS('03_DESPIECE'!$J$2:$J$225,'03_DESPIECE'!$A$2:$A$225,B517,'03_DESPIECE'!$B$2:$B$225,C517)</f>
        <v>139.252173913</v>
      </c>
      <c r="I517" s="16" t="n">
        <f aca="false">E517*H517</f>
        <v>835.513043478</v>
      </c>
      <c r="J517" s="17" t="n">
        <f aca="false">E517*SUMIFS('03_DESPIECE'!$I$2:$I$225,'03_DESPIECE'!$A$2:$A$225,B517,'03_DESPIECE'!$B$2:$B$225,C517)</f>
        <v>113.04</v>
      </c>
      <c r="K517" s="19" t="n">
        <f aca="false">E517*SUMIFS('03_DESPIECE'!$K$2:$K$225,'03_DESPIECE'!$A$2:$A$225,B517,'03_DESPIECE'!$B$2:$B$225,C517)</f>
        <v>3.3333333336</v>
      </c>
      <c r="L517" s="5" t="n">
        <f aca="false">SUMIFS('03_DESPIECE'!$L$2:$L$225,'03_DESPIECE'!$A$2:$A$225,B517,'03_DESPIECE'!$B$2:$B$225,C517)</f>
        <v>1</v>
      </c>
      <c r="M517" s="2" t="s">
        <v>629</v>
      </c>
    </row>
    <row r="518" customFormat="false" ht="15" hidden="false" customHeight="false" outlineLevel="0" collapsed="false">
      <c r="A518" s="2" t="s">
        <v>602</v>
      </c>
      <c r="B518" s="2" t="s">
        <v>108</v>
      </c>
      <c r="C518" s="2" t="s">
        <v>319</v>
      </c>
      <c r="D518" s="2" t="s">
        <v>188</v>
      </c>
      <c r="E518" s="5" t="n">
        <f aca="false">INDEX('08_PEDIDOS'!$D$2:$D$97,MATCH(A518,'08_PEDIDOS'!$A$2:$A$97,0))</f>
        <v>6</v>
      </c>
      <c r="F518" s="5" t="n">
        <f aca="false">SUMIFS('03_DESPIECE'!$D$2:$D$225,'03_DESPIECE'!$A$2:$A$225,B518,'03_DESPIECE'!$B$2:$B$225,C518)</f>
        <v>12</v>
      </c>
      <c r="G518" s="5" t="n">
        <f aca="false">E518*F518</f>
        <v>72</v>
      </c>
      <c r="H518" s="16" t="n">
        <f aca="false">SUMIFS('03_DESPIECE'!$J$2:$J$225,'03_DESPIECE'!$A$2:$A$225,B518,'03_DESPIECE'!$B$2:$B$225,C518)</f>
        <v>10.8</v>
      </c>
      <c r="I518" s="16" t="n">
        <f aca="false">E518*H518</f>
        <v>64.8</v>
      </c>
      <c r="J518" s="17" t="n">
        <f aca="false">E518*SUMIFS('03_DESPIECE'!$I$2:$I$225,'03_DESPIECE'!$A$2:$A$225,B518,'03_DESPIECE'!$B$2:$B$225,C518)</f>
        <v>0</v>
      </c>
      <c r="K518" s="19" t="n">
        <f aca="false">E518*SUMIFS('03_DESPIECE'!$K$2:$K$225,'03_DESPIECE'!$A$2:$A$225,B518,'03_DESPIECE'!$B$2:$B$225,C518)</f>
        <v>0</v>
      </c>
      <c r="L518" s="5" t="n">
        <f aca="false">SUMIFS('03_DESPIECE'!$L$2:$L$225,'03_DESPIECE'!$A$2:$A$225,B518,'03_DESPIECE'!$B$2:$B$225,C518)</f>
        <v>1</v>
      </c>
      <c r="M518" s="2" t="s">
        <v>629</v>
      </c>
    </row>
    <row r="519" customFormat="false" ht="15" hidden="false" customHeight="false" outlineLevel="0" collapsed="false">
      <c r="A519" s="2" t="s">
        <v>602</v>
      </c>
      <c r="B519" s="2" t="s">
        <v>108</v>
      </c>
      <c r="C519" s="2" t="s">
        <v>320</v>
      </c>
      <c r="D519" s="2" t="s">
        <v>188</v>
      </c>
      <c r="E519" s="5" t="n">
        <f aca="false">INDEX('08_PEDIDOS'!$D$2:$D$97,MATCH(A519,'08_PEDIDOS'!$A$2:$A$97,0))</f>
        <v>6</v>
      </c>
      <c r="F519" s="5" t="n">
        <f aca="false">SUMIFS('03_DESPIECE'!$D$2:$D$225,'03_DESPIECE'!$A$2:$A$225,B519,'03_DESPIECE'!$B$2:$B$225,C519)</f>
        <v>6</v>
      </c>
      <c r="G519" s="5" t="n">
        <f aca="false">E519*F519</f>
        <v>36</v>
      </c>
      <c r="H519" s="16" t="n">
        <f aca="false">SUMIFS('03_DESPIECE'!$J$2:$J$225,'03_DESPIECE'!$A$2:$A$225,B519,'03_DESPIECE'!$B$2:$B$225,C519)</f>
        <v>5.4</v>
      </c>
      <c r="I519" s="16" t="n">
        <f aca="false">E519*H519</f>
        <v>32.4</v>
      </c>
      <c r="J519" s="17" t="n">
        <f aca="false">E519*SUMIFS('03_DESPIECE'!$I$2:$I$225,'03_DESPIECE'!$A$2:$A$225,B519,'03_DESPIECE'!$B$2:$B$225,C519)</f>
        <v>0</v>
      </c>
      <c r="K519" s="19" t="n">
        <f aca="false">E519*SUMIFS('03_DESPIECE'!$K$2:$K$225,'03_DESPIECE'!$A$2:$A$225,B519,'03_DESPIECE'!$B$2:$B$225,C519)</f>
        <v>0</v>
      </c>
      <c r="L519" s="5" t="n">
        <f aca="false">SUMIFS('03_DESPIECE'!$L$2:$L$225,'03_DESPIECE'!$A$2:$A$225,B519,'03_DESPIECE'!$B$2:$B$225,C519)</f>
        <v>1</v>
      </c>
      <c r="M519" s="2" t="s">
        <v>629</v>
      </c>
    </row>
    <row r="520" customFormat="false" ht="15" hidden="false" customHeight="false" outlineLevel="0" collapsed="false">
      <c r="A520" s="2" t="s">
        <v>603</v>
      </c>
      <c r="B520" s="2" t="s">
        <v>119</v>
      </c>
      <c r="C520" s="2" t="s">
        <v>327</v>
      </c>
      <c r="D520" s="2" t="s">
        <v>174</v>
      </c>
      <c r="E520" s="5" t="n">
        <f aca="false">INDEX('08_PEDIDOS'!$D$2:$D$97,MATCH(A520,'08_PEDIDOS'!$A$2:$A$97,0))</f>
        <v>10</v>
      </c>
      <c r="F520" s="5" t="n">
        <f aca="false">SUMIFS('03_DESPIECE'!$D$2:$D$225,'03_DESPIECE'!$A$2:$A$225,B520,'03_DESPIECE'!$B$2:$B$225,C520)</f>
        <v>2</v>
      </c>
      <c r="G520" s="5" t="n">
        <f aca="false">E520*F520</f>
        <v>20</v>
      </c>
      <c r="H520" s="16" t="n">
        <f aca="false">SUMIFS('03_DESPIECE'!$J$2:$J$225,'03_DESPIECE'!$A$2:$A$225,B520,'03_DESPIECE'!$B$2:$B$225,C520)</f>
        <v>110.2413043478</v>
      </c>
      <c r="I520" s="16" t="n">
        <f aca="false">E520*H520</f>
        <v>1102.413043478</v>
      </c>
      <c r="J520" s="17" t="n">
        <f aca="false">E520*SUMIFS('03_DESPIECE'!$I$2:$I$225,'03_DESPIECE'!$A$2:$A$225,B520,'03_DESPIECE'!$B$2:$B$225,C520)</f>
        <v>149.15</v>
      </c>
      <c r="K520" s="19" t="n">
        <f aca="false">E520*SUMIFS('03_DESPIECE'!$K$2:$K$225,'03_DESPIECE'!$A$2:$A$225,B520,'03_DESPIECE'!$B$2:$B$225,C520)</f>
        <v>6.597222222</v>
      </c>
      <c r="L520" s="5" t="n">
        <f aca="false">SUMIFS('03_DESPIECE'!$L$2:$L$225,'03_DESPIECE'!$A$2:$A$225,B520,'03_DESPIECE'!$B$2:$B$225,C520)</f>
        <v>1</v>
      </c>
      <c r="M520" s="2" t="s">
        <v>629</v>
      </c>
    </row>
    <row r="521" customFormat="false" ht="15" hidden="false" customHeight="false" outlineLevel="0" collapsed="false">
      <c r="A521" s="2" t="s">
        <v>603</v>
      </c>
      <c r="B521" s="2" t="s">
        <v>119</v>
      </c>
      <c r="C521" s="2" t="s">
        <v>316</v>
      </c>
      <c r="D521" s="2" t="s">
        <v>174</v>
      </c>
      <c r="E521" s="5" t="n">
        <f aca="false">INDEX('08_PEDIDOS'!$D$2:$D$97,MATCH(A521,'08_PEDIDOS'!$A$2:$A$97,0))</f>
        <v>10</v>
      </c>
      <c r="F521" s="5" t="n">
        <f aca="false">SUMIFS('03_DESPIECE'!$D$2:$D$225,'03_DESPIECE'!$A$2:$A$225,B521,'03_DESPIECE'!$B$2:$B$225,C521)</f>
        <v>1</v>
      </c>
      <c r="G521" s="5" t="n">
        <f aca="false">E521*F521</f>
        <v>10</v>
      </c>
      <c r="H521" s="16" t="n">
        <f aca="false">SUMIFS('03_DESPIECE'!$J$2:$J$225,'03_DESPIECE'!$A$2:$A$225,B521,'03_DESPIECE'!$B$2:$B$225,C521)</f>
        <v>75.4282608696</v>
      </c>
      <c r="I521" s="16" t="n">
        <f aca="false">E521*H521</f>
        <v>754.282608696</v>
      </c>
      <c r="J521" s="17" t="n">
        <f aca="false">E521*SUMIFS('03_DESPIECE'!$I$2:$I$225,'03_DESPIECE'!$A$2:$A$225,B521,'03_DESPIECE'!$B$2:$B$225,C521)</f>
        <v>102.05</v>
      </c>
      <c r="K521" s="19" t="n">
        <f aca="false">E521*SUMIFS('03_DESPIECE'!$K$2:$K$225,'03_DESPIECE'!$A$2:$A$225,B521,'03_DESPIECE'!$B$2:$B$225,C521)</f>
        <v>4.513888889</v>
      </c>
      <c r="L521" s="5" t="n">
        <f aca="false">SUMIFS('03_DESPIECE'!$L$2:$L$225,'03_DESPIECE'!$A$2:$A$225,B521,'03_DESPIECE'!$B$2:$B$225,C521)</f>
        <v>1</v>
      </c>
      <c r="M521" s="2" t="s">
        <v>629</v>
      </c>
    </row>
    <row r="522" customFormat="false" ht="15" hidden="false" customHeight="false" outlineLevel="0" collapsed="false">
      <c r="A522" s="2" t="s">
        <v>603</v>
      </c>
      <c r="B522" s="2" t="s">
        <v>119</v>
      </c>
      <c r="C522" s="2" t="s">
        <v>322</v>
      </c>
      <c r="D522" s="2" t="s">
        <v>174</v>
      </c>
      <c r="E522" s="5" t="n">
        <f aca="false">INDEX('08_PEDIDOS'!$D$2:$D$97,MATCH(A522,'08_PEDIDOS'!$A$2:$A$97,0))</f>
        <v>10</v>
      </c>
      <c r="F522" s="5" t="n">
        <f aca="false">SUMIFS('03_DESPIECE'!$D$2:$D$225,'03_DESPIECE'!$A$2:$A$225,B522,'03_DESPIECE'!$B$2:$B$225,C522)</f>
        <v>2</v>
      </c>
      <c r="G522" s="5" t="n">
        <f aca="false">E522*F522</f>
        <v>20</v>
      </c>
      <c r="H522" s="16" t="n">
        <f aca="false">SUMIFS('03_DESPIECE'!$J$2:$J$225,'03_DESPIECE'!$A$2:$A$225,B522,'03_DESPIECE'!$B$2:$B$225,C522)</f>
        <v>58.0217391304</v>
      </c>
      <c r="I522" s="16" t="n">
        <f aca="false">E522*H522</f>
        <v>580.217391304</v>
      </c>
      <c r="J522" s="17" t="n">
        <f aca="false">E522*SUMIFS('03_DESPIECE'!$I$2:$I$225,'03_DESPIECE'!$A$2:$A$225,B522,'03_DESPIECE'!$B$2:$B$225,C522)</f>
        <v>78.5</v>
      </c>
      <c r="K522" s="19" t="n">
        <f aca="false">E522*SUMIFS('03_DESPIECE'!$K$2:$K$225,'03_DESPIECE'!$A$2:$A$225,B522,'03_DESPIECE'!$B$2:$B$225,C522)</f>
        <v>3.472222222</v>
      </c>
      <c r="L522" s="5" t="n">
        <f aca="false">SUMIFS('03_DESPIECE'!$L$2:$L$225,'03_DESPIECE'!$A$2:$A$225,B522,'03_DESPIECE'!$B$2:$B$225,C522)</f>
        <v>1</v>
      </c>
      <c r="M522" s="2" t="s">
        <v>629</v>
      </c>
    </row>
    <row r="523" customFormat="false" ht="15" hidden="false" customHeight="false" outlineLevel="0" collapsed="false">
      <c r="A523" s="2" t="s">
        <v>603</v>
      </c>
      <c r="B523" s="2" t="s">
        <v>119</v>
      </c>
      <c r="C523" s="2" t="s">
        <v>328</v>
      </c>
      <c r="D523" s="2" t="s">
        <v>174</v>
      </c>
      <c r="E523" s="5" t="n">
        <f aca="false">INDEX('08_PEDIDOS'!$D$2:$D$97,MATCH(A523,'08_PEDIDOS'!$A$2:$A$97,0))</f>
        <v>10</v>
      </c>
      <c r="F523" s="5" t="n">
        <f aca="false">SUMIFS('03_DESPIECE'!$D$2:$D$225,'03_DESPIECE'!$A$2:$A$225,B523,'03_DESPIECE'!$B$2:$B$225,C523)</f>
        <v>2</v>
      </c>
      <c r="G523" s="5" t="n">
        <f aca="false">E523*F523</f>
        <v>20</v>
      </c>
      <c r="H523" s="16" t="n">
        <f aca="false">SUMIFS('03_DESPIECE'!$J$2:$J$225,'03_DESPIECE'!$A$2:$A$225,B523,'03_DESPIECE'!$B$2:$B$225,C523)</f>
        <v>81.2304347826</v>
      </c>
      <c r="I523" s="16" t="n">
        <f aca="false">E523*H523</f>
        <v>812.304347826</v>
      </c>
      <c r="J523" s="17" t="n">
        <f aca="false">E523*SUMIFS('03_DESPIECE'!$I$2:$I$225,'03_DESPIECE'!$A$2:$A$225,B523,'03_DESPIECE'!$B$2:$B$225,C523)</f>
        <v>109.9</v>
      </c>
      <c r="K523" s="19" t="n">
        <f aca="false">E523*SUMIFS('03_DESPIECE'!$K$2:$K$225,'03_DESPIECE'!$A$2:$A$225,B523,'03_DESPIECE'!$B$2:$B$225,C523)</f>
        <v>4.861111111</v>
      </c>
      <c r="L523" s="5" t="n">
        <f aca="false">SUMIFS('03_DESPIECE'!$L$2:$L$225,'03_DESPIECE'!$A$2:$A$225,B523,'03_DESPIECE'!$B$2:$B$225,C523)</f>
        <v>1</v>
      </c>
      <c r="M523" s="2" t="s">
        <v>629</v>
      </c>
    </row>
    <row r="524" customFormat="false" ht="15" hidden="false" customHeight="false" outlineLevel="0" collapsed="false">
      <c r="A524" s="2" t="s">
        <v>603</v>
      </c>
      <c r="B524" s="2" t="s">
        <v>119</v>
      </c>
      <c r="C524" s="2" t="s">
        <v>310</v>
      </c>
      <c r="D524" s="2" t="s">
        <v>174</v>
      </c>
      <c r="E524" s="5" t="n">
        <f aca="false">INDEX('08_PEDIDOS'!$D$2:$D$97,MATCH(A524,'08_PEDIDOS'!$A$2:$A$97,0))</f>
        <v>10</v>
      </c>
      <c r="F524" s="5" t="n">
        <f aca="false">SUMIFS('03_DESPIECE'!$D$2:$D$225,'03_DESPIECE'!$A$2:$A$225,B524,'03_DESPIECE'!$B$2:$B$225,C524)</f>
        <v>3</v>
      </c>
      <c r="G524" s="5" t="n">
        <f aca="false">E524*F524</f>
        <v>30</v>
      </c>
      <c r="H524" s="16" t="n">
        <f aca="false">SUMIFS('03_DESPIECE'!$J$2:$J$225,'03_DESPIECE'!$A$2:$A$225,B524,'03_DESPIECE'!$B$2:$B$225,C524)</f>
        <v>83.5513043478</v>
      </c>
      <c r="I524" s="16" t="n">
        <f aca="false">E524*H524</f>
        <v>835.513043478</v>
      </c>
      <c r="J524" s="17" t="n">
        <f aca="false">E524*SUMIFS('03_DESPIECE'!$I$2:$I$225,'03_DESPIECE'!$A$2:$A$225,B524,'03_DESPIECE'!$B$2:$B$225,C524)</f>
        <v>113.04</v>
      </c>
      <c r="K524" s="19" t="n">
        <f aca="false">E524*SUMIFS('03_DESPIECE'!$K$2:$K$225,'03_DESPIECE'!$A$2:$A$225,B524,'03_DESPIECE'!$B$2:$B$225,C524)</f>
        <v>5</v>
      </c>
      <c r="L524" s="5" t="n">
        <f aca="false">SUMIFS('03_DESPIECE'!$L$2:$L$225,'03_DESPIECE'!$A$2:$A$225,B524,'03_DESPIECE'!$B$2:$B$225,C524)</f>
        <v>1</v>
      </c>
      <c r="M524" s="2" t="s">
        <v>629</v>
      </c>
    </row>
    <row r="525" customFormat="false" ht="15" hidden="false" customHeight="false" outlineLevel="0" collapsed="false">
      <c r="A525" s="2" t="s">
        <v>603</v>
      </c>
      <c r="B525" s="2" t="s">
        <v>119</v>
      </c>
      <c r="C525" s="2" t="s">
        <v>319</v>
      </c>
      <c r="D525" s="2" t="s">
        <v>188</v>
      </c>
      <c r="E525" s="5" t="n">
        <f aca="false">INDEX('08_PEDIDOS'!$D$2:$D$97,MATCH(A525,'08_PEDIDOS'!$A$2:$A$97,0))</f>
        <v>10</v>
      </c>
      <c r="F525" s="5" t="n">
        <f aca="false">SUMIFS('03_DESPIECE'!$D$2:$D$225,'03_DESPIECE'!$A$2:$A$225,B525,'03_DESPIECE'!$B$2:$B$225,C525)</f>
        <v>4</v>
      </c>
      <c r="G525" s="5" t="n">
        <f aca="false">E525*F525</f>
        <v>40</v>
      </c>
      <c r="H525" s="16" t="n">
        <f aca="false">SUMIFS('03_DESPIECE'!$J$2:$J$225,'03_DESPIECE'!$A$2:$A$225,B525,'03_DESPIECE'!$B$2:$B$225,C525)</f>
        <v>3.6</v>
      </c>
      <c r="I525" s="16" t="n">
        <f aca="false">E525*H525</f>
        <v>36</v>
      </c>
      <c r="J525" s="17" t="n">
        <f aca="false">E525*SUMIFS('03_DESPIECE'!$I$2:$I$225,'03_DESPIECE'!$A$2:$A$225,B525,'03_DESPIECE'!$B$2:$B$225,C525)</f>
        <v>0</v>
      </c>
      <c r="K525" s="19" t="n">
        <f aca="false">E525*SUMIFS('03_DESPIECE'!$K$2:$K$225,'03_DESPIECE'!$A$2:$A$225,B525,'03_DESPIECE'!$B$2:$B$225,C525)</f>
        <v>0</v>
      </c>
      <c r="L525" s="5" t="n">
        <f aca="false">SUMIFS('03_DESPIECE'!$L$2:$L$225,'03_DESPIECE'!$A$2:$A$225,B525,'03_DESPIECE'!$B$2:$B$225,C525)</f>
        <v>1</v>
      </c>
      <c r="M525" s="2" t="s">
        <v>629</v>
      </c>
    </row>
    <row r="526" customFormat="false" ht="15" hidden="false" customHeight="false" outlineLevel="0" collapsed="false">
      <c r="A526" s="2" t="s">
        <v>603</v>
      </c>
      <c r="B526" s="2" t="s">
        <v>119</v>
      </c>
      <c r="C526" s="2" t="s">
        <v>320</v>
      </c>
      <c r="D526" s="2" t="s">
        <v>188</v>
      </c>
      <c r="E526" s="5" t="n">
        <f aca="false">INDEX('08_PEDIDOS'!$D$2:$D$97,MATCH(A526,'08_PEDIDOS'!$A$2:$A$97,0))</f>
        <v>10</v>
      </c>
      <c r="F526" s="5" t="n">
        <f aca="false">SUMIFS('03_DESPIECE'!$D$2:$D$225,'03_DESPIECE'!$A$2:$A$225,B526,'03_DESPIECE'!$B$2:$B$225,C526)</f>
        <v>2</v>
      </c>
      <c r="G526" s="5" t="n">
        <f aca="false">E526*F526</f>
        <v>20</v>
      </c>
      <c r="H526" s="16" t="n">
        <f aca="false">SUMIFS('03_DESPIECE'!$J$2:$J$225,'03_DESPIECE'!$A$2:$A$225,B526,'03_DESPIECE'!$B$2:$B$225,C526)</f>
        <v>1.8</v>
      </c>
      <c r="I526" s="16" t="n">
        <f aca="false">E526*H526</f>
        <v>18</v>
      </c>
      <c r="J526" s="17" t="n">
        <f aca="false">E526*SUMIFS('03_DESPIECE'!$I$2:$I$225,'03_DESPIECE'!$A$2:$A$225,B526,'03_DESPIECE'!$B$2:$B$225,C526)</f>
        <v>0</v>
      </c>
      <c r="K526" s="19" t="n">
        <f aca="false">E526*SUMIFS('03_DESPIECE'!$K$2:$K$225,'03_DESPIECE'!$A$2:$A$225,B526,'03_DESPIECE'!$B$2:$B$225,C526)</f>
        <v>0</v>
      </c>
      <c r="L526" s="5" t="n">
        <f aca="false">SUMIFS('03_DESPIECE'!$L$2:$L$225,'03_DESPIECE'!$A$2:$A$225,B526,'03_DESPIECE'!$B$2:$B$225,C526)</f>
        <v>1</v>
      </c>
      <c r="M526" s="2" t="s">
        <v>629</v>
      </c>
    </row>
    <row r="527" customFormat="false" ht="15" hidden="false" customHeight="false" outlineLevel="0" collapsed="false">
      <c r="A527" s="2" t="s">
        <v>604</v>
      </c>
      <c r="B527" s="2" t="s">
        <v>121</v>
      </c>
      <c r="C527" s="2" t="s">
        <v>329</v>
      </c>
      <c r="D527" s="2" t="s">
        <v>184</v>
      </c>
      <c r="E527" s="5" t="n">
        <f aca="false">INDEX('08_PEDIDOS'!$D$2:$D$97,MATCH(A527,'08_PEDIDOS'!$A$2:$A$97,0))</f>
        <v>10</v>
      </c>
      <c r="F527" s="5" t="n">
        <f aca="false">SUMIFS('03_DESPIECE'!$D$2:$D$225,'03_DESPIECE'!$A$2:$A$225,B527,'03_DESPIECE'!$B$2:$B$225,C527)</f>
        <v>4</v>
      </c>
      <c r="G527" s="5" t="n">
        <f aca="false">E527*F527</f>
        <v>40</v>
      </c>
      <c r="H527" s="16" t="n">
        <f aca="false">SUMIFS('03_DESPIECE'!$J$2:$J$225,'03_DESPIECE'!$A$2:$A$225,B527,'03_DESPIECE'!$B$2:$B$225,C527)</f>
        <v>62.90625</v>
      </c>
      <c r="I527" s="16" t="n">
        <f aca="false">E527*H527</f>
        <v>629.0625</v>
      </c>
      <c r="J527" s="17" t="n">
        <f aca="false">E527*SUMIFS('03_DESPIECE'!$I$2:$I$225,'03_DESPIECE'!$A$2:$A$225,B527,'03_DESPIECE'!$B$2:$B$225,C527)</f>
        <v>99</v>
      </c>
      <c r="K527" s="19" t="n">
        <f aca="false">E527*SUMIFS('03_DESPIECE'!$K$2:$K$225,'03_DESPIECE'!$A$2:$A$225,B527,'03_DESPIECE'!$B$2:$B$225,C527)</f>
        <v>0</v>
      </c>
      <c r="L527" s="5" t="n">
        <f aca="false">SUMIFS('03_DESPIECE'!$L$2:$L$225,'03_DESPIECE'!$A$2:$A$225,B527,'03_DESPIECE'!$B$2:$B$225,C527)</f>
        <v>1</v>
      </c>
      <c r="M527" s="2" t="s">
        <v>629</v>
      </c>
    </row>
    <row r="528" customFormat="false" ht="15" hidden="false" customHeight="false" outlineLevel="0" collapsed="false">
      <c r="A528" s="2" t="s">
        <v>604</v>
      </c>
      <c r="B528" s="2" t="s">
        <v>121</v>
      </c>
      <c r="C528" s="2" t="s">
        <v>330</v>
      </c>
      <c r="D528" s="2" t="s">
        <v>184</v>
      </c>
      <c r="E528" s="5" t="n">
        <f aca="false">INDEX('08_PEDIDOS'!$D$2:$D$97,MATCH(A528,'08_PEDIDOS'!$A$2:$A$97,0))</f>
        <v>10</v>
      </c>
      <c r="F528" s="5" t="n">
        <f aca="false">SUMIFS('03_DESPIECE'!$D$2:$D$225,'03_DESPIECE'!$A$2:$A$225,B528,'03_DESPIECE'!$B$2:$B$225,C528)</f>
        <v>8</v>
      </c>
      <c r="G528" s="5" t="n">
        <f aca="false">E528*F528</f>
        <v>80</v>
      </c>
      <c r="H528" s="16" t="n">
        <f aca="false">SUMIFS('03_DESPIECE'!$J$2:$J$225,'03_DESPIECE'!$A$2:$A$225,B528,'03_DESPIECE'!$B$2:$B$225,C528)</f>
        <v>68.625</v>
      </c>
      <c r="I528" s="16" t="n">
        <f aca="false">E528*H528</f>
        <v>686.25</v>
      </c>
      <c r="J528" s="17" t="n">
        <f aca="false">E528*SUMIFS('03_DESPIECE'!$I$2:$I$225,'03_DESPIECE'!$A$2:$A$225,B528,'03_DESPIECE'!$B$2:$B$225,C528)</f>
        <v>108</v>
      </c>
      <c r="K528" s="19" t="n">
        <f aca="false">E528*SUMIFS('03_DESPIECE'!$K$2:$K$225,'03_DESPIECE'!$A$2:$A$225,B528,'03_DESPIECE'!$B$2:$B$225,C528)</f>
        <v>0</v>
      </c>
      <c r="L528" s="5" t="n">
        <f aca="false">SUMIFS('03_DESPIECE'!$L$2:$L$225,'03_DESPIECE'!$A$2:$A$225,B528,'03_DESPIECE'!$B$2:$B$225,C528)</f>
        <v>1</v>
      </c>
      <c r="M528" s="2" t="s">
        <v>629</v>
      </c>
    </row>
    <row r="529" customFormat="false" ht="15" hidden="false" customHeight="false" outlineLevel="0" collapsed="false">
      <c r="A529" s="2" t="s">
        <v>604</v>
      </c>
      <c r="B529" s="2" t="s">
        <v>121</v>
      </c>
      <c r="C529" s="2" t="s">
        <v>310</v>
      </c>
      <c r="D529" s="2" t="s">
        <v>174</v>
      </c>
      <c r="E529" s="5" t="n">
        <f aca="false">INDEX('08_PEDIDOS'!$D$2:$D$97,MATCH(A529,'08_PEDIDOS'!$A$2:$A$97,0))</f>
        <v>10</v>
      </c>
      <c r="F529" s="5" t="n">
        <f aca="false">SUMIFS('03_DESPIECE'!$D$2:$D$225,'03_DESPIECE'!$A$2:$A$225,B529,'03_DESPIECE'!$B$2:$B$225,C529)</f>
        <v>5</v>
      </c>
      <c r="G529" s="5" t="n">
        <f aca="false">E529*F529</f>
        <v>50</v>
      </c>
      <c r="H529" s="16" t="n">
        <f aca="false">SUMIFS('03_DESPIECE'!$J$2:$J$225,'03_DESPIECE'!$A$2:$A$225,B529,'03_DESPIECE'!$B$2:$B$225,C529)</f>
        <v>116.0434782609</v>
      </c>
      <c r="I529" s="16" t="n">
        <f aca="false">E529*H529</f>
        <v>1160.434782609</v>
      </c>
      <c r="J529" s="17" t="n">
        <f aca="false">E529*SUMIFS('03_DESPIECE'!$I$2:$I$225,'03_DESPIECE'!$A$2:$A$225,B529,'03_DESPIECE'!$B$2:$B$225,C529)</f>
        <v>157</v>
      </c>
      <c r="K529" s="19" t="n">
        <f aca="false">E529*SUMIFS('03_DESPIECE'!$K$2:$K$225,'03_DESPIECE'!$A$2:$A$225,B529,'03_DESPIECE'!$B$2:$B$225,C529)</f>
        <v>6.944444444</v>
      </c>
      <c r="L529" s="5" t="n">
        <f aca="false">SUMIFS('03_DESPIECE'!$L$2:$L$225,'03_DESPIECE'!$A$2:$A$225,B529,'03_DESPIECE'!$B$2:$B$225,C529)</f>
        <v>1</v>
      </c>
      <c r="M529" s="2" t="s">
        <v>629</v>
      </c>
    </row>
    <row r="530" customFormat="false" ht="15" hidden="false" customHeight="false" outlineLevel="0" collapsed="false">
      <c r="A530" s="2" t="s">
        <v>604</v>
      </c>
      <c r="B530" s="2" t="s">
        <v>121</v>
      </c>
      <c r="C530" s="2" t="s">
        <v>331</v>
      </c>
      <c r="D530" s="2" t="s">
        <v>174</v>
      </c>
      <c r="E530" s="5" t="n">
        <f aca="false">INDEX('08_PEDIDOS'!$D$2:$D$97,MATCH(A530,'08_PEDIDOS'!$A$2:$A$97,0))</f>
        <v>10</v>
      </c>
      <c r="F530" s="5" t="n">
        <f aca="false">SUMIFS('03_DESPIECE'!$D$2:$D$225,'03_DESPIECE'!$A$2:$A$225,B530,'03_DESPIECE'!$B$2:$B$225,C530)</f>
        <v>8</v>
      </c>
      <c r="G530" s="5" t="n">
        <f aca="false">E530*F530</f>
        <v>80</v>
      </c>
      <c r="H530" s="16" t="n">
        <f aca="false">SUMIFS('03_DESPIECE'!$J$2:$J$225,'03_DESPIECE'!$A$2:$A$225,B530,'03_DESPIECE'!$B$2:$B$225,C530)</f>
        <v>16.2460869565</v>
      </c>
      <c r="I530" s="16" t="n">
        <f aca="false">E530*H530</f>
        <v>162.460869565</v>
      </c>
      <c r="J530" s="17" t="n">
        <f aca="false">E530*SUMIFS('03_DESPIECE'!$I$2:$I$225,'03_DESPIECE'!$A$2:$A$225,B530,'03_DESPIECE'!$B$2:$B$225,C530)</f>
        <v>21.98</v>
      </c>
      <c r="K530" s="19" t="n">
        <f aca="false">E530*SUMIFS('03_DESPIECE'!$K$2:$K$225,'03_DESPIECE'!$A$2:$A$225,B530,'03_DESPIECE'!$B$2:$B$225,C530)</f>
        <v>0.972222222</v>
      </c>
      <c r="L530" s="5" t="n">
        <f aca="false">SUMIFS('03_DESPIECE'!$L$2:$L$225,'03_DESPIECE'!$A$2:$A$225,B530,'03_DESPIECE'!$B$2:$B$225,C530)</f>
        <v>1</v>
      </c>
      <c r="M530" s="2" t="s">
        <v>629</v>
      </c>
    </row>
    <row r="531" customFormat="false" ht="15" hidden="false" customHeight="false" outlineLevel="0" collapsed="false">
      <c r="A531" s="2" t="s">
        <v>604</v>
      </c>
      <c r="B531" s="2" t="s">
        <v>121</v>
      </c>
      <c r="C531" s="2" t="s">
        <v>332</v>
      </c>
      <c r="D531" s="2" t="s">
        <v>188</v>
      </c>
      <c r="E531" s="5" t="n">
        <f aca="false">INDEX('08_PEDIDOS'!$D$2:$D$97,MATCH(A531,'08_PEDIDOS'!$A$2:$A$97,0))</f>
        <v>10</v>
      </c>
      <c r="F531" s="5" t="n">
        <f aca="false">SUMIFS('03_DESPIECE'!$D$2:$D$225,'03_DESPIECE'!$A$2:$A$225,B531,'03_DESPIECE'!$B$2:$B$225,C531)</f>
        <v>32</v>
      </c>
      <c r="G531" s="5" t="n">
        <f aca="false">E531*F531</f>
        <v>320</v>
      </c>
      <c r="H531" s="16" t="n">
        <f aca="false">SUMIFS('03_DESPIECE'!$J$2:$J$225,'03_DESPIECE'!$A$2:$A$225,B531,'03_DESPIECE'!$B$2:$B$225,C531)</f>
        <v>28.8</v>
      </c>
      <c r="I531" s="16" t="n">
        <f aca="false">E531*H531</f>
        <v>288</v>
      </c>
      <c r="J531" s="17" t="n">
        <f aca="false">E531*SUMIFS('03_DESPIECE'!$I$2:$I$225,'03_DESPIECE'!$A$2:$A$225,B531,'03_DESPIECE'!$B$2:$B$225,C531)</f>
        <v>0</v>
      </c>
      <c r="K531" s="19" t="n">
        <f aca="false">E531*SUMIFS('03_DESPIECE'!$K$2:$K$225,'03_DESPIECE'!$A$2:$A$225,B531,'03_DESPIECE'!$B$2:$B$225,C531)</f>
        <v>0</v>
      </c>
      <c r="L531" s="5" t="n">
        <f aca="false">SUMIFS('03_DESPIECE'!$L$2:$L$225,'03_DESPIECE'!$A$2:$A$225,B531,'03_DESPIECE'!$B$2:$B$225,C531)</f>
        <v>1</v>
      </c>
      <c r="M531" s="2" t="s">
        <v>629</v>
      </c>
    </row>
    <row r="532" customFormat="false" ht="15" hidden="false" customHeight="false" outlineLevel="0" collapsed="false">
      <c r="A532" s="2" t="s">
        <v>605</v>
      </c>
      <c r="B532" s="2" t="s">
        <v>80</v>
      </c>
      <c r="C532" s="2" t="s">
        <v>285</v>
      </c>
      <c r="D532" s="2" t="s">
        <v>184</v>
      </c>
      <c r="E532" s="5" t="n">
        <f aca="false">INDEX('08_PEDIDOS'!$D$2:$D$97,MATCH(A532,'08_PEDIDOS'!$A$2:$A$97,0))</f>
        <v>11</v>
      </c>
      <c r="F532" s="5" t="n">
        <f aca="false">SUMIFS('03_DESPIECE'!$D$2:$D$225,'03_DESPIECE'!$A$2:$A$225,B532,'03_DESPIECE'!$B$2:$B$225,C532)</f>
        <v>4</v>
      </c>
      <c r="G532" s="5" t="n">
        <f aca="false">E532*F532</f>
        <v>44</v>
      </c>
      <c r="H532" s="16" t="n">
        <f aca="false">SUMIFS('03_DESPIECE'!$J$2:$J$225,'03_DESPIECE'!$A$2:$A$225,B532,'03_DESPIECE'!$B$2:$B$225,C532)</f>
        <v>68.625</v>
      </c>
      <c r="I532" s="16" t="n">
        <f aca="false">E532*H532</f>
        <v>754.875</v>
      </c>
      <c r="J532" s="17" t="n">
        <f aca="false">E532*SUMIFS('03_DESPIECE'!$I$2:$I$225,'03_DESPIECE'!$A$2:$A$225,B532,'03_DESPIECE'!$B$2:$B$225,C532)</f>
        <v>118.8</v>
      </c>
      <c r="K532" s="19" t="n">
        <f aca="false">E532*SUMIFS('03_DESPIECE'!$K$2:$K$225,'03_DESPIECE'!$A$2:$A$225,B532,'03_DESPIECE'!$B$2:$B$225,C532)</f>
        <v>0</v>
      </c>
      <c r="L532" s="5" t="n">
        <f aca="false">SUMIFS('03_DESPIECE'!$L$2:$L$225,'03_DESPIECE'!$A$2:$A$225,B532,'03_DESPIECE'!$B$2:$B$225,C532)</f>
        <v>1</v>
      </c>
      <c r="M532" s="2" t="s">
        <v>629</v>
      </c>
    </row>
    <row r="533" customFormat="false" ht="15" hidden="false" customHeight="false" outlineLevel="0" collapsed="false">
      <c r="A533" s="2" t="s">
        <v>605</v>
      </c>
      <c r="B533" s="2" t="s">
        <v>80</v>
      </c>
      <c r="C533" s="2" t="s">
        <v>287</v>
      </c>
      <c r="D533" s="2" t="s">
        <v>184</v>
      </c>
      <c r="E533" s="5" t="n">
        <f aca="false">INDEX('08_PEDIDOS'!$D$2:$D$97,MATCH(A533,'08_PEDIDOS'!$A$2:$A$97,0))</f>
        <v>11</v>
      </c>
      <c r="F533" s="5" t="n">
        <f aca="false">SUMIFS('03_DESPIECE'!$D$2:$D$225,'03_DESPIECE'!$A$2:$A$225,B533,'03_DESPIECE'!$B$2:$B$225,C533)</f>
        <v>8</v>
      </c>
      <c r="G533" s="5" t="n">
        <f aca="false">E533*F533</f>
        <v>88</v>
      </c>
      <c r="H533" s="16" t="n">
        <f aca="false">SUMIFS('03_DESPIECE'!$J$2:$J$225,'03_DESPIECE'!$A$2:$A$225,B533,'03_DESPIECE'!$B$2:$B$225,C533)</f>
        <v>91.5</v>
      </c>
      <c r="I533" s="16" t="n">
        <f aca="false">E533*H533</f>
        <v>1006.5</v>
      </c>
      <c r="J533" s="17" t="n">
        <f aca="false">E533*SUMIFS('03_DESPIECE'!$I$2:$I$225,'03_DESPIECE'!$A$2:$A$225,B533,'03_DESPIECE'!$B$2:$B$225,C533)</f>
        <v>158.4</v>
      </c>
      <c r="K533" s="19" t="n">
        <f aca="false">E533*SUMIFS('03_DESPIECE'!$K$2:$K$225,'03_DESPIECE'!$A$2:$A$225,B533,'03_DESPIECE'!$B$2:$B$225,C533)</f>
        <v>0</v>
      </c>
      <c r="L533" s="5" t="n">
        <f aca="false">SUMIFS('03_DESPIECE'!$L$2:$L$225,'03_DESPIECE'!$A$2:$A$225,B533,'03_DESPIECE'!$B$2:$B$225,C533)</f>
        <v>1</v>
      </c>
      <c r="M533" s="2" t="s">
        <v>629</v>
      </c>
    </row>
    <row r="534" customFormat="false" ht="15" hidden="false" customHeight="false" outlineLevel="0" collapsed="false">
      <c r="A534" s="2" t="s">
        <v>605</v>
      </c>
      <c r="B534" s="2" t="s">
        <v>80</v>
      </c>
      <c r="C534" s="2" t="s">
        <v>288</v>
      </c>
      <c r="D534" s="2" t="s">
        <v>184</v>
      </c>
      <c r="E534" s="5" t="n">
        <f aca="false">INDEX('08_PEDIDOS'!$D$2:$D$97,MATCH(A534,'08_PEDIDOS'!$A$2:$A$97,0))</f>
        <v>11</v>
      </c>
      <c r="F534" s="5" t="n">
        <f aca="false">SUMIFS('03_DESPIECE'!$D$2:$D$225,'03_DESPIECE'!$A$2:$A$225,B534,'03_DESPIECE'!$B$2:$B$225,C534)</f>
        <v>4</v>
      </c>
      <c r="G534" s="5" t="n">
        <f aca="false">E534*F534</f>
        <v>44</v>
      </c>
      <c r="H534" s="16" t="n">
        <f aca="false">SUMIFS('03_DESPIECE'!$J$2:$J$225,'03_DESPIECE'!$A$2:$A$225,B534,'03_DESPIECE'!$B$2:$B$225,C534)</f>
        <v>22.875</v>
      </c>
      <c r="I534" s="16" t="n">
        <f aca="false">E534*H534</f>
        <v>251.625</v>
      </c>
      <c r="J534" s="17" t="n">
        <f aca="false">E534*SUMIFS('03_DESPIECE'!$I$2:$I$225,'03_DESPIECE'!$A$2:$A$225,B534,'03_DESPIECE'!$B$2:$B$225,C534)</f>
        <v>39.6</v>
      </c>
      <c r="K534" s="19" t="n">
        <f aca="false">E534*SUMIFS('03_DESPIECE'!$K$2:$K$225,'03_DESPIECE'!$A$2:$A$225,B534,'03_DESPIECE'!$B$2:$B$225,C534)</f>
        <v>0</v>
      </c>
      <c r="L534" s="5" t="n">
        <f aca="false">SUMIFS('03_DESPIECE'!$L$2:$L$225,'03_DESPIECE'!$A$2:$A$225,B534,'03_DESPIECE'!$B$2:$B$225,C534)</f>
        <v>1</v>
      </c>
      <c r="M534" s="2" t="s">
        <v>629</v>
      </c>
    </row>
    <row r="535" customFormat="false" ht="15" hidden="false" customHeight="false" outlineLevel="0" collapsed="false">
      <c r="A535" s="2" t="s">
        <v>605</v>
      </c>
      <c r="B535" s="2" t="s">
        <v>80</v>
      </c>
      <c r="C535" s="2" t="s">
        <v>289</v>
      </c>
      <c r="D535" s="2" t="s">
        <v>170</v>
      </c>
      <c r="E535" s="5" t="n">
        <f aca="false">INDEX('08_PEDIDOS'!$D$2:$D$97,MATCH(A535,'08_PEDIDOS'!$A$2:$A$97,0))</f>
        <v>11</v>
      </c>
      <c r="F535" s="5" t="n">
        <f aca="false">SUMIFS('03_DESPIECE'!$D$2:$D$225,'03_DESPIECE'!$A$2:$A$225,B535,'03_DESPIECE'!$B$2:$B$225,C535)</f>
        <v>4</v>
      </c>
      <c r="G535" s="5" t="n">
        <f aca="false">E535*F535</f>
        <v>44</v>
      </c>
      <c r="H535" s="16" t="n">
        <f aca="false">SUMIFS('03_DESPIECE'!$J$2:$J$225,'03_DESPIECE'!$A$2:$A$225,B535,'03_DESPIECE'!$B$2:$B$225,C535)</f>
        <v>334.2052173913</v>
      </c>
      <c r="I535" s="16" t="n">
        <f aca="false">E535*H535</f>
        <v>3676.2573913043</v>
      </c>
      <c r="J535" s="17" t="n">
        <f aca="false">E535*SUMIFS('03_DESPIECE'!$I$2:$I$225,'03_DESPIECE'!$A$2:$A$225,B535,'03_DESPIECE'!$B$2:$B$225,C535)</f>
        <v>497.376</v>
      </c>
      <c r="K535" s="19" t="n">
        <f aca="false">E535*SUMIFS('03_DESPIECE'!$K$2:$K$225,'03_DESPIECE'!$A$2:$A$225,B535,'03_DESPIECE'!$B$2:$B$225,C535)</f>
        <v>11</v>
      </c>
      <c r="L535" s="5" t="n">
        <f aca="false">SUMIFS('03_DESPIECE'!$L$2:$L$225,'03_DESPIECE'!$A$2:$A$225,B535,'03_DESPIECE'!$B$2:$B$225,C535)</f>
        <v>1</v>
      </c>
      <c r="M535" s="2" t="s">
        <v>629</v>
      </c>
    </row>
    <row r="536" customFormat="false" ht="15" hidden="false" customHeight="false" outlineLevel="0" collapsed="false">
      <c r="A536" s="2" t="s">
        <v>605</v>
      </c>
      <c r="B536" s="2" t="s">
        <v>80</v>
      </c>
      <c r="C536" s="2" t="s">
        <v>291</v>
      </c>
      <c r="D536" s="2" t="s">
        <v>170</v>
      </c>
      <c r="E536" s="5" t="n">
        <f aca="false">INDEX('08_PEDIDOS'!$D$2:$D$97,MATCH(A536,'08_PEDIDOS'!$A$2:$A$97,0))</f>
        <v>11</v>
      </c>
      <c r="F536" s="5" t="n">
        <f aca="false">SUMIFS('03_DESPIECE'!$D$2:$D$225,'03_DESPIECE'!$A$2:$A$225,B536,'03_DESPIECE'!$B$2:$B$225,C536)</f>
        <v>8</v>
      </c>
      <c r="G536" s="5" t="n">
        <f aca="false">E536*F536</f>
        <v>88</v>
      </c>
      <c r="H536" s="16" t="n">
        <f aca="false">SUMIFS('03_DESPIECE'!$J$2:$J$225,'03_DESPIECE'!$A$2:$A$225,B536,'03_DESPIECE'!$B$2:$B$225,C536)</f>
        <v>23.2086956522</v>
      </c>
      <c r="I536" s="16" t="n">
        <f aca="false">E536*H536</f>
        <v>255.2956521742</v>
      </c>
      <c r="J536" s="17" t="n">
        <f aca="false">E536*SUMIFS('03_DESPIECE'!$I$2:$I$225,'03_DESPIECE'!$A$2:$A$225,B536,'03_DESPIECE'!$B$2:$B$225,C536)</f>
        <v>34.54</v>
      </c>
      <c r="K536" s="19" t="n">
        <f aca="false">E536*SUMIFS('03_DESPIECE'!$K$2:$K$225,'03_DESPIECE'!$A$2:$A$225,B536,'03_DESPIECE'!$B$2:$B$225,C536)</f>
        <v>0.7638888884</v>
      </c>
      <c r="L536" s="5" t="n">
        <f aca="false">SUMIFS('03_DESPIECE'!$L$2:$L$225,'03_DESPIECE'!$A$2:$A$225,B536,'03_DESPIECE'!$B$2:$B$225,C536)</f>
        <v>1</v>
      </c>
      <c r="M536" s="2" t="s">
        <v>629</v>
      </c>
    </row>
    <row r="537" customFormat="false" ht="15" hidden="false" customHeight="false" outlineLevel="0" collapsed="false">
      <c r="A537" s="2" t="s">
        <v>605</v>
      </c>
      <c r="B537" s="2" t="s">
        <v>80</v>
      </c>
      <c r="C537" s="2" t="s">
        <v>292</v>
      </c>
      <c r="D537" s="2" t="s">
        <v>188</v>
      </c>
      <c r="E537" s="5" t="n">
        <f aca="false">INDEX('08_PEDIDOS'!$D$2:$D$97,MATCH(A537,'08_PEDIDOS'!$A$2:$A$97,0))</f>
        <v>11</v>
      </c>
      <c r="F537" s="5" t="n">
        <f aca="false">SUMIFS('03_DESPIECE'!$D$2:$D$225,'03_DESPIECE'!$A$2:$A$225,B537,'03_DESPIECE'!$B$2:$B$225,C537)</f>
        <v>24</v>
      </c>
      <c r="G537" s="5" t="n">
        <f aca="false">E537*F537</f>
        <v>264</v>
      </c>
      <c r="H537" s="16" t="n">
        <f aca="false">SUMIFS('03_DESPIECE'!$J$2:$J$225,'03_DESPIECE'!$A$2:$A$225,B537,'03_DESPIECE'!$B$2:$B$225,C537)</f>
        <v>21.6</v>
      </c>
      <c r="I537" s="16" t="n">
        <f aca="false">E537*H537</f>
        <v>237.6</v>
      </c>
      <c r="J537" s="17" t="n">
        <f aca="false">E537*SUMIFS('03_DESPIECE'!$I$2:$I$225,'03_DESPIECE'!$A$2:$A$225,B537,'03_DESPIECE'!$B$2:$B$225,C537)</f>
        <v>0</v>
      </c>
      <c r="K537" s="19" t="n">
        <f aca="false">E537*SUMIFS('03_DESPIECE'!$K$2:$K$225,'03_DESPIECE'!$A$2:$A$225,B537,'03_DESPIECE'!$B$2:$B$225,C537)</f>
        <v>0</v>
      </c>
      <c r="L537" s="5" t="n">
        <f aca="false">SUMIFS('03_DESPIECE'!$L$2:$L$225,'03_DESPIECE'!$A$2:$A$225,B537,'03_DESPIECE'!$B$2:$B$225,C537)</f>
        <v>1</v>
      </c>
      <c r="M537" s="2" t="s">
        <v>629</v>
      </c>
    </row>
    <row r="538" customFormat="false" ht="15" hidden="false" customHeight="false" outlineLevel="0" collapsed="false">
      <c r="A538" s="2" t="s">
        <v>605</v>
      </c>
      <c r="B538" s="2" t="s">
        <v>80</v>
      </c>
      <c r="C538" s="2" t="s">
        <v>294</v>
      </c>
      <c r="D538" s="2" t="s">
        <v>188</v>
      </c>
      <c r="E538" s="5" t="n">
        <f aca="false">INDEX('08_PEDIDOS'!$D$2:$D$97,MATCH(A538,'08_PEDIDOS'!$A$2:$A$97,0))</f>
        <v>11</v>
      </c>
      <c r="F538" s="5" t="n">
        <f aca="false">SUMIFS('03_DESPIECE'!$D$2:$D$225,'03_DESPIECE'!$A$2:$A$225,B538,'03_DESPIECE'!$B$2:$B$225,C538)</f>
        <v>4</v>
      </c>
      <c r="G538" s="5" t="n">
        <f aca="false">E538*F538</f>
        <v>44</v>
      </c>
      <c r="H538" s="16" t="n">
        <f aca="false">SUMIFS('03_DESPIECE'!$J$2:$J$225,'03_DESPIECE'!$A$2:$A$225,B538,'03_DESPIECE'!$B$2:$B$225,C538)</f>
        <v>3.6</v>
      </c>
      <c r="I538" s="16" t="n">
        <f aca="false">E538*H538</f>
        <v>39.6</v>
      </c>
      <c r="J538" s="17" t="n">
        <f aca="false">E538*SUMIFS('03_DESPIECE'!$I$2:$I$225,'03_DESPIECE'!$A$2:$A$225,B538,'03_DESPIECE'!$B$2:$B$225,C538)</f>
        <v>0</v>
      </c>
      <c r="K538" s="19" t="n">
        <f aca="false">E538*SUMIFS('03_DESPIECE'!$K$2:$K$225,'03_DESPIECE'!$A$2:$A$225,B538,'03_DESPIECE'!$B$2:$B$225,C538)</f>
        <v>0</v>
      </c>
      <c r="L538" s="5" t="n">
        <f aca="false">SUMIFS('03_DESPIECE'!$L$2:$L$225,'03_DESPIECE'!$A$2:$A$225,B538,'03_DESPIECE'!$B$2:$B$225,C538)</f>
        <v>1</v>
      </c>
      <c r="M538" s="2" t="s">
        <v>629</v>
      </c>
    </row>
    <row r="539" customFormat="false" ht="15" hidden="false" customHeight="false" outlineLevel="0" collapsed="false">
      <c r="A539" s="2" t="s">
        <v>606</v>
      </c>
      <c r="B539" s="2" t="s">
        <v>83</v>
      </c>
      <c r="C539" s="2" t="s">
        <v>295</v>
      </c>
      <c r="D539" s="2" t="s">
        <v>184</v>
      </c>
      <c r="E539" s="5" t="n">
        <f aca="false">INDEX('08_PEDIDOS'!$D$2:$D$97,MATCH(A539,'08_PEDIDOS'!$A$2:$A$97,0))</f>
        <v>12</v>
      </c>
      <c r="F539" s="5" t="n">
        <f aca="false">SUMIFS('03_DESPIECE'!$D$2:$D$225,'03_DESPIECE'!$A$2:$A$225,B539,'03_DESPIECE'!$B$2:$B$225,C539)</f>
        <v>4</v>
      </c>
      <c r="G539" s="5" t="n">
        <f aca="false">E539*F539</f>
        <v>48</v>
      </c>
      <c r="H539" s="16" t="n">
        <f aca="false">SUMIFS('03_DESPIECE'!$J$2:$J$225,'03_DESPIECE'!$A$2:$A$225,B539,'03_DESPIECE'!$B$2:$B$225,C539)</f>
        <v>76.25</v>
      </c>
      <c r="I539" s="16" t="n">
        <f aca="false">E539*H539</f>
        <v>915</v>
      </c>
      <c r="J539" s="17" t="n">
        <f aca="false">E539*SUMIFS('03_DESPIECE'!$I$2:$I$225,'03_DESPIECE'!$A$2:$A$225,B539,'03_DESPIECE'!$B$2:$B$225,C539)</f>
        <v>144</v>
      </c>
      <c r="K539" s="19" t="n">
        <f aca="false">E539*SUMIFS('03_DESPIECE'!$K$2:$K$225,'03_DESPIECE'!$A$2:$A$225,B539,'03_DESPIECE'!$B$2:$B$225,C539)</f>
        <v>0</v>
      </c>
      <c r="L539" s="5" t="n">
        <f aca="false">SUMIFS('03_DESPIECE'!$L$2:$L$225,'03_DESPIECE'!$A$2:$A$225,B539,'03_DESPIECE'!$B$2:$B$225,C539)</f>
        <v>1</v>
      </c>
      <c r="M539" s="2" t="s">
        <v>629</v>
      </c>
    </row>
    <row r="540" customFormat="false" ht="15" hidden="false" customHeight="false" outlineLevel="0" collapsed="false">
      <c r="A540" s="2" t="s">
        <v>606</v>
      </c>
      <c r="B540" s="2" t="s">
        <v>83</v>
      </c>
      <c r="C540" s="2" t="s">
        <v>296</v>
      </c>
      <c r="D540" s="2" t="s">
        <v>184</v>
      </c>
      <c r="E540" s="5" t="n">
        <f aca="false">INDEX('08_PEDIDOS'!$D$2:$D$97,MATCH(A540,'08_PEDIDOS'!$A$2:$A$97,0))</f>
        <v>12</v>
      </c>
      <c r="F540" s="5" t="n">
        <f aca="false">SUMIFS('03_DESPIECE'!$D$2:$D$225,'03_DESPIECE'!$A$2:$A$225,B540,'03_DESPIECE'!$B$2:$B$225,C540)</f>
        <v>8</v>
      </c>
      <c r="G540" s="5" t="n">
        <f aca="false">E540*F540</f>
        <v>96</v>
      </c>
      <c r="H540" s="16" t="n">
        <f aca="false">SUMIFS('03_DESPIECE'!$J$2:$J$225,'03_DESPIECE'!$A$2:$A$225,B540,'03_DESPIECE'!$B$2:$B$225,C540)</f>
        <v>76.25</v>
      </c>
      <c r="I540" s="16" t="n">
        <f aca="false">E540*H540</f>
        <v>915</v>
      </c>
      <c r="J540" s="17" t="n">
        <f aca="false">E540*SUMIFS('03_DESPIECE'!$I$2:$I$225,'03_DESPIECE'!$A$2:$A$225,B540,'03_DESPIECE'!$B$2:$B$225,C540)</f>
        <v>144</v>
      </c>
      <c r="K540" s="19" t="n">
        <f aca="false">E540*SUMIFS('03_DESPIECE'!$K$2:$K$225,'03_DESPIECE'!$A$2:$A$225,B540,'03_DESPIECE'!$B$2:$B$225,C540)</f>
        <v>0</v>
      </c>
      <c r="L540" s="5" t="n">
        <f aca="false">SUMIFS('03_DESPIECE'!$L$2:$L$225,'03_DESPIECE'!$A$2:$A$225,B540,'03_DESPIECE'!$B$2:$B$225,C540)</f>
        <v>1</v>
      </c>
      <c r="M540" s="2" t="s">
        <v>629</v>
      </c>
    </row>
    <row r="541" customFormat="false" ht="15" hidden="false" customHeight="false" outlineLevel="0" collapsed="false">
      <c r="A541" s="2" t="s">
        <v>606</v>
      </c>
      <c r="B541" s="2" t="s">
        <v>83</v>
      </c>
      <c r="C541" s="2" t="s">
        <v>297</v>
      </c>
      <c r="D541" s="2" t="s">
        <v>184</v>
      </c>
      <c r="E541" s="5" t="n">
        <f aca="false">INDEX('08_PEDIDOS'!$D$2:$D$97,MATCH(A541,'08_PEDIDOS'!$A$2:$A$97,0))</f>
        <v>12</v>
      </c>
      <c r="F541" s="5" t="n">
        <f aca="false">SUMIFS('03_DESPIECE'!$D$2:$D$225,'03_DESPIECE'!$A$2:$A$225,B541,'03_DESPIECE'!$B$2:$B$225,C541)</f>
        <v>8</v>
      </c>
      <c r="G541" s="5" t="n">
        <f aca="false">E541*F541</f>
        <v>96</v>
      </c>
      <c r="H541" s="16" t="n">
        <f aca="false">SUMIFS('03_DESPIECE'!$J$2:$J$225,'03_DESPIECE'!$A$2:$A$225,B541,'03_DESPIECE'!$B$2:$B$225,C541)</f>
        <v>38.125</v>
      </c>
      <c r="I541" s="16" t="n">
        <f aca="false">E541*H541</f>
        <v>457.5</v>
      </c>
      <c r="J541" s="17" t="n">
        <f aca="false">E541*SUMIFS('03_DESPIECE'!$I$2:$I$225,'03_DESPIECE'!$A$2:$A$225,B541,'03_DESPIECE'!$B$2:$B$225,C541)</f>
        <v>72</v>
      </c>
      <c r="K541" s="19" t="n">
        <f aca="false">E541*SUMIFS('03_DESPIECE'!$K$2:$K$225,'03_DESPIECE'!$A$2:$A$225,B541,'03_DESPIECE'!$B$2:$B$225,C541)</f>
        <v>0</v>
      </c>
      <c r="L541" s="5" t="n">
        <f aca="false">SUMIFS('03_DESPIECE'!$L$2:$L$225,'03_DESPIECE'!$A$2:$A$225,B541,'03_DESPIECE'!$B$2:$B$225,C541)</f>
        <v>1</v>
      </c>
      <c r="M541" s="2" t="s">
        <v>629</v>
      </c>
    </row>
    <row r="542" customFormat="false" ht="15" hidden="false" customHeight="false" outlineLevel="0" collapsed="false">
      <c r="A542" s="2" t="s">
        <v>606</v>
      </c>
      <c r="B542" s="2" t="s">
        <v>83</v>
      </c>
      <c r="C542" s="2" t="s">
        <v>298</v>
      </c>
      <c r="D542" s="2" t="s">
        <v>170</v>
      </c>
      <c r="E542" s="5" t="n">
        <f aca="false">INDEX('08_PEDIDOS'!$D$2:$D$97,MATCH(A542,'08_PEDIDOS'!$A$2:$A$97,0))</f>
        <v>12</v>
      </c>
      <c r="F542" s="5" t="n">
        <f aca="false">SUMIFS('03_DESPIECE'!$D$2:$D$225,'03_DESPIECE'!$A$2:$A$225,B542,'03_DESPIECE'!$B$2:$B$225,C542)</f>
        <v>5</v>
      </c>
      <c r="G542" s="5" t="n">
        <f aca="false">E542*F542</f>
        <v>60</v>
      </c>
      <c r="H542" s="16" t="n">
        <f aca="false">SUMIFS('03_DESPIECE'!$J$2:$J$225,'03_DESPIECE'!$A$2:$A$225,B542,'03_DESPIECE'!$B$2:$B$225,C542)</f>
        <v>290.1086956522</v>
      </c>
      <c r="I542" s="16" t="n">
        <f aca="false">E542*H542</f>
        <v>3481.3043478264</v>
      </c>
      <c r="J542" s="17" t="n">
        <f aca="false">E542*SUMIFS('03_DESPIECE'!$I$2:$I$225,'03_DESPIECE'!$A$2:$A$225,B542,'03_DESPIECE'!$B$2:$B$225,C542)</f>
        <v>471</v>
      </c>
      <c r="K542" s="19" t="n">
        <f aca="false">E542*SUMIFS('03_DESPIECE'!$K$2:$K$225,'03_DESPIECE'!$A$2:$A$225,B542,'03_DESPIECE'!$B$2:$B$225,C542)</f>
        <v>10.4166666672</v>
      </c>
      <c r="L542" s="5" t="n">
        <f aca="false">SUMIFS('03_DESPIECE'!$L$2:$L$225,'03_DESPIECE'!$A$2:$A$225,B542,'03_DESPIECE'!$B$2:$B$225,C542)</f>
        <v>1</v>
      </c>
      <c r="M542" s="2" t="s">
        <v>629</v>
      </c>
    </row>
    <row r="543" customFormat="false" ht="15" hidden="false" customHeight="false" outlineLevel="0" collapsed="false">
      <c r="A543" s="2" t="s">
        <v>606</v>
      </c>
      <c r="B543" s="2" t="s">
        <v>83</v>
      </c>
      <c r="C543" s="2" t="s">
        <v>299</v>
      </c>
      <c r="D543" s="2" t="s">
        <v>170</v>
      </c>
      <c r="E543" s="5" t="n">
        <f aca="false">INDEX('08_PEDIDOS'!$D$2:$D$97,MATCH(A543,'08_PEDIDOS'!$A$2:$A$97,0))</f>
        <v>12</v>
      </c>
      <c r="F543" s="5" t="n">
        <f aca="false">SUMIFS('03_DESPIECE'!$D$2:$D$225,'03_DESPIECE'!$A$2:$A$225,B543,'03_DESPIECE'!$B$2:$B$225,C543)</f>
        <v>8</v>
      </c>
      <c r="G543" s="5" t="n">
        <f aca="false">E543*F543</f>
        <v>96</v>
      </c>
      <c r="H543" s="16" t="n">
        <f aca="false">SUMIFS('03_DESPIECE'!$J$2:$J$225,'03_DESPIECE'!$A$2:$A$225,B543,'03_DESPIECE'!$B$2:$B$225,C543)</f>
        <v>32.492173913</v>
      </c>
      <c r="I543" s="16" t="n">
        <f aca="false">E543*H543</f>
        <v>389.906086956</v>
      </c>
      <c r="J543" s="17" t="n">
        <f aca="false">E543*SUMIFS('03_DESPIECE'!$I$2:$I$225,'03_DESPIECE'!$A$2:$A$225,B543,'03_DESPIECE'!$B$2:$B$225,C543)</f>
        <v>52.752</v>
      </c>
      <c r="K543" s="19" t="n">
        <f aca="false">E543*SUMIFS('03_DESPIECE'!$K$2:$K$225,'03_DESPIECE'!$A$2:$A$225,B543,'03_DESPIECE'!$B$2:$B$225,C543)</f>
        <v>1.1666666664</v>
      </c>
      <c r="L543" s="5" t="n">
        <f aca="false">SUMIFS('03_DESPIECE'!$L$2:$L$225,'03_DESPIECE'!$A$2:$A$225,B543,'03_DESPIECE'!$B$2:$B$225,C543)</f>
        <v>1</v>
      </c>
      <c r="M543" s="2" t="s">
        <v>629</v>
      </c>
    </row>
    <row r="544" customFormat="false" ht="15" hidden="false" customHeight="false" outlineLevel="0" collapsed="false">
      <c r="A544" s="2" t="s">
        <v>606</v>
      </c>
      <c r="B544" s="2" t="s">
        <v>83</v>
      </c>
      <c r="C544" s="2" t="s">
        <v>300</v>
      </c>
      <c r="D544" s="2" t="s">
        <v>188</v>
      </c>
      <c r="E544" s="5" t="n">
        <f aca="false">INDEX('08_PEDIDOS'!$D$2:$D$97,MATCH(A544,'08_PEDIDOS'!$A$2:$A$97,0))</f>
        <v>12</v>
      </c>
      <c r="F544" s="5" t="n">
        <f aca="false">SUMIFS('03_DESPIECE'!$D$2:$D$225,'03_DESPIECE'!$A$2:$A$225,B544,'03_DESPIECE'!$B$2:$B$225,C544)</f>
        <v>28</v>
      </c>
      <c r="G544" s="5" t="n">
        <f aca="false">E544*F544</f>
        <v>336</v>
      </c>
      <c r="H544" s="16" t="n">
        <f aca="false">SUMIFS('03_DESPIECE'!$J$2:$J$225,'03_DESPIECE'!$A$2:$A$225,B544,'03_DESPIECE'!$B$2:$B$225,C544)</f>
        <v>25.2</v>
      </c>
      <c r="I544" s="16" t="n">
        <f aca="false">E544*H544</f>
        <v>302.4</v>
      </c>
      <c r="J544" s="17" t="n">
        <f aca="false">E544*SUMIFS('03_DESPIECE'!$I$2:$I$225,'03_DESPIECE'!$A$2:$A$225,B544,'03_DESPIECE'!$B$2:$B$225,C544)</f>
        <v>0</v>
      </c>
      <c r="K544" s="19" t="n">
        <f aca="false">E544*SUMIFS('03_DESPIECE'!$K$2:$K$225,'03_DESPIECE'!$A$2:$A$225,B544,'03_DESPIECE'!$B$2:$B$225,C544)</f>
        <v>0</v>
      </c>
      <c r="L544" s="5" t="n">
        <f aca="false">SUMIFS('03_DESPIECE'!$L$2:$L$225,'03_DESPIECE'!$A$2:$A$225,B544,'03_DESPIECE'!$B$2:$B$225,C544)</f>
        <v>1</v>
      </c>
      <c r="M544" s="2" t="s">
        <v>629</v>
      </c>
    </row>
    <row r="545" customFormat="false" ht="15" hidden="false" customHeight="false" outlineLevel="0" collapsed="false">
      <c r="A545" s="2" t="s">
        <v>607</v>
      </c>
      <c r="B545" s="2" t="s">
        <v>94</v>
      </c>
      <c r="C545" s="2" t="s">
        <v>301</v>
      </c>
      <c r="D545" s="2" t="s">
        <v>184</v>
      </c>
      <c r="E545" s="5" t="n">
        <f aca="false">INDEX('08_PEDIDOS'!$D$2:$D$97,MATCH(A545,'08_PEDIDOS'!$A$2:$A$97,0))</f>
        <v>6</v>
      </c>
      <c r="F545" s="5" t="n">
        <f aca="false">SUMIFS('03_DESPIECE'!$D$2:$D$225,'03_DESPIECE'!$A$2:$A$225,B545,'03_DESPIECE'!$B$2:$B$225,C545)</f>
        <v>2</v>
      </c>
      <c r="G545" s="5" t="n">
        <f aca="false">E545*F545</f>
        <v>12</v>
      </c>
      <c r="H545" s="16" t="n">
        <f aca="false">SUMIFS('03_DESPIECE'!$J$2:$J$225,'03_DESPIECE'!$A$2:$A$225,B545,'03_DESPIECE'!$B$2:$B$225,C545)</f>
        <v>31.453125</v>
      </c>
      <c r="I545" s="16" t="n">
        <f aca="false">E545*H545</f>
        <v>188.71875</v>
      </c>
      <c r="J545" s="17" t="n">
        <f aca="false">E545*SUMIFS('03_DESPIECE'!$I$2:$I$225,'03_DESPIECE'!$A$2:$A$225,B545,'03_DESPIECE'!$B$2:$B$225,C545)</f>
        <v>29.7</v>
      </c>
      <c r="K545" s="19" t="n">
        <f aca="false">E545*SUMIFS('03_DESPIECE'!$K$2:$K$225,'03_DESPIECE'!$A$2:$A$225,B545,'03_DESPIECE'!$B$2:$B$225,C545)</f>
        <v>0</v>
      </c>
      <c r="L545" s="5" t="n">
        <f aca="false">SUMIFS('03_DESPIECE'!$L$2:$L$225,'03_DESPIECE'!$A$2:$A$225,B545,'03_DESPIECE'!$B$2:$B$225,C545)</f>
        <v>1</v>
      </c>
      <c r="M545" s="2" t="s">
        <v>629</v>
      </c>
    </row>
    <row r="546" customFormat="false" ht="15" hidden="false" customHeight="false" outlineLevel="0" collapsed="false">
      <c r="A546" s="2" t="s">
        <v>607</v>
      </c>
      <c r="B546" s="2" t="s">
        <v>94</v>
      </c>
      <c r="C546" s="2" t="s">
        <v>302</v>
      </c>
      <c r="D546" s="2" t="s">
        <v>174</v>
      </c>
      <c r="E546" s="5" t="n">
        <f aca="false">INDEX('08_PEDIDOS'!$D$2:$D$97,MATCH(A546,'08_PEDIDOS'!$A$2:$A$97,0))</f>
        <v>6</v>
      </c>
      <c r="F546" s="5" t="n">
        <f aca="false">SUMIFS('03_DESPIECE'!$D$2:$D$225,'03_DESPIECE'!$A$2:$A$225,B546,'03_DESPIECE'!$B$2:$B$225,C546)</f>
        <v>2</v>
      </c>
      <c r="G546" s="5" t="n">
        <f aca="false">E546*F546</f>
        <v>12</v>
      </c>
      <c r="H546" s="16" t="n">
        <f aca="false">SUMIFS('03_DESPIECE'!$J$2:$J$225,'03_DESPIECE'!$A$2:$A$225,B546,'03_DESPIECE'!$B$2:$B$225,C546)</f>
        <v>34.8130434783</v>
      </c>
      <c r="I546" s="16" t="n">
        <f aca="false">E546*H546</f>
        <v>208.8782608698</v>
      </c>
      <c r="J546" s="17" t="n">
        <f aca="false">E546*SUMIFS('03_DESPIECE'!$I$2:$I$225,'03_DESPIECE'!$A$2:$A$225,B546,'03_DESPIECE'!$B$2:$B$225,C546)</f>
        <v>28.26</v>
      </c>
      <c r="K546" s="19" t="n">
        <f aca="false">E546*SUMIFS('03_DESPIECE'!$K$2:$K$225,'03_DESPIECE'!$A$2:$A$225,B546,'03_DESPIECE'!$B$2:$B$225,C546)</f>
        <v>1.2499999998</v>
      </c>
      <c r="L546" s="5" t="n">
        <f aca="false">SUMIFS('03_DESPIECE'!$L$2:$L$225,'03_DESPIECE'!$A$2:$A$225,B546,'03_DESPIECE'!$B$2:$B$225,C546)</f>
        <v>1</v>
      </c>
      <c r="M546" s="2" t="s">
        <v>629</v>
      </c>
    </row>
    <row r="547" customFormat="false" ht="15" hidden="false" customHeight="false" outlineLevel="0" collapsed="false">
      <c r="A547" s="2" t="s">
        <v>607</v>
      </c>
      <c r="B547" s="2" t="s">
        <v>94</v>
      </c>
      <c r="C547" s="2" t="s">
        <v>303</v>
      </c>
      <c r="D547" s="2" t="s">
        <v>174</v>
      </c>
      <c r="E547" s="5" t="n">
        <f aca="false">INDEX('08_PEDIDOS'!$D$2:$D$97,MATCH(A547,'08_PEDIDOS'!$A$2:$A$97,0))</f>
        <v>6</v>
      </c>
      <c r="F547" s="5" t="n">
        <f aca="false">SUMIFS('03_DESPIECE'!$D$2:$D$225,'03_DESPIECE'!$A$2:$A$225,B547,'03_DESPIECE'!$B$2:$B$225,C547)</f>
        <v>4</v>
      </c>
      <c r="G547" s="5" t="n">
        <f aca="false">E547*F547</f>
        <v>24</v>
      </c>
      <c r="H547" s="16" t="n">
        <f aca="false">SUMIFS('03_DESPIECE'!$J$2:$J$225,'03_DESPIECE'!$A$2:$A$225,B547,'03_DESPIECE'!$B$2:$B$225,C547)</f>
        <v>129.9686956522</v>
      </c>
      <c r="I547" s="16" t="n">
        <f aca="false">E547*H547</f>
        <v>779.8121739132</v>
      </c>
      <c r="J547" s="17" t="n">
        <f aca="false">E547*SUMIFS('03_DESPIECE'!$I$2:$I$225,'03_DESPIECE'!$A$2:$A$225,B547,'03_DESPIECE'!$B$2:$B$225,C547)</f>
        <v>105.504</v>
      </c>
      <c r="K547" s="19" t="n">
        <f aca="false">E547*SUMIFS('03_DESPIECE'!$K$2:$K$225,'03_DESPIECE'!$A$2:$A$225,B547,'03_DESPIECE'!$B$2:$B$225,C547)</f>
        <v>4.6666666668</v>
      </c>
      <c r="L547" s="5" t="n">
        <f aca="false">SUMIFS('03_DESPIECE'!$L$2:$L$225,'03_DESPIECE'!$A$2:$A$225,B547,'03_DESPIECE'!$B$2:$B$225,C547)</f>
        <v>1</v>
      </c>
      <c r="M547" s="2" t="s">
        <v>629</v>
      </c>
    </row>
    <row r="548" customFormat="false" ht="15" hidden="false" customHeight="false" outlineLevel="0" collapsed="false">
      <c r="A548" s="2" t="s">
        <v>607</v>
      </c>
      <c r="B548" s="2" t="s">
        <v>94</v>
      </c>
      <c r="C548" s="2" t="s">
        <v>304</v>
      </c>
      <c r="D548" s="2" t="s">
        <v>174</v>
      </c>
      <c r="E548" s="5" t="n">
        <f aca="false">INDEX('08_PEDIDOS'!$D$2:$D$97,MATCH(A548,'08_PEDIDOS'!$A$2:$A$97,0))</f>
        <v>6</v>
      </c>
      <c r="F548" s="5" t="n">
        <f aca="false">SUMIFS('03_DESPIECE'!$D$2:$D$225,'03_DESPIECE'!$A$2:$A$225,B548,'03_DESPIECE'!$B$2:$B$225,C548)</f>
        <v>8</v>
      </c>
      <c r="G548" s="5" t="n">
        <f aca="false">E548*F548</f>
        <v>48</v>
      </c>
      <c r="H548" s="16" t="n">
        <f aca="false">SUMIFS('03_DESPIECE'!$J$2:$J$225,'03_DESPIECE'!$A$2:$A$225,B548,'03_DESPIECE'!$B$2:$B$225,C548)</f>
        <v>185.6695652174</v>
      </c>
      <c r="I548" s="16" t="n">
        <f aca="false">E548*H548</f>
        <v>1114.0173913044</v>
      </c>
      <c r="J548" s="17" t="n">
        <f aca="false">E548*SUMIFS('03_DESPIECE'!$I$2:$I$225,'03_DESPIECE'!$A$2:$A$225,B548,'03_DESPIECE'!$B$2:$B$225,C548)</f>
        <v>150.72</v>
      </c>
      <c r="K548" s="19" t="n">
        <f aca="false">E548*SUMIFS('03_DESPIECE'!$K$2:$K$225,'03_DESPIECE'!$A$2:$A$225,B548,'03_DESPIECE'!$B$2:$B$225,C548)</f>
        <v>6.6666666666</v>
      </c>
      <c r="L548" s="5" t="n">
        <f aca="false">SUMIFS('03_DESPIECE'!$L$2:$L$225,'03_DESPIECE'!$A$2:$A$225,B548,'03_DESPIECE'!$B$2:$B$225,C548)</f>
        <v>1</v>
      </c>
      <c r="M548" s="2" t="s">
        <v>629</v>
      </c>
    </row>
    <row r="549" customFormat="false" ht="15" hidden="false" customHeight="false" outlineLevel="0" collapsed="false">
      <c r="A549" s="2" t="s">
        <v>607</v>
      </c>
      <c r="B549" s="2" t="s">
        <v>94</v>
      </c>
      <c r="C549" s="2" t="s">
        <v>305</v>
      </c>
      <c r="D549" s="2" t="s">
        <v>174</v>
      </c>
      <c r="E549" s="5" t="n">
        <f aca="false">INDEX('08_PEDIDOS'!$D$2:$D$97,MATCH(A549,'08_PEDIDOS'!$A$2:$A$97,0))</f>
        <v>6</v>
      </c>
      <c r="F549" s="5" t="n">
        <f aca="false">SUMIFS('03_DESPIECE'!$D$2:$D$225,'03_DESPIECE'!$A$2:$A$225,B549,'03_DESPIECE'!$B$2:$B$225,C549)</f>
        <v>16</v>
      </c>
      <c r="G549" s="5" t="n">
        <f aca="false">E549*F549</f>
        <v>96</v>
      </c>
      <c r="H549" s="16" t="n">
        <f aca="false">SUMIFS('03_DESPIECE'!$J$2:$J$225,'03_DESPIECE'!$A$2:$A$225,B549,'03_DESPIECE'!$B$2:$B$225,C549)</f>
        <v>37.1339130435</v>
      </c>
      <c r="I549" s="16" t="n">
        <f aca="false">E549*H549</f>
        <v>222.803478261</v>
      </c>
      <c r="J549" s="17" t="n">
        <f aca="false">E549*SUMIFS('03_DESPIECE'!$I$2:$I$225,'03_DESPIECE'!$A$2:$A$225,B549,'03_DESPIECE'!$B$2:$B$225,C549)</f>
        <v>30.144</v>
      </c>
      <c r="K549" s="19" t="n">
        <f aca="false">E549*SUMIFS('03_DESPIECE'!$K$2:$K$225,'03_DESPIECE'!$A$2:$A$225,B549,'03_DESPIECE'!$B$2:$B$225,C549)</f>
        <v>1.3333333332</v>
      </c>
      <c r="L549" s="5" t="n">
        <f aca="false">SUMIFS('03_DESPIECE'!$L$2:$L$225,'03_DESPIECE'!$A$2:$A$225,B549,'03_DESPIECE'!$B$2:$B$225,C549)</f>
        <v>1</v>
      </c>
      <c r="M549" s="2" t="s">
        <v>629</v>
      </c>
    </row>
    <row r="550" customFormat="false" ht="15" hidden="false" customHeight="false" outlineLevel="0" collapsed="false">
      <c r="A550" s="2" t="s">
        <v>607</v>
      </c>
      <c r="B550" s="2" t="s">
        <v>94</v>
      </c>
      <c r="C550" s="2" t="s">
        <v>306</v>
      </c>
      <c r="D550" s="2" t="s">
        <v>174</v>
      </c>
      <c r="E550" s="5" t="n">
        <f aca="false">INDEX('08_PEDIDOS'!$D$2:$D$97,MATCH(A550,'08_PEDIDOS'!$A$2:$A$97,0))</f>
        <v>6</v>
      </c>
      <c r="F550" s="5" t="n">
        <f aca="false">SUMIFS('03_DESPIECE'!$D$2:$D$225,'03_DESPIECE'!$A$2:$A$225,B550,'03_DESPIECE'!$B$2:$B$225,C550)</f>
        <v>2</v>
      </c>
      <c r="G550" s="5" t="n">
        <f aca="false">E550*F550</f>
        <v>12</v>
      </c>
      <c r="H550" s="16" t="n">
        <f aca="false">SUMIFS('03_DESPIECE'!$J$2:$J$225,'03_DESPIECE'!$A$2:$A$225,B550,'03_DESPIECE'!$B$2:$B$225,C550)</f>
        <v>13.9252173913</v>
      </c>
      <c r="I550" s="16" t="n">
        <f aca="false">E550*H550</f>
        <v>83.5513043478</v>
      </c>
      <c r="J550" s="17" t="n">
        <f aca="false">E550*SUMIFS('03_DESPIECE'!$I$2:$I$225,'03_DESPIECE'!$A$2:$A$225,B550,'03_DESPIECE'!$B$2:$B$225,C550)</f>
        <v>11.304</v>
      </c>
      <c r="K550" s="19" t="n">
        <f aca="false">E550*SUMIFS('03_DESPIECE'!$K$2:$K$225,'03_DESPIECE'!$A$2:$A$225,B550,'03_DESPIECE'!$B$2:$B$225,C550)</f>
        <v>0.4999999998</v>
      </c>
      <c r="L550" s="5" t="n">
        <f aca="false">SUMIFS('03_DESPIECE'!$L$2:$L$225,'03_DESPIECE'!$A$2:$A$225,B550,'03_DESPIECE'!$B$2:$B$225,C550)</f>
        <v>1</v>
      </c>
      <c r="M550" s="2" t="s">
        <v>629</v>
      </c>
    </row>
    <row r="551" customFormat="false" ht="15" hidden="false" customHeight="false" outlineLevel="0" collapsed="false">
      <c r="A551" s="2" t="s">
        <v>607</v>
      </c>
      <c r="B551" s="2" t="s">
        <v>94</v>
      </c>
      <c r="C551" s="2" t="s">
        <v>307</v>
      </c>
      <c r="D551" s="2" t="s">
        <v>188</v>
      </c>
      <c r="E551" s="5" t="n">
        <f aca="false">INDEX('08_PEDIDOS'!$D$2:$D$97,MATCH(A551,'08_PEDIDOS'!$A$2:$A$97,0))</f>
        <v>6</v>
      </c>
      <c r="F551" s="5" t="n">
        <f aca="false">SUMIFS('03_DESPIECE'!$D$2:$D$225,'03_DESPIECE'!$A$2:$A$225,B551,'03_DESPIECE'!$B$2:$B$225,C551)</f>
        <v>36</v>
      </c>
      <c r="G551" s="5" t="n">
        <f aca="false">E551*F551</f>
        <v>216</v>
      </c>
      <c r="H551" s="16" t="n">
        <f aca="false">SUMIFS('03_DESPIECE'!$J$2:$J$225,'03_DESPIECE'!$A$2:$A$225,B551,'03_DESPIECE'!$B$2:$B$225,C551)</f>
        <v>32.4</v>
      </c>
      <c r="I551" s="16" t="n">
        <f aca="false">E551*H551</f>
        <v>194.4</v>
      </c>
      <c r="J551" s="17" t="n">
        <f aca="false">E551*SUMIFS('03_DESPIECE'!$I$2:$I$225,'03_DESPIECE'!$A$2:$A$225,B551,'03_DESPIECE'!$B$2:$B$225,C551)</f>
        <v>0</v>
      </c>
      <c r="K551" s="19" t="n">
        <f aca="false">E551*SUMIFS('03_DESPIECE'!$K$2:$K$225,'03_DESPIECE'!$A$2:$A$225,B551,'03_DESPIECE'!$B$2:$B$225,C551)</f>
        <v>0</v>
      </c>
      <c r="L551" s="5" t="n">
        <f aca="false">SUMIFS('03_DESPIECE'!$L$2:$L$225,'03_DESPIECE'!$A$2:$A$225,B551,'03_DESPIECE'!$B$2:$B$225,C551)</f>
        <v>1</v>
      </c>
      <c r="M551" s="2" t="s">
        <v>629</v>
      </c>
    </row>
    <row r="552" customFormat="false" ht="15" hidden="false" customHeight="false" outlineLevel="0" collapsed="false">
      <c r="A552" s="2" t="s">
        <v>608</v>
      </c>
      <c r="B552" s="2" t="s">
        <v>96</v>
      </c>
      <c r="C552" s="2" t="s">
        <v>308</v>
      </c>
      <c r="D552" s="2" t="s">
        <v>184</v>
      </c>
      <c r="E552" s="5" t="n">
        <f aca="false">INDEX('08_PEDIDOS'!$D$2:$D$97,MATCH(A552,'08_PEDIDOS'!$A$2:$A$97,0))</f>
        <v>7</v>
      </c>
      <c r="F552" s="5" t="n">
        <f aca="false">SUMIFS('03_DESPIECE'!$D$2:$D$225,'03_DESPIECE'!$A$2:$A$225,B552,'03_DESPIECE'!$B$2:$B$225,C552)</f>
        <v>2</v>
      </c>
      <c r="G552" s="5" t="n">
        <f aca="false">E552*F552</f>
        <v>14</v>
      </c>
      <c r="H552" s="16" t="n">
        <f aca="false">SUMIFS('03_DESPIECE'!$J$2:$J$225,'03_DESPIECE'!$A$2:$A$225,B552,'03_DESPIECE'!$B$2:$B$225,C552)</f>
        <v>36.21875</v>
      </c>
      <c r="I552" s="16" t="n">
        <f aca="false">E552*H552</f>
        <v>253.53125</v>
      </c>
      <c r="J552" s="17" t="n">
        <f aca="false">E552*SUMIFS('03_DESPIECE'!$I$2:$I$225,'03_DESPIECE'!$A$2:$A$225,B552,'03_DESPIECE'!$B$2:$B$225,C552)</f>
        <v>39.9</v>
      </c>
      <c r="K552" s="19" t="n">
        <f aca="false">E552*SUMIFS('03_DESPIECE'!$K$2:$K$225,'03_DESPIECE'!$A$2:$A$225,B552,'03_DESPIECE'!$B$2:$B$225,C552)</f>
        <v>0</v>
      </c>
      <c r="L552" s="5" t="n">
        <f aca="false">SUMIFS('03_DESPIECE'!$L$2:$L$225,'03_DESPIECE'!$A$2:$A$225,B552,'03_DESPIECE'!$B$2:$B$225,C552)</f>
        <v>1</v>
      </c>
      <c r="M552" s="2" t="s">
        <v>629</v>
      </c>
    </row>
    <row r="553" customFormat="false" ht="15" hidden="false" customHeight="false" outlineLevel="0" collapsed="false">
      <c r="A553" s="2" t="s">
        <v>608</v>
      </c>
      <c r="B553" s="2" t="s">
        <v>96</v>
      </c>
      <c r="C553" s="2" t="s">
        <v>309</v>
      </c>
      <c r="D553" s="2" t="s">
        <v>174</v>
      </c>
      <c r="E553" s="5" t="n">
        <f aca="false">INDEX('08_PEDIDOS'!$D$2:$D$97,MATCH(A553,'08_PEDIDOS'!$A$2:$A$97,0))</f>
        <v>7</v>
      </c>
      <c r="F553" s="5" t="n">
        <f aca="false">SUMIFS('03_DESPIECE'!$D$2:$D$225,'03_DESPIECE'!$A$2:$A$225,B553,'03_DESPIECE'!$B$2:$B$225,C553)</f>
        <v>3</v>
      </c>
      <c r="G553" s="5" t="n">
        <f aca="false">E553*F553</f>
        <v>21</v>
      </c>
      <c r="H553" s="16" t="n">
        <f aca="false">SUMIFS('03_DESPIECE'!$J$2:$J$225,'03_DESPIECE'!$A$2:$A$225,B553,'03_DESPIECE'!$B$2:$B$225,C553)</f>
        <v>95.7358695652</v>
      </c>
      <c r="I553" s="16" t="n">
        <f aca="false">E553*H553</f>
        <v>670.1510869564</v>
      </c>
      <c r="J553" s="17" t="n">
        <f aca="false">E553*SUMIFS('03_DESPIECE'!$I$2:$I$225,'03_DESPIECE'!$A$2:$A$225,B553,'03_DESPIECE'!$B$2:$B$225,C553)</f>
        <v>90.6675</v>
      </c>
      <c r="K553" s="19" t="n">
        <f aca="false">E553*SUMIFS('03_DESPIECE'!$K$2:$K$225,'03_DESPIECE'!$A$2:$A$225,B553,'03_DESPIECE'!$B$2:$B$225,C553)</f>
        <v>4.0104166669</v>
      </c>
      <c r="L553" s="5" t="n">
        <f aca="false">SUMIFS('03_DESPIECE'!$L$2:$L$225,'03_DESPIECE'!$A$2:$A$225,B553,'03_DESPIECE'!$B$2:$B$225,C553)</f>
        <v>1</v>
      </c>
      <c r="M553" s="2" t="s">
        <v>629</v>
      </c>
    </row>
    <row r="554" customFormat="false" ht="15" hidden="false" customHeight="false" outlineLevel="0" collapsed="false">
      <c r="A554" s="2" t="s">
        <v>608</v>
      </c>
      <c r="B554" s="2" t="s">
        <v>96</v>
      </c>
      <c r="C554" s="2" t="s">
        <v>310</v>
      </c>
      <c r="D554" s="2" t="s">
        <v>174</v>
      </c>
      <c r="E554" s="5" t="n">
        <f aca="false">INDEX('08_PEDIDOS'!$D$2:$D$97,MATCH(A554,'08_PEDIDOS'!$A$2:$A$97,0))</f>
        <v>7</v>
      </c>
      <c r="F554" s="5" t="n">
        <f aca="false">SUMIFS('03_DESPIECE'!$D$2:$D$225,'03_DESPIECE'!$A$2:$A$225,B554,'03_DESPIECE'!$B$2:$B$225,C554)</f>
        <v>5</v>
      </c>
      <c r="G554" s="5" t="n">
        <f aca="false">E554*F554</f>
        <v>35</v>
      </c>
      <c r="H554" s="16" t="n">
        <f aca="false">SUMIFS('03_DESPIECE'!$J$2:$J$225,'03_DESPIECE'!$A$2:$A$225,B554,'03_DESPIECE'!$B$2:$B$225,C554)</f>
        <v>121.8456521739</v>
      </c>
      <c r="I554" s="16" t="n">
        <f aca="false">E554*H554</f>
        <v>852.9195652173</v>
      </c>
      <c r="J554" s="17" t="n">
        <f aca="false">E554*SUMIFS('03_DESPIECE'!$I$2:$I$225,'03_DESPIECE'!$A$2:$A$225,B554,'03_DESPIECE'!$B$2:$B$225,C554)</f>
        <v>115.395</v>
      </c>
      <c r="K554" s="19" t="n">
        <f aca="false">E554*SUMIFS('03_DESPIECE'!$K$2:$K$225,'03_DESPIECE'!$A$2:$A$225,B554,'03_DESPIECE'!$B$2:$B$225,C554)</f>
        <v>5.1041666669</v>
      </c>
      <c r="L554" s="5" t="n">
        <f aca="false">SUMIFS('03_DESPIECE'!$L$2:$L$225,'03_DESPIECE'!$A$2:$A$225,B554,'03_DESPIECE'!$B$2:$B$225,C554)</f>
        <v>1</v>
      </c>
      <c r="M554" s="2" t="s">
        <v>629</v>
      </c>
    </row>
    <row r="555" customFormat="false" ht="15" hidden="false" customHeight="false" outlineLevel="0" collapsed="false">
      <c r="A555" s="2" t="s">
        <v>608</v>
      </c>
      <c r="B555" s="2" t="s">
        <v>96</v>
      </c>
      <c r="C555" s="2" t="s">
        <v>311</v>
      </c>
      <c r="D555" s="2" t="s">
        <v>174</v>
      </c>
      <c r="E555" s="5" t="n">
        <f aca="false">INDEX('08_PEDIDOS'!$D$2:$D$97,MATCH(A555,'08_PEDIDOS'!$A$2:$A$97,0))</f>
        <v>7</v>
      </c>
      <c r="F555" s="5" t="n">
        <f aca="false">SUMIFS('03_DESPIECE'!$D$2:$D$225,'03_DESPIECE'!$A$2:$A$225,B555,'03_DESPIECE'!$B$2:$B$225,C555)</f>
        <v>10</v>
      </c>
      <c r="G555" s="5" t="n">
        <f aca="false">E555*F555</f>
        <v>70</v>
      </c>
      <c r="H555" s="16" t="n">
        <f aca="false">SUMIFS('03_DESPIECE'!$J$2:$J$225,'03_DESPIECE'!$A$2:$A$225,B555,'03_DESPIECE'!$B$2:$B$225,C555)</f>
        <v>23.2086956522</v>
      </c>
      <c r="I555" s="16" t="n">
        <f aca="false">E555*H555</f>
        <v>162.4608695654</v>
      </c>
      <c r="J555" s="17" t="n">
        <f aca="false">E555*SUMIFS('03_DESPIECE'!$I$2:$I$225,'03_DESPIECE'!$A$2:$A$225,B555,'03_DESPIECE'!$B$2:$B$225,C555)</f>
        <v>21.98</v>
      </c>
      <c r="K555" s="19" t="n">
        <f aca="false">E555*SUMIFS('03_DESPIECE'!$K$2:$K$225,'03_DESPIECE'!$A$2:$A$225,B555,'03_DESPIECE'!$B$2:$B$225,C555)</f>
        <v>0.9722222223</v>
      </c>
      <c r="L555" s="5" t="n">
        <f aca="false">SUMIFS('03_DESPIECE'!$L$2:$L$225,'03_DESPIECE'!$A$2:$A$225,B555,'03_DESPIECE'!$B$2:$B$225,C555)</f>
        <v>1</v>
      </c>
      <c r="M555" s="2" t="s">
        <v>629</v>
      </c>
    </row>
    <row r="556" customFormat="false" ht="15" hidden="false" customHeight="false" outlineLevel="0" collapsed="false">
      <c r="A556" s="2" t="s">
        <v>608</v>
      </c>
      <c r="B556" s="2" t="s">
        <v>96</v>
      </c>
      <c r="C556" s="2" t="s">
        <v>312</v>
      </c>
      <c r="D556" s="2" t="s">
        <v>174</v>
      </c>
      <c r="E556" s="5" t="n">
        <f aca="false">INDEX('08_PEDIDOS'!$D$2:$D$97,MATCH(A556,'08_PEDIDOS'!$A$2:$A$97,0))</f>
        <v>7</v>
      </c>
      <c r="F556" s="5" t="n">
        <f aca="false">SUMIFS('03_DESPIECE'!$D$2:$D$225,'03_DESPIECE'!$A$2:$A$225,B556,'03_DESPIECE'!$B$2:$B$225,C556)</f>
        <v>2</v>
      </c>
      <c r="G556" s="5" t="n">
        <f aca="false">E556*F556</f>
        <v>14</v>
      </c>
      <c r="H556" s="16" t="n">
        <f aca="false">SUMIFS('03_DESPIECE'!$J$2:$J$225,'03_DESPIECE'!$A$2:$A$225,B556,'03_DESPIECE'!$B$2:$B$225,C556)</f>
        <v>29.0108695652</v>
      </c>
      <c r="I556" s="16" t="n">
        <f aca="false">E556*H556</f>
        <v>203.0760869564</v>
      </c>
      <c r="J556" s="17" t="n">
        <f aca="false">E556*SUMIFS('03_DESPIECE'!$I$2:$I$225,'03_DESPIECE'!$A$2:$A$225,B556,'03_DESPIECE'!$B$2:$B$225,C556)</f>
        <v>27.475</v>
      </c>
      <c r="K556" s="19" t="n">
        <f aca="false">E556*SUMIFS('03_DESPIECE'!$K$2:$K$225,'03_DESPIECE'!$A$2:$A$225,B556,'03_DESPIECE'!$B$2:$B$225,C556)</f>
        <v>1.2152777777</v>
      </c>
      <c r="L556" s="5" t="n">
        <f aca="false">SUMIFS('03_DESPIECE'!$L$2:$L$225,'03_DESPIECE'!$A$2:$A$225,B556,'03_DESPIECE'!$B$2:$B$225,C556)</f>
        <v>1</v>
      </c>
      <c r="M556" s="2" t="s">
        <v>629</v>
      </c>
    </row>
    <row r="557" customFormat="false" ht="15" hidden="false" customHeight="false" outlineLevel="0" collapsed="false">
      <c r="A557" s="2" t="s">
        <v>608</v>
      </c>
      <c r="B557" s="2" t="s">
        <v>96</v>
      </c>
      <c r="C557" s="2" t="s">
        <v>313</v>
      </c>
      <c r="D557" s="2" t="s">
        <v>188</v>
      </c>
      <c r="E557" s="5" t="n">
        <f aca="false">INDEX('08_PEDIDOS'!$D$2:$D$97,MATCH(A557,'08_PEDIDOS'!$A$2:$A$97,0))</f>
        <v>7</v>
      </c>
      <c r="F557" s="5" t="n">
        <f aca="false">SUMIFS('03_DESPIECE'!$D$2:$D$225,'03_DESPIECE'!$A$2:$A$225,B557,'03_DESPIECE'!$B$2:$B$225,C557)</f>
        <v>26</v>
      </c>
      <c r="G557" s="5" t="n">
        <f aca="false">E557*F557</f>
        <v>182</v>
      </c>
      <c r="H557" s="16" t="n">
        <f aca="false">SUMIFS('03_DESPIECE'!$J$2:$J$225,'03_DESPIECE'!$A$2:$A$225,B557,'03_DESPIECE'!$B$2:$B$225,C557)</f>
        <v>23.4</v>
      </c>
      <c r="I557" s="16" t="n">
        <f aca="false">E557*H557</f>
        <v>163.8</v>
      </c>
      <c r="J557" s="17" t="n">
        <f aca="false">E557*SUMIFS('03_DESPIECE'!$I$2:$I$225,'03_DESPIECE'!$A$2:$A$225,B557,'03_DESPIECE'!$B$2:$B$225,C557)</f>
        <v>0</v>
      </c>
      <c r="K557" s="19" t="n">
        <f aca="false">E557*SUMIFS('03_DESPIECE'!$K$2:$K$225,'03_DESPIECE'!$A$2:$A$225,B557,'03_DESPIECE'!$B$2:$B$225,C557)</f>
        <v>0</v>
      </c>
      <c r="L557" s="5" t="n">
        <f aca="false">SUMIFS('03_DESPIECE'!$L$2:$L$225,'03_DESPIECE'!$A$2:$A$225,B557,'03_DESPIECE'!$B$2:$B$225,C557)</f>
        <v>1</v>
      </c>
      <c r="M557" s="2" t="s">
        <v>629</v>
      </c>
    </row>
    <row r="558" customFormat="false" ht="15" hidden="false" customHeight="false" outlineLevel="0" collapsed="false">
      <c r="A558" s="2" t="s">
        <v>609</v>
      </c>
      <c r="B558" s="2" t="s">
        <v>106</v>
      </c>
      <c r="C558" s="2" t="s">
        <v>314</v>
      </c>
      <c r="D558" s="2" t="s">
        <v>176</v>
      </c>
      <c r="E558" s="5" t="n">
        <f aca="false">INDEX('08_PEDIDOS'!$D$2:$D$97,MATCH(A558,'08_PEDIDOS'!$A$2:$A$97,0))</f>
        <v>5</v>
      </c>
      <c r="F558" s="5" t="n">
        <f aca="false">SUMIFS('03_DESPIECE'!$D$2:$D$225,'03_DESPIECE'!$A$2:$A$225,B558,'03_DESPIECE'!$B$2:$B$225,C558)</f>
        <v>2</v>
      </c>
      <c r="G558" s="5" t="n">
        <f aca="false">E558*F558</f>
        <v>10</v>
      </c>
      <c r="H558" s="16" t="n">
        <f aca="false">SUMIFS('03_DESPIECE'!$J$2:$J$225,'03_DESPIECE'!$A$2:$A$225,B558,'03_DESPIECE'!$B$2:$B$225,C558)</f>
        <v>165.3619565217</v>
      </c>
      <c r="I558" s="16" t="n">
        <f aca="false">E558*H558</f>
        <v>826.8097826085</v>
      </c>
      <c r="J558" s="17" t="n">
        <f aca="false">E558*SUMIFS('03_DESPIECE'!$I$2:$I$225,'03_DESPIECE'!$A$2:$A$225,B558,'03_DESPIECE'!$B$2:$B$225,C558)</f>
        <v>111.8625</v>
      </c>
      <c r="K558" s="19" t="n">
        <f aca="false">E558*SUMIFS('03_DESPIECE'!$K$2:$K$225,'03_DESPIECE'!$A$2:$A$225,B558,'03_DESPIECE'!$B$2:$B$225,C558)</f>
        <v>3.298611111</v>
      </c>
      <c r="L558" s="5" t="n">
        <f aca="false">SUMIFS('03_DESPIECE'!$L$2:$L$225,'03_DESPIECE'!$A$2:$A$225,B558,'03_DESPIECE'!$B$2:$B$225,C558)</f>
        <v>1</v>
      </c>
      <c r="M558" s="2" t="s">
        <v>629</v>
      </c>
    </row>
    <row r="559" customFormat="false" ht="15" hidden="false" customHeight="false" outlineLevel="0" collapsed="false">
      <c r="A559" s="2" t="s">
        <v>609</v>
      </c>
      <c r="B559" s="2" t="s">
        <v>106</v>
      </c>
      <c r="C559" s="2" t="s">
        <v>315</v>
      </c>
      <c r="D559" s="2" t="s">
        <v>176</v>
      </c>
      <c r="E559" s="5" t="n">
        <f aca="false">INDEX('08_PEDIDOS'!$D$2:$D$97,MATCH(A559,'08_PEDIDOS'!$A$2:$A$97,0))</f>
        <v>5</v>
      </c>
      <c r="F559" s="5" t="n">
        <f aca="false">SUMIFS('03_DESPIECE'!$D$2:$D$225,'03_DESPIECE'!$A$2:$A$225,B559,'03_DESPIECE'!$B$2:$B$225,C559)</f>
        <v>2</v>
      </c>
      <c r="G559" s="5" t="n">
        <f aca="false">E559*F559</f>
        <v>10</v>
      </c>
      <c r="H559" s="16" t="n">
        <f aca="false">SUMIFS('03_DESPIECE'!$J$2:$J$225,'03_DESPIECE'!$A$2:$A$225,B559,'03_DESPIECE'!$B$2:$B$225,C559)</f>
        <v>60.922826087</v>
      </c>
      <c r="I559" s="16" t="n">
        <f aca="false">E559*H559</f>
        <v>304.614130435</v>
      </c>
      <c r="J559" s="17" t="n">
        <f aca="false">E559*SUMIFS('03_DESPIECE'!$I$2:$I$225,'03_DESPIECE'!$A$2:$A$225,B559,'03_DESPIECE'!$B$2:$B$225,C559)</f>
        <v>41.2125</v>
      </c>
      <c r="K559" s="19" t="n">
        <f aca="false">E559*SUMIFS('03_DESPIECE'!$K$2:$K$225,'03_DESPIECE'!$A$2:$A$225,B559,'03_DESPIECE'!$B$2:$B$225,C559)</f>
        <v>1.215277778</v>
      </c>
      <c r="L559" s="5" t="n">
        <f aca="false">SUMIFS('03_DESPIECE'!$L$2:$L$225,'03_DESPIECE'!$A$2:$A$225,B559,'03_DESPIECE'!$B$2:$B$225,C559)</f>
        <v>1</v>
      </c>
      <c r="M559" s="2" t="s">
        <v>629</v>
      </c>
    </row>
    <row r="560" customFormat="false" ht="15" hidden="false" customHeight="false" outlineLevel="0" collapsed="false">
      <c r="A560" s="2" t="s">
        <v>609</v>
      </c>
      <c r="B560" s="2" t="s">
        <v>106</v>
      </c>
      <c r="C560" s="2" t="s">
        <v>316</v>
      </c>
      <c r="D560" s="2" t="s">
        <v>176</v>
      </c>
      <c r="E560" s="5" t="n">
        <f aca="false">INDEX('08_PEDIDOS'!$D$2:$D$97,MATCH(A560,'08_PEDIDOS'!$A$2:$A$97,0))</f>
        <v>5</v>
      </c>
      <c r="F560" s="5" t="n">
        <f aca="false">SUMIFS('03_DESPIECE'!$D$2:$D$225,'03_DESPIECE'!$A$2:$A$225,B560,'03_DESPIECE'!$B$2:$B$225,C560)</f>
        <v>1</v>
      </c>
      <c r="G560" s="5" t="n">
        <f aca="false">E560*F560</f>
        <v>5</v>
      </c>
      <c r="H560" s="16" t="n">
        <f aca="false">SUMIFS('03_DESPIECE'!$J$2:$J$225,'03_DESPIECE'!$A$2:$A$225,B560,'03_DESPIECE'!$B$2:$B$225,C560)</f>
        <v>147.9554347826</v>
      </c>
      <c r="I560" s="16" t="n">
        <f aca="false">E560*H560</f>
        <v>739.777173913</v>
      </c>
      <c r="J560" s="17" t="n">
        <f aca="false">E560*SUMIFS('03_DESPIECE'!$I$2:$I$225,'03_DESPIECE'!$A$2:$A$225,B560,'03_DESPIECE'!$B$2:$B$225,C560)</f>
        <v>100.0875</v>
      </c>
      <c r="K560" s="19" t="n">
        <f aca="false">E560*SUMIFS('03_DESPIECE'!$K$2:$K$225,'03_DESPIECE'!$A$2:$A$225,B560,'03_DESPIECE'!$B$2:$B$225,C560)</f>
        <v>2.951388889</v>
      </c>
      <c r="L560" s="5" t="n">
        <f aca="false">SUMIFS('03_DESPIECE'!$L$2:$L$225,'03_DESPIECE'!$A$2:$A$225,B560,'03_DESPIECE'!$B$2:$B$225,C560)</f>
        <v>1</v>
      </c>
      <c r="M560" s="2" t="s">
        <v>629</v>
      </c>
    </row>
    <row r="561" customFormat="false" ht="15" hidden="false" customHeight="false" outlineLevel="0" collapsed="false">
      <c r="A561" s="2" t="s">
        <v>609</v>
      </c>
      <c r="B561" s="2" t="s">
        <v>106</v>
      </c>
      <c r="C561" s="2" t="s">
        <v>317</v>
      </c>
      <c r="D561" s="2" t="s">
        <v>176</v>
      </c>
      <c r="E561" s="5" t="n">
        <f aca="false">INDEX('08_PEDIDOS'!$D$2:$D$97,MATCH(A561,'08_PEDIDOS'!$A$2:$A$97,0))</f>
        <v>5</v>
      </c>
      <c r="F561" s="5" t="n">
        <f aca="false">SUMIFS('03_DESPIECE'!$D$2:$D$225,'03_DESPIECE'!$A$2:$A$225,B561,'03_DESPIECE'!$B$2:$B$225,C561)</f>
        <v>4</v>
      </c>
      <c r="G561" s="5" t="n">
        <f aca="false">E561*F561</f>
        <v>20</v>
      </c>
      <c r="H561" s="16" t="n">
        <f aca="false">SUMIFS('03_DESPIECE'!$J$2:$J$225,'03_DESPIECE'!$A$2:$A$225,B561,'03_DESPIECE'!$B$2:$B$225,C561)</f>
        <v>128.8082608696</v>
      </c>
      <c r="I561" s="16" t="n">
        <f aca="false">E561*H561</f>
        <v>644.041304348</v>
      </c>
      <c r="J561" s="17" t="n">
        <f aca="false">E561*SUMIFS('03_DESPIECE'!$I$2:$I$225,'03_DESPIECE'!$A$2:$A$225,B561,'03_DESPIECE'!$B$2:$B$225,C561)</f>
        <v>87.135</v>
      </c>
      <c r="K561" s="19" t="n">
        <f aca="false">E561*SUMIFS('03_DESPIECE'!$K$2:$K$225,'03_DESPIECE'!$A$2:$A$225,B561,'03_DESPIECE'!$B$2:$B$225,C561)</f>
        <v>2.5694444445</v>
      </c>
      <c r="L561" s="5" t="n">
        <f aca="false">SUMIFS('03_DESPIECE'!$L$2:$L$225,'03_DESPIECE'!$A$2:$A$225,B561,'03_DESPIECE'!$B$2:$B$225,C561)</f>
        <v>1</v>
      </c>
      <c r="M561" s="2" t="s">
        <v>629</v>
      </c>
    </row>
    <row r="562" customFormat="false" ht="15" hidden="false" customHeight="false" outlineLevel="0" collapsed="false">
      <c r="A562" s="2" t="s">
        <v>609</v>
      </c>
      <c r="B562" s="2" t="s">
        <v>106</v>
      </c>
      <c r="C562" s="2" t="s">
        <v>318</v>
      </c>
      <c r="D562" s="2" t="s">
        <v>176</v>
      </c>
      <c r="E562" s="5" t="n">
        <f aca="false">INDEX('08_PEDIDOS'!$D$2:$D$97,MATCH(A562,'08_PEDIDOS'!$A$2:$A$97,0))</f>
        <v>5</v>
      </c>
      <c r="F562" s="5" t="n">
        <f aca="false">SUMIFS('03_DESPIECE'!$D$2:$D$225,'03_DESPIECE'!$A$2:$A$225,B562,'03_DESPIECE'!$B$2:$B$225,C562)</f>
        <v>3</v>
      </c>
      <c r="G562" s="5" t="n">
        <f aca="false">E562*F562</f>
        <v>15</v>
      </c>
      <c r="H562" s="16" t="n">
        <f aca="false">SUMIFS('03_DESPIECE'!$J$2:$J$225,'03_DESPIECE'!$A$2:$A$225,B562,'03_DESPIECE'!$B$2:$B$225,C562)</f>
        <v>91.3842391304</v>
      </c>
      <c r="I562" s="16" t="n">
        <f aca="false">E562*H562</f>
        <v>456.921195652</v>
      </c>
      <c r="J562" s="17" t="n">
        <f aca="false">E562*SUMIFS('03_DESPIECE'!$I$2:$I$225,'03_DESPIECE'!$A$2:$A$225,B562,'03_DESPIECE'!$B$2:$B$225,C562)</f>
        <v>61.81875</v>
      </c>
      <c r="K562" s="19" t="n">
        <f aca="false">E562*SUMIFS('03_DESPIECE'!$K$2:$K$225,'03_DESPIECE'!$A$2:$A$225,B562,'03_DESPIECE'!$B$2:$B$225,C562)</f>
        <v>1.8229166665</v>
      </c>
      <c r="L562" s="5" t="n">
        <f aca="false">SUMIFS('03_DESPIECE'!$L$2:$L$225,'03_DESPIECE'!$A$2:$A$225,B562,'03_DESPIECE'!$B$2:$B$225,C562)</f>
        <v>1</v>
      </c>
      <c r="M562" s="2" t="s">
        <v>629</v>
      </c>
    </row>
    <row r="563" customFormat="false" ht="15" hidden="false" customHeight="false" outlineLevel="0" collapsed="false">
      <c r="A563" s="2" t="s">
        <v>609</v>
      </c>
      <c r="B563" s="2" t="s">
        <v>106</v>
      </c>
      <c r="C563" s="2" t="s">
        <v>319</v>
      </c>
      <c r="D563" s="2" t="s">
        <v>188</v>
      </c>
      <c r="E563" s="5" t="n">
        <f aca="false">INDEX('08_PEDIDOS'!$D$2:$D$97,MATCH(A563,'08_PEDIDOS'!$A$2:$A$97,0))</f>
        <v>5</v>
      </c>
      <c r="F563" s="5" t="n">
        <f aca="false">SUMIFS('03_DESPIECE'!$D$2:$D$225,'03_DESPIECE'!$A$2:$A$225,B563,'03_DESPIECE'!$B$2:$B$225,C563)</f>
        <v>8</v>
      </c>
      <c r="G563" s="5" t="n">
        <f aca="false">E563*F563</f>
        <v>40</v>
      </c>
      <c r="H563" s="16" t="n">
        <f aca="false">SUMIFS('03_DESPIECE'!$J$2:$J$225,'03_DESPIECE'!$A$2:$A$225,B563,'03_DESPIECE'!$B$2:$B$225,C563)</f>
        <v>7.2</v>
      </c>
      <c r="I563" s="16" t="n">
        <f aca="false">E563*H563</f>
        <v>36</v>
      </c>
      <c r="J563" s="17" t="n">
        <f aca="false">E563*SUMIFS('03_DESPIECE'!$I$2:$I$225,'03_DESPIECE'!$A$2:$A$225,B563,'03_DESPIECE'!$B$2:$B$225,C563)</f>
        <v>0</v>
      </c>
      <c r="K563" s="19" t="n">
        <f aca="false">E563*SUMIFS('03_DESPIECE'!$K$2:$K$225,'03_DESPIECE'!$A$2:$A$225,B563,'03_DESPIECE'!$B$2:$B$225,C563)</f>
        <v>0</v>
      </c>
      <c r="L563" s="5" t="n">
        <f aca="false">SUMIFS('03_DESPIECE'!$L$2:$L$225,'03_DESPIECE'!$A$2:$A$225,B563,'03_DESPIECE'!$B$2:$B$225,C563)</f>
        <v>1</v>
      </c>
      <c r="M563" s="2" t="s">
        <v>629</v>
      </c>
    </row>
    <row r="564" customFormat="false" ht="15" hidden="false" customHeight="false" outlineLevel="0" collapsed="false">
      <c r="A564" s="2" t="s">
        <v>609</v>
      </c>
      <c r="B564" s="2" t="s">
        <v>106</v>
      </c>
      <c r="C564" s="2" t="s">
        <v>320</v>
      </c>
      <c r="D564" s="2" t="s">
        <v>188</v>
      </c>
      <c r="E564" s="5" t="n">
        <f aca="false">INDEX('08_PEDIDOS'!$D$2:$D$97,MATCH(A564,'08_PEDIDOS'!$A$2:$A$97,0))</f>
        <v>5</v>
      </c>
      <c r="F564" s="5" t="n">
        <f aca="false">SUMIFS('03_DESPIECE'!$D$2:$D$225,'03_DESPIECE'!$A$2:$A$225,B564,'03_DESPIECE'!$B$2:$B$225,C564)</f>
        <v>4</v>
      </c>
      <c r="G564" s="5" t="n">
        <f aca="false">E564*F564</f>
        <v>20</v>
      </c>
      <c r="H564" s="16" t="n">
        <f aca="false">SUMIFS('03_DESPIECE'!$J$2:$J$225,'03_DESPIECE'!$A$2:$A$225,B564,'03_DESPIECE'!$B$2:$B$225,C564)</f>
        <v>3.6</v>
      </c>
      <c r="I564" s="16" t="n">
        <f aca="false">E564*H564</f>
        <v>18</v>
      </c>
      <c r="J564" s="17" t="n">
        <f aca="false">E564*SUMIFS('03_DESPIECE'!$I$2:$I$225,'03_DESPIECE'!$A$2:$A$225,B564,'03_DESPIECE'!$B$2:$B$225,C564)</f>
        <v>0</v>
      </c>
      <c r="K564" s="19" t="n">
        <f aca="false">E564*SUMIFS('03_DESPIECE'!$K$2:$K$225,'03_DESPIECE'!$A$2:$A$225,B564,'03_DESPIECE'!$B$2:$B$225,C564)</f>
        <v>0</v>
      </c>
      <c r="L564" s="5" t="n">
        <f aca="false">SUMIFS('03_DESPIECE'!$L$2:$L$225,'03_DESPIECE'!$A$2:$A$225,B564,'03_DESPIECE'!$B$2:$B$225,C564)</f>
        <v>1</v>
      </c>
      <c r="M564" s="2" t="s">
        <v>629</v>
      </c>
    </row>
    <row r="565" customFormat="false" ht="15" hidden="false" customHeight="false" outlineLevel="0" collapsed="false">
      <c r="A565" s="2" t="s">
        <v>610</v>
      </c>
      <c r="B565" s="2" t="s">
        <v>108</v>
      </c>
      <c r="C565" s="2" t="s">
        <v>321</v>
      </c>
      <c r="D565" s="2" t="s">
        <v>176</v>
      </c>
      <c r="E565" s="5" t="n">
        <f aca="false">INDEX('08_PEDIDOS'!$D$2:$D$97,MATCH(A565,'08_PEDIDOS'!$A$2:$A$97,0))</f>
        <v>6</v>
      </c>
      <c r="F565" s="5" t="n">
        <f aca="false">SUMIFS('03_DESPIECE'!$D$2:$D$225,'03_DESPIECE'!$A$2:$A$225,B565,'03_DESPIECE'!$B$2:$B$225,C565)</f>
        <v>2</v>
      </c>
      <c r="G565" s="5" t="n">
        <f aca="false">E565*F565</f>
        <v>12</v>
      </c>
      <c r="H565" s="16" t="n">
        <f aca="false">SUMIFS('03_DESPIECE'!$J$2:$J$225,'03_DESPIECE'!$A$2:$A$225,B565,'03_DESPIECE'!$B$2:$B$225,C565)</f>
        <v>191.4717391304</v>
      </c>
      <c r="I565" s="16" t="n">
        <f aca="false">E565*H565</f>
        <v>1148.8304347824</v>
      </c>
      <c r="J565" s="17" t="n">
        <f aca="false">E565*SUMIFS('03_DESPIECE'!$I$2:$I$225,'03_DESPIECE'!$A$2:$A$225,B565,'03_DESPIECE'!$B$2:$B$225,C565)</f>
        <v>155.43</v>
      </c>
      <c r="K565" s="19" t="n">
        <f aca="false">E565*SUMIFS('03_DESPIECE'!$K$2:$K$225,'03_DESPIECE'!$A$2:$A$225,B565,'03_DESPIECE'!$B$2:$B$225,C565)</f>
        <v>4.5833333334</v>
      </c>
      <c r="L565" s="5" t="n">
        <f aca="false">SUMIFS('03_DESPIECE'!$L$2:$L$225,'03_DESPIECE'!$A$2:$A$225,B565,'03_DESPIECE'!$B$2:$B$225,C565)</f>
        <v>1</v>
      </c>
      <c r="M565" s="2" t="s">
        <v>629</v>
      </c>
    </row>
    <row r="566" customFormat="false" ht="15" hidden="false" customHeight="false" outlineLevel="0" collapsed="false">
      <c r="A566" s="2" t="s">
        <v>610</v>
      </c>
      <c r="B566" s="2" t="s">
        <v>108</v>
      </c>
      <c r="C566" s="2" t="s">
        <v>322</v>
      </c>
      <c r="D566" s="2" t="s">
        <v>176</v>
      </c>
      <c r="E566" s="5" t="n">
        <f aca="false">INDEX('08_PEDIDOS'!$D$2:$D$97,MATCH(A566,'08_PEDIDOS'!$A$2:$A$97,0))</f>
        <v>6</v>
      </c>
      <c r="F566" s="5" t="n">
        <f aca="false">SUMIFS('03_DESPIECE'!$D$2:$D$225,'03_DESPIECE'!$A$2:$A$225,B566,'03_DESPIECE'!$B$2:$B$225,C566)</f>
        <v>2</v>
      </c>
      <c r="G566" s="5" t="n">
        <f aca="false">E566*F566</f>
        <v>12</v>
      </c>
      <c r="H566" s="16" t="n">
        <f aca="false">SUMIFS('03_DESPIECE'!$J$2:$J$225,'03_DESPIECE'!$A$2:$A$225,B566,'03_DESPIECE'!$B$2:$B$225,C566)</f>
        <v>83.5513043478</v>
      </c>
      <c r="I566" s="16" t="n">
        <f aca="false">E566*H566</f>
        <v>501.3078260868</v>
      </c>
      <c r="J566" s="17" t="n">
        <f aca="false">E566*SUMIFS('03_DESPIECE'!$I$2:$I$225,'03_DESPIECE'!$A$2:$A$225,B566,'03_DESPIECE'!$B$2:$B$225,C566)</f>
        <v>67.824</v>
      </c>
      <c r="K566" s="19" t="n">
        <f aca="false">E566*SUMIFS('03_DESPIECE'!$K$2:$K$225,'03_DESPIECE'!$A$2:$A$225,B566,'03_DESPIECE'!$B$2:$B$225,C566)</f>
        <v>1.9999999998</v>
      </c>
      <c r="L566" s="5" t="n">
        <f aca="false">SUMIFS('03_DESPIECE'!$L$2:$L$225,'03_DESPIECE'!$A$2:$A$225,B566,'03_DESPIECE'!$B$2:$B$225,C566)</f>
        <v>1</v>
      </c>
      <c r="M566" s="2" t="s">
        <v>629</v>
      </c>
    </row>
    <row r="567" customFormat="false" ht="15" hidden="false" customHeight="false" outlineLevel="0" collapsed="false">
      <c r="A567" s="2" t="s">
        <v>610</v>
      </c>
      <c r="B567" s="2" t="s">
        <v>108</v>
      </c>
      <c r="C567" s="2" t="s">
        <v>323</v>
      </c>
      <c r="D567" s="2" t="s">
        <v>176</v>
      </c>
      <c r="E567" s="5" t="n">
        <f aca="false">INDEX('08_PEDIDOS'!$D$2:$D$97,MATCH(A567,'08_PEDIDOS'!$A$2:$A$97,0))</f>
        <v>6</v>
      </c>
      <c r="F567" s="5" t="n">
        <f aca="false">SUMIFS('03_DESPIECE'!$D$2:$D$225,'03_DESPIECE'!$A$2:$A$225,B567,'03_DESPIECE'!$B$2:$B$225,C567)</f>
        <v>1</v>
      </c>
      <c r="G567" s="5" t="n">
        <f aca="false">E567*F567</f>
        <v>6</v>
      </c>
      <c r="H567" s="16" t="n">
        <f aca="false">SUMIFS('03_DESPIECE'!$J$2:$J$225,'03_DESPIECE'!$A$2:$A$225,B567,'03_DESPIECE'!$B$2:$B$225,C567)</f>
        <v>156.6586956522</v>
      </c>
      <c r="I567" s="16" t="n">
        <f aca="false">E567*H567</f>
        <v>939.9521739132</v>
      </c>
      <c r="J567" s="17" t="n">
        <f aca="false">E567*SUMIFS('03_DESPIECE'!$I$2:$I$225,'03_DESPIECE'!$A$2:$A$225,B567,'03_DESPIECE'!$B$2:$B$225,C567)</f>
        <v>127.17</v>
      </c>
      <c r="K567" s="19" t="n">
        <f aca="false">E567*SUMIFS('03_DESPIECE'!$K$2:$K$225,'03_DESPIECE'!$A$2:$A$225,B567,'03_DESPIECE'!$B$2:$B$225,C567)</f>
        <v>3.75</v>
      </c>
      <c r="L567" s="5" t="n">
        <f aca="false">SUMIFS('03_DESPIECE'!$L$2:$L$225,'03_DESPIECE'!$A$2:$A$225,B567,'03_DESPIECE'!$B$2:$B$225,C567)</f>
        <v>1</v>
      </c>
      <c r="M567" s="2" t="s">
        <v>629</v>
      </c>
    </row>
    <row r="568" customFormat="false" ht="15" hidden="false" customHeight="false" outlineLevel="0" collapsed="false">
      <c r="A568" s="2" t="s">
        <v>610</v>
      </c>
      <c r="B568" s="2" t="s">
        <v>108</v>
      </c>
      <c r="C568" s="2" t="s">
        <v>324</v>
      </c>
      <c r="D568" s="2" t="s">
        <v>176</v>
      </c>
      <c r="E568" s="5" t="n">
        <f aca="false">INDEX('08_PEDIDOS'!$D$2:$D$97,MATCH(A568,'08_PEDIDOS'!$A$2:$A$97,0))</f>
        <v>6</v>
      </c>
      <c r="F568" s="5" t="n">
        <f aca="false">SUMIFS('03_DESPIECE'!$D$2:$D$225,'03_DESPIECE'!$A$2:$A$225,B568,'03_DESPIECE'!$B$2:$B$225,C568)</f>
        <v>6</v>
      </c>
      <c r="G568" s="5" t="n">
        <f aca="false">E568*F568</f>
        <v>36</v>
      </c>
      <c r="H568" s="16" t="n">
        <f aca="false">SUMIFS('03_DESPIECE'!$J$2:$J$225,'03_DESPIECE'!$A$2:$A$225,B568,'03_DESPIECE'!$B$2:$B$225,C568)</f>
        <v>156.6586956522</v>
      </c>
      <c r="I568" s="16" t="n">
        <f aca="false">E568*H568</f>
        <v>939.9521739132</v>
      </c>
      <c r="J568" s="17" t="n">
        <f aca="false">E568*SUMIFS('03_DESPIECE'!$I$2:$I$225,'03_DESPIECE'!$A$2:$A$225,B568,'03_DESPIECE'!$B$2:$B$225,C568)</f>
        <v>127.17</v>
      </c>
      <c r="K568" s="19" t="n">
        <f aca="false">E568*SUMIFS('03_DESPIECE'!$K$2:$K$225,'03_DESPIECE'!$A$2:$A$225,B568,'03_DESPIECE'!$B$2:$B$225,C568)</f>
        <v>3.75</v>
      </c>
      <c r="L568" s="5" t="n">
        <f aca="false">SUMIFS('03_DESPIECE'!$L$2:$L$225,'03_DESPIECE'!$A$2:$A$225,B568,'03_DESPIECE'!$B$2:$B$225,C568)</f>
        <v>1</v>
      </c>
      <c r="M568" s="2" t="s">
        <v>629</v>
      </c>
    </row>
    <row r="569" customFormat="false" ht="15" hidden="false" customHeight="false" outlineLevel="0" collapsed="false">
      <c r="A569" s="2" t="s">
        <v>610</v>
      </c>
      <c r="B569" s="2" t="s">
        <v>108</v>
      </c>
      <c r="C569" s="2" t="s">
        <v>325</v>
      </c>
      <c r="D569" s="2" t="s">
        <v>176</v>
      </c>
      <c r="E569" s="5" t="n">
        <f aca="false">INDEX('08_PEDIDOS'!$D$2:$D$97,MATCH(A569,'08_PEDIDOS'!$A$2:$A$97,0))</f>
        <v>6</v>
      </c>
      <c r="F569" s="5" t="n">
        <f aca="false">SUMIFS('03_DESPIECE'!$D$2:$D$225,'03_DESPIECE'!$A$2:$A$225,B569,'03_DESPIECE'!$B$2:$B$225,C569)</f>
        <v>2</v>
      </c>
      <c r="G569" s="5" t="n">
        <f aca="false">E569*F569</f>
        <v>12</v>
      </c>
      <c r="H569" s="16" t="n">
        <f aca="false">SUMIFS('03_DESPIECE'!$J$2:$J$225,'03_DESPIECE'!$A$2:$A$225,B569,'03_DESPIECE'!$B$2:$B$225,C569)</f>
        <v>121.8456521739</v>
      </c>
      <c r="I569" s="16" t="n">
        <f aca="false">E569*H569</f>
        <v>731.0739130434</v>
      </c>
      <c r="J569" s="17" t="n">
        <f aca="false">E569*SUMIFS('03_DESPIECE'!$I$2:$I$225,'03_DESPIECE'!$A$2:$A$225,B569,'03_DESPIECE'!$B$2:$B$225,C569)</f>
        <v>98.91</v>
      </c>
      <c r="K569" s="19" t="n">
        <f aca="false">E569*SUMIFS('03_DESPIECE'!$K$2:$K$225,'03_DESPIECE'!$A$2:$A$225,B569,'03_DESPIECE'!$B$2:$B$225,C569)</f>
        <v>2.9166666666</v>
      </c>
      <c r="L569" s="5" t="n">
        <f aca="false">SUMIFS('03_DESPIECE'!$L$2:$L$225,'03_DESPIECE'!$A$2:$A$225,B569,'03_DESPIECE'!$B$2:$B$225,C569)</f>
        <v>1</v>
      </c>
      <c r="M569" s="2" t="s">
        <v>629</v>
      </c>
    </row>
    <row r="570" customFormat="false" ht="15" hidden="false" customHeight="false" outlineLevel="0" collapsed="false">
      <c r="A570" s="2" t="s">
        <v>610</v>
      </c>
      <c r="B570" s="2" t="s">
        <v>108</v>
      </c>
      <c r="C570" s="2" t="s">
        <v>326</v>
      </c>
      <c r="D570" s="2" t="s">
        <v>176</v>
      </c>
      <c r="E570" s="5" t="n">
        <f aca="false">INDEX('08_PEDIDOS'!$D$2:$D$97,MATCH(A570,'08_PEDIDOS'!$A$2:$A$97,0))</f>
        <v>6</v>
      </c>
      <c r="F570" s="5" t="n">
        <f aca="false">SUMIFS('03_DESPIECE'!$D$2:$D$225,'03_DESPIECE'!$A$2:$A$225,B570,'03_DESPIECE'!$B$2:$B$225,C570)</f>
        <v>4</v>
      </c>
      <c r="G570" s="5" t="n">
        <f aca="false">E570*F570</f>
        <v>24</v>
      </c>
      <c r="H570" s="16" t="n">
        <f aca="false">SUMIFS('03_DESPIECE'!$J$2:$J$225,'03_DESPIECE'!$A$2:$A$225,B570,'03_DESPIECE'!$B$2:$B$225,C570)</f>
        <v>139.252173913</v>
      </c>
      <c r="I570" s="16" t="n">
        <f aca="false">E570*H570</f>
        <v>835.513043478</v>
      </c>
      <c r="J570" s="17" t="n">
        <f aca="false">E570*SUMIFS('03_DESPIECE'!$I$2:$I$225,'03_DESPIECE'!$A$2:$A$225,B570,'03_DESPIECE'!$B$2:$B$225,C570)</f>
        <v>113.04</v>
      </c>
      <c r="K570" s="19" t="n">
        <f aca="false">E570*SUMIFS('03_DESPIECE'!$K$2:$K$225,'03_DESPIECE'!$A$2:$A$225,B570,'03_DESPIECE'!$B$2:$B$225,C570)</f>
        <v>3.3333333336</v>
      </c>
      <c r="L570" s="5" t="n">
        <f aca="false">SUMIFS('03_DESPIECE'!$L$2:$L$225,'03_DESPIECE'!$A$2:$A$225,B570,'03_DESPIECE'!$B$2:$B$225,C570)</f>
        <v>1</v>
      </c>
      <c r="M570" s="2" t="s">
        <v>629</v>
      </c>
    </row>
    <row r="571" customFormat="false" ht="15" hidden="false" customHeight="false" outlineLevel="0" collapsed="false">
      <c r="A571" s="2" t="s">
        <v>610</v>
      </c>
      <c r="B571" s="2" t="s">
        <v>108</v>
      </c>
      <c r="C571" s="2" t="s">
        <v>319</v>
      </c>
      <c r="D571" s="2" t="s">
        <v>188</v>
      </c>
      <c r="E571" s="5" t="n">
        <f aca="false">INDEX('08_PEDIDOS'!$D$2:$D$97,MATCH(A571,'08_PEDIDOS'!$A$2:$A$97,0))</f>
        <v>6</v>
      </c>
      <c r="F571" s="5" t="n">
        <f aca="false">SUMIFS('03_DESPIECE'!$D$2:$D$225,'03_DESPIECE'!$A$2:$A$225,B571,'03_DESPIECE'!$B$2:$B$225,C571)</f>
        <v>12</v>
      </c>
      <c r="G571" s="5" t="n">
        <f aca="false">E571*F571</f>
        <v>72</v>
      </c>
      <c r="H571" s="16" t="n">
        <f aca="false">SUMIFS('03_DESPIECE'!$J$2:$J$225,'03_DESPIECE'!$A$2:$A$225,B571,'03_DESPIECE'!$B$2:$B$225,C571)</f>
        <v>10.8</v>
      </c>
      <c r="I571" s="16" t="n">
        <f aca="false">E571*H571</f>
        <v>64.8</v>
      </c>
      <c r="J571" s="17" t="n">
        <f aca="false">E571*SUMIFS('03_DESPIECE'!$I$2:$I$225,'03_DESPIECE'!$A$2:$A$225,B571,'03_DESPIECE'!$B$2:$B$225,C571)</f>
        <v>0</v>
      </c>
      <c r="K571" s="19" t="n">
        <f aca="false">E571*SUMIFS('03_DESPIECE'!$K$2:$K$225,'03_DESPIECE'!$A$2:$A$225,B571,'03_DESPIECE'!$B$2:$B$225,C571)</f>
        <v>0</v>
      </c>
      <c r="L571" s="5" t="n">
        <f aca="false">SUMIFS('03_DESPIECE'!$L$2:$L$225,'03_DESPIECE'!$A$2:$A$225,B571,'03_DESPIECE'!$B$2:$B$225,C571)</f>
        <v>1</v>
      </c>
      <c r="M571" s="2" t="s">
        <v>629</v>
      </c>
    </row>
    <row r="572" customFormat="false" ht="15" hidden="false" customHeight="false" outlineLevel="0" collapsed="false">
      <c r="A572" s="2" t="s">
        <v>610</v>
      </c>
      <c r="B572" s="2" t="s">
        <v>108</v>
      </c>
      <c r="C572" s="2" t="s">
        <v>320</v>
      </c>
      <c r="D572" s="2" t="s">
        <v>188</v>
      </c>
      <c r="E572" s="5" t="n">
        <f aca="false">INDEX('08_PEDIDOS'!$D$2:$D$97,MATCH(A572,'08_PEDIDOS'!$A$2:$A$97,0))</f>
        <v>6</v>
      </c>
      <c r="F572" s="5" t="n">
        <f aca="false">SUMIFS('03_DESPIECE'!$D$2:$D$225,'03_DESPIECE'!$A$2:$A$225,B572,'03_DESPIECE'!$B$2:$B$225,C572)</f>
        <v>6</v>
      </c>
      <c r="G572" s="5" t="n">
        <f aca="false">E572*F572</f>
        <v>36</v>
      </c>
      <c r="H572" s="16" t="n">
        <f aca="false">SUMIFS('03_DESPIECE'!$J$2:$J$225,'03_DESPIECE'!$A$2:$A$225,B572,'03_DESPIECE'!$B$2:$B$225,C572)</f>
        <v>5.4</v>
      </c>
      <c r="I572" s="16" t="n">
        <f aca="false">E572*H572</f>
        <v>32.4</v>
      </c>
      <c r="J572" s="17" t="n">
        <f aca="false">E572*SUMIFS('03_DESPIECE'!$I$2:$I$225,'03_DESPIECE'!$A$2:$A$225,B572,'03_DESPIECE'!$B$2:$B$225,C572)</f>
        <v>0</v>
      </c>
      <c r="K572" s="19" t="n">
        <f aca="false">E572*SUMIFS('03_DESPIECE'!$K$2:$K$225,'03_DESPIECE'!$A$2:$A$225,B572,'03_DESPIECE'!$B$2:$B$225,C572)</f>
        <v>0</v>
      </c>
      <c r="L572" s="5" t="n">
        <f aca="false">SUMIFS('03_DESPIECE'!$L$2:$L$225,'03_DESPIECE'!$A$2:$A$225,B572,'03_DESPIECE'!$B$2:$B$225,C572)</f>
        <v>1</v>
      </c>
      <c r="M572" s="2" t="s">
        <v>629</v>
      </c>
    </row>
    <row r="573" customFormat="false" ht="15" hidden="false" customHeight="false" outlineLevel="0" collapsed="false">
      <c r="A573" s="2" t="s">
        <v>611</v>
      </c>
      <c r="B573" s="2" t="s">
        <v>119</v>
      </c>
      <c r="C573" s="2" t="s">
        <v>327</v>
      </c>
      <c r="D573" s="2" t="s">
        <v>174</v>
      </c>
      <c r="E573" s="5" t="n">
        <f aca="false">INDEX('08_PEDIDOS'!$D$2:$D$97,MATCH(A573,'08_PEDIDOS'!$A$2:$A$97,0))</f>
        <v>10</v>
      </c>
      <c r="F573" s="5" t="n">
        <f aca="false">SUMIFS('03_DESPIECE'!$D$2:$D$225,'03_DESPIECE'!$A$2:$A$225,B573,'03_DESPIECE'!$B$2:$B$225,C573)</f>
        <v>2</v>
      </c>
      <c r="G573" s="5" t="n">
        <f aca="false">E573*F573</f>
        <v>20</v>
      </c>
      <c r="H573" s="16" t="n">
        <f aca="false">SUMIFS('03_DESPIECE'!$J$2:$J$225,'03_DESPIECE'!$A$2:$A$225,B573,'03_DESPIECE'!$B$2:$B$225,C573)</f>
        <v>110.2413043478</v>
      </c>
      <c r="I573" s="16" t="n">
        <f aca="false">E573*H573</f>
        <v>1102.413043478</v>
      </c>
      <c r="J573" s="17" t="n">
        <f aca="false">E573*SUMIFS('03_DESPIECE'!$I$2:$I$225,'03_DESPIECE'!$A$2:$A$225,B573,'03_DESPIECE'!$B$2:$B$225,C573)</f>
        <v>149.15</v>
      </c>
      <c r="K573" s="19" t="n">
        <f aca="false">E573*SUMIFS('03_DESPIECE'!$K$2:$K$225,'03_DESPIECE'!$A$2:$A$225,B573,'03_DESPIECE'!$B$2:$B$225,C573)</f>
        <v>6.597222222</v>
      </c>
      <c r="L573" s="5" t="n">
        <f aca="false">SUMIFS('03_DESPIECE'!$L$2:$L$225,'03_DESPIECE'!$A$2:$A$225,B573,'03_DESPIECE'!$B$2:$B$225,C573)</f>
        <v>1</v>
      </c>
      <c r="M573" s="2" t="s">
        <v>629</v>
      </c>
    </row>
    <row r="574" customFormat="false" ht="15" hidden="false" customHeight="false" outlineLevel="0" collapsed="false">
      <c r="A574" s="2" t="s">
        <v>611</v>
      </c>
      <c r="B574" s="2" t="s">
        <v>119</v>
      </c>
      <c r="C574" s="2" t="s">
        <v>316</v>
      </c>
      <c r="D574" s="2" t="s">
        <v>174</v>
      </c>
      <c r="E574" s="5" t="n">
        <f aca="false">INDEX('08_PEDIDOS'!$D$2:$D$97,MATCH(A574,'08_PEDIDOS'!$A$2:$A$97,0))</f>
        <v>10</v>
      </c>
      <c r="F574" s="5" t="n">
        <f aca="false">SUMIFS('03_DESPIECE'!$D$2:$D$225,'03_DESPIECE'!$A$2:$A$225,B574,'03_DESPIECE'!$B$2:$B$225,C574)</f>
        <v>1</v>
      </c>
      <c r="G574" s="5" t="n">
        <f aca="false">E574*F574</f>
        <v>10</v>
      </c>
      <c r="H574" s="16" t="n">
        <f aca="false">SUMIFS('03_DESPIECE'!$J$2:$J$225,'03_DESPIECE'!$A$2:$A$225,B574,'03_DESPIECE'!$B$2:$B$225,C574)</f>
        <v>75.4282608696</v>
      </c>
      <c r="I574" s="16" t="n">
        <f aca="false">E574*H574</f>
        <v>754.282608696</v>
      </c>
      <c r="J574" s="17" t="n">
        <f aca="false">E574*SUMIFS('03_DESPIECE'!$I$2:$I$225,'03_DESPIECE'!$A$2:$A$225,B574,'03_DESPIECE'!$B$2:$B$225,C574)</f>
        <v>102.05</v>
      </c>
      <c r="K574" s="19" t="n">
        <f aca="false">E574*SUMIFS('03_DESPIECE'!$K$2:$K$225,'03_DESPIECE'!$A$2:$A$225,B574,'03_DESPIECE'!$B$2:$B$225,C574)</f>
        <v>4.513888889</v>
      </c>
      <c r="L574" s="5" t="n">
        <f aca="false">SUMIFS('03_DESPIECE'!$L$2:$L$225,'03_DESPIECE'!$A$2:$A$225,B574,'03_DESPIECE'!$B$2:$B$225,C574)</f>
        <v>1</v>
      </c>
      <c r="M574" s="2" t="s">
        <v>629</v>
      </c>
    </row>
    <row r="575" customFormat="false" ht="15" hidden="false" customHeight="false" outlineLevel="0" collapsed="false">
      <c r="A575" s="2" t="s">
        <v>611</v>
      </c>
      <c r="B575" s="2" t="s">
        <v>119</v>
      </c>
      <c r="C575" s="2" t="s">
        <v>322</v>
      </c>
      <c r="D575" s="2" t="s">
        <v>174</v>
      </c>
      <c r="E575" s="5" t="n">
        <f aca="false">INDEX('08_PEDIDOS'!$D$2:$D$97,MATCH(A575,'08_PEDIDOS'!$A$2:$A$97,0))</f>
        <v>10</v>
      </c>
      <c r="F575" s="5" t="n">
        <f aca="false">SUMIFS('03_DESPIECE'!$D$2:$D$225,'03_DESPIECE'!$A$2:$A$225,B575,'03_DESPIECE'!$B$2:$B$225,C575)</f>
        <v>2</v>
      </c>
      <c r="G575" s="5" t="n">
        <f aca="false">E575*F575</f>
        <v>20</v>
      </c>
      <c r="H575" s="16" t="n">
        <f aca="false">SUMIFS('03_DESPIECE'!$J$2:$J$225,'03_DESPIECE'!$A$2:$A$225,B575,'03_DESPIECE'!$B$2:$B$225,C575)</f>
        <v>58.0217391304</v>
      </c>
      <c r="I575" s="16" t="n">
        <f aca="false">E575*H575</f>
        <v>580.217391304</v>
      </c>
      <c r="J575" s="17" t="n">
        <f aca="false">E575*SUMIFS('03_DESPIECE'!$I$2:$I$225,'03_DESPIECE'!$A$2:$A$225,B575,'03_DESPIECE'!$B$2:$B$225,C575)</f>
        <v>78.5</v>
      </c>
      <c r="K575" s="19" t="n">
        <f aca="false">E575*SUMIFS('03_DESPIECE'!$K$2:$K$225,'03_DESPIECE'!$A$2:$A$225,B575,'03_DESPIECE'!$B$2:$B$225,C575)</f>
        <v>3.472222222</v>
      </c>
      <c r="L575" s="5" t="n">
        <f aca="false">SUMIFS('03_DESPIECE'!$L$2:$L$225,'03_DESPIECE'!$A$2:$A$225,B575,'03_DESPIECE'!$B$2:$B$225,C575)</f>
        <v>1</v>
      </c>
      <c r="M575" s="2" t="s">
        <v>629</v>
      </c>
    </row>
    <row r="576" customFormat="false" ht="15" hidden="false" customHeight="false" outlineLevel="0" collapsed="false">
      <c r="A576" s="2" t="s">
        <v>611</v>
      </c>
      <c r="B576" s="2" t="s">
        <v>119</v>
      </c>
      <c r="C576" s="2" t="s">
        <v>328</v>
      </c>
      <c r="D576" s="2" t="s">
        <v>174</v>
      </c>
      <c r="E576" s="5" t="n">
        <f aca="false">INDEX('08_PEDIDOS'!$D$2:$D$97,MATCH(A576,'08_PEDIDOS'!$A$2:$A$97,0))</f>
        <v>10</v>
      </c>
      <c r="F576" s="5" t="n">
        <f aca="false">SUMIFS('03_DESPIECE'!$D$2:$D$225,'03_DESPIECE'!$A$2:$A$225,B576,'03_DESPIECE'!$B$2:$B$225,C576)</f>
        <v>2</v>
      </c>
      <c r="G576" s="5" t="n">
        <f aca="false">E576*F576</f>
        <v>20</v>
      </c>
      <c r="H576" s="16" t="n">
        <f aca="false">SUMIFS('03_DESPIECE'!$J$2:$J$225,'03_DESPIECE'!$A$2:$A$225,B576,'03_DESPIECE'!$B$2:$B$225,C576)</f>
        <v>81.2304347826</v>
      </c>
      <c r="I576" s="16" t="n">
        <f aca="false">E576*H576</f>
        <v>812.304347826</v>
      </c>
      <c r="J576" s="17" t="n">
        <f aca="false">E576*SUMIFS('03_DESPIECE'!$I$2:$I$225,'03_DESPIECE'!$A$2:$A$225,B576,'03_DESPIECE'!$B$2:$B$225,C576)</f>
        <v>109.9</v>
      </c>
      <c r="K576" s="19" t="n">
        <f aca="false">E576*SUMIFS('03_DESPIECE'!$K$2:$K$225,'03_DESPIECE'!$A$2:$A$225,B576,'03_DESPIECE'!$B$2:$B$225,C576)</f>
        <v>4.861111111</v>
      </c>
      <c r="L576" s="5" t="n">
        <f aca="false">SUMIFS('03_DESPIECE'!$L$2:$L$225,'03_DESPIECE'!$A$2:$A$225,B576,'03_DESPIECE'!$B$2:$B$225,C576)</f>
        <v>1</v>
      </c>
      <c r="M576" s="2" t="s">
        <v>629</v>
      </c>
    </row>
    <row r="577" customFormat="false" ht="15" hidden="false" customHeight="false" outlineLevel="0" collapsed="false">
      <c r="A577" s="2" t="s">
        <v>611</v>
      </c>
      <c r="B577" s="2" t="s">
        <v>119</v>
      </c>
      <c r="C577" s="2" t="s">
        <v>310</v>
      </c>
      <c r="D577" s="2" t="s">
        <v>174</v>
      </c>
      <c r="E577" s="5" t="n">
        <f aca="false">INDEX('08_PEDIDOS'!$D$2:$D$97,MATCH(A577,'08_PEDIDOS'!$A$2:$A$97,0))</f>
        <v>10</v>
      </c>
      <c r="F577" s="5" t="n">
        <f aca="false">SUMIFS('03_DESPIECE'!$D$2:$D$225,'03_DESPIECE'!$A$2:$A$225,B577,'03_DESPIECE'!$B$2:$B$225,C577)</f>
        <v>3</v>
      </c>
      <c r="G577" s="5" t="n">
        <f aca="false">E577*F577</f>
        <v>30</v>
      </c>
      <c r="H577" s="16" t="n">
        <f aca="false">SUMIFS('03_DESPIECE'!$J$2:$J$225,'03_DESPIECE'!$A$2:$A$225,B577,'03_DESPIECE'!$B$2:$B$225,C577)</f>
        <v>83.5513043478</v>
      </c>
      <c r="I577" s="16" t="n">
        <f aca="false">E577*H577</f>
        <v>835.513043478</v>
      </c>
      <c r="J577" s="17" t="n">
        <f aca="false">E577*SUMIFS('03_DESPIECE'!$I$2:$I$225,'03_DESPIECE'!$A$2:$A$225,B577,'03_DESPIECE'!$B$2:$B$225,C577)</f>
        <v>113.04</v>
      </c>
      <c r="K577" s="19" t="n">
        <f aca="false">E577*SUMIFS('03_DESPIECE'!$K$2:$K$225,'03_DESPIECE'!$A$2:$A$225,B577,'03_DESPIECE'!$B$2:$B$225,C577)</f>
        <v>5</v>
      </c>
      <c r="L577" s="5" t="n">
        <f aca="false">SUMIFS('03_DESPIECE'!$L$2:$L$225,'03_DESPIECE'!$A$2:$A$225,B577,'03_DESPIECE'!$B$2:$B$225,C577)</f>
        <v>1</v>
      </c>
      <c r="M577" s="2" t="s">
        <v>629</v>
      </c>
    </row>
    <row r="578" customFormat="false" ht="15" hidden="false" customHeight="false" outlineLevel="0" collapsed="false">
      <c r="A578" s="2" t="s">
        <v>611</v>
      </c>
      <c r="B578" s="2" t="s">
        <v>119</v>
      </c>
      <c r="C578" s="2" t="s">
        <v>319</v>
      </c>
      <c r="D578" s="2" t="s">
        <v>188</v>
      </c>
      <c r="E578" s="5" t="n">
        <f aca="false">INDEX('08_PEDIDOS'!$D$2:$D$97,MATCH(A578,'08_PEDIDOS'!$A$2:$A$97,0))</f>
        <v>10</v>
      </c>
      <c r="F578" s="5" t="n">
        <f aca="false">SUMIFS('03_DESPIECE'!$D$2:$D$225,'03_DESPIECE'!$A$2:$A$225,B578,'03_DESPIECE'!$B$2:$B$225,C578)</f>
        <v>4</v>
      </c>
      <c r="G578" s="5" t="n">
        <f aca="false">E578*F578</f>
        <v>40</v>
      </c>
      <c r="H578" s="16" t="n">
        <f aca="false">SUMIFS('03_DESPIECE'!$J$2:$J$225,'03_DESPIECE'!$A$2:$A$225,B578,'03_DESPIECE'!$B$2:$B$225,C578)</f>
        <v>3.6</v>
      </c>
      <c r="I578" s="16" t="n">
        <f aca="false">E578*H578</f>
        <v>36</v>
      </c>
      <c r="J578" s="17" t="n">
        <f aca="false">E578*SUMIFS('03_DESPIECE'!$I$2:$I$225,'03_DESPIECE'!$A$2:$A$225,B578,'03_DESPIECE'!$B$2:$B$225,C578)</f>
        <v>0</v>
      </c>
      <c r="K578" s="19" t="n">
        <f aca="false">E578*SUMIFS('03_DESPIECE'!$K$2:$K$225,'03_DESPIECE'!$A$2:$A$225,B578,'03_DESPIECE'!$B$2:$B$225,C578)</f>
        <v>0</v>
      </c>
      <c r="L578" s="5" t="n">
        <f aca="false">SUMIFS('03_DESPIECE'!$L$2:$L$225,'03_DESPIECE'!$A$2:$A$225,B578,'03_DESPIECE'!$B$2:$B$225,C578)</f>
        <v>1</v>
      </c>
      <c r="M578" s="2" t="s">
        <v>629</v>
      </c>
    </row>
    <row r="579" customFormat="false" ht="15" hidden="false" customHeight="false" outlineLevel="0" collapsed="false">
      <c r="A579" s="2" t="s">
        <v>611</v>
      </c>
      <c r="B579" s="2" t="s">
        <v>119</v>
      </c>
      <c r="C579" s="2" t="s">
        <v>320</v>
      </c>
      <c r="D579" s="2" t="s">
        <v>188</v>
      </c>
      <c r="E579" s="5" t="n">
        <f aca="false">INDEX('08_PEDIDOS'!$D$2:$D$97,MATCH(A579,'08_PEDIDOS'!$A$2:$A$97,0))</f>
        <v>10</v>
      </c>
      <c r="F579" s="5" t="n">
        <f aca="false">SUMIFS('03_DESPIECE'!$D$2:$D$225,'03_DESPIECE'!$A$2:$A$225,B579,'03_DESPIECE'!$B$2:$B$225,C579)</f>
        <v>2</v>
      </c>
      <c r="G579" s="5" t="n">
        <f aca="false">E579*F579</f>
        <v>20</v>
      </c>
      <c r="H579" s="16" t="n">
        <f aca="false">SUMIFS('03_DESPIECE'!$J$2:$J$225,'03_DESPIECE'!$A$2:$A$225,B579,'03_DESPIECE'!$B$2:$B$225,C579)</f>
        <v>1.8</v>
      </c>
      <c r="I579" s="16" t="n">
        <f aca="false">E579*H579</f>
        <v>18</v>
      </c>
      <c r="J579" s="17" t="n">
        <f aca="false">E579*SUMIFS('03_DESPIECE'!$I$2:$I$225,'03_DESPIECE'!$A$2:$A$225,B579,'03_DESPIECE'!$B$2:$B$225,C579)</f>
        <v>0</v>
      </c>
      <c r="K579" s="19" t="n">
        <f aca="false">E579*SUMIFS('03_DESPIECE'!$K$2:$K$225,'03_DESPIECE'!$A$2:$A$225,B579,'03_DESPIECE'!$B$2:$B$225,C579)</f>
        <v>0</v>
      </c>
      <c r="L579" s="5" t="n">
        <f aca="false">SUMIFS('03_DESPIECE'!$L$2:$L$225,'03_DESPIECE'!$A$2:$A$225,B579,'03_DESPIECE'!$B$2:$B$225,C579)</f>
        <v>1</v>
      </c>
      <c r="M579" s="2" t="s">
        <v>629</v>
      </c>
    </row>
    <row r="580" customFormat="false" ht="15" hidden="false" customHeight="false" outlineLevel="0" collapsed="false">
      <c r="A580" s="2" t="s">
        <v>612</v>
      </c>
      <c r="B580" s="2" t="s">
        <v>121</v>
      </c>
      <c r="C580" s="2" t="s">
        <v>329</v>
      </c>
      <c r="D580" s="2" t="s">
        <v>184</v>
      </c>
      <c r="E580" s="5" t="n">
        <f aca="false">INDEX('08_PEDIDOS'!$D$2:$D$97,MATCH(A580,'08_PEDIDOS'!$A$2:$A$97,0))</f>
        <v>10</v>
      </c>
      <c r="F580" s="5" t="n">
        <f aca="false">SUMIFS('03_DESPIECE'!$D$2:$D$225,'03_DESPIECE'!$A$2:$A$225,B580,'03_DESPIECE'!$B$2:$B$225,C580)</f>
        <v>4</v>
      </c>
      <c r="G580" s="5" t="n">
        <f aca="false">E580*F580</f>
        <v>40</v>
      </c>
      <c r="H580" s="16" t="n">
        <f aca="false">SUMIFS('03_DESPIECE'!$J$2:$J$225,'03_DESPIECE'!$A$2:$A$225,B580,'03_DESPIECE'!$B$2:$B$225,C580)</f>
        <v>62.90625</v>
      </c>
      <c r="I580" s="16" t="n">
        <f aca="false">E580*H580</f>
        <v>629.0625</v>
      </c>
      <c r="J580" s="17" t="n">
        <f aca="false">E580*SUMIFS('03_DESPIECE'!$I$2:$I$225,'03_DESPIECE'!$A$2:$A$225,B580,'03_DESPIECE'!$B$2:$B$225,C580)</f>
        <v>99</v>
      </c>
      <c r="K580" s="19" t="n">
        <f aca="false">E580*SUMIFS('03_DESPIECE'!$K$2:$K$225,'03_DESPIECE'!$A$2:$A$225,B580,'03_DESPIECE'!$B$2:$B$225,C580)</f>
        <v>0</v>
      </c>
      <c r="L580" s="5" t="n">
        <f aca="false">SUMIFS('03_DESPIECE'!$L$2:$L$225,'03_DESPIECE'!$A$2:$A$225,B580,'03_DESPIECE'!$B$2:$B$225,C580)</f>
        <v>1</v>
      </c>
      <c r="M580" s="2" t="s">
        <v>629</v>
      </c>
    </row>
    <row r="581" customFormat="false" ht="15" hidden="false" customHeight="false" outlineLevel="0" collapsed="false">
      <c r="A581" s="2" t="s">
        <v>612</v>
      </c>
      <c r="B581" s="2" t="s">
        <v>121</v>
      </c>
      <c r="C581" s="2" t="s">
        <v>330</v>
      </c>
      <c r="D581" s="2" t="s">
        <v>184</v>
      </c>
      <c r="E581" s="5" t="n">
        <f aca="false">INDEX('08_PEDIDOS'!$D$2:$D$97,MATCH(A581,'08_PEDIDOS'!$A$2:$A$97,0))</f>
        <v>10</v>
      </c>
      <c r="F581" s="5" t="n">
        <f aca="false">SUMIFS('03_DESPIECE'!$D$2:$D$225,'03_DESPIECE'!$A$2:$A$225,B581,'03_DESPIECE'!$B$2:$B$225,C581)</f>
        <v>8</v>
      </c>
      <c r="G581" s="5" t="n">
        <f aca="false">E581*F581</f>
        <v>80</v>
      </c>
      <c r="H581" s="16" t="n">
        <f aca="false">SUMIFS('03_DESPIECE'!$J$2:$J$225,'03_DESPIECE'!$A$2:$A$225,B581,'03_DESPIECE'!$B$2:$B$225,C581)</f>
        <v>68.625</v>
      </c>
      <c r="I581" s="16" t="n">
        <f aca="false">E581*H581</f>
        <v>686.25</v>
      </c>
      <c r="J581" s="17" t="n">
        <f aca="false">E581*SUMIFS('03_DESPIECE'!$I$2:$I$225,'03_DESPIECE'!$A$2:$A$225,B581,'03_DESPIECE'!$B$2:$B$225,C581)</f>
        <v>108</v>
      </c>
      <c r="K581" s="19" t="n">
        <f aca="false">E581*SUMIFS('03_DESPIECE'!$K$2:$K$225,'03_DESPIECE'!$A$2:$A$225,B581,'03_DESPIECE'!$B$2:$B$225,C581)</f>
        <v>0</v>
      </c>
      <c r="L581" s="5" t="n">
        <f aca="false">SUMIFS('03_DESPIECE'!$L$2:$L$225,'03_DESPIECE'!$A$2:$A$225,B581,'03_DESPIECE'!$B$2:$B$225,C581)</f>
        <v>1</v>
      </c>
      <c r="M581" s="2" t="s">
        <v>629</v>
      </c>
    </row>
    <row r="582" customFormat="false" ht="15" hidden="false" customHeight="false" outlineLevel="0" collapsed="false">
      <c r="A582" s="2" t="s">
        <v>612</v>
      </c>
      <c r="B582" s="2" t="s">
        <v>121</v>
      </c>
      <c r="C582" s="2" t="s">
        <v>310</v>
      </c>
      <c r="D582" s="2" t="s">
        <v>174</v>
      </c>
      <c r="E582" s="5" t="n">
        <f aca="false">INDEX('08_PEDIDOS'!$D$2:$D$97,MATCH(A582,'08_PEDIDOS'!$A$2:$A$97,0))</f>
        <v>10</v>
      </c>
      <c r="F582" s="5" t="n">
        <f aca="false">SUMIFS('03_DESPIECE'!$D$2:$D$225,'03_DESPIECE'!$A$2:$A$225,B582,'03_DESPIECE'!$B$2:$B$225,C582)</f>
        <v>5</v>
      </c>
      <c r="G582" s="5" t="n">
        <f aca="false">E582*F582</f>
        <v>50</v>
      </c>
      <c r="H582" s="16" t="n">
        <f aca="false">SUMIFS('03_DESPIECE'!$J$2:$J$225,'03_DESPIECE'!$A$2:$A$225,B582,'03_DESPIECE'!$B$2:$B$225,C582)</f>
        <v>116.0434782609</v>
      </c>
      <c r="I582" s="16" t="n">
        <f aca="false">E582*H582</f>
        <v>1160.434782609</v>
      </c>
      <c r="J582" s="17" t="n">
        <f aca="false">E582*SUMIFS('03_DESPIECE'!$I$2:$I$225,'03_DESPIECE'!$A$2:$A$225,B582,'03_DESPIECE'!$B$2:$B$225,C582)</f>
        <v>157</v>
      </c>
      <c r="K582" s="19" t="n">
        <f aca="false">E582*SUMIFS('03_DESPIECE'!$K$2:$K$225,'03_DESPIECE'!$A$2:$A$225,B582,'03_DESPIECE'!$B$2:$B$225,C582)</f>
        <v>6.944444444</v>
      </c>
      <c r="L582" s="5" t="n">
        <f aca="false">SUMIFS('03_DESPIECE'!$L$2:$L$225,'03_DESPIECE'!$A$2:$A$225,B582,'03_DESPIECE'!$B$2:$B$225,C582)</f>
        <v>1</v>
      </c>
      <c r="M582" s="2" t="s">
        <v>629</v>
      </c>
    </row>
    <row r="583" customFormat="false" ht="15" hidden="false" customHeight="false" outlineLevel="0" collapsed="false">
      <c r="A583" s="2" t="s">
        <v>612</v>
      </c>
      <c r="B583" s="2" t="s">
        <v>121</v>
      </c>
      <c r="C583" s="2" t="s">
        <v>331</v>
      </c>
      <c r="D583" s="2" t="s">
        <v>174</v>
      </c>
      <c r="E583" s="5" t="n">
        <f aca="false">INDEX('08_PEDIDOS'!$D$2:$D$97,MATCH(A583,'08_PEDIDOS'!$A$2:$A$97,0))</f>
        <v>10</v>
      </c>
      <c r="F583" s="5" t="n">
        <f aca="false">SUMIFS('03_DESPIECE'!$D$2:$D$225,'03_DESPIECE'!$A$2:$A$225,B583,'03_DESPIECE'!$B$2:$B$225,C583)</f>
        <v>8</v>
      </c>
      <c r="G583" s="5" t="n">
        <f aca="false">E583*F583</f>
        <v>80</v>
      </c>
      <c r="H583" s="16" t="n">
        <f aca="false">SUMIFS('03_DESPIECE'!$J$2:$J$225,'03_DESPIECE'!$A$2:$A$225,B583,'03_DESPIECE'!$B$2:$B$225,C583)</f>
        <v>16.2460869565</v>
      </c>
      <c r="I583" s="16" t="n">
        <f aca="false">E583*H583</f>
        <v>162.460869565</v>
      </c>
      <c r="J583" s="17" t="n">
        <f aca="false">E583*SUMIFS('03_DESPIECE'!$I$2:$I$225,'03_DESPIECE'!$A$2:$A$225,B583,'03_DESPIECE'!$B$2:$B$225,C583)</f>
        <v>21.98</v>
      </c>
      <c r="K583" s="19" t="n">
        <f aca="false">E583*SUMIFS('03_DESPIECE'!$K$2:$K$225,'03_DESPIECE'!$A$2:$A$225,B583,'03_DESPIECE'!$B$2:$B$225,C583)</f>
        <v>0.972222222</v>
      </c>
      <c r="L583" s="5" t="n">
        <f aca="false">SUMIFS('03_DESPIECE'!$L$2:$L$225,'03_DESPIECE'!$A$2:$A$225,B583,'03_DESPIECE'!$B$2:$B$225,C583)</f>
        <v>1</v>
      </c>
      <c r="M583" s="2" t="s">
        <v>629</v>
      </c>
    </row>
    <row r="584" customFormat="false" ht="15" hidden="false" customHeight="false" outlineLevel="0" collapsed="false">
      <c r="A584" s="2" t="s">
        <v>612</v>
      </c>
      <c r="B584" s="2" t="s">
        <v>121</v>
      </c>
      <c r="C584" s="2" t="s">
        <v>332</v>
      </c>
      <c r="D584" s="2" t="s">
        <v>188</v>
      </c>
      <c r="E584" s="5" t="n">
        <f aca="false">INDEX('08_PEDIDOS'!$D$2:$D$97,MATCH(A584,'08_PEDIDOS'!$A$2:$A$97,0))</f>
        <v>10</v>
      </c>
      <c r="F584" s="5" t="n">
        <f aca="false">SUMIFS('03_DESPIECE'!$D$2:$D$225,'03_DESPIECE'!$A$2:$A$225,B584,'03_DESPIECE'!$B$2:$B$225,C584)</f>
        <v>32</v>
      </c>
      <c r="G584" s="5" t="n">
        <f aca="false">E584*F584</f>
        <v>320</v>
      </c>
      <c r="H584" s="16" t="n">
        <f aca="false">SUMIFS('03_DESPIECE'!$J$2:$J$225,'03_DESPIECE'!$A$2:$A$225,B584,'03_DESPIECE'!$B$2:$B$225,C584)</f>
        <v>28.8</v>
      </c>
      <c r="I584" s="16" t="n">
        <f aca="false">E584*H584</f>
        <v>288</v>
      </c>
      <c r="J584" s="17" t="n">
        <f aca="false">E584*SUMIFS('03_DESPIECE'!$I$2:$I$225,'03_DESPIECE'!$A$2:$A$225,B584,'03_DESPIECE'!$B$2:$B$225,C584)</f>
        <v>0</v>
      </c>
      <c r="K584" s="19" t="n">
        <f aca="false">E584*SUMIFS('03_DESPIECE'!$K$2:$K$225,'03_DESPIECE'!$A$2:$A$225,B584,'03_DESPIECE'!$B$2:$B$225,C584)</f>
        <v>0</v>
      </c>
      <c r="L584" s="5" t="n">
        <f aca="false">SUMIFS('03_DESPIECE'!$L$2:$L$225,'03_DESPIECE'!$A$2:$A$225,B584,'03_DESPIECE'!$B$2:$B$225,C584)</f>
        <v>1</v>
      </c>
      <c r="M584" s="2" t="s">
        <v>629</v>
      </c>
    </row>
    <row r="585" customFormat="false" ht="15" hidden="false" customHeight="false" outlineLevel="0" collapsed="false">
      <c r="A585" s="2" t="s">
        <v>613</v>
      </c>
      <c r="B585" s="2" t="s">
        <v>80</v>
      </c>
      <c r="C585" s="2" t="s">
        <v>285</v>
      </c>
      <c r="D585" s="2" t="s">
        <v>184</v>
      </c>
      <c r="E585" s="5" t="n">
        <f aca="false">INDEX('08_PEDIDOS'!$D$2:$D$97,MATCH(A585,'08_PEDIDOS'!$A$2:$A$97,0))</f>
        <v>11</v>
      </c>
      <c r="F585" s="5" t="n">
        <f aca="false">SUMIFS('03_DESPIECE'!$D$2:$D$225,'03_DESPIECE'!$A$2:$A$225,B585,'03_DESPIECE'!$B$2:$B$225,C585)</f>
        <v>4</v>
      </c>
      <c r="G585" s="5" t="n">
        <f aca="false">E585*F585</f>
        <v>44</v>
      </c>
      <c r="H585" s="16" t="n">
        <f aca="false">SUMIFS('03_DESPIECE'!$J$2:$J$225,'03_DESPIECE'!$A$2:$A$225,B585,'03_DESPIECE'!$B$2:$B$225,C585)</f>
        <v>68.625</v>
      </c>
      <c r="I585" s="16" t="n">
        <f aca="false">E585*H585</f>
        <v>754.875</v>
      </c>
      <c r="J585" s="17" t="n">
        <f aca="false">E585*SUMIFS('03_DESPIECE'!$I$2:$I$225,'03_DESPIECE'!$A$2:$A$225,B585,'03_DESPIECE'!$B$2:$B$225,C585)</f>
        <v>118.8</v>
      </c>
      <c r="K585" s="19" t="n">
        <f aca="false">E585*SUMIFS('03_DESPIECE'!$K$2:$K$225,'03_DESPIECE'!$A$2:$A$225,B585,'03_DESPIECE'!$B$2:$B$225,C585)</f>
        <v>0</v>
      </c>
      <c r="L585" s="5" t="n">
        <f aca="false">SUMIFS('03_DESPIECE'!$L$2:$L$225,'03_DESPIECE'!$A$2:$A$225,B585,'03_DESPIECE'!$B$2:$B$225,C585)</f>
        <v>1</v>
      </c>
      <c r="M585" s="2" t="s">
        <v>629</v>
      </c>
    </row>
    <row r="586" customFormat="false" ht="15" hidden="false" customHeight="false" outlineLevel="0" collapsed="false">
      <c r="A586" s="2" t="s">
        <v>613</v>
      </c>
      <c r="B586" s="2" t="s">
        <v>80</v>
      </c>
      <c r="C586" s="2" t="s">
        <v>287</v>
      </c>
      <c r="D586" s="2" t="s">
        <v>184</v>
      </c>
      <c r="E586" s="5" t="n">
        <f aca="false">INDEX('08_PEDIDOS'!$D$2:$D$97,MATCH(A586,'08_PEDIDOS'!$A$2:$A$97,0))</f>
        <v>11</v>
      </c>
      <c r="F586" s="5" t="n">
        <f aca="false">SUMIFS('03_DESPIECE'!$D$2:$D$225,'03_DESPIECE'!$A$2:$A$225,B586,'03_DESPIECE'!$B$2:$B$225,C586)</f>
        <v>8</v>
      </c>
      <c r="G586" s="5" t="n">
        <f aca="false">E586*F586</f>
        <v>88</v>
      </c>
      <c r="H586" s="16" t="n">
        <f aca="false">SUMIFS('03_DESPIECE'!$J$2:$J$225,'03_DESPIECE'!$A$2:$A$225,B586,'03_DESPIECE'!$B$2:$B$225,C586)</f>
        <v>91.5</v>
      </c>
      <c r="I586" s="16" t="n">
        <f aca="false">E586*H586</f>
        <v>1006.5</v>
      </c>
      <c r="J586" s="17" t="n">
        <f aca="false">E586*SUMIFS('03_DESPIECE'!$I$2:$I$225,'03_DESPIECE'!$A$2:$A$225,B586,'03_DESPIECE'!$B$2:$B$225,C586)</f>
        <v>158.4</v>
      </c>
      <c r="K586" s="19" t="n">
        <f aca="false">E586*SUMIFS('03_DESPIECE'!$K$2:$K$225,'03_DESPIECE'!$A$2:$A$225,B586,'03_DESPIECE'!$B$2:$B$225,C586)</f>
        <v>0</v>
      </c>
      <c r="L586" s="5" t="n">
        <f aca="false">SUMIFS('03_DESPIECE'!$L$2:$L$225,'03_DESPIECE'!$A$2:$A$225,B586,'03_DESPIECE'!$B$2:$B$225,C586)</f>
        <v>1</v>
      </c>
      <c r="M586" s="2" t="s">
        <v>629</v>
      </c>
    </row>
    <row r="587" customFormat="false" ht="15" hidden="false" customHeight="false" outlineLevel="0" collapsed="false">
      <c r="A587" s="2" t="s">
        <v>613</v>
      </c>
      <c r="B587" s="2" t="s">
        <v>80</v>
      </c>
      <c r="C587" s="2" t="s">
        <v>288</v>
      </c>
      <c r="D587" s="2" t="s">
        <v>184</v>
      </c>
      <c r="E587" s="5" t="n">
        <f aca="false">INDEX('08_PEDIDOS'!$D$2:$D$97,MATCH(A587,'08_PEDIDOS'!$A$2:$A$97,0))</f>
        <v>11</v>
      </c>
      <c r="F587" s="5" t="n">
        <f aca="false">SUMIFS('03_DESPIECE'!$D$2:$D$225,'03_DESPIECE'!$A$2:$A$225,B587,'03_DESPIECE'!$B$2:$B$225,C587)</f>
        <v>4</v>
      </c>
      <c r="G587" s="5" t="n">
        <f aca="false">E587*F587</f>
        <v>44</v>
      </c>
      <c r="H587" s="16" t="n">
        <f aca="false">SUMIFS('03_DESPIECE'!$J$2:$J$225,'03_DESPIECE'!$A$2:$A$225,B587,'03_DESPIECE'!$B$2:$B$225,C587)</f>
        <v>22.875</v>
      </c>
      <c r="I587" s="16" t="n">
        <f aca="false">E587*H587</f>
        <v>251.625</v>
      </c>
      <c r="J587" s="17" t="n">
        <f aca="false">E587*SUMIFS('03_DESPIECE'!$I$2:$I$225,'03_DESPIECE'!$A$2:$A$225,B587,'03_DESPIECE'!$B$2:$B$225,C587)</f>
        <v>39.6</v>
      </c>
      <c r="K587" s="19" t="n">
        <f aca="false">E587*SUMIFS('03_DESPIECE'!$K$2:$K$225,'03_DESPIECE'!$A$2:$A$225,B587,'03_DESPIECE'!$B$2:$B$225,C587)</f>
        <v>0</v>
      </c>
      <c r="L587" s="5" t="n">
        <f aca="false">SUMIFS('03_DESPIECE'!$L$2:$L$225,'03_DESPIECE'!$A$2:$A$225,B587,'03_DESPIECE'!$B$2:$B$225,C587)</f>
        <v>1</v>
      </c>
      <c r="M587" s="2" t="s">
        <v>629</v>
      </c>
    </row>
    <row r="588" customFormat="false" ht="15" hidden="false" customHeight="false" outlineLevel="0" collapsed="false">
      <c r="A588" s="2" t="s">
        <v>613</v>
      </c>
      <c r="B588" s="2" t="s">
        <v>80</v>
      </c>
      <c r="C588" s="2" t="s">
        <v>289</v>
      </c>
      <c r="D588" s="2" t="s">
        <v>170</v>
      </c>
      <c r="E588" s="5" t="n">
        <f aca="false">INDEX('08_PEDIDOS'!$D$2:$D$97,MATCH(A588,'08_PEDIDOS'!$A$2:$A$97,0))</f>
        <v>11</v>
      </c>
      <c r="F588" s="5" t="n">
        <f aca="false">SUMIFS('03_DESPIECE'!$D$2:$D$225,'03_DESPIECE'!$A$2:$A$225,B588,'03_DESPIECE'!$B$2:$B$225,C588)</f>
        <v>4</v>
      </c>
      <c r="G588" s="5" t="n">
        <f aca="false">E588*F588</f>
        <v>44</v>
      </c>
      <c r="H588" s="16" t="n">
        <f aca="false">SUMIFS('03_DESPIECE'!$J$2:$J$225,'03_DESPIECE'!$A$2:$A$225,B588,'03_DESPIECE'!$B$2:$B$225,C588)</f>
        <v>334.2052173913</v>
      </c>
      <c r="I588" s="16" t="n">
        <f aca="false">E588*H588</f>
        <v>3676.2573913043</v>
      </c>
      <c r="J588" s="17" t="n">
        <f aca="false">E588*SUMIFS('03_DESPIECE'!$I$2:$I$225,'03_DESPIECE'!$A$2:$A$225,B588,'03_DESPIECE'!$B$2:$B$225,C588)</f>
        <v>497.376</v>
      </c>
      <c r="K588" s="19" t="n">
        <f aca="false">E588*SUMIFS('03_DESPIECE'!$K$2:$K$225,'03_DESPIECE'!$A$2:$A$225,B588,'03_DESPIECE'!$B$2:$B$225,C588)</f>
        <v>11</v>
      </c>
      <c r="L588" s="5" t="n">
        <f aca="false">SUMIFS('03_DESPIECE'!$L$2:$L$225,'03_DESPIECE'!$A$2:$A$225,B588,'03_DESPIECE'!$B$2:$B$225,C588)</f>
        <v>1</v>
      </c>
      <c r="M588" s="2" t="s">
        <v>629</v>
      </c>
    </row>
    <row r="589" customFormat="false" ht="15" hidden="false" customHeight="false" outlineLevel="0" collapsed="false">
      <c r="A589" s="2" t="s">
        <v>613</v>
      </c>
      <c r="B589" s="2" t="s">
        <v>80</v>
      </c>
      <c r="C589" s="2" t="s">
        <v>291</v>
      </c>
      <c r="D589" s="2" t="s">
        <v>170</v>
      </c>
      <c r="E589" s="5" t="n">
        <f aca="false">INDEX('08_PEDIDOS'!$D$2:$D$97,MATCH(A589,'08_PEDIDOS'!$A$2:$A$97,0))</f>
        <v>11</v>
      </c>
      <c r="F589" s="5" t="n">
        <f aca="false">SUMIFS('03_DESPIECE'!$D$2:$D$225,'03_DESPIECE'!$A$2:$A$225,B589,'03_DESPIECE'!$B$2:$B$225,C589)</f>
        <v>8</v>
      </c>
      <c r="G589" s="5" t="n">
        <f aca="false">E589*F589</f>
        <v>88</v>
      </c>
      <c r="H589" s="16" t="n">
        <f aca="false">SUMIFS('03_DESPIECE'!$J$2:$J$225,'03_DESPIECE'!$A$2:$A$225,B589,'03_DESPIECE'!$B$2:$B$225,C589)</f>
        <v>23.2086956522</v>
      </c>
      <c r="I589" s="16" t="n">
        <f aca="false">E589*H589</f>
        <v>255.2956521742</v>
      </c>
      <c r="J589" s="17" t="n">
        <f aca="false">E589*SUMIFS('03_DESPIECE'!$I$2:$I$225,'03_DESPIECE'!$A$2:$A$225,B589,'03_DESPIECE'!$B$2:$B$225,C589)</f>
        <v>34.54</v>
      </c>
      <c r="K589" s="19" t="n">
        <f aca="false">E589*SUMIFS('03_DESPIECE'!$K$2:$K$225,'03_DESPIECE'!$A$2:$A$225,B589,'03_DESPIECE'!$B$2:$B$225,C589)</f>
        <v>0.7638888884</v>
      </c>
      <c r="L589" s="5" t="n">
        <f aca="false">SUMIFS('03_DESPIECE'!$L$2:$L$225,'03_DESPIECE'!$A$2:$A$225,B589,'03_DESPIECE'!$B$2:$B$225,C589)</f>
        <v>1</v>
      </c>
      <c r="M589" s="2" t="s">
        <v>629</v>
      </c>
    </row>
    <row r="590" customFormat="false" ht="15" hidden="false" customHeight="false" outlineLevel="0" collapsed="false">
      <c r="A590" s="2" t="s">
        <v>613</v>
      </c>
      <c r="B590" s="2" t="s">
        <v>80</v>
      </c>
      <c r="C590" s="2" t="s">
        <v>292</v>
      </c>
      <c r="D590" s="2" t="s">
        <v>188</v>
      </c>
      <c r="E590" s="5" t="n">
        <f aca="false">INDEX('08_PEDIDOS'!$D$2:$D$97,MATCH(A590,'08_PEDIDOS'!$A$2:$A$97,0))</f>
        <v>11</v>
      </c>
      <c r="F590" s="5" t="n">
        <f aca="false">SUMIFS('03_DESPIECE'!$D$2:$D$225,'03_DESPIECE'!$A$2:$A$225,B590,'03_DESPIECE'!$B$2:$B$225,C590)</f>
        <v>24</v>
      </c>
      <c r="G590" s="5" t="n">
        <f aca="false">E590*F590</f>
        <v>264</v>
      </c>
      <c r="H590" s="16" t="n">
        <f aca="false">SUMIFS('03_DESPIECE'!$J$2:$J$225,'03_DESPIECE'!$A$2:$A$225,B590,'03_DESPIECE'!$B$2:$B$225,C590)</f>
        <v>21.6</v>
      </c>
      <c r="I590" s="16" t="n">
        <f aca="false">E590*H590</f>
        <v>237.6</v>
      </c>
      <c r="J590" s="17" t="n">
        <f aca="false">E590*SUMIFS('03_DESPIECE'!$I$2:$I$225,'03_DESPIECE'!$A$2:$A$225,B590,'03_DESPIECE'!$B$2:$B$225,C590)</f>
        <v>0</v>
      </c>
      <c r="K590" s="19" t="n">
        <f aca="false">E590*SUMIFS('03_DESPIECE'!$K$2:$K$225,'03_DESPIECE'!$A$2:$A$225,B590,'03_DESPIECE'!$B$2:$B$225,C590)</f>
        <v>0</v>
      </c>
      <c r="L590" s="5" t="n">
        <f aca="false">SUMIFS('03_DESPIECE'!$L$2:$L$225,'03_DESPIECE'!$A$2:$A$225,B590,'03_DESPIECE'!$B$2:$B$225,C590)</f>
        <v>1</v>
      </c>
      <c r="M590" s="2" t="s">
        <v>629</v>
      </c>
    </row>
    <row r="591" customFormat="false" ht="15" hidden="false" customHeight="false" outlineLevel="0" collapsed="false">
      <c r="A591" s="2" t="s">
        <v>613</v>
      </c>
      <c r="B591" s="2" t="s">
        <v>80</v>
      </c>
      <c r="C591" s="2" t="s">
        <v>294</v>
      </c>
      <c r="D591" s="2" t="s">
        <v>188</v>
      </c>
      <c r="E591" s="5" t="n">
        <f aca="false">INDEX('08_PEDIDOS'!$D$2:$D$97,MATCH(A591,'08_PEDIDOS'!$A$2:$A$97,0))</f>
        <v>11</v>
      </c>
      <c r="F591" s="5" t="n">
        <f aca="false">SUMIFS('03_DESPIECE'!$D$2:$D$225,'03_DESPIECE'!$A$2:$A$225,B591,'03_DESPIECE'!$B$2:$B$225,C591)</f>
        <v>4</v>
      </c>
      <c r="G591" s="5" t="n">
        <f aca="false">E591*F591</f>
        <v>44</v>
      </c>
      <c r="H591" s="16" t="n">
        <f aca="false">SUMIFS('03_DESPIECE'!$J$2:$J$225,'03_DESPIECE'!$A$2:$A$225,B591,'03_DESPIECE'!$B$2:$B$225,C591)</f>
        <v>3.6</v>
      </c>
      <c r="I591" s="16" t="n">
        <f aca="false">E591*H591</f>
        <v>39.6</v>
      </c>
      <c r="J591" s="17" t="n">
        <f aca="false">E591*SUMIFS('03_DESPIECE'!$I$2:$I$225,'03_DESPIECE'!$A$2:$A$225,B591,'03_DESPIECE'!$B$2:$B$225,C591)</f>
        <v>0</v>
      </c>
      <c r="K591" s="19" t="n">
        <f aca="false">E591*SUMIFS('03_DESPIECE'!$K$2:$K$225,'03_DESPIECE'!$A$2:$A$225,B591,'03_DESPIECE'!$B$2:$B$225,C591)</f>
        <v>0</v>
      </c>
      <c r="L591" s="5" t="n">
        <f aca="false">SUMIFS('03_DESPIECE'!$L$2:$L$225,'03_DESPIECE'!$A$2:$A$225,B591,'03_DESPIECE'!$B$2:$B$225,C591)</f>
        <v>1</v>
      </c>
      <c r="M591" s="2" t="s">
        <v>629</v>
      </c>
    </row>
    <row r="592" customFormat="false" ht="15" hidden="false" customHeight="false" outlineLevel="0" collapsed="false">
      <c r="A592" s="2" t="s">
        <v>614</v>
      </c>
      <c r="B592" s="2" t="s">
        <v>83</v>
      </c>
      <c r="C592" s="2" t="s">
        <v>295</v>
      </c>
      <c r="D592" s="2" t="s">
        <v>184</v>
      </c>
      <c r="E592" s="5" t="n">
        <f aca="false">INDEX('08_PEDIDOS'!$D$2:$D$97,MATCH(A592,'08_PEDIDOS'!$A$2:$A$97,0))</f>
        <v>12</v>
      </c>
      <c r="F592" s="5" t="n">
        <f aca="false">SUMIFS('03_DESPIECE'!$D$2:$D$225,'03_DESPIECE'!$A$2:$A$225,B592,'03_DESPIECE'!$B$2:$B$225,C592)</f>
        <v>4</v>
      </c>
      <c r="G592" s="5" t="n">
        <f aca="false">E592*F592</f>
        <v>48</v>
      </c>
      <c r="H592" s="16" t="n">
        <f aca="false">SUMIFS('03_DESPIECE'!$J$2:$J$225,'03_DESPIECE'!$A$2:$A$225,B592,'03_DESPIECE'!$B$2:$B$225,C592)</f>
        <v>76.25</v>
      </c>
      <c r="I592" s="16" t="n">
        <f aca="false">E592*H592</f>
        <v>915</v>
      </c>
      <c r="J592" s="17" t="n">
        <f aca="false">E592*SUMIFS('03_DESPIECE'!$I$2:$I$225,'03_DESPIECE'!$A$2:$A$225,B592,'03_DESPIECE'!$B$2:$B$225,C592)</f>
        <v>144</v>
      </c>
      <c r="K592" s="19" t="n">
        <f aca="false">E592*SUMIFS('03_DESPIECE'!$K$2:$K$225,'03_DESPIECE'!$A$2:$A$225,B592,'03_DESPIECE'!$B$2:$B$225,C592)</f>
        <v>0</v>
      </c>
      <c r="L592" s="5" t="n">
        <f aca="false">SUMIFS('03_DESPIECE'!$L$2:$L$225,'03_DESPIECE'!$A$2:$A$225,B592,'03_DESPIECE'!$B$2:$B$225,C592)</f>
        <v>1</v>
      </c>
      <c r="M592" s="2" t="s">
        <v>629</v>
      </c>
    </row>
    <row r="593" customFormat="false" ht="15" hidden="false" customHeight="false" outlineLevel="0" collapsed="false">
      <c r="A593" s="2" t="s">
        <v>614</v>
      </c>
      <c r="B593" s="2" t="s">
        <v>83</v>
      </c>
      <c r="C593" s="2" t="s">
        <v>296</v>
      </c>
      <c r="D593" s="2" t="s">
        <v>184</v>
      </c>
      <c r="E593" s="5" t="n">
        <f aca="false">INDEX('08_PEDIDOS'!$D$2:$D$97,MATCH(A593,'08_PEDIDOS'!$A$2:$A$97,0))</f>
        <v>12</v>
      </c>
      <c r="F593" s="5" t="n">
        <f aca="false">SUMIFS('03_DESPIECE'!$D$2:$D$225,'03_DESPIECE'!$A$2:$A$225,B593,'03_DESPIECE'!$B$2:$B$225,C593)</f>
        <v>8</v>
      </c>
      <c r="G593" s="5" t="n">
        <f aca="false">E593*F593</f>
        <v>96</v>
      </c>
      <c r="H593" s="16" t="n">
        <f aca="false">SUMIFS('03_DESPIECE'!$J$2:$J$225,'03_DESPIECE'!$A$2:$A$225,B593,'03_DESPIECE'!$B$2:$B$225,C593)</f>
        <v>76.25</v>
      </c>
      <c r="I593" s="16" t="n">
        <f aca="false">E593*H593</f>
        <v>915</v>
      </c>
      <c r="J593" s="17" t="n">
        <f aca="false">E593*SUMIFS('03_DESPIECE'!$I$2:$I$225,'03_DESPIECE'!$A$2:$A$225,B593,'03_DESPIECE'!$B$2:$B$225,C593)</f>
        <v>144</v>
      </c>
      <c r="K593" s="19" t="n">
        <f aca="false">E593*SUMIFS('03_DESPIECE'!$K$2:$K$225,'03_DESPIECE'!$A$2:$A$225,B593,'03_DESPIECE'!$B$2:$B$225,C593)</f>
        <v>0</v>
      </c>
      <c r="L593" s="5" t="n">
        <f aca="false">SUMIFS('03_DESPIECE'!$L$2:$L$225,'03_DESPIECE'!$A$2:$A$225,B593,'03_DESPIECE'!$B$2:$B$225,C593)</f>
        <v>1</v>
      </c>
      <c r="M593" s="2" t="s">
        <v>629</v>
      </c>
    </row>
    <row r="594" customFormat="false" ht="15" hidden="false" customHeight="false" outlineLevel="0" collapsed="false">
      <c r="A594" s="2" t="s">
        <v>614</v>
      </c>
      <c r="B594" s="2" t="s">
        <v>83</v>
      </c>
      <c r="C594" s="2" t="s">
        <v>297</v>
      </c>
      <c r="D594" s="2" t="s">
        <v>184</v>
      </c>
      <c r="E594" s="5" t="n">
        <f aca="false">INDEX('08_PEDIDOS'!$D$2:$D$97,MATCH(A594,'08_PEDIDOS'!$A$2:$A$97,0))</f>
        <v>12</v>
      </c>
      <c r="F594" s="5" t="n">
        <f aca="false">SUMIFS('03_DESPIECE'!$D$2:$D$225,'03_DESPIECE'!$A$2:$A$225,B594,'03_DESPIECE'!$B$2:$B$225,C594)</f>
        <v>8</v>
      </c>
      <c r="G594" s="5" t="n">
        <f aca="false">E594*F594</f>
        <v>96</v>
      </c>
      <c r="H594" s="16" t="n">
        <f aca="false">SUMIFS('03_DESPIECE'!$J$2:$J$225,'03_DESPIECE'!$A$2:$A$225,B594,'03_DESPIECE'!$B$2:$B$225,C594)</f>
        <v>38.125</v>
      </c>
      <c r="I594" s="16" t="n">
        <f aca="false">E594*H594</f>
        <v>457.5</v>
      </c>
      <c r="J594" s="17" t="n">
        <f aca="false">E594*SUMIFS('03_DESPIECE'!$I$2:$I$225,'03_DESPIECE'!$A$2:$A$225,B594,'03_DESPIECE'!$B$2:$B$225,C594)</f>
        <v>72</v>
      </c>
      <c r="K594" s="19" t="n">
        <f aca="false">E594*SUMIFS('03_DESPIECE'!$K$2:$K$225,'03_DESPIECE'!$A$2:$A$225,B594,'03_DESPIECE'!$B$2:$B$225,C594)</f>
        <v>0</v>
      </c>
      <c r="L594" s="5" t="n">
        <f aca="false">SUMIFS('03_DESPIECE'!$L$2:$L$225,'03_DESPIECE'!$A$2:$A$225,B594,'03_DESPIECE'!$B$2:$B$225,C594)</f>
        <v>1</v>
      </c>
      <c r="M594" s="2" t="s">
        <v>629</v>
      </c>
    </row>
    <row r="595" customFormat="false" ht="15" hidden="false" customHeight="false" outlineLevel="0" collapsed="false">
      <c r="A595" s="2" t="s">
        <v>614</v>
      </c>
      <c r="B595" s="2" t="s">
        <v>83</v>
      </c>
      <c r="C595" s="2" t="s">
        <v>298</v>
      </c>
      <c r="D595" s="2" t="s">
        <v>170</v>
      </c>
      <c r="E595" s="5" t="n">
        <f aca="false">INDEX('08_PEDIDOS'!$D$2:$D$97,MATCH(A595,'08_PEDIDOS'!$A$2:$A$97,0))</f>
        <v>12</v>
      </c>
      <c r="F595" s="5" t="n">
        <f aca="false">SUMIFS('03_DESPIECE'!$D$2:$D$225,'03_DESPIECE'!$A$2:$A$225,B595,'03_DESPIECE'!$B$2:$B$225,C595)</f>
        <v>5</v>
      </c>
      <c r="G595" s="5" t="n">
        <f aca="false">E595*F595</f>
        <v>60</v>
      </c>
      <c r="H595" s="16" t="n">
        <f aca="false">SUMIFS('03_DESPIECE'!$J$2:$J$225,'03_DESPIECE'!$A$2:$A$225,B595,'03_DESPIECE'!$B$2:$B$225,C595)</f>
        <v>290.1086956522</v>
      </c>
      <c r="I595" s="16" t="n">
        <f aca="false">E595*H595</f>
        <v>3481.3043478264</v>
      </c>
      <c r="J595" s="17" t="n">
        <f aca="false">E595*SUMIFS('03_DESPIECE'!$I$2:$I$225,'03_DESPIECE'!$A$2:$A$225,B595,'03_DESPIECE'!$B$2:$B$225,C595)</f>
        <v>471</v>
      </c>
      <c r="K595" s="19" t="n">
        <f aca="false">E595*SUMIFS('03_DESPIECE'!$K$2:$K$225,'03_DESPIECE'!$A$2:$A$225,B595,'03_DESPIECE'!$B$2:$B$225,C595)</f>
        <v>10.4166666672</v>
      </c>
      <c r="L595" s="5" t="n">
        <f aca="false">SUMIFS('03_DESPIECE'!$L$2:$L$225,'03_DESPIECE'!$A$2:$A$225,B595,'03_DESPIECE'!$B$2:$B$225,C595)</f>
        <v>1</v>
      </c>
      <c r="M595" s="2" t="s">
        <v>629</v>
      </c>
    </row>
    <row r="596" customFormat="false" ht="15" hidden="false" customHeight="false" outlineLevel="0" collapsed="false">
      <c r="A596" s="2" t="s">
        <v>614</v>
      </c>
      <c r="B596" s="2" t="s">
        <v>83</v>
      </c>
      <c r="C596" s="2" t="s">
        <v>299</v>
      </c>
      <c r="D596" s="2" t="s">
        <v>170</v>
      </c>
      <c r="E596" s="5" t="n">
        <f aca="false">INDEX('08_PEDIDOS'!$D$2:$D$97,MATCH(A596,'08_PEDIDOS'!$A$2:$A$97,0))</f>
        <v>12</v>
      </c>
      <c r="F596" s="5" t="n">
        <f aca="false">SUMIFS('03_DESPIECE'!$D$2:$D$225,'03_DESPIECE'!$A$2:$A$225,B596,'03_DESPIECE'!$B$2:$B$225,C596)</f>
        <v>8</v>
      </c>
      <c r="G596" s="5" t="n">
        <f aca="false">E596*F596</f>
        <v>96</v>
      </c>
      <c r="H596" s="16" t="n">
        <f aca="false">SUMIFS('03_DESPIECE'!$J$2:$J$225,'03_DESPIECE'!$A$2:$A$225,B596,'03_DESPIECE'!$B$2:$B$225,C596)</f>
        <v>32.492173913</v>
      </c>
      <c r="I596" s="16" t="n">
        <f aca="false">E596*H596</f>
        <v>389.906086956</v>
      </c>
      <c r="J596" s="17" t="n">
        <f aca="false">E596*SUMIFS('03_DESPIECE'!$I$2:$I$225,'03_DESPIECE'!$A$2:$A$225,B596,'03_DESPIECE'!$B$2:$B$225,C596)</f>
        <v>52.752</v>
      </c>
      <c r="K596" s="19" t="n">
        <f aca="false">E596*SUMIFS('03_DESPIECE'!$K$2:$K$225,'03_DESPIECE'!$A$2:$A$225,B596,'03_DESPIECE'!$B$2:$B$225,C596)</f>
        <v>1.1666666664</v>
      </c>
      <c r="L596" s="5" t="n">
        <f aca="false">SUMIFS('03_DESPIECE'!$L$2:$L$225,'03_DESPIECE'!$A$2:$A$225,B596,'03_DESPIECE'!$B$2:$B$225,C596)</f>
        <v>1</v>
      </c>
      <c r="M596" s="2" t="s">
        <v>629</v>
      </c>
    </row>
    <row r="597" customFormat="false" ht="15" hidden="false" customHeight="false" outlineLevel="0" collapsed="false">
      <c r="A597" s="2" t="s">
        <v>614</v>
      </c>
      <c r="B597" s="2" t="s">
        <v>83</v>
      </c>
      <c r="C597" s="2" t="s">
        <v>300</v>
      </c>
      <c r="D597" s="2" t="s">
        <v>188</v>
      </c>
      <c r="E597" s="5" t="n">
        <f aca="false">INDEX('08_PEDIDOS'!$D$2:$D$97,MATCH(A597,'08_PEDIDOS'!$A$2:$A$97,0))</f>
        <v>12</v>
      </c>
      <c r="F597" s="5" t="n">
        <f aca="false">SUMIFS('03_DESPIECE'!$D$2:$D$225,'03_DESPIECE'!$A$2:$A$225,B597,'03_DESPIECE'!$B$2:$B$225,C597)</f>
        <v>28</v>
      </c>
      <c r="G597" s="5" t="n">
        <f aca="false">E597*F597</f>
        <v>336</v>
      </c>
      <c r="H597" s="16" t="n">
        <f aca="false">SUMIFS('03_DESPIECE'!$J$2:$J$225,'03_DESPIECE'!$A$2:$A$225,B597,'03_DESPIECE'!$B$2:$B$225,C597)</f>
        <v>25.2</v>
      </c>
      <c r="I597" s="16" t="n">
        <f aca="false">E597*H597</f>
        <v>302.4</v>
      </c>
      <c r="J597" s="17" t="n">
        <f aca="false">E597*SUMIFS('03_DESPIECE'!$I$2:$I$225,'03_DESPIECE'!$A$2:$A$225,B597,'03_DESPIECE'!$B$2:$B$225,C597)</f>
        <v>0</v>
      </c>
      <c r="K597" s="19" t="n">
        <f aca="false">E597*SUMIFS('03_DESPIECE'!$K$2:$K$225,'03_DESPIECE'!$A$2:$A$225,B597,'03_DESPIECE'!$B$2:$B$225,C597)</f>
        <v>0</v>
      </c>
      <c r="L597" s="5" t="n">
        <f aca="false">SUMIFS('03_DESPIECE'!$L$2:$L$225,'03_DESPIECE'!$A$2:$A$225,B597,'03_DESPIECE'!$B$2:$B$225,C597)</f>
        <v>1</v>
      </c>
      <c r="M597" s="2" t="s">
        <v>629</v>
      </c>
    </row>
    <row r="598" customFormat="false" ht="15" hidden="false" customHeight="false" outlineLevel="0" collapsed="false">
      <c r="A598" s="2" t="s">
        <v>615</v>
      </c>
      <c r="B598" s="2" t="s">
        <v>94</v>
      </c>
      <c r="C598" s="2" t="s">
        <v>301</v>
      </c>
      <c r="D598" s="2" t="s">
        <v>184</v>
      </c>
      <c r="E598" s="5" t="n">
        <f aca="false">INDEX('08_PEDIDOS'!$D$2:$D$97,MATCH(A598,'08_PEDIDOS'!$A$2:$A$97,0))</f>
        <v>6</v>
      </c>
      <c r="F598" s="5" t="n">
        <f aca="false">SUMIFS('03_DESPIECE'!$D$2:$D$225,'03_DESPIECE'!$A$2:$A$225,B598,'03_DESPIECE'!$B$2:$B$225,C598)</f>
        <v>2</v>
      </c>
      <c r="G598" s="5" t="n">
        <f aca="false">E598*F598</f>
        <v>12</v>
      </c>
      <c r="H598" s="16" t="n">
        <f aca="false">SUMIFS('03_DESPIECE'!$J$2:$J$225,'03_DESPIECE'!$A$2:$A$225,B598,'03_DESPIECE'!$B$2:$B$225,C598)</f>
        <v>31.453125</v>
      </c>
      <c r="I598" s="16" t="n">
        <f aca="false">E598*H598</f>
        <v>188.71875</v>
      </c>
      <c r="J598" s="17" t="n">
        <f aca="false">E598*SUMIFS('03_DESPIECE'!$I$2:$I$225,'03_DESPIECE'!$A$2:$A$225,B598,'03_DESPIECE'!$B$2:$B$225,C598)</f>
        <v>29.7</v>
      </c>
      <c r="K598" s="19" t="n">
        <f aca="false">E598*SUMIFS('03_DESPIECE'!$K$2:$K$225,'03_DESPIECE'!$A$2:$A$225,B598,'03_DESPIECE'!$B$2:$B$225,C598)</f>
        <v>0</v>
      </c>
      <c r="L598" s="5" t="n">
        <f aca="false">SUMIFS('03_DESPIECE'!$L$2:$L$225,'03_DESPIECE'!$A$2:$A$225,B598,'03_DESPIECE'!$B$2:$B$225,C598)</f>
        <v>1</v>
      </c>
      <c r="M598" s="2" t="s">
        <v>629</v>
      </c>
    </row>
    <row r="599" customFormat="false" ht="15" hidden="false" customHeight="false" outlineLevel="0" collapsed="false">
      <c r="A599" s="2" t="s">
        <v>615</v>
      </c>
      <c r="B599" s="2" t="s">
        <v>94</v>
      </c>
      <c r="C599" s="2" t="s">
        <v>302</v>
      </c>
      <c r="D599" s="2" t="s">
        <v>174</v>
      </c>
      <c r="E599" s="5" t="n">
        <f aca="false">INDEX('08_PEDIDOS'!$D$2:$D$97,MATCH(A599,'08_PEDIDOS'!$A$2:$A$97,0))</f>
        <v>6</v>
      </c>
      <c r="F599" s="5" t="n">
        <f aca="false">SUMIFS('03_DESPIECE'!$D$2:$D$225,'03_DESPIECE'!$A$2:$A$225,B599,'03_DESPIECE'!$B$2:$B$225,C599)</f>
        <v>2</v>
      </c>
      <c r="G599" s="5" t="n">
        <f aca="false">E599*F599</f>
        <v>12</v>
      </c>
      <c r="H599" s="16" t="n">
        <f aca="false">SUMIFS('03_DESPIECE'!$J$2:$J$225,'03_DESPIECE'!$A$2:$A$225,B599,'03_DESPIECE'!$B$2:$B$225,C599)</f>
        <v>34.8130434783</v>
      </c>
      <c r="I599" s="16" t="n">
        <f aca="false">E599*H599</f>
        <v>208.8782608698</v>
      </c>
      <c r="J599" s="17" t="n">
        <f aca="false">E599*SUMIFS('03_DESPIECE'!$I$2:$I$225,'03_DESPIECE'!$A$2:$A$225,B599,'03_DESPIECE'!$B$2:$B$225,C599)</f>
        <v>28.26</v>
      </c>
      <c r="K599" s="19" t="n">
        <f aca="false">E599*SUMIFS('03_DESPIECE'!$K$2:$K$225,'03_DESPIECE'!$A$2:$A$225,B599,'03_DESPIECE'!$B$2:$B$225,C599)</f>
        <v>1.2499999998</v>
      </c>
      <c r="L599" s="5" t="n">
        <f aca="false">SUMIFS('03_DESPIECE'!$L$2:$L$225,'03_DESPIECE'!$A$2:$A$225,B599,'03_DESPIECE'!$B$2:$B$225,C599)</f>
        <v>1</v>
      </c>
      <c r="M599" s="2" t="s">
        <v>629</v>
      </c>
    </row>
    <row r="600" customFormat="false" ht="15" hidden="false" customHeight="false" outlineLevel="0" collapsed="false">
      <c r="A600" s="2" t="s">
        <v>615</v>
      </c>
      <c r="B600" s="2" t="s">
        <v>94</v>
      </c>
      <c r="C600" s="2" t="s">
        <v>303</v>
      </c>
      <c r="D600" s="2" t="s">
        <v>174</v>
      </c>
      <c r="E600" s="5" t="n">
        <f aca="false">INDEX('08_PEDIDOS'!$D$2:$D$97,MATCH(A600,'08_PEDIDOS'!$A$2:$A$97,0))</f>
        <v>6</v>
      </c>
      <c r="F600" s="5" t="n">
        <f aca="false">SUMIFS('03_DESPIECE'!$D$2:$D$225,'03_DESPIECE'!$A$2:$A$225,B600,'03_DESPIECE'!$B$2:$B$225,C600)</f>
        <v>4</v>
      </c>
      <c r="G600" s="5" t="n">
        <f aca="false">E600*F600</f>
        <v>24</v>
      </c>
      <c r="H600" s="16" t="n">
        <f aca="false">SUMIFS('03_DESPIECE'!$J$2:$J$225,'03_DESPIECE'!$A$2:$A$225,B600,'03_DESPIECE'!$B$2:$B$225,C600)</f>
        <v>129.9686956522</v>
      </c>
      <c r="I600" s="16" t="n">
        <f aca="false">E600*H600</f>
        <v>779.8121739132</v>
      </c>
      <c r="J600" s="17" t="n">
        <f aca="false">E600*SUMIFS('03_DESPIECE'!$I$2:$I$225,'03_DESPIECE'!$A$2:$A$225,B600,'03_DESPIECE'!$B$2:$B$225,C600)</f>
        <v>105.504</v>
      </c>
      <c r="K600" s="19" t="n">
        <f aca="false">E600*SUMIFS('03_DESPIECE'!$K$2:$K$225,'03_DESPIECE'!$A$2:$A$225,B600,'03_DESPIECE'!$B$2:$B$225,C600)</f>
        <v>4.6666666668</v>
      </c>
      <c r="L600" s="5" t="n">
        <f aca="false">SUMIFS('03_DESPIECE'!$L$2:$L$225,'03_DESPIECE'!$A$2:$A$225,B600,'03_DESPIECE'!$B$2:$B$225,C600)</f>
        <v>1</v>
      </c>
      <c r="M600" s="2" t="s">
        <v>629</v>
      </c>
    </row>
    <row r="601" customFormat="false" ht="15" hidden="false" customHeight="false" outlineLevel="0" collapsed="false">
      <c r="A601" s="2" t="s">
        <v>615</v>
      </c>
      <c r="B601" s="2" t="s">
        <v>94</v>
      </c>
      <c r="C601" s="2" t="s">
        <v>304</v>
      </c>
      <c r="D601" s="2" t="s">
        <v>174</v>
      </c>
      <c r="E601" s="5" t="n">
        <f aca="false">INDEX('08_PEDIDOS'!$D$2:$D$97,MATCH(A601,'08_PEDIDOS'!$A$2:$A$97,0))</f>
        <v>6</v>
      </c>
      <c r="F601" s="5" t="n">
        <f aca="false">SUMIFS('03_DESPIECE'!$D$2:$D$225,'03_DESPIECE'!$A$2:$A$225,B601,'03_DESPIECE'!$B$2:$B$225,C601)</f>
        <v>8</v>
      </c>
      <c r="G601" s="5" t="n">
        <f aca="false">E601*F601</f>
        <v>48</v>
      </c>
      <c r="H601" s="16" t="n">
        <f aca="false">SUMIFS('03_DESPIECE'!$J$2:$J$225,'03_DESPIECE'!$A$2:$A$225,B601,'03_DESPIECE'!$B$2:$B$225,C601)</f>
        <v>185.6695652174</v>
      </c>
      <c r="I601" s="16" t="n">
        <f aca="false">E601*H601</f>
        <v>1114.0173913044</v>
      </c>
      <c r="J601" s="17" t="n">
        <f aca="false">E601*SUMIFS('03_DESPIECE'!$I$2:$I$225,'03_DESPIECE'!$A$2:$A$225,B601,'03_DESPIECE'!$B$2:$B$225,C601)</f>
        <v>150.72</v>
      </c>
      <c r="K601" s="19" t="n">
        <f aca="false">E601*SUMIFS('03_DESPIECE'!$K$2:$K$225,'03_DESPIECE'!$A$2:$A$225,B601,'03_DESPIECE'!$B$2:$B$225,C601)</f>
        <v>6.6666666666</v>
      </c>
      <c r="L601" s="5" t="n">
        <f aca="false">SUMIFS('03_DESPIECE'!$L$2:$L$225,'03_DESPIECE'!$A$2:$A$225,B601,'03_DESPIECE'!$B$2:$B$225,C601)</f>
        <v>1</v>
      </c>
      <c r="M601" s="2" t="s">
        <v>629</v>
      </c>
    </row>
    <row r="602" customFormat="false" ht="15" hidden="false" customHeight="false" outlineLevel="0" collapsed="false">
      <c r="A602" s="2" t="s">
        <v>615</v>
      </c>
      <c r="B602" s="2" t="s">
        <v>94</v>
      </c>
      <c r="C602" s="2" t="s">
        <v>305</v>
      </c>
      <c r="D602" s="2" t="s">
        <v>174</v>
      </c>
      <c r="E602" s="5" t="n">
        <f aca="false">INDEX('08_PEDIDOS'!$D$2:$D$97,MATCH(A602,'08_PEDIDOS'!$A$2:$A$97,0))</f>
        <v>6</v>
      </c>
      <c r="F602" s="5" t="n">
        <f aca="false">SUMIFS('03_DESPIECE'!$D$2:$D$225,'03_DESPIECE'!$A$2:$A$225,B602,'03_DESPIECE'!$B$2:$B$225,C602)</f>
        <v>16</v>
      </c>
      <c r="G602" s="5" t="n">
        <f aca="false">E602*F602</f>
        <v>96</v>
      </c>
      <c r="H602" s="16" t="n">
        <f aca="false">SUMIFS('03_DESPIECE'!$J$2:$J$225,'03_DESPIECE'!$A$2:$A$225,B602,'03_DESPIECE'!$B$2:$B$225,C602)</f>
        <v>37.1339130435</v>
      </c>
      <c r="I602" s="16" t="n">
        <f aca="false">E602*H602</f>
        <v>222.803478261</v>
      </c>
      <c r="J602" s="17" t="n">
        <f aca="false">E602*SUMIFS('03_DESPIECE'!$I$2:$I$225,'03_DESPIECE'!$A$2:$A$225,B602,'03_DESPIECE'!$B$2:$B$225,C602)</f>
        <v>30.144</v>
      </c>
      <c r="K602" s="19" t="n">
        <f aca="false">E602*SUMIFS('03_DESPIECE'!$K$2:$K$225,'03_DESPIECE'!$A$2:$A$225,B602,'03_DESPIECE'!$B$2:$B$225,C602)</f>
        <v>1.3333333332</v>
      </c>
      <c r="L602" s="5" t="n">
        <f aca="false">SUMIFS('03_DESPIECE'!$L$2:$L$225,'03_DESPIECE'!$A$2:$A$225,B602,'03_DESPIECE'!$B$2:$B$225,C602)</f>
        <v>1</v>
      </c>
      <c r="M602" s="2" t="s">
        <v>629</v>
      </c>
    </row>
    <row r="603" customFormat="false" ht="15" hidden="false" customHeight="false" outlineLevel="0" collapsed="false">
      <c r="A603" s="2" t="s">
        <v>615</v>
      </c>
      <c r="B603" s="2" t="s">
        <v>94</v>
      </c>
      <c r="C603" s="2" t="s">
        <v>306</v>
      </c>
      <c r="D603" s="2" t="s">
        <v>174</v>
      </c>
      <c r="E603" s="5" t="n">
        <f aca="false">INDEX('08_PEDIDOS'!$D$2:$D$97,MATCH(A603,'08_PEDIDOS'!$A$2:$A$97,0))</f>
        <v>6</v>
      </c>
      <c r="F603" s="5" t="n">
        <f aca="false">SUMIFS('03_DESPIECE'!$D$2:$D$225,'03_DESPIECE'!$A$2:$A$225,B603,'03_DESPIECE'!$B$2:$B$225,C603)</f>
        <v>2</v>
      </c>
      <c r="G603" s="5" t="n">
        <f aca="false">E603*F603</f>
        <v>12</v>
      </c>
      <c r="H603" s="16" t="n">
        <f aca="false">SUMIFS('03_DESPIECE'!$J$2:$J$225,'03_DESPIECE'!$A$2:$A$225,B603,'03_DESPIECE'!$B$2:$B$225,C603)</f>
        <v>13.9252173913</v>
      </c>
      <c r="I603" s="16" t="n">
        <f aca="false">E603*H603</f>
        <v>83.5513043478</v>
      </c>
      <c r="J603" s="17" t="n">
        <f aca="false">E603*SUMIFS('03_DESPIECE'!$I$2:$I$225,'03_DESPIECE'!$A$2:$A$225,B603,'03_DESPIECE'!$B$2:$B$225,C603)</f>
        <v>11.304</v>
      </c>
      <c r="K603" s="19" t="n">
        <f aca="false">E603*SUMIFS('03_DESPIECE'!$K$2:$K$225,'03_DESPIECE'!$A$2:$A$225,B603,'03_DESPIECE'!$B$2:$B$225,C603)</f>
        <v>0.4999999998</v>
      </c>
      <c r="L603" s="5" t="n">
        <f aca="false">SUMIFS('03_DESPIECE'!$L$2:$L$225,'03_DESPIECE'!$A$2:$A$225,B603,'03_DESPIECE'!$B$2:$B$225,C603)</f>
        <v>1</v>
      </c>
      <c r="M603" s="2" t="s">
        <v>629</v>
      </c>
    </row>
    <row r="604" customFormat="false" ht="15" hidden="false" customHeight="false" outlineLevel="0" collapsed="false">
      <c r="A604" s="2" t="s">
        <v>615</v>
      </c>
      <c r="B604" s="2" t="s">
        <v>94</v>
      </c>
      <c r="C604" s="2" t="s">
        <v>307</v>
      </c>
      <c r="D604" s="2" t="s">
        <v>188</v>
      </c>
      <c r="E604" s="5" t="n">
        <f aca="false">INDEX('08_PEDIDOS'!$D$2:$D$97,MATCH(A604,'08_PEDIDOS'!$A$2:$A$97,0))</f>
        <v>6</v>
      </c>
      <c r="F604" s="5" t="n">
        <f aca="false">SUMIFS('03_DESPIECE'!$D$2:$D$225,'03_DESPIECE'!$A$2:$A$225,B604,'03_DESPIECE'!$B$2:$B$225,C604)</f>
        <v>36</v>
      </c>
      <c r="G604" s="5" t="n">
        <f aca="false">E604*F604</f>
        <v>216</v>
      </c>
      <c r="H604" s="16" t="n">
        <f aca="false">SUMIFS('03_DESPIECE'!$J$2:$J$225,'03_DESPIECE'!$A$2:$A$225,B604,'03_DESPIECE'!$B$2:$B$225,C604)</f>
        <v>32.4</v>
      </c>
      <c r="I604" s="16" t="n">
        <f aca="false">E604*H604</f>
        <v>194.4</v>
      </c>
      <c r="J604" s="17" t="n">
        <f aca="false">E604*SUMIFS('03_DESPIECE'!$I$2:$I$225,'03_DESPIECE'!$A$2:$A$225,B604,'03_DESPIECE'!$B$2:$B$225,C604)</f>
        <v>0</v>
      </c>
      <c r="K604" s="19" t="n">
        <f aca="false">E604*SUMIFS('03_DESPIECE'!$K$2:$K$225,'03_DESPIECE'!$A$2:$A$225,B604,'03_DESPIECE'!$B$2:$B$225,C604)</f>
        <v>0</v>
      </c>
      <c r="L604" s="5" t="n">
        <f aca="false">SUMIFS('03_DESPIECE'!$L$2:$L$225,'03_DESPIECE'!$A$2:$A$225,B604,'03_DESPIECE'!$B$2:$B$225,C604)</f>
        <v>1</v>
      </c>
      <c r="M604" s="2" t="s">
        <v>629</v>
      </c>
    </row>
    <row r="605" customFormat="false" ht="15" hidden="false" customHeight="false" outlineLevel="0" collapsed="false">
      <c r="A605" s="2" t="s">
        <v>616</v>
      </c>
      <c r="B605" s="2" t="s">
        <v>96</v>
      </c>
      <c r="C605" s="2" t="s">
        <v>308</v>
      </c>
      <c r="D605" s="2" t="s">
        <v>184</v>
      </c>
      <c r="E605" s="5" t="n">
        <f aca="false">INDEX('08_PEDIDOS'!$D$2:$D$97,MATCH(A605,'08_PEDIDOS'!$A$2:$A$97,0))</f>
        <v>7</v>
      </c>
      <c r="F605" s="5" t="n">
        <f aca="false">SUMIFS('03_DESPIECE'!$D$2:$D$225,'03_DESPIECE'!$A$2:$A$225,B605,'03_DESPIECE'!$B$2:$B$225,C605)</f>
        <v>2</v>
      </c>
      <c r="G605" s="5" t="n">
        <f aca="false">E605*F605</f>
        <v>14</v>
      </c>
      <c r="H605" s="16" t="n">
        <f aca="false">SUMIFS('03_DESPIECE'!$J$2:$J$225,'03_DESPIECE'!$A$2:$A$225,B605,'03_DESPIECE'!$B$2:$B$225,C605)</f>
        <v>36.21875</v>
      </c>
      <c r="I605" s="16" t="n">
        <f aca="false">E605*H605</f>
        <v>253.53125</v>
      </c>
      <c r="J605" s="17" t="n">
        <f aca="false">E605*SUMIFS('03_DESPIECE'!$I$2:$I$225,'03_DESPIECE'!$A$2:$A$225,B605,'03_DESPIECE'!$B$2:$B$225,C605)</f>
        <v>39.9</v>
      </c>
      <c r="K605" s="19" t="n">
        <f aca="false">E605*SUMIFS('03_DESPIECE'!$K$2:$K$225,'03_DESPIECE'!$A$2:$A$225,B605,'03_DESPIECE'!$B$2:$B$225,C605)</f>
        <v>0</v>
      </c>
      <c r="L605" s="5" t="n">
        <f aca="false">SUMIFS('03_DESPIECE'!$L$2:$L$225,'03_DESPIECE'!$A$2:$A$225,B605,'03_DESPIECE'!$B$2:$B$225,C605)</f>
        <v>1</v>
      </c>
      <c r="M605" s="2" t="s">
        <v>629</v>
      </c>
    </row>
    <row r="606" customFormat="false" ht="15" hidden="false" customHeight="false" outlineLevel="0" collapsed="false">
      <c r="A606" s="2" t="s">
        <v>616</v>
      </c>
      <c r="B606" s="2" t="s">
        <v>96</v>
      </c>
      <c r="C606" s="2" t="s">
        <v>309</v>
      </c>
      <c r="D606" s="2" t="s">
        <v>174</v>
      </c>
      <c r="E606" s="5" t="n">
        <f aca="false">INDEX('08_PEDIDOS'!$D$2:$D$97,MATCH(A606,'08_PEDIDOS'!$A$2:$A$97,0))</f>
        <v>7</v>
      </c>
      <c r="F606" s="5" t="n">
        <f aca="false">SUMIFS('03_DESPIECE'!$D$2:$D$225,'03_DESPIECE'!$A$2:$A$225,B606,'03_DESPIECE'!$B$2:$B$225,C606)</f>
        <v>3</v>
      </c>
      <c r="G606" s="5" t="n">
        <f aca="false">E606*F606</f>
        <v>21</v>
      </c>
      <c r="H606" s="16" t="n">
        <f aca="false">SUMIFS('03_DESPIECE'!$J$2:$J$225,'03_DESPIECE'!$A$2:$A$225,B606,'03_DESPIECE'!$B$2:$B$225,C606)</f>
        <v>95.7358695652</v>
      </c>
      <c r="I606" s="16" t="n">
        <f aca="false">E606*H606</f>
        <v>670.1510869564</v>
      </c>
      <c r="J606" s="17" t="n">
        <f aca="false">E606*SUMIFS('03_DESPIECE'!$I$2:$I$225,'03_DESPIECE'!$A$2:$A$225,B606,'03_DESPIECE'!$B$2:$B$225,C606)</f>
        <v>90.6675</v>
      </c>
      <c r="K606" s="19" t="n">
        <f aca="false">E606*SUMIFS('03_DESPIECE'!$K$2:$K$225,'03_DESPIECE'!$A$2:$A$225,B606,'03_DESPIECE'!$B$2:$B$225,C606)</f>
        <v>4.0104166669</v>
      </c>
      <c r="L606" s="5" t="n">
        <f aca="false">SUMIFS('03_DESPIECE'!$L$2:$L$225,'03_DESPIECE'!$A$2:$A$225,B606,'03_DESPIECE'!$B$2:$B$225,C606)</f>
        <v>1</v>
      </c>
      <c r="M606" s="2" t="s">
        <v>629</v>
      </c>
    </row>
    <row r="607" customFormat="false" ht="15" hidden="false" customHeight="false" outlineLevel="0" collapsed="false">
      <c r="A607" s="2" t="s">
        <v>616</v>
      </c>
      <c r="B607" s="2" t="s">
        <v>96</v>
      </c>
      <c r="C607" s="2" t="s">
        <v>310</v>
      </c>
      <c r="D607" s="2" t="s">
        <v>174</v>
      </c>
      <c r="E607" s="5" t="n">
        <f aca="false">INDEX('08_PEDIDOS'!$D$2:$D$97,MATCH(A607,'08_PEDIDOS'!$A$2:$A$97,0))</f>
        <v>7</v>
      </c>
      <c r="F607" s="5" t="n">
        <f aca="false">SUMIFS('03_DESPIECE'!$D$2:$D$225,'03_DESPIECE'!$A$2:$A$225,B607,'03_DESPIECE'!$B$2:$B$225,C607)</f>
        <v>5</v>
      </c>
      <c r="G607" s="5" t="n">
        <f aca="false">E607*F607</f>
        <v>35</v>
      </c>
      <c r="H607" s="16" t="n">
        <f aca="false">SUMIFS('03_DESPIECE'!$J$2:$J$225,'03_DESPIECE'!$A$2:$A$225,B607,'03_DESPIECE'!$B$2:$B$225,C607)</f>
        <v>121.8456521739</v>
      </c>
      <c r="I607" s="16" t="n">
        <f aca="false">E607*H607</f>
        <v>852.9195652173</v>
      </c>
      <c r="J607" s="17" t="n">
        <f aca="false">E607*SUMIFS('03_DESPIECE'!$I$2:$I$225,'03_DESPIECE'!$A$2:$A$225,B607,'03_DESPIECE'!$B$2:$B$225,C607)</f>
        <v>115.395</v>
      </c>
      <c r="K607" s="19" t="n">
        <f aca="false">E607*SUMIFS('03_DESPIECE'!$K$2:$K$225,'03_DESPIECE'!$A$2:$A$225,B607,'03_DESPIECE'!$B$2:$B$225,C607)</f>
        <v>5.1041666669</v>
      </c>
      <c r="L607" s="5" t="n">
        <f aca="false">SUMIFS('03_DESPIECE'!$L$2:$L$225,'03_DESPIECE'!$A$2:$A$225,B607,'03_DESPIECE'!$B$2:$B$225,C607)</f>
        <v>1</v>
      </c>
      <c r="M607" s="2" t="s">
        <v>629</v>
      </c>
    </row>
    <row r="608" customFormat="false" ht="15" hidden="false" customHeight="false" outlineLevel="0" collapsed="false">
      <c r="A608" s="2" t="s">
        <v>616</v>
      </c>
      <c r="B608" s="2" t="s">
        <v>96</v>
      </c>
      <c r="C608" s="2" t="s">
        <v>311</v>
      </c>
      <c r="D608" s="2" t="s">
        <v>174</v>
      </c>
      <c r="E608" s="5" t="n">
        <f aca="false">INDEX('08_PEDIDOS'!$D$2:$D$97,MATCH(A608,'08_PEDIDOS'!$A$2:$A$97,0))</f>
        <v>7</v>
      </c>
      <c r="F608" s="5" t="n">
        <f aca="false">SUMIFS('03_DESPIECE'!$D$2:$D$225,'03_DESPIECE'!$A$2:$A$225,B608,'03_DESPIECE'!$B$2:$B$225,C608)</f>
        <v>10</v>
      </c>
      <c r="G608" s="5" t="n">
        <f aca="false">E608*F608</f>
        <v>70</v>
      </c>
      <c r="H608" s="16" t="n">
        <f aca="false">SUMIFS('03_DESPIECE'!$J$2:$J$225,'03_DESPIECE'!$A$2:$A$225,B608,'03_DESPIECE'!$B$2:$B$225,C608)</f>
        <v>23.2086956522</v>
      </c>
      <c r="I608" s="16" t="n">
        <f aca="false">E608*H608</f>
        <v>162.4608695654</v>
      </c>
      <c r="J608" s="17" t="n">
        <f aca="false">E608*SUMIFS('03_DESPIECE'!$I$2:$I$225,'03_DESPIECE'!$A$2:$A$225,B608,'03_DESPIECE'!$B$2:$B$225,C608)</f>
        <v>21.98</v>
      </c>
      <c r="K608" s="19" t="n">
        <f aca="false">E608*SUMIFS('03_DESPIECE'!$K$2:$K$225,'03_DESPIECE'!$A$2:$A$225,B608,'03_DESPIECE'!$B$2:$B$225,C608)</f>
        <v>0.9722222223</v>
      </c>
      <c r="L608" s="5" t="n">
        <f aca="false">SUMIFS('03_DESPIECE'!$L$2:$L$225,'03_DESPIECE'!$A$2:$A$225,B608,'03_DESPIECE'!$B$2:$B$225,C608)</f>
        <v>1</v>
      </c>
      <c r="M608" s="2" t="s">
        <v>629</v>
      </c>
    </row>
    <row r="609" customFormat="false" ht="15" hidden="false" customHeight="false" outlineLevel="0" collapsed="false">
      <c r="A609" s="2" t="s">
        <v>616</v>
      </c>
      <c r="B609" s="2" t="s">
        <v>96</v>
      </c>
      <c r="C609" s="2" t="s">
        <v>312</v>
      </c>
      <c r="D609" s="2" t="s">
        <v>174</v>
      </c>
      <c r="E609" s="5" t="n">
        <f aca="false">INDEX('08_PEDIDOS'!$D$2:$D$97,MATCH(A609,'08_PEDIDOS'!$A$2:$A$97,0))</f>
        <v>7</v>
      </c>
      <c r="F609" s="5" t="n">
        <f aca="false">SUMIFS('03_DESPIECE'!$D$2:$D$225,'03_DESPIECE'!$A$2:$A$225,B609,'03_DESPIECE'!$B$2:$B$225,C609)</f>
        <v>2</v>
      </c>
      <c r="G609" s="5" t="n">
        <f aca="false">E609*F609</f>
        <v>14</v>
      </c>
      <c r="H609" s="16" t="n">
        <f aca="false">SUMIFS('03_DESPIECE'!$J$2:$J$225,'03_DESPIECE'!$A$2:$A$225,B609,'03_DESPIECE'!$B$2:$B$225,C609)</f>
        <v>29.0108695652</v>
      </c>
      <c r="I609" s="16" t="n">
        <f aca="false">E609*H609</f>
        <v>203.0760869564</v>
      </c>
      <c r="J609" s="17" t="n">
        <f aca="false">E609*SUMIFS('03_DESPIECE'!$I$2:$I$225,'03_DESPIECE'!$A$2:$A$225,B609,'03_DESPIECE'!$B$2:$B$225,C609)</f>
        <v>27.475</v>
      </c>
      <c r="K609" s="19" t="n">
        <f aca="false">E609*SUMIFS('03_DESPIECE'!$K$2:$K$225,'03_DESPIECE'!$A$2:$A$225,B609,'03_DESPIECE'!$B$2:$B$225,C609)</f>
        <v>1.2152777777</v>
      </c>
      <c r="L609" s="5" t="n">
        <f aca="false">SUMIFS('03_DESPIECE'!$L$2:$L$225,'03_DESPIECE'!$A$2:$A$225,B609,'03_DESPIECE'!$B$2:$B$225,C609)</f>
        <v>1</v>
      </c>
      <c r="M609" s="2" t="s">
        <v>629</v>
      </c>
    </row>
    <row r="610" customFormat="false" ht="15" hidden="false" customHeight="false" outlineLevel="0" collapsed="false">
      <c r="A610" s="2" t="s">
        <v>616</v>
      </c>
      <c r="B610" s="2" t="s">
        <v>96</v>
      </c>
      <c r="C610" s="2" t="s">
        <v>313</v>
      </c>
      <c r="D610" s="2" t="s">
        <v>188</v>
      </c>
      <c r="E610" s="5" t="n">
        <f aca="false">INDEX('08_PEDIDOS'!$D$2:$D$97,MATCH(A610,'08_PEDIDOS'!$A$2:$A$97,0))</f>
        <v>7</v>
      </c>
      <c r="F610" s="5" t="n">
        <f aca="false">SUMIFS('03_DESPIECE'!$D$2:$D$225,'03_DESPIECE'!$A$2:$A$225,B610,'03_DESPIECE'!$B$2:$B$225,C610)</f>
        <v>26</v>
      </c>
      <c r="G610" s="5" t="n">
        <f aca="false">E610*F610</f>
        <v>182</v>
      </c>
      <c r="H610" s="16" t="n">
        <f aca="false">SUMIFS('03_DESPIECE'!$J$2:$J$225,'03_DESPIECE'!$A$2:$A$225,B610,'03_DESPIECE'!$B$2:$B$225,C610)</f>
        <v>23.4</v>
      </c>
      <c r="I610" s="16" t="n">
        <f aca="false">E610*H610</f>
        <v>163.8</v>
      </c>
      <c r="J610" s="17" t="n">
        <f aca="false">E610*SUMIFS('03_DESPIECE'!$I$2:$I$225,'03_DESPIECE'!$A$2:$A$225,B610,'03_DESPIECE'!$B$2:$B$225,C610)</f>
        <v>0</v>
      </c>
      <c r="K610" s="19" t="n">
        <f aca="false">E610*SUMIFS('03_DESPIECE'!$K$2:$K$225,'03_DESPIECE'!$A$2:$A$225,B610,'03_DESPIECE'!$B$2:$B$225,C610)</f>
        <v>0</v>
      </c>
      <c r="L610" s="5" t="n">
        <f aca="false">SUMIFS('03_DESPIECE'!$L$2:$L$225,'03_DESPIECE'!$A$2:$A$225,B610,'03_DESPIECE'!$B$2:$B$225,C610)</f>
        <v>1</v>
      </c>
      <c r="M610" s="2" t="s">
        <v>629</v>
      </c>
    </row>
    <row r="611" customFormat="false" ht="15" hidden="false" customHeight="false" outlineLevel="0" collapsed="false">
      <c r="A611" s="2" t="s">
        <v>617</v>
      </c>
      <c r="B611" s="2" t="s">
        <v>106</v>
      </c>
      <c r="C611" s="2" t="s">
        <v>314</v>
      </c>
      <c r="D611" s="2" t="s">
        <v>176</v>
      </c>
      <c r="E611" s="5" t="n">
        <f aca="false">INDEX('08_PEDIDOS'!$D$2:$D$97,MATCH(A611,'08_PEDIDOS'!$A$2:$A$97,0))</f>
        <v>5</v>
      </c>
      <c r="F611" s="5" t="n">
        <f aca="false">SUMIFS('03_DESPIECE'!$D$2:$D$225,'03_DESPIECE'!$A$2:$A$225,B611,'03_DESPIECE'!$B$2:$B$225,C611)</f>
        <v>2</v>
      </c>
      <c r="G611" s="5" t="n">
        <f aca="false">E611*F611</f>
        <v>10</v>
      </c>
      <c r="H611" s="16" t="n">
        <f aca="false">SUMIFS('03_DESPIECE'!$J$2:$J$225,'03_DESPIECE'!$A$2:$A$225,B611,'03_DESPIECE'!$B$2:$B$225,C611)</f>
        <v>165.3619565217</v>
      </c>
      <c r="I611" s="16" t="n">
        <f aca="false">E611*H611</f>
        <v>826.8097826085</v>
      </c>
      <c r="J611" s="17" t="n">
        <f aca="false">E611*SUMIFS('03_DESPIECE'!$I$2:$I$225,'03_DESPIECE'!$A$2:$A$225,B611,'03_DESPIECE'!$B$2:$B$225,C611)</f>
        <v>111.8625</v>
      </c>
      <c r="K611" s="19" t="n">
        <f aca="false">E611*SUMIFS('03_DESPIECE'!$K$2:$K$225,'03_DESPIECE'!$A$2:$A$225,B611,'03_DESPIECE'!$B$2:$B$225,C611)</f>
        <v>3.298611111</v>
      </c>
      <c r="L611" s="5" t="n">
        <f aca="false">SUMIFS('03_DESPIECE'!$L$2:$L$225,'03_DESPIECE'!$A$2:$A$225,B611,'03_DESPIECE'!$B$2:$B$225,C611)</f>
        <v>1</v>
      </c>
      <c r="M611" s="2" t="s">
        <v>629</v>
      </c>
    </row>
    <row r="612" customFormat="false" ht="15" hidden="false" customHeight="false" outlineLevel="0" collapsed="false">
      <c r="A612" s="2" t="s">
        <v>617</v>
      </c>
      <c r="B612" s="2" t="s">
        <v>106</v>
      </c>
      <c r="C612" s="2" t="s">
        <v>315</v>
      </c>
      <c r="D612" s="2" t="s">
        <v>176</v>
      </c>
      <c r="E612" s="5" t="n">
        <f aca="false">INDEX('08_PEDIDOS'!$D$2:$D$97,MATCH(A612,'08_PEDIDOS'!$A$2:$A$97,0))</f>
        <v>5</v>
      </c>
      <c r="F612" s="5" t="n">
        <f aca="false">SUMIFS('03_DESPIECE'!$D$2:$D$225,'03_DESPIECE'!$A$2:$A$225,B612,'03_DESPIECE'!$B$2:$B$225,C612)</f>
        <v>2</v>
      </c>
      <c r="G612" s="5" t="n">
        <f aca="false">E612*F612</f>
        <v>10</v>
      </c>
      <c r="H612" s="16" t="n">
        <f aca="false">SUMIFS('03_DESPIECE'!$J$2:$J$225,'03_DESPIECE'!$A$2:$A$225,B612,'03_DESPIECE'!$B$2:$B$225,C612)</f>
        <v>60.922826087</v>
      </c>
      <c r="I612" s="16" t="n">
        <f aca="false">E612*H612</f>
        <v>304.614130435</v>
      </c>
      <c r="J612" s="17" t="n">
        <f aca="false">E612*SUMIFS('03_DESPIECE'!$I$2:$I$225,'03_DESPIECE'!$A$2:$A$225,B612,'03_DESPIECE'!$B$2:$B$225,C612)</f>
        <v>41.2125</v>
      </c>
      <c r="K612" s="19" t="n">
        <f aca="false">E612*SUMIFS('03_DESPIECE'!$K$2:$K$225,'03_DESPIECE'!$A$2:$A$225,B612,'03_DESPIECE'!$B$2:$B$225,C612)</f>
        <v>1.215277778</v>
      </c>
      <c r="L612" s="5" t="n">
        <f aca="false">SUMIFS('03_DESPIECE'!$L$2:$L$225,'03_DESPIECE'!$A$2:$A$225,B612,'03_DESPIECE'!$B$2:$B$225,C612)</f>
        <v>1</v>
      </c>
      <c r="M612" s="2" t="s">
        <v>629</v>
      </c>
    </row>
    <row r="613" customFormat="false" ht="15" hidden="false" customHeight="false" outlineLevel="0" collapsed="false">
      <c r="A613" s="2" t="s">
        <v>617</v>
      </c>
      <c r="B613" s="2" t="s">
        <v>106</v>
      </c>
      <c r="C613" s="2" t="s">
        <v>316</v>
      </c>
      <c r="D613" s="2" t="s">
        <v>176</v>
      </c>
      <c r="E613" s="5" t="n">
        <f aca="false">INDEX('08_PEDIDOS'!$D$2:$D$97,MATCH(A613,'08_PEDIDOS'!$A$2:$A$97,0))</f>
        <v>5</v>
      </c>
      <c r="F613" s="5" t="n">
        <f aca="false">SUMIFS('03_DESPIECE'!$D$2:$D$225,'03_DESPIECE'!$A$2:$A$225,B613,'03_DESPIECE'!$B$2:$B$225,C613)</f>
        <v>1</v>
      </c>
      <c r="G613" s="5" t="n">
        <f aca="false">E613*F613</f>
        <v>5</v>
      </c>
      <c r="H613" s="16" t="n">
        <f aca="false">SUMIFS('03_DESPIECE'!$J$2:$J$225,'03_DESPIECE'!$A$2:$A$225,B613,'03_DESPIECE'!$B$2:$B$225,C613)</f>
        <v>147.9554347826</v>
      </c>
      <c r="I613" s="16" t="n">
        <f aca="false">E613*H613</f>
        <v>739.777173913</v>
      </c>
      <c r="J613" s="17" t="n">
        <f aca="false">E613*SUMIFS('03_DESPIECE'!$I$2:$I$225,'03_DESPIECE'!$A$2:$A$225,B613,'03_DESPIECE'!$B$2:$B$225,C613)</f>
        <v>100.0875</v>
      </c>
      <c r="K613" s="19" t="n">
        <f aca="false">E613*SUMIFS('03_DESPIECE'!$K$2:$K$225,'03_DESPIECE'!$A$2:$A$225,B613,'03_DESPIECE'!$B$2:$B$225,C613)</f>
        <v>2.951388889</v>
      </c>
      <c r="L613" s="5" t="n">
        <f aca="false">SUMIFS('03_DESPIECE'!$L$2:$L$225,'03_DESPIECE'!$A$2:$A$225,B613,'03_DESPIECE'!$B$2:$B$225,C613)</f>
        <v>1</v>
      </c>
      <c r="M613" s="2" t="s">
        <v>629</v>
      </c>
    </row>
    <row r="614" customFormat="false" ht="15" hidden="false" customHeight="false" outlineLevel="0" collapsed="false">
      <c r="A614" s="2" t="s">
        <v>617</v>
      </c>
      <c r="B614" s="2" t="s">
        <v>106</v>
      </c>
      <c r="C614" s="2" t="s">
        <v>317</v>
      </c>
      <c r="D614" s="2" t="s">
        <v>176</v>
      </c>
      <c r="E614" s="5" t="n">
        <f aca="false">INDEX('08_PEDIDOS'!$D$2:$D$97,MATCH(A614,'08_PEDIDOS'!$A$2:$A$97,0))</f>
        <v>5</v>
      </c>
      <c r="F614" s="5" t="n">
        <f aca="false">SUMIFS('03_DESPIECE'!$D$2:$D$225,'03_DESPIECE'!$A$2:$A$225,B614,'03_DESPIECE'!$B$2:$B$225,C614)</f>
        <v>4</v>
      </c>
      <c r="G614" s="5" t="n">
        <f aca="false">E614*F614</f>
        <v>20</v>
      </c>
      <c r="H614" s="16" t="n">
        <f aca="false">SUMIFS('03_DESPIECE'!$J$2:$J$225,'03_DESPIECE'!$A$2:$A$225,B614,'03_DESPIECE'!$B$2:$B$225,C614)</f>
        <v>128.8082608696</v>
      </c>
      <c r="I614" s="16" t="n">
        <f aca="false">E614*H614</f>
        <v>644.041304348</v>
      </c>
      <c r="J614" s="17" t="n">
        <f aca="false">E614*SUMIFS('03_DESPIECE'!$I$2:$I$225,'03_DESPIECE'!$A$2:$A$225,B614,'03_DESPIECE'!$B$2:$B$225,C614)</f>
        <v>87.135</v>
      </c>
      <c r="K614" s="19" t="n">
        <f aca="false">E614*SUMIFS('03_DESPIECE'!$K$2:$K$225,'03_DESPIECE'!$A$2:$A$225,B614,'03_DESPIECE'!$B$2:$B$225,C614)</f>
        <v>2.5694444445</v>
      </c>
      <c r="L614" s="5" t="n">
        <f aca="false">SUMIFS('03_DESPIECE'!$L$2:$L$225,'03_DESPIECE'!$A$2:$A$225,B614,'03_DESPIECE'!$B$2:$B$225,C614)</f>
        <v>1</v>
      </c>
      <c r="M614" s="2" t="s">
        <v>629</v>
      </c>
    </row>
    <row r="615" customFormat="false" ht="15" hidden="false" customHeight="false" outlineLevel="0" collapsed="false">
      <c r="A615" s="2" t="s">
        <v>617</v>
      </c>
      <c r="B615" s="2" t="s">
        <v>106</v>
      </c>
      <c r="C615" s="2" t="s">
        <v>318</v>
      </c>
      <c r="D615" s="2" t="s">
        <v>176</v>
      </c>
      <c r="E615" s="5" t="n">
        <f aca="false">INDEX('08_PEDIDOS'!$D$2:$D$97,MATCH(A615,'08_PEDIDOS'!$A$2:$A$97,0))</f>
        <v>5</v>
      </c>
      <c r="F615" s="5" t="n">
        <f aca="false">SUMIFS('03_DESPIECE'!$D$2:$D$225,'03_DESPIECE'!$A$2:$A$225,B615,'03_DESPIECE'!$B$2:$B$225,C615)</f>
        <v>3</v>
      </c>
      <c r="G615" s="5" t="n">
        <f aca="false">E615*F615</f>
        <v>15</v>
      </c>
      <c r="H615" s="16" t="n">
        <f aca="false">SUMIFS('03_DESPIECE'!$J$2:$J$225,'03_DESPIECE'!$A$2:$A$225,B615,'03_DESPIECE'!$B$2:$B$225,C615)</f>
        <v>91.3842391304</v>
      </c>
      <c r="I615" s="16" t="n">
        <f aca="false">E615*H615</f>
        <v>456.921195652</v>
      </c>
      <c r="J615" s="17" t="n">
        <f aca="false">E615*SUMIFS('03_DESPIECE'!$I$2:$I$225,'03_DESPIECE'!$A$2:$A$225,B615,'03_DESPIECE'!$B$2:$B$225,C615)</f>
        <v>61.81875</v>
      </c>
      <c r="K615" s="19" t="n">
        <f aca="false">E615*SUMIFS('03_DESPIECE'!$K$2:$K$225,'03_DESPIECE'!$A$2:$A$225,B615,'03_DESPIECE'!$B$2:$B$225,C615)</f>
        <v>1.8229166665</v>
      </c>
      <c r="L615" s="5" t="n">
        <f aca="false">SUMIFS('03_DESPIECE'!$L$2:$L$225,'03_DESPIECE'!$A$2:$A$225,B615,'03_DESPIECE'!$B$2:$B$225,C615)</f>
        <v>1</v>
      </c>
      <c r="M615" s="2" t="s">
        <v>629</v>
      </c>
    </row>
    <row r="616" customFormat="false" ht="15" hidden="false" customHeight="false" outlineLevel="0" collapsed="false">
      <c r="A616" s="2" t="s">
        <v>617</v>
      </c>
      <c r="B616" s="2" t="s">
        <v>106</v>
      </c>
      <c r="C616" s="2" t="s">
        <v>319</v>
      </c>
      <c r="D616" s="2" t="s">
        <v>188</v>
      </c>
      <c r="E616" s="5" t="n">
        <f aca="false">INDEX('08_PEDIDOS'!$D$2:$D$97,MATCH(A616,'08_PEDIDOS'!$A$2:$A$97,0))</f>
        <v>5</v>
      </c>
      <c r="F616" s="5" t="n">
        <f aca="false">SUMIFS('03_DESPIECE'!$D$2:$D$225,'03_DESPIECE'!$A$2:$A$225,B616,'03_DESPIECE'!$B$2:$B$225,C616)</f>
        <v>8</v>
      </c>
      <c r="G616" s="5" t="n">
        <f aca="false">E616*F616</f>
        <v>40</v>
      </c>
      <c r="H616" s="16" t="n">
        <f aca="false">SUMIFS('03_DESPIECE'!$J$2:$J$225,'03_DESPIECE'!$A$2:$A$225,B616,'03_DESPIECE'!$B$2:$B$225,C616)</f>
        <v>7.2</v>
      </c>
      <c r="I616" s="16" t="n">
        <f aca="false">E616*H616</f>
        <v>36</v>
      </c>
      <c r="J616" s="17" t="n">
        <f aca="false">E616*SUMIFS('03_DESPIECE'!$I$2:$I$225,'03_DESPIECE'!$A$2:$A$225,B616,'03_DESPIECE'!$B$2:$B$225,C616)</f>
        <v>0</v>
      </c>
      <c r="K616" s="19" t="n">
        <f aca="false">E616*SUMIFS('03_DESPIECE'!$K$2:$K$225,'03_DESPIECE'!$A$2:$A$225,B616,'03_DESPIECE'!$B$2:$B$225,C616)</f>
        <v>0</v>
      </c>
      <c r="L616" s="5" t="n">
        <f aca="false">SUMIFS('03_DESPIECE'!$L$2:$L$225,'03_DESPIECE'!$A$2:$A$225,B616,'03_DESPIECE'!$B$2:$B$225,C616)</f>
        <v>1</v>
      </c>
      <c r="M616" s="2" t="s">
        <v>629</v>
      </c>
    </row>
    <row r="617" customFormat="false" ht="15" hidden="false" customHeight="false" outlineLevel="0" collapsed="false">
      <c r="A617" s="2" t="s">
        <v>617</v>
      </c>
      <c r="B617" s="2" t="s">
        <v>106</v>
      </c>
      <c r="C617" s="2" t="s">
        <v>320</v>
      </c>
      <c r="D617" s="2" t="s">
        <v>188</v>
      </c>
      <c r="E617" s="5" t="n">
        <f aca="false">INDEX('08_PEDIDOS'!$D$2:$D$97,MATCH(A617,'08_PEDIDOS'!$A$2:$A$97,0))</f>
        <v>5</v>
      </c>
      <c r="F617" s="5" t="n">
        <f aca="false">SUMIFS('03_DESPIECE'!$D$2:$D$225,'03_DESPIECE'!$A$2:$A$225,B617,'03_DESPIECE'!$B$2:$B$225,C617)</f>
        <v>4</v>
      </c>
      <c r="G617" s="5" t="n">
        <f aca="false">E617*F617</f>
        <v>20</v>
      </c>
      <c r="H617" s="16" t="n">
        <f aca="false">SUMIFS('03_DESPIECE'!$J$2:$J$225,'03_DESPIECE'!$A$2:$A$225,B617,'03_DESPIECE'!$B$2:$B$225,C617)</f>
        <v>3.6</v>
      </c>
      <c r="I617" s="16" t="n">
        <f aca="false">E617*H617</f>
        <v>18</v>
      </c>
      <c r="J617" s="17" t="n">
        <f aca="false">E617*SUMIFS('03_DESPIECE'!$I$2:$I$225,'03_DESPIECE'!$A$2:$A$225,B617,'03_DESPIECE'!$B$2:$B$225,C617)</f>
        <v>0</v>
      </c>
      <c r="K617" s="19" t="n">
        <f aca="false">E617*SUMIFS('03_DESPIECE'!$K$2:$K$225,'03_DESPIECE'!$A$2:$A$225,B617,'03_DESPIECE'!$B$2:$B$225,C617)</f>
        <v>0</v>
      </c>
      <c r="L617" s="5" t="n">
        <f aca="false">SUMIFS('03_DESPIECE'!$L$2:$L$225,'03_DESPIECE'!$A$2:$A$225,B617,'03_DESPIECE'!$B$2:$B$225,C617)</f>
        <v>1</v>
      </c>
      <c r="M617" s="2" t="s">
        <v>629</v>
      </c>
    </row>
    <row r="618" customFormat="false" ht="15" hidden="false" customHeight="false" outlineLevel="0" collapsed="false">
      <c r="A618" s="2" t="s">
        <v>618</v>
      </c>
      <c r="B618" s="2" t="s">
        <v>108</v>
      </c>
      <c r="C618" s="2" t="s">
        <v>321</v>
      </c>
      <c r="D618" s="2" t="s">
        <v>176</v>
      </c>
      <c r="E618" s="5" t="n">
        <f aca="false">INDEX('08_PEDIDOS'!$D$2:$D$97,MATCH(A618,'08_PEDIDOS'!$A$2:$A$97,0))</f>
        <v>6</v>
      </c>
      <c r="F618" s="5" t="n">
        <f aca="false">SUMIFS('03_DESPIECE'!$D$2:$D$225,'03_DESPIECE'!$A$2:$A$225,B618,'03_DESPIECE'!$B$2:$B$225,C618)</f>
        <v>2</v>
      </c>
      <c r="G618" s="5" t="n">
        <f aca="false">E618*F618</f>
        <v>12</v>
      </c>
      <c r="H618" s="16" t="n">
        <f aca="false">SUMIFS('03_DESPIECE'!$J$2:$J$225,'03_DESPIECE'!$A$2:$A$225,B618,'03_DESPIECE'!$B$2:$B$225,C618)</f>
        <v>191.4717391304</v>
      </c>
      <c r="I618" s="16" t="n">
        <f aca="false">E618*H618</f>
        <v>1148.8304347824</v>
      </c>
      <c r="J618" s="17" t="n">
        <f aca="false">E618*SUMIFS('03_DESPIECE'!$I$2:$I$225,'03_DESPIECE'!$A$2:$A$225,B618,'03_DESPIECE'!$B$2:$B$225,C618)</f>
        <v>155.43</v>
      </c>
      <c r="K618" s="19" t="n">
        <f aca="false">E618*SUMIFS('03_DESPIECE'!$K$2:$K$225,'03_DESPIECE'!$A$2:$A$225,B618,'03_DESPIECE'!$B$2:$B$225,C618)</f>
        <v>4.5833333334</v>
      </c>
      <c r="L618" s="5" t="n">
        <f aca="false">SUMIFS('03_DESPIECE'!$L$2:$L$225,'03_DESPIECE'!$A$2:$A$225,B618,'03_DESPIECE'!$B$2:$B$225,C618)</f>
        <v>1</v>
      </c>
      <c r="M618" s="2" t="s">
        <v>629</v>
      </c>
    </row>
    <row r="619" customFormat="false" ht="15" hidden="false" customHeight="false" outlineLevel="0" collapsed="false">
      <c r="A619" s="2" t="s">
        <v>618</v>
      </c>
      <c r="B619" s="2" t="s">
        <v>108</v>
      </c>
      <c r="C619" s="2" t="s">
        <v>322</v>
      </c>
      <c r="D619" s="2" t="s">
        <v>176</v>
      </c>
      <c r="E619" s="5" t="n">
        <f aca="false">INDEX('08_PEDIDOS'!$D$2:$D$97,MATCH(A619,'08_PEDIDOS'!$A$2:$A$97,0))</f>
        <v>6</v>
      </c>
      <c r="F619" s="5" t="n">
        <f aca="false">SUMIFS('03_DESPIECE'!$D$2:$D$225,'03_DESPIECE'!$A$2:$A$225,B619,'03_DESPIECE'!$B$2:$B$225,C619)</f>
        <v>2</v>
      </c>
      <c r="G619" s="5" t="n">
        <f aca="false">E619*F619</f>
        <v>12</v>
      </c>
      <c r="H619" s="16" t="n">
        <f aca="false">SUMIFS('03_DESPIECE'!$J$2:$J$225,'03_DESPIECE'!$A$2:$A$225,B619,'03_DESPIECE'!$B$2:$B$225,C619)</f>
        <v>83.5513043478</v>
      </c>
      <c r="I619" s="16" t="n">
        <f aca="false">E619*H619</f>
        <v>501.3078260868</v>
      </c>
      <c r="J619" s="17" t="n">
        <f aca="false">E619*SUMIFS('03_DESPIECE'!$I$2:$I$225,'03_DESPIECE'!$A$2:$A$225,B619,'03_DESPIECE'!$B$2:$B$225,C619)</f>
        <v>67.824</v>
      </c>
      <c r="K619" s="19" t="n">
        <f aca="false">E619*SUMIFS('03_DESPIECE'!$K$2:$K$225,'03_DESPIECE'!$A$2:$A$225,B619,'03_DESPIECE'!$B$2:$B$225,C619)</f>
        <v>1.9999999998</v>
      </c>
      <c r="L619" s="5" t="n">
        <f aca="false">SUMIFS('03_DESPIECE'!$L$2:$L$225,'03_DESPIECE'!$A$2:$A$225,B619,'03_DESPIECE'!$B$2:$B$225,C619)</f>
        <v>1</v>
      </c>
      <c r="M619" s="2" t="s">
        <v>629</v>
      </c>
    </row>
    <row r="620" customFormat="false" ht="15" hidden="false" customHeight="false" outlineLevel="0" collapsed="false">
      <c r="A620" s="2" t="s">
        <v>618</v>
      </c>
      <c r="B620" s="2" t="s">
        <v>108</v>
      </c>
      <c r="C620" s="2" t="s">
        <v>323</v>
      </c>
      <c r="D620" s="2" t="s">
        <v>176</v>
      </c>
      <c r="E620" s="5" t="n">
        <f aca="false">INDEX('08_PEDIDOS'!$D$2:$D$97,MATCH(A620,'08_PEDIDOS'!$A$2:$A$97,0))</f>
        <v>6</v>
      </c>
      <c r="F620" s="5" t="n">
        <f aca="false">SUMIFS('03_DESPIECE'!$D$2:$D$225,'03_DESPIECE'!$A$2:$A$225,B620,'03_DESPIECE'!$B$2:$B$225,C620)</f>
        <v>1</v>
      </c>
      <c r="G620" s="5" t="n">
        <f aca="false">E620*F620</f>
        <v>6</v>
      </c>
      <c r="H620" s="16" t="n">
        <f aca="false">SUMIFS('03_DESPIECE'!$J$2:$J$225,'03_DESPIECE'!$A$2:$A$225,B620,'03_DESPIECE'!$B$2:$B$225,C620)</f>
        <v>156.6586956522</v>
      </c>
      <c r="I620" s="16" t="n">
        <f aca="false">E620*H620</f>
        <v>939.9521739132</v>
      </c>
      <c r="J620" s="17" t="n">
        <f aca="false">E620*SUMIFS('03_DESPIECE'!$I$2:$I$225,'03_DESPIECE'!$A$2:$A$225,B620,'03_DESPIECE'!$B$2:$B$225,C620)</f>
        <v>127.17</v>
      </c>
      <c r="K620" s="19" t="n">
        <f aca="false">E620*SUMIFS('03_DESPIECE'!$K$2:$K$225,'03_DESPIECE'!$A$2:$A$225,B620,'03_DESPIECE'!$B$2:$B$225,C620)</f>
        <v>3.75</v>
      </c>
      <c r="L620" s="5" t="n">
        <f aca="false">SUMIFS('03_DESPIECE'!$L$2:$L$225,'03_DESPIECE'!$A$2:$A$225,B620,'03_DESPIECE'!$B$2:$B$225,C620)</f>
        <v>1</v>
      </c>
      <c r="M620" s="2" t="s">
        <v>629</v>
      </c>
    </row>
    <row r="621" customFormat="false" ht="15" hidden="false" customHeight="false" outlineLevel="0" collapsed="false">
      <c r="A621" s="2" t="s">
        <v>618</v>
      </c>
      <c r="B621" s="2" t="s">
        <v>108</v>
      </c>
      <c r="C621" s="2" t="s">
        <v>324</v>
      </c>
      <c r="D621" s="2" t="s">
        <v>176</v>
      </c>
      <c r="E621" s="5" t="n">
        <f aca="false">INDEX('08_PEDIDOS'!$D$2:$D$97,MATCH(A621,'08_PEDIDOS'!$A$2:$A$97,0))</f>
        <v>6</v>
      </c>
      <c r="F621" s="5" t="n">
        <f aca="false">SUMIFS('03_DESPIECE'!$D$2:$D$225,'03_DESPIECE'!$A$2:$A$225,B621,'03_DESPIECE'!$B$2:$B$225,C621)</f>
        <v>6</v>
      </c>
      <c r="G621" s="5" t="n">
        <f aca="false">E621*F621</f>
        <v>36</v>
      </c>
      <c r="H621" s="16" t="n">
        <f aca="false">SUMIFS('03_DESPIECE'!$J$2:$J$225,'03_DESPIECE'!$A$2:$A$225,B621,'03_DESPIECE'!$B$2:$B$225,C621)</f>
        <v>156.6586956522</v>
      </c>
      <c r="I621" s="16" t="n">
        <f aca="false">E621*H621</f>
        <v>939.9521739132</v>
      </c>
      <c r="J621" s="17" t="n">
        <f aca="false">E621*SUMIFS('03_DESPIECE'!$I$2:$I$225,'03_DESPIECE'!$A$2:$A$225,B621,'03_DESPIECE'!$B$2:$B$225,C621)</f>
        <v>127.17</v>
      </c>
      <c r="K621" s="19" t="n">
        <f aca="false">E621*SUMIFS('03_DESPIECE'!$K$2:$K$225,'03_DESPIECE'!$A$2:$A$225,B621,'03_DESPIECE'!$B$2:$B$225,C621)</f>
        <v>3.75</v>
      </c>
      <c r="L621" s="5" t="n">
        <f aca="false">SUMIFS('03_DESPIECE'!$L$2:$L$225,'03_DESPIECE'!$A$2:$A$225,B621,'03_DESPIECE'!$B$2:$B$225,C621)</f>
        <v>1</v>
      </c>
      <c r="M621" s="2" t="s">
        <v>629</v>
      </c>
    </row>
    <row r="622" customFormat="false" ht="15" hidden="false" customHeight="false" outlineLevel="0" collapsed="false">
      <c r="A622" s="2" t="s">
        <v>618</v>
      </c>
      <c r="B622" s="2" t="s">
        <v>108</v>
      </c>
      <c r="C622" s="2" t="s">
        <v>325</v>
      </c>
      <c r="D622" s="2" t="s">
        <v>176</v>
      </c>
      <c r="E622" s="5" t="n">
        <f aca="false">INDEX('08_PEDIDOS'!$D$2:$D$97,MATCH(A622,'08_PEDIDOS'!$A$2:$A$97,0))</f>
        <v>6</v>
      </c>
      <c r="F622" s="5" t="n">
        <f aca="false">SUMIFS('03_DESPIECE'!$D$2:$D$225,'03_DESPIECE'!$A$2:$A$225,B622,'03_DESPIECE'!$B$2:$B$225,C622)</f>
        <v>2</v>
      </c>
      <c r="G622" s="5" t="n">
        <f aca="false">E622*F622</f>
        <v>12</v>
      </c>
      <c r="H622" s="16" t="n">
        <f aca="false">SUMIFS('03_DESPIECE'!$J$2:$J$225,'03_DESPIECE'!$A$2:$A$225,B622,'03_DESPIECE'!$B$2:$B$225,C622)</f>
        <v>121.8456521739</v>
      </c>
      <c r="I622" s="16" t="n">
        <f aca="false">E622*H622</f>
        <v>731.0739130434</v>
      </c>
      <c r="J622" s="17" t="n">
        <f aca="false">E622*SUMIFS('03_DESPIECE'!$I$2:$I$225,'03_DESPIECE'!$A$2:$A$225,B622,'03_DESPIECE'!$B$2:$B$225,C622)</f>
        <v>98.91</v>
      </c>
      <c r="K622" s="19" t="n">
        <f aca="false">E622*SUMIFS('03_DESPIECE'!$K$2:$K$225,'03_DESPIECE'!$A$2:$A$225,B622,'03_DESPIECE'!$B$2:$B$225,C622)</f>
        <v>2.9166666666</v>
      </c>
      <c r="L622" s="5" t="n">
        <f aca="false">SUMIFS('03_DESPIECE'!$L$2:$L$225,'03_DESPIECE'!$A$2:$A$225,B622,'03_DESPIECE'!$B$2:$B$225,C622)</f>
        <v>1</v>
      </c>
      <c r="M622" s="2" t="s">
        <v>629</v>
      </c>
    </row>
    <row r="623" customFormat="false" ht="15" hidden="false" customHeight="false" outlineLevel="0" collapsed="false">
      <c r="A623" s="2" t="s">
        <v>618</v>
      </c>
      <c r="B623" s="2" t="s">
        <v>108</v>
      </c>
      <c r="C623" s="2" t="s">
        <v>326</v>
      </c>
      <c r="D623" s="2" t="s">
        <v>176</v>
      </c>
      <c r="E623" s="5" t="n">
        <f aca="false">INDEX('08_PEDIDOS'!$D$2:$D$97,MATCH(A623,'08_PEDIDOS'!$A$2:$A$97,0))</f>
        <v>6</v>
      </c>
      <c r="F623" s="5" t="n">
        <f aca="false">SUMIFS('03_DESPIECE'!$D$2:$D$225,'03_DESPIECE'!$A$2:$A$225,B623,'03_DESPIECE'!$B$2:$B$225,C623)</f>
        <v>4</v>
      </c>
      <c r="G623" s="5" t="n">
        <f aca="false">E623*F623</f>
        <v>24</v>
      </c>
      <c r="H623" s="16" t="n">
        <f aca="false">SUMIFS('03_DESPIECE'!$J$2:$J$225,'03_DESPIECE'!$A$2:$A$225,B623,'03_DESPIECE'!$B$2:$B$225,C623)</f>
        <v>139.252173913</v>
      </c>
      <c r="I623" s="16" t="n">
        <f aca="false">E623*H623</f>
        <v>835.513043478</v>
      </c>
      <c r="J623" s="17" t="n">
        <f aca="false">E623*SUMIFS('03_DESPIECE'!$I$2:$I$225,'03_DESPIECE'!$A$2:$A$225,B623,'03_DESPIECE'!$B$2:$B$225,C623)</f>
        <v>113.04</v>
      </c>
      <c r="K623" s="19" t="n">
        <f aca="false">E623*SUMIFS('03_DESPIECE'!$K$2:$K$225,'03_DESPIECE'!$A$2:$A$225,B623,'03_DESPIECE'!$B$2:$B$225,C623)</f>
        <v>3.3333333336</v>
      </c>
      <c r="L623" s="5" t="n">
        <f aca="false">SUMIFS('03_DESPIECE'!$L$2:$L$225,'03_DESPIECE'!$A$2:$A$225,B623,'03_DESPIECE'!$B$2:$B$225,C623)</f>
        <v>1</v>
      </c>
      <c r="M623" s="2" t="s">
        <v>629</v>
      </c>
    </row>
    <row r="624" customFormat="false" ht="15" hidden="false" customHeight="false" outlineLevel="0" collapsed="false">
      <c r="A624" s="2" t="s">
        <v>618</v>
      </c>
      <c r="B624" s="2" t="s">
        <v>108</v>
      </c>
      <c r="C624" s="2" t="s">
        <v>319</v>
      </c>
      <c r="D624" s="2" t="s">
        <v>188</v>
      </c>
      <c r="E624" s="5" t="n">
        <f aca="false">INDEX('08_PEDIDOS'!$D$2:$D$97,MATCH(A624,'08_PEDIDOS'!$A$2:$A$97,0))</f>
        <v>6</v>
      </c>
      <c r="F624" s="5" t="n">
        <f aca="false">SUMIFS('03_DESPIECE'!$D$2:$D$225,'03_DESPIECE'!$A$2:$A$225,B624,'03_DESPIECE'!$B$2:$B$225,C624)</f>
        <v>12</v>
      </c>
      <c r="G624" s="5" t="n">
        <f aca="false">E624*F624</f>
        <v>72</v>
      </c>
      <c r="H624" s="16" t="n">
        <f aca="false">SUMIFS('03_DESPIECE'!$J$2:$J$225,'03_DESPIECE'!$A$2:$A$225,B624,'03_DESPIECE'!$B$2:$B$225,C624)</f>
        <v>10.8</v>
      </c>
      <c r="I624" s="16" t="n">
        <f aca="false">E624*H624</f>
        <v>64.8</v>
      </c>
      <c r="J624" s="17" t="n">
        <f aca="false">E624*SUMIFS('03_DESPIECE'!$I$2:$I$225,'03_DESPIECE'!$A$2:$A$225,B624,'03_DESPIECE'!$B$2:$B$225,C624)</f>
        <v>0</v>
      </c>
      <c r="K624" s="19" t="n">
        <f aca="false">E624*SUMIFS('03_DESPIECE'!$K$2:$K$225,'03_DESPIECE'!$A$2:$A$225,B624,'03_DESPIECE'!$B$2:$B$225,C624)</f>
        <v>0</v>
      </c>
      <c r="L624" s="5" t="n">
        <f aca="false">SUMIFS('03_DESPIECE'!$L$2:$L$225,'03_DESPIECE'!$A$2:$A$225,B624,'03_DESPIECE'!$B$2:$B$225,C624)</f>
        <v>1</v>
      </c>
      <c r="M624" s="2" t="s">
        <v>629</v>
      </c>
    </row>
    <row r="625" customFormat="false" ht="15" hidden="false" customHeight="false" outlineLevel="0" collapsed="false">
      <c r="A625" s="2" t="s">
        <v>618</v>
      </c>
      <c r="B625" s="2" t="s">
        <v>108</v>
      </c>
      <c r="C625" s="2" t="s">
        <v>320</v>
      </c>
      <c r="D625" s="2" t="s">
        <v>188</v>
      </c>
      <c r="E625" s="5" t="n">
        <f aca="false">INDEX('08_PEDIDOS'!$D$2:$D$97,MATCH(A625,'08_PEDIDOS'!$A$2:$A$97,0))</f>
        <v>6</v>
      </c>
      <c r="F625" s="5" t="n">
        <f aca="false">SUMIFS('03_DESPIECE'!$D$2:$D$225,'03_DESPIECE'!$A$2:$A$225,B625,'03_DESPIECE'!$B$2:$B$225,C625)</f>
        <v>6</v>
      </c>
      <c r="G625" s="5" t="n">
        <f aca="false">E625*F625</f>
        <v>36</v>
      </c>
      <c r="H625" s="16" t="n">
        <f aca="false">SUMIFS('03_DESPIECE'!$J$2:$J$225,'03_DESPIECE'!$A$2:$A$225,B625,'03_DESPIECE'!$B$2:$B$225,C625)</f>
        <v>5.4</v>
      </c>
      <c r="I625" s="16" t="n">
        <f aca="false">E625*H625</f>
        <v>32.4</v>
      </c>
      <c r="J625" s="17" t="n">
        <f aca="false">E625*SUMIFS('03_DESPIECE'!$I$2:$I$225,'03_DESPIECE'!$A$2:$A$225,B625,'03_DESPIECE'!$B$2:$B$225,C625)</f>
        <v>0</v>
      </c>
      <c r="K625" s="19" t="n">
        <f aca="false">E625*SUMIFS('03_DESPIECE'!$K$2:$K$225,'03_DESPIECE'!$A$2:$A$225,B625,'03_DESPIECE'!$B$2:$B$225,C625)</f>
        <v>0</v>
      </c>
      <c r="L625" s="5" t="n">
        <f aca="false">SUMIFS('03_DESPIECE'!$L$2:$L$225,'03_DESPIECE'!$A$2:$A$225,B625,'03_DESPIECE'!$B$2:$B$225,C625)</f>
        <v>1</v>
      </c>
      <c r="M625" s="2" t="s">
        <v>629</v>
      </c>
    </row>
    <row r="626" customFormat="false" ht="15" hidden="false" customHeight="false" outlineLevel="0" collapsed="false">
      <c r="A626" s="2" t="s">
        <v>619</v>
      </c>
      <c r="B626" s="2" t="s">
        <v>119</v>
      </c>
      <c r="C626" s="2" t="s">
        <v>327</v>
      </c>
      <c r="D626" s="2" t="s">
        <v>174</v>
      </c>
      <c r="E626" s="5" t="n">
        <f aca="false">INDEX('08_PEDIDOS'!$D$2:$D$97,MATCH(A626,'08_PEDIDOS'!$A$2:$A$97,0))</f>
        <v>10</v>
      </c>
      <c r="F626" s="5" t="n">
        <f aca="false">SUMIFS('03_DESPIECE'!$D$2:$D$225,'03_DESPIECE'!$A$2:$A$225,B626,'03_DESPIECE'!$B$2:$B$225,C626)</f>
        <v>2</v>
      </c>
      <c r="G626" s="5" t="n">
        <f aca="false">E626*F626</f>
        <v>20</v>
      </c>
      <c r="H626" s="16" t="n">
        <f aca="false">SUMIFS('03_DESPIECE'!$J$2:$J$225,'03_DESPIECE'!$A$2:$A$225,B626,'03_DESPIECE'!$B$2:$B$225,C626)</f>
        <v>110.2413043478</v>
      </c>
      <c r="I626" s="16" t="n">
        <f aca="false">E626*H626</f>
        <v>1102.413043478</v>
      </c>
      <c r="J626" s="17" t="n">
        <f aca="false">E626*SUMIFS('03_DESPIECE'!$I$2:$I$225,'03_DESPIECE'!$A$2:$A$225,B626,'03_DESPIECE'!$B$2:$B$225,C626)</f>
        <v>149.15</v>
      </c>
      <c r="K626" s="19" t="n">
        <f aca="false">E626*SUMIFS('03_DESPIECE'!$K$2:$K$225,'03_DESPIECE'!$A$2:$A$225,B626,'03_DESPIECE'!$B$2:$B$225,C626)</f>
        <v>6.597222222</v>
      </c>
      <c r="L626" s="5" t="n">
        <f aca="false">SUMIFS('03_DESPIECE'!$L$2:$L$225,'03_DESPIECE'!$A$2:$A$225,B626,'03_DESPIECE'!$B$2:$B$225,C626)</f>
        <v>1</v>
      </c>
      <c r="M626" s="2" t="s">
        <v>629</v>
      </c>
    </row>
    <row r="627" customFormat="false" ht="15" hidden="false" customHeight="false" outlineLevel="0" collapsed="false">
      <c r="A627" s="2" t="s">
        <v>619</v>
      </c>
      <c r="B627" s="2" t="s">
        <v>119</v>
      </c>
      <c r="C627" s="2" t="s">
        <v>316</v>
      </c>
      <c r="D627" s="2" t="s">
        <v>174</v>
      </c>
      <c r="E627" s="5" t="n">
        <f aca="false">INDEX('08_PEDIDOS'!$D$2:$D$97,MATCH(A627,'08_PEDIDOS'!$A$2:$A$97,0))</f>
        <v>10</v>
      </c>
      <c r="F627" s="5" t="n">
        <f aca="false">SUMIFS('03_DESPIECE'!$D$2:$D$225,'03_DESPIECE'!$A$2:$A$225,B627,'03_DESPIECE'!$B$2:$B$225,C627)</f>
        <v>1</v>
      </c>
      <c r="G627" s="5" t="n">
        <f aca="false">E627*F627</f>
        <v>10</v>
      </c>
      <c r="H627" s="16" t="n">
        <f aca="false">SUMIFS('03_DESPIECE'!$J$2:$J$225,'03_DESPIECE'!$A$2:$A$225,B627,'03_DESPIECE'!$B$2:$B$225,C627)</f>
        <v>75.4282608696</v>
      </c>
      <c r="I627" s="16" t="n">
        <f aca="false">E627*H627</f>
        <v>754.282608696</v>
      </c>
      <c r="J627" s="17" t="n">
        <f aca="false">E627*SUMIFS('03_DESPIECE'!$I$2:$I$225,'03_DESPIECE'!$A$2:$A$225,B627,'03_DESPIECE'!$B$2:$B$225,C627)</f>
        <v>102.05</v>
      </c>
      <c r="K627" s="19" t="n">
        <f aca="false">E627*SUMIFS('03_DESPIECE'!$K$2:$K$225,'03_DESPIECE'!$A$2:$A$225,B627,'03_DESPIECE'!$B$2:$B$225,C627)</f>
        <v>4.513888889</v>
      </c>
      <c r="L627" s="5" t="n">
        <f aca="false">SUMIFS('03_DESPIECE'!$L$2:$L$225,'03_DESPIECE'!$A$2:$A$225,B627,'03_DESPIECE'!$B$2:$B$225,C627)</f>
        <v>1</v>
      </c>
      <c r="M627" s="2" t="s">
        <v>629</v>
      </c>
    </row>
    <row r="628" customFormat="false" ht="15" hidden="false" customHeight="false" outlineLevel="0" collapsed="false">
      <c r="A628" s="2" t="s">
        <v>619</v>
      </c>
      <c r="B628" s="2" t="s">
        <v>119</v>
      </c>
      <c r="C628" s="2" t="s">
        <v>322</v>
      </c>
      <c r="D628" s="2" t="s">
        <v>174</v>
      </c>
      <c r="E628" s="5" t="n">
        <f aca="false">INDEX('08_PEDIDOS'!$D$2:$D$97,MATCH(A628,'08_PEDIDOS'!$A$2:$A$97,0))</f>
        <v>10</v>
      </c>
      <c r="F628" s="5" t="n">
        <f aca="false">SUMIFS('03_DESPIECE'!$D$2:$D$225,'03_DESPIECE'!$A$2:$A$225,B628,'03_DESPIECE'!$B$2:$B$225,C628)</f>
        <v>2</v>
      </c>
      <c r="G628" s="5" t="n">
        <f aca="false">E628*F628</f>
        <v>20</v>
      </c>
      <c r="H628" s="16" t="n">
        <f aca="false">SUMIFS('03_DESPIECE'!$J$2:$J$225,'03_DESPIECE'!$A$2:$A$225,B628,'03_DESPIECE'!$B$2:$B$225,C628)</f>
        <v>58.0217391304</v>
      </c>
      <c r="I628" s="16" t="n">
        <f aca="false">E628*H628</f>
        <v>580.217391304</v>
      </c>
      <c r="J628" s="17" t="n">
        <f aca="false">E628*SUMIFS('03_DESPIECE'!$I$2:$I$225,'03_DESPIECE'!$A$2:$A$225,B628,'03_DESPIECE'!$B$2:$B$225,C628)</f>
        <v>78.5</v>
      </c>
      <c r="K628" s="19" t="n">
        <f aca="false">E628*SUMIFS('03_DESPIECE'!$K$2:$K$225,'03_DESPIECE'!$A$2:$A$225,B628,'03_DESPIECE'!$B$2:$B$225,C628)</f>
        <v>3.472222222</v>
      </c>
      <c r="L628" s="5" t="n">
        <f aca="false">SUMIFS('03_DESPIECE'!$L$2:$L$225,'03_DESPIECE'!$A$2:$A$225,B628,'03_DESPIECE'!$B$2:$B$225,C628)</f>
        <v>1</v>
      </c>
      <c r="M628" s="2" t="s">
        <v>629</v>
      </c>
    </row>
    <row r="629" customFormat="false" ht="15" hidden="false" customHeight="false" outlineLevel="0" collapsed="false">
      <c r="A629" s="2" t="s">
        <v>619</v>
      </c>
      <c r="B629" s="2" t="s">
        <v>119</v>
      </c>
      <c r="C629" s="2" t="s">
        <v>328</v>
      </c>
      <c r="D629" s="2" t="s">
        <v>174</v>
      </c>
      <c r="E629" s="5" t="n">
        <f aca="false">INDEX('08_PEDIDOS'!$D$2:$D$97,MATCH(A629,'08_PEDIDOS'!$A$2:$A$97,0))</f>
        <v>10</v>
      </c>
      <c r="F629" s="5" t="n">
        <f aca="false">SUMIFS('03_DESPIECE'!$D$2:$D$225,'03_DESPIECE'!$A$2:$A$225,B629,'03_DESPIECE'!$B$2:$B$225,C629)</f>
        <v>2</v>
      </c>
      <c r="G629" s="5" t="n">
        <f aca="false">E629*F629</f>
        <v>20</v>
      </c>
      <c r="H629" s="16" t="n">
        <f aca="false">SUMIFS('03_DESPIECE'!$J$2:$J$225,'03_DESPIECE'!$A$2:$A$225,B629,'03_DESPIECE'!$B$2:$B$225,C629)</f>
        <v>81.2304347826</v>
      </c>
      <c r="I629" s="16" t="n">
        <f aca="false">E629*H629</f>
        <v>812.304347826</v>
      </c>
      <c r="J629" s="17" t="n">
        <f aca="false">E629*SUMIFS('03_DESPIECE'!$I$2:$I$225,'03_DESPIECE'!$A$2:$A$225,B629,'03_DESPIECE'!$B$2:$B$225,C629)</f>
        <v>109.9</v>
      </c>
      <c r="K629" s="19" t="n">
        <f aca="false">E629*SUMIFS('03_DESPIECE'!$K$2:$K$225,'03_DESPIECE'!$A$2:$A$225,B629,'03_DESPIECE'!$B$2:$B$225,C629)</f>
        <v>4.861111111</v>
      </c>
      <c r="L629" s="5" t="n">
        <f aca="false">SUMIFS('03_DESPIECE'!$L$2:$L$225,'03_DESPIECE'!$A$2:$A$225,B629,'03_DESPIECE'!$B$2:$B$225,C629)</f>
        <v>1</v>
      </c>
      <c r="M629" s="2" t="s">
        <v>629</v>
      </c>
    </row>
    <row r="630" customFormat="false" ht="15" hidden="false" customHeight="false" outlineLevel="0" collapsed="false">
      <c r="A630" s="2" t="s">
        <v>619</v>
      </c>
      <c r="B630" s="2" t="s">
        <v>119</v>
      </c>
      <c r="C630" s="2" t="s">
        <v>310</v>
      </c>
      <c r="D630" s="2" t="s">
        <v>174</v>
      </c>
      <c r="E630" s="5" t="n">
        <f aca="false">INDEX('08_PEDIDOS'!$D$2:$D$97,MATCH(A630,'08_PEDIDOS'!$A$2:$A$97,0))</f>
        <v>10</v>
      </c>
      <c r="F630" s="5" t="n">
        <f aca="false">SUMIFS('03_DESPIECE'!$D$2:$D$225,'03_DESPIECE'!$A$2:$A$225,B630,'03_DESPIECE'!$B$2:$B$225,C630)</f>
        <v>3</v>
      </c>
      <c r="G630" s="5" t="n">
        <f aca="false">E630*F630</f>
        <v>30</v>
      </c>
      <c r="H630" s="16" t="n">
        <f aca="false">SUMIFS('03_DESPIECE'!$J$2:$J$225,'03_DESPIECE'!$A$2:$A$225,B630,'03_DESPIECE'!$B$2:$B$225,C630)</f>
        <v>83.5513043478</v>
      </c>
      <c r="I630" s="16" t="n">
        <f aca="false">E630*H630</f>
        <v>835.513043478</v>
      </c>
      <c r="J630" s="17" t="n">
        <f aca="false">E630*SUMIFS('03_DESPIECE'!$I$2:$I$225,'03_DESPIECE'!$A$2:$A$225,B630,'03_DESPIECE'!$B$2:$B$225,C630)</f>
        <v>113.04</v>
      </c>
      <c r="K630" s="19" t="n">
        <f aca="false">E630*SUMIFS('03_DESPIECE'!$K$2:$K$225,'03_DESPIECE'!$A$2:$A$225,B630,'03_DESPIECE'!$B$2:$B$225,C630)</f>
        <v>5</v>
      </c>
      <c r="L630" s="5" t="n">
        <f aca="false">SUMIFS('03_DESPIECE'!$L$2:$L$225,'03_DESPIECE'!$A$2:$A$225,B630,'03_DESPIECE'!$B$2:$B$225,C630)</f>
        <v>1</v>
      </c>
      <c r="M630" s="2" t="s">
        <v>629</v>
      </c>
    </row>
    <row r="631" customFormat="false" ht="15" hidden="false" customHeight="false" outlineLevel="0" collapsed="false">
      <c r="A631" s="2" t="s">
        <v>619</v>
      </c>
      <c r="B631" s="2" t="s">
        <v>119</v>
      </c>
      <c r="C631" s="2" t="s">
        <v>319</v>
      </c>
      <c r="D631" s="2" t="s">
        <v>188</v>
      </c>
      <c r="E631" s="5" t="n">
        <f aca="false">INDEX('08_PEDIDOS'!$D$2:$D$97,MATCH(A631,'08_PEDIDOS'!$A$2:$A$97,0))</f>
        <v>10</v>
      </c>
      <c r="F631" s="5" t="n">
        <f aca="false">SUMIFS('03_DESPIECE'!$D$2:$D$225,'03_DESPIECE'!$A$2:$A$225,B631,'03_DESPIECE'!$B$2:$B$225,C631)</f>
        <v>4</v>
      </c>
      <c r="G631" s="5" t="n">
        <f aca="false">E631*F631</f>
        <v>40</v>
      </c>
      <c r="H631" s="16" t="n">
        <f aca="false">SUMIFS('03_DESPIECE'!$J$2:$J$225,'03_DESPIECE'!$A$2:$A$225,B631,'03_DESPIECE'!$B$2:$B$225,C631)</f>
        <v>3.6</v>
      </c>
      <c r="I631" s="16" t="n">
        <f aca="false">E631*H631</f>
        <v>36</v>
      </c>
      <c r="J631" s="17" t="n">
        <f aca="false">E631*SUMIFS('03_DESPIECE'!$I$2:$I$225,'03_DESPIECE'!$A$2:$A$225,B631,'03_DESPIECE'!$B$2:$B$225,C631)</f>
        <v>0</v>
      </c>
      <c r="K631" s="19" t="n">
        <f aca="false">E631*SUMIFS('03_DESPIECE'!$K$2:$K$225,'03_DESPIECE'!$A$2:$A$225,B631,'03_DESPIECE'!$B$2:$B$225,C631)</f>
        <v>0</v>
      </c>
      <c r="L631" s="5" t="n">
        <f aca="false">SUMIFS('03_DESPIECE'!$L$2:$L$225,'03_DESPIECE'!$A$2:$A$225,B631,'03_DESPIECE'!$B$2:$B$225,C631)</f>
        <v>1</v>
      </c>
      <c r="M631" s="2" t="s">
        <v>629</v>
      </c>
    </row>
    <row r="632" customFormat="false" ht="15" hidden="false" customHeight="false" outlineLevel="0" collapsed="false">
      <c r="A632" s="2" t="s">
        <v>619</v>
      </c>
      <c r="B632" s="2" t="s">
        <v>119</v>
      </c>
      <c r="C632" s="2" t="s">
        <v>320</v>
      </c>
      <c r="D632" s="2" t="s">
        <v>188</v>
      </c>
      <c r="E632" s="5" t="n">
        <f aca="false">INDEX('08_PEDIDOS'!$D$2:$D$97,MATCH(A632,'08_PEDIDOS'!$A$2:$A$97,0))</f>
        <v>10</v>
      </c>
      <c r="F632" s="5" t="n">
        <f aca="false">SUMIFS('03_DESPIECE'!$D$2:$D$225,'03_DESPIECE'!$A$2:$A$225,B632,'03_DESPIECE'!$B$2:$B$225,C632)</f>
        <v>2</v>
      </c>
      <c r="G632" s="5" t="n">
        <f aca="false">E632*F632</f>
        <v>20</v>
      </c>
      <c r="H632" s="16" t="n">
        <f aca="false">SUMIFS('03_DESPIECE'!$J$2:$J$225,'03_DESPIECE'!$A$2:$A$225,B632,'03_DESPIECE'!$B$2:$B$225,C632)</f>
        <v>1.8</v>
      </c>
      <c r="I632" s="16" t="n">
        <f aca="false">E632*H632</f>
        <v>18</v>
      </c>
      <c r="J632" s="17" t="n">
        <f aca="false">E632*SUMIFS('03_DESPIECE'!$I$2:$I$225,'03_DESPIECE'!$A$2:$A$225,B632,'03_DESPIECE'!$B$2:$B$225,C632)</f>
        <v>0</v>
      </c>
      <c r="K632" s="19" t="n">
        <f aca="false">E632*SUMIFS('03_DESPIECE'!$K$2:$K$225,'03_DESPIECE'!$A$2:$A$225,B632,'03_DESPIECE'!$B$2:$B$225,C632)</f>
        <v>0</v>
      </c>
      <c r="L632" s="5" t="n">
        <f aca="false">SUMIFS('03_DESPIECE'!$L$2:$L$225,'03_DESPIECE'!$A$2:$A$225,B632,'03_DESPIECE'!$B$2:$B$225,C632)</f>
        <v>1</v>
      </c>
      <c r="M632" s="2" t="s">
        <v>629</v>
      </c>
    </row>
    <row r="633" customFormat="false" ht="15" hidden="false" customHeight="false" outlineLevel="0" collapsed="false">
      <c r="A633" s="2" t="s">
        <v>620</v>
      </c>
      <c r="B633" s="2" t="s">
        <v>121</v>
      </c>
      <c r="C633" s="2" t="s">
        <v>329</v>
      </c>
      <c r="D633" s="2" t="s">
        <v>184</v>
      </c>
      <c r="E633" s="5" t="n">
        <f aca="false">INDEX('08_PEDIDOS'!$D$2:$D$97,MATCH(A633,'08_PEDIDOS'!$A$2:$A$97,0))</f>
        <v>10</v>
      </c>
      <c r="F633" s="5" t="n">
        <f aca="false">SUMIFS('03_DESPIECE'!$D$2:$D$225,'03_DESPIECE'!$A$2:$A$225,B633,'03_DESPIECE'!$B$2:$B$225,C633)</f>
        <v>4</v>
      </c>
      <c r="G633" s="5" t="n">
        <f aca="false">E633*F633</f>
        <v>40</v>
      </c>
      <c r="H633" s="16" t="n">
        <f aca="false">SUMIFS('03_DESPIECE'!$J$2:$J$225,'03_DESPIECE'!$A$2:$A$225,B633,'03_DESPIECE'!$B$2:$B$225,C633)</f>
        <v>62.90625</v>
      </c>
      <c r="I633" s="16" t="n">
        <f aca="false">E633*H633</f>
        <v>629.0625</v>
      </c>
      <c r="J633" s="17" t="n">
        <f aca="false">E633*SUMIFS('03_DESPIECE'!$I$2:$I$225,'03_DESPIECE'!$A$2:$A$225,B633,'03_DESPIECE'!$B$2:$B$225,C633)</f>
        <v>99</v>
      </c>
      <c r="K633" s="19" t="n">
        <f aca="false">E633*SUMIFS('03_DESPIECE'!$K$2:$K$225,'03_DESPIECE'!$A$2:$A$225,B633,'03_DESPIECE'!$B$2:$B$225,C633)</f>
        <v>0</v>
      </c>
      <c r="L633" s="5" t="n">
        <f aca="false">SUMIFS('03_DESPIECE'!$L$2:$L$225,'03_DESPIECE'!$A$2:$A$225,B633,'03_DESPIECE'!$B$2:$B$225,C633)</f>
        <v>1</v>
      </c>
      <c r="M633" s="2" t="s">
        <v>629</v>
      </c>
    </row>
    <row r="634" customFormat="false" ht="15" hidden="false" customHeight="false" outlineLevel="0" collapsed="false">
      <c r="A634" s="2" t="s">
        <v>620</v>
      </c>
      <c r="B634" s="2" t="s">
        <v>121</v>
      </c>
      <c r="C634" s="2" t="s">
        <v>330</v>
      </c>
      <c r="D634" s="2" t="s">
        <v>184</v>
      </c>
      <c r="E634" s="5" t="n">
        <f aca="false">INDEX('08_PEDIDOS'!$D$2:$D$97,MATCH(A634,'08_PEDIDOS'!$A$2:$A$97,0))</f>
        <v>10</v>
      </c>
      <c r="F634" s="5" t="n">
        <f aca="false">SUMIFS('03_DESPIECE'!$D$2:$D$225,'03_DESPIECE'!$A$2:$A$225,B634,'03_DESPIECE'!$B$2:$B$225,C634)</f>
        <v>8</v>
      </c>
      <c r="G634" s="5" t="n">
        <f aca="false">E634*F634</f>
        <v>80</v>
      </c>
      <c r="H634" s="16" t="n">
        <f aca="false">SUMIFS('03_DESPIECE'!$J$2:$J$225,'03_DESPIECE'!$A$2:$A$225,B634,'03_DESPIECE'!$B$2:$B$225,C634)</f>
        <v>68.625</v>
      </c>
      <c r="I634" s="16" t="n">
        <f aca="false">E634*H634</f>
        <v>686.25</v>
      </c>
      <c r="J634" s="17" t="n">
        <f aca="false">E634*SUMIFS('03_DESPIECE'!$I$2:$I$225,'03_DESPIECE'!$A$2:$A$225,B634,'03_DESPIECE'!$B$2:$B$225,C634)</f>
        <v>108</v>
      </c>
      <c r="K634" s="19" t="n">
        <f aca="false">E634*SUMIFS('03_DESPIECE'!$K$2:$K$225,'03_DESPIECE'!$A$2:$A$225,B634,'03_DESPIECE'!$B$2:$B$225,C634)</f>
        <v>0</v>
      </c>
      <c r="L634" s="5" t="n">
        <f aca="false">SUMIFS('03_DESPIECE'!$L$2:$L$225,'03_DESPIECE'!$A$2:$A$225,B634,'03_DESPIECE'!$B$2:$B$225,C634)</f>
        <v>1</v>
      </c>
      <c r="M634" s="2" t="s">
        <v>629</v>
      </c>
    </row>
    <row r="635" customFormat="false" ht="15" hidden="false" customHeight="false" outlineLevel="0" collapsed="false">
      <c r="A635" s="2" t="s">
        <v>620</v>
      </c>
      <c r="B635" s="2" t="s">
        <v>121</v>
      </c>
      <c r="C635" s="2" t="s">
        <v>310</v>
      </c>
      <c r="D635" s="2" t="s">
        <v>174</v>
      </c>
      <c r="E635" s="5" t="n">
        <f aca="false">INDEX('08_PEDIDOS'!$D$2:$D$97,MATCH(A635,'08_PEDIDOS'!$A$2:$A$97,0))</f>
        <v>10</v>
      </c>
      <c r="F635" s="5" t="n">
        <f aca="false">SUMIFS('03_DESPIECE'!$D$2:$D$225,'03_DESPIECE'!$A$2:$A$225,B635,'03_DESPIECE'!$B$2:$B$225,C635)</f>
        <v>5</v>
      </c>
      <c r="G635" s="5" t="n">
        <f aca="false">E635*F635</f>
        <v>50</v>
      </c>
      <c r="H635" s="16" t="n">
        <f aca="false">SUMIFS('03_DESPIECE'!$J$2:$J$225,'03_DESPIECE'!$A$2:$A$225,B635,'03_DESPIECE'!$B$2:$B$225,C635)</f>
        <v>116.0434782609</v>
      </c>
      <c r="I635" s="16" t="n">
        <f aca="false">E635*H635</f>
        <v>1160.434782609</v>
      </c>
      <c r="J635" s="17" t="n">
        <f aca="false">E635*SUMIFS('03_DESPIECE'!$I$2:$I$225,'03_DESPIECE'!$A$2:$A$225,B635,'03_DESPIECE'!$B$2:$B$225,C635)</f>
        <v>157</v>
      </c>
      <c r="K635" s="19" t="n">
        <f aca="false">E635*SUMIFS('03_DESPIECE'!$K$2:$K$225,'03_DESPIECE'!$A$2:$A$225,B635,'03_DESPIECE'!$B$2:$B$225,C635)</f>
        <v>6.944444444</v>
      </c>
      <c r="L635" s="5" t="n">
        <f aca="false">SUMIFS('03_DESPIECE'!$L$2:$L$225,'03_DESPIECE'!$A$2:$A$225,B635,'03_DESPIECE'!$B$2:$B$225,C635)</f>
        <v>1</v>
      </c>
      <c r="M635" s="2" t="s">
        <v>629</v>
      </c>
    </row>
    <row r="636" customFormat="false" ht="15" hidden="false" customHeight="false" outlineLevel="0" collapsed="false">
      <c r="A636" s="2" t="s">
        <v>620</v>
      </c>
      <c r="B636" s="2" t="s">
        <v>121</v>
      </c>
      <c r="C636" s="2" t="s">
        <v>331</v>
      </c>
      <c r="D636" s="2" t="s">
        <v>174</v>
      </c>
      <c r="E636" s="5" t="n">
        <f aca="false">INDEX('08_PEDIDOS'!$D$2:$D$97,MATCH(A636,'08_PEDIDOS'!$A$2:$A$97,0))</f>
        <v>10</v>
      </c>
      <c r="F636" s="5" t="n">
        <f aca="false">SUMIFS('03_DESPIECE'!$D$2:$D$225,'03_DESPIECE'!$A$2:$A$225,B636,'03_DESPIECE'!$B$2:$B$225,C636)</f>
        <v>8</v>
      </c>
      <c r="G636" s="5" t="n">
        <f aca="false">E636*F636</f>
        <v>80</v>
      </c>
      <c r="H636" s="16" t="n">
        <f aca="false">SUMIFS('03_DESPIECE'!$J$2:$J$225,'03_DESPIECE'!$A$2:$A$225,B636,'03_DESPIECE'!$B$2:$B$225,C636)</f>
        <v>16.2460869565</v>
      </c>
      <c r="I636" s="16" t="n">
        <f aca="false">E636*H636</f>
        <v>162.460869565</v>
      </c>
      <c r="J636" s="17" t="n">
        <f aca="false">E636*SUMIFS('03_DESPIECE'!$I$2:$I$225,'03_DESPIECE'!$A$2:$A$225,B636,'03_DESPIECE'!$B$2:$B$225,C636)</f>
        <v>21.98</v>
      </c>
      <c r="K636" s="19" t="n">
        <f aca="false">E636*SUMIFS('03_DESPIECE'!$K$2:$K$225,'03_DESPIECE'!$A$2:$A$225,B636,'03_DESPIECE'!$B$2:$B$225,C636)</f>
        <v>0.972222222</v>
      </c>
      <c r="L636" s="5" t="n">
        <f aca="false">SUMIFS('03_DESPIECE'!$L$2:$L$225,'03_DESPIECE'!$A$2:$A$225,B636,'03_DESPIECE'!$B$2:$B$225,C636)</f>
        <v>1</v>
      </c>
      <c r="M636" s="2" t="s">
        <v>629</v>
      </c>
    </row>
    <row r="637" customFormat="false" ht="15" hidden="false" customHeight="false" outlineLevel="0" collapsed="false">
      <c r="A637" s="2" t="s">
        <v>620</v>
      </c>
      <c r="B637" s="2" t="s">
        <v>121</v>
      </c>
      <c r="C637" s="2" t="s">
        <v>332</v>
      </c>
      <c r="D637" s="2" t="s">
        <v>188</v>
      </c>
      <c r="E637" s="5" t="n">
        <f aca="false">INDEX('08_PEDIDOS'!$D$2:$D$97,MATCH(A637,'08_PEDIDOS'!$A$2:$A$97,0))</f>
        <v>10</v>
      </c>
      <c r="F637" s="5" t="n">
        <f aca="false">SUMIFS('03_DESPIECE'!$D$2:$D$225,'03_DESPIECE'!$A$2:$A$225,B637,'03_DESPIECE'!$B$2:$B$225,C637)</f>
        <v>32</v>
      </c>
      <c r="G637" s="5" t="n">
        <f aca="false">E637*F637</f>
        <v>320</v>
      </c>
      <c r="H637" s="16" t="n">
        <f aca="false">SUMIFS('03_DESPIECE'!$J$2:$J$225,'03_DESPIECE'!$A$2:$A$225,B637,'03_DESPIECE'!$B$2:$B$225,C637)</f>
        <v>28.8</v>
      </c>
      <c r="I637" s="16" t="n">
        <f aca="false">E637*H637</f>
        <v>288</v>
      </c>
      <c r="J637" s="17" t="n">
        <f aca="false">E637*SUMIFS('03_DESPIECE'!$I$2:$I$225,'03_DESPIECE'!$A$2:$A$225,B637,'03_DESPIECE'!$B$2:$B$225,C637)</f>
        <v>0</v>
      </c>
      <c r="K637" s="19" t="n">
        <f aca="false">E637*SUMIFS('03_DESPIECE'!$K$2:$K$225,'03_DESPIECE'!$A$2:$A$225,B637,'03_DESPIECE'!$B$2:$B$225,C637)</f>
        <v>0</v>
      </c>
      <c r="L637" s="5" t="n">
        <f aca="false">SUMIFS('03_DESPIECE'!$L$2:$L$225,'03_DESPIECE'!$A$2:$A$225,B637,'03_DESPIECE'!$B$2:$B$225,C637)</f>
        <v>1</v>
      </c>
      <c r="M637" s="2" t="s">
        <v>629</v>
      </c>
    </row>
  </sheetData>
  <autoFilter ref="A1:M6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95959"/>
    <pageSetUpPr fitToPage="false"/>
  </sheetPr>
  <dimension ref="A1:I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5"/>
    <col collapsed="false" customWidth="true" hidden="false" outlineLevel="0" max="3" min="3" style="0" width="6"/>
    <col collapsed="false" customWidth="true" hidden="false" outlineLevel="0" max="5" min="4" style="0" width="8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12"/>
  </cols>
  <sheetData>
    <row r="1" customFormat="false" ht="31.5" hidden="false" customHeight="true" outlineLevel="0" collapsed="false">
      <c r="A1" s="1" t="s">
        <v>637</v>
      </c>
      <c r="B1" s="1" t="s">
        <v>626</v>
      </c>
      <c r="C1" s="1" t="s">
        <v>638</v>
      </c>
      <c r="D1" s="1" t="s">
        <v>639</v>
      </c>
      <c r="E1" s="1" t="s">
        <v>622</v>
      </c>
      <c r="F1" s="1" t="s">
        <v>640</v>
      </c>
      <c r="G1" s="1" t="s">
        <v>641</v>
      </c>
      <c r="H1" s="1" t="s">
        <v>642</v>
      </c>
      <c r="I1" s="1" t="s">
        <v>64</v>
      </c>
    </row>
    <row r="2" customFormat="false" ht="15" hidden="false" customHeight="false" outlineLevel="0" collapsed="false">
      <c r="A2" s="2" t="s">
        <v>375</v>
      </c>
      <c r="B2" s="4" t="n">
        <v>1</v>
      </c>
      <c r="C2" s="5" t="n">
        <f aca="false">SUMPRODUCT((MONTH('07_CALENDARIO'!$A$2:$A$397)=B2)*(YEAR('07_CALENDARIO'!$A$2:$A$397)=p_anio_base)*'07_CALENDARIO'!$D$2:$D$397)</f>
        <v>23</v>
      </c>
      <c r="D2" s="11" t="n">
        <f aca="false">p_horas_productivas_dia</f>
        <v>8</v>
      </c>
      <c r="E2" s="5" t="n">
        <f aca="false">INDEX('04_MAQUINAS'!$E$2:$E$18,MATCH(A2,'04_MAQUINAS'!$A$2:$A$18,0))</f>
        <v>1</v>
      </c>
      <c r="F2" s="11" t="n">
        <f aca="false">C2*D2*E2</f>
        <v>184</v>
      </c>
      <c r="G2" s="17" t="n">
        <f aca="false">SUMIFS('09_CARGA_ORDEN'!$J$2:$J$1153,'09_CARGA_ORDEN'!$E$2:$E$1153,A2,'09_CARGA_ORDEN'!$K$2:$K$1153,B2)</f>
        <v>54.4345833333333</v>
      </c>
      <c r="H2" s="12" t="n">
        <f aca="false">IF(F2=0,"",G2/F2)</f>
        <v>0.295840126811594</v>
      </c>
      <c r="I2" s="2" t="s">
        <v>629</v>
      </c>
    </row>
    <row r="3" customFormat="false" ht="15" hidden="false" customHeight="false" outlineLevel="0" collapsed="false">
      <c r="A3" s="2" t="s">
        <v>375</v>
      </c>
      <c r="B3" s="4" t="n">
        <v>2</v>
      </c>
      <c r="C3" s="5" t="n">
        <f aca="false">SUMPRODUCT((MONTH('07_CALENDARIO'!$A$2:$A$397)=B3)*(YEAR('07_CALENDARIO'!$A$2:$A$397)=p_anio_base)*'07_CALENDARIO'!$D$2:$D$397)</f>
        <v>20</v>
      </c>
      <c r="D3" s="11" t="n">
        <f aca="false">p_horas_productivas_dia</f>
        <v>8</v>
      </c>
      <c r="E3" s="5" t="n">
        <f aca="false">INDEX('04_MAQUINAS'!$E$2:$E$18,MATCH(A3,'04_MAQUINAS'!$A$2:$A$18,0))</f>
        <v>1</v>
      </c>
      <c r="F3" s="11" t="n">
        <f aca="false">C3*D3*E3</f>
        <v>160</v>
      </c>
      <c r="G3" s="17" t="n">
        <f aca="false">SUMIFS('09_CARGA_ORDEN'!$J$2:$J$1153,'09_CARGA_ORDEN'!$E$2:$E$1153,A3,'09_CARGA_ORDEN'!$K$2:$K$1153,B3)</f>
        <v>53.7638333333333</v>
      </c>
      <c r="H3" s="12" t="n">
        <f aca="false">IF(F3=0,"",G3/F3)</f>
        <v>0.336023958333333</v>
      </c>
      <c r="I3" s="2" t="s">
        <v>629</v>
      </c>
    </row>
    <row r="4" customFormat="false" ht="15" hidden="false" customHeight="false" outlineLevel="0" collapsed="false">
      <c r="A4" s="2" t="s">
        <v>375</v>
      </c>
      <c r="B4" s="4" t="n">
        <v>3</v>
      </c>
      <c r="C4" s="5" t="n">
        <f aca="false">SUMPRODUCT((MONTH('07_CALENDARIO'!$A$2:$A$397)=B4)*(YEAR('07_CALENDARIO'!$A$2:$A$397)=p_anio_base)*'07_CALENDARIO'!$D$2:$D$397)</f>
        <v>21</v>
      </c>
      <c r="D4" s="11" t="n">
        <f aca="false">p_horas_productivas_dia</f>
        <v>8</v>
      </c>
      <c r="E4" s="5" t="n">
        <f aca="false">INDEX('04_MAQUINAS'!$E$2:$E$18,MATCH(A4,'04_MAQUINAS'!$A$2:$A$18,0))</f>
        <v>1</v>
      </c>
      <c r="F4" s="11" t="n">
        <f aca="false">C4*D4*E4</f>
        <v>168</v>
      </c>
      <c r="G4" s="17" t="n">
        <f aca="false">SUMIFS('09_CARGA_ORDEN'!$J$2:$J$1153,'09_CARGA_ORDEN'!$E$2:$E$1153,A4,'09_CARGA_ORDEN'!$K$2:$K$1153,B4)</f>
        <v>52.2575</v>
      </c>
      <c r="H4" s="12" t="n">
        <f aca="false">IF(F4=0,"",G4/F4)</f>
        <v>0.311056547619048</v>
      </c>
      <c r="I4" s="2" t="s">
        <v>629</v>
      </c>
    </row>
    <row r="5" customFormat="false" ht="15" hidden="false" customHeight="false" outlineLevel="0" collapsed="false">
      <c r="A5" s="2" t="s">
        <v>375</v>
      </c>
      <c r="B5" s="4" t="n">
        <v>4</v>
      </c>
      <c r="C5" s="5" t="n">
        <f aca="false">SUMPRODUCT((MONTH('07_CALENDARIO'!$A$2:$A$397)=B5)*(YEAR('07_CALENDARIO'!$A$2:$A$397)=p_anio_base)*'07_CALENDARIO'!$D$2:$D$397)</f>
        <v>22</v>
      </c>
      <c r="D5" s="11" t="n">
        <f aca="false">p_horas_productivas_dia</f>
        <v>8</v>
      </c>
      <c r="E5" s="5" t="n">
        <f aca="false">INDEX('04_MAQUINAS'!$E$2:$E$18,MATCH(A5,'04_MAQUINAS'!$A$2:$A$18,0))</f>
        <v>1</v>
      </c>
      <c r="F5" s="11" t="n">
        <f aca="false">C5*D5*E5</f>
        <v>176</v>
      </c>
      <c r="G5" s="17" t="n">
        <f aca="false">SUMIFS('09_CARGA_ORDEN'!$J$2:$J$1153,'09_CARGA_ORDEN'!$E$2:$E$1153,A5,'09_CARGA_ORDEN'!$K$2:$K$1153,B5)</f>
        <v>52.2575</v>
      </c>
      <c r="H5" s="12" t="n">
        <f aca="false">IF(F5=0,"",G5/F5)</f>
        <v>0.296917613636364</v>
      </c>
      <c r="I5" s="2" t="s">
        <v>629</v>
      </c>
    </row>
    <row r="6" customFormat="false" ht="15" hidden="false" customHeight="false" outlineLevel="0" collapsed="false">
      <c r="A6" s="2" t="s">
        <v>375</v>
      </c>
      <c r="B6" s="4" t="n">
        <v>5</v>
      </c>
      <c r="C6" s="5" t="n">
        <f aca="false">SUMPRODUCT((MONTH('07_CALENDARIO'!$A$2:$A$397)=B6)*(YEAR('07_CALENDARIO'!$A$2:$A$397)=p_anio_base)*'07_CALENDARIO'!$D$2:$D$397)</f>
        <v>22</v>
      </c>
      <c r="D6" s="11" t="n">
        <f aca="false">p_horas_productivas_dia</f>
        <v>8</v>
      </c>
      <c r="E6" s="5" t="n">
        <f aca="false">INDEX('04_MAQUINAS'!$E$2:$E$18,MATCH(A6,'04_MAQUINAS'!$A$2:$A$18,0))</f>
        <v>1</v>
      </c>
      <c r="F6" s="11" t="n">
        <f aca="false">C6*D6*E6</f>
        <v>176</v>
      </c>
      <c r="G6" s="17" t="n">
        <f aca="false">SUMIFS('09_CARGA_ORDEN'!$J$2:$J$1153,'09_CARGA_ORDEN'!$E$2:$E$1153,A6,'09_CARGA_ORDEN'!$K$2:$K$1153,B6)</f>
        <v>52.2575</v>
      </c>
      <c r="H6" s="12" t="n">
        <f aca="false">IF(F6=0,"",G6/F6)</f>
        <v>0.296917613636364</v>
      </c>
      <c r="I6" s="2" t="s">
        <v>629</v>
      </c>
    </row>
    <row r="7" customFormat="false" ht="15" hidden="false" customHeight="false" outlineLevel="0" collapsed="false">
      <c r="A7" s="2" t="s">
        <v>375</v>
      </c>
      <c r="B7" s="4" t="n">
        <v>6</v>
      </c>
      <c r="C7" s="5" t="n">
        <f aca="false">SUMPRODUCT((MONTH('07_CALENDARIO'!$A$2:$A$397)=B7)*(YEAR('07_CALENDARIO'!$A$2:$A$397)=p_anio_base)*'07_CALENDARIO'!$D$2:$D$397)</f>
        <v>21</v>
      </c>
      <c r="D7" s="11" t="n">
        <f aca="false">p_horas_productivas_dia</f>
        <v>8</v>
      </c>
      <c r="E7" s="5" t="n">
        <f aca="false">INDEX('04_MAQUINAS'!$E$2:$E$18,MATCH(A7,'04_MAQUINAS'!$A$2:$A$18,0))</f>
        <v>1</v>
      </c>
      <c r="F7" s="11" t="n">
        <f aca="false">C7*D7*E7</f>
        <v>168</v>
      </c>
      <c r="G7" s="17" t="n">
        <f aca="false">SUMIFS('09_CARGA_ORDEN'!$J$2:$J$1153,'09_CARGA_ORDEN'!$E$2:$E$1153,A7,'09_CARGA_ORDEN'!$K$2:$K$1153,B7)</f>
        <v>62.2915</v>
      </c>
      <c r="H7" s="12" t="n">
        <f aca="false">IF(F7=0,"",G7/F7)</f>
        <v>0.370782738095238</v>
      </c>
      <c r="I7" s="2" t="s">
        <v>629</v>
      </c>
    </row>
    <row r="8" customFormat="false" ht="15" hidden="false" customHeight="false" outlineLevel="0" collapsed="false">
      <c r="A8" s="2" t="s">
        <v>375</v>
      </c>
      <c r="B8" s="4" t="n">
        <v>7</v>
      </c>
      <c r="C8" s="5" t="n">
        <f aca="false">SUMPRODUCT((MONTH('07_CALENDARIO'!$A$2:$A$397)=B8)*(YEAR('07_CALENDARIO'!$A$2:$A$397)=p_anio_base)*'07_CALENDARIO'!$D$2:$D$397)</f>
        <v>23</v>
      </c>
      <c r="D8" s="11" t="n">
        <f aca="false">p_horas_productivas_dia</f>
        <v>8</v>
      </c>
      <c r="E8" s="5" t="n">
        <f aca="false">INDEX('04_MAQUINAS'!$E$2:$E$18,MATCH(A8,'04_MAQUINAS'!$A$2:$A$18,0))</f>
        <v>1</v>
      </c>
      <c r="F8" s="11" t="n">
        <f aca="false">C8*D8*E8</f>
        <v>184</v>
      </c>
      <c r="G8" s="17" t="n">
        <f aca="false">SUMIFS('09_CARGA_ORDEN'!$J$2:$J$1153,'09_CARGA_ORDEN'!$E$2:$E$1153,A8,'09_CARGA_ORDEN'!$K$2:$K$1153,B8)</f>
        <v>61.6988333333333</v>
      </c>
      <c r="H8" s="12" t="n">
        <f aca="false">IF(F8=0,"",G8/F8)</f>
        <v>0.335319746376812</v>
      </c>
      <c r="I8" s="2" t="s">
        <v>629</v>
      </c>
    </row>
    <row r="9" customFormat="false" ht="15" hidden="false" customHeight="false" outlineLevel="0" collapsed="false">
      <c r="A9" s="2" t="s">
        <v>375</v>
      </c>
      <c r="B9" s="4" t="n">
        <v>8</v>
      </c>
      <c r="C9" s="5" t="n">
        <f aca="false">SUMPRODUCT((MONTH('07_CALENDARIO'!$A$2:$A$397)=B9)*(YEAR('07_CALENDARIO'!$A$2:$A$397)=p_anio_base)*'07_CALENDARIO'!$D$2:$D$397)</f>
        <v>21</v>
      </c>
      <c r="D9" s="11" t="n">
        <f aca="false">p_horas_productivas_dia</f>
        <v>8</v>
      </c>
      <c r="E9" s="5" t="n">
        <f aca="false">INDEX('04_MAQUINAS'!$E$2:$E$18,MATCH(A9,'04_MAQUINAS'!$A$2:$A$18,0))</f>
        <v>1</v>
      </c>
      <c r="F9" s="11" t="n">
        <f aca="false">C9*D9*E9</f>
        <v>168</v>
      </c>
      <c r="G9" s="17" t="n">
        <f aca="false">SUMIFS('09_CARGA_ORDEN'!$J$2:$J$1153,'09_CARGA_ORDEN'!$E$2:$E$1153,A9,'09_CARGA_ORDEN'!$K$2:$K$1153,B9)</f>
        <v>61.6988333333333</v>
      </c>
      <c r="H9" s="12" t="n">
        <f aca="false">IF(F9=0,"",G9/F9)</f>
        <v>0.36725496031746</v>
      </c>
      <c r="I9" s="2" t="s">
        <v>629</v>
      </c>
    </row>
    <row r="10" customFormat="false" ht="15" hidden="false" customHeight="false" outlineLevel="0" collapsed="false">
      <c r="A10" s="2" t="s">
        <v>375</v>
      </c>
      <c r="B10" s="4" t="n">
        <v>9</v>
      </c>
      <c r="C10" s="5" t="n">
        <f aca="false">SUMPRODUCT((MONTH('07_CALENDARIO'!$A$2:$A$397)=B10)*(YEAR('07_CALENDARIO'!$A$2:$A$397)=p_anio_base)*'07_CALENDARIO'!$D$2:$D$397)</f>
        <v>22</v>
      </c>
      <c r="D10" s="11" t="n">
        <f aca="false">p_horas_productivas_dia</f>
        <v>8</v>
      </c>
      <c r="E10" s="5" t="n">
        <f aca="false">INDEX('04_MAQUINAS'!$E$2:$E$18,MATCH(A10,'04_MAQUINAS'!$A$2:$A$18,0))</f>
        <v>1</v>
      </c>
      <c r="F10" s="11" t="n">
        <f aca="false">C10*D10*E10</f>
        <v>176</v>
      </c>
      <c r="G10" s="17" t="n">
        <f aca="false">SUMIFS('09_CARGA_ORDEN'!$J$2:$J$1153,'09_CARGA_ORDEN'!$E$2:$E$1153,A10,'09_CARGA_ORDEN'!$K$2:$K$1153,B10)</f>
        <v>52.2575</v>
      </c>
      <c r="H10" s="12" t="n">
        <f aca="false">IF(F10=0,"",G10/F10)</f>
        <v>0.296917613636364</v>
      </c>
      <c r="I10" s="2" t="s">
        <v>629</v>
      </c>
    </row>
    <row r="11" customFormat="false" ht="15" hidden="false" customHeight="false" outlineLevel="0" collapsed="false">
      <c r="A11" s="2" t="s">
        <v>375</v>
      </c>
      <c r="B11" s="4" t="n">
        <v>10</v>
      </c>
      <c r="C11" s="5" t="n">
        <f aca="false">SUMPRODUCT((MONTH('07_CALENDARIO'!$A$2:$A$397)=B11)*(YEAR('07_CALENDARIO'!$A$2:$A$397)=p_anio_base)*'07_CALENDARIO'!$D$2:$D$397)</f>
        <v>23</v>
      </c>
      <c r="D11" s="11" t="n">
        <f aca="false">p_horas_productivas_dia</f>
        <v>8</v>
      </c>
      <c r="E11" s="5" t="n">
        <f aca="false">INDEX('04_MAQUINAS'!$E$2:$E$18,MATCH(A11,'04_MAQUINAS'!$A$2:$A$18,0))</f>
        <v>1</v>
      </c>
      <c r="F11" s="11" t="n">
        <f aca="false">C11*D11*E11</f>
        <v>184</v>
      </c>
      <c r="G11" s="17" t="n">
        <f aca="false">SUMIFS('09_CARGA_ORDEN'!$J$2:$J$1153,'09_CARGA_ORDEN'!$E$2:$E$1153,A11,'09_CARGA_ORDEN'!$K$2:$K$1153,B11)</f>
        <v>52.2575</v>
      </c>
      <c r="H11" s="12" t="n">
        <f aca="false">IF(F11=0,"",G11/F11)</f>
        <v>0.284008152173913</v>
      </c>
      <c r="I11" s="2" t="s">
        <v>629</v>
      </c>
    </row>
    <row r="12" customFormat="false" ht="15" hidden="false" customHeight="false" outlineLevel="0" collapsed="false">
      <c r="A12" s="2" t="s">
        <v>375</v>
      </c>
      <c r="B12" s="4" t="n">
        <v>11</v>
      </c>
      <c r="C12" s="5" t="n">
        <f aca="false">SUMPRODUCT((MONTH('07_CALENDARIO'!$A$2:$A$397)=B12)*(YEAR('07_CALENDARIO'!$A$2:$A$397)=p_anio_base)*'07_CALENDARIO'!$D$2:$D$397)</f>
        <v>20</v>
      </c>
      <c r="D12" s="11" t="n">
        <f aca="false">p_horas_productivas_dia</f>
        <v>8</v>
      </c>
      <c r="E12" s="5" t="n">
        <f aca="false">INDEX('04_MAQUINAS'!$E$2:$E$18,MATCH(A12,'04_MAQUINAS'!$A$2:$A$18,0))</f>
        <v>1</v>
      </c>
      <c r="F12" s="11" t="n">
        <f aca="false">C12*D12*E12</f>
        <v>160</v>
      </c>
      <c r="G12" s="17" t="n">
        <f aca="false">SUMIFS('09_CARGA_ORDEN'!$J$2:$J$1153,'09_CARGA_ORDEN'!$E$2:$E$1153,A12,'09_CARGA_ORDEN'!$K$2:$K$1153,B12)</f>
        <v>51.6805</v>
      </c>
      <c r="H12" s="12" t="n">
        <f aca="false">IF(F12=0,"",G12/F12)</f>
        <v>0.323003125</v>
      </c>
      <c r="I12" s="2" t="s">
        <v>629</v>
      </c>
    </row>
    <row r="13" customFormat="false" ht="15" hidden="false" customHeight="false" outlineLevel="0" collapsed="false">
      <c r="A13" s="2" t="s">
        <v>375</v>
      </c>
      <c r="B13" s="4" t="n">
        <v>12</v>
      </c>
      <c r="C13" s="5" t="n">
        <f aca="false">SUMPRODUCT((MONTH('07_CALENDARIO'!$A$2:$A$397)=B13)*(YEAR('07_CALENDARIO'!$A$2:$A$397)=p_anio_base)*'07_CALENDARIO'!$D$2:$D$397)</f>
        <v>23</v>
      </c>
      <c r="D13" s="11" t="n">
        <f aca="false">p_horas_productivas_dia</f>
        <v>8</v>
      </c>
      <c r="E13" s="5" t="n">
        <f aca="false">INDEX('04_MAQUINAS'!$E$2:$E$18,MATCH(A13,'04_MAQUINAS'!$A$2:$A$18,0))</f>
        <v>1</v>
      </c>
      <c r="F13" s="11" t="n">
        <f aca="false">C13*D13*E13</f>
        <v>184</v>
      </c>
      <c r="G13" s="17" t="n">
        <f aca="false">SUMIFS('09_CARGA_ORDEN'!$J$2:$J$1153,'09_CARGA_ORDEN'!$E$2:$E$1153,A13,'09_CARGA_ORDEN'!$K$2:$K$1153,B13)</f>
        <v>51.6805</v>
      </c>
      <c r="H13" s="12" t="n">
        <f aca="false">IF(F13=0,"",G13/F13)</f>
        <v>0.280872282608696</v>
      </c>
      <c r="I13" s="2" t="s">
        <v>629</v>
      </c>
    </row>
    <row r="14" customFormat="false" ht="15" hidden="false" customHeight="false" outlineLevel="0" collapsed="false">
      <c r="A14" s="2" t="s">
        <v>380</v>
      </c>
      <c r="B14" s="4" t="n">
        <v>1</v>
      </c>
      <c r="C14" s="5" t="n">
        <f aca="false">SUMPRODUCT((MONTH('07_CALENDARIO'!$A$2:$A$397)=B14)*(YEAR('07_CALENDARIO'!$A$2:$A$397)=p_anio_base)*'07_CALENDARIO'!$D$2:$D$397)</f>
        <v>23</v>
      </c>
      <c r="D14" s="11" t="n">
        <f aca="false">p_horas_productivas_dia</f>
        <v>8</v>
      </c>
      <c r="E14" s="5" t="n">
        <f aca="false">INDEX('04_MAQUINAS'!$E$2:$E$18,MATCH(A14,'04_MAQUINAS'!$A$2:$A$18,0))</f>
        <v>1</v>
      </c>
      <c r="F14" s="11" t="n">
        <f aca="false">C14*D14*E14</f>
        <v>184</v>
      </c>
      <c r="G14" s="17" t="n">
        <f aca="false">SUMIFS('09_CARGA_ORDEN'!$J$2:$J$1153,'09_CARGA_ORDEN'!$E$2:$E$1153,A14,'09_CARGA_ORDEN'!$K$2:$K$1153,B14)</f>
        <v>26.8476666666667</v>
      </c>
      <c r="H14" s="12" t="n">
        <f aca="false">IF(F14=0,"",G14/F14)</f>
        <v>0.145911231884058</v>
      </c>
      <c r="I14" s="2" t="s">
        <v>629</v>
      </c>
    </row>
    <row r="15" customFormat="false" ht="15" hidden="false" customHeight="false" outlineLevel="0" collapsed="false">
      <c r="A15" s="2" t="s">
        <v>380</v>
      </c>
      <c r="B15" s="4" t="n">
        <v>2</v>
      </c>
      <c r="C15" s="5" t="n">
        <f aca="false">SUMPRODUCT((MONTH('07_CALENDARIO'!$A$2:$A$397)=B15)*(YEAR('07_CALENDARIO'!$A$2:$A$397)=p_anio_base)*'07_CALENDARIO'!$D$2:$D$397)</f>
        <v>20</v>
      </c>
      <c r="D15" s="11" t="n">
        <f aca="false">p_horas_productivas_dia</f>
        <v>8</v>
      </c>
      <c r="E15" s="5" t="n">
        <f aca="false">INDEX('04_MAQUINAS'!$E$2:$E$18,MATCH(A15,'04_MAQUINAS'!$A$2:$A$18,0))</f>
        <v>1</v>
      </c>
      <c r="F15" s="11" t="n">
        <f aca="false">C15*D15*E15</f>
        <v>160</v>
      </c>
      <c r="G15" s="17" t="n">
        <f aca="false">SUMIFS('09_CARGA_ORDEN'!$J$2:$J$1153,'09_CARGA_ORDEN'!$E$2:$E$1153,A15,'09_CARGA_ORDEN'!$K$2:$K$1153,B15)</f>
        <v>26.8476666666667</v>
      </c>
      <c r="H15" s="12" t="n">
        <f aca="false">IF(F15=0,"",G15/F15)</f>
        <v>0.167797916666667</v>
      </c>
      <c r="I15" s="2" t="s">
        <v>629</v>
      </c>
    </row>
    <row r="16" customFormat="false" ht="15" hidden="false" customHeight="false" outlineLevel="0" collapsed="false">
      <c r="A16" s="2" t="s">
        <v>380</v>
      </c>
      <c r="B16" s="4" t="n">
        <v>3</v>
      </c>
      <c r="C16" s="5" t="n">
        <f aca="false">SUMPRODUCT((MONTH('07_CALENDARIO'!$A$2:$A$397)=B16)*(YEAR('07_CALENDARIO'!$A$2:$A$397)=p_anio_base)*'07_CALENDARIO'!$D$2:$D$397)</f>
        <v>21</v>
      </c>
      <c r="D16" s="11" t="n">
        <f aca="false">p_horas_productivas_dia</f>
        <v>8</v>
      </c>
      <c r="E16" s="5" t="n">
        <f aca="false">INDEX('04_MAQUINAS'!$E$2:$E$18,MATCH(A16,'04_MAQUINAS'!$A$2:$A$18,0))</f>
        <v>1</v>
      </c>
      <c r="F16" s="11" t="n">
        <f aca="false">C16*D16*E16</f>
        <v>168</v>
      </c>
      <c r="G16" s="17" t="n">
        <f aca="false">SUMIFS('09_CARGA_ORDEN'!$J$2:$J$1153,'09_CARGA_ORDEN'!$E$2:$E$1153,A16,'09_CARGA_ORDEN'!$K$2:$K$1153,B16)</f>
        <v>26.748</v>
      </c>
      <c r="H16" s="12" t="n">
        <f aca="false">IF(F16=0,"",G16/F16)</f>
        <v>0.159214285714286</v>
      </c>
      <c r="I16" s="2" t="s">
        <v>629</v>
      </c>
    </row>
    <row r="17" customFormat="false" ht="15" hidden="false" customHeight="false" outlineLevel="0" collapsed="false">
      <c r="A17" s="2" t="s">
        <v>380</v>
      </c>
      <c r="B17" s="4" t="n">
        <v>4</v>
      </c>
      <c r="C17" s="5" t="n">
        <f aca="false">SUMPRODUCT((MONTH('07_CALENDARIO'!$A$2:$A$397)=B17)*(YEAR('07_CALENDARIO'!$A$2:$A$397)=p_anio_base)*'07_CALENDARIO'!$D$2:$D$397)</f>
        <v>22</v>
      </c>
      <c r="D17" s="11" t="n">
        <f aca="false">p_horas_productivas_dia</f>
        <v>8</v>
      </c>
      <c r="E17" s="5" t="n">
        <f aca="false">INDEX('04_MAQUINAS'!$E$2:$E$18,MATCH(A17,'04_MAQUINAS'!$A$2:$A$18,0))</f>
        <v>1</v>
      </c>
      <c r="F17" s="11" t="n">
        <f aca="false">C17*D17*E17</f>
        <v>176</v>
      </c>
      <c r="G17" s="17" t="n">
        <f aca="false">SUMIFS('09_CARGA_ORDEN'!$J$2:$J$1153,'09_CARGA_ORDEN'!$E$2:$E$1153,A17,'09_CARGA_ORDEN'!$K$2:$K$1153,B17)</f>
        <v>26.748</v>
      </c>
      <c r="H17" s="12" t="n">
        <f aca="false">IF(F17=0,"",G17/F17)</f>
        <v>0.151977272727273</v>
      </c>
      <c r="I17" s="2" t="s">
        <v>629</v>
      </c>
    </row>
    <row r="18" customFormat="false" ht="15" hidden="false" customHeight="false" outlineLevel="0" collapsed="false">
      <c r="A18" s="2" t="s">
        <v>380</v>
      </c>
      <c r="B18" s="4" t="n">
        <v>5</v>
      </c>
      <c r="C18" s="5" t="n">
        <f aca="false">SUMPRODUCT((MONTH('07_CALENDARIO'!$A$2:$A$397)=B18)*(YEAR('07_CALENDARIO'!$A$2:$A$397)=p_anio_base)*'07_CALENDARIO'!$D$2:$D$397)</f>
        <v>22</v>
      </c>
      <c r="D18" s="11" t="n">
        <f aca="false">p_horas_productivas_dia</f>
        <v>8</v>
      </c>
      <c r="E18" s="5" t="n">
        <f aca="false">INDEX('04_MAQUINAS'!$E$2:$E$18,MATCH(A18,'04_MAQUINAS'!$A$2:$A$18,0))</f>
        <v>1</v>
      </c>
      <c r="F18" s="11" t="n">
        <f aca="false">C18*D18*E18</f>
        <v>176</v>
      </c>
      <c r="G18" s="17" t="n">
        <f aca="false">SUMIFS('09_CARGA_ORDEN'!$J$2:$J$1153,'09_CARGA_ORDEN'!$E$2:$E$1153,A18,'09_CARGA_ORDEN'!$K$2:$K$1153,B18)</f>
        <v>26.748</v>
      </c>
      <c r="H18" s="12" t="n">
        <f aca="false">IF(F18=0,"",G18/F18)</f>
        <v>0.151977272727273</v>
      </c>
      <c r="I18" s="2" t="s">
        <v>629</v>
      </c>
    </row>
    <row r="19" customFormat="false" ht="15" hidden="false" customHeight="false" outlineLevel="0" collapsed="false">
      <c r="A19" s="2" t="s">
        <v>380</v>
      </c>
      <c r="B19" s="4" t="n">
        <v>6</v>
      </c>
      <c r="C19" s="5" t="n">
        <f aca="false">SUMPRODUCT((MONTH('07_CALENDARIO'!$A$2:$A$397)=B19)*(YEAR('07_CALENDARIO'!$A$2:$A$397)=p_anio_base)*'07_CALENDARIO'!$D$2:$D$397)</f>
        <v>21</v>
      </c>
      <c r="D19" s="11" t="n">
        <f aca="false">p_horas_productivas_dia</f>
        <v>8</v>
      </c>
      <c r="E19" s="5" t="n">
        <f aca="false">INDEX('04_MAQUINAS'!$E$2:$E$18,MATCH(A19,'04_MAQUINAS'!$A$2:$A$18,0))</f>
        <v>1</v>
      </c>
      <c r="F19" s="11" t="n">
        <f aca="false">C19*D19*E19</f>
        <v>168</v>
      </c>
      <c r="G19" s="17" t="n">
        <f aca="false">SUMIFS('09_CARGA_ORDEN'!$J$2:$J$1153,'09_CARGA_ORDEN'!$E$2:$E$1153,A19,'09_CARGA_ORDEN'!$K$2:$K$1153,B19)</f>
        <v>30.72</v>
      </c>
      <c r="H19" s="12" t="n">
        <f aca="false">IF(F19=0,"",G19/F19)</f>
        <v>0.182857142857143</v>
      </c>
      <c r="I19" s="2" t="s">
        <v>629</v>
      </c>
    </row>
    <row r="20" customFormat="false" ht="15" hidden="false" customHeight="false" outlineLevel="0" collapsed="false">
      <c r="A20" s="2" t="s">
        <v>380</v>
      </c>
      <c r="B20" s="4" t="n">
        <v>7</v>
      </c>
      <c r="C20" s="5" t="n">
        <f aca="false">SUMPRODUCT((MONTH('07_CALENDARIO'!$A$2:$A$397)=B20)*(YEAR('07_CALENDARIO'!$A$2:$A$397)=p_anio_base)*'07_CALENDARIO'!$D$2:$D$397)</f>
        <v>23</v>
      </c>
      <c r="D20" s="11" t="n">
        <f aca="false">p_horas_productivas_dia</f>
        <v>8</v>
      </c>
      <c r="E20" s="5" t="n">
        <f aca="false">INDEX('04_MAQUINAS'!$E$2:$E$18,MATCH(A20,'04_MAQUINAS'!$A$2:$A$18,0))</f>
        <v>1</v>
      </c>
      <c r="F20" s="11" t="n">
        <f aca="false">C20*D20*E20</f>
        <v>184</v>
      </c>
      <c r="G20" s="17" t="n">
        <f aca="false">SUMIFS('09_CARGA_ORDEN'!$J$2:$J$1153,'09_CARGA_ORDEN'!$E$2:$E$1153,A20,'09_CARGA_ORDEN'!$K$2:$K$1153,B20)</f>
        <v>30.72</v>
      </c>
      <c r="H20" s="12" t="n">
        <f aca="false">IF(F20=0,"",G20/F20)</f>
        <v>0.16695652173913</v>
      </c>
      <c r="I20" s="2" t="s">
        <v>629</v>
      </c>
    </row>
    <row r="21" customFormat="false" ht="15" hidden="false" customHeight="false" outlineLevel="0" collapsed="false">
      <c r="A21" s="2" t="s">
        <v>380</v>
      </c>
      <c r="B21" s="4" t="n">
        <v>8</v>
      </c>
      <c r="C21" s="5" t="n">
        <f aca="false">SUMPRODUCT((MONTH('07_CALENDARIO'!$A$2:$A$397)=B21)*(YEAR('07_CALENDARIO'!$A$2:$A$397)=p_anio_base)*'07_CALENDARIO'!$D$2:$D$397)</f>
        <v>21</v>
      </c>
      <c r="D21" s="11" t="n">
        <f aca="false">p_horas_productivas_dia</f>
        <v>8</v>
      </c>
      <c r="E21" s="5" t="n">
        <f aca="false">INDEX('04_MAQUINAS'!$E$2:$E$18,MATCH(A21,'04_MAQUINAS'!$A$2:$A$18,0))</f>
        <v>1</v>
      </c>
      <c r="F21" s="11" t="n">
        <f aca="false">C21*D21*E21</f>
        <v>168</v>
      </c>
      <c r="G21" s="17" t="n">
        <f aca="false">SUMIFS('09_CARGA_ORDEN'!$J$2:$J$1153,'09_CARGA_ORDEN'!$E$2:$E$1153,A21,'09_CARGA_ORDEN'!$K$2:$K$1153,B21)</f>
        <v>30.72</v>
      </c>
      <c r="H21" s="12" t="n">
        <f aca="false">IF(F21=0,"",G21/F21)</f>
        <v>0.182857142857143</v>
      </c>
      <c r="I21" s="2" t="s">
        <v>629</v>
      </c>
    </row>
    <row r="22" customFormat="false" ht="15" hidden="false" customHeight="false" outlineLevel="0" collapsed="false">
      <c r="A22" s="2" t="s">
        <v>380</v>
      </c>
      <c r="B22" s="4" t="n">
        <v>9</v>
      </c>
      <c r="C22" s="5" t="n">
        <f aca="false">SUMPRODUCT((MONTH('07_CALENDARIO'!$A$2:$A$397)=B22)*(YEAR('07_CALENDARIO'!$A$2:$A$397)=p_anio_base)*'07_CALENDARIO'!$D$2:$D$397)</f>
        <v>22</v>
      </c>
      <c r="D22" s="11" t="n">
        <f aca="false">p_horas_productivas_dia</f>
        <v>8</v>
      </c>
      <c r="E22" s="5" t="n">
        <f aca="false">INDEX('04_MAQUINAS'!$E$2:$E$18,MATCH(A22,'04_MAQUINAS'!$A$2:$A$18,0))</f>
        <v>1</v>
      </c>
      <c r="F22" s="11" t="n">
        <f aca="false">C22*D22*E22</f>
        <v>176</v>
      </c>
      <c r="G22" s="17" t="n">
        <f aca="false">SUMIFS('09_CARGA_ORDEN'!$J$2:$J$1153,'09_CARGA_ORDEN'!$E$2:$E$1153,A22,'09_CARGA_ORDEN'!$K$2:$K$1153,B22)</f>
        <v>26.748</v>
      </c>
      <c r="H22" s="12" t="n">
        <f aca="false">IF(F22=0,"",G22/F22)</f>
        <v>0.151977272727273</v>
      </c>
      <c r="I22" s="2" t="s">
        <v>629</v>
      </c>
    </row>
    <row r="23" customFormat="false" ht="15" hidden="false" customHeight="false" outlineLevel="0" collapsed="false">
      <c r="A23" s="2" t="s">
        <v>380</v>
      </c>
      <c r="B23" s="4" t="n">
        <v>10</v>
      </c>
      <c r="C23" s="5" t="n">
        <f aca="false">SUMPRODUCT((MONTH('07_CALENDARIO'!$A$2:$A$397)=B23)*(YEAR('07_CALENDARIO'!$A$2:$A$397)=p_anio_base)*'07_CALENDARIO'!$D$2:$D$397)</f>
        <v>23</v>
      </c>
      <c r="D23" s="11" t="n">
        <f aca="false">p_horas_productivas_dia</f>
        <v>8</v>
      </c>
      <c r="E23" s="5" t="n">
        <f aca="false">INDEX('04_MAQUINAS'!$E$2:$E$18,MATCH(A23,'04_MAQUINAS'!$A$2:$A$18,0))</f>
        <v>1</v>
      </c>
      <c r="F23" s="11" t="n">
        <f aca="false">C23*D23*E23</f>
        <v>184</v>
      </c>
      <c r="G23" s="17" t="n">
        <f aca="false">SUMIFS('09_CARGA_ORDEN'!$J$2:$J$1153,'09_CARGA_ORDEN'!$E$2:$E$1153,A23,'09_CARGA_ORDEN'!$K$2:$K$1153,B23)</f>
        <v>26.748</v>
      </c>
      <c r="H23" s="12" t="n">
        <f aca="false">IF(F23=0,"",G23/F23)</f>
        <v>0.145369565217391</v>
      </c>
      <c r="I23" s="2" t="s">
        <v>629</v>
      </c>
    </row>
    <row r="24" customFormat="false" ht="15" hidden="false" customHeight="false" outlineLevel="0" collapsed="false">
      <c r="A24" s="2" t="s">
        <v>380</v>
      </c>
      <c r="B24" s="4" t="n">
        <v>11</v>
      </c>
      <c r="C24" s="5" t="n">
        <f aca="false">SUMPRODUCT((MONTH('07_CALENDARIO'!$A$2:$A$397)=B24)*(YEAR('07_CALENDARIO'!$A$2:$A$397)=p_anio_base)*'07_CALENDARIO'!$D$2:$D$397)</f>
        <v>20</v>
      </c>
      <c r="D24" s="11" t="n">
        <f aca="false">p_horas_productivas_dia</f>
        <v>8</v>
      </c>
      <c r="E24" s="5" t="n">
        <f aca="false">INDEX('04_MAQUINAS'!$E$2:$E$18,MATCH(A24,'04_MAQUINAS'!$A$2:$A$18,0))</f>
        <v>1</v>
      </c>
      <c r="F24" s="11" t="n">
        <f aca="false">C24*D24*E24</f>
        <v>160</v>
      </c>
      <c r="G24" s="17" t="n">
        <f aca="false">SUMIFS('09_CARGA_ORDEN'!$J$2:$J$1153,'09_CARGA_ORDEN'!$E$2:$E$1153,A24,'09_CARGA_ORDEN'!$K$2:$K$1153,B24)</f>
        <v>26.0226666666667</v>
      </c>
      <c r="H24" s="12" t="n">
        <f aca="false">IF(F24=0,"",G24/F24)</f>
        <v>0.162641666666667</v>
      </c>
      <c r="I24" s="2" t="s">
        <v>629</v>
      </c>
    </row>
    <row r="25" customFormat="false" ht="15" hidden="false" customHeight="false" outlineLevel="0" collapsed="false">
      <c r="A25" s="2" t="s">
        <v>380</v>
      </c>
      <c r="B25" s="4" t="n">
        <v>12</v>
      </c>
      <c r="C25" s="5" t="n">
        <f aca="false">SUMPRODUCT((MONTH('07_CALENDARIO'!$A$2:$A$397)=B25)*(YEAR('07_CALENDARIO'!$A$2:$A$397)=p_anio_base)*'07_CALENDARIO'!$D$2:$D$397)</f>
        <v>23</v>
      </c>
      <c r="D25" s="11" t="n">
        <f aca="false">p_horas_productivas_dia</f>
        <v>8</v>
      </c>
      <c r="E25" s="5" t="n">
        <f aca="false">INDEX('04_MAQUINAS'!$E$2:$E$18,MATCH(A25,'04_MAQUINAS'!$A$2:$A$18,0))</f>
        <v>1</v>
      </c>
      <c r="F25" s="11" t="n">
        <f aca="false">C25*D25*E25</f>
        <v>184</v>
      </c>
      <c r="G25" s="17" t="n">
        <f aca="false">SUMIFS('09_CARGA_ORDEN'!$J$2:$J$1153,'09_CARGA_ORDEN'!$E$2:$E$1153,A25,'09_CARGA_ORDEN'!$K$2:$K$1153,B25)</f>
        <v>26.0226666666667</v>
      </c>
      <c r="H25" s="12" t="n">
        <f aca="false">IF(F25=0,"",G25/F25)</f>
        <v>0.141427536231884</v>
      </c>
      <c r="I25" s="2" t="s">
        <v>629</v>
      </c>
    </row>
    <row r="26" customFormat="false" ht="15" hidden="false" customHeight="false" outlineLevel="0" collapsed="false">
      <c r="A26" s="2" t="s">
        <v>383</v>
      </c>
      <c r="B26" s="4" t="n">
        <v>1</v>
      </c>
      <c r="C26" s="5" t="n">
        <f aca="false">SUMPRODUCT((MONTH('07_CALENDARIO'!$A$2:$A$397)=B26)*(YEAR('07_CALENDARIO'!$A$2:$A$397)=p_anio_base)*'07_CALENDARIO'!$D$2:$D$397)</f>
        <v>23</v>
      </c>
      <c r="D26" s="11" t="n">
        <f aca="false">p_horas_productivas_dia</f>
        <v>8</v>
      </c>
      <c r="E26" s="5" t="n">
        <f aca="false">INDEX('04_MAQUINAS'!$E$2:$E$18,MATCH(A26,'04_MAQUINAS'!$A$2:$A$18,0))</f>
        <v>1</v>
      </c>
      <c r="F26" s="11" t="n">
        <f aca="false">C26*D26*E26</f>
        <v>184</v>
      </c>
      <c r="G26" s="17" t="n">
        <f aca="false">SUMIFS('09_CARGA_ORDEN'!$J$2:$J$1153,'09_CARGA_ORDEN'!$E$2:$E$1153,A26,'09_CARGA_ORDEN'!$K$2:$K$1153,B26)</f>
        <v>64.14</v>
      </c>
      <c r="H26" s="12" t="n">
        <f aca="false">IF(F26=0,"",G26/F26)</f>
        <v>0.348586956521739</v>
      </c>
      <c r="I26" s="2" t="s">
        <v>629</v>
      </c>
    </row>
    <row r="27" customFormat="false" ht="15" hidden="false" customHeight="false" outlineLevel="0" collapsed="false">
      <c r="A27" s="2" t="s">
        <v>383</v>
      </c>
      <c r="B27" s="4" t="n">
        <v>2</v>
      </c>
      <c r="C27" s="5" t="n">
        <f aca="false">SUMPRODUCT((MONTH('07_CALENDARIO'!$A$2:$A$397)=B27)*(YEAR('07_CALENDARIO'!$A$2:$A$397)=p_anio_base)*'07_CALENDARIO'!$D$2:$D$397)</f>
        <v>20</v>
      </c>
      <c r="D27" s="11" t="n">
        <f aca="false">p_horas_productivas_dia</f>
        <v>8</v>
      </c>
      <c r="E27" s="5" t="n">
        <f aca="false">INDEX('04_MAQUINAS'!$E$2:$E$18,MATCH(A27,'04_MAQUINAS'!$A$2:$A$18,0))</f>
        <v>1</v>
      </c>
      <c r="F27" s="11" t="n">
        <f aca="false">C27*D27*E27</f>
        <v>160</v>
      </c>
      <c r="G27" s="17" t="n">
        <f aca="false">SUMIFS('09_CARGA_ORDEN'!$J$2:$J$1153,'09_CARGA_ORDEN'!$E$2:$E$1153,A27,'09_CARGA_ORDEN'!$K$2:$K$1153,B27)</f>
        <v>63.8933333333333</v>
      </c>
      <c r="H27" s="12" t="n">
        <f aca="false">IF(F27=0,"",G27/F27)</f>
        <v>0.399333333333333</v>
      </c>
      <c r="I27" s="2" t="s">
        <v>629</v>
      </c>
    </row>
    <row r="28" customFormat="false" ht="15" hidden="false" customHeight="false" outlineLevel="0" collapsed="false">
      <c r="A28" s="2" t="s">
        <v>383</v>
      </c>
      <c r="B28" s="4" t="n">
        <v>3</v>
      </c>
      <c r="C28" s="5" t="n">
        <f aca="false">SUMPRODUCT((MONTH('07_CALENDARIO'!$A$2:$A$397)=B28)*(YEAR('07_CALENDARIO'!$A$2:$A$397)=p_anio_base)*'07_CALENDARIO'!$D$2:$D$397)</f>
        <v>21</v>
      </c>
      <c r="D28" s="11" t="n">
        <f aca="false">p_horas_productivas_dia</f>
        <v>8</v>
      </c>
      <c r="E28" s="5" t="n">
        <f aca="false">INDEX('04_MAQUINAS'!$E$2:$E$18,MATCH(A28,'04_MAQUINAS'!$A$2:$A$18,0))</f>
        <v>1</v>
      </c>
      <c r="F28" s="11" t="n">
        <f aca="false">C28*D28*E28</f>
        <v>168</v>
      </c>
      <c r="G28" s="17" t="n">
        <f aca="false">SUMIFS('09_CARGA_ORDEN'!$J$2:$J$1153,'09_CARGA_ORDEN'!$E$2:$E$1153,A28,'09_CARGA_ORDEN'!$K$2:$K$1153,B28)</f>
        <v>62.2766666666667</v>
      </c>
      <c r="H28" s="12" t="n">
        <f aca="false">IF(F28=0,"",G28/F28)</f>
        <v>0.370694444444445</v>
      </c>
      <c r="I28" s="2" t="s">
        <v>629</v>
      </c>
    </row>
    <row r="29" customFormat="false" ht="15" hidden="false" customHeight="false" outlineLevel="0" collapsed="false">
      <c r="A29" s="2" t="s">
        <v>383</v>
      </c>
      <c r="B29" s="4" t="n">
        <v>4</v>
      </c>
      <c r="C29" s="5" t="n">
        <f aca="false">SUMPRODUCT((MONTH('07_CALENDARIO'!$A$2:$A$397)=B29)*(YEAR('07_CALENDARIO'!$A$2:$A$397)=p_anio_base)*'07_CALENDARIO'!$D$2:$D$397)</f>
        <v>22</v>
      </c>
      <c r="D29" s="11" t="n">
        <f aca="false">p_horas_productivas_dia</f>
        <v>8</v>
      </c>
      <c r="E29" s="5" t="n">
        <f aca="false">INDEX('04_MAQUINAS'!$E$2:$E$18,MATCH(A29,'04_MAQUINAS'!$A$2:$A$18,0))</f>
        <v>1</v>
      </c>
      <c r="F29" s="11" t="n">
        <f aca="false">C29*D29*E29</f>
        <v>176</v>
      </c>
      <c r="G29" s="17" t="n">
        <f aca="false">SUMIFS('09_CARGA_ORDEN'!$J$2:$J$1153,'09_CARGA_ORDEN'!$E$2:$E$1153,A29,'09_CARGA_ORDEN'!$K$2:$K$1153,B29)</f>
        <v>62.2766666666667</v>
      </c>
      <c r="H29" s="12" t="n">
        <f aca="false">IF(F29=0,"",G29/F29)</f>
        <v>0.353844696969697</v>
      </c>
      <c r="I29" s="2" t="s">
        <v>629</v>
      </c>
    </row>
    <row r="30" customFormat="false" ht="15" hidden="false" customHeight="false" outlineLevel="0" collapsed="false">
      <c r="A30" s="2" t="s">
        <v>383</v>
      </c>
      <c r="B30" s="4" t="n">
        <v>5</v>
      </c>
      <c r="C30" s="5" t="n">
        <f aca="false">SUMPRODUCT((MONTH('07_CALENDARIO'!$A$2:$A$397)=B30)*(YEAR('07_CALENDARIO'!$A$2:$A$397)=p_anio_base)*'07_CALENDARIO'!$D$2:$D$397)</f>
        <v>22</v>
      </c>
      <c r="D30" s="11" t="n">
        <f aca="false">p_horas_productivas_dia</f>
        <v>8</v>
      </c>
      <c r="E30" s="5" t="n">
        <f aca="false">INDEX('04_MAQUINAS'!$E$2:$E$18,MATCH(A30,'04_MAQUINAS'!$A$2:$A$18,0))</f>
        <v>1</v>
      </c>
      <c r="F30" s="11" t="n">
        <f aca="false">C30*D30*E30</f>
        <v>176</v>
      </c>
      <c r="G30" s="17" t="n">
        <f aca="false">SUMIFS('09_CARGA_ORDEN'!$J$2:$J$1153,'09_CARGA_ORDEN'!$E$2:$E$1153,A30,'09_CARGA_ORDEN'!$K$2:$K$1153,B30)</f>
        <v>62.2766666666667</v>
      </c>
      <c r="H30" s="12" t="n">
        <f aca="false">IF(F30=0,"",G30/F30)</f>
        <v>0.353844696969697</v>
      </c>
      <c r="I30" s="2" t="s">
        <v>629</v>
      </c>
    </row>
    <row r="31" customFormat="false" ht="15" hidden="false" customHeight="false" outlineLevel="0" collapsed="false">
      <c r="A31" s="2" t="s">
        <v>383</v>
      </c>
      <c r="B31" s="4" t="n">
        <v>6</v>
      </c>
      <c r="C31" s="5" t="n">
        <f aca="false">SUMPRODUCT((MONTH('07_CALENDARIO'!$A$2:$A$397)=B31)*(YEAR('07_CALENDARIO'!$A$2:$A$397)=p_anio_base)*'07_CALENDARIO'!$D$2:$D$397)</f>
        <v>21</v>
      </c>
      <c r="D31" s="11" t="n">
        <f aca="false">p_horas_productivas_dia</f>
        <v>8</v>
      </c>
      <c r="E31" s="5" t="n">
        <f aca="false">INDEX('04_MAQUINAS'!$E$2:$E$18,MATCH(A31,'04_MAQUINAS'!$A$2:$A$18,0))</f>
        <v>1</v>
      </c>
      <c r="F31" s="11" t="n">
        <f aca="false">C31*D31*E31</f>
        <v>168</v>
      </c>
      <c r="G31" s="17" t="n">
        <f aca="false">SUMIFS('09_CARGA_ORDEN'!$J$2:$J$1153,'09_CARGA_ORDEN'!$E$2:$E$1153,A31,'09_CARGA_ORDEN'!$K$2:$K$1153,B31)</f>
        <v>73.4666666666667</v>
      </c>
      <c r="H31" s="12" t="n">
        <f aca="false">IF(F31=0,"",G31/F31)</f>
        <v>0.437301587301587</v>
      </c>
      <c r="I31" s="2" t="s">
        <v>629</v>
      </c>
    </row>
    <row r="32" customFormat="false" ht="15" hidden="false" customHeight="false" outlineLevel="0" collapsed="false">
      <c r="A32" s="2" t="s">
        <v>383</v>
      </c>
      <c r="B32" s="4" t="n">
        <v>7</v>
      </c>
      <c r="C32" s="5" t="n">
        <f aca="false">SUMPRODUCT((MONTH('07_CALENDARIO'!$A$2:$A$397)=B32)*(YEAR('07_CALENDARIO'!$A$2:$A$397)=p_anio_base)*'07_CALENDARIO'!$D$2:$D$397)</f>
        <v>23</v>
      </c>
      <c r="D32" s="11" t="n">
        <f aca="false">p_horas_productivas_dia</f>
        <v>8</v>
      </c>
      <c r="E32" s="5" t="n">
        <f aca="false">INDEX('04_MAQUINAS'!$E$2:$E$18,MATCH(A32,'04_MAQUINAS'!$A$2:$A$18,0))</f>
        <v>1</v>
      </c>
      <c r="F32" s="11" t="n">
        <f aca="false">C32*D32*E32</f>
        <v>184</v>
      </c>
      <c r="G32" s="17" t="n">
        <f aca="false">SUMIFS('09_CARGA_ORDEN'!$J$2:$J$1153,'09_CARGA_ORDEN'!$E$2:$E$1153,A32,'09_CARGA_ORDEN'!$K$2:$K$1153,B32)</f>
        <v>73.37</v>
      </c>
      <c r="H32" s="12" t="n">
        <f aca="false">IF(F32=0,"",G32/F32)</f>
        <v>0.39875</v>
      </c>
      <c r="I32" s="2" t="s">
        <v>629</v>
      </c>
    </row>
    <row r="33" customFormat="false" ht="15" hidden="false" customHeight="false" outlineLevel="0" collapsed="false">
      <c r="A33" s="2" t="s">
        <v>383</v>
      </c>
      <c r="B33" s="4" t="n">
        <v>8</v>
      </c>
      <c r="C33" s="5" t="n">
        <f aca="false">SUMPRODUCT((MONTH('07_CALENDARIO'!$A$2:$A$397)=B33)*(YEAR('07_CALENDARIO'!$A$2:$A$397)=p_anio_base)*'07_CALENDARIO'!$D$2:$D$397)</f>
        <v>21</v>
      </c>
      <c r="D33" s="11" t="n">
        <f aca="false">p_horas_productivas_dia</f>
        <v>8</v>
      </c>
      <c r="E33" s="5" t="n">
        <f aca="false">INDEX('04_MAQUINAS'!$E$2:$E$18,MATCH(A33,'04_MAQUINAS'!$A$2:$A$18,0))</f>
        <v>1</v>
      </c>
      <c r="F33" s="11" t="n">
        <f aca="false">C33*D33*E33</f>
        <v>168</v>
      </c>
      <c r="G33" s="17" t="n">
        <f aca="false">SUMIFS('09_CARGA_ORDEN'!$J$2:$J$1153,'09_CARGA_ORDEN'!$E$2:$E$1153,A33,'09_CARGA_ORDEN'!$K$2:$K$1153,B33)</f>
        <v>73.37</v>
      </c>
      <c r="H33" s="12" t="n">
        <f aca="false">IF(F33=0,"",G33/F33)</f>
        <v>0.43672619047619</v>
      </c>
      <c r="I33" s="2" t="s">
        <v>629</v>
      </c>
    </row>
    <row r="34" customFormat="false" ht="15" hidden="false" customHeight="false" outlineLevel="0" collapsed="false">
      <c r="A34" s="2" t="s">
        <v>383</v>
      </c>
      <c r="B34" s="4" t="n">
        <v>9</v>
      </c>
      <c r="C34" s="5" t="n">
        <f aca="false">SUMPRODUCT((MONTH('07_CALENDARIO'!$A$2:$A$397)=B34)*(YEAR('07_CALENDARIO'!$A$2:$A$397)=p_anio_base)*'07_CALENDARIO'!$D$2:$D$397)</f>
        <v>22</v>
      </c>
      <c r="D34" s="11" t="n">
        <f aca="false">p_horas_productivas_dia</f>
        <v>8</v>
      </c>
      <c r="E34" s="5" t="n">
        <f aca="false">INDEX('04_MAQUINAS'!$E$2:$E$18,MATCH(A34,'04_MAQUINAS'!$A$2:$A$18,0))</f>
        <v>1</v>
      </c>
      <c r="F34" s="11" t="n">
        <f aca="false">C34*D34*E34</f>
        <v>176</v>
      </c>
      <c r="G34" s="17" t="n">
        <f aca="false">SUMIFS('09_CARGA_ORDEN'!$J$2:$J$1153,'09_CARGA_ORDEN'!$E$2:$E$1153,A34,'09_CARGA_ORDEN'!$K$2:$K$1153,B34)</f>
        <v>62.2766666666667</v>
      </c>
      <c r="H34" s="12" t="n">
        <f aca="false">IF(F34=0,"",G34/F34)</f>
        <v>0.353844696969697</v>
      </c>
      <c r="I34" s="2" t="s">
        <v>629</v>
      </c>
    </row>
    <row r="35" customFormat="false" ht="15" hidden="false" customHeight="false" outlineLevel="0" collapsed="false">
      <c r="A35" s="2" t="s">
        <v>383</v>
      </c>
      <c r="B35" s="4" t="n">
        <v>10</v>
      </c>
      <c r="C35" s="5" t="n">
        <f aca="false">SUMPRODUCT((MONTH('07_CALENDARIO'!$A$2:$A$397)=B35)*(YEAR('07_CALENDARIO'!$A$2:$A$397)=p_anio_base)*'07_CALENDARIO'!$D$2:$D$397)</f>
        <v>23</v>
      </c>
      <c r="D35" s="11" t="n">
        <f aca="false">p_horas_productivas_dia</f>
        <v>8</v>
      </c>
      <c r="E35" s="5" t="n">
        <f aca="false">INDEX('04_MAQUINAS'!$E$2:$E$18,MATCH(A35,'04_MAQUINAS'!$A$2:$A$18,0))</f>
        <v>1</v>
      </c>
      <c r="F35" s="11" t="n">
        <f aca="false">C35*D35*E35</f>
        <v>184</v>
      </c>
      <c r="G35" s="17" t="n">
        <f aca="false">SUMIFS('09_CARGA_ORDEN'!$J$2:$J$1153,'09_CARGA_ORDEN'!$E$2:$E$1153,A35,'09_CARGA_ORDEN'!$K$2:$K$1153,B35)</f>
        <v>62.2766666666667</v>
      </c>
      <c r="H35" s="12" t="n">
        <f aca="false">IF(F35=0,"",G35/F35)</f>
        <v>0.338460144927536</v>
      </c>
      <c r="I35" s="2" t="s">
        <v>629</v>
      </c>
    </row>
    <row r="36" customFormat="false" ht="15" hidden="false" customHeight="false" outlineLevel="0" collapsed="false">
      <c r="A36" s="2" t="s">
        <v>383</v>
      </c>
      <c r="B36" s="4" t="n">
        <v>11</v>
      </c>
      <c r="C36" s="5" t="n">
        <f aca="false">SUMPRODUCT((MONTH('07_CALENDARIO'!$A$2:$A$397)=B36)*(YEAR('07_CALENDARIO'!$A$2:$A$397)=p_anio_base)*'07_CALENDARIO'!$D$2:$D$397)</f>
        <v>20</v>
      </c>
      <c r="D36" s="11" t="n">
        <f aca="false">p_horas_productivas_dia</f>
        <v>8</v>
      </c>
      <c r="E36" s="5" t="n">
        <f aca="false">INDEX('04_MAQUINAS'!$E$2:$E$18,MATCH(A36,'04_MAQUINAS'!$A$2:$A$18,0))</f>
        <v>1</v>
      </c>
      <c r="F36" s="11" t="n">
        <f aca="false">C36*D36*E36</f>
        <v>160</v>
      </c>
      <c r="G36" s="17" t="n">
        <f aca="false">SUMIFS('09_CARGA_ORDEN'!$J$2:$J$1153,'09_CARGA_ORDEN'!$E$2:$E$1153,A36,'09_CARGA_ORDEN'!$K$2:$K$1153,B36)</f>
        <v>61.2233333333333</v>
      </c>
      <c r="H36" s="12" t="n">
        <f aca="false">IF(F36=0,"",G36/F36)</f>
        <v>0.382645833333333</v>
      </c>
      <c r="I36" s="2" t="s">
        <v>629</v>
      </c>
    </row>
    <row r="37" customFormat="false" ht="15" hidden="false" customHeight="false" outlineLevel="0" collapsed="false">
      <c r="A37" s="2" t="s">
        <v>383</v>
      </c>
      <c r="B37" s="4" t="n">
        <v>12</v>
      </c>
      <c r="C37" s="5" t="n">
        <f aca="false">SUMPRODUCT((MONTH('07_CALENDARIO'!$A$2:$A$397)=B37)*(YEAR('07_CALENDARIO'!$A$2:$A$397)=p_anio_base)*'07_CALENDARIO'!$D$2:$D$397)</f>
        <v>23</v>
      </c>
      <c r="D37" s="11" t="n">
        <f aca="false">p_horas_productivas_dia</f>
        <v>8</v>
      </c>
      <c r="E37" s="5" t="n">
        <f aca="false">INDEX('04_MAQUINAS'!$E$2:$E$18,MATCH(A37,'04_MAQUINAS'!$A$2:$A$18,0))</f>
        <v>1</v>
      </c>
      <c r="F37" s="11" t="n">
        <f aca="false">C37*D37*E37</f>
        <v>184</v>
      </c>
      <c r="G37" s="17" t="n">
        <f aca="false">SUMIFS('09_CARGA_ORDEN'!$J$2:$J$1153,'09_CARGA_ORDEN'!$E$2:$E$1153,A37,'09_CARGA_ORDEN'!$K$2:$K$1153,B37)</f>
        <v>61.2233333333333</v>
      </c>
      <c r="H37" s="12" t="n">
        <f aca="false">IF(F37=0,"",G37/F37)</f>
        <v>0.332735507246377</v>
      </c>
      <c r="I37" s="2" t="s">
        <v>629</v>
      </c>
    </row>
    <row r="38" customFormat="false" ht="15" hidden="false" customHeight="false" outlineLevel="0" collapsed="false">
      <c r="A38" s="2" t="s">
        <v>387</v>
      </c>
      <c r="B38" s="4" t="n">
        <v>1</v>
      </c>
      <c r="C38" s="5" t="n">
        <f aca="false">SUMPRODUCT((MONTH('07_CALENDARIO'!$A$2:$A$397)=B38)*(YEAR('07_CALENDARIO'!$A$2:$A$397)=p_anio_base)*'07_CALENDARIO'!$D$2:$D$397)</f>
        <v>23</v>
      </c>
      <c r="D38" s="11" t="n">
        <f aca="false">p_horas_productivas_dia</f>
        <v>8</v>
      </c>
      <c r="E38" s="5" t="n">
        <f aca="false">INDEX('04_MAQUINAS'!$E$2:$E$18,MATCH(A38,'04_MAQUINAS'!$A$2:$A$18,0))</f>
        <v>1</v>
      </c>
      <c r="F38" s="11" t="n">
        <f aca="false">C38*D38*E38</f>
        <v>184</v>
      </c>
      <c r="G38" s="17" t="n">
        <f aca="false">SUMIFS('09_CARGA_ORDEN'!$J$2:$J$1153,'09_CARGA_ORDEN'!$E$2:$E$1153,A38,'09_CARGA_ORDEN'!$K$2:$K$1153,B38)</f>
        <v>118.933333333333</v>
      </c>
      <c r="H38" s="12" t="n">
        <f aca="false">IF(F38=0,"",G38/F38)</f>
        <v>0.646376811594203</v>
      </c>
      <c r="I38" s="2" t="s">
        <v>629</v>
      </c>
    </row>
    <row r="39" customFormat="false" ht="15" hidden="false" customHeight="false" outlineLevel="0" collapsed="false">
      <c r="A39" s="2" t="s">
        <v>387</v>
      </c>
      <c r="B39" s="4" t="n">
        <v>2</v>
      </c>
      <c r="C39" s="5" t="n">
        <f aca="false">SUMPRODUCT((MONTH('07_CALENDARIO'!$A$2:$A$397)=B39)*(YEAR('07_CALENDARIO'!$A$2:$A$397)=p_anio_base)*'07_CALENDARIO'!$D$2:$D$397)</f>
        <v>20</v>
      </c>
      <c r="D39" s="11" t="n">
        <f aca="false">p_horas_productivas_dia</f>
        <v>8</v>
      </c>
      <c r="E39" s="5" t="n">
        <f aca="false">INDEX('04_MAQUINAS'!$E$2:$E$18,MATCH(A39,'04_MAQUINAS'!$A$2:$A$18,0))</f>
        <v>1</v>
      </c>
      <c r="F39" s="11" t="n">
        <f aca="false">C39*D39*E39</f>
        <v>160</v>
      </c>
      <c r="G39" s="17" t="n">
        <f aca="false">SUMIFS('09_CARGA_ORDEN'!$J$2:$J$1153,'09_CARGA_ORDEN'!$E$2:$E$1153,A39,'09_CARGA_ORDEN'!$K$2:$K$1153,B39)</f>
        <v>117.2</v>
      </c>
      <c r="H39" s="12" t="n">
        <f aca="false">IF(F39=0,"",G39/F39)</f>
        <v>0.7325</v>
      </c>
      <c r="I39" s="2" t="s">
        <v>629</v>
      </c>
    </row>
    <row r="40" customFormat="false" ht="15" hidden="false" customHeight="false" outlineLevel="0" collapsed="false">
      <c r="A40" s="2" t="s">
        <v>387</v>
      </c>
      <c r="B40" s="4" t="n">
        <v>3</v>
      </c>
      <c r="C40" s="5" t="n">
        <f aca="false">SUMPRODUCT((MONTH('07_CALENDARIO'!$A$2:$A$397)=B40)*(YEAR('07_CALENDARIO'!$A$2:$A$397)=p_anio_base)*'07_CALENDARIO'!$D$2:$D$397)</f>
        <v>21</v>
      </c>
      <c r="D40" s="11" t="n">
        <f aca="false">p_horas_productivas_dia</f>
        <v>8</v>
      </c>
      <c r="E40" s="5" t="n">
        <f aca="false">INDEX('04_MAQUINAS'!$E$2:$E$18,MATCH(A40,'04_MAQUINAS'!$A$2:$A$18,0))</f>
        <v>1</v>
      </c>
      <c r="F40" s="11" t="n">
        <f aca="false">C40*D40*E40</f>
        <v>168</v>
      </c>
      <c r="G40" s="17" t="n">
        <f aca="false">SUMIFS('09_CARGA_ORDEN'!$J$2:$J$1153,'09_CARGA_ORDEN'!$E$2:$E$1153,A40,'09_CARGA_ORDEN'!$K$2:$K$1153,B40)</f>
        <v>113.933333333333</v>
      </c>
      <c r="H40" s="12" t="n">
        <f aca="false">IF(F40=0,"",G40/F40)</f>
        <v>0.678174603174603</v>
      </c>
      <c r="I40" s="2" t="s">
        <v>629</v>
      </c>
    </row>
    <row r="41" customFormat="false" ht="15" hidden="false" customHeight="false" outlineLevel="0" collapsed="false">
      <c r="A41" s="2" t="s">
        <v>387</v>
      </c>
      <c r="B41" s="4" t="n">
        <v>4</v>
      </c>
      <c r="C41" s="5" t="n">
        <f aca="false">SUMPRODUCT((MONTH('07_CALENDARIO'!$A$2:$A$397)=B41)*(YEAR('07_CALENDARIO'!$A$2:$A$397)=p_anio_base)*'07_CALENDARIO'!$D$2:$D$397)</f>
        <v>22</v>
      </c>
      <c r="D41" s="11" t="n">
        <f aca="false">p_horas_productivas_dia</f>
        <v>8</v>
      </c>
      <c r="E41" s="5" t="n">
        <f aca="false">INDEX('04_MAQUINAS'!$E$2:$E$18,MATCH(A41,'04_MAQUINAS'!$A$2:$A$18,0))</f>
        <v>1</v>
      </c>
      <c r="F41" s="11" t="n">
        <f aca="false">C41*D41*E41</f>
        <v>176</v>
      </c>
      <c r="G41" s="17" t="n">
        <f aca="false">SUMIFS('09_CARGA_ORDEN'!$J$2:$J$1153,'09_CARGA_ORDEN'!$E$2:$E$1153,A41,'09_CARGA_ORDEN'!$K$2:$K$1153,B41)</f>
        <v>113.933333333333</v>
      </c>
      <c r="H41" s="12" t="n">
        <f aca="false">IF(F41=0,"",G41/F41)</f>
        <v>0.647348484848485</v>
      </c>
      <c r="I41" s="2" t="s">
        <v>629</v>
      </c>
    </row>
    <row r="42" customFormat="false" ht="15" hidden="false" customHeight="false" outlineLevel="0" collapsed="false">
      <c r="A42" s="2" t="s">
        <v>387</v>
      </c>
      <c r="B42" s="4" t="n">
        <v>5</v>
      </c>
      <c r="C42" s="5" t="n">
        <f aca="false">SUMPRODUCT((MONTH('07_CALENDARIO'!$A$2:$A$397)=B42)*(YEAR('07_CALENDARIO'!$A$2:$A$397)=p_anio_base)*'07_CALENDARIO'!$D$2:$D$397)</f>
        <v>22</v>
      </c>
      <c r="D42" s="11" t="n">
        <f aca="false">p_horas_productivas_dia</f>
        <v>8</v>
      </c>
      <c r="E42" s="5" t="n">
        <f aca="false">INDEX('04_MAQUINAS'!$E$2:$E$18,MATCH(A42,'04_MAQUINAS'!$A$2:$A$18,0))</f>
        <v>1</v>
      </c>
      <c r="F42" s="11" t="n">
        <f aca="false">C42*D42*E42</f>
        <v>176</v>
      </c>
      <c r="G42" s="17" t="n">
        <f aca="false">SUMIFS('09_CARGA_ORDEN'!$J$2:$J$1153,'09_CARGA_ORDEN'!$E$2:$E$1153,A42,'09_CARGA_ORDEN'!$K$2:$K$1153,B42)</f>
        <v>113.933333333333</v>
      </c>
      <c r="H42" s="12" t="n">
        <f aca="false">IF(F42=0,"",G42/F42)</f>
        <v>0.647348484848485</v>
      </c>
      <c r="I42" s="2" t="s">
        <v>629</v>
      </c>
    </row>
    <row r="43" customFormat="false" ht="15" hidden="false" customHeight="false" outlineLevel="0" collapsed="false">
      <c r="A43" s="2" t="s">
        <v>387</v>
      </c>
      <c r="B43" s="4" t="n">
        <v>6</v>
      </c>
      <c r="C43" s="5" t="n">
        <f aca="false">SUMPRODUCT((MONTH('07_CALENDARIO'!$A$2:$A$397)=B43)*(YEAR('07_CALENDARIO'!$A$2:$A$397)=p_anio_base)*'07_CALENDARIO'!$D$2:$D$397)</f>
        <v>21</v>
      </c>
      <c r="D43" s="11" t="n">
        <f aca="false">p_horas_productivas_dia</f>
        <v>8</v>
      </c>
      <c r="E43" s="5" t="n">
        <f aca="false">INDEX('04_MAQUINAS'!$E$2:$E$18,MATCH(A43,'04_MAQUINAS'!$A$2:$A$18,0))</f>
        <v>1</v>
      </c>
      <c r="F43" s="11" t="n">
        <f aca="false">C43*D43*E43</f>
        <v>168</v>
      </c>
      <c r="G43" s="17" t="n">
        <f aca="false">SUMIFS('09_CARGA_ORDEN'!$J$2:$J$1153,'09_CARGA_ORDEN'!$E$2:$E$1153,A43,'09_CARGA_ORDEN'!$K$2:$K$1153,B43)</f>
        <v>136.15</v>
      </c>
      <c r="H43" s="12" t="n">
        <f aca="false">IF(F43=0,"",G43/F43)</f>
        <v>0.810416666666667</v>
      </c>
      <c r="I43" s="2" t="s">
        <v>629</v>
      </c>
    </row>
    <row r="44" customFormat="false" ht="15" hidden="false" customHeight="false" outlineLevel="0" collapsed="false">
      <c r="A44" s="2" t="s">
        <v>387</v>
      </c>
      <c r="B44" s="4" t="n">
        <v>7</v>
      </c>
      <c r="C44" s="5" t="n">
        <f aca="false">SUMPRODUCT((MONTH('07_CALENDARIO'!$A$2:$A$397)=B44)*(YEAR('07_CALENDARIO'!$A$2:$A$397)=p_anio_base)*'07_CALENDARIO'!$D$2:$D$397)</f>
        <v>23</v>
      </c>
      <c r="D44" s="11" t="n">
        <f aca="false">p_horas_productivas_dia</f>
        <v>8</v>
      </c>
      <c r="E44" s="5" t="n">
        <f aca="false">INDEX('04_MAQUINAS'!$E$2:$E$18,MATCH(A44,'04_MAQUINAS'!$A$2:$A$18,0))</f>
        <v>1</v>
      </c>
      <c r="F44" s="11" t="n">
        <f aca="false">C44*D44*E44</f>
        <v>184</v>
      </c>
      <c r="G44" s="17" t="n">
        <f aca="false">SUMIFS('09_CARGA_ORDEN'!$J$2:$J$1153,'09_CARGA_ORDEN'!$E$2:$E$1153,A44,'09_CARGA_ORDEN'!$K$2:$K$1153,B44)</f>
        <v>134.716666666667</v>
      </c>
      <c r="H44" s="12" t="n">
        <f aca="false">IF(F44=0,"",G44/F44)</f>
        <v>0.732155797101449</v>
      </c>
      <c r="I44" s="2" t="s">
        <v>629</v>
      </c>
    </row>
    <row r="45" customFormat="false" ht="15" hidden="false" customHeight="false" outlineLevel="0" collapsed="false">
      <c r="A45" s="2" t="s">
        <v>387</v>
      </c>
      <c r="B45" s="4" t="n">
        <v>8</v>
      </c>
      <c r="C45" s="5" t="n">
        <f aca="false">SUMPRODUCT((MONTH('07_CALENDARIO'!$A$2:$A$397)=B45)*(YEAR('07_CALENDARIO'!$A$2:$A$397)=p_anio_base)*'07_CALENDARIO'!$D$2:$D$397)</f>
        <v>21</v>
      </c>
      <c r="D45" s="11" t="n">
        <f aca="false">p_horas_productivas_dia</f>
        <v>8</v>
      </c>
      <c r="E45" s="5" t="n">
        <f aca="false">INDEX('04_MAQUINAS'!$E$2:$E$18,MATCH(A45,'04_MAQUINAS'!$A$2:$A$18,0))</f>
        <v>1</v>
      </c>
      <c r="F45" s="11" t="n">
        <f aca="false">C45*D45*E45</f>
        <v>168</v>
      </c>
      <c r="G45" s="17" t="n">
        <f aca="false">SUMIFS('09_CARGA_ORDEN'!$J$2:$J$1153,'09_CARGA_ORDEN'!$E$2:$E$1153,A45,'09_CARGA_ORDEN'!$K$2:$K$1153,B45)</f>
        <v>134.716666666667</v>
      </c>
      <c r="H45" s="12" t="n">
        <f aca="false">IF(F45=0,"",G45/F45)</f>
        <v>0.801884920634921</v>
      </c>
      <c r="I45" s="2" t="s">
        <v>629</v>
      </c>
    </row>
    <row r="46" customFormat="false" ht="15" hidden="false" customHeight="false" outlineLevel="0" collapsed="false">
      <c r="A46" s="2" t="s">
        <v>387</v>
      </c>
      <c r="B46" s="4" t="n">
        <v>9</v>
      </c>
      <c r="C46" s="5" t="n">
        <f aca="false">SUMPRODUCT((MONTH('07_CALENDARIO'!$A$2:$A$397)=B46)*(YEAR('07_CALENDARIO'!$A$2:$A$397)=p_anio_base)*'07_CALENDARIO'!$D$2:$D$397)</f>
        <v>22</v>
      </c>
      <c r="D46" s="11" t="n">
        <f aca="false">p_horas_productivas_dia</f>
        <v>8</v>
      </c>
      <c r="E46" s="5" t="n">
        <f aca="false">INDEX('04_MAQUINAS'!$E$2:$E$18,MATCH(A46,'04_MAQUINAS'!$A$2:$A$18,0))</f>
        <v>1</v>
      </c>
      <c r="F46" s="11" t="n">
        <f aca="false">C46*D46*E46</f>
        <v>176</v>
      </c>
      <c r="G46" s="17" t="n">
        <f aca="false">SUMIFS('09_CARGA_ORDEN'!$J$2:$J$1153,'09_CARGA_ORDEN'!$E$2:$E$1153,A46,'09_CARGA_ORDEN'!$K$2:$K$1153,B46)</f>
        <v>113.933333333333</v>
      </c>
      <c r="H46" s="12" t="n">
        <f aca="false">IF(F46=0,"",G46/F46)</f>
        <v>0.647348484848485</v>
      </c>
      <c r="I46" s="2" t="s">
        <v>629</v>
      </c>
    </row>
    <row r="47" customFormat="false" ht="15" hidden="false" customHeight="false" outlineLevel="0" collapsed="false">
      <c r="A47" s="2" t="s">
        <v>387</v>
      </c>
      <c r="B47" s="4" t="n">
        <v>10</v>
      </c>
      <c r="C47" s="5" t="n">
        <f aca="false">SUMPRODUCT((MONTH('07_CALENDARIO'!$A$2:$A$397)=B47)*(YEAR('07_CALENDARIO'!$A$2:$A$397)=p_anio_base)*'07_CALENDARIO'!$D$2:$D$397)</f>
        <v>23</v>
      </c>
      <c r="D47" s="11" t="n">
        <f aca="false">p_horas_productivas_dia</f>
        <v>8</v>
      </c>
      <c r="E47" s="5" t="n">
        <f aca="false">INDEX('04_MAQUINAS'!$E$2:$E$18,MATCH(A47,'04_MAQUINAS'!$A$2:$A$18,0))</f>
        <v>1</v>
      </c>
      <c r="F47" s="11" t="n">
        <f aca="false">C47*D47*E47</f>
        <v>184</v>
      </c>
      <c r="G47" s="17" t="n">
        <f aca="false">SUMIFS('09_CARGA_ORDEN'!$J$2:$J$1153,'09_CARGA_ORDEN'!$E$2:$E$1153,A47,'09_CARGA_ORDEN'!$K$2:$K$1153,B47)</f>
        <v>113.933333333333</v>
      </c>
      <c r="H47" s="12" t="n">
        <f aca="false">IF(F47=0,"",G47/F47)</f>
        <v>0.619202898550725</v>
      </c>
      <c r="I47" s="2" t="s">
        <v>629</v>
      </c>
    </row>
    <row r="48" customFormat="false" ht="15" hidden="false" customHeight="false" outlineLevel="0" collapsed="false">
      <c r="A48" s="2" t="s">
        <v>387</v>
      </c>
      <c r="B48" s="4" t="n">
        <v>11</v>
      </c>
      <c r="C48" s="5" t="n">
        <f aca="false">SUMPRODUCT((MONTH('07_CALENDARIO'!$A$2:$A$397)=B48)*(YEAR('07_CALENDARIO'!$A$2:$A$397)=p_anio_base)*'07_CALENDARIO'!$D$2:$D$397)</f>
        <v>20</v>
      </c>
      <c r="D48" s="11" t="n">
        <f aca="false">p_horas_productivas_dia</f>
        <v>8</v>
      </c>
      <c r="E48" s="5" t="n">
        <f aca="false">INDEX('04_MAQUINAS'!$E$2:$E$18,MATCH(A48,'04_MAQUINAS'!$A$2:$A$18,0))</f>
        <v>1</v>
      </c>
      <c r="F48" s="11" t="n">
        <f aca="false">C48*D48*E48</f>
        <v>160</v>
      </c>
      <c r="G48" s="17" t="n">
        <f aca="false">SUMIFS('09_CARGA_ORDEN'!$J$2:$J$1153,'09_CARGA_ORDEN'!$E$2:$E$1153,A48,'09_CARGA_ORDEN'!$K$2:$K$1153,B48)</f>
        <v>112.933333333333</v>
      </c>
      <c r="H48" s="12" t="n">
        <f aca="false">IF(F48=0,"",G48/F48)</f>
        <v>0.705833333333333</v>
      </c>
      <c r="I48" s="2" t="s">
        <v>629</v>
      </c>
    </row>
    <row r="49" customFormat="false" ht="15" hidden="false" customHeight="false" outlineLevel="0" collapsed="false">
      <c r="A49" s="2" t="s">
        <v>387</v>
      </c>
      <c r="B49" s="4" t="n">
        <v>12</v>
      </c>
      <c r="C49" s="5" t="n">
        <f aca="false">SUMPRODUCT((MONTH('07_CALENDARIO'!$A$2:$A$397)=B49)*(YEAR('07_CALENDARIO'!$A$2:$A$397)=p_anio_base)*'07_CALENDARIO'!$D$2:$D$397)</f>
        <v>23</v>
      </c>
      <c r="D49" s="11" t="n">
        <f aca="false">p_horas_productivas_dia</f>
        <v>8</v>
      </c>
      <c r="E49" s="5" t="n">
        <f aca="false">INDEX('04_MAQUINAS'!$E$2:$E$18,MATCH(A49,'04_MAQUINAS'!$A$2:$A$18,0))</f>
        <v>1</v>
      </c>
      <c r="F49" s="11" t="n">
        <f aca="false">C49*D49*E49</f>
        <v>184</v>
      </c>
      <c r="G49" s="17" t="n">
        <f aca="false">SUMIFS('09_CARGA_ORDEN'!$J$2:$J$1153,'09_CARGA_ORDEN'!$E$2:$E$1153,A49,'09_CARGA_ORDEN'!$K$2:$K$1153,B49)</f>
        <v>112.933333333333</v>
      </c>
      <c r="H49" s="12" t="n">
        <f aca="false">IF(F49=0,"",G49/F49)</f>
        <v>0.613768115942029</v>
      </c>
      <c r="I49" s="2" t="s">
        <v>629</v>
      </c>
    </row>
    <row r="50" customFormat="false" ht="15" hidden="false" customHeight="false" outlineLevel="0" collapsed="false">
      <c r="A50" s="2" t="s">
        <v>391</v>
      </c>
      <c r="B50" s="4" t="n">
        <v>1</v>
      </c>
      <c r="C50" s="5" t="n">
        <f aca="false">SUMPRODUCT((MONTH('07_CALENDARIO'!$A$2:$A$397)=B50)*(YEAR('07_CALENDARIO'!$A$2:$A$397)=p_anio_base)*'07_CALENDARIO'!$D$2:$D$397)</f>
        <v>23</v>
      </c>
      <c r="D50" s="11" t="n">
        <f aca="false">p_horas_productivas_dia</f>
        <v>8</v>
      </c>
      <c r="E50" s="5" t="n">
        <f aca="false">INDEX('04_MAQUINAS'!$E$2:$E$18,MATCH(A50,'04_MAQUINAS'!$A$2:$A$18,0))</f>
        <v>1</v>
      </c>
      <c r="F50" s="11" t="n">
        <f aca="false">C50*D50*E50</f>
        <v>184</v>
      </c>
      <c r="G50" s="17" t="n">
        <f aca="false">SUMIFS('09_CARGA_ORDEN'!$J$2:$J$1153,'09_CARGA_ORDEN'!$E$2:$E$1153,A50,'09_CARGA_ORDEN'!$K$2:$K$1153,B50)</f>
        <v>32.8466666666667</v>
      </c>
      <c r="H50" s="12" t="n">
        <f aca="false">IF(F50=0,"",G50/F50)</f>
        <v>0.178514492753623</v>
      </c>
      <c r="I50" s="2" t="s">
        <v>629</v>
      </c>
    </row>
    <row r="51" customFormat="false" ht="15" hidden="false" customHeight="false" outlineLevel="0" collapsed="false">
      <c r="A51" s="2" t="s">
        <v>391</v>
      </c>
      <c r="B51" s="4" t="n">
        <v>2</v>
      </c>
      <c r="C51" s="5" t="n">
        <f aca="false">SUMPRODUCT((MONTH('07_CALENDARIO'!$A$2:$A$397)=B51)*(YEAR('07_CALENDARIO'!$A$2:$A$397)=p_anio_base)*'07_CALENDARIO'!$D$2:$D$397)</f>
        <v>20</v>
      </c>
      <c r="D51" s="11" t="n">
        <f aca="false">p_horas_productivas_dia</f>
        <v>8</v>
      </c>
      <c r="E51" s="5" t="n">
        <f aca="false">INDEX('04_MAQUINAS'!$E$2:$E$18,MATCH(A51,'04_MAQUINAS'!$A$2:$A$18,0))</f>
        <v>1</v>
      </c>
      <c r="F51" s="11" t="n">
        <f aca="false">C51*D51*E51</f>
        <v>160</v>
      </c>
      <c r="G51" s="17" t="n">
        <f aca="false">SUMIFS('09_CARGA_ORDEN'!$J$2:$J$1153,'09_CARGA_ORDEN'!$E$2:$E$1153,A51,'09_CARGA_ORDEN'!$K$2:$K$1153,B51)</f>
        <v>32.8466666666667</v>
      </c>
      <c r="H51" s="12" t="n">
        <f aca="false">IF(F51=0,"",G51/F51)</f>
        <v>0.205291666666667</v>
      </c>
      <c r="I51" s="2" t="s">
        <v>629</v>
      </c>
    </row>
    <row r="52" customFormat="false" ht="15" hidden="false" customHeight="false" outlineLevel="0" collapsed="false">
      <c r="A52" s="2" t="s">
        <v>391</v>
      </c>
      <c r="B52" s="4" t="n">
        <v>3</v>
      </c>
      <c r="C52" s="5" t="n">
        <f aca="false">SUMPRODUCT((MONTH('07_CALENDARIO'!$A$2:$A$397)=B52)*(YEAR('07_CALENDARIO'!$A$2:$A$397)=p_anio_base)*'07_CALENDARIO'!$D$2:$D$397)</f>
        <v>21</v>
      </c>
      <c r="D52" s="11" t="n">
        <f aca="false">p_horas_productivas_dia</f>
        <v>8</v>
      </c>
      <c r="E52" s="5" t="n">
        <f aca="false">INDEX('04_MAQUINAS'!$E$2:$E$18,MATCH(A52,'04_MAQUINAS'!$A$2:$A$18,0))</f>
        <v>1</v>
      </c>
      <c r="F52" s="11" t="n">
        <f aca="false">C52*D52*E52</f>
        <v>168</v>
      </c>
      <c r="G52" s="17" t="n">
        <f aca="false">SUMIFS('09_CARGA_ORDEN'!$J$2:$J$1153,'09_CARGA_ORDEN'!$E$2:$E$1153,A52,'09_CARGA_ORDEN'!$K$2:$K$1153,B52)</f>
        <v>32.8466666666667</v>
      </c>
      <c r="H52" s="12" t="n">
        <f aca="false">IF(F52=0,"",G52/F52)</f>
        <v>0.195515873015873</v>
      </c>
      <c r="I52" s="2" t="s">
        <v>629</v>
      </c>
    </row>
    <row r="53" customFormat="false" ht="15" hidden="false" customHeight="false" outlineLevel="0" collapsed="false">
      <c r="A53" s="2" t="s">
        <v>391</v>
      </c>
      <c r="B53" s="4" t="n">
        <v>4</v>
      </c>
      <c r="C53" s="5" t="n">
        <f aca="false">SUMPRODUCT((MONTH('07_CALENDARIO'!$A$2:$A$397)=B53)*(YEAR('07_CALENDARIO'!$A$2:$A$397)=p_anio_base)*'07_CALENDARIO'!$D$2:$D$397)</f>
        <v>22</v>
      </c>
      <c r="D53" s="11" t="n">
        <f aca="false">p_horas_productivas_dia</f>
        <v>8</v>
      </c>
      <c r="E53" s="5" t="n">
        <f aca="false">INDEX('04_MAQUINAS'!$E$2:$E$18,MATCH(A53,'04_MAQUINAS'!$A$2:$A$18,0))</f>
        <v>1</v>
      </c>
      <c r="F53" s="11" t="n">
        <f aca="false">C53*D53*E53</f>
        <v>176</v>
      </c>
      <c r="G53" s="17" t="n">
        <f aca="false">SUMIFS('09_CARGA_ORDEN'!$J$2:$J$1153,'09_CARGA_ORDEN'!$E$2:$E$1153,A53,'09_CARGA_ORDEN'!$K$2:$K$1153,B53)</f>
        <v>32.8466666666667</v>
      </c>
      <c r="H53" s="12" t="n">
        <f aca="false">IF(F53=0,"",G53/F53)</f>
        <v>0.186628787878788</v>
      </c>
      <c r="I53" s="2" t="s">
        <v>629</v>
      </c>
    </row>
    <row r="54" customFormat="false" ht="15" hidden="false" customHeight="false" outlineLevel="0" collapsed="false">
      <c r="A54" s="2" t="s">
        <v>391</v>
      </c>
      <c r="B54" s="4" t="n">
        <v>5</v>
      </c>
      <c r="C54" s="5" t="n">
        <f aca="false">SUMPRODUCT((MONTH('07_CALENDARIO'!$A$2:$A$397)=B54)*(YEAR('07_CALENDARIO'!$A$2:$A$397)=p_anio_base)*'07_CALENDARIO'!$D$2:$D$397)</f>
        <v>22</v>
      </c>
      <c r="D54" s="11" t="n">
        <f aca="false">p_horas_productivas_dia</f>
        <v>8</v>
      </c>
      <c r="E54" s="5" t="n">
        <f aca="false">INDEX('04_MAQUINAS'!$E$2:$E$18,MATCH(A54,'04_MAQUINAS'!$A$2:$A$18,0))</f>
        <v>1</v>
      </c>
      <c r="F54" s="11" t="n">
        <f aca="false">C54*D54*E54</f>
        <v>176</v>
      </c>
      <c r="G54" s="17" t="n">
        <f aca="false">SUMIFS('09_CARGA_ORDEN'!$J$2:$J$1153,'09_CARGA_ORDEN'!$E$2:$E$1153,A54,'09_CARGA_ORDEN'!$K$2:$K$1153,B54)</f>
        <v>32.8466666666667</v>
      </c>
      <c r="H54" s="12" t="n">
        <f aca="false">IF(F54=0,"",G54/F54)</f>
        <v>0.186628787878788</v>
      </c>
      <c r="I54" s="2" t="s">
        <v>629</v>
      </c>
    </row>
    <row r="55" customFormat="false" ht="15" hidden="false" customHeight="false" outlineLevel="0" collapsed="false">
      <c r="A55" s="2" t="s">
        <v>391</v>
      </c>
      <c r="B55" s="4" t="n">
        <v>6</v>
      </c>
      <c r="C55" s="5" t="n">
        <f aca="false">SUMPRODUCT((MONTH('07_CALENDARIO'!$A$2:$A$397)=B55)*(YEAR('07_CALENDARIO'!$A$2:$A$397)=p_anio_base)*'07_CALENDARIO'!$D$2:$D$397)</f>
        <v>21</v>
      </c>
      <c r="D55" s="11" t="n">
        <f aca="false">p_horas_productivas_dia</f>
        <v>8</v>
      </c>
      <c r="E55" s="5" t="n">
        <f aca="false">INDEX('04_MAQUINAS'!$E$2:$E$18,MATCH(A55,'04_MAQUINAS'!$A$2:$A$18,0))</f>
        <v>1</v>
      </c>
      <c r="F55" s="11" t="n">
        <f aca="false">C55*D55*E55</f>
        <v>168</v>
      </c>
      <c r="G55" s="17" t="n">
        <f aca="false">SUMIFS('09_CARGA_ORDEN'!$J$2:$J$1153,'09_CARGA_ORDEN'!$E$2:$E$1153,A55,'09_CARGA_ORDEN'!$K$2:$K$1153,B55)</f>
        <v>36.86</v>
      </c>
      <c r="H55" s="12" t="n">
        <f aca="false">IF(F55=0,"",G55/F55)</f>
        <v>0.219404761904762</v>
      </c>
      <c r="I55" s="2" t="s">
        <v>629</v>
      </c>
    </row>
    <row r="56" customFormat="false" ht="15" hidden="false" customHeight="false" outlineLevel="0" collapsed="false">
      <c r="A56" s="2" t="s">
        <v>391</v>
      </c>
      <c r="B56" s="4" t="n">
        <v>7</v>
      </c>
      <c r="C56" s="5" t="n">
        <f aca="false">SUMPRODUCT((MONTH('07_CALENDARIO'!$A$2:$A$397)=B56)*(YEAR('07_CALENDARIO'!$A$2:$A$397)=p_anio_base)*'07_CALENDARIO'!$D$2:$D$397)</f>
        <v>23</v>
      </c>
      <c r="D56" s="11" t="n">
        <f aca="false">p_horas_productivas_dia</f>
        <v>8</v>
      </c>
      <c r="E56" s="5" t="n">
        <f aca="false">INDEX('04_MAQUINAS'!$E$2:$E$18,MATCH(A56,'04_MAQUINAS'!$A$2:$A$18,0))</f>
        <v>1</v>
      </c>
      <c r="F56" s="11" t="n">
        <f aca="false">C56*D56*E56</f>
        <v>184</v>
      </c>
      <c r="G56" s="17" t="n">
        <f aca="false">SUMIFS('09_CARGA_ORDEN'!$J$2:$J$1153,'09_CARGA_ORDEN'!$E$2:$E$1153,A56,'09_CARGA_ORDEN'!$K$2:$K$1153,B56)</f>
        <v>36.86</v>
      </c>
      <c r="H56" s="12" t="n">
        <f aca="false">IF(F56=0,"",G56/F56)</f>
        <v>0.200326086956522</v>
      </c>
      <c r="I56" s="2" t="s">
        <v>629</v>
      </c>
    </row>
    <row r="57" customFormat="false" ht="15" hidden="false" customHeight="false" outlineLevel="0" collapsed="false">
      <c r="A57" s="2" t="s">
        <v>391</v>
      </c>
      <c r="B57" s="4" t="n">
        <v>8</v>
      </c>
      <c r="C57" s="5" t="n">
        <f aca="false">SUMPRODUCT((MONTH('07_CALENDARIO'!$A$2:$A$397)=B57)*(YEAR('07_CALENDARIO'!$A$2:$A$397)=p_anio_base)*'07_CALENDARIO'!$D$2:$D$397)</f>
        <v>21</v>
      </c>
      <c r="D57" s="11" t="n">
        <f aca="false">p_horas_productivas_dia</f>
        <v>8</v>
      </c>
      <c r="E57" s="5" t="n">
        <f aca="false">INDEX('04_MAQUINAS'!$E$2:$E$18,MATCH(A57,'04_MAQUINAS'!$A$2:$A$18,0))</f>
        <v>1</v>
      </c>
      <c r="F57" s="11" t="n">
        <f aca="false">C57*D57*E57</f>
        <v>168</v>
      </c>
      <c r="G57" s="17" t="n">
        <f aca="false">SUMIFS('09_CARGA_ORDEN'!$J$2:$J$1153,'09_CARGA_ORDEN'!$E$2:$E$1153,A57,'09_CARGA_ORDEN'!$K$2:$K$1153,B57)</f>
        <v>36.86</v>
      </c>
      <c r="H57" s="12" t="n">
        <f aca="false">IF(F57=0,"",G57/F57)</f>
        <v>0.219404761904762</v>
      </c>
      <c r="I57" s="2" t="s">
        <v>629</v>
      </c>
    </row>
    <row r="58" customFormat="false" ht="15" hidden="false" customHeight="false" outlineLevel="0" collapsed="false">
      <c r="A58" s="2" t="s">
        <v>391</v>
      </c>
      <c r="B58" s="4" t="n">
        <v>9</v>
      </c>
      <c r="C58" s="5" t="n">
        <f aca="false">SUMPRODUCT((MONTH('07_CALENDARIO'!$A$2:$A$397)=B58)*(YEAR('07_CALENDARIO'!$A$2:$A$397)=p_anio_base)*'07_CALENDARIO'!$D$2:$D$397)</f>
        <v>22</v>
      </c>
      <c r="D58" s="11" t="n">
        <f aca="false">p_horas_productivas_dia</f>
        <v>8</v>
      </c>
      <c r="E58" s="5" t="n">
        <f aca="false">INDEX('04_MAQUINAS'!$E$2:$E$18,MATCH(A58,'04_MAQUINAS'!$A$2:$A$18,0))</f>
        <v>1</v>
      </c>
      <c r="F58" s="11" t="n">
        <f aca="false">C58*D58*E58</f>
        <v>176</v>
      </c>
      <c r="G58" s="17" t="n">
        <f aca="false">SUMIFS('09_CARGA_ORDEN'!$J$2:$J$1153,'09_CARGA_ORDEN'!$E$2:$E$1153,A58,'09_CARGA_ORDEN'!$K$2:$K$1153,B58)</f>
        <v>32.8466666666667</v>
      </c>
      <c r="H58" s="12" t="n">
        <f aca="false">IF(F58=0,"",G58/F58)</f>
        <v>0.186628787878788</v>
      </c>
      <c r="I58" s="2" t="s">
        <v>629</v>
      </c>
    </row>
    <row r="59" customFormat="false" ht="15" hidden="false" customHeight="false" outlineLevel="0" collapsed="false">
      <c r="A59" s="2" t="s">
        <v>391</v>
      </c>
      <c r="B59" s="4" t="n">
        <v>10</v>
      </c>
      <c r="C59" s="5" t="n">
        <f aca="false">SUMPRODUCT((MONTH('07_CALENDARIO'!$A$2:$A$397)=B59)*(YEAR('07_CALENDARIO'!$A$2:$A$397)=p_anio_base)*'07_CALENDARIO'!$D$2:$D$397)</f>
        <v>23</v>
      </c>
      <c r="D59" s="11" t="n">
        <f aca="false">p_horas_productivas_dia</f>
        <v>8</v>
      </c>
      <c r="E59" s="5" t="n">
        <f aca="false">INDEX('04_MAQUINAS'!$E$2:$E$18,MATCH(A59,'04_MAQUINAS'!$A$2:$A$18,0))</f>
        <v>1</v>
      </c>
      <c r="F59" s="11" t="n">
        <f aca="false">C59*D59*E59</f>
        <v>184</v>
      </c>
      <c r="G59" s="17" t="n">
        <f aca="false">SUMIFS('09_CARGA_ORDEN'!$J$2:$J$1153,'09_CARGA_ORDEN'!$E$2:$E$1153,A59,'09_CARGA_ORDEN'!$K$2:$K$1153,B59)</f>
        <v>32.8466666666667</v>
      </c>
      <c r="H59" s="12" t="n">
        <f aca="false">IF(F59=0,"",G59/F59)</f>
        <v>0.178514492753623</v>
      </c>
      <c r="I59" s="2" t="s">
        <v>629</v>
      </c>
    </row>
    <row r="60" customFormat="false" ht="15" hidden="false" customHeight="false" outlineLevel="0" collapsed="false">
      <c r="A60" s="2" t="s">
        <v>391</v>
      </c>
      <c r="B60" s="4" t="n">
        <v>11</v>
      </c>
      <c r="C60" s="5" t="n">
        <f aca="false">SUMPRODUCT((MONTH('07_CALENDARIO'!$A$2:$A$397)=B60)*(YEAR('07_CALENDARIO'!$A$2:$A$397)=p_anio_base)*'07_CALENDARIO'!$D$2:$D$397)</f>
        <v>20</v>
      </c>
      <c r="D60" s="11" t="n">
        <f aca="false">p_horas_productivas_dia</f>
        <v>8</v>
      </c>
      <c r="E60" s="5" t="n">
        <f aca="false">INDEX('04_MAQUINAS'!$E$2:$E$18,MATCH(A60,'04_MAQUINAS'!$A$2:$A$18,0))</f>
        <v>1</v>
      </c>
      <c r="F60" s="11" t="n">
        <f aca="false">C60*D60*E60</f>
        <v>160</v>
      </c>
      <c r="G60" s="17" t="n">
        <f aca="false">SUMIFS('09_CARGA_ORDEN'!$J$2:$J$1153,'09_CARGA_ORDEN'!$E$2:$E$1153,A60,'09_CARGA_ORDEN'!$K$2:$K$1153,B60)</f>
        <v>31.54</v>
      </c>
      <c r="H60" s="12" t="n">
        <f aca="false">IF(F60=0,"",G60/F60)</f>
        <v>0.197125</v>
      </c>
      <c r="I60" s="2" t="s">
        <v>629</v>
      </c>
    </row>
    <row r="61" customFormat="false" ht="15" hidden="false" customHeight="false" outlineLevel="0" collapsed="false">
      <c r="A61" s="2" t="s">
        <v>391</v>
      </c>
      <c r="B61" s="4" t="n">
        <v>12</v>
      </c>
      <c r="C61" s="5" t="n">
        <f aca="false">SUMPRODUCT((MONTH('07_CALENDARIO'!$A$2:$A$397)=B61)*(YEAR('07_CALENDARIO'!$A$2:$A$397)=p_anio_base)*'07_CALENDARIO'!$D$2:$D$397)</f>
        <v>23</v>
      </c>
      <c r="D61" s="11" t="n">
        <f aca="false">p_horas_productivas_dia</f>
        <v>8</v>
      </c>
      <c r="E61" s="5" t="n">
        <f aca="false">INDEX('04_MAQUINAS'!$E$2:$E$18,MATCH(A61,'04_MAQUINAS'!$A$2:$A$18,0))</f>
        <v>1</v>
      </c>
      <c r="F61" s="11" t="n">
        <f aca="false">C61*D61*E61</f>
        <v>184</v>
      </c>
      <c r="G61" s="17" t="n">
        <f aca="false">SUMIFS('09_CARGA_ORDEN'!$J$2:$J$1153,'09_CARGA_ORDEN'!$E$2:$E$1153,A61,'09_CARGA_ORDEN'!$K$2:$K$1153,B61)</f>
        <v>31.54</v>
      </c>
      <c r="H61" s="12" t="n">
        <f aca="false">IF(F61=0,"",G61/F61)</f>
        <v>0.171413043478261</v>
      </c>
      <c r="I61" s="2" t="s">
        <v>629</v>
      </c>
    </row>
    <row r="62" customFormat="false" ht="15" hidden="false" customHeight="false" outlineLevel="0" collapsed="false">
      <c r="A62" s="2" t="s">
        <v>395</v>
      </c>
      <c r="B62" s="4" t="n">
        <v>1</v>
      </c>
      <c r="C62" s="5" t="n">
        <f aca="false">SUMPRODUCT((MONTH('07_CALENDARIO'!$A$2:$A$397)=B62)*(YEAR('07_CALENDARIO'!$A$2:$A$397)=p_anio_base)*'07_CALENDARIO'!$D$2:$D$397)</f>
        <v>23</v>
      </c>
      <c r="D62" s="11" t="n">
        <f aca="false">p_horas_productivas_dia</f>
        <v>8</v>
      </c>
      <c r="E62" s="5" t="n">
        <f aca="false">INDEX('04_MAQUINAS'!$E$2:$E$18,MATCH(A62,'04_MAQUINAS'!$A$2:$A$18,0))</f>
        <v>1</v>
      </c>
      <c r="F62" s="11" t="n">
        <f aca="false">C62*D62*E62</f>
        <v>184</v>
      </c>
      <c r="G62" s="17" t="n">
        <f aca="false">SUMIFS('09_CARGA_ORDEN'!$J$2:$J$1153,'09_CARGA_ORDEN'!$E$2:$E$1153,A62,'09_CARGA_ORDEN'!$K$2:$K$1153,B62)</f>
        <v>41.7</v>
      </c>
      <c r="H62" s="12" t="n">
        <f aca="false">IF(F62=0,"",G62/F62)</f>
        <v>0.226630434782609</v>
      </c>
      <c r="I62" s="2" t="s">
        <v>629</v>
      </c>
    </row>
    <row r="63" customFormat="false" ht="15" hidden="false" customHeight="false" outlineLevel="0" collapsed="false">
      <c r="A63" s="2" t="s">
        <v>395</v>
      </c>
      <c r="B63" s="4" t="n">
        <v>2</v>
      </c>
      <c r="C63" s="5" t="n">
        <f aca="false">SUMPRODUCT((MONTH('07_CALENDARIO'!$A$2:$A$397)=B63)*(YEAR('07_CALENDARIO'!$A$2:$A$397)=p_anio_base)*'07_CALENDARIO'!$D$2:$D$397)</f>
        <v>20</v>
      </c>
      <c r="D63" s="11" t="n">
        <f aca="false">p_horas_productivas_dia</f>
        <v>8</v>
      </c>
      <c r="E63" s="5" t="n">
        <f aca="false">INDEX('04_MAQUINAS'!$E$2:$E$18,MATCH(A63,'04_MAQUINAS'!$A$2:$A$18,0))</f>
        <v>1</v>
      </c>
      <c r="F63" s="11" t="n">
        <f aca="false">C63*D63*E63</f>
        <v>160</v>
      </c>
      <c r="G63" s="17" t="n">
        <f aca="false">SUMIFS('09_CARGA_ORDEN'!$J$2:$J$1153,'09_CARGA_ORDEN'!$E$2:$E$1153,A63,'09_CARGA_ORDEN'!$K$2:$K$1153,B63)</f>
        <v>41.4</v>
      </c>
      <c r="H63" s="12" t="n">
        <f aca="false">IF(F63=0,"",G63/F63)</f>
        <v>0.25875</v>
      </c>
      <c r="I63" s="2" t="s">
        <v>629</v>
      </c>
    </row>
    <row r="64" customFormat="false" ht="15" hidden="false" customHeight="false" outlineLevel="0" collapsed="false">
      <c r="A64" s="2" t="s">
        <v>395</v>
      </c>
      <c r="B64" s="4" t="n">
        <v>3</v>
      </c>
      <c r="C64" s="5" t="n">
        <f aca="false">SUMPRODUCT((MONTH('07_CALENDARIO'!$A$2:$A$397)=B64)*(YEAR('07_CALENDARIO'!$A$2:$A$397)=p_anio_base)*'07_CALENDARIO'!$D$2:$D$397)</f>
        <v>21</v>
      </c>
      <c r="D64" s="11" t="n">
        <f aca="false">p_horas_productivas_dia</f>
        <v>8</v>
      </c>
      <c r="E64" s="5" t="n">
        <f aca="false">INDEX('04_MAQUINAS'!$E$2:$E$18,MATCH(A64,'04_MAQUINAS'!$A$2:$A$18,0))</f>
        <v>1</v>
      </c>
      <c r="F64" s="11" t="n">
        <f aca="false">C64*D64*E64</f>
        <v>168</v>
      </c>
      <c r="G64" s="17" t="n">
        <f aca="false">SUMIFS('09_CARGA_ORDEN'!$J$2:$J$1153,'09_CARGA_ORDEN'!$E$2:$E$1153,A64,'09_CARGA_ORDEN'!$K$2:$K$1153,B64)</f>
        <v>40.55</v>
      </c>
      <c r="H64" s="12" t="n">
        <f aca="false">IF(F64=0,"",G64/F64)</f>
        <v>0.241369047619048</v>
      </c>
      <c r="I64" s="2" t="s">
        <v>629</v>
      </c>
    </row>
    <row r="65" customFormat="false" ht="15" hidden="false" customHeight="false" outlineLevel="0" collapsed="false">
      <c r="A65" s="2" t="s">
        <v>395</v>
      </c>
      <c r="B65" s="4" t="n">
        <v>4</v>
      </c>
      <c r="C65" s="5" t="n">
        <f aca="false">SUMPRODUCT((MONTH('07_CALENDARIO'!$A$2:$A$397)=B65)*(YEAR('07_CALENDARIO'!$A$2:$A$397)=p_anio_base)*'07_CALENDARIO'!$D$2:$D$397)</f>
        <v>22</v>
      </c>
      <c r="D65" s="11" t="n">
        <f aca="false">p_horas_productivas_dia</f>
        <v>8</v>
      </c>
      <c r="E65" s="5" t="n">
        <f aca="false">INDEX('04_MAQUINAS'!$E$2:$E$18,MATCH(A65,'04_MAQUINAS'!$A$2:$A$18,0))</f>
        <v>1</v>
      </c>
      <c r="F65" s="11" t="n">
        <f aca="false">C65*D65*E65</f>
        <v>176</v>
      </c>
      <c r="G65" s="17" t="n">
        <f aca="false">SUMIFS('09_CARGA_ORDEN'!$J$2:$J$1153,'09_CARGA_ORDEN'!$E$2:$E$1153,A65,'09_CARGA_ORDEN'!$K$2:$K$1153,B65)</f>
        <v>40.55</v>
      </c>
      <c r="H65" s="12" t="n">
        <f aca="false">IF(F65=0,"",G65/F65)</f>
        <v>0.230397727272727</v>
      </c>
      <c r="I65" s="2" t="s">
        <v>629</v>
      </c>
    </row>
    <row r="66" customFormat="false" ht="15" hidden="false" customHeight="false" outlineLevel="0" collapsed="false">
      <c r="A66" s="2" t="s">
        <v>395</v>
      </c>
      <c r="B66" s="4" t="n">
        <v>5</v>
      </c>
      <c r="C66" s="5" t="n">
        <f aca="false">SUMPRODUCT((MONTH('07_CALENDARIO'!$A$2:$A$397)=B66)*(YEAR('07_CALENDARIO'!$A$2:$A$397)=p_anio_base)*'07_CALENDARIO'!$D$2:$D$397)</f>
        <v>22</v>
      </c>
      <c r="D66" s="11" t="n">
        <f aca="false">p_horas_productivas_dia</f>
        <v>8</v>
      </c>
      <c r="E66" s="5" t="n">
        <f aca="false">INDEX('04_MAQUINAS'!$E$2:$E$18,MATCH(A66,'04_MAQUINAS'!$A$2:$A$18,0))</f>
        <v>1</v>
      </c>
      <c r="F66" s="11" t="n">
        <f aca="false">C66*D66*E66</f>
        <v>176</v>
      </c>
      <c r="G66" s="17" t="n">
        <f aca="false">SUMIFS('09_CARGA_ORDEN'!$J$2:$J$1153,'09_CARGA_ORDEN'!$E$2:$E$1153,A66,'09_CARGA_ORDEN'!$K$2:$K$1153,B66)</f>
        <v>40.55</v>
      </c>
      <c r="H66" s="12" t="n">
        <f aca="false">IF(F66=0,"",G66/F66)</f>
        <v>0.230397727272727</v>
      </c>
      <c r="I66" s="2" t="s">
        <v>629</v>
      </c>
    </row>
    <row r="67" customFormat="false" ht="15" hidden="false" customHeight="false" outlineLevel="0" collapsed="false">
      <c r="A67" s="2" t="s">
        <v>395</v>
      </c>
      <c r="B67" s="4" t="n">
        <v>6</v>
      </c>
      <c r="C67" s="5" t="n">
        <f aca="false">SUMPRODUCT((MONTH('07_CALENDARIO'!$A$2:$A$397)=B67)*(YEAR('07_CALENDARIO'!$A$2:$A$397)=p_anio_base)*'07_CALENDARIO'!$D$2:$D$397)</f>
        <v>21</v>
      </c>
      <c r="D67" s="11" t="n">
        <f aca="false">p_horas_productivas_dia</f>
        <v>8</v>
      </c>
      <c r="E67" s="5" t="n">
        <f aca="false">INDEX('04_MAQUINAS'!$E$2:$E$18,MATCH(A67,'04_MAQUINAS'!$A$2:$A$18,0))</f>
        <v>1</v>
      </c>
      <c r="F67" s="11" t="n">
        <f aca="false">C67*D67*E67</f>
        <v>168</v>
      </c>
      <c r="G67" s="17" t="n">
        <f aca="false">SUMIFS('09_CARGA_ORDEN'!$J$2:$J$1153,'09_CARGA_ORDEN'!$E$2:$E$1153,A67,'09_CARGA_ORDEN'!$K$2:$K$1153,B67)</f>
        <v>47.725</v>
      </c>
      <c r="H67" s="12" t="n">
        <f aca="false">IF(F67=0,"",G67/F67)</f>
        <v>0.284077380952381</v>
      </c>
      <c r="I67" s="2" t="s">
        <v>629</v>
      </c>
    </row>
    <row r="68" customFormat="false" ht="15" hidden="false" customHeight="false" outlineLevel="0" collapsed="false">
      <c r="A68" s="2" t="s">
        <v>395</v>
      </c>
      <c r="B68" s="4" t="n">
        <v>7</v>
      </c>
      <c r="C68" s="5" t="n">
        <f aca="false">SUMPRODUCT((MONTH('07_CALENDARIO'!$A$2:$A$397)=B68)*(YEAR('07_CALENDARIO'!$A$2:$A$397)=p_anio_base)*'07_CALENDARIO'!$D$2:$D$397)</f>
        <v>23</v>
      </c>
      <c r="D68" s="11" t="n">
        <f aca="false">p_horas_productivas_dia</f>
        <v>8</v>
      </c>
      <c r="E68" s="5" t="n">
        <f aca="false">INDEX('04_MAQUINAS'!$E$2:$E$18,MATCH(A68,'04_MAQUINAS'!$A$2:$A$18,0))</f>
        <v>1</v>
      </c>
      <c r="F68" s="11" t="n">
        <f aca="false">C68*D68*E68</f>
        <v>184</v>
      </c>
      <c r="G68" s="17" t="n">
        <f aca="false">SUMIFS('09_CARGA_ORDEN'!$J$2:$J$1153,'09_CARGA_ORDEN'!$E$2:$E$1153,A68,'09_CARGA_ORDEN'!$K$2:$K$1153,B68)</f>
        <v>47.475</v>
      </c>
      <c r="H68" s="12" t="n">
        <f aca="false">IF(F68=0,"",G68/F68)</f>
        <v>0.258016304347826</v>
      </c>
      <c r="I68" s="2" t="s">
        <v>629</v>
      </c>
    </row>
    <row r="69" customFormat="false" ht="15" hidden="false" customHeight="false" outlineLevel="0" collapsed="false">
      <c r="A69" s="2" t="s">
        <v>395</v>
      </c>
      <c r="B69" s="4" t="n">
        <v>8</v>
      </c>
      <c r="C69" s="5" t="n">
        <f aca="false">SUMPRODUCT((MONTH('07_CALENDARIO'!$A$2:$A$397)=B69)*(YEAR('07_CALENDARIO'!$A$2:$A$397)=p_anio_base)*'07_CALENDARIO'!$D$2:$D$397)</f>
        <v>21</v>
      </c>
      <c r="D69" s="11" t="n">
        <f aca="false">p_horas_productivas_dia</f>
        <v>8</v>
      </c>
      <c r="E69" s="5" t="n">
        <f aca="false">INDEX('04_MAQUINAS'!$E$2:$E$18,MATCH(A69,'04_MAQUINAS'!$A$2:$A$18,0))</f>
        <v>1</v>
      </c>
      <c r="F69" s="11" t="n">
        <f aca="false">C69*D69*E69</f>
        <v>168</v>
      </c>
      <c r="G69" s="17" t="n">
        <f aca="false">SUMIFS('09_CARGA_ORDEN'!$J$2:$J$1153,'09_CARGA_ORDEN'!$E$2:$E$1153,A69,'09_CARGA_ORDEN'!$K$2:$K$1153,B69)</f>
        <v>47.475</v>
      </c>
      <c r="H69" s="12" t="n">
        <f aca="false">IF(F69=0,"",G69/F69)</f>
        <v>0.282589285714286</v>
      </c>
      <c r="I69" s="2" t="s">
        <v>629</v>
      </c>
    </row>
    <row r="70" customFormat="false" ht="15" hidden="false" customHeight="false" outlineLevel="0" collapsed="false">
      <c r="A70" s="2" t="s">
        <v>395</v>
      </c>
      <c r="B70" s="4" t="n">
        <v>9</v>
      </c>
      <c r="C70" s="5" t="n">
        <f aca="false">SUMPRODUCT((MONTH('07_CALENDARIO'!$A$2:$A$397)=B70)*(YEAR('07_CALENDARIO'!$A$2:$A$397)=p_anio_base)*'07_CALENDARIO'!$D$2:$D$397)</f>
        <v>22</v>
      </c>
      <c r="D70" s="11" t="n">
        <f aca="false">p_horas_productivas_dia</f>
        <v>8</v>
      </c>
      <c r="E70" s="5" t="n">
        <f aca="false">INDEX('04_MAQUINAS'!$E$2:$E$18,MATCH(A70,'04_MAQUINAS'!$A$2:$A$18,0))</f>
        <v>1</v>
      </c>
      <c r="F70" s="11" t="n">
        <f aca="false">C70*D70*E70</f>
        <v>176</v>
      </c>
      <c r="G70" s="17" t="n">
        <f aca="false">SUMIFS('09_CARGA_ORDEN'!$J$2:$J$1153,'09_CARGA_ORDEN'!$E$2:$E$1153,A70,'09_CARGA_ORDEN'!$K$2:$K$1153,B70)</f>
        <v>40.55</v>
      </c>
      <c r="H70" s="12" t="n">
        <f aca="false">IF(F70=0,"",G70/F70)</f>
        <v>0.230397727272727</v>
      </c>
      <c r="I70" s="2" t="s">
        <v>629</v>
      </c>
    </row>
    <row r="71" customFormat="false" ht="15" hidden="false" customHeight="false" outlineLevel="0" collapsed="false">
      <c r="A71" s="2" t="s">
        <v>395</v>
      </c>
      <c r="B71" s="4" t="n">
        <v>10</v>
      </c>
      <c r="C71" s="5" t="n">
        <f aca="false">SUMPRODUCT((MONTH('07_CALENDARIO'!$A$2:$A$397)=B71)*(YEAR('07_CALENDARIO'!$A$2:$A$397)=p_anio_base)*'07_CALENDARIO'!$D$2:$D$397)</f>
        <v>23</v>
      </c>
      <c r="D71" s="11" t="n">
        <f aca="false">p_horas_productivas_dia</f>
        <v>8</v>
      </c>
      <c r="E71" s="5" t="n">
        <f aca="false">INDEX('04_MAQUINAS'!$E$2:$E$18,MATCH(A71,'04_MAQUINAS'!$A$2:$A$18,0))</f>
        <v>1</v>
      </c>
      <c r="F71" s="11" t="n">
        <f aca="false">C71*D71*E71</f>
        <v>184</v>
      </c>
      <c r="G71" s="17" t="n">
        <f aca="false">SUMIFS('09_CARGA_ORDEN'!$J$2:$J$1153,'09_CARGA_ORDEN'!$E$2:$E$1153,A71,'09_CARGA_ORDEN'!$K$2:$K$1153,B71)</f>
        <v>40.55</v>
      </c>
      <c r="H71" s="12" t="n">
        <f aca="false">IF(F71=0,"",G71/F71)</f>
        <v>0.220380434782609</v>
      </c>
      <c r="I71" s="2" t="s">
        <v>629</v>
      </c>
    </row>
    <row r="72" customFormat="false" ht="15" hidden="false" customHeight="false" outlineLevel="0" collapsed="false">
      <c r="A72" s="2" t="s">
        <v>395</v>
      </c>
      <c r="B72" s="4" t="n">
        <v>11</v>
      </c>
      <c r="C72" s="5" t="n">
        <f aca="false">SUMPRODUCT((MONTH('07_CALENDARIO'!$A$2:$A$397)=B72)*(YEAR('07_CALENDARIO'!$A$2:$A$397)=p_anio_base)*'07_CALENDARIO'!$D$2:$D$397)</f>
        <v>20</v>
      </c>
      <c r="D72" s="11" t="n">
        <f aca="false">p_horas_productivas_dia</f>
        <v>8</v>
      </c>
      <c r="E72" s="5" t="n">
        <f aca="false">INDEX('04_MAQUINAS'!$E$2:$E$18,MATCH(A72,'04_MAQUINAS'!$A$2:$A$18,0))</f>
        <v>1</v>
      </c>
      <c r="F72" s="11" t="n">
        <f aca="false">C72*D72*E72</f>
        <v>160</v>
      </c>
      <c r="G72" s="17" t="n">
        <f aca="false">SUMIFS('09_CARGA_ORDEN'!$J$2:$J$1153,'09_CARGA_ORDEN'!$E$2:$E$1153,A72,'09_CARGA_ORDEN'!$K$2:$K$1153,B72)</f>
        <v>39.85</v>
      </c>
      <c r="H72" s="12" t="n">
        <f aca="false">IF(F72=0,"",G72/F72)</f>
        <v>0.2490625</v>
      </c>
      <c r="I72" s="2" t="s">
        <v>629</v>
      </c>
    </row>
    <row r="73" customFormat="false" ht="15" hidden="false" customHeight="false" outlineLevel="0" collapsed="false">
      <c r="A73" s="2" t="s">
        <v>395</v>
      </c>
      <c r="B73" s="4" t="n">
        <v>12</v>
      </c>
      <c r="C73" s="5" t="n">
        <f aca="false">SUMPRODUCT((MONTH('07_CALENDARIO'!$A$2:$A$397)=B73)*(YEAR('07_CALENDARIO'!$A$2:$A$397)=p_anio_base)*'07_CALENDARIO'!$D$2:$D$397)</f>
        <v>23</v>
      </c>
      <c r="D73" s="11" t="n">
        <f aca="false">p_horas_productivas_dia</f>
        <v>8</v>
      </c>
      <c r="E73" s="5" t="n">
        <f aca="false">INDEX('04_MAQUINAS'!$E$2:$E$18,MATCH(A73,'04_MAQUINAS'!$A$2:$A$18,0))</f>
        <v>1</v>
      </c>
      <c r="F73" s="11" t="n">
        <f aca="false">C73*D73*E73</f>
        <v>184</v>
      </c>
      <c r="G73" s="17" t="n">
        <f aca="false">SUMIFS('09_CARGA_ORDEN'!$J$2:$J$1153,'09_CARGA_ORDEN'!$E$2:$E$1153,A73,'09_CARGA_ORDEN'!$K$2:$K$1153,B73)</f>
        <v>39.85</v>
      </c>
      <c r="H73" s="12" t="n">
        <f aca="false">IF(F73=0,"",G73/F73)</f>
        <v>0.216576086956522</v>
      </c>
      <c r="I73" s="2" t="s">
        <v>629</v>
      </c>
    </row>
    <row r="74" customFormat="false" ht="15" hidden="false" customHeight="false" outlineLevel="0" collapsed="false">
      <c r="A74" s="2" t="s">
        <v>399</v>
      </c>
      <c r="B74" s="4" t="n">
        <v>1</v>
      </c>
      <c r="C74" s="5" t="n">
        <f aca="false">SUMPRODUCT((MONTH('07_CALENDARIO'!$A$2:$A$397)=B74)*(YEAR('07_CALENDARIO'!$A$2:$A$397)=p_anio_base)*'07_CALENDARIO'!$D$2:$D$397)</f>
        <v>23</v>
      </c>
      <c r="D74" s="11" t="n">
        <f aca="false">p_horas_productivas_dia</f>
        <v>8</v>
      </c>
      <c r="E74" s="5" t="n">
        <f aca="false">INDEX('04_MAQUINAS'!$E$2:$E$18,MATCH(A74,'04_MAQUINAS'!$A$2:$A$18,0))</f>
        <v>1</v>
      </c>
      <c r="F74" s="11" t="n">
        <f aca="false">C74*D74*E74</f>
        <v>184</v>
      </c>
      <c r="G74" s="17" t="n">
        <f aca="false">SUMIFS('09_CARGA_ORDEN'!$J$2:$J$1153,'09_CARGA_ORDEN'!$E$2:$E$1153,A74,'09_CARGA_ORDEN'!$K$2:$K$1153,B74)</f>
        <v>35.9925733333333</v>
      </c>
      <c r="H74" s="12" t="n">
        <f aca="false">IF(F74=0,"",G74/F74)</f>
        <v>0.195611811594203</v>
      </c>
      <c r="I74" s="2" t="s">
        <v>629</v>
      </c>
    </row>
    <row r="75" customFormat="false" ht="15" hidden="false" customHeight="false" outlineLevel="0" collapsed="false">
      <c r="A75" s="2" t="s">
        <v>399</v>
      </c>
      <c r="B75" s="4" t="n">
        <v>2</v>
      </c>
      <c r="C75" s="5" t="n">
        <f aca="false">SUMPRODUCT((MONTH('07_CALENDARIO'!$A$2:$A$397)=B75)*(YEAR('07_CALENDARIO'!$A$2:$A$397)=p_anio_base)*'07_CALENDARIO'!$D$2:$D$397)</f>
        <v>20</v>
      </c>
      <c r="D75" s="11" t="n">
        <f aca="false">p_horas_productivas_dia</f>
        <v>8</v>
      </c>
      <c r="E75" s="5" t="n">
        <f aca="false">INDEX('04_MAQUINAS'!$E$2:$E$18,MATCH(A75,'04_MAQUINAS'!$A$2:$A$18,0))</f>
        <v>1</v>
      </c>
      <c r="F75" s="11" t="n">
        <f aca="false">C75*D75*E75</f>
        <v>160</v>
      </c>
      <c r="G75" s="17" t="n">
        <f aca="false">SUMIFS('09_CARGA_ORDEN'!$J$2:$J$1153,'09_CARGA_ORDEN'!$E$2:$E$1153,A75,'09_CARGA_ORDEN'!$K$2:$K$1153,B75)</f>
        <v>35.55384</v>
      </c>
      <c r="H75" s="12" t="n">
        <f aca="false">IF(F75=0,"",G75/F75)</f>
        <v>0.2222115</v>
      </c>
      <c r="I75" s="2" t="s">
        <v>629</v>
      </c>
    </row>
    <row r="76" customFormat="false" ht="15" hidden="false" customHeight="false" outlineLevel="0" collapsed="false">
      <c r="A76" s="2" t="s">
        <v>399</v>
      </c>
      <c r="B76" s="4" t="n">
        <v>3</v>
      </c>
      <c r="C76" s="5" t="n">
        <f aca="false">SUMPRODUCT((MONTH('07_CALENDARIO'!$A$2:$A$397)=B76)*(YEAR('07_CALENDARIO'!$A$2:$A$397)=p_anio_base)*'07_CALENDARIO'!$D$2:$D$397)</f>
        <v>21</v>
      </c>
      <c r="D76" s="11" t="n">
        <f aca="false">p_horas_productivas_dia</f>
        <v>8</v>
      </c>
      <c r="E76" s="5" t="n">
        <f aca="false">INDEX('04_MAQUINAS'!$E$2:$E$18,MATCH(A76,'04_MAQUINAS'!$A$2:$A$18,0))</f>
        <v>1</v>
      </c>
      <c r="F76" s="11" t="n">
        <f aca="false">C76*D76*E76</f>
        <v>168</v>
      </c>
      <c r="G76" s="17" t="n">
        <f aca="false">SUMIFS('09_CARGA_ORDEN'!$J$2:$J$1153,'09_CARGA_ORDEN'!$E$2:$E$1153,A76,'09_CARGA_ORDEN'!$K$2:$K$1153,B76)</f>
        <v>34.8785866666667</v>
      </c>
      <c r="H76" s="12" t="n">
        <f aca="false">IF(F76=0,"",G76/F76)</f>
        <v>0.207610634920635</v>
      </c>
      <c r="I76" s="2" t="s">
        <v>629</v>
      </c>
    </row>
    <row r="77" customFormat="false" ht="15" hidden="false" customHeight="false" outlineLevel="0" collapsed="false">
      <c r="A77" s="2" t="s">
        <v>399</v>
      </c>
      <c r="B77" s="4" t="n">
        <v>4</v>
      </c>
      <c r="C77" s="5" t="n">
        <f aca="false">SUMPRODUCT((MONTH('07_CALENDARIO'!$A$2:$A$397)=B77)*(YEAR('07_CALENDARIO'!$A$2:$A$397)=p_anio_base)*'07_CALENDARIO'!$D$2:$D$397)</f>
        <v>22</v>
      </c>
      <c r="D77" s="11" t="n">
        <f aca="false">p_horas_productivas_dia</f>
        <v>8</v>
      </c>
      <c r="E77" s="5" t="n">
        <f aca="false">INDEX('04_MAQUINAS'!$E$2:$E$18,MATCH(A77,'04_MAQUINAS'!$A$2:$A$18,0))</f>
        <v>1</v>
      </c>
      <c r="F77" s="11" t="n">
        <f aca="false">C77*D77*E77</f>
        <v>176</v>
      </c>
      <c r="G77" s="17" t="n">
        <f aca="false">SUMIFS('09_CARGA_ORDEN'!$J$2:$J$1153,'09_CARGA_ORDEN'!$E$2:$E$1153,A77,'09_CARGA_ORDEN'!$K$2:$K$1153,B77)</f>
        <v>34.8785866666667</v>
      </c>
      <c r="H77" s="12" t="n">
        <f aca="false">IF(F77=0,"",G77/F77)</f>
        <v>0.198173787878788</v>
      </c>
      <c r="I77" s="2" t="s">
        <v>629</v>
      </c>
    </row>
    <row r="78" customFormat="false" ht="15" hidden="false" customHeight="false" outlineLevel="0" collapsed="false">
      <c r="A78" s="2" t="s">
        <v>399</v>
      </c>
      <c r="B78" s="4" t="n">
        <v>5</v>
      </c>
      <c r="C78" s="5" t="n">
        <f aca="false">SUMPRODUCT((MONTH('07_CALENDARIO'!$A$2:$A$397)=B78)*(YEAR('07_CALENDARIO'!$A$2:$A$397)=p_anio_base)*'07_CALENDARIO'!$D$2:$D$397)</f>
        <v>22</v>
      </c>
      <c r="D78" s="11" t="n">
        <f aca="false">p_horas_productivas_dia</f>
        <v>8</v>
      </c>
      <c r="E78" s="5" t="n">
        <f aca="false">INDEX('04_MAQUINAS'!$E$2:$E$18,MATCH(A78,'04_MAQUINAS'!$A$2:$A$18,0))</f>
        <v>1</v>
      </c>
      <c r="F78" s="11" t="n">
        <f aca="false">C78*D78*E78</f>
        <v>176</v>
      </c>
      <c r="G78" s="17" t="n">
        <f aca="false">SUMIFS('09_CARGA_ORDEN'!$J$2:$J$1153,'09_CARGA_ORDEN'!$E$2:$E$1153,A78,'09_CARGA_ORDEN'!$K$2:$K$1153,B78)</f>
        <v>34.8785866666667</v>
      </c>
      <c r="H78" s="12" t="n">
        <f aca="false">IF(F78=0,"",G78/F78)</f>
        <v>0.198173787878788</v>
      </c>
      <c r="I78" s="2" t="s">
        <v>629</v>
      </c>
    </row>
    <row r="79" customFormat="false" ht="15" hidden="false" customHeight="false" outlineLevel="0" collapsed="false">
      <c r="A79" s="2" t="s">
        <v>399</v>
      </c>
      <c r="B79" s="4" t="n">
        <v>6</v>
      </c>
      <c r="C79" s="5" t="n">
        <f aca="false">SUMPRODUCT((MONTH('07_CALENDARIO'!$A$2:$A$397)=B79)*(YEAR('07_CALENDARIO'!$A$2:$A$397)=p_anio_base)*'07_CALENDARIO'!$D$2:$D$397)</f>
        <v>21</v>
      </c>
      <c r="D79" s="11" t="n">
        <f aca="false">p_horas_productivas_dia</f>
        <v>8</v>
      </c>
      <c r="E79" s="5" t="n">
        <f aca="false">INDEX('04_MAQUINAS'!$E$2:$E$18,MATCH(A79,'04_MAQUINAS'!$A$2:$A$18,0))</f>
        <v>1</v>
      </c>
      <c r="F79" s="11" t="n">
        <f aca="false">C79*D79*E79</f>
        <v>168</v>
      </c>
      <c r="G79" s="17" t="n">
        <f aca="false">SUMIFS('09_CARGA_ORDEN'!$J$2:$J$1153,'09_CARGA_ORDEN'!$E$2:$E$1153,A79,'09_CARGA_ORDEN'!$K$2:$K$1153,B79)</f>
        <v>41.1816</v>
      </c>
      <c r="H79" s="12" t="n">
        <f aca="false">IF(F79=0,"",G79/F79)</f>
        <v>0.245128571428571</v>
      </c>
      <c r="I79" s="2" t="s">
        <v>629</v>
      </c>
    </row>
    <row r="80" customFormat="false" ht="15" hidden="false" customHeight="false" outlineLevel="0" collapsed="false">
      <c r="A80" s="2" t="s">
        <v>399</v>
      </c>
      <c r="B80" s="4" t="n">
        <v>7</v>
      </c>
      <c r="C80" s="5" t="n">
        <f aca="false">SUMPRODUCT((MONTH('07_CALENDARIO'!$A$2:$A$397)=B80)*(YEAR('07_CALENDARIO'!$A$2:$A$397)=p_anio_base)*'07_CALENDARIO'!$D$2:$D$397)</f>
        <v>23</v>
      </c>
      <c r="D80" s="11" t="n">
        <f aca="false">p_horas_productivas_dia</f>
        <v>8</v>
      </c>
      <c r="E80" s="5" t="n">
        <f aca="false">INDEX('04_MAQUINAS'!$E$2:$E$18,MATCH(A80,'04_MAQUINAS'!$A$2:$A$18,0))</f>
        <v>1</v>
      </c>
      <c r="F80" s="11" t="n">
        <f aca="false">C80*D80*E80</f>
        <v>184</v>
      </c>
      <c r="G80" s="17" t="n">
        <f aca="false">SUMIFS('09_CARGA_ORDEN'!$J$2:$J$1153,'09_CARGA_ORDEN'!$E$2:$E$1153,A80,'09_CARGA_ORDEN'!$K$2:$K$1153,B80)</f>
        <v>40.7530666666667</v>
      </c>
      <c r="H80" s="12" t="n">
        <f aca="false">IF(F80=0,"",G80/F80)</f>
        <v>0.221484057971015</v>
      </c>
      <c r="I80" s="2" t="s">
        <v>629</v>
      </c>
    </row>
    <row r="81" customFormat="false" ht="15" hidden="false" customHeight="false" outlineLevel="0" collapsed="false">
      <c r="A81" s="2" t="s">
        <v>399</v>
      </c>
      <c r="B81" s="4" t="n">
        <v>8</v>
      </c>
      <c r="C81" s="5" t="n">
        <f aca="false">SUMPRODUCT((MONTH('07_CALENDARIO'!$A$2:$A$397)=B81)*(YEAR('07_CALENDARIO'!$A$2:$A$397)=p_anio_base)*'07_CALENDARIO'!$D$2:$D$397)</f>
        <v>21</v>
      </c>
      <c r="D81" s="11" t="n">
        <f aca="false">p_horas_productivas_dia</f>
        <v>8</v>
      </c>
      <c r="E81" s="5" t="n">
        <f aca="false">INDEX('04_MAQUINAS'!$E$2:$E$18,MATCH(A81,'04_MAQUINAS'!$A$2:$A$18,0))</f>
        <v>1</v>
      </c>
      <c r="F81" s="11" t="n">
        <f aca="false">C81*D81*E81</f>
        <v>168</v>
      </c>
      <c r="G81" s="17" t="n">
        <f aca="false">SUMIFS('09_CARGA_ORDEN'!$J$2:$J$1153,'09_CARGA_ORDEN'!$E$2:$E$1153,A81,'09_CARGA_ORDEN'!$K$2:$K$1153,B81)</f>
        <v>40.7530666666667</v>
      </c>
      <c r="H81" s="12" t="n">
        <f aca="false">IF(F81=0,"",G81/F81)</f>
        <v>0.242577777777778</v>
      </c>
      <c r="I81" s="2" t="s">
        <v>629</v>
      </c>
    </row>
    <row r="82" customFormat="false" ht="15" hidden="false" customHeight="false" outlineLevel="0" collapsed="false">
      <c r="A82" s="2" t="s">
        <v>399</v>
      </c>
      <c r="B82" s="4" t="n">
        <v>9</v>
      </c>
      <c r="C82" s="5" t="n">
        <f aca="false">SUMPRODUCT((MONTH('07_CALENDARIO'!$A$2:$A$397)=B82)*(YEAR('07_CALENDARIO'!$A$2:$A$397)=p_anio_base)*'07_CALENDARIO'!$D$2:$D$397)</f>
        <v>22</v>
      </c>
      <c r="D82" s="11" t="n">
        <f aca="false">p_horas_productivas_dia</f>
        <v>8</v>
      </c>
      <c r="E82" s="5" t="n">
        <f aca="false">INDEX('04_MAQUINAS'!$E$2:$E$18,MATCH(A82,'04_MAQUINAS'!$A$2:$A$18,0))</f>
        <v>1</v>
      </c>
      <c r="F82" s="11" t="n">
        <f aca="false">C82*D82*E82</f>
        <v>176</v>
      </c>
      <c r="G82" s="17" t="n">
        <f aca="false">SUMIFS('09_CARGA_ORDEN'!$J$2:$J$1153,'09_CARGA_ORDEN'!$E$2:$E$1153,A82,'09_CARGA_ORDEN'!$K$2:$K$1153,B82)</f>
        <v>34.8785866666667</v>
      </c>
      <c r="H82" s="12" t="n">
        <f aca="false">IF(F82=0,"",G82/F82)</f>
        <v>0.198173787878788</v>
      </c>
      <c r="I82" s="2" t="s">
        <v>629</v>
      </c>
    </row>
    <row r="83" customFormat="false" ht="15" hidden="false" customHeight="false" outlineLevel="0" collapsed="false">
      <c r="A83" s="2" t="s">
        <v>399</v>
      </c>
      <c r="B83" s="4" t="n">
        <v>10</v>
      </c>
      <c r="C83" s="5" t="n">
        <f aca="false">SUMPRODUCT((MONTH('07_CALENDARIO'!$A$2:$A$397)=B83)*(YEAR('07_CALENDARIO'!$A$2:$A$397)=p_anio_base)*'07_CALENDARIO'!$D$2:$D$397)</f>
        <v>23</v>
      </c>
      <c r="D83" s="11" t="n">
        <f aca="false">p_horas_productivas_dia</f>
        <v>8</v>
      </c>
      <c r="E83" s="5" t="n">
        <f aca="false">INDEX('04_MAQUINAS'!$E$2:$E$18,MATCH(A83,'04_MAQUINAS'!$A$2:$A$18,0))</f>
        <v>1</v>
      </c>
      <c r="F83" s="11" t="n">
        <f aca="false">C83*D83*E83</f>
        <v>184</v>
      </c>
      <c r="G83" s="17" t="n">
        <f aca="false">SUMIFS('09_CARGA_ORDEN'!$J$2:$J$1153,'09_CARGA_ORDEN'!$E$2:$E$1153,A83,'09_CARGA_ORDEN'!$K$2:$K$1153,B83)</f>
        <v>34.8785866666667</v>
      </c>
      <c r="H83" s="12" t="n">
        <f aca="false">IF(F83=0,"",G83/F83)</f>
        <v>0.189557536231884</v>
      </c>
      <c r="I83" s="2" t="s">
        <v>629</v>
      </c>
    </row>
    <row r="84" customFormat="false" ht="15" hidden="false" customHeight="false" outlineLevel="0" collapsed="false">
      <c r="A84" s="2" t="s">
        <v>399</v>
      </c>
      <c r="B84" s="4" t="n">
        <v>11</v>
      </c>
      <c r="C84" s="5" t="n">
        <f aca="false">SUMPRODUCT((MONTH('07_CALENDARIO'!$A$2:$A$397)=B84)*(YEAR('07_CALENDARIO'!$A$2:$A$397)=p_anio_base)*'07_CALENDARIO'!$D$2:$D$397)</f>
        <v>20</v>
      </c>
      <c r="D84" s="11" t="n">
        <f aca="false">p_horas_productivas_dia</f>
        <v>8</v>
      </c>
      <c r="E84" s="5" t="n">
        <f aca="false">INDEX('04_MAQUINAS'!$E$2:$E$18,MATCH(A84,'04_MAQUINAS'!$A$2:$A$18,0))</f>
        <v>1</v>
      </c>
      <c r="F84" s="11" t="n">
        <f aca="false">C84*D84*E84</f>
        <v>160</v>
      </c>
      <c r="G84" s="17" t="n">
        <f aca="false">SUMIFS('09_CARGA_ORDEN'!$J$2:$J$1153,'09_CARGA_ORDEN'!$E$2:$E$1153,A84,'09_CARGA_ORDEN'!$K$2:$K$1153,B84)</f>
        <v>34.3831733333333</v>
      </c>
      <c r="H84" s="12" t="n">
        <f aca="false">IF(F84=0,"",G84/F84)</f>
        <v>0.214894833333333</v>
      </c>
      <c r="I84" s="2" t="s">
        <v>629</v>
      </c>
    </row>
    <row r="85" customFormat="false" ht="15" hidden="false" customHeight="false" outlineLevel="0" collapsed="false">
      <c r="A85" s="2" t="s">
        <v>399</v>
      </c>
      <c r="B85" s="4" t="n">
        <v>12</v>
      </c>
      <c r="C85" s="5" t="n">
        <f aca="false">SUMPRODUCT((MONTH('07_CALENDARIO'!$A$2:$A$397)=B85)*(YEAR('07_CALENDARIO'!$A$2:$A$397)=p_anio_base)*'07_CALENDARIO'!$D$2:$D$397)</f>
        <v>23</v>
      </c>
      <c r="D85" s="11" t="n">
        <f aca="false">p_horas_productivas_dia</f>
        <v>8</v>
      </c>
      <c r="E85" s="5" t="n">
        <f aca="false">INDEX('04_MAQUINAS'!$E$2:$E$18,MATCH(A85,'04_MAQUINAS'!$A$2:$A$18,0))</f>
        <v>1</v>
      </c>
      <c r="F85" s="11" t="n">
        <f aca="false">C85*D85*E85</f>
        <v>184</v>
      </c>
      <c r="G85" s="17" t="n">
        <f aca="false">SUMIFS('09_CARGA_ORDEN'!$J$2:$J$1153,'09_CARGA_ORDEN'!$E$2:$E$1153,A85,'09_CARGA_ORDEN'!$K$2:$K$1153,B85)</f>
        <v>34.3831733333333</v>
      </c>
      <c r="H85" s="12" t="n">
        <f aca="false">IF(F85=0,"",G85/F85)</f>
        <v>0.186865072463768</v>
      </c>
      <c r="I85" s="2" t="s">
        <v>629</v>
      </c>
    </row>
    <row r="86" customFormat="false" ht="15" hidden="false" customHeight="false" outlineLevel="0" collapsed="false">
      <c r="A86" s="2" t="s">
        <v>402</v>
      </c>
      <c r="B86" s="4" t="n">
        <v>1</v>
      </c>
      <c r="C86" s="5" t="n">
        <f aca="false">SUMPRODUCT((MONTH('07_CALENDARIO'!$A$2:$A$397)=B86)*(YEAR('07_CALENDARIO'!$A$2:$A$397)=p_anio_base)*'07_CALENDARIO'!$D$2:$D$397)</f>
        <v>23</v>
      </c>
      <c r="D86" s="11" t="n">
        <f aca="false">p_horas_productivas_dia</f>
        <v>8</v>
      </c>
      <c r="E86" s="5" t="n">
        <f aca="false">INDEX('04_MAQUINAS'!$E$2:$E$18,MATCH(A86,'04_MAQUINAS'!$A$2:$A$18,0))</f>
        <v>1</v>
      </c>
      <c r="F86" s="11" t="n">
        <f aca="false">C86*D86*E86</f>
        <v>184</v>
      </c>
      <c r="G86" s="17" t="n">
        <f aca="false">SUMIFS('09_CARGA_ORDEN'!$J$2:$J$1153,'09_CARGA_ORDEN'!$E$2:$E$1153,A86,'09_CARGA_ORDEN'!$K$2:$K$1153,B86)</f>
        <v>10.529</v>
      </c>
      <c r="H86" s="12" t="n">
        <f aca="false">IF(F86=0,"",G86/F86)</f>
        <v>0.0572228260869565</v>
      </c>
      <c r="I86" s="2" t="s">
        <v>629</v>
      </c>
    </row>
    <row r="87" customFormat="false" ht="15" hidden="false" customHeight="false" outlineLevel="0" collapsed="false">
      <c r="A87" s="2" t="s">
        <v>402</v>
      </c>
      <c r="B87" s="4" t="n">
        <v>2</v>
      </c>
      <c r="C87" s="5" t="n">
        <f aca="false">SUMPRODUCT((MONTH('07_CALENDARIO'!$A$2:$A$397)=B87)*(YEAR('07_CALENDARIO'!$A$2:$A$397)=p_anio_base)*'07_CALENDARIO'!$D$2:$D$397)</f>
        <v>20</v>
      </c>
      <c r="D87" s="11" t="n">
        <f aca="false">p_horas_productivas_dia</f>
        <v>8</v>
      </c>
      <c r="E87" s="5" t="n">
        <f aca="false">INDEX('04_MAQUINAS'!$E$2:$E$18,MATCH(A87,'04_MAQUINAS'!$A$2:$A$18,0))</f>
        <v>1</v>
      </c>
      <c r="F87" s="11" t="n">
        <f aca="false">C87*D87*E87</f>
        <v>160</v>
      </c>
      <c r="G87" s="17" t="n">
        <f aca="false">SUMIFS('09_CARGA_ORDEN'!$J$2:$J$1153,'09_CARGA_ORDEN'!$E$2:$E$1153,A87,'09_CARGA_ORDEN'!$K$2:$K$1153,B87)</f>
        <v>10.4151666666667</v>
      </c>
      <c r="H87" s="12" t="n">
        <f aca="false">IF(F87=0,"",G87/F87)</f>
        <v>0.0650947916666667</v>
      </c>
      <c r="I87" s="2" t="s">
        <v>629</v>
      </c>
    </row>
    <row r="88" customFormat="false" ht="15" hidden="false" customHeight="false" outlineLevel="0" collapsed="false">
      <c r="A88" s="2" t="s">
        <v>402</v>
      </c>
      <c r="B88" s="4" t="n">
        <v>3</v>
      </c>
      <c r="C88" s="5" t="n">
        <f aca="false">SUMPRODUCT((MONTH('07_CALENDARIO'!$A$2:$A$397)=B88)*(YEAR('07_CALENDARIO'!$A$2:$A$397)=p_anio_base)*'07_CALENDARIO'!$D$2:$D$397)</f>
        <v>21</v>
      </c>
      <c r="D88" s="11" t="n">
        <f aca="false">p_horas_productivas_dia</f>
        <v>8</v>
      </c>
      <c r="E88" s="5" t="n">
        <f aca="false">INDEX('04_MAQUINAS'!$E$2:$E$18,MATCH(A88,'04_MAQUINAS'!$A$2:$A$18,0))</f>
        <v>1</v>
      </c>
      <c r="F88" s="11" t="n">
        <f aca="false">C88*D88*E88</f>
        <v>168</v>
      </c>
      <c r="G88" s="17" t="n">
        <f aca="false">SUMIFS('09_CARGA_ORDEN'!$J$2:$J$1153,'09_CARGA_ORDEN'!$E$2:$E$1153,A88,'09_CARGA_ORDEN'!$K$2:$K$1153,B88)</f>
        <v>10.2858333333333</v>
      </c>
      <c r="H88" s="12" t="n">
        <f aca="false">IF(F88=0,"",G88/F88)</f>
        <v>0.0612251984126984</v>
      </c>
      <c r="I88" s="2" t="s">
        <v>629</v>
      </c>
    </row>
    <row r="89" customFormat="false" ht="15" hidden="false" customHeight="false" outlineLevel="0" collapsed="false">
      <c r="A89" s="2" t="s">
        <v>402</v>
      </c>
      <c r="B89" s="4" t="n">
        <v>4</v>
      </c>
      <c r="C89" s="5" t="n">
        <f aca="false">SUMPRODUCT((MONTH('07_CALENDARIO'!$A$2:$A$397)=B89)*(YEAR('07_CALENDARIO'!$A$2:$A$397)=p_anio_base)*'07_CALENDARIO'!$D$2:$D$397)</f>
        <v>22</v>
      </c>
      <c r="D89" s="11" t="n">
        <f aca="false">p_horas_productivas_dia</f>
        <v>8</v>
      </c>
      <c r="E89" s="5" t="n">
        <f aca="false">INDEX('04_MAQUINAS'!$E$2:$E$18,MATCH(A89,'04_MAQUINAS'!$A$2:$A$18,0))</f>
        <v>1</v>
      </c>
      <c r="F89" s="11" t="n">
        <f aca="false">C89*D89*E89</f>
        <v>176</v>
      </c>
      <c r="G89" s="17" t="n">
        <f aca="false">SUMIFS('09_CARGA_ORDEN'!$J$2:$J$1153,'09_CARGA_ORDEN'!$E$2:$E$1153,A89,'09_CARGA_ORDEN'!$K$2:$K$1153,B89)</f>
        <v>10.2858333333333</v>
      </c>
      <c r="H89" s="12" t="n">
        <f aca="false">IF(F89=0,"",G89/F89)</f>
        <v>0.0584422348484849</v>
      </c>
      <c r="I89" s="2" t="s">
        <v>629</v>
      </c>
    </row>
    <row r="90" customFormat="false" ht="15" hidden="false" customHeight="false" outlineLevel="0" collapsed="false">
      <c r="A90" s="2" t="s">
        <v>402</v>
      </c>
      <c r="B90" s="4" t="n">
        <v>5</v>
      </c>
      <c r="C90" s="5" t="n">
        <f aca="false">SUMPRODUCT((MONTH('07_CALENDARIO'!$A$2:$A$397)=B90)*(YEAR('07_CALENDARIO'!$A$2:$A$397)=p_anio_base)*'07_CALENDARIO'!$D$2:$D$397)</f>
        <v>22</v>
      </c>
      <c r="D90" s="11" t="n">
        <f aca="false">p_horas_productivas_dia</f>
        <v>8</v>
      </c>
      <c r="E90" s="5" t="n">
        <f aca="false">INDEX('04_MAQUINAS'!$E$2:$E$18,MATCH(A90,'04_MAQUINAS'!$A$2:$A$18,0))</f>
        <v>1</v>
      </c>
      <c r="F90" s="11" t="n">
        <f aca="false">C90*D90*E90</f>
        <v>176</v>
      </c>
      <c r="G90" s="17" t="n">
        <f aca="false">SUMIFS('09_CARGA_ORDEN'!$J$2:$J$1153,'09_CARGA_ORDEN'!$E$2:$E$1153,A90,'09_CARGA_ORDEN'!$K$2:$K$1153,B90)</f>
        <v>10.2858333333333</v>
      </c>
      <c r="H90" s="12" t="n">
        <f aca="false">IF(F90=0,"",G90/F90)</f>
        <v>0.0584422348484849</v>
      </c>
      <c r="I90" s="2" t="s">
        <v>629</v>
      </c>
    </row>
    <row r="91" customFormat="false" ht="15" hidden="false" customHeight="false" outlineLevel="0" collapsed="false">
      <c r="A91" s="2" t="s">
        <v>402</v>
      </c>
      <c r="B91" s="4" t="n">
        <v>6</v>
      </c>
      <c r="C91" s="5" t="n">
        <f aca="false">SUMPRODUCT((MONTH('07_CALENDARIO'!$A$2:$A$397)=B91)*(YEAR('07_CALENDARIO'!$A$2:$A$397)=p_anio_base)*'07_CALENDARIO'!$D$2:$D$397)</f>
        <v>21</v>
      </c>
      <c r="D91" s="11" t="n">
        <f aca="false">p_horas_productivas_dia</f>
        <v>8</v>
      </c>
      <c r="E91" s="5" t="n">
        <f aca="false">INDEX('04_MAQUINAS'!$E$2:$E$18,MATCH(A91,'04_MAQUINAS'!$A$2:$A$18,0))</f>
        <v>1</v>
      </c>
      <c r="F91" s="11" t="n">
        <f aca="false">C91*D91*E91</f>
        <v>168</v>
      </c>
      <c r="G91" s="17" t="n">
        <f aca="false">SUMIFS('09_CARGA_ORDEN'!$J$2:$J$1153,'09_CARGA_ORDEN'!$E$2:$E$1153,A91,'09_CARGA_ORDEN'!$K$2:$K$1153,B91)</f>
        <v>12.1341666666667</v>
      </c>
      <c r="H91" s="12" t="n">
        <f aca="false">IF(F91=0,"",G91/F91)</f>
        <v>0.0722271825396826</v>
      </c>
      <c r="I91" s="2" t="s">
        <v>629</v>
      </c>
    </row>
    <row r="92" customFormat="false" ht="15" hidden="false" customHeight="false" outlineLevel="0" collapsed="false">
      <c r="A92" s="2" t="s">
        <v>402</v>
      </c>
      <c r="B92" s="4" t="n">
        <v>7</v>
      </c>
      <c r="C92" s="5" t="n">
        <f aca="false">SUMPRODUCT((MONTH('07_CALENDARIO'!$A$2:$A$397)=B92)*(YEAR('07_CALENDARIO'!$A$2:$A$397)=p_anio_base)*'07_CALENDARIO'!$D$2:$D$397)</f>
        <v>23</v>
      </c>
      <c r="D92" s="11" t="n">
        <f aca="false">p_horas_productivas_dia</f>
        <v>8</v>
      </c>
      <c r="E92" s="5" t="n">
        <f aca="false">INDEX('04_MAQUINAS'!$E$2:$E$18,MATCH(A92,'04_MAQUINAS'!$A$2:$A$18,0))</f>
        <v>1</v>
      </c>
      <c r="F92" s="11" t="n">
        <f aca="false">C92*D92*E92</f>
        <v>184</v>
      </c>
      <c r="G92" s="17" t="n">
        <f aca="false">SUMIFS('09_CARGA_ORDEN'!$J$2:$J$1153,'09_CARGA_ORDEN'!$E$2:$E$1153,A92,'09_CARGA_ORDEN'!$K$2:$K$1153,B92)</f>
        <v>12.0245</v>
      </c>
      <c r="H92" s="12" t="n">
        <f aca="false">IF(F92=0,"",G92/F92)</f>
        <v>0.0653505434782609</v>
      </c>
      <c r="I92" s="2" t="s">
        <v>629</v>
      </c>
    </row>
    <row r="93" customFormat="false" ht="15" hidden="false" customHeight="false" outlineLevel="0" collapsed="false">
      <c r="A93" s="2" t="s">
        <v>402</v>
      </c>
      <c r="B93" s="4" t="n">
        <v>8</v>
      </c>
      <c r="C93" s="5" t="n">
        <f aca="false">SUMPRODUCT((MONTH('07_CALENDARIO'!$A$2:$A$397)=B93)*(YEAR('07_CALENDARIO'!$A$2:$A$397)=p_anio_base)*'07_CALENDARIO'!$D$2:$D$397)</f>
        <v>21</v>
      </c>
      <c r="D93" s="11" t="n">
        <f aca="false">p_horas_productivas_dia</f>
        <v>8</v>
      </c>
      <c r="E93" s="5" t="n">
        <f aca="false">INDEX('04_MAQUINAS'!$E$2:$E$18,MATCH(A93,'04_MAQUINAS'!$A$2:$A$18,0))</f>
        <v>1</v>
      </c>
      <c r="F93" s="11" t="n">
        <f aca="false">C93*D93*E93</f>
        <v>168</v>
      </c>
      <c r="G93" s="17" t="n">
        <f aca="false">SUMIFS('09_CARGA_ORDEN'!$J$2:$J$1153,'09_CARGA_ORDEN'!$E$2:$E$1153,A93,'09_CARGA_ORDEN'!$K$2:$K$1153,B93)</f>
        <v>12.0245</v>
      </c>
      <c r="H93" s="12" t="n">
        <f aca="false">IF(F93=0,"",G93/F93)</f>
        <v>0.0715744047619048</v>
      </c>
      <c r="I93" s="2" t="s">
        <v>629</v>
      </c>
    </row>
    <row r="94" customFormat="false" ht="15" hidden="false" customHeight="false" outlineLevel="0" collapsed="false">
      <c r="A94" s="2" t="s">
        <v>402</v>
      </c>
      <c r="B94" s="4" t="n">
        <v>9</v>
      </c>
      <c r="C94" s="5" t="n">
        <f aca="false">SUMPRODUCT((MONTH('07_CALENDARIO'!$A$2:$A$397)=B94)*(YEAR('07_CALENDARIO'!$A$2:$A$397)=p_anio_base)*'07_CALENDARIO'!$D$2:$D$397)</f>
        <v>22</v>
      </c>
      <c r="D94" s="11" t="n">
        <f aca="false">p_horas_productivas_dia</f>
        <v>8</v>
      </c>
      <c r="E94" s="5" t="n">
        <f aca="false">INDEX('04_MAQUINAS'!$E$2:$E$18,MATCH(A94,'04_MAQUINAS'!$A$2:$A$18,0))</f>
        <v>1</v>
      </c>
      <c r="F94" s="11" t="n">
        <f aca="false">C94*D94*E94</f>
        <v>176</v>
      </c>
      <c r="G94" s="17" t="n">
        <f aca="false">SUMIFS('09_CARGA_ORDEN'!$J$2:$J$1153,'09_CARGA_ORDEN'!$E$2:$E$1153,A94,'09_CARGA_ORDEN'!$K$2:$K$1153,B94)</f>
        <v>10.2858333333333</v>
      </c>
      <c r="H94" s="12" t="n">
        <f aca="false">IF(F94=0,"",G94/F94)</f>
        <v>0.0584422348484849</v>
      </c>
      <c r="I94" s="2" t="s">
        <v>629</v>
      </c>
    </row>
    <row r="95" customFormat="false" ht="15" hidden="false" customHeight="false" outlineLevel="0" collapsed="false">
      <c r="A95" s="2" t="s">
        <v>402</v>
      </c>
      <c r="B95" s="4" t="n">
        <v>10</v>
      </c>
      <c r="C95" s="5" t="n">
        <f aca="false">SUMPRODUCT((MONTH('07_CALENDARIO'!$A$2:$A$397)=B95)*(YEAR('07_CALENDARIO'!$A$2:$A$397)=p_anio_base)*'07_CALENDARIO'!$D$2:$D$397)</f>
        <v>23</v>
      </c>
      <c r="D95" s="11" t="n">
        <f aca="false">p_horas_productivas_dia</f>
        <v>8</v>
      </c>
      <c r="E95" s="5" t="n">
        <f aca="false">INDEX('04_MAQUINAS'!$E$2:$E$18,MATCH(A95,'04_MAQUINAS'!$A$2:$A$18,0))</f>
        <v>1</v>
      </c>
      <c r="F95" s="11" t="n">
        <f aca="false">C95*D95*E95</f>
        <v>184</v>
      </c>
      <c r="G95" s="17" t="n">
        <f aca="false">SUMIFS('09_CARGA_ORDEN'!$J$2:$J$1153,'09_CARGA_ORDEN'!$E$2:$E$1153,A95,'09_CARGA_ORDEN'!$K$2:$K$1153,B95)</f>
        <v>10.2858333333333</v>
      </c>
      <c r="H95" s="12" t="n">
        <f aca="false">IF(F95=0,"",G95/F95)</f>
        <v>0.055901268115942</v>
      </c>
      <c r="I95" s="2" t="s">
        <v>629</v>
      </c>
    </row>
    <row r="96" customFormat="false" ht="15" hidden="false" customHeight="false" outlineLevel="0" collapsed="false">
      <c r="A96" s="2" t="s">
        <v>402</v>
      </c>
      <c r="B96" s="4" t="n">
        <v>11</v>
      </c>
      <c r="C96" s="5" t="n">
        <f aca="false">SUMPRODUCT((MONTH('07_CALENDARIO'!$A$2:$A$397)=B96)*(YEAR('07_CALENDARIO'!$A$2:$A$397)=p_anio_base)*'07_CALENDARIO'!$D$2:$D$397)</f>
        <v>20</v>
      </c>
      <c r="D96" s="11" t="n">
        <f aca="false">p_horas_productivas_dia</f>
        <v>8</v>
      </c>
      <c r="E96" s="5" t="n">
        <f aca="false">INDEX('04_MAQUINAS'!$E$2:$E$18,MATCH(A96,'04_MAQUINAS'!$A$2:$A$18,0))</f>
        <v>1</v>
      </c>
      <c r="F96" s="11" t="n">
        <f aca="false">C96*D96*E96</f>
        <v>160</v>
      </c>
      <c r="G96" s="17" t="n">
        <f aca="false">SUMIFS('09_CARGA_ORDEN'!$J$2:$J$1153,'09_CARGA_ORDEN'!$E$2:$E$1153,A96,'09_CARGA_ORDEN'!$K$2:$K$1153,B96)</f>
        <v>10.1521666666667</v>
      </c>
      <c r="H96" s="12" t="n">
        <f aca="false">IF(F96=0,"",G96/F96)</f>
        <v>0.0634510416666667</v>
      </c>
      <c r="I96" s="2" t="s">
        <v>629</v>
      </c>
    </row>
    <row r="97" customFormat="false" ht="15" hidden="false" customHeight="false" outlineLevel="0" collapsed="false">
      <c r="A97" s="2" t="s">
        <v>402</v>
      </c>
      <c r="B97" s="4" t="n">
        <v>12</v>
      </c>
      <c r="C97" s="5" t="n">
        <f aca="false">SUMPRODUCT((MONTH('07_CALENDARIO'!$A$2:$A$397)=B97)*(YEAR('07_CALENDARIO'!$A$2:$A$397)=p_anio_base)*'07_CALENDARIO'!$D$2:$D$397)</f>
        <v>23</v>
      </c>
      <c r="D97" s="11" t="n">
        <f aca="false">p_horas_productivas_dia</f>
        <v>8</v>
      </c>
      <c r="E97" s="5" t="n">
        <f aca="false">INDEX('04_MAQUINAS'!$E$2:$E$18,MATCH(A97,'04_MAQUINAS'!$A$2:$A$18,0))</f>
        <v>1</v>
      </c>
      <c r="F97" s="11" t="n">
        <f aca="false">C97*D97*E97</f>
        <v>184</v>
      </c>
      <c r="G97" s="17" t="n">
        <f aca="false">SUMIFS('09_CARGA_ORDEN'!$J$2:$J$1153,'09_CARGA_ORDEN'!$E$2:$E$1153,A97,'09_CARGA_ORDEN'!$K$2:$K$1153,B97)</f>
        <v>10.1521666666667</v>
      </c>
      <c r="H97" s="12" t="n">
        <f aca="false">IF(F97=0,"",G97/F97)</f>
        <v>0.0551748188405797</v>
      </c>
      <c r="I97" s="2" t="s">
        <v>629</v>
      </c>
    </row>
    <row r="98" customFormat="false" ht="15" hidden="false" customHeight="false" outlineLevel="0" collapsed="false">
      <c r="A98" s="2" t="s">
        <v>406</v>
      </c>
      <c r="B98" s="4" t="n">
        <v>1</v>
      </c>
      <c r="C98" s="5" t="n">
        <f aca="false">SUMPRODUCT((MONTH('07_CALENDARIO'!$A$2:$A$397)=B98)*(YEAR('07_CALENDARIO'!$A$2:$A$397)=p_anio_base)*'07_CALENDARIO'!$D$2:$D$397)</f>
        <v>23</v>
      </c>
      <c r="D98" s="11" t="n">
        <f aca="false">p_horas_productivas_dia</f>
        <v>8</v>
      </c>
      <c r="E98" s="5" t="n">
        <f aca="false">INDEX('04_MAQUINAS'!$E$2:$E$18,MATCH(A98,'04_MAQUINAS'!$A$2:$A$18,0))</f>
        <v>1</v>
      </c>
      <c r="F98" s="11" t="n">
        <f aca="false">C98*D98*E98</f>
        <v>184</v>
      </c>
      <c r="G98" s="17" t="n">
        <f aca="false">SUMIFS('09_CARGA_ORDEN'!$J$2:$J$1153,'09_CARGA_ORDEN'!$E$2:$E$1153,A98,'09_CARGA_ORDEN'!$K$2:$K$1153,B98)</f>
        <v>63.7625</v>
      </c>
      <c r="H98" s="12" t="n">
        <f aca="false">IF(F98=0,"",G98/F98)</f>
        <v>0.346535326086957</v>
      </c>
      <c r="I98" s="2" t="s">
        <v>629</v>
      </c>
    </row>
    <row r="99" customFormat="false" ht="15" hidden="false" customHeight="false" outlineLevel="0" collapsed="false">
      <c r="A99" s="2" t="s">
        <v>406</v>
      </c>
      <c r="B99" s="4" t="n">
        <v>2</v>
      </c>
      <c r="C99" s="5" t="n">
        <f aca="false">SUMPRODUCT((MONTH('07_CALENDARIO'!$A$2:$A$397)=B99)*(YEAR('07_CALENDARIO'!$A$2:$A$397)=p_anio_base)*'07_CALENDARIO'!$D$2:$D$397)</f>
        <v>20</v>
      </c>
      <c r="D99" s="11" t="n">
        <f aca="false">p_horas_productivas_dia</f>
        <v>8</v>
      </c>
      <c r="E99" s="5" t="n">
        <f aca="false">INDEX('04_MAQUINAS'!$E$2:$E$18,MATCH(A99,'04_MAQUINAS'!$A$2:$A$18,0))</f>
        <v>1</v>
      </c>
      <c r="F99" s="11" t="n">
        <f aca="false">C99*D99*E99</f>
        <v>160</v>
      </c>
      <c r="G99" s="17" t="n">
        <f aca="false">SUMIFS('09_CARGA_ORDEN'!$J$2:$J$1153,'09_CARGA_ORDEN'!$E$2:$E$1153,A99,'09_CARGA_ORDEN'!$K$2:$K$1153,B99)</f>
        <v>63.0625</v>
      </c>
      <c r="H99" s="12" t="n">
        <f aca="false">IF(F99=0,"",G99/F99)</f>
        <v>0.394140625</v>
      </c>
      <c r="I99" s="2" t="s">
        <v>629</v>
      </c>
    </row>
    <row r="100" customFormat="false" ht="15" hidden="false" customHeight="false" outlineLevel="0" collapsed="false">
      <c r="A100" s="2" t="s">
        <v>406</v>
      </c>
      <c r="B100" s="4" t="n">
        <v>3</v>
      </c>
      <c r="C100" s="5" t="n">
        <f aca="false">SUMPRODUCT((MONTH('07_CALENDARIO'!$A$2:$A$397)=B100)*(YEAR('07_CALENDARIO'!$A$2:$A$397)=p_anio_base)*'07_CALENDARIO'!$D$2:$D$397)</f>
        <v>21</v>
      </c>
      <c r="D100" s="11" t="n">
        <f aca="false">p_horas_productivas_dia</f>
        <v>8</v>
      </c>
      <c r="E100" s="5" t="n">
        <f aca="false">INDEX('04_MAQUINAS'!$E$2:$E$18,MATCH(A100,'04_MAQUINAS'!$A$2:$A$18,0))</f>
        <v>1</v>
      </c>
      <c r="F100" s="11" t="n">
        <f aca="false">C100*D100*E100</f>
        <v>168</v>
      </c>
      <c r="G100" s="17" t="n">
        <f aca="false">SUMIFS('09_CARGA_ORDEN'!$J$2:$J$1153,'09_CARGA_ORDEN'!$E$2:$E$1153,A100,'09_CARGA_ORDEN'!$K$2:$K$1153,B100)</f>
        <v>61.9125</v>
      </c>
      <c r="H100" s="12" t="n">
        <f aca="false">IF(F100=0,"",G100/F100)</f>
        <v>0.368526785714286</v>
      </c>
      <c r="I100" s="2" t="s">
        <v>629</v>
      </c>
    </row>
    <row r="101" customFormat="false" ht="15" hidden="false" customHeight="false" outlineLevel="0" collapsed="false">
      <c r="A101" s="2" t="s">
        <v>406</v>
      </c>
      <c r="B101" s="4" t="n">
        <v>4</v>
      </c>
      <c r="C101" s="5" t="n">
        <f aca="false">SUMPRODUCT((MONTH('07_CALENDARIO'!$A$2:$A$397)=B101)*(YEAR('07_CALENDARIO'!$A$2:$A$397)=p_anio_base)*'07_CALENDARIO'!$D$2:$D$397)</f>
        <v>22</v>
      </c>
      <c r="D101" s="11" t="n">
        <f aca="false">p_horas_productivas_dia</f>
        <v>8</v>
      </c>
      <c r="E101" s="5" t="n">
        <f aca="false">INDEX('04_MAQUINAS'!$E$2:$E$18,MATCH(A101,'04_MAQUINAS'!$A$2:$A$18,0))</f>
        <v>1</v>
      </c>
      <c r="F101" s="11" t="n">
        <f aca="false">C101*D101*E101</f>
        <v>176</v>
      </c>
      <c r="G101" s="17" t="n">
        <f aca="false">SUMIFS('09_CARGA_ORDEN'!$J$2:$J$1153,'09_CARGA_ORDEN'!$E$2:$E$1153,A101,'09_CARGA_ORDEN'!$K$2:$K$1153,B101)</f>
        <v>61.9125</v>
      </c>
      <c r="H101" s="12" t="n">
        <f aca="false">IF(F101=0,"",G101/F101)</f>
        <v>0.351775568181818</v>
      </c>
      <c r="I101" s="2" t="s">
        <v>629</v>
      </c>
    </row>
    <row r="102" customFormat="false" ht="15" hidden="false" customHeight="false" outlineLevel="0" collapsed="false">
      <c r="A102" s="2" t="s">
        <v>406</v>
      </c>
      <c r="B102" s="4" t="n">
        <v>5</v>
      </c>
      <c r="C102" s="5" t="n">
        <f aca="false">SUMPRODUCT((MONTH('07_CALENDARIO'!$A$2:$A$397)=B102)*(YEAR('07_CALENDARIO'!$A$2:$A$397)=p_anio_base)*'07_CALENDARIO'!$D$2:$D$397)</f>
        <v>22</v>
      </c>
      <c r="D102" s="11" t="n">
        <f aca="false">p_horas_productivas_dia</f>
        <v>8</v>
      </c>
      <c r="E102" s="5" t="n">
        <f aca="false">INDEX('04_MAQUINAS'!$E$2:$E$18,MATCH(A102,'04_MAQUINAS'!$A$2:$A$18,0))</f>
        <v>1</v>
      </c>
      <c r="F102" s="11" t="n">
        <f aca="false">C102*D102*E102</f>
        <v>176</v>
      </c>
      <c r="G102" s="17" t="n">
        <f aca="false">SUMIFS('09_CARGA_ORDEN'!$J$2:$J$1153,'09_CARGA_ORDEN'!$E$2:$E$1153,A102,'09_CARGA_ORDEN'!$K$2:$K$1153,B102)</f>
        <v>61.9125</v>
      </c>
      <c r="H102" s="12" t="n">
        <f aca="false">IF(F102=0,"",G102/F102)</f>
        <v>0.351775568181818</v>
      </c>
      <c r="I102" s="2" t="s">
        <v>629</v>
      </c>
    </row>
    <row r="103" customFormat="false" ht="15" hidden="false" customHeight="false" outlineLevel="0" collapsed="false">
      <c r="A103" s="2" t="s">
        <v>406</v>
      </c>
      <c r="B103" s="4" t="n">
        <v>6</v>
      </c>
      <c r="C103" s="5" t="n">
        <f aca="false">SUMPRODUCT((MONTH('07_CALENDARIO'!$A$2:$A$397)=B103)*(YEAR('07_CALENDARIO'!$A$2:$A$397)=p_anio_base)*'07_CALENDARIO'!$D$2:$D$397)</f>
        <v>21</v>
      </c>
      <c r="D103" s="11" t="n">
        <f aca="false">p_horas_productivas_dia</f>
        <v>8</v>
      </c>
      <c r="E103" s="5" t="n">
        <f aca="false">INDEX('04_MAQUINAS'!$E$2:$E$18,MATCH(A103,'04_MAQUINAS'!$A$2:$A$18,0))</f>
        <v>1</v>
      </c>
      <c r="F103" s="11" t="n">
        <f aca="false">C103*D103*E103</f>
        <v>168</v>
      </c>
      <c r="G103" s="17" t="n">
        <f aca="false">SUMIFS('09_CARGA_ORDEN'!$J$2:$J$1153,'09_CARGA_ORDEN'!$E$2:$E$1153,A103,'09_CARGA_ORDEN'!$K$2:$K$1153,B103)</f>
        <v>72.8875</v>
      </c>
      <c r="H103" s="12" t="n">
        <f aca="false">IF(F103=0,"",G103/F103)</f>
        <v>0.433854166666667</v>
      </c>
      <c r="I103" s="2" t="s">
        <v>629</v>
      </c>
    </row>
    <row r="104" customFormat="false" ht="15" hidden="false" customHeight="false" outlineLevel="0" collapsed="false">
      <c r="A104" s="2" t="s">
        <v>406</v>
      </c>
      <c r="B104" s="4" t="n">
        <v>7</v>
      </c>
      <c r="C104" s="5" t="n">
        <f aca="false">SUMPRODUCT((MONTH('07_CALENDARIO'!$A$2:$A$397)=B104)*(YEAR('07_CALENDARIO'!$A$2:$A$397)=p_anio_base)*'07_CALENDARIO'!$D$2:$D$397)</f>
        <v>23</v>
      </c>
      <c r="D104" s="11" t="n">
        <f aca="false">p_horas_productivas_dia</f>
        <v>8</v>
      </c>
      <c r="E104" s="5" t="n">
        <f aca="false">INDEX('04_MAQUINAS'!$E$2:$E$18,MATCH(A104,'04_MAQUINAS'!$A$2:$A$18,0))</f>
        <v>1</v>
      </c>
      <c r="F104" s="11" t="n">
        <f aca="false">C104*D104*E104</f>
        <v>184</v>
      </c>
      <c r="G104" s="17" t="n">
        <f aca="false">SUMIFS('09_CARGA_ORDEN'!$J$2:$J$1153,'09_CARGA_ORDEN'!$E$2:$E$1153,A104,'09_CARGA_ORDEN'!$K$2:$K$1153,B104)</f>
        <v>72.4375</v>
      </c>
      <c r="H104" s="12" t="n">
        <f aca="false">IF(F104=0,"",G104/F104)</f>
        <v>0.393682065217391</v>
      </c>
      <c r="I104" s="2" t="s">
        <v>629</v>
      </c>
    </row>
    <row r="105" customFormat="false" ht="15" hidden="false" customHeight="false" outlineLevel="0" collapsed="false">
      <c r="A105" s="2" t="s">
        <v>406</v>
      </c>
      <c r="B105" s="4" t="n">
        <v>8</v>
      </c>
      <c r="C105" s="5" t="n">
        <f aca="false">SUMPRODUCT((MONTH('07_CALENDARIO'!$A$2:$A$397)=B105)*(YEAR('07_CALENDARIO'!$A$2:$A$397)=p_anio_base)*'07_CALENDARIO'!$D$2:$D$397)</f>
        <v>21</v>
      </c>
      <c r="D105" s="11" t="n">
        <f aca="false">p_horas_productivas_dia</f>
        <v>8</v>
      </c>
      <c r="E105" s="5" t="n">
        <f aca="false">INDEX('04_MAQUINAS'!$E$2:$E$18,MATCH(A105,'04_MAQUINAS'!$A$2:$A$18,0))</f>
        <v>1</v>
      </c>
      <c r="F105" s="11" t="n">
        <f aca="false">C105*D105*E105</f>
        <v>168</v>
      </c>
      <c r="G105" s="17" t="n">
        <f aca="false">SUMIFS('09_CARGA_ORDEN'!$J$2:$J$1153,'09_CARGA_ORDEN'!$E$2:$E$1153,A105,'09_CARGA_ORDEN'!$K$2:$K$1153,B105)</f>
        <v>72.4375</v>
      </c>
      <c r="H105" s="12" t="n">
        <f aca="false">IF(F105=0,"",G105/F105)</f>
        <v>0.431175595238095</v>
      </c>
      <c r="I105" s="2" t="s">
        <v>629</v>
      </c>
    </row>
    <row r="106" customFormat="false" ht="15" hidden="false" customHeight="false" outlineLevel="0" collapsed="false">
      <c r="A106" s="2" t="s">
        <v>406</v>
      </c>
      <c r="B106" s="4" t="n">
        <v>9</v>
      </c>
      <c r="C106" s="5" t="n">
        <f aca="false">SUMPRODUCT((MONTH('07_CALENDARIO'!$A$2:$A$397)=B106)*(YEAR('07_CALENDARIO'!$A$2:$A$397)=p_anio_base)*'07_CALENDARIO'!$D$2:$D$397)</f>
        <v>22</v>
      </c>
      <c r="D106" s="11" t="n">
        <f aca="false">p_horas_productivas_dia</f>
        <v>8</v>
      </c>
      <c r="E106" s="5" t="n">
        <f aca="false">INDEX('04_MAQUINAS'!$E$2:$E$18,MATCH(A106,'04_MAQUINAS'!$A$2:$A$18,0))</f>
        <v>1</v>
      </c>
      <c r="F106" s="11" t="n">
        <f aca="false">C106*D106*E106</f>
        <v>176</v>
      </c>
      <c r="G106" s="17" t="n">
        <f aca="false">SUMIFS('09_CARGA_ORDEN'!$J$2:$J$1153,'09_CARGA_ORDEN'!$E$2:$E$1153,A106,'09_CARGA_ORDEN'!$K$2:$K$1153,B106)</f>
        <v>61.9125</v>
      </c>
      <c r="H106" s="12" t="n">
        <f aca="false">IF(F106=0,"",G106/F106)</f>
        <v>0.351775568181818</v>
      </c>
      <c r="I106" s="2" t="s">
        <v>629</v>
      </c>
    </row>
    <row r="107" customFormat="false" ht="15" hidden="false" customHeight="false" outlineLevel="0" collapsed="false">
      <c r="A107" s="2" t="s">
        <v>406</v>
      </c>
      <c r="B107" s="4" t="n">
        <v>10</v>
      </c>
      <c r="C107" s="5" t="n">
        <f aca="false">SUMPRODUCT((MONTH('07_CALENDARIO'!$A$2:$A$397)=B107)*(YEAR('07_CALENDARIO'!$A$2:$A$397)=p_anio_base)*'07_CALENDARIO'!$D$2:$D$397)</f>
        <v>23</v>
      </c>
      <c r="D107" s="11" t="n">
        <f aca="false">p_horas_productivas_dia</f>
        <v>8</v>
      </c>
      <c r="E107" s="5" t="n">
        <f aca="false">INDEX('04_MAQUINAS'!$E$2:$E$18,MATCH(A107,'04_MAQUINAS'!$A$2:$A$18,0))</f>
        <v>1</v>
      </c>
      <c r="F107" s="11" t="n">
        <f aca="false">C107*D107*E107</f>
        <v>184</v>
      </c>
      <c r="G107" s="17" t="n">
        <f aca="false">SUMIFS('09_CARGA_ORDEN'!$J$2:$J$1153,'09_CARGA_ORDEN'!$E$2:$E$1153,A107,'09_CARGA_ORDEN'!$K$2:$K$1153,B107)</f>
        <v>61.9125</v>
      </c>
      <c r="H107" s="12" t="n">
        <f aca="false">IF(F107=0,"",G107/F107)</f>
        <v>0.33648097826087</v>
      </c>
      <c r="I107" s="2" t="s">
        <v>629</v>
      </c>
    </row>
    <row r="108" customFormat="false" ht="15" hidden="false" customHeight="false" outlineLevel="0" collapsed="false">
      <c r="A108" s="2" t="s">
        <v>406</v>
      </c>
      <c r="B108" s="4" t="n">
        <v>11</v>
      </c>
      <c r="C108" s="5" t="n">
        <f aca="false">SUMPRODUCT((MONTH('07_CALENDARIO'!$A$2:$A$397)=B108)*(YEAR('07_CALENDARIO'!$A$2:$A$397)=p_anio_base)*'07_CALENDARIO'!$D$2:$D$397)</f>
        <v>20</v>
      </c>
      <c r="D108" s="11" t="n">
        <f aca="false">p_horas_productivas_dia</f>
        <v>8</v>
      </c>
      <c r="E108" s="5" t="n">
        <f aca="false">INDEX('04_MAQUINAS'!$E$2:$E$18,MATCH(A108,'04_MAQUINAS'!$A$2:$A$18,0))</f>
        <v>1</v>
      </c>
      <c r="F108" s="11" t="n">
        <f aca="false">C108*D108*E108</f>
        <v>160</v>
      </c>
      <c r="G108" s="17" t="n">
        <f aca="false">SUMIFS('09_CARGA_ORDEN'!$J$2:$J$1153,'09_CARGA_ORDEN'!$E$2:$E$1153,A108,'09_CARGA_ORDEN'!$K$2:$K$1153,B108)</f>
        <v>60.9125</v>
      </c>
      <c r="H108" s="12" t="n">
        <f aca="false">IF(F108=0,"",G108/F108)</f>
        <v>0.380703125</v>
      </c>
      <c r="I108" s="2" t="s">
        <v>629</v>
      </c>
    </row>
    <row r="109" customFormat="false" ht="15" hidden="false" customHeight="false" outlineLevel="0" collapsed="false">
      <c r="A109" s="2" t="s">
        <v>406</v>
      </c>
      <c r="B109" s="4" t="n">
        <v>12</v>
      </c>
      <c r="C109" s="5" t="n">
        <f aca="false">SUMPRODUCT((MONTH('07_CALENDARIO'!$A$2:$A$397)=B109)*(YEAR('07_CALENDARIO'!$A$2:$A$397)=p_anio_base)*'07_CALENDARIO'!$D$2:$D$397)</f>
        <v>23</v>
      </c>
      <c r="D109" s="11" t="n">
        <f aca="false">p_horas_productivas_dia</f>
        <v>8</v>
      </c>
      <c r="E109" s="5" t="n">
        <f aca="false">INDEX('04_MAQUINAS'!$E$2:$E$18,MATCH(A109,'04_MAQUINAS'!$A$2:$A$18,0))</f>
        <v>1</v>
      </c>
      <c r="F109" s="11" t="n">
        <f aca="false">C109*D109*E109</f>
        <v>184</v>
      </c>
      <c r="G109" s="17" t="n">
        <f aca="false">SUMIFS('09_CARGA_ORDEN'!$J$2:$J$1153,'09_CARGA_ORDEN'!$E$2:$E$1153,A109,'09_CARGA_ORDEN'!$K$2:$K$1153,B109)</f>
        <v>60.9125</v>
      </c>
      <c r="H109" s="12" t="n">
        <f aca="false">IF(F109=0,"",G109/F109)</f>
        <v>0.331046195652174</v>
      </c>
      <c r="I109" s="2" t="s">
        <v>629</v>
      </c>
    </row>
    <row r="110" customFormat="false" ht="15" hidden="false" customHeight="false" outlineLevel="0" collapsed="false">
      <c r="A110" s="2" t="s">
        <v>408</v>
      </c>
      <c r="B110" s="4" t="n">
        <v>1</v>
      </c>
      <c r="C110" s="5" t="n">
        <f aca="false">SUMPRODUCT((MONTH('07_CALENDARIO'!$A$2:$A$397)=B110)*(YEAR('07_CALENDARIO'!$A$2:$A$397)=p_anio_base)*'07_CALENDARIO'!$D$2:$D$397)</f>
        <v>23</v>
      </c>
      <c r="D110" s="11" t="n">
        <f aca="false">p_horas_productivas_dia</f>
        <v>8</v>
      </c>
      <c r="E110" s="5" t="n">
        <f aca="false">INDEX('04_MAQUINAS'!$E$2:$E$18,MATCH(A110,'04_MAQUINAS'!$A$2:$A$18,0))</f>
        <v>1</v>
      </c>
      <c r="F110" s="11" t="n">
        <f aca="false">C110*D110*E110</f>
        <v>184</v>
      </c>
      <c r="G110" s="17" t="n">
        <f aca="false">SUMIFS('09_CARGA_ORDEN'!$J$2:$J$1153,'09_CARGA_ORDEN'!$E$2:$E$1153,A110,'09_CARGA_ORDEN'!$K$2:$K$1153,B110)</f>
        <v>4.60166666666667</v>
      </c>
      <c r="H110" s="12" t="n">
        <f aca="false">IF(F110=0,"",G110/F110)</f>
        <v>0.0250090579710145</v>
      </c>
      <c r="I110" s="2" t="s">
        <v>629</v>
      </c>
    </row>
    <row r="111" customFormat="false" ht="15" hidden="false" customHeight="false" outlineLevel="0" collapsed="false">
      <c r="A111" s="2" t="s">
        <v>408</v>
      </c>
      <c r="B111" s="4" t="n">
        <v>2</v>
      </c>
      <c r="C111" s="5" t="n">
        <f aca="false">SUMPRODUCT((MONTH('07_CALENDARIO'!$A$2:$A$397)=B111)*(YEAR('07_CALENDARIO'!$A$2:$A$397)=p_anio_base)*'07_CALENDARIO'!$D$2:$D$397)</f>
        <v>20</v>
      </c>
      <c r="D111" s="11" t="n">
        <f aca="false">p_horas_productivas_dia</f>
        <v>8</v>
      </c>
      <c r="E111" s="5" t="n">
        <f aca="false">INDEX('04_MAQUINAS'!$E$2:$E$18,MATCH(A111,'04_MAQUINAS'!$A$2:$A$18,0))</f>
        <v>1</v>
      </c>
      <c r="F111" s="11" t="n">
        <f aca="false">C111*D111*E111</f>
        <v>160</v>
      </c>
      <c r="G111" s="17" t="n">
        <f aca="false">SUMIFS('09_CARGA_ORDEN'!$J$2:$J$1153,'09_CARGA_ORDEN'!$E$2:$E$1153,A111,'09_CARGA_ORDEN'!$K$2:$K$1153,B111)</f>
        <v>4.543</v>
      </c>
      <c r="H111" s="12" t="n">
        <f aca="false">IF(F111=0,"",G111/F111)</f>
        <v>0.02839375</v>
      </c>
      <c r="I111" s="2" t="s">
        <v>629</v>
      </c>
    </row>
    <row r="112" customFormat="false" ht="15" hidden="false" customHeight="false" outlineLevel="0" collapsed="false">
      <c r="A112" s="2" t="s">
        <v>408</v>
      </c>
      <c r="B112" s="4" t="n">
        <v>3</v>
      </c>
      <c r="C112" s="5" t="n">
        <f aca="false">SUMPRODUCT((MONTH('07_CALENDARIO'!$A$2:$A$397)=B112)*(YEAR('07_CALENDARIO'!$A$2:$A$397)=p_anio_base)*'07_CALENDARIO'!$D$2:$D$397)</f>
        <v>21</v>
      </c>
      <c r="D112" s="11" t="n">
        <f aca="false">p_horas_productivas_dia</f>
        <v>8</v>
      </c>
      <c r="E112" s="5" t="n">
        <f aca="false">INDEX('04_MAQUINAS'!$E$2:$E$18,MATCH(A112,'04_MAQUINAS'!$A$2:$A$18,0))</f>
        <v>1</v>
      </c>
      <c r="F112" s="11" t="n">
        <f aca="false">C112*D112*E112</f>
        <v>168</v>
      </c>
      <c r="G112" s="17" t="n">
        <f aca="false">SUMIFS('09_CARGA_ORDEN'!$J$2:$J$1153,'09_CARGA_ORDEN'!$E$2:$E$1153,A112,'09_CARGA_ORDEN'!$K$2:$K$1153,B112)</f>
        <v>4.47983333333333</v>
      </c>
      <c r="H112" s="12" t="n">
        <f aca="false">IF(F112=0,"",G112/F112)</f>
        <v>0.0266656746031746</v>
      </c>
      <c r="I112" s="2" t="s">
        <v>629</v>
      </c>
    </row>
    <row r="113" customFormat="false" ht="15" hidden="false" customHeight="false" outlineLevel="0" collapsed="false">
      <c r="A113" s="2" t="s">
        <v>408</v>
      </c>
      <c r="B113" s="4" t="n">
        <v>4</v>
      </c>
      <c r="C113" s="5" t="n">
        <f aca="false">SUMPRODUCT((MONTH('07_CALENDARIO'!$A$2:$A$397)=B113)*(YEAR('07_CALENDARIO'!$A$2:$A$397)=p_anio_base)*'07_CALENDARIO'!$D$2:$D$397)</f>
        <v>22</v>
      </c>
      <c r="D113" s="11" t="n">
        <f aca="false">p_horas_productivas_dia</f>
        <v>8</v>
      </c>
      <c r="E113" s="5" t="n">
        <f aca="false">INDEX('04_MAQUINAS'!$E$2:$E$18,MATCH(A113,'04_MAQUINAS'!$A$2:$A$18,0))</f>
        <v>1</v>
      </c>
      <c r="F113" s="11" t="n">
        <f aca="false">C113*D113*E113</f>
        <v>176</v>
      </c>
      <c r="G113" s="17" t="n">
        <f aca="false">SUMIFS('09_CARGA_ORDEN'!$J$2:$J$1153,'09_CARGA_ORDEN'!$E$2:$E$1153,A113,'09_CARGA_ORDEN'!$K$2:$K$1153,B113)</f>
        <v>4.47983333333333</v>
      </c>
      <c r="H113" s="12" t="n">
        <f aca="false">IF(F113=0,"",G113/F113)</f>
        <v>0.0254535984848485</v>
      </c>
      <c r="I113" s="2" t="s">
        <v>629</v>
      </c>
    </row>
    <row r="114" customFormat="false" ht="15" hidden="false" customHeight="false" outlineLevel="0" collapsed="false">
      <c r="A114" s="2" t="s">
        <v>408</v>
      </c>
      <c r="B114" s="4" t="n">
        <v>5</v>
      </c>
      <c r="C114" s="5" t="n">
        <f aca="false">SUMPRODUCT((MONTH('07_CALENDARIO'!$A$2:$A$397)=B114)*(YEAR('07_CALENDARIO'!$A$2:$A$397)=p_anio_base)*'07_CALENDARIO'!$D$2:$D$397)</f>
        <v>22</v>
      </c>
      <c r="D114" s="11" t="n">
        <f aca="false">p_horas_productivas_dia</f>
        <v>8</v>
      </c>
      <c r="E114" s="5" t="n">
        <f aca="false">INDEX('04_MAQUINAS'!$E$2:$E$18,MATCH(A114,'04_MAQUINAS'!$A$2:$A$18,0))</f>
        <v>1</v>
      </c>
      <c r="F114" s="11" t="n">
        <f aca="false">C114*D114*E114</f>
        <v>176</v>
      </c>
      <c r="G114" s="17" t="n">
        <f aca="false">SUMIFS('09_CARGA_ORDEN'!$J$2:$J$1153,'09_CARGA_ORDEN'!$E$2:$E$1153,A114,'09_CARGA_ORDEN'!$K$2:$K$1153,B114)</f>
        <v>4.47983333333333</v>
      </c>
      <c r="H114" s="12" t="n">
        <f aca="false">IF(F114=0,"",G114/F114)</f>
        <v>0.0254535984848485</v>
      </c>
      <c r="I114" s="2" t="s">
        <v>629</v>
      </c>
    </row>
    <row r="115" customFormat="false" ht="15" hidden="false" customHeight="false" outlineLevel="0" collapsed="false">
      <c r="A115" s="2" t="s">
        <v>408</v>
      </c>
      <c r="B115" s="4" t="n">
        <v>6</v>
      </c>
      <c r="C115" s="5" t="n">
        <f aca="false">SUMPRODUCT((MONTH('07_CALENDARIO'!$A$2:$A$397)=B115)*(YEAR('07_CALENDARIO'!$A$2:$A$397)=p_anio_base)*'07_CALENDARIO'!$D$2:$D$397)</f>
        <v>21</v>
      </c>
      <c r="D115" s="11" t="n">
        <f aca="false">p_horas_productivas_dia</f>
        <v>8</v>
      </c>
      <c r="E115" s="5" t="n">
        <f aca="false">INDEX('04_MAQUINAS'!$E$2:$E$18,MATCH(A115,'04_MAQUINAS'!$A$2:$A$18,0))</f>
        <v>1</v>
      </c>
      <c r="F115" s="11" t="n">
        <f aca="false">C115*D115*E115</f>
        <v>168</v>
      </c>
      <c r="G115" s="17" t="n">
        <f aca="false">SUMIFS('09_CARGA_ORDEN'!$J$2:$J$1153,'09_CARGA_ORDEN'!$E$2:$E$1153,A115,'09_CARGA_ORDEN'!$K$2:$K$1153,B115)</f>
        <v>5.27433333333333</v>
      </c>
      <c r="H115" s="12" t="n">
        <f aca="false">IF(F115=0,"",G115/F115)</f>
        <v>0.0313948412698413</v>
      </c>
      <c r="I115" s="2" t="s">
        <v>629</v>
      </c>
    </row>
    <row r="116" customFormat="false" ht="15" hidden="false" customHeight="false" outlineLevel="0" collapsed="false">
      <c r="A116" s="2" t="s">
        <v>408</v>
      </c>
      <c r="B116" s="4" t="n">
        <v>7</v>
      </c>
      <c r="C116" s="5" t="n">
        <f aca="false">SUMPRODUCT((MONTH('07_CALENDARIO'!$A$2:$A$397)=B116)*(YEAR('07_CALENDARIO'!$A$2:$A$397)=p_anio_base)*'07_CALENDARIO'!$D$2:$D$397)</f>
        <v>23</v>
      </c>
      <c r="D116" s="11" t="n">
        <f aca="false">p_horas_productivas_dia</f>
        <v>8</v>
      </c>
      <c r="E116" s="5" t="n">
        <f aca="false">INDEX('04_MAQUINAS'!$E$2:$E$18,MATCH(A116,'04_MAQUINAS'!$A$2:$A$18,0))</f>
        <v>1</v>
      </c>
      <c r="F116" s="11" t="n">
        <f aca="false">C116*D116*E116</f>
        <v>184</v>
      </c>
      <c r="G116" s="17" t="n">
        <f aca="false">SUMIFS('09_CARGA_ORDEN'!$J$2:$J$1153,'09_CARGA_ORDEN'!$E$2:$E$1153,A116,'09_CARGA_ORDEN'!$K$2:$K$1153,B116)</f>
        <v>5.21683333333333</v>
      </c>
      <c r="H116" s="12" t="n">
        <f aca="false">IF(F116=0,"",G116/F116)</f>
        <v>0.0283523550724638</v>
      </c>
      <c r="I116" s="2" t="s">
        <v>629</v>
      </c>
    </row>
    <row r="117" customFormat="false" ht="15" hidden="false" customHeight="false" outlineLevel="0" collapsed="false">
      <c r="A117" s="2" t="s">
        <v>408</v>
      </c>
      <c r="B117" s="4" t="n">
        <v>8</v>
      </c>
      <c r="C117" s="5" t="n">
        <f aca="false">SUMPRODUCT((MONTH('07_CALENDARIO'!$A$2:$A$397)=B117)*(YEAR('07_CALENDARIO'!$A$2:$A$397)=p_anio_base)*'07_CALENDARIO'!$D$2:$D$397)</f>
        <v>21</v>
      </c>
      <c r="D117" s="11" t="n">
        <f aca="false">p_horas_productivas_dia</f>
        <v>8</v>
      </c>
      <c r="E117" s="5" t="n">
        <f aca="false">INDEX('04_MAQUINAS'!$E$2:$E$18,MATCH(A117,'04_MAQUINAS'!$A$2:$A$18,0))</f>
        <v>1</v>
      </c>
      <c r="F117" s="11" t="n">
        <f aca="false">C117*D117*E117</f>
        <v>168</v>
      </c>
      <c r="G117" s="17" t="n">
        <f aca="false">SUMIFS('09_CARGA_ORDEN'!$J$2:$J$1153,'09_CARGA_ORDEN'!$E$2:$E$1153,A117,'09_CARGA_ORDEN'!$K$2:$K$1153,B117)</f>
        <v>5.21683333333333</v>
      </c>
      <c r="H117" s="12" t="n">
        <f aca="false">IF(F117=0,"",G117/F117)</f>
        <v>0.0310525793650794</v>
      </c>
      <c r="I117" s="2" t="s">
        <v>629</v>
      </c>
    </row>
    <row r="118" customFormat="false" ht="15" hidden="false" customHeight="false" outlineLevel="0" collapsed="false">
      <c r="A118" s="2" t="s">
        <v>408</v>
      </c>
      <c r="B118" s="4" t="n">
        <v>9</v>
      </c>
      <c r="C118" s="5" t="n">
        <f aca="false">SUMPRODUCT((MONTH('07_CALENDARIO'!$A$2:$A$397)=B118)*(YEAR('07_CALENDARIO'!$A$2:$A$397)=p_anio_base)*'07_CALENDARIO'!$D$2:$D$397)</f>
        <v>22</v>
      </c>
      <c r="D118" s="11" t="n">
        <f aca="false">p_horas_productivas_dia</f>
        <v>8</v>
      </c>
      <c r="E118" s="5" t="n">
        <f aca="false">INDEX('04_MAQUINAS'!$E$2:$E$18,MATCH(A118,'04_MAQUINAS'!$A$2:$A$18,0))</f>
        <v>1</v>
      </c>
      <c r="F118" s="11" t="n">
        <f aca="false">C118*D118*E118</f>
        <v>176</v>
      </c>
      <c r="G118" s="17" t="n">
        <f aca="false">SUMIFS('09_CARGA_ORDEN'!$J$2:$J$1153,'09_CARGA_ORDEN'!$E$2:$E$1153,A118,'09_CARGA_ORDEN'!$K$2:$K$1153,B118)</f>
        <v>4.47983333333333</v>
      </c>
      <c r="H118" s="12" t="n">
        <f aca="false">IF(F118=0,"",G118/F118)</f>
        <v>0.0254535984848485</v>
      </c>
      <c r="I118" s="2" t="s">
        <v>629</v>
      </c>
    </row>
    <row r="119" customFormat="false" ht="15" hidden="false" customHeight="false" outlineLevel="0" collapsed="false">
      <c r="A119" s="2" t="s">
        <v>408</v>
      </c>
      <c r="B119" s="4" t="n">
        <v>10</v>
      </c>
      <c r="C119" s="5" t="n">
        <f aca="false">SUMPRODUCT((MONTH('07_CALENDARIO'!$A$2:$A$397)=B119)*(YEAR('07_CALENDARIO'!$A$2:$A$397)=p_anio_base)*'07_CALENDARIO'!$D$2:$D$397)</f>
        <v>23</v>
      </c>
      <c r="D119" s="11" t="n">
        <f aca="false">p_horas_productivas_dia</f>
        <v>8</v>
      </c>
      <c r="E119" s="5" t="n">
        <f aca="false">INDEX('04_MAQUINAS'!$E$2:$E$18,MATCH(A119,'04_MAQUINAS'!$A$2:$A$18,0))</f>
        <v>1</v>
      </c>
      <c r="F119" s="11" t="n">
        <f aca="false">C119*D119*E119</f>
        <v>184</v>
      </c>
      <c r="G119" s="17" t="n">
        <f aca="false">SUMIFS('09_CARGA_ORDEN'!$J$2:$J$1153,'09_CARGA_ORDEN'!$E$2:$E$1153,A119,'09_CARGA_ORDEN'!$K$2:$K$1153,B119)</f>
        <v>4.47983333333333</v>
      </c>
      <c r="H119" s="12" t="n">
        <f aca="false">IF(F119=0,"",G119/F119)</f>
        <v>0.0243469202898551</v>
      </c>
      <c r="I119" s="2" t="s">
        <v>629</v>
      </c>
    </row>
    <row r="120" customFormat="false" ht="15" hidden="false" customHeight="false" outlineLevel="0" collapsed="false">
      <c r="A120" s="2" t="s">
        <v>408</v>
      </c>
      <c r="B120" s="4" t="n">
        <v>11</v>
      </c>
      <c r="C120" s="5" t="n">
        <f aca="false">SUMPRODUCT((MONTH('07_CALENDARIO'!$A$2:$A$397)=B120)*(YEAR('07_CALENDARIO'!$A$2:$A$397)=p_anio_base)*'07_CALENDARIO'!$D$2:$D$397)</f>
        <v>20</v>
      </c>
      <c r="D120" s="11" t="n">
        <f aca="false">p_horas_productivas_dia</f>
        <v>8</v>
      </c>
      <c r="E120" s="5" t="n">
        <f aca="false">INDEX('04_MAQUINAS'!$E$2:$E$18,MATCH(A120,'04_MAQUINAS'!$A$2:$A$18,0))</f>
        <v>1</v>
      </c>
      <c r="F120" s="11" t="n">
        <f aca="false">C120*D120*E120</f>
        <v>160</v>
      </c>
      <c r="G120" s="17" t="n">
        <f aca="false">SUMIFS('09_CARGA_ORDEN'!$J$2:$J$1153,'09_CARGA_ORDEN'!$E$2:$E$1153,A120,'09_CARGA_ORDEN'!$K$2:$K$1153,B120)</f>
        <v>4.4155</v>
      </c>
      <c r="H120" s="12" t="n">
        <f aca="false">IF(F120=0,"",G120/F120)</f>
        <v>0.027596875</v>
      </c>
      <c r="I120" s="2" t="s">
        <v>629</v>
      </c>
    </row>
    <row r="121" customFormat="false" ht="15" hidden="false" customHeight="false" outlineLevel="0" collapsed="false">
      <c r="A121" s="2" t="s">
        <v>408</v>
      </c>
      <c r="B121" s="4" t="n">
        <v>12</v>
      </c>
      <c r="C121" s="5" t="n">
        <f aca="false">SUMPRODUCT((MONTH('07_CALENDARIO'!$A$2:$A$397)=B121)*(YEAR('07_CALENDARIO'!$A$2:$A$397)=p_anio_base)*'07_CALENDARIO'!$D$2:$D$397)</f>
        <v>23</v>
      </c>
      <c r="D121" s="11" t="n">
        <f aca="false">p_horas_productivas_dia</f>
        <v>8</v>
      </c>
      <c r="E121" s="5" t="n">
        <f aca="false">INDEX('04_MAQUINAS'!$E$2:$E$18,MATCH(A121,'04_MAQUINAS'!$A$2:$A$18,0))</f>
        <v>1</v>
      </c>
      <c r="F121" s="11" t="n">
        <f aca="false">C121*D121*E121</f>
        <v>184</v>
      </c>
      <c r="G121" s="17" t="n">
        <f aca="false">SUMIFS('09_CARGA_ORDEN'!$J$2:$J$1153,'09_CARGA_ORDEN'!$E$2:$E$1153,A121,'09_CARGA_ORDEN'!$K$2:$K$1153,B121)</f>
        <v>4.4155</v>
      </c>
      <c r="H121" s="12" t="n">
        <f aca="false">IF(F121=0,"",G121/F121)</f>
        <v>0.0239972826086957</v>
      </c>
      <c r="I121" s="2" t="s">
        <v>629</v>
      </c>
    </row>
    <row r="122" customFormat="false" ht="15" hidden="false" customHeight="false" outlineLevel="0" collapsed="false">
      <c r="A122" s="2" t="s">
        <v>411</v>
      </c>
      <c r="B122" s="4" t="n">
        <v>1</v>
      </c>
      <c r="C122" s="5" t="n">
        <f aca="false">SUMPRODUCT((MONTH('07_CALENDARIO'!$A$2:$A$397)=B122)*(YEAR('07_CALENDARIO'!$A$2:$A$397)=p_anio_base)*'07_CALENDARIO'!$D$2:$D$397)</f>
        <v>23</v>
      </c>
      <c r="D122" s="11" t="n">
        <f aca="false">p_horas_productivas_dia</f>
        <v>8</v>
      </c>
      <c r="E122" s="5" t="n">
        <f aca="false">INDEX('04_MAQUINAS'!$E$2:$E$18,MATCH(A122,'04_MAQUINAS'!$A$2:$A$18,0))</f>
        <v>1</v>
      </c>
      <c r="F122" s="11" t="n">
        <f aca="false">C122*D122*E122</f>
        <v>184</v>
      </c>
      <c r="G122" s="17" t="n">
        <f aca="false">SUMIFS('09_CARGA_ORDEN'!$J$2:$J$1153,'09_CARGA_ORDEN'!$E$2:$E$1153,A122,'09_CARGA_ORDEN'!$K$2:$K$1153,B122)</f>
        <v>6.15366666666667</v>
      </c>
      <c r="H122" s="12" t="n">
        <f aca="false">IF(F122=0,"",G122/F122)</f>
        <v>0.0334438405797101</v>
      </c>
      <c r="I122" s="2" t="s">
        <v>629</v>
      </c>
    </row>
    <row r="123" customFormat="false" ht="15" hidden="false" customHeight="false" outlineLevel="0" collapsed="false">
      <c r="A123" s="2" t="s">
        <v>411</v>
      </c>
      <c r="B123" s="4" t="n">
        <v>2</v>
      </c>
      <c r="C123" s="5" t="n">
        <f aca="false">SUMPRODUCT((MONTH('07_CALENDARIO'!$A$2:$A$397)=B123)*(YEAR('07_CALENDARIO'!$A$2:$A$397)=p_anio_base)*'07_CALENDARIO'!$D$2:$D$397)</f>
        <v>20</v>
      </c>
      <c r="D123" s="11" t="n">
        <f aca="false">p_horas_productivas_dia</f>
        <v>8</v>
      </c>
      <c r="E123" s="5" t="n">
        <f aca="false">INDEX('04_MAQUINAS'!$E$2:$E$18,MATCH(A123,'04_MAQUINAS'!$A$2:$A$18,0))</f>
        <v>1</v>
      </c>
      <c r="F123" s="11" t="n">
        <f aca="false">C123*D123*E123</f>
        <v>160</v>
      </c>
      <c r="G123" s="17" t="n">
        <f aca="false">SUMIFS('09_CARGA_ORDEN'!$J$2:$J$1153,'09_CARGA_ORDEN'!$E$2:$E$1153,A123,'09_CARGA_ORDEN'!$K$2:$K$1153,B123)</f>
        <v>6.074</v>
      </c>
      <c r="H123" s="12" t="n">
        <f aca="false">IF(F123=0,"",G123/F123)</f>
        <v>0.0379625</v>
      </c>
      <c r="I123" s="2" t="s">
        <v>629</v>
      </c>
    </row>
    <row r="124" customFormat="false" ht="15" hidden="false" customHeight="false" outlineLevel="0" collapsed="false">
      <c r="A124" s="2" t="s">
        <v>411</v>
      </c>
      <c r="B124" s="4" t="n">
        <v>3</v>
      </c>
      <c r="C124" s="5" t="n">
        <f aca="false">SUMPRODUCT((MONTH('07_CALENDARIO'!$A$2:$A$397)=B124)*(YEAR('07_CALENDARIO'!$A$2:$A$397)=p_anio_base)*'07_CALENDARIO'!$D$2:$D$397)</f>
        <v>21</v>
      </c>
      <c r="D124" s="11" t="n">
        <f aca="false">p_horas_productivas_dia</f>
        <v>8</v>
      </c>
      <c r="E124" s="5" t="n">
        <f aca="false">INDEX('04_MAQUINAS'!$E$2:$E$18,MATCH(A124,'04_MAQUINAS'!$A$2:$A$18,0))</f>
        <v>1</v>
      </c>
      <c r="F124" s="11" t="n">
        <f aca="false">C124*D124*E124</f>
        <v>168</v>
      </c>
      <c r="G124" s="17" t="n">
        <f aca="false">SUMIFS('09_CARGA_ORDEN'!$J$2:$J$1153,'09_CARGA_ORDEN'!$E$2:$E$1153,A124,'09_CARGA_ORDEN'!$K$2:$K$1153,B124)</f>
        <v>5.98766666666667</v>
      </c>
      <c r="H124" s="12" t="n">
        <f aca="false">IF(F124=0,"",G124/F124)</f>
        <v>0.035640873015873</v>
      </c>
      <c r="I124" s="2" t="s">
        <v>629</v>
      </c>
    </row>
    <row r="125" customFormat="false" ht="15" hidden="false" customHeight="false" outlineLevel="0" collapsed="false">
      <c r="A125" s="2" t="s">
        <v>411</v>
      </c>
      <c r="B125" s="4" t="n">
        <v>4</v>
      </c>
      <c r="C125" s="5" t="n">
        <f aca="false">SUMPRODUCT((MONTH('07_CALENDARIO'!$A$2:$A$397)=B125)*(YEAR('07_CALENDARIO'!$A$2:$A$397)=p_anio_base)*'07_CALENDARIO'!$D$2:$D$397)</f>
        <v>22</v>
      </c>
      <c r="D125" s="11" t="n">
        <f aca="false">p_horas_productivas_dia</f>
        <v>8</v>
      </c>
      <c r="E125" s="5" t="n">
        <f aca="false">INDEX('04_MAQUINAS'!$E$2:$E$18,MATCH(A125,'04_MAQUINAS'!$A$2:$A$18,0))</f>
        <v>1</v>
      </c>
      <c r="F125" s="11" t="n">
        <f aca="false">C125*D125*E125</f>
        <v>176</v>
      </c>
      <c r="G125" s="17" t="n">
        <f aca="false">SUMIFS('09_CARGA_ORDEN'!$J$2:$J$1153,'09_CARGA_ORDEN'!$E$2:$E$1153,A125,'09_CARGA_ORDEN'!$K$2:$K$1153,B125)</f>
        <v>5.98766666666667</v>
      </c>
      <c r="H125" s="12" t="n">
        <f aca="false">IF(F125=0,"",G125/F125)</f>
        <v>0.0340208333333333</v>
      </c>
      <c r="I125" s="2" t="s">
        <v>629</v>
      </c>
    </row>
    <row r="126" customFormat="false" ht="15" hidden="false" customHeight="false" outlineLevel="0" collapsed="false">
      <c r="A126" s="2" t="s">
        <v>411</v>
      </c>
      <c r="B126" s="4" t="n">
        <v>5</v>
      </c>
      <c r="C126" s="5" t="n">
        <f aca="false">SUMPRODUCT((MONTH('07_CALENDARIO'!$A$2:$A$397)=B126)*(YEAR('07_CALENDARIO'!$A$2:$A$397)=p_anio_base)*'07_CALENDARIO'!$D$2:$D$397)</f>
        <v>22</v>
      </c>
      <c r="D126" s="11" t="n">
        <f aca="false">p_horas_productivas_dia</f>
        <v>8</v>
      </c>
      <c r="E126" s="5" t="n">
        <f aca="false">INDEX('04_MAQUINAS'!$E$2:$E$18,MATCH(A126,'04_MAQUINAS'!$A$2:$A$18,0))</f>
        <v>1</v>
      </c>
      <c r="F126" s="11" t="n">
        <f aca="false">C126*D126*E126</f>
        <v>176</v>
      </c>
      <c r="G126" s="17" t="n">
        <f aca="false">SUMIFS('09_CARGA_ORDEN'!$J$2:$J$1153,'09_CARGA_ORDEN'!$E$2:$E$1153,A126,'09_CARGA_ORDEN'!$K$2:$K$1153,B126)</f>
        <v>5.98766666666667</v>
      </c>
      <c r="H126" s="12" t="n">
        <f aca="false">IF(F126=0,"",G126/F126)</f>
        <v>0.0340208333333333</v>
      </c>
      <c r="I126" s="2" t="s">
        <v>629</v>
      </c>
    </row>
    <row r="127" customFormat="false" ht="15" hidden="false" customHeight="false" outlineLevel="0" collapsed="false">
      <c r="A127" s="2" t="s">
        <v>411</v>
      </c>
      <c r="B127" s="4" t="n">
        <v>6</v>
      </c>
      <c r="C127" s="5" t="n">
        <f aca="false">SUMPRODUCT((MONTH('07_CALENDARIO'!$A$2:$A$397)=B127)*(YEAR('07_CALENDARIO'!$A$2:$A$397)=p_anio_base)*'07_CALENDARIO'!$D$2:$D$397)</f>
        <v>21</v>
      </c>
      <c r="D127" s="11" t="n">
        <f aca="false">p_horas_productivas_dia</f>
        <v>8</v>
      </c>
      <c r="E127" s="5" t="n">
        <f aca="false">INDEX('04_MAQUINAS'!$E$2:$E$18,MATCH(A127,'04_MAQUINAS'!$A$2:$A$18,0))</f>
        <v>1</v>
      </c>
      <c r="F127" s="11" t="n">
        <f aca="false">C127*D127*E127</f>
        <v>168</v>
      </c>
      <c r="G127" s="17" t="n">
        <f aca="false">SUMIFS('09_CARGA_ORDEN'!$J$2:$J$1153,'09_CARGA_ORDEN'!$E$2:$E$1153,A127,'09_CARGA_ORDEN'!$K$2:$K$1153,B127)</f>
        <v>7.046</v>
      </c>
      <c r="H127" s="12" t="n">
        <f aca="false">IF(F127=0,"",G127/F127)</f>
        <v>0.0419404761904762</v>
      </c>
      <c r="I127" s="2" t="s">
        <v>629</v>
      </c>
    </row>
    <row r="128" customFormat="false" ht="15" hidden="false" customHeight="false" outlineLevel="0" collapsed="false">
      <c r="A128" s="2" t="s">
        <v>411</v>
      </c>
      <c r="B128" s="4" t="n">
        <v>7</v>
      </c>
      <c r="C128" s="5" t="n">
        <f aca="false">SUMPRODUCT((MONTH('07_CALENDARIO'!$A$2:$A$397)=B128)*(YEAR('07_CALENDARIO'!$A$2:$A$397)=p_anio_base)*'07_CALENDARIO'!$D$2:$D$397)</f>
        <v>23</v>
      </c>
      <c r="D128" s="11" t="n">
        <f aca="false">p_horas_productivas_dia</f>
        <v>8</v>
      </c>
      <c r="E128" s="5" t="n">
        <f aca="false">INDEX('04_MAQUINAS'!$E$2:$E$18,MATCH(A128,'04_MAQUINAS'!$A$2:$A$18,0))</f>
        <v>1</v>
      </c>
      <c r="F128" s="11" t="n">
        <f aca="false">C128*D128*E128</f>
        <v>184</v>
      </c>
      <c r="G128" s="17" t="n">
        <f aca="false">SUMIFS('09_CARGA_ORDEN'!$J$2:$J$1153,'09_CARGA_ORDEN'!$E$2:$E$1153,A128,'09_CARGA_ORDEN'!$K$2:$K$1153,B128)</f>
        <v>6.96816666666667</v>
      </c>
      <c r="H128" s="12" t="n">
        <f aca="false">IF(F128=0,"",G128/F128)</f>
        <v>0.0378704710144928</v>
      </c>
      <c r="I128" s="2" t="s">
        <v>629</v>
      </c>
    </row>
    <row r="129" customFormat="false" ht="15" hidden="false" customHeight="false" outlineLevel="0" collapsed="false">
      <c r="A129" s="2" t="s">
        <v>411</v>
      </c>
      <c r="B129" s="4" t="n">
        <v>8</v>
      </c>
      <c r="C129" s="5" t="n">
        <f aca="false">SUMPRODUCT((MONTH('07_CALENDARIO'!$A$2:$A$397)=B129)*(YEAR('07_CALENDARIO'!$A$2:$A$397)=p_anio_base)*'07_CALENDARIO'!$D$2:$D$397)</f>
        <v>21</v>
      </c>
      <c r="D129" s="11" t="n">
        <f aca="false">p_horas_productivas_dia</f>
        <v>8</v>
      </c>
      <c r="E129" s="5" t="n">
        <f aca="false">INDEX('04_MAQUINAS'!$E$2:$E$18,MATCH(A129,'04_MAQUINAS'!$A$2:$A$18,0))</f>
        <v>1</v>
      </c>
      <c r="F129" s="11" t="n">
        <f aca="false">C129*D129*E129</f>
        <v>168</v>
      </c>
      <c r="G129" s="17" t="n">
        <f aca="false">SUMIFS('09_CARGA_ORDEN'!$J$2:$J$1153,'09_CARGA_ORDEN'!$E$2:$E$1153,A129,'09_CARGA_ORDEN'!$K$2:$K$1153,B129)</f>
        <v>6.96816666666667</v>
      </c>
      <c r="H129" s="12" t="n">
        <f aca="false">IF(F129=0,"",G129/F129)</f>
        <v>0.0414771825396825</v>
      </c>
      <c r="I129" s="2" t="s">
        <v>629</v>
      </c>
    </row>
    <row r="130" customFormat="false" ht="15" hidden="false" customHeight="false" outlineLevel="0" collapsed="false">
      <c r="A130" s="2" t="s">
        <v>411</v>
      </c>
      <c r="B130" s="4" t="n">
        <v>9</v>
      </c>
      <c r="C130" s="5" t="n">
        <f aca="false">SUMPRODUCT((MONTH('07_CALENDARIO'!$A$2:$A$397)=B130)*(YEAR('07_CALENDARIO'!$A$2:$A$397)=p_anio_base)*'07_CALENDARIO'!$D$2:$D$397)</f>
        <v>22</v>
      </c>
      <c r="D130" s="11" t="n">
        <f aca="false">p_horas_productivas_dia</f>
        <v>8</v>
      </c>
      <c r="E130" s="5" t="n">
        <f aca="false">INDEX('04_MAQUINAS'!$E$2:$E$18,MATCH(A130,'04_MAQUINAS'!$A$2:$A$18,0))</f>
        <v>1</v>
      </c>
      <c r="F130" s="11" t="n">
        <f aca="false">C130*D130*E130</f>
        <v>176</v>
      </c>
      <c r="G130" s="17" t="n">
        <f aca="false">SUMIFS('09_CARGA_ORDEN'!$J$2:$J$1153,'09_CARGA_ORDEN'!$E$2:$E$1153,A130,'09_CARGA_ORDEN'!$K$2:$K$1153,B130)</f>
        <v>5.98766666666667</v>
      </c>
      <c r="H130" s="12" t="n">
        <f aca="false">IF(F130=0,"",G130/F130)</f>
        <v>0.0340208333333333</v>
      </c>
      <c r="I130" s="2" t="s">
        <v>629</v>
      </c>
    </row>
    <row r="131" customFormat="false" ht="15" hidden="false" customHeight="false" outlineLevel="0" collapsed="false">
      <c r="A131" s="2" t="s">
        <v>411</v>
      </c>
      <c r="B131" s="4" t="n">
        <v>10</v>
      </c>
      <c r="C131" s="5" t="n">
        <f aca="false">SUMPRODUCT((MONTH('07_CALENDARIO'!$A$2:$A$397)=B131)*(YEAR('07_CALENDARIO'!$A$2:$A$397)=p_anio_base)*'07_CALENDARIO'!$D$2:$D$397)</f>
        <v>23</v>
      </c>
      <c r="D131" s="11" t="n">
        <f aca="false">p_horas_productivas_dia</f>
        <v>8</v>
      </c>
      <c r="E131" s="5" t="n">
        <f aca="false">INDEX('04_MAQUINAS'!$E$2:$E$18,MATCH(A131,'04_MAQUINAS'!$A$2:$A$18,0))</f>
        <v>1</v>
      </c>
      <c r="F131" s="11" t="n">
        <f aca="false">C131*D131*E131</f>
        <v>184</v>
      </c>
      <c r="G131" s="17" t="n">
        <f aca="false">SUMIFS('09_CARGA_ORDEN'!$J$2:$J$1153,'09_CARGA_ORDEN'!$E$2:$E$1153,A131,'09_CARGA_ORDEN'!$K$2:$K$1153,B131)</f>
        <v>5.98766666666667</v>
      </c>
      <c r="H131" s="12" t="n">
        <f aca="false">IF(F131=0,"",G131/F131)</f>
        <v>0.0325416666666667</v>
      </c>
      <c r="I131" s="2" t="s">
        <v>629</v>
      </c>
    </row>
    <row r="132" customFormat="false" ht="15" hidden="false" customHeight="false" outlineLevel="0" collapsed="false">
      <c r="A132" s="2" t="s">
        <v>411</v>
      </c>
      <c r="B132" s="4" t="n">
        <v>11</v>
      </c>
      <c r="C132" s="5" t="n">
        <f aca="false">SUMPRODUCT((MONTH('07_CALENDARIO'!$A$2:$A$397)=B132)*(YEAR('07_CALENDARIO'!$A$2:$A$397)=p_anio_base)*'07_CALENDARIO'!$D$2:$D$397)</f>
        <v>20</v>
      </c>
      <c r="D132" s="11" t="n">
        <f aca="false">p_horas_productivas_dia</f>
        <v>8</v>
      </c>
      <c r="E132" s="5" t="n">
        <f aca="false">INDEX('04_MAQUINAS'!$E$2:$E$18,MATCH(A132,'04_MAQUINAS'!$A$2:$A$18,0))</f>
        <v>1</v>
      </c>
      <c r="F132" s="11" t="n">
        <f aca="false">C132*D132*E132</f>
        <v>160</v>
      </c>
      <c r="G132" s="17" t="n">
        <f aca="false">SUMIFS('09_CARGA_ORDEN'!$J$2:$J$1153,'09_CARGA_ORDEN'!$E$2:$E$1153,A132,'09_CARGA_ORDEN'!$K$2:$K$1153,B132)</f>
        <v>5.89933333333333</v>
      </c>
      <c r="H132" s="12" t="n">
        <f aca="false">IF(F132=0,"",G132/F132)</f>
        <v>0.0368708333333333</v>
      </c>
      <c r="I132" s="2" t="s">
        <v>629</v>
      </c>
    </row>
    <row r="133" customFormat="false" ht="15" hidden="false" customHeight="false" outlineLevel="0" collapsed="false">
      <c r="A133" s="2" t="s">
        <v>411</v>
      </c>
      <c r="B133" s="4" t="n">
        <v>12</v>
      </c>
      <c r="C133" s="5" t="n">
        <f aca="false">SUMPRODUCT((MONTH('07_CALENDARIO'!$A$2:$A$397)=B133)*(YEAR('07_CALENDARIO'!$A$2:$A$397)=p_anio_base)*'07_CALENDARIO'!$D$2:$D$397)</f>
        <v>23</v>
      </c>
      <c r="D133" s="11" t="n">
        <f aca="false">p_horas_productivas_dia</f>
        <v>8</v>
      </c>
      <c r="E133" s="5" t="n">
        <f aca="false">INDEX('04_MAQUINAS'!$E$2:$E$18,MATCH(A133,'04_MAQUINAS'!$A$2:$A$18,0))</f>
        <v>1</v>
      </c>
      <c r="F133" s="11" t="n">
        <f aca="false">C133*D133*E133</f>
        <v>184</v>
      </c>
      <c r="G133" s="17" t="n">
        <f aca="false">SUMIFS('09_CARGA_ORDEN'!$J$2:$J$1153,'09_CARGA_ORDEN'!$E$2:$E$1153,A133,'09_CARGA_ORDEN'!$K$2:$K$1153,B133)</f>
        <v>5.89933333333333</v>
      </c>
      <c r="H133" s="12" t="n">
        <f aca="false">IF(F133=0,"",G133/F133)</f>
        <v>0.0320615942028986</v>
      </c>
      <c r="I133" s="2" t="s">
        <v>629</v>
      </c>
    </row>
    <row r="134" customFormat="false" ht="15" hidden="false" customHeight="false" outlineLevel="0" collapsed="false">
      <c r="A134" s="2" t="s">
        <v>413</v>
      </c>
      <c r="B134" s="4" t="n">
        <v>1</v>
      </c>
      <c r="C134" s="5" t="n">
        <f aca="false">SUMPRODUCT((MONTH('07_CALENDARIO'!$A$2:$A$397)=B134)*(YEAR('07_CALENDARIO'!$A$2:$A$397)=p_anio_base)*'07_CALENDARIO'!$D$2:$D$397)</f>
        <v>23</v>
      </c>
      <c r="D134" s="11" t="n">
        <f aca="false">p_horas_productivas_dia</f>
        <v>8</v>
      </c>
      <c r="E134" s="5" t="n">
        <f aca="false">INDEX('04_MAQUINAS'!$E$2:$E$18,MATCH(A134,'04_MAQUINAS'!$A$2:$A$18,0))</f>
        <v>1</v>
      </c>
      <c r="F134" s="11" t="n">
        <f aca="false">C134*D134*E134</f>
        <v>184</v>
      </c>
      <c r="G134" s="17" t="n">
        <f aca="false">SUMIFS('09_CARGA_ORDEN'!$J$2:$J$1153,'09_CARGA_ORDEN'!$E$2:$E$1153,A134,'09_CARGA_ORDEN'!$K$2:$K$1153,B134)</f>
        <v>0</v>
      </c>
      <c r="H134" s="12" t="n">
        <f aca="false">IF(F134=0,"",G134/F134)</f>
        <v>0</v>
      </c>
      <c r="I134" s="2" t="s">
        <v>629</v>
      </c>
    </row>
    <row r="135" customFormat="false" ht="15" hidden="false" customHeight="false" outlineLevel="0" collapsed="false">
      <c r="A135" s="2" t="s">
        <v>413</v>
      </c>
      <c r="B135" s="4" t="n">
        <v>2</v>
      </c>
      <c r="C135" s="5" t="n">
        <f aca="false">SUMPRODUCT((MONTH('07_CALENDARIO'!$A$2:$A$397)=B135)*(YEAR('07_CALENDARIO'!$A$2:$A$397)=p_anio_base)*'07_CALENDARIO'!$D$2:$D$397)</f>
        <v>20</v>
      </c>
      <c r="D135" s="11" t="n">
        <f aca="false">p_horas_productivas_dia</f>
        <v>8</v>
      </c>
      <c r="E135" s="5" t="n">
        <f aca="false">INDEX('04_MAQUINAS'!$E$2:$E$18,MATCH(A135,'04_MAQUINAS'!$A$2:$A$18,0))</f>
        <v>1</v>
      </c>
      <c r="F135" s="11" t="n">
        <f aca="false">C135*D135*E135</f>
        <v>160</v>
      </c>
      <c r="G135" s="17" t="n">
        <f aca="false">SUMIFS('09_CARGA_ORDEN'!$J$2:$J$1153,'09_CARGA_ORDEN'!$E$2:$E$1153,A135,'09_CARGA_ORDEN'!$K$2:$K$1153,B135)</f>
        <v>0</v>
      </c>
      <c r="H135" s="12" t="n">
        <f aca="false">IF(F135=0,"",G135/F135)</f>
        <v>0</v>
      </c>
      <c r="I135" s="2" t="s">
        <v>629</v>
      </c>
    </row>
    <row r="136" customFormat="false" ht="15" hidden="false" customHeight="false" outlineLevel="0" collapsed="false">
      <c r="A136" s="2" t="s">
        <v>413</v>
      </c>
      <c r="B136" s="4" t="n">
        <v>3</v>
      </c>
      <c r="C136" s="5" t="n">
        <f aca="false">SUMPRODUCT((MONTH('07_CALENDARIO'!$A$2:$A$397)=B136)*(YEAR('07_CALENDARIO'!$A$2:$A$397)=p_anio_base)*'07_CALENDARIO'!$D$2:$D$397)</f>
        <v>21</v>
      </c>
      <c r="D136" s="11" t="n">
        <f aca="false">p_horas_productivas_dia</f>
        <v>8</v>
      </c>
      <c r="E136" s="5" t="n">
        <f aca="false">INDEX('04_MAQUINAS'!$E$2:$E$18,MATCH(A136,'04_MAQUINAS'!$A$2:$A$18,0))</f>
        <v>1</v>
      </c>
      <c r="F136" s="11" t="n">
        <f aca="false">C136*D136*E136</f>
        <v>168</v>
      </c>
      <c r="G136" s="17" t="n">
        <f aca="false">SUMIFS('09_CARGA_ORDEN'!$J$2:$J$1153,'09_CARGA_ORDEN'!$E$2:$E$1153,A136,'09_CARGA_ORDEN'!$K$2:$K$1153,B136)</f>
        <v>0</v>
      </c>
      <c r="H136" s="12" t="n">
        <f aca="false">IF(F136=0,"",G136/F136)</f>
        <v>0</v>
      </c>
      <c r="I136" s="2" t="s">
        <v>629</v>
      </c>
    </row>
    <row r="137" customFormat="false" ht="15" hidden="false" customHeight="false" outlineLevel="0" collapsed="false">
      <c r="A137" s="2" t="s">
        <v>413</v>
      </c>
      <c r="B137" s="4" t="n">
        <v>4</v>
      </c>
      <c r="C137" s="5" t="n">
        <f aca="false">SUMPRODUCT((MONTH('07_CALENDARIO'!$A$2:$A$397)=B137)*(YEAR('07_CALENDARIO'!$A$2:$A$397)=p_anio_base)*'07_CALENDARIO'!$D$2:$D$397)</f>
        <v>22</v>
      </c>
      <c r="D137" s="11" t="n">
        <f aca="false">p_horas_productivas_dia</f>
        <v>8</v>
      </c>
      <c r="E137" s="5" t="n">
        <f aca="false">INDEX('04_MAQUINAS'!$E$2:$E$18,MATCH(A137,'04_MAQUINAS'!$A$2:$A$18,0))</f>
        <v>1</v>
      </c>
      <c r="F137" s="11" t="n">
        <f aca="false">C137*D137*E137</f>
        <v>176</v>
      </c>
      <c r="G137" s="17" t="n">
        <f aca="false">SUMIFS('09_CARGA_ORDEN'!$J$2:$J$1153,'09_CARGA_ORDEN'!$E$2:$E$1153,A137,'09_CARGA_ORDEN'!$K$2:$K$1153,B137)</f>
        <v>0</v>
      </c>
      <c r="H137" s="12" t="n">
        <f aca="false">IF(F137=0,"",G137/F137)</f>
        <v>0</v>
      </c>
      <c r="I137" s="2" t="s">
        <v>629</v>
      </c>
    </row>
    <row r="138" customFormat="false" ht="15" hidden="false" customHeight="false" outlineLevel="0" collapsed="false">
      <c r="A138" s="2" t="s">
        <v>413</v>
      </c>
      <c r="B138" s="4" t="n">
        <v>5</v>
      </c>
      <c r="C138" s="5" t="n">
        <f aca="false">SUMPRODUCT((MONTH('07_CALENDARIO'!$A$2:$A$397)=B138)*(YEAR('07_CALENDARIO'!$A$2:$A$397)=p_anio_base)*'07_CALENDARIO'!$D$2:$D$397)</f>
        <v>22</v>
      </c>
      <c r="D138" s="11" t="n">
        <f aca="false">p_horas_productivas_dia</f>
        <v>8</v>
      </c>
      <c r="E138" s="5" t="n">
        <f aca="false">INDEX('04_MAQUINAS'!$E$2:$E$18,MATCH(A138,'04_MAQUINAS'!$A$2:$A$18,0))</f>
        <v>1</v>
      </c>
      <c r="F138" s="11" t="n">
        <f aca="false">C138*D138*E138</f>
        <v>176</v>
      </c>
      <c r="G138" s="17" t="n">
        <f aca="false">SUMIFS('09_CARGA_ORDEN'!$J$2:$J$1153,'09_CARGA_ORDEN'!$E$2:$E$1153,A138,'09_CARGA_ORDEN'!$K$2:$K$1153,B138)</f>
        <v>0</v>
      </c>
      <c r="H138" s="12" t="n">
        <f aca="false">IF(F138=0,"",G138/F138)</f>
        <v>0</v>
      </c>
      <c r="I138" s="2" t="s">
        <v>629</v>
      </c>
    </row>
    <row r="139" customFormat="false" ht="15" hidden="false" customHeight="false" outlineLevel="0" collapsed="false">
      <c r="A139" s="2" t="s">
        <v>413</v>
      </c>
      <c r="B139" s="4" t="n">
        <v>6</v>
      </c>
      <c r="C139" s="5" t="n">
        <f aca="false">SUMPRODUCT((MONTH('07_CALENDARIO'!$A$2:$A$397)=B139)*(YEAR('07_CALENDARIO'!$A$2:$A$397)=p_anio_base)*'07_CALENDARIO'!$D$2:$D$397)</f>
        <v>21</v>
      </c>
      <c r="D139" s="11" t="n">
        <f aca="false">p_horas_productivas_dia</f>
        <v>8</v>
      </c>
      <c r="E139" s="5" t="n">
        <f aca="false">INDEX('04_MAQUINAS'!$E$2:$E$18,MATCH(A139,'04_MAQUINAS'!$A$2:$A$18,0))</f>
        <v>1</v>
      </c>
      <c r="F139" s="11" t="n">
        <f aca="false">C139*D139*E139</f>
        <v>168</v>
      </c>
      <c r="G139" s="17" t="n">
        <f aca="false">SUMIFS('09_CARGA_ORDEN'!$J$2:$J$1153,'09_CARGA_ORDEN'!$E$2:$E$1153,A139,'09_CARGA_ORDEN'!$K$2:$K$1153,B139)</f>
        <v>0</v>
      </c>
      <c r="H139" s="12" t="n">
        <f aca="false">IF(F139=0,"",G139/F139)</f>
        <v>0</v>
      </c>
      <c r="I139" s="2" t="s">
        <v>629</v>
      </c>
    </row>
    <row r="140" customFormat="false" ht="15" hidden="false" customHeight="false" outlineLevel="0" collapsed="false">
      <c r="A140" s="2" t="s">
        <v>413</v>
      </c>
      <c r="B140" s="4" t="n">
        <v>7</v>
      </c>
      <c r="C140" s="5" t="n">
        <f aca="false">SUMPRODUCT((MONTH('07_CALENDARIO'!$A$2:$A$397)=B140)*(YEAR('07_CALENDARIO'!$A$2:$A$397)=p_anio_base)*'07_CALENDARIO'!$D$2:$D$397)</f>
        <v>23</v>
      </c>
      <c r="D140" s="11" t="n">
        <f aca="false">p_horas_productivas_dia</f>
        <v>8</v>
      </c>
      <c r="E140" s="5" t="n">
        <f aca="false">INDEX('04_MAQUINAS'!$E$2:$E$18,MATCH(A140,'04_MAQUINAS'!$A$2:$A$18,0))</f>
        <v>1</v>
      </c>
      <c r="F140" s="11" t="n">
        <f aca="false">C140*D140*E140</f>
        <v>184</v>
      </c>
      <c r="G140" s="17" t="n">
        <f aca="false">SUMIFS('09_CARGA_ORDEN'!$J$2:$J$1153,'09_CARGA_ORDEN'!$E$2:$E$1153,A140,'09_CARGA_ORDEN'!$K$2:$K$1153,B140)</f>
        <v>0</v>
      </c>
      <c r="H140" s="12" t="n">
        <f aca="false">IF(F140=0,"",G140/F140)</f>
        <v>0</v>
      </c>
      <c r="I140" s="2" t="s">
        <v>629</v>
      </c>
    </row>
    <row r="141" customFormat="false" ht="15" hidden="false" customHeight="false" outlineLevel="0" collapsed="false">
      <c r="A141" s="2" t="s">
        <v>413</v>
      </c>
      <c r="B141" s="4" t="n">
        <v>8</v>
      </c>
      <c r="C141" s="5" t="n">
        <f aca="false">SUMPRODUCT((MONTH('07_CALENDARIO'!$A$2:$A$397)=B141)*(YEAR('07_CALENDARIO'!$A$2:$A$397)=p_anio_base)*'07_CALENDARIO'!$D$2:$D$397)</f>
        <v>21</v>
      </c>
      <c r="D141" s="11" t="n">
        <f aca="false">p_horas_productivas_dia</f>
        <v>8</v>
      </c>
      <c r="E141" s="5" t="n">
        <f aca="false">INDEX('04_MAQUINAS'!$E$2:$E$18,MATCH(A141,'04_MAQUINAS'!$A$2:$A$18,0))</f>
        <v>1</v>
      </c>
      <c r="F141" s="11" t="n">
        <f aca="false">C141*D141*E141</f>
        <v>168</v>
      </c>
      <c r="G141" s="17" t="n">
        <f aca="false">SUMIFS('09_CARGA_ORDEN'!$J$2:$J$1153,'09_CARGA_ORDEN'!$E$2:$E$1153,A141,'09_CARGA_ORDEN'!$K$2:$K$1153,B141)</f>
        <v>0</v>
      </c>
      <c r="H141" s="12" t="n">
        <f aca="false">IF(F141=0,"",G141/F141)</f>
        <v>0</v>
      </c>
      <c r="I141" s="2" t="s">
        <v>629</v>
      </c>
    </row>
    <row r="142" customFormat="false" ht="15" hidden="false" customHeight="false" outlineLevel="0" collapsed="false">
      <c r="A142" s="2" t="s">
        <v>413</v>
      </c>
      <c r="B142" s="4" t="n">
        <v>9</v>
      </c>
      <c r="C142" s="5" t="n">
        <f aca="false">SUMPRODUCT((MONTH('07_CALENDARIO'!$A$2:$A$397)=B142)*(YEAR('07_CALENDARIO'!$A$2:$A$397)=p_anio_base)*'07_CALENDARIO'!$D$2:$D$397)</f>
        <v>22</v>
      </c>
      <c r="D142" s="11" t="n">
        <f aca="false">p_horas_productivas_dia</f>
        <v>8</v>
      </c>
      <c r="E142" s="5" t="n">
        <f aca="false">INDEX('04_MAQUINAS'!$E$2:$E$18,MATCH(A142,'04_MAQUINAS'!$A$2:$A$18,0))</f>
        <v>1</v>
      </c>
      <c r="F142" s="11" t="n">
        <f aca="false">C142*D142*E142</f>
        <v>176</v>
      </c>
      <c r="G142" s="17" t="n">
        <f aca="false">SUMIFS('09_CARGA_ORDEN'!$J$2:$J$1153,'09_CARGA_ORDEN'!$E$2:$E$1153,A142,'09_CARGA_ORDEN'!$K$2:$K$1153,B142)</f>
        <v>0</v>
      </c>
      <c r="H142" s="12" t="n">
        <f aca="false">IF(F142=0,"",G142/F142)</f>
        <v>0</v>
      </c>
      <c r="I142" s="2" t="s">
        <v>629</v>
      </c>
    </row>
    <row r="143" customFormat="false" ht="15" hidden="false" customHeight="false" outlineLevel="0" collapsed="false">
      <c r="A143" s="2" t="s">
        <v>413</v>
      </c>
      <c r="B143" s="4" t="n">
        <v>10</v>
      </c>
      <c r="C143" s="5" t="n">
        <f aca="false">SUMPRODUCT((MONTH('07_CALENDARIO'!$A$2:$A$397)=B143)*(YEAR('07_CALENDARIO'!$A$2:$A$397)=p_anio_base)*'07_CALENDARIO'!$D$2:$D$397)</f>
        <v>23</v>
      </c>
      <c r="D143" s="11" t="n">
        <f aca="false">p_horas_productivas_dia</f>
        <v>8</v>
      </c>
      <c r="E143" s="5" t="n">
        <f aca="false">INDEX('04_MAQUINAS'!$E$2:$E$18,MATCH(A143,'04_MAQUINAS'!$A$2:$A$18,0))</f>
        <v>1</v>
      </c>
      <c r="F143" s="11" t="n">
        <f aca="false">C143*D143*E143</f>
        <v>184</v>
      </c>
      <c r="G143" s="17" t="n">
        <f aca="false">SUMIFS('09_CARGA_ORDEN'!$J$2:$J$1153,'09_CARGA_ORDEN'!$E$2:$E$1153,A143,'09_CARGA_ORDEN'!$K$2:$K$1153,B143)</f>
        <v>0</v>
      </c>
      <c r="H143" s="12" t="n">
        <f aca="false">IF(F143=0,"",G143/F143)</f>
        <v>0</v>
      </c>
      <c r="I143" s="2" t="s">
        <v>629</v>
      </c>
    </row>
    <row r="144" customFormat="false" ht="15" hidden="false" customHeight="false" outlineLevel="0" collapsed="false">
      <c r="A144" s="2" t="s">
        <v>413</v>
      </c>
      <c r="B144" s="4" t="n">
        <v>11</v>
      </c>
      <c r="C144" s="5" t="n">
        <f aca="false">SUMPRODUCT((MONTH('07_CALENDARIO'!$A$2:$A$397)=B144)*(YEAR('07_CALENDARIO'!$A$2:$A$397)=p_anio_base)*'07_CALENDARIO'!$D$2:$D$397)</f>
        <v>20</v>
      </c>
      <c r="D144" s="11" t="n">
        <f aca="false">p_horas_productivas_dia</f>
        <v>8</v>
      </c>
      <c r="E144" s="5" t="n">
        <f aca="false">INDEX('04_MAQUINAS'!$E$2:$E$18,MATCH(A144,'04_MAQUINAS'!$A$2:$A$18,0))</f>
        <v>1</v>
      </c>
      <c r="F144" s="11" t="n">
        <f aca="false">C144*D144*E144</f>
        <v>160</v>
      </c>
      <c r="G144" s="17" t="n">
        <f aca="false">SUMIFS('09_CARGA_ORDEN'!$J$2:$J$1153,'09_CARGA_ORDEN'!$E$2:$E$1153,A144,'09_CARGA_ORDEN'!$K$2:$K$1153,B144)</f>
        <v>0</v>
      </c>
      <c r="H144" s="12" t="n">
        <f aca="false">IF(F144=0,"",G144/F144)</f>
        <v>0</v>
      </c>
      <c r="I144" s="2" t="s">
        <v>629</v>
      </c>
    </row>
    <row r="145" customFormat="false" ht="15" hidden="false" customHeight="false" outlineLevel="0" collapsed="false">
      <c r="A145" s="2" t="s">
        <v>413</v>
      </c>
      <c r="B145" s="4" t="n">
        <v>12</v>
      </c>
      <c r="C145" s="5" t="n">
        <f aca="false">SUMPRODUCT((MONTH('07_CALENDARIO'!$A$2:$A$397)=B145)*(YEAR('07_CALENDARIO'!$A$2:$A$397)=p_anio_base)*'07_CALENDARIO'!$D$2:$D$397)</f>
        <v>23</v>
      </c>
      <c r="D145" s="11" t="n">
        <f aca="false">p_horas_productivas_dia</f>
        <v>8</v>
      </c>
      <c r="E145" s="5" t="n">
        <f aca="false">INDEX('04_MAQUINAS'!$E$2:$E$18,MATCH(A145,'04_MAQUINAS'!$A$2:$A$18,0))</f>
        <v>1</v>
      </c>
      <c r="F145" s="11" t="n">
        <f aca="false">C145*D145*E145</f>
        <v>184</v>
      </c>
      <c r="G145" s="17" t="n">
        <f aca="false">SUMIFS('09_CARGA_ORDEN'!$J$2:$J$1153,'09_CARGA_ORDEN'!$E$2:$E$1153,A145,'09_CARGA_ORDEN'!$K$2:$K$1153,B145)</f>
        <v>0</v>
      </c>
      <c r="H145" s="12" t="n">
        <f aca="false">IF(F145=0,"",G145/F145)</f>
        <v>0</v>
      </c>
      <c r="I145" s="2" t="s">
        <v>629</v>
      </c>
    </row>
    <row r="146" customFormat="false" ht="15" hidden="false" customHeight="false" outlineLevel="0" collapsed="false">
      <c r="A146" s="2" t="s">
        <v>415</v>
      </c>
      <c r="B146" s="4" t="n">
        <v>1</v>
      </c>
      <c r="C146" s="5" t="n">
        <f aca="false">SUMPRODUCT((MONTH('07_CALENDARIO'!$A$2:$A$397)=B146)*(YEAR('07_CALENDARIO'!$A$2:$A$397)=p_anio_base)*'07_CALENDARIO'!$D$2:$D$397)</f>
        <v>23</v>
      </c>
      <c r="D146" s="11" t="n">
        <f aca="false">p_horas_productivas_dia</f>
        <v>8</v>
      </c>
      <c r="E146" s="5" t="n">
        <f aca="false">INDEX('04_MAQUINAS'!$E$2:$E$18,MATCH(A146,'04_MAQUINAS'!$A$2:$A$18,0))</f>
        <v>1</v>
      </c>
      <c r="F146" s="11" t="n">
        <f aca="false">C146*D146*E146</f>
        <v>184</v>
      </c>
      <c r="G146" s="17" t="n">
        <f aca="false">SUMIFS('09_CARGA_ORDEN'!$J$2:$J$1153,'09_CARGA_ORDEN'!$E$2:$E$1153,A146,'09_CARGA_ORDEN'!$K$2:$K$1153,B146)</f>
        <v>0</v>
      </c>
      <c r="H146" s="12" t="n">
        <f aca="false">IF(F146=0,"",G146/F146)</f>
        <v>0</v>
      </c>
      <c r="I146" s="2" t="s">
        <v>629</v>
      </c>
    </row>
    <row r="147" customFormat="false" ht="15" hidden="false" customHeight="false" outlineLevel="0" collapsed="false">
      <c r="A147" s="2" t="s">
        <v>415</v>
      </c>
      <c r="B147" s="4" t="n">
        <v>2</v>
      </c>
      <c r="C147" s="5" t="n">
        <f aca="false">SUMPRODUCT((MONTH('07_CALENDARIO'!$A$2:$A$397)=B147)*(YEAR('07_CALENDARIO'!$A$2:$A$397)=p_anio_base)*'07_CALENDARIO'!$D$2:$D$397)</f>
        <v>20</v>
      </c>
      <c r="D147" s="11" t="n">
        <f aca="false">p_horas_productivas_dia</f>
        <v>8</v>
      </c>
      <c r="E147" s="5" t="n">
        <f aca="false">INDEX('04_MAQUINAS'!$E$2:$E$18,MATCH(A147,'04_MAQUINAS'!$A$2:$A$18,0))</f>
        <v>1</v>
      </c>
      <c r="F147" s="11" t="n">
        <f aca="false">C147*D147*E147</f>
        <v>160</v>
      </c>
      <c r="G147" s="17" t="n">
        <f aca="false">SUMIFS('09_CARGA_ORDEN'!$J$2:$J$1153,'09_CARGA_ORDEN'!$E$2:$E$1153,A147,'09_CARGA_ORDEN'!$K$2:$K$1153,B147)</f>
        <v>0</v>
      </c>
      <c r="H147" s="12" t="n">
        <f aca="false">IF(F147=0,"",G147/F147)</f>
        <v>0</v>
      </c>
      <c r="I147" s="2" t="s">
        <v>629</v>
      </c>
    </row>
    <row r="148" customFormat="false" ht="15" hidden="false" customHeight="false" outlineLevel="0" collapsed="false">
      <c r="A148" s="2" t="s">
        <v>415</v>
      </c>
      <c r="B148" s="4" t="n">
        <v>3</v>
      </c>
      <c r="C148" s="5" t="n">
        <f aca="false">SUMPRODUCT((MONTH('07_CALENDARIO'!$A$2:$A$397)=B148)*(YEAR('07_CALENDARIO'!$A$2:$A$397)=p_anio_base)*'07_CALENDARIO'!$D$2:$D$397)</f>
        <v>21</v>
      </c>
      <c r="D148" s="11" t="n">
        <f aca="false">p_horas_productivas_dia</f>
        <v>8</v>
      </c>
      <c r="E148" s="5" t="n">
        <f aca="false">INDEX('04_MAQUINAS'!$E$2:$E$18,MATCH(A148,'04_MAQUINAS'!$A$2:$A$18,0))</f>
        <v>1</v>
      </c>
      <c r="F148" s="11" t="n">
        <f aca="false">C148*D148*E148</f>
        <v>168</v>
      </c>
      <c r="G148" s="17" t="n">
        <f aca="false">SUMIFS('09_CARGA_ORDEN'!$J$2:$J$1153,'09_CARGA_ORDEN'!$E$2:$E$1153,A148,'09_CARGA_ORDEN'!$K$2:$K$1153,B148)</f>
        <v>0</v>
      </c>
      <c r="H148" s="12" t="n">
        <f aca="false">IF(F148=0,"",G148/F148)</f>
        <v>0</v>
      </c>
      <c r="I148" s="2" t="s">
        <v>629</v>
      </c>
    </row>
    <row r="149" customFormat="false" ht="15" hidden="false" customHeight="false" outlineLevel="0" collapsed="false">
      <c r="A149" s="2" t="s">
        <v>415</v>
      </c>
      <c r="B149" s="4" t="n">
        <v>4</v>
      </c>
      <c r="C149" s="5" t="n">
        <f aca="false">SUMPRODUCT((MONTH('07_CALENDARIO'!$A$2:$A$397)=B149)*(YEAR('07_CALENDARIO'!$A$2:$A$397)=p_anio_base)*'07_CALENDARIO'!$D$2:$D$397)</f>
        <v>22</v>
      </c>
      <c r="D149" s="11" t="n">
        <f aca="false">p_horas_productivas_dia</f>
        <v>8</v>
      </c>
      <c r="E149" s="5" t="n">
        <f aca="false">INDEX('04_MAQUINAS'!$E$2:$E$18,MATCH(A149,'04_MAQUINAS'!$A$2:$A$18,0))</f>
        <v>1</v>
      </c>
      <c r="F149" s="11" t="n">
        <f aca="false">C149*D149*E149</f>
        <v>176</v>
      </c>
      <c r="G149" s="17" t="n">
        <f aca="false">SUMIFS('09_CARGA_ORDEN'!$J$2:$J$1153,'09_CARGA_ORDEN'!$E$2:$E$1153,A149,'09_CARGA_ORDEN'!$K$2:$K$1153,B149)</f>
        <v>0</v>
      </c>
      <c r="H149" s="12" t="n">
        <f aca="false">IF(F149=0,"",G149/F149)</f>
        <v>0</v>
      </c>
      <c r="I149" s="2" t="s">
        <v>629</v>
      </c>
    </row>
    <row r="150" customFormat="false" ht="15" hidden="false" customHeight="false" outlineLevel="0" collapsed="false">
      <c r="A150" s="2" t="s">
        <v>415</v>
      </c>
      <c r="B150" s="4" t="n">
        <v>5</v>
      </c>
      <c r="C150" s="5" t="n">
        <f aca="false">SUMPRODUCT((MONTH('07_CALENDARIO'!$A$2:$A$397)=B150)*(YEAR('07_CALENDARIO'!$A$2:$A$397)=p_anio_base)*'07_CALENDARIO'!$D$2:$D$397)</f>
        <v>22</v>
      </c>
      <c r="D150" s="11" t="n">
        <f aca="false">p_horas_productivas_dia</f>
        <v>8</v>
      </c>
      <c r="E150" s="5" t="n">
        <f aca="false">INDEX('04_MAQUINAS'!$E$2:$E$18,MATCH(A150,'04_MAQUINAS'!$A$2:$A$18,0))</f>
        <v>1</v>
      </c>
      <c r="F150" s="11" t="n">
        <f aca="false">C150*D150*E150</f>
        <v>176</v>
      </c>
      <c r="G150" s="17" t="n">
        <f aca="false">SUMIFS('09_CARGA_ORDEN'!$J$2:$J$1153,'09_CARGA_ORDEN'!$E$2:$E$1153,A150,'09_CARGA_ORDEN'!$K$2:$K$1153,B150)</f>
        <v>0</v>
      </c>
      <c r="H150" s="12" t="n">
        <f aca="false">IF(F150=0,"",G150/F150)</f>
        <v>0</v>
      </c>
      <c r="I150" s="2" t="s">
        <v>629</v>
      </c>
    </row>
    <row r="151" customFormat="false" ht="15" hidden="false" customHeight="false" outlineLevel="0" collapsed="false">
      <c r="A151" s="2" t="s">
        <v>415</v>
      </c>
      <c r="B151" s="4" t="n">
        <v>6</v>
      </c>
      <c r="C151" s="5" t="n">
        <f aca="false">SUMPRODUCT((MONTH('07_CALENDARIO'!$A$2:$A$397)=B151)*(YEAR('07_CALENDARIO'!$A$2:$A$397)=p_anio_base)*'07_CALENDARIO'!$D$2:$D$397)</f>
        <v>21</v>
      </c>
      <c r="D151" s="11" t="n">
        <f aca="false">p_horas_productivas_dia</f>
        <v>8</v>
      </c>
      <c r="E151" s="5" t="n">
        <f aca="false">INDEX('04_MAQUINAS'!$E$2:$E$18,MATCH(A151,'04_MAQUINAS'!$A$2:$A$18,0))</f>
        <v>1</v>
      </c>
      <c r="F151" s="11" t="n">
        <f aca="false">C151*D151*E151</f>
        <v>168</v>
      </c>
      <c r="G151" s="17" t="n">
        <f aca="false">SUMIFS('09_CARGA_ORDEN'!$J$2:$J$1153,'09_CARGA_ORDEN'!$E$2:$E$1153,A151,'09_CARGA_ORDEN'!$K$2:$K$1153,B151)</f>
        <v>0</v>
      </c>
      <c r="H151" s="12" t="n">
        <f aca="false">IF(F151=0,"",G151/F151)</f>
        <v>0</v>
      </c>
      <c r="I151" s="2" t="s">
        <v>629</v>
      </c>
    </row>
    <row r="152" customFormat="false" ht="15" hidden="false" customHeight="false" outlineLevel="0" collapsed="false">
      <c r="A152" s="2" t="s">
        <v>415</v>
      </c>
      <c r="B152" s="4" t="n">
        <v>7</v>
      </c>
      <c r="C152" s="5" t="n">
        <f aca="false">SUMPRODUCT((MONTH('07_CALENDARIO'!$A$2:$A$397)=B152)*(YEAR('07_CALENDARIO'!$A$2:$A$397)=p_anio_base)*'07_CALENDARIO'!$D$2:$D$397)</f>
        <v>23</v>
      </c>
      <c r="D152" s="11" t="n">
        <f aca="false">p_horas_productivas_dia</f>
        <v>8</v>
      </c>
      <c r="E152" s="5" t="n">
        <f aca="false">INDEX('04_MAQUINAS'!$E$2:$E$18,MATCH(A152,'04_MAQUINAS'!$A$2:$A$18,0))</f>
        <v>1</v>
      </c>
      <c r="F152" s="11" t="n">
        <f aca="false">C152*D152*E152</f>
        <v>184</v>
      </c>
      <c r="G152" s="17" t="n">
        <f aca="false">SUMIFS('09_CARGA_ORDEN'!$J$2:$J$1153,'09_CARGA_ORDEN'!$E$2:$E$1153,A152,'09_CARGA_ORDEN'!$K$2:$K$1153,B152)</f>
        <v>0</v>
      </c>
      <c r="H152" s="12" t="n">
        <f aca="false">IF(F152=0,"",G152/F152)</f>
        <v>0</v>
      </c>
      <c r="I152" s="2" t="s">
        <v>629</v>
      </c>
    </row>
    <row r="153" customFormat="false" ht="15" hidden="false" customHeight="false" outlineLevel="0" collapsed="false">
      <c r="A153" s="2" t="s">
        <v>415</v>
      </c>
      <c r="B153" s="4" t="n">
        <v>8</v>
      </c>
      <c r="C153" s="5" t="n">
        <f aca="false">SUMPRODUCT((MONTH('07_CALENDARIO'!$A$2:$A$397)=B153)*(YEAR('07_CALENDARIO'!$A$2:$A$397)=p_anio_base)*'07_CALENDARIO'!$D$2:$D$397)</f>
        <v>21</v>
      </c>
      <c r="D153" s="11" t="n">
        <f aca="false">p_horas_productivas_dia</f>
        <v>8</v>
      </c>
      <c r="E153" s="5" t="n">
        <f aca="false">INDEX('04_MAQUINAS'!$E$2:$E$18,MATCH(A153,'04_MAQUINAS'!$A$2:$A$18,0))</f>
        <v>1</v>
      </c>
      <c r="F153" s="11" t="n">
        <f aca="false">C153*D153*E153</f>
        <v>168</v>
      </c>
      <c r="G153" s="17" t="n">
        <f aca="false">SUMIFS('09_CARGA_ORDEN'!$J$2:$J$1153,'09_CARGA_ORDEN'!$E$2:$E$1153,A153,'09_CARGA_ORDEN'!$K$2:$K$1153,B153)</f>
        <v>0</v>
      </c>
      <c r="H153" s="12" t="n">
        <f aca="false">IF(F153=0,"",G153/F153)</f>
        <v>0</v>
      </c>
      <c r="I153" s="2" t="s">
        <v>629</v>
      </c>
    </row>
    <row r="154" customFormat="false" ht="15" hidden="false" customHeight="false" outlineLevel="0" collapsed="false">
      <c r="A154" s="2" t="s">
        <v>415</v>
      </c>
      <c r="B154" s="4" t="n">
        <v>9</v>
      </c>
      <c r="C154" s="5" t="n">
        <f aca="false">SUMPRODUCT((MONTH('07_CALENDARIO'!$A$2:$A$397)=B154)*(YEAR('07_CALENDARIO'!$A$2:$A$397)=p_anio_base)*'07_CALENDARIO'!$D$2:$D$397)</f>
        <v>22</v>
      </c>
      <c r="D154" s="11" t="n">
        <f aca="false">p_horas_productivas_dia</f>
        <v>8</v>
      </c>
      <c r="E154" s="5" t="n">
        <f aca="false">INDEX('04_MAQUINAS'!$E$2:$E$18,MATCH(A154,'04_MAQUINAS'!$A$2:$A$18,0))</f>
        <v>1</v>
      </c>
      <c r="F154" s="11" t="n">
        <f aca="false">C154*D154*E154</f>
        <v>176</v>
      </c>
      <c r="G154" s="17" t="n">
        <f aca="false">SUMIFS('09_CARGA_ORDEN'!$J$2:$J$1153,'09_CARGA_ORDEN'!$E$2:$E$1153,A154,'09_CARGA_ORDEN'!$K$2:$K$1153,B154)</f>
        <v>0</v>
      </c>
      <c r="H154" s="12" t="n">
        <f aca="false">IF(F154=0,"",G154/F154)</f>
        <v>0</v>
      </c>
      <c r="I154" s="2" t="s">
        <v>629</v>
      </c>
    </row>
    <row r="155" customFormat="false" ht="15" hidden="false" customHeight="false" outlineLevel="0" collapsed="false">
      <c r="A155" s="2" t="s">
        <v>415</v>
      </c>
      <c r="B155" s="4" t="n">
        <v>10</v>
      </c>
      <c r="C155" s="5" t="n">
        <f aca="false">SUMPRODUCT((MONTH('07_CALENDARIO'!$A$2:$A$397)=B155)*(YEAR('07_CALENDARIO'!$A$2:$A$397)=p_anio_base)*'07_CALENDARIO'!$D$2:$D$397)</f>
        <v>23</v>
      </c>
      <c r="D155" s="11" t="n">
        <f aca="false">p_horas_productivas_dia</f>
        <v>8</v>
      </c>
      <c r="E155" s="5" t="n">
        <f aca="false">INDEX('04_MAQUINAS'!$E$2:$E$18,MATCH(A155,'04_MAQUINAS'!$A$2:$A$18,0))</f>
        <v>1</v>
      </c>
      <c r="F155" s="11" t="n">
        <f aca="false">C155*D155*E155</f>
        <v>184</v>
      </c>
      <c r="G155" s="17" t="n">
        <f aca="false">SUMIFS('09_CARGA_ORDEN'!$J$2:$J$1153,'09_CARGA_ORDEN'!$E$2:$E$1153,A155,'09_CARGA_ORDEN'!$K$2:$K$1153,B155)</f>
        <v>0</v>
      </c>
      <c r="H155" s="12" t="n">
        <f aca="false">IF(F155=0,"",G155/F155)</f>
        <v>0</v>
      </c>
      <c r="I155" s="2" t="s">
        <v>629</v>
      </c>
    </row>
    <row r="156" customFormat="false" ht="15" hidden="false" customHeight="false" outlineLevel="0" collapsed="false">
      <c r="A156" s="2" t="s">
        <v>415</v>
      </c>
      <c r="B156" s="4" t="n">
        <v>11</v>
      </c>
      <c r="C156" s="5" t="n">
        <f aca="false">SUMPRODUCT((MONTH('07_CALENDARIO'!$A$2:$A$397)=B156)*(YEAR('07_CALENDARIO'!$A$2:$A$397)=p_anio_base)*'07_CALENDARIO'!$D$2:$D$397)</f>
        <v>20</v>
      </c>
      <c r="D156" s="11" t="n">
        <f aca="false">p_horas_productivas_dia</f>
        <v>8</v>
      </c>
      <c r="E156" s="5" t="n">
        <f aca="false">INDEX('04_MAQUINAS'!$E$2:$E$18,MATCH(A156,'04_MAQUINAS'!$A$2:$A$18,0))</f>
        <v>1</v>
      </c>
      <c r="F156" s="11" t="n">
        <f aca="false">C156*D156*E156</f>
        <v>160</v>
      </c>
      <c r="G156" s="17" t="n">
        <f aca="false">SUMIFS('09_CARGA_ORDEN'!$J$2:$J$1153,'09_CARGA_ORDEN'!$E$2:$E$1153,A156,'09_CARGA_ORDEN'!$K$2:$K$1153,B156)</f>
        <v>0</v>
      </c>
      <c r="H156" s="12" t="n">
        <f aca="false">IF(F156=0,"",G156/F156)</f>
        <v>0</v>
      </c>
      <c r="I156" s="2" t="s">
        <v>629</v>
      </c>
    </row>
    <row r="157" customFormat="false" ht="15" hidden="false" customHeight="false" outlineLevel="0" collapsed="false">
      <c r="A157" s="2" t="s">
        <v>415</v>
      </c>
      <c r="B157" s="4" t="n">
        <v>12</v>
      </c>
      <c r="C157" s="5" t="n">
        <f aca="false">SUMPRODUCT((MONTH('07_CALENDARIO'!$A$2:$A$397)=B157)*(YEAR('07_CALENDARIO'!$A$2:$A$397)=p_anio_base)*'07_CALENDARIO'!$D$2:$D$397)</f>
        <v>23</v>
      </c>
      <c r="D157" s="11" t="n">
        <f aca="false">p_horas_productivas_dia</f>
        <v>8</v>
      </c>
      <c r="E157" s="5" t="n">
        <f aca="false">INDEX('04_MAQUINAS'!$E$2:$E$18,MATCH(A157,'04_MAQUINAS'!$A$2:$A$18,0))</f>
        <v>1</v>
      </c>
      <c r="F157" s="11" t="n">
        <f aca="false">C157*D157*E157</f>
        <v>184</v>
      </c>
      <c r="G157" s="17" t="n">
        <f aca="false">SUMIFS('09_CARGA_ORDEN'!$J$2:$J$1153,'09_CARGA_ORDEN'!$E$2:$E$1153,A157,'09_CARGA_ORDEN'!$K$2:$K$1153,B157)</f>
        <v>0</v>
      </c>
      <c r="H157" s="12" t="n">
        <f aca="false">IF(F157=0,"",G157/F157)</f>
        <v>0</v>
      </c>
      <c r="I157" s="2" t="s">
        <v>629</v>
      </c>
    </row>
    <row r="158" customFormat="false" ht="15" hidden="false" customHeight="false" outlineLevel="0" collapsed="false">
      <c r="A158" s="2" t="s">
        <v>417</v>
      </c>
      <c r="B158" s="4" t="n">
        <v>1</v>
      </c>
      <c r="C158" s="5" t="n">
        <f aca="false">SUMPRODUCT((MONTH('07_CALENDARIO'!$A$2:$A$397)=B158)*(YEAR('07_CALENDARIO'!$A$2:$A$397)=p_anio_base)*'07_CALENDARIO'!$D$2:$D$397)</f>
        <v>23</v>
      </c>
      <c r="D158" s="11" t="n">
        <f aca="false">p_horas_productivas_dia</f>
        <v>8</v>
      </c>
      <c r="E158" s="5" t="n">
        <f aca="false">INDEX('04_MAQUINAS'!$E$2:$E$18,MATCH(A158,'04_MAQUINAS'!$A$2:$A$18,0))</f>
        <v>0</v>
      </c>
      <c r="F158" s="11" t="n">
        <f aca="false">C158*D158*E158</f>
        <v>0</v>
      </c>
      <c r="G158" s="17" t="n">
        <f aca="false">SUMIFS('09_CARGA_ORDEN'!$J$2:$J$1153,'09_CARGA_ORDEN'!$E$2:$E$1153,A158,'09_CARGA_ORDEN'!$K$2:$K$1153,B158)</f>
        <v>0</v>
      </c>
      <c r="H158" s="12" t="str">
        <f aca="false">IF(F158=0,"",G158/F158)</f>
        <v/>
      </c>
      <c r="I158" s="2" t="s">
        <v>629</v>
      </c>
    </row>
    <row r="159" customFormat="false" ht="15" hidden="false" customHeight="false" outlineLevel="0" collapsed="false">
      <c r="A159" s="2" t="s">
        <v>417</v>
      </c>
      <c r="B159" s="4" t="n">
        <v>2</v>
      </c>
      <c r="C159" s="5" t="n">
        <f aca="false">SUMPRODUCT((MONTH('07_CALENDARIO'!$A$2:$A$397)=B159)*(YEAR('07_CALENDARIO'!$A$2:$A$397)=p_anio_base)*'07_CALENDARIO'!$D$2:$D$397)</f>
        <v>20</v>
      </c>
      <c r="D159" s="11" t="n">
        <f aca="false">p_horas_productivas_dia</f>
        <v>8</v>
      </c>
      <c r="E159" s="5" t="n">
        <f aca="false">INDEX('04_MAQUINAS'!$E$2:$E$18,MATCH(A159,'04_MAQUINAS'!$A$2:$A$18,0))</f>
        <v>0</v>
      </c>
      <c r="F159" s="11" t="n">
        <f aca="false">C159*D159*E159</f>
        <v>0</v>
      </c>
      <c r="G159" s="17" t="n">
        <f aca="false">SUMIFS('09_CARGA_ORDEN'!$J$2:$J$1153,'09_CARGA_ORDEN'!$E$2:$E$1153,A159,'09_CARGA_ORDEN'!$K$2:$K$1153,B159)</f>
        <v>0</v>
      </c>
      <c r="H159" s="12" t="str">
        <f aca="false">IF(F159=0,"",G159/F159)</f>
        <v/>
      </c>
      <c r="I159" s="2" t="s">
        <v>629</v>
      </c>
    </row>
    <row r="160" customFormat="false" ht="15" hidden="false" customHeight="false" outlineLevel="0" collapsed="false">
      <c r="A160" s="2" t="s">
        <v>417</v>
      </c>
      <c r="B160" s="4" t="n">
        <v>3</v>
      </c>
      <c r="C160" s="5" t="n">
        <f aca="false">SUMPRODUCT((MONTH('07_CALENDARIO'!$A$2:$A$397)=B160)*(YEAR('07_CALENDARIO'!$A$2:$A$397)=p_anio_base)*'07_CALENDARIO'!$D$2:$D$397)</f>
        <v>21</v>
      </c>
      <c r="D160" s="11" t="n">
        <f aca="false">p_horas_productivas_dia</f>
        <v>8</v>
      </c>
      <c r="E160" s="5" t="n">
        <f aca="false">INDEX('04_MAQUINAS'!$E$2:$E$18,MATCH(A160,'04_MAQUINAS'!$A$2:$A$18,0))</f>
        <v>0</v>
      </c>
      <c r="F160" s="11" t="n">
        <f aca="false">C160*D160*E160</f>
        <v>0</v>
      </c>
      <c r="G160" s="17" t="n">
        <f aca="false">SUMIFS('09_CARGA_ORDEN'!$J$2:$J$1153,'09_CARGA_ORDEN'!$E$2:$E$1153,A160,'09_CARGA_ORDEN'!$K$2:$K$1153,B160)</f>
        <v>0</v>
      </c>
      <c r="H160" s="12" t="str">
        <f aca="false">IF(F160=0,"",G160/F160)</f>
        <v/>
      </c>
      <c r="I160" s="2" t="s">
        <v>629</v>
      </c>
    </row>
    <row r="161" customFormat="false" ht="15" hidden="false" customHeight="false" outlineLevel="0" collapsed="false">
      <c r="A161" s="2" t="s">
        <v>417</v>
      </c>
      <c r="B161" s="4" t="n">
        <v>4</v>
      </c>
      <c r="C161" s="5" t="n">
        <f aca="false">SUMPRODUCT((MONTH('07_CALENDARIO'!$A$2:$A$397)=B161)*(YEAR('07_CALENDARIO'!$A$2:$A$397)=p_anio_base)*'07_CALENDARIO'!$D$2:$D$397)</f>
        <v>22</v>
      </c>
      <c r="D161" s="11" t="n">
        <f aca="false">p_horas_productivas_dia</f>
        <v>8</v>
      </c>
      <c r="E161" s="5" t="n">
        <f aca="false">INDEX('04_MAQUINAS'!$E$2:$E$18,MATCH(A161,'04_MAQUINAS'!$A$2:$A$18,0))</f>
        <v>0</v>
      </c>
      <c r="F161" s="11" t="n">
        <f aca="false">C161*D161*E161</f>
        <v>0</v>
      </c>
      <c r="G161" s="17" t="n">
        <f aca="false">SUMIFS('09_CARGA_ORDEN'!$J$2:$J$1153,'09_CARGA_ORDEN'!$E$2:$E$1153,A161,'09_CARGA_ORDEN'!$K$2:$K$1153,B161)</f>
        <v>0</v>
      </c>
      <c r="H161" s="12" t="str">
        <f aca="false">IF(F161=0,"",G161/F161)</f>
        <v/>
      </c>
      <c r="I161" s="2" t="s">
        <v>629</v>
      </c>
    </row>
    <row r="162" customFormat="false" ht="15" hidden="false" customHeight="false" outlineLevel="0" collapsed="false">
      <c r="A162" s="2" t="s">
        <v>417</v>
      </c>
      <c r="B162" s="4" t="n">
        <v>5</v>
      </c>
      <c r="C162" s="5" t="n">
        <f aca="false">SUMPRODUCT((MONTH('07_CALENDARIO'!$A$2:$A$397)=B162)*(YEAR('07_CALENDARIO'!$A$2:$A$397)=p_anio_base)*'07_CALENDARIO'!$D$2:$D$397)</f>
        <v>22</v>
      </c>
      <c r="D162" s="11" t="n">
        <f aca="false">p_horas_productivas_dia</f>
        <v>8</v>
      </c>
      <c r="E162" s="5" t="n">
        <f aca="false">INDEX('04_MAQUINAS'!$E$2:$E$18,MATCH(A162,'04_MAQUINAS'!$A$2:$A$18,0))</f>
        <v>0</v>
      </c>
      <c r="F162" s="11" t="n">
        <f aca="false">C162*D162*E162</f>
        <v>0</v>
      </c>
      <c r="G162" s="17" t="n">
        <f aca="false">SUMIFS('09_CARGA_ORDEN'!$J$2:$J$1153,'09_CARGA_ORDEN'!$E$2:$E$1153,A162,'09_CARGA_ORDEN'!$K$2:$K$1153,B162)</f>
        <v>0</v>
      </c>
      <c r="H162" s="12" t="str">
        <f aca="false">IF(F162=0,"",G162/F162)</f>
        <v/>
      </c>
      <c r="I162" s="2" t="s">
        <v>629</v>
      </c>
    </row>
    <row r="163" customFormat="false" ht="15" hidden="false" customHeight="false" outlineLevel="0" collapsed="false">
      <c r="A163" s="2" t="s">
        <v>417</v>
      </c>
      <c r="B163" s="4" t="n">
        <v>6</v>
      </c>
      <c r="C163" s="5" t="n">
        <f aca="false">SUMPRODUCT((MONTH('07_CALENDARIO'!$A$2:$A$397)=B163)*(YEAR('07_CALENDARIO'!$A$2:$A$397)=p_anio_base)*'07_CALENDARIO'!$D$2:$D$397)</f>
        <v>21</v>
      </c>
      <c r="D163" s="11" t="n">
        <f aca="false">p_horas_productivas_dia</f>
        <v>8</v>
      </c>
      <c r="E163" s="5" t="n">
        <f aca="false">INDEX('04_MAQUINAS'!$E$2:$E$18,MATCH(A163,'04_MAQUINAS'!$A$2:$A$18,0))</f>
        <v>0</v>
      </c>
      <c r="F163" s="11" t="n">
        <f aca="false">C163*D163*E163</f>
        <v>0</v>
      </c>
      <c r="G163" s="17" t="n">
        <f aca="false">SUMIFS('09_CARGA_ORDEN'!$J$2:$J$1153,'09_CARGA_ORDEN'!$E$2:$E$1153,A163,'09_CARGA_ORDEN'!$K$2:$K$1153,B163)</f>
        <v>0</v>
      </c>
      <c r="H163" s="12" t="str">
        <f aca="false">IF(F163=0,"",G163/F163)</f>
        <v/>
      </c>
      <c r="I163" s="2" t="s">
        <v>629</v>
      </c>
    </row>
    <row r="164" customFormat="false" ht="15" hidden="false" customHeight="false" outlineLevel="0" collapsed="false">
      <c r="A164" s="2" t="s">
        <v>417</v>
      </c>
      <c r="B164" s="4" t="n">
        <v>7</v>
      </c>
      <c r="C164" s="5" t="n">
        <f aca="false">SUMPRODUCT((MONTH('07_CALENDARIO'!$A$2:$A$397)=B164)*(YEAR('07_CALENDARIO'!$A$2:$A$397)=p_anio_base)*'07_CALENDARIO'!$D$2:$D$397)</f>
        <v>23</v>
      </c>
      <c r="D164" s="11" t="n">
        <f aca="false">p_horas_productivas_dia</f>
        <v>8</v>
      </c>
      <c r="E164" s="5" t="n">
        <f aca="false">INDEX('04_MAQUINAS'!$E$2:$E$18,MATCH(A164,'04_MAQUINAS'!$A$2:$A$18,0))</f>
        <v>0</v>
      </c>
      <c r="F164" s="11" t="n">
        <f aca="false">C164*D164*E164</f>
        <v>0</v>
      </c>
      <c r="G164" s="17" t="n">
        <f aca="false">SUMIFS('09_CARGA_ORDEN'!$J$2:$J$1153,'09_CARGA_ORDEN'!$E$2:$E$1153,A164,'09_CARGA_ORDEN'!$K$2:$K$1153,B164)</f>
        <v>0</v>
      </c>
      <c r="H164" s="12" t="str">
        <f aca="false">IF(F164=0,"",G164/F164)</f>
        <v/>
      </c>
      <c r="I164" s="2" t="s">
        <v>629</v>
      </c>
    </row>
    <row r="165" customFormat="false" ht="15" hidden="false" customHeight="false" outlineLevel="0" collapsed="false">
      <c r="A165" s="2" t="s">
        <v>417</v>
      </c>
      <c r="B165" s="4" t="n">
        <v>8</v>
      </c>
      <c r="C165" s="5" t="n">
        <f aca="false">SUMPRODUCT((MONTH('07_CALENDARIO'!$A$2:$A$397)=B165)*(YEAR('07_CALENDARIO'!$A$2:$A$397)=p_anio_base)*'07_CALENDARIO'!$D$2:$D$397)</f>
        <v>21</v>
      </c>
      <c r="D165" s="11" t="n">
        <f aca="false">p_horas_productivas_dia</f>
        <v>8</v>
      </c>
      <c r="E165" s="5" t="n">
        <f aca="false">INDEX('04_MAQUINAS'!$E$2:$E$18,MATCH(A165,'04_MAQUINAS'!$A$2:$A$18,0))</f>
        <v>0</v>
      </c>
      <c r="F165" s="11" t="n">
        <f aca="false">C165*D165*E165</f>
        <v>0</v>
      </c>
      <c r="G165" s="17" t="n">
        <f aca="false">SUMIFS('09_CARGA_ORDEN'!$J$2:$J$1153,'09_CARGA_ORDEN'!$E$2:$E$1153,A165,'09_CARGA_ORDEN'!$K$2:$K$1153,B165)</f>
        <v>0</v>
      </c>
      <c r="H165" s="12" t="str">
        <f aca="false">IF(F165=0,"",G165/F165)</f>
        <v/>
      </c>
      <c r="I165" s="2" t="s">
        <v>629</v>
      </c>
    </row>
    <row r="166" customFormat="false" ht="15" hidden="false" customHeight="false" outlineLevel="0" collapsed="false">
      <c r="A166" s="2" t="s">
        <v>417</v>
      </c>
      <c r="B166" s="4" t="n">
        <v>9</v>
      </c>
      <c r="C166" s="5" t="n">
        <f aca="false">SUMPRODUCT((MONTH('07_CALENDARIO'!$A$2:$A$397)=B166)*(YEAR('07_CALENDARIO'!$A$2:$A$397)=p_anio_base)*'07_CALENDARIO'!$D$2:$D$397)</f>
        <v>22</v>
      </c>
      <c r="D166" s="11" t="n">
        <f aca="false">p_horas_productivas_dia</f>
        <v>8</v>
      </c>
      <c r="E166" s="5" t="n">
        <f aca="false">INDEX('04_MAQUINAS'!$E$2:$E$18,MATCH(A166,'04_MAQUINAS'!$A$2:$A$18,0))</f>
        <v>0</v>
      </c>
      <c r="F166" s="11" t="n">
        <f aca="false">C166*D166*E166</f>
        <v>0</v>
      </c>
      <c r="G166" s="17" t="n">
        <f aca="false">SUMIFS('09_CARGA_ORDEN'!$J$2:$J$1153,'09_CARGA_ORDEN'!$E$2:$E$1153,A166,'09_CARGA_ORDEN'!$K$2:$K$1153,B166)</f>
        <v>0</v>
      </c>
      <c r="H166" s="12" t="str">
        <f aca="false">IF(F166=0,"",G166/F166)</f>
        <v/>
      </c>
      <c r="I166" s="2" t="s">
        <v>629</v>
      </c>
    </row>
    <row r="167" customFormat="false" ht="15" hidden="false" customHeight="false" outlineLevel="0" collapsed="false">
      <c r="A167" s="2" t="s">
        <v>417</v>
      </c>
      <c r="B167" s="4" t="n">
        <v>10</v>
      </c>
      <c r="C167" s="5" t="n">
        <f aca="false">SUMPRODUCT((MONTH('07_CALENDARIO'!$A$2:$A$397)=B167)*(YEAR('07_CALENDARIO'!$A$2:$A$397)=p_anio_base)*'07_CALENDARIO'!$D$2:$D$397)</f>
        <v>23</v>
      </c>
      <c r="D167" s="11" t="n">
        <f aca="false">p_horas_productivas_dia</f>
        <v>8</v>
      </c>
      <c r="E167" s="5" t="n">
        <f aca="false">INDEX('04_MAQUINAS'!$E$2:$E$18,MATCH(A167,'04_MAQUINAS'!$A$2:$A$18,0))</f>
        <v>0</v>
      </c>
      <c r="F167" s="11" t="n">
        <f aca="false">C167*D167*E167</f>
        <v>0</v>
      </c>
      <c r="G167" s="17" t="n">
        <f aca="false">SUMIFS('09_CARGA_ORDEN'!$J$2:$J$1153,'09_CARGA_ORDEN'!$E$2:$E$1153,A167,'09_CARGA_ORDEN'!$K$2:$K$1153,B167)</f>
        <v>0</v>
      </c>
      <c r="H167" s="12" t="str">
        <f aca="false">IF(F167=0,"",G167/F167)</f>
        <v/>
      </c>
      <c r="I167" s="2" t="s">
        <v>629</v>
      </c>
    </row>
    <row r="168" customFormat="false" ht="15" hidden="false" customHeight="false" outlineLevel="0" collapsed="false">
      <c r="A168" s="2" t="s">
        <v>417</v>
      </c>
      <c r="B168" s="4" t="n">
        <v>11</v>
      </c>
      <c r="C168" s="5" t="n">
        <f aca="false">SUMPRODUCT((MONTH('07_CALENDARIO'!$A$2:$A$397)=B168)*(YEAR('07_CALENDARIO'!$A$2:$A$397)=p_anio_base)*'07_CALENDARIO'!$D$2:$D$397)</f>
        <v>20</v>
      </c>
      <c r="D168" s="11" t="n">
        <f aca="false">p_horas_productivas_dia</f>
        <v>8</v>
      </c>
      <c r="E168" s="5" t="n">
        <f aca="false">INDEX('04_MAQUINAS'!$E$2:$E$18,MATCH(A168,'04_MAQUINAS'!$A$2:$A$18,0))</f>
        <v>0</v>
      </c>
      <c r="F168" s="11" t="n">
        <f aca="false">C168*D168*E168</f>
        <v>0</v>
      </c>
      <c r="G168" s="17" t="n">
        <f aca="false">SUMIFS('09_CARGA_ORDEN'!$J$2:$J$1153,'09_CARGA_ORDEN'!$E$2:$E$1153,A168,'09_CARGA_ORDEN'!$K$2:$K$1153,B168)</f>
        <v>0</v>
      </c>
      <c r="H168" s="12" t="str">
        <f aca="false">IF(F168=0,"",G168/F168)</f>
        <v/>
      </c>
      <c r="I168" s="2" t="s">
        <v>629</v>
      </c>
    </row>
    <row r="169" customFormat="false" ht="15" hidden="false" customHeight="false" outlineLevel="0" collapsed="false">
      <c r="A169" s="2" t="s">
        <v>417</v>
      </c>
      <c r="B169" s="4" t="n">
        <v>12</v>
      </c>
      <c r="C169" s="5" t="n">
        <f aca="false">SUMPRODUCT((MONTH('07_CALENDARIO'!$A$2:$A$397)=B169)*(YEAR('07_CALENDARIO'!$A$2:$A$397)=p_anio_base)*'07_CALENDARIO'!$D$2:$D$397)</f>
        <v>23</v>
      </c>
      <c r="D169" s="11" t="n">
        <f aca="false">p_horas_productivas_dia</f>
        <v>8</v>
      </c>
      <c r="E169" s="5" t="n">
        <f aca="false">INDEX('04_MAQUINAS'!$E$2:$E$18,MATCH(A169,'04_MAQUINAS'!$A$2:$A$18,0))</f>
        <v>0</v>
      </c>
      <c r="F169" s="11" t="n">
        <f aca="false">C169*D169*E169</f>
        <v>0</v>
      </c>
      <c r="G169" s="17" t="n">
        <f aca="false">SUMIFS('09_CARGA_ORDEN'!$J$2:$J$1153,'09_CARGA_ORDEN'!$E$2:$E$1153,A169,'09_CARGA_ORDEN'!$K$2:$K$1153,B169)</f>
        <v>0</v>
      </c>
      <c r="H169" s="12" t="str">
        <f aca="false">IF(F169=0,"",G169/F169)</f>
        <v/>
      </c>
      <c r="I169" s="2" t="s">
        <v>629</v>
      </c>
    </row>
    <row r="170" customFormat="false" ht="15" hidden="false" customHeight="false" outlineLevel="0" collapsed="false">
      <c r="A170" s="2" t="s">
        <v>421</v>
      </c>
      <c r="B170" s="4" t="n">
        <v>1</v>
      </c>
      <c r="C170" s="5" t="n">
        <f aca="false">SUMPRODUCT((MONTH('07_CALENDARIO'!$A$2:$A$397)=B170)*(YEAR('07_CALENDARIO'!$A$2:$A$397)=p_anio_base)*'07_CALENDARIO'!$D$2:$D$397)</f>
        <v>23</v>
      </c>
      <c r="D170" s="11" t="n">
        <f aca="false">p_horas_productivas_dia</f>
        <v>8</v>
      </c>
      <c r="E170" s="5" t="n">
        <f aca="false">INDEX('04_MAQUINAS'!$E$2:$E$18,MATCH(A170,'04_MAQUINAS'!$A$2:$A$18,0))</f>
        <v>1</v>
      </c>
      <c r="F170" s="11" t="n">
        <f aca="false">C170*D170*E170</f>
        <v>184</v>
      </c>
      <c r="G170" s="17" t="n">
        <f aca="false">SUMIFS('09_CARGA_ORDEN'!$J$2:$J$1153,'09_CARGA_ORDEN'!$E$2:$E$1153,A170,'09_CARGA_ORDEN'!$K$2:$K$1153,B170)</f>
        <v>7.5</v>
      </c>
      <c r="H170" s="12" t="n">
        <f aca="false">IF(F170=0,"",G170/F170)</f>
        <v>0.0407608695652174</v>
      </c>
      <c r="I170" s="2" t="s">
        <v>629</v>
      </c>
    </row>
    <row r="171" customFormat="false" ht="15" hidden="false" customHeight="false" outlineLevel="0" collapsed="false">
      <c r="A171" s="2" t="s">
        <v>421</v>
      </c>
      <c r="B171" s="4" t="n">
        <v>2</v>
      </c>
      <c r="C171" s="5" t="n">
        <f aca="false">SUMPRODUCT((MONTH('07_CALENDARIO'!$A$2:$A$397)=B171)*(YEAR('07_CALENDARIO'!$A$2:$A$397)=p_anio_base)*'07_CALENDARIO'!$D$2:$D$397)</f>
        <v>20</v>
      </c>
      <c r="D171" s="11" t="n">
        <f aca="false">p_horas_productivas_dia</f>
        <v>8</v>
      </c>
      <c r="E171" s="5" t="n">
        <f aca="false">INDEX('04_MAQUINAS'!$E$2:$E$18,MATCH(A171,'04_MAQUINAS'!$A$2:$A$18,0))</f>
        <v>1</v>
      </c>
      <c r="F171" s="11" t="n">
        <f aca="false">C171*D171*E171</f>
        <v>160</v>
      </c>
      <c r="G171" s="17" t="n">
        <f aca="false">SUMIFS('09_CARGA_ORDEN'!$J$2:$J$1153,'09_CARGA_ORDEN'!$E$2:$E$1153,A171,'09_CARGA_ORDEN'!$K$2:$K$1153,B171)</f>
        <v>7.5</v>
      </c>
      <c r="H171" s="12" t="n">
        <f aca="false">IF(F171=0,"",G171/F171)</f>
        <v>0.046875</v>
      </c>
      <c r="I171" s="2" t="s">
        <v>629</v>
      </c>
    </row>
    <row r="172" customFormat="false" ht="15" hidden="false" customHeight="false" outlineLevel="0" collapsed="false">
      <c r="A172" s="2" t="s">
        <v>421</v>
      </c>
      <c r="B172" s="4" t="n">
        <v>3</v>
      </c>
      <c r="C172" s="5" t="n">
        <f aca="false">SUMPRODUCT((MONTH('07_CALENDARIO'!$A$2:$A$397)=B172)*(YEAR('07_CALENDARIO'!$A$2:$A$397)=p_anio_base)*'07_CALENDARIO'!$D$2:$D$397)</f>
        <v>21</v>
      </c>
      <c r="D172" s="11" t="n">
        <f aca="false">p_horas_productivas_dia</f>
        <v>8</v>
      </c>
      <c r="E172" s="5" t="n">
        <f aca="false">INDEX('04_MAQUINAS'!$E$2:$E$18,MATCH(A172,'04_MAQUINAS'!$A$2:$A$18,0))</f>
        <v>1</v>
      </c>
      <c r="F172" s="11" t="n">
        <f aca="false">C172*D172*E172</f>
        <v>168</v>
      </c>
      <c r="G172" s="17" t="n">
        <f aca="false">SUMIFS('09_CARGA_ORDEN'!$J$2:$J$1153,'09_CARGA_ORDEN'!$E$2:$E$1153,A172,'09_CARGA_ORDEN'!$K$2:$K$1153,B172)</f>
        <v>7.5</v>
      </c>
      <c r="H172" s="12" t="n">
        <f aca="false">IF(F172=0,"",G172/F172)</f>
        <v>0.0446428571428571</v>
      </c>
      <c r="I172" s="2" t="s">
        <v>629</v>
      </c>
    </row>
    <row r="173" customFormat="false" ht="15" hidden="false" customHeight="false" outlineLevel="0" collapsed="false">
      <c r="A173" s="2" t="s">
        <v>421</v>
      </c>
      <c r="B173" s="4" t="n">
        <v>4</v>
      </c>
      <c r="C173" s="5" t="n">
        <f aca="false">SUMPRODUCT((MONTH('07_CALENDARIO'!$A$2:$A$397)=B173)*(YEAR('07_CALENDARIO'!$A$2:$A$397)=p_anio_base)*'07_CALENDARIO'!$D$2:$D$397)</f>
        <v>22</v>
      </c>
      <c r="D173" s="11" t="n">
        <f aca="false">p_horas_productivas_dia</f>
        <v>8</v>
      </c>
      <c r="E173" s="5" t="n">
        <f aca="false">INDEX('04_MAQUINAS'!$E$2:$E$18,MATCH(A173,'04_MAQUINAS'!$A$2:$A$18,0))</f>
        <v>1</v>
      </c>
      <c r="F173" s="11" t="n">
        <f aca="false">C173*D173*E173</f>
        <v>176</v>
      </c>
      <c r="G173" s="17" t="n">
        <f aca="false">SUMIFS('09_CARGA_ORDEN'!$J$2:$J$1153,'09_CARGA_ORDEN'!$E$2:$E$1153,A173,'09_CARGA_ORDEN'!$K$2:$K$1153,B173)</f>
        <v>7.5</v>
      </c>
      <c r="H173" s="12" t="n">
        <f aca="false">IF(F173=0,"",G173/F173)</f>
        <v>0.0426136363636364</v>
      </c>
      <c r="I173" s="2" t="s">
        <v>629</v>
      </c>
    </row>
    <row r="174" customFormat="false" ht="15" hidden="false" customHeight="false" outlineLevel="0" collapsed="false">
      <c r="A174" s="2" t="s">
        <v>421</v>
      </c>
      <c r="B174" s="4" t="n">
        <v>5</v>
      </c>
      <c r="C174" s="5" t="n">
        <f aca="false">SUMPRODUCT((MONTH('07_CALENDARIO'!$A$2:$A$397)=B174)*(YEAR('07_CALENDARIO'!$A$2:$A$397)=p_anio_base)*'07_CALENDARIO'!$D$2:$D$397)</f>
        <v>22</v>
      </c>
      <c r="D174" s="11" t="n">
        <f aca="false">p_horas_productivas_dia</f>
        <v>8</v>
      </c>
      <c r="E174" s="5" t="n">
        <f aca="false">INDEX('04_MAQUINAS'!$E$2:$E$18,MATCH(A174,'04_MAQUINAS'!$A$2:$A$18,0))</f>
        <v>1</v>
      </c>
      <c r="F174" s="11" t="n">
        <f aca="false">C174*D174*E174</f>
        <v>176</v>
      </c>
      <c r="G174" s="17" t="n">
        <f aca="false">SUMIFS('09_CARGA_ORDEN'!$J$2:$J$1153,'09_CARGA_ORDEN'!$E$2:$E$1153,A174,'09_CARGA_ORDEN'!$K$2:$K$1153,B174)</f>
        <v>7.5</v>
      </c>
      <c r="H174" s="12" t="n">
        <f aca="false">IF(F174=0,"",G174/F174)</f>
        <v>0.0426136363636364</v>
      </c>
      <c r="I174" s="2" t="s">
        <v>629</v>
      </c>
    </row>
    <row r="175" customFormat="false" ht="15" hidden="false" customHeight="false" outlineLevel="0" collapsed="false">
      <c r="A175" s="2" t="s">
        <v>421</v>
      </c>
      <c r="B175" s="4" t="n">
        <v>6</v>
      </c>
      <c r="C175" s="5" t="n">
        <f aca="false">SUMPRODUCT((MONTH('07_CALENDARIO'!$A$2:$A$397)=B175)*(YEAR('07_CALENDARIO'!$A$2:$A$397)=p_anio_base)*'07_CALENDARIO'!$D$2:$D$397)</f>
        <v>21</v>
      </c>
      <c r="D175" s="11" t="n">
        <f aca="false">p_horas_productivas_dia</f>
        <v>8</v>
      </c>
      <c r="E175" s="5" t="n">
        <f aca="false">INDEX('04_MAQUINAS'!$E$2:$E$18,MATCH(A175,'04_MAQUINAS'!$A$2:$A$18,0))</f>
        <v>1</v>
      </c>
      <c r="F175" s="11" t="n">
        <f aca="false">C175*D175*E175</f>
        <v>168</v>
      </c>
      <c r="G175" s="17" t="n">
        <f aca="false">SUMIFS('09_CARGA_ORDEN'!$J$2:$J$1153,'09_CARGA_ORDEN'!$E$2:$E$1153,A175,'09_CARGA_ORDEN'!$K$2:$K$1153,B175)</f>
        <v>9</v>
      </c>
      <c r="H175" s="12" t="n">
        <f aca="false">IF(F175=0,"",G175/F175)</f>
        <v>0.0535714285714286</v>
      </c>
      <c r="I175" s="2" t="s">
        <v>629</v>
      </c>
    </row>
    <row r="176" customFormat="false" ht="15" hidden="false" customHeight="false" outlineLevel="0" collapsed="false">
      <c r="A176" s="2" t="s">
        <v>421</v>
      </c>
      <c r="B176" s="4" t="n">
        <v>7</v>
      </c>
      <c r="C176" s="5" t="n">
        <f aca="false">SUMPRODUCT((MONTH('07_CALENDARIO'!$A$2:$A$397)=B176)*(YEAR('07_CALENDARIO'!$A$2:$A$397)=p_anio_base)*'07_CALENDARIO'!$D$2:$D$397)</f>
        <v>23</v>
      </c>
      <c r="D176" s="11" t="n">
        <f aca="false">p_horas_productivas_dia</f>
        <v>8</v>
      </c>
      <c r="E176" s="5" t="n">
        <f aca="false">INDEX('04_MAQUINAS'!$E$2:$E$18,MATCH(A176,'04_MAQUINAS'!$A$2:$A$18,0))</f>
        <v>1</v>
      </c>
      <c r="F176" s="11" t="n">
        <f aca="false">C176*D176*E176</f>
        <v>184</v>
      </c>
      <c r="G176" s="17" t="n">
        <f aca="false">SUMIFS('09_CARGA_ORDEN'!$J$2:$J$1153,'09_CARGA_ORDEN'!$E$2:$E$1153,A176,'09_CARGA_ORDEN'!$K$2:$K$1153,B176)</f>
        <v>9</v>
      </c>
      <c r="H176" s="12" t="n">
        <f aca="false">IF(F176=0,"",G176/F176)</f>
        <v>0.0489130434782609</v>
      </c>
      <c r="I176" s="2" t="s">
        <v>629</v>
      </c>
    </row>
    <row r="177" customFormat="false" ht="15" hidden="false" customHeight="false" outlineLevel="0" collapsed="false">
      <c r="A177" s="2" t="s">
        <v>421</v>
      </c>
      <c r="B177" s="4" t="n">
        <v>8</v>
      </c>
      <c r="C177" s="5" t="n">
        <f aca="false">SUMPRODUCT((MONTH('07_CALENDARIO'!$A$2:$A$397)=B177)*(YEAR('07_CALENDARIO'!$A$2:$A$397)=p_anio_base)*'07_CALENDARIO'!$D$2:$D$397)</f>
        <v>21</v>
      </c>
      <c r="D177" s="11" t="n">
        <f aca="false">p_horas_productivas_dia</f>
        <v>8</v>
      </c>
      <c r="E177" s="5" t="n">
        <f aca="false">INDEX('04_MAQUINAS'!$E$2:$E$18,MATCH(A177,'04_MAQUINAS'!$A$2:$A$18,0))</f>
        <v>1</v>
      </c>
      <c r="F177" s="11" t="n">
        <f aca="false">C177*D177*E177</f>
        <v>168</v>
      </c>
      <c r="G177" s="17" t="n">
        <f aca="false">SUMIFS('09_CARGA_ORDEN'!$J$2:$J$1153,'09_CARGA_ORDEN'!$E$2:$E$1153,A177,'09_CARGA_ORDEN'!$K$2:$K$1153,B177)</f>
        <v>9</v>
      </c>
      <c r="H177" s="12" t="n">
        <f aca="false">IF(F177=0,"",G177/F177)</f>
        <v>0.0535714285714286</v>
      </c>
      <c r="I177" s="2" t="s">
        <v>629</v>
      </c>
    </row>
    <row r="178" customFormat="false" ht="15" hidden="false" customHeight="false" outlineLevel="0" collapsed="false">
      <c r="A178" s="2" t="s">
        <v>421</v>
      </c>
      <c r="B178" s="4" t="n">
        <v>9</v>
      </c>
      <c r="C178" s="5" t="n">
        <f aca="false">SUMPRODUCT((MONTH('07_CALENDARIO'!$A$2:$A$397)=B178)*(YEAR('07_CALENDARIO'!$A$2:$A$397)=p_anio_base)*'07_CALENDARIO'!$D$2:$D$397)</f>
        <v>22</v>
      </c>
      <c r="D178" s="11" t="n">
        <f aca="false">p_horas_productivas_dia</f>
        <v>8</v>
      </c>
      <c r="E178" s="5" t="n">
        <f aca="false">INDEX('04_MAQUINAS'!$E$2:$E$18,MATCH(A178,'04_MAQUINAS'!$A$2:$A$18,0))</f>
        <v>1</v>
      </c>
      <c r="F178" s="11" t="n">
        <f aca="false">C178*D178*E178</f>
        <v>176</v>
      </c>
      <c r="G178" s="17" t="n">
        <f aca="false">SUMIFS('09_CARGA_ORDEN'!$J$2:$J$1153,'09_CARGA_ORDEN'!$E$2:$E$1153,A178,'09_CARGA_ORDEN'!$K$2:$K$1153,B178)</f>
        <v>7.5</v>
      </c>
      <c r="H178" s="12" t="n">
        <f aca="false">IF(F178=0,"",G178/F178)</f>
        <v>0.0426136363636364</v>
      </c>
      <c r="I178" s="2" t="s">
        <v>629</v>
      </c>
    </row>
    <row r="179" customFormat="false" ht="15" hidden="false" customHeight="false" outlineLevel="0" collapsed="false">
      <c r="A179" s="2" t="s">
        <v>421</v>
      </c>
      <c r="B179" s="4" t="n">
        <v>10</v>
      </c>
      <c r="C179" s="5" t="n">
        <f aca="false">SUMPRODUCT((MONTH('07_CALENDARIO'!$A$2:$A$397)=B179)*(YEAR('07_CALENDARIO'!$A$2:$A$397)=p_anio_base)*'07_CALENDARIO'!$D$2:$D$397)</f>
        <v>23</v>
      </c>
      <c r="D179" s="11" t="n">
        <f aca="false">p_horas_productivas_dia</f>
        <v>8</v>
      </c>
      <c r="E179" s="5" t="n">
        <f aca="false">INDEX('04_MAQUINAS'!$E$2:$E$18,MATCH(A179,'04_MAQUINAS'!$A$2:$A$18,0))</f>
        <v>1</v>
      </c>
      <c r="F179" s="11" t="n">
        <f aca="false">C179*D179*E179</f>
        <v>184</v>
      </c>
      <c r="G179" s="17" t="n">
        <f aca="false">SUMIFS('09_CARGA_ORDEN'!$J$2:$J$1153,'09_CARGA_ORDEN'!$E$2:$E$1153,A179,'09_CARGA_ORDEN'!$K$2:$K$1153,B179)</f>
        <v>7.5</v>
      </c>
      <c r="H179" s="12" t="n">
        <f aca="false">IF(F179=0,"",G179/F179)</f>
        <v>0.0407608695652174</v>
      </c>
      <c r="I179" s="2" t="s">
        <v>629</v>
      </c>
    </row>
    <row r="180" customFormat="false" ht="15" hidden="false" customHeight="false" outlineLevel="0" collapsed="false">
      <c r="A180" s="2" t="s">
        <v>421</v>
      </c>
      <c r="B180" s="4" t="n">
        <v>11</v>
      </c>
      <c r="C180" s="5" t="n">
        <f aca="false">SUMPRODUCT((MONTH('07_CALENDARIO'!$A$2:$A$397)=B180)*(YEAR('07_CALENDARIO'!$A$2:$A$397)=p_anio_base)*'07_CALENDARIO'!$D$2:$D$397)</f>
        <v>20</v>
      </c>
      <c r="D180" s="11" t="n">
        <f aca="false">p_horas_productivas_dia</f>
        <v>8</v>
      </c>
      <c r="E180" s="5" t="n">
        <f aca="false">INDEX('04_MAQUINAS'!$E$2:$E$18,MATCH(A180,'04_MAQUINAS'!$A$2:$A$18,0))</f>
        <v>1</v>
      </c>
      <c r="F180" s="11" t="n">
        <f aca="false">C180*D180*E180</f>
        <v>160</v>
      </c>
      <c r="G180" s="17" t="n">
        <f aca="false">SUMIFS('09_CARGA_ORDEN'!$J$2:$J$1153,'09_CARGA_ORDEN'!$E$2:$E$1153,A180,'09_CARGA_ORDEN'!$K$2:$K$1153,B180)</f>
        <v>7.5</v>
      </c>
      <c r="H180" s="12" t="n">
        <f aca="false">IF(F180=0,"",G180/F180)</f>
        <v>0.046875</v>
      </c>
      <c r="I180" s="2" t="s">
        <v>629</v>
      </c>
    </row>
    <row r="181" customFormat="false" ht="15" hidden="false" customHeight="false" outlineLevel="0" collapsed="false">
      <c r="A181" s="2" t="s">
        <v>421</v>
      </c>
      <c r="B181" s="4" t="n">
        <v>12</v>
      </c>
      <c r="C181" s="5" t="n">
        <f aca="false">SUMPRODUCT((MONTH('07_CALENDARIO'!$A$2:$A$397)=B181)*(YEAR('07_CALENDARIO'!$A$2:$A$397)=p_anio_base)*'07_CALENDARIO'!$D$2:$D$397)</f>
        <v>23</v>
      </c>
      <c r="D181" s="11" t="n">
        <f aca="false">p_horas_productivas_dia</f>
        <v>8</v>
      </c>
      <c r="E181" s="5" t="n">
        <f aca="false">INDEX('04_MAQUINAS'!$E$2:$E$18,MATCH(A181,'04_MAQUINAS'!$A$2:$A$18,0))</f>
        <v>1</v>
      </c>
      <c r="F181" s="11" t="n">
        <f aca="false">C181*D181*E181</f>
        <v>184</v>
      </c>
      <c r="G181" s="17" t="n">
        <f aca="false">SUMIFS('09_CARGA_ORDEN'!$J$2:$J$1153,'09_CARGA_ORDEN'!$E$2:$E$1153,A181,'09_CARGA_ORDEN'!$K$2:$K$1153,B181)</f>
        <v>7.5</v>
      </c>
      <c r="H181" s="12" t="n">
        <f aca="false">IF(F181=0,"",G181/F181)</f>
        <v>0.0407608695652174</v>
      </c>
      <c r="I181" s="2" t="s">
        <v>629</v>
      </c>
    </row>
    <row r="182" customFormat="false" ht="15" hidden="false" customHeight="false" outlineLevel="0" collapsed="false">
      <c r="A182" s="2" t="s">
        <v>423</v>
      </c>
      <c r="B182" s="4" t="n">
        <v>1</v>
      </c>
      <c r="C182" s="5" t="n">
        <f aca="false">SUMPRODUCT((MONTH('07_CALENDARIO'!$A$2:$A$397)=B182)*(YEAR('07_CALENDARIO'!$A$2:$A$397)=p_anio_base)*'07_CALENDARIO'!$D$2:$D$397)</f>
        <v>23</v>
      </c>
      <c r="D182" s="11" t="n">
        <f aca="false">p_horas_productivas_dia</f>
        <v>8</v>
      </c>
      <c r="E182" s="5" t="n">
        <f aca="false">INDEX('04_MAQUINAS'!$E$2:$E$18,MATCH(A182,'04_MAQUINAS'!$A$2:$A$18,0))</f>
        <v>1</v>
      </c>
      <c r="F182" s="11" t="n">
        <f aca="false">C182*D182*E182</f>
        <v>184</v>
      </c>
      <c r="G182" s="17" t="n">
        <f aca="false">SUMIFS('09_CARGA_ORDEN'!$J$2:$J$1153,'09_CARGA_ORDEN'!$E$2:$E$1153,A182,'09_CARGA_ORDEN'!$K$2:$K$1153,B182)</f>
        <v>4.28316666666667</v>
      </c>
      <c r="H182" s="12" t="n">
        <f aca="false">IF(F182=0,"",G182/F182)</f>
        <v>0.0232780797101449</v>
      </c>
      <c r="I182" s="2" t="s">
        <v>629</v>
      </c>
    </row>
    <row r="183" customFormat="false" ht="15" hidden="false" customHeight="false" outlineLevel="0" collapsed="false">
      <c r="A183" s="2" t="s">
        <v>423</v>
      </c>
      <c r="B183" s="4" t="n">
        <v>2</v>
      </c>
      <c r="C183" s="5" t="n">
        <f aca="false">SUMPRODUCT((MONTH('07_CALENDARIO'!$A$2:$A$397)=B183)*(YEAR('07_CALENDARIO'!$A$2:$A$397)=p_anio_base)*'07_CALENDARIO'!$D$2:$D$397)</f>
        <v>20</v>
      </c>
      <c r="D183" s="11" t="n">
        <f aca="false">p_horas_productivas_dia</f>
        <v>8</v>
      </c>
      <c r="E183" s="5" t="n">
        <f aca="false">INDEX('04_MAQUINAS'!$E$2:$E$18,MATCH(A183,'04_MAQUINAS'!$A$2:$A$18,0))</f>
        <v>1</v>
      </c>
      <c r="F183" s="11" t="n">
        <f aca="false">C183*D183*E183</f>
        <v>160</v>
      </c>
      <c r="G183" s="17" t="n">
        <f aca="false">SUMIFS('09_CARGA_ORDEN'!$J$2:$J$1153,'09_CARGA_ORDEN'!$E$2:$E$1153,A183,'09_CARGA_ORDEN'!$K$2:$K$1153,B183)</f>
        <v>4.24283333333333</v>
      </c>
      <c r="H183" s="12" t="n">
        <f aca="false">IF(F183=0,"",G183/F183)</f>
        <v>0.0265177083333333</v>
      </c>
      <c r="I183" s="2" t="s">
        <v>629</v>
      </c>
    </row>
    <row r="184" customFormat="false" ht="15" hidden="false" customHeight="false" outlineLevel="0" collapsed="false">
      <c r="A184" s="2" t="s">
        <v>423</v>
      </c>
      <c r="B184" s="4" t="n">
        <v>3</v>
      </c>
      <c r="C184" s="5" t="n">
        <f aca="false">SUMPRODUCT((MONTH('07_CALENDARIO'!$A$2:$A$397)=B184)*(YEAR('07_CALENDARIO'!$A$2:$A$397)=p_anio_base)*'07_CALENDARIO'!$D$2:$D$397)</f>
        <v>21</v>
      </c>
      <c r="D184" s="11" t="n">
        <f aca="false">p_horas_productivas_dia</f>
        <v>8</v>
      </c>
      <c r="E184" s="5" t="n">
        <f aca="false">INDEX('04_MAQUINAS'!$E$2:$E$18,MATCH(A184,'04_MAQUINAS'!$A$2:$A$18,0))</f>
        <v>1</v>
      </c>
      <c r="F184" s="11" t="n">
        <f aca="false">C184*D184*E184</f>
        <v>168</v>
      </c>
      <c r="G184" s="17" t="n">
        <f aca="false">SUMIFS('09_CARGA_ORDEN'!$J$2:$J$1153,'09_CARGA_ORDEN'!$E$2:$E$1153,A184,'09_CARGA_ORDEN'!$K$2:$K$1153,B184)</f>
        <v>4.199</v>
      </c>
      <c r="H184" s="12" t="n">
        <f aca="false">IF(F184=0,"",G184/F184)</f>
        <v>0.0249940476190476</v>
      </c>
      <c r="I184" s="2" t="s">
        <v>629</v>
      </c>
    </row>
    <row r="185" customFormat="false" ht="15" hidden="false" customHeight="false" outlineLevel="0" collapsed="false">
      <c r="A185" s="2" t="s">
        <v>423</v>
      </c>
      <c r="B185" s="4" t="n">
        <v>4</v>
      </c>
      <c r="C185" s="5" t="n">
        <f aca="false">SUMPRODUCT((MONTH('07_CALENDARIO'!$A$2:$A$397)=B185)*(YEAR('07_CALENDARIO'!$A$2:$A$397)=p_anio_base)*'07_CALENDARIO'!$D$2:$D$397)</f>
        <v>22</v>
      </c>
      <c r="D185" s="11" t="n">
        <f aca="false">p_horas_productivas_dia</f>
        <v>8</v>
      </c>
      <c r="E185" s="5" t="n">
        <f aca="false">INDEX('04_MAQUINAS'!$E$2:$E$18,MATCH(A185,'04_MAQUINAS'!$A$2:$A$18,0))</f>
        <v>1</v>
      </c>
      <c r="F185" s="11" t="n">
        <f aca="false">C185*D185*E185</f>
        <v>176</v>
      </c>
      <c r="G185" s="17" t="n">
        <f aca="false">SUMIFS('09_CARGA_ORDEN'!$J$2:$J$1153,'09_CARGA_ORDEN'!$E$2:$E$1153,A185,'09_CARGA_ORDEN'!$K$2:$K$1153,B185)</f>
        <v>4.199</v>
      </c>
      <c r="H185" s="12" t="n">
        <f aca="false">IF(F185=0,"",G185/F185)</f>
        <v>0.0238579545454545</v>
      </c>
      <c r="I185" s="2" t="s">
        <v>629</v>
      </c>
    </row>
    <row r="186" customFormat="false" ht="15" hidden="false" customHeight="false" outlineLevel="0" collapsed="false">
      <c r="A186" s="2" t="s">
        <v>423</v>
      </c>
      <c r="B186" s="4" t="n">
        <v>5</v>
      </c>
      <c r="C186" s="5" t="n">
        <f aca="false">SUMPRODUCT((MONTH('07_CALENDARIO'!$A$2:$A$397)=B186)*(YEAR('07_CALENDARIO'!$A$2:$A$397)=p_anio_base)*'07_CALENDARIO'!$D$2:$D$397)</f>
        <v>22</v>
      </c>
      <c r="D186" s="11" t="n">
        <f aca="false">p_horas_productivas_dia</f>
        <v>8</v>
      </c>
      <c r="E186" s="5" t="n">
        <f aca="false">INDEX('04_MAQUINAS'!$E$2:$E$18,MATCH(A186,'04_MAQUINAS'!$A$2:$A$18,0))</f>
        <v>1</v>
      </c>
      <c r="F186" s="11" t="n">
        <f aca="false">C186*D186*E186</f>
        <v>176</v>
      </c>
      <c r="G186" s="17" t="n">
        <f aca="false">SUMIFS('09_CARGA_ORDEN'!$J$2:$J$1153,'09_CARGA_ORDEN'!$E$2:$E$1153,A186,'09_CARGA_ORDEN'!$K$2:$K$1153,B186)</f>
        <v>4.199</v>
      </c>
      <c r="H186" s="12" t="n">
        <f aca="false">IF(F186=0,"",G186/F186)</f>
        <v>0.0238579545454545</v>
      </c>
      <c r="I186" s="2" t="s">
        <v>629</v>
      </c>
    </row>
    <row r="187" customFormat="false" ht="15" hidden="false" customHeight="false" outlineLevel="0" collapsed="false">
      <c r="A187" s="2" t="s">
        <v>423</v>
      </c>
      <c r="B187" s="4" t="n">
        <v>6</v>
      </c>
      <c r="C187" s="5" t="n">
        <f aca="false">SUMPRODUCT((MONTH('07_CALENDARIO'!$A$2:$A$397)=B187)*(YEAR('07_CALENDARIO'!$A$2:$A$397)=p_anio_base)*'07_CALENDARIO'!$D$2:$D$397)</f>
        <v>21</v>
      </c>
      <c r="D187" s="11" t="n">
        <f aca="false">p_horas_productivas_dia</f>
        <v>8</v>
      </c>
      <c r="E187" s="5" t="n">
        <f aca="false">INDEX('04_MAQUINAS'!$E$2:$E$18,MATCH(A187,'04_MAQUINAS'!$A$2:$A$18,0))</f>
        <v>1</v>
      </c>
      <c r="F187" s="11" t="n">
        <f aca="false">C187*D187*E187</f>
        <v>168</v>
      </c>
      <c r="G187" s="17" t="n">
        <f aca="false">SUMIFS('09_CARGA_ORDEN'!$J$2:$J$1153,'09_CARGA_ORDEN'!$E$2:$E$1153,A187,'09_CARGA_ORDEN'!$K$2:$K$1153,B187)</f>
        <v>4.96816666666667</v>
      </c>
      <c r="H187" s="12" t="n">
        <f aca="false">IF(F187=0,"",G187/F187)</f>
        <v>0.0295724206349206</v>
      </c>
      <c r="I187" s="2" t="s">
        <v>629</v>
      </c>
    </row>
    <row r="188" customFormat="false" ht="15" hidden="false" customHeight="false" outlineLevel="0" collapsed="false">
      <c r="A188" s="2" t="s">
        <v>423</v>
      </c>
      <c r="B188" s="4" t="n">
        <v>7</v>
      </c>
      <c r="C188" s="5" t="n">
        <f aca="false">SUMPRODUCT((MONTH('07_CALENDARIO'!$A$2:$A$397)=B188)*(YEAR('07_CALENDARIO'!$A$2:$A$397)=p_anio_base)*'07_CALENDARIO'!$D$2:$D$397)</f>
        <v>23</v>
      </c>
      <c r="D188" s="11" t="n">
        <f aca="false">p_horas_productivas_dia</f>
        <v>8</v>
      </c>
      <c r="E188" s="5" t="n">
        <f aca="false">INDEX('04_MAQUINAS'!$E$2:$E$18,MATCH(A188,'04_MAQUINAS'!$A$2:$A$18,0))</f>
        <v>1</v>
      </c>
      <c r="F188" s="11" t="n">
        <f aca="false">C188*D188*E188</f>
        <v>184</v>
      </c>
      <c r="G188" s="17" t="n">
        <f aca="false">SUMIFS('09_CARGA_ORDEN'!$J$2:$J$1153,'09_CARGA_ORDEN'!$E$2:$E$1153,A188,'09_CARGA_ORDEN'!$K$2:$K$1153,B188)</f>
        <v>4.92883333333333</v>
      </c>
      <c r="H188" s="12" t="n">
        <f aca="false">IF(F188=0,"",G188/F188)</f>
        <v>0.0267871376811594</v>
      </c>
      <c r="I188" s="2" t="s">
        <v>629</v>
      </c>
    </row>
    <row r="189" customFormat="false" ht="15" hidden="false" customHeight="false" outlineLevel="0" collapsed="false">
      <c r="A189" s="2" t="s">
        <v>423</v>
      </c>
      <c r="B189" s="4" t="n">
        <v>8</v>
      </c>
      <c r="C189" s="5" t="n">
        <f aca="false">SUMPRODUCT((MONTH('07_CALENDARIO'!$A$2:$A$397)=B189)*(YEAR('07_CALENDARIO'!$A$2:$A$397)=p_anio_base)*'07_CALENDARIO'!$D$2:$D$397)</f>
        <v>21</v>
      </c>
      <c r="D189" s="11" t="n">
        <f aca="false">p_horas_productivas_dia</f>
        <v>8</v>
      </c>
      <c r="E189" s="5" t="n">
        <f aca="false">INDEX('04_MAQUINAS'!$E$2:$E$18,MATCH(A189,'04_MAQUINAS'!$A$2:$A$18,0))</f>
        <v>1</v>
      </c>
      <c r="F189" s="11" t="n">
        <f aca="false">C189*D189*E189</f>
        <v>168</v>
      </c>
      <c r="G189" s="17" t="n">
        <f aca="false">SUMIFS('09_CARGA_ORDEN'!$J$2:$J$1153,'09_CARGA_ORDEN'!$E$2:$E$1153,A189,'09_CARGA_ORDEN'!$K$2:$K$1153,B189)</f>
        <v>4.92883333333333</v>
      </c>
      <c r="H189" s="12" t="n">
        <f aca="false">IF(F189=0,"",G189/F189)</f>
        <v>0.0293382936507937</v>
      </c>
      <c r="I189" s="2" t="s">
        <v>629</v>
      </c>
    </row>
    <row r="190" customFormat="false" ht="15" hidden="false" customHeight="false" outlineLevel="0" collapsed="false">
      <c r="A190" s="2" t="s">
        <v>423</v>
      </c>
      <c r="B190" s="4" t="n">
        <v>9</v>
      </c>
      <c r="C190" s="5" t="n">
        <f aca="false">SUMPRODUCT((MONTH('07_CALENDARIO'!$A$2:$A$397)=B190)*(YEAR('07_CALENDARIO'!$A$2:$A$397)=p_anio_base)*'07_CALENDARIO'!$D$2:$D$397)</f>
        <v>22</v>
      </c>
      <c r="D190" s="11" t="n">
        <f aca="false">p_horas_productivas_dia</f>
        <v>8</v>
      </c>
      <c r="E190" s="5" t="n">
        <f aca="false">INDEX('04_MAQUINAS'!$E$2:$E$18,MATCH(A190,'04_MAQUINAS'!$A$2:$A$18,0))</f>
        <v>1</v>
      </c>
      <c r="F190" s="11" t="n">
        <f aca="false">C190*D190*E190</f>
        <v>176</v>
      </c>
      <c r="G190" s="17" t="n">
        <f aca="false">SUMIFS('09_CARGA_ORDEN'!$J$2:$J$1153,'09_CARGA_ORDEN'!$E$2:$E$1153,A190,'09_CARGA_ORDEN'!$K$2:$K$1153,B190)</f>
        <v>4.199</v>
      </c>
      <c r="H190" s="12" t="n">
        <f aca="false">IF(F190=0,"",G190/F190)</f>
        <v>0.0238579545454545</v>
      </c>
      <c r="I190" s="2" t="s">
        <v>629</v>
      </c>
    </row>
    <row r="191" customFormat="false" ht="15" hidden="false" customHeight="false" outlineLevel="0" collapsed="false">
      <c r="A191" s="2" t="s">
        <v>423</v>
      </c>
      <c r="B191" s="4" t="n">
        <v>10</v>
      </c>
      <c r="C191" s="5" t="n">
        <f aca="false">SUMPRODUCT((MONTH('07_CALENDARIO'!$A$2:$A$397)=B191)*(YEAR('07_CALENDARIO'!$A$2:$A$397)=p_anio_base)*'07_CALENDARIO'!$D$2:$D$397)</f>
        <v>23</v>
      </c>
      <c r="D191" s="11" t="n">
        <f aca="false">p_horas_productivas_dia</f>
        <v>8</v>
      </c>
      <c r="E191" s="5" t="n">
        <f aca="false">INDEX('04_MAQUINAS'!$E$2:$E$18,MATCH(A191,'04_MAQUINAS'!$A$2:$A$18,0))</f>
        <v>1</v>
      </c>
      <c r="F191" s="11" t="n">
        <f aca="false">C191*D191*E191</f>
        <v>184</v>
      </c>
      <c r="G191" s="17" t="n">
        <f aca="false">SUMIFS('09_CARGA_ORDEN'!$J$2:$J$1153,'09_CARGA_ORDEN'!$E$2:$E$1153,A191,'09_CARGA_ORDEN'!$K$2:$K$1153,B191)</f>
        <v>4.199</v>
      </c>
      <c r="H191" s="12" t="n">
        <f aca="false">IF(F191=0,"",G191/F191)</f>
        <v>0.022820652173913</v>
      </c>
      <c r="I191" s="2" t="s">
        <v>629</v>
      </c>
    </row>
    <row r="192" customFormat="false" ht="15" hidden="false" customHeight="false" outlineLevel="0" collapsed="false">
      <c r="A192" s="2" t="s">
        <v>423</v>
      </c>
      <c r="B192" s="4" t="n">
        <v>11</v>
      </c>
      <c r="C192" s="5" t="n">
        <f aca="false">SUMPRODUCT((MONTH('07_CALENDARIO'!$A$2:$A$397)=B192)*(YEAR('07_CALENDARIO'!$A$2:$A$397)=p_anio_base)*'07_CALENDARIO'!$D$2:$D$397)</f>
        <v>20</v>
      </c>
      <c r="D192" s="11" t="n">
        <f aca="false">p_horas_productivas_dia</f>
        <v>8</v>
      </c>
      <c r="E192" s="5" t="n">
        <f aca="false">INDEX('04_MAQUINAS'!$E$2:$E$18,MATCH(A192,'04_MAQUINAS'!$A$2:$A$18,0))</f>
        <v>1</v>
      </c>
      <c r="F192" s="11" t="n">
        <f aca="false">C192*D192*E192</f>
        <v>160</v>
      </c>
      <c r="G192" s="17" t="n">
        <f aca="false">SUMIFS('09_CARGA_ORDEN'!$J$2:$J$1153,'09_CARGA_ORDEN'!$E$2:$E$1153,A192,'09_CARGA_ORDEN'!$K$2:$K$1153,B192)</f>
        <v>4.15416666666667</v>
      </c>
      <c r="H192" s="12" t="n">
        <f aca="false">IF(F192=0,"",G192/F192)</f>
        <v>0.0259635416666667</v>
      </c>
      <c r="I192" s="2" t="s">
        <v>629</v>
      </c>
    </row>
    <row r="193" customFormat="false" ht="15" hidden="false" customHeight="false" outlineLevel="0" collapsed="false">
      <c r="A193" s="2" t="s">
        <v>423</v>
      </c>
      <c r="B193" s="4" t="n">
        <v>12</v>
      </c>
      <c r="C193" s="5" t="n">
        <f aca="false">SUMPRODUCT((MONTH('07_CALENDARIO'!$A$2:$A$397)=B193)*(YEAR('07_CALENDARIO'!$A$2:$A$397)=p_anio_base)*'07_CALENDARIO'!$D$2:$D$397)</f>
        <v>23</v>
      </c>
      <c r="D193" s="11" t="n">
        <f aca="false">p_horas_productivas_dia</f>
        <v>8</v>
      </c>
      <c r="E193" s="5" t="n">
        <f aca="false">INDEX('04_MAQUINAS'!$E$2:$E$18,MATCH(A193,'04_MAQUINAS'!$A$2:$A$18,0))</f>
        <v>1</v>
      </c>
      <c r="F193" s="11" t="n">
        <f aca="false">C193*D193*E193</f>
        <v>184</v>
      </c>
      <c r="G193" s="17" t="n">
        <f aca="false">SUMIFS('09_CARGA_ORDEN'!$J$2:$J$1153,'09_CARGA_ORDEN'!$E$2:$E$1153,A193,'09_CARGA_ORDEN'!$K$2:$K$1153,B193)</f>
        <v>4.15416666666667</v>
      </c>
      <c r="H193" s="12" t="n">
        <f aca="false">IF(F193=0,"",G193/F193)</f>
        <v>0.0225769927536232</v>
      </c>
      <c r="I193" s="2" t="s">
        <v>629</v>
      </c>
    </row>
    <row r="194" customFormat="false" ht="15" hidden="false" customHeight="false" outlineLevel="0" collapsed="false">
      <c r="A194" s="2" t="s">
        <v>425</v>
      </c>
      <c r="B194" s="4" t="n">
        <v>1</v>
      </c>
      <c r="C194" s="5" t="n">
        <f aca="false">SUMPRODUCT((MONTH('07_CALENDARIO'!$A$2:$A$397)=B194)*(YEAR('07_CALENDARIO'!$A$2:$A$397)=p_anio_base)*'07_CALENDARIO'!$D$2:$D$397)</f>
        <v>23</v>
      </c>
      <c r="D194" s="11" t="n">
        <f aca="false">p_horas_productivas_dia</f>
        <v>8</v>
      </c>
      <c r="E194" s="5" t="n">
        <f aca="false">INDEX('04_MAQUINAS'!$E$2:$E$18,MATCH(A194,'04_MAQUINAS'!$A$2:$A$18,0))</f>
        <v>1</v>
      </c>
      <c r="F194" s="11" t="n">
        <f aca="false">C194*D194*E194</f>
        <v>184</v>
      </c>
      <c r="G194" s="17" t="n">
        <f aca="false">SUMIFS('09_CARGA_ORDEN'!$J$2:$J$1153,'09_CARGA_ORDEN'!$E$2:$E$1153,A194,'09_CARGA_ORDEN'!$K$2:$K$1153,B194)</f>
        <v>0</v>
      </c>
      <c r="H194" s="12" t="n">
        <f aca="false">IF(F194=0,"",G194/F194)</f>
        <v>0</v>
      </c>
      <c r="I194" s="2" t="s">
        <v>629</v>
      </c>
    </row>
    <row r="195" customFormat="false" ht="15" hidden="false" customHeight="false" outlineLevel="0" collapsed="false">
      <c r="A195" s="2" t="s">
        <v>425</v>
      </c>
      <c r="B195" s="4" t="n">
        <v>2</v>
      </c>
      <c r="C195" s="5" t="n">
        <f aca="false">SUMPRODUCT((MONTH('07_CALENDARIO'!$A$2:$A$397)=B195)*(YEAR('07_CALENDARIO'!$A$2:$A$397)=p_anio_base)*'07_CALENDARIO'!$D$2:$D$397)</f>
        <v>20</v>
      </c>
      <c r="D195" s="11" t="n">
        <f aca="false">p_horas_productivas_dia</f>
        <v>8</v>
      </c>
      <c r="E195" s="5" t="n">
        <f aca="false">INDEX('04_MAQUINAS'!$E$2:$E$18,MATCH(A195,'04_MAQUINAS'!$A$2:$A$18,0))</f>
        <v>1</v>
      </c>
      <c r="F195" s="11" t="n">
        <f aca="false">C195*D195*E195</f>
        <v>160</v>
      </c>
      <c r="G195" s="17" t="n">
        <f aca="false">SUMIFS('09_CARGA_ORDEN'!$J$2:$J$1153,'09_CARGA_ORDEN'!$E$2:$E$1153,A195,'09_CARGA_ORDEN'!$K$2:$K$1153,B195)</f>
        <v>0</v>
      </c>
      <c r="H195" s="12" t="n">
        <f aca="false">IF(F195=0,"",G195/F195)</f>
        <v>0</v>
      </c>
      <c r="I195" s="2" t="s">
        <v>629</v>
      </c>
    </row>
    <row r="196" customFormat="false" ht="15" hidden="false" customHeight="false" outlineLevel="0" collapsed="false">
      <c r="A196" s="2" t="s">
        <v>425</v>
      </c>
      <c r="B196" s="4" t="n">
        <v>3</v>
      </c>
      <c r="C196" s="5" t="n">
        <f aca="false">SUMPRODUCT((MONTH('07_CALENDARIO'!$A$2:$A$397)=B196)*(YEAR('07_CALENDARIO'!$A$2:$A$397)=p_anio_base)*'07_CALENDARIO'!$D$2:$D$397)</f>
        <v>21</v>
      </c>
      <c r="D196" s="11" t="n">
        <f aca="false">p_horas_productivas_dia</f>
        <v>8</v>
      </c>
      <c r="E196" s="5" t="n">
        <f aca="false">INDEX('04_MAQUINAS'!$E$2:$E$18,MATCH(A196,'04_MAQUINAS'!$A$2:$A$18,0))</f>
        <v>1</v>
      </c>
      <c r="F196" s="11" t="n">
        <f aca="false">C196*D196*E196</f>
        <v>168</v>
      </c>
      <c r="G196" s="17" t="n">
        <f aca="false">SUMIFS('09_CARGA_ORDEN'!$J$2:$J$1153,'09_CARGA_ORDEN'!$E$2:$E$1153,A196,'09_CARGA_ORDEN'!$K$2:$K$1153,B196)</f>
        <v>0</v>
      </c>
      <c r="H196" s="12" t="n">
        <f aca="false">IF(F196=0,"",G196/F196)</f>
        <v>0</v>
      </c>
      <c r="I196" s="2" t="s">
        <v>629</v>
      </c>
    </row>
    <row r="197" customFormat="false" ht="15" hidden="false" customHeight="false" outlineLevel="0" collapsed="false">
      <c r="A197" s="2" t="s">
        <v>425</v>
      </c>
      <c r="B197" s="4" t="n">
        <v>4</v>
      </c>
      <c r="C197" s="5" t="n">
        <f aca="false">SUMPRODUCT((MONTH('07_CALENDARIO'!$A$2:$A$397)=B197)*(YEAR('07_CALENDARIO'!$A$2:$A$397)=p_anio_base)*'07_CALENDARIO'!$D$2:$D$397)</f>
        <v>22</v>
      </c>
      <c r="D197" s="11" t="n">
        <f aca="false">p_horas_productivas_dia</f>
        <v>8</v>
      </c>
      <c r="E197" s="5" t="n">
        <f aca="false">INDEX('04_MAQUINAS'!$E$2:$E$18,MATCH(A197,'04_MAQUINAS'!$A$2:$A$18,0))</f>
        <v>1</v>
      </c>
      <c r="F197" s="11" t="n">
        <f aca="false">C197*D197*E197</f>
        <v>176</v>
      </c>
      <c r="G197" s="17" t="n">
        <f aca="false">SUMIFS('09_CARGA_ORDEN'!$J$2:$J$1153,'09_CARGA_ORDEN'!$E$2:$E$1153,A197,'09_CARGA_ORDEN'!$K$2:$K$1153,B197)</f>
        <v>0</v>
      </c>
      <c r="H197" s="12" t="n">
        <f aca="false">IF(F197=0,"",G197/F197)</f>
        <v>0</v>
      </c>
      <c r="I197" s="2" t="s">
        <v>629</v>
      </c>
    </row>
    <row r="198" customFormat="false" ht="15" hidden="false" customHeight="false" outlineLevel="0" collapsed="false">
      <c r="A198" s="2" t="s">
        <v>425</v>
      </c>
      <c r="B198" s="4" t="n">
        <v>5</v>
      </c>
      <c r="C198" s="5" t="n">
        <f aca="false">SUMPRODUCT((MONTH('07_CALENDARIO'!$A$2:$A$397)=B198)*(YEAR('07_CALENDARIO'!$A$2:$A$397)=p_anio_base)*'07_CALENDARIO'!$D$2:$D$397)</f>
        <v>22</v>
      </c>
      <c r="D198" s="11" t="n">
        <f aca="false">p_horas_productivas_dia</f>
        <v>8</v>
      </c>
      <c r="E198" s="5" t="n">
        <f aca="false">INDEX('04_MAQUINAS'!$E$2:$E$18,MATCH(A198,'04_MAQUINAS'!$A$2:$A$18,0))</f>
        <v>1</v>
      </c>
      <c r="F198" s="11" t="n">
        <f aca="false">C198*D198*E198</f>
        <v>176</v>
      </c>
      <c r="G198" s="17" t="n">
        <f aca="false">SUMIFS('09_CARGA_ORDEN'!$J$2:$J$1153,'09_CARGA_ORDEN'!$E$2:$E$1153,A198,'09_CARGA_ORDEN'!$K$2:$K$1153,B198)</f>
        <v>0</v>
      </c>
      <c r="H198" s="12" t="n">
        <f aca="false">IF(F198=0,"",G198/F198)</f>
        <v>0</v>
      </c>
      <c r="I198" s="2" t="s">
        <v>629</v>
      </c>
    </row>
    <row r="199" customFormat="false" ht="15" hidden="false" customHeight="false" outlineLevel="0" collapsed="false">
      <c r="A199" s="2" t="s">
        <v>425</v>
      </c>
      <c r="B199" s="4" t="n">
        <v>6</v>
      </c>
      <c r="C199" s="5" t="n">
        <f aca="false">SUMPRODUCT((MONTH('07_CALENDARIO'!$A$2:$A$397)=B199)*(YEAR('07_CALENDARIO'!$A$2:$A$397)=p_anio_base)*'07_CALENDARIO'!$D$2:$D$397)</f>
        <v>21</v>
      </c>
      <c r="D199" s="11" t="n">
        <f aca="false">p_horas_productivas_dia</f>
        <v>8</v>
      </c>
      <c r="E199" s="5" t="n">
        <f aca="false">INDEX('04_MAQUINAS'!$E$2:$E$18,MATCH(A199,'04_MAQUINAS'!$A$2:$A$18,0))</f>
        <v>1</v>
      </c>
      <c r="F199" s="11" t="n">
        <f aca="false">C199*D199*E199</f>
        <v>168</v>
      </c>
      <c r="G199" s="17" t="n">
        <f aca="false">SUMIFS('09_CARGA_ORDEN'!$J$2:$J$1153,'09_CARGA_ORDEN'!$E$2:$E$1153,A199,'09_CARGA_ORDEN'!$K$2:$K$1153,B199)</f>
        <v>0</v>
      </c>
      <c r="H199" s="12" t="n">
        <f aca="false">IF(F199=0,"",G199/F199)</f>
        <v>0</v>
      </c>
      <c r="I199" s="2" t="s">
        <v>629</v>
      </c>
    </row>
    <row r="200" customFormat="false" ht="15" hidden="false" customHeight="false" outlineLevel="0" collapsed="false">
      <c r="A200" s="2" t="s">
        <v>425</v>
      </c>
      <c r="B200" s="4" t="n">
        <v>7</v>
      </c>
      <c r="C200" s="5" t="n">
        <f aca="false">SUMPRODUCT((MONTH('07_CALENDARIO'!$A$2:$A$397)=B200)*(YEAR('07_CALENDARIO'!$A$2:$A$397)=p_anio_base)*'07_CALENDARIO'!$D$2:$D$397)</f>
        <v>23</v>
      </c>
      <c r="D200" s="11" t="n">
        <f aca="false">p_horas_productivas_dia</f>
        <v>8</v>
      </c>
      <c r="E200" s="5" t="n">
        <f aca="false">INDEX('04_MAQUINAS'!$E$2:$E$18,MATCH(A200,'04_MAQUINAS'!$A$2:$A$18,0))</f>
        <v>1</v>
      </c>
      <c r="F200" s="11" t="n">
        <f aca="false">C200*D200*E200</f>
        <v>184</v>
      </c>
      <c r="G200" s="17" t="n">
        <f aca="false">SUMIFS('09_CARGA_ORDEN'!$J$2:$J$1153,'09_CARGA_ORDEN'!$E$2:$E$1153,A200,'09_CARGA_ORDEN'!$K$2:$K$1153,B200)</f>
        <v>0</v>
      </c>
      <c r="H200" s="12" t="n">
        <f aca="false">IF(F200=0,"",G200/F200)</f>
        <v>0</v>
      </c>
      <c r="I200" s="2" t="s">
        <v>629</v>
      </c>
    </row>
    <row r="201" customFormat="false" ht="15" hidden="false" customHeight="false" outlineLevel="0" collapsed="false">
      <c r="A201" s="2" t="s">
        <v>425</v>
      </c>
      <c r="B201" s="4" t="n">
        <v>8</v>
      </c>
      <c r="C201" s="5" t="n">
        <f aca="false">SUMPRODUCT((MONTH('07_CALENDARIO'!$A$2:$A$397)=B201)*(YEAR('07_CALENDARIO'!$A$2:$A$397)=p_anio_base)*'07_CALENDARIO'!$D$2:$D$397)</f>
        <v>21</v>
      </c>
      <c r="D201" s="11" t="n">
        <f aca="false">p_horas_productivas_dia</f>
        <v>8</v>
      </c>
      <c r="E201" s="5" t="n">
        <f aca="false">INDEX('04_MAQUINAS'!$E$2:$E$18,MATCH(A201,'04_MAQUINAS'!$A$2:$A$18,0))</f>
        <v>1</v>
      </c>
      <c r="F201" s="11" t="n">
        <f aca="false">C201*D201*E201</f>
        <v>168</v>
      </c>
      <c r="G201" s="17" t="n">
        <f aca="false">SUMIFS('09_CARGA_ORDEN'!$J$2:$J$1153,'09_CARGA_ORDEN'!$E$2:$E$1153,A201,'09_CARGA_ORDEN'!$K$2:$K$1153,B201)</f>
        <v>0</v>
      </c>
      <c r="H201" s="12" t="n">
        <f aca="false">IF(F201=0,"",G201/F201)</f>
        <v>0</v>
      </c>
      <c r="I201" s="2" t="s">
        <v>629</v>
      </c>
    </row>
    <row r="202" customFormat="false" ht="15" hidden="false" customHeight="false" outlineLevel="0" collapsed="false">
      <c r="A202" s="2" t="s">
        <v>425</v>
      </c>
      <c r="B202" s="4" t="n">
        <v>9</v>
      </c>
      <c r="C202" s="5" t="n">
        <f aca="false">SUMPRODUCT((MONTH('07_CALENDARIO'!$A$2:$A$397)=B202)*(YEAR('07_CALENDARIO'!$A$2:$A$397)=p_anio_base)*'07_CALENDARIO'!$D$2:$D$397)</f>
        <v>22</v>
      </c>
      <c r="D202" s="11" t="n">
        <f aca="false">p_horas_productivas_dia</f>
        <v>8</v>
      </c>
      <c r="E202" s="5" t="n">
        <f aca="false">INDEX('04_MAQUINAS'!$E$2:$E$18,MATCH(A202,'04_MAQUINAS'!$A$2:$A$18,0))</f>
        <v>1</v>
      </c>
      <c r="F202" s="11" t="n">
        <f aca="false">C202*D202*E202</f>
        <v>176</v>
      </c>
      <c r="G202" s="17" t="n">
        <f aca="false">SUMIFS('09_CARGA_ORDEN'!$J$2:$J$1153,'09_CARGA_ORDEN'!$E$2:$E$1153,A202,'09_CARGA_ORDEN'!$K$2:$K$1153,B202)</f>
        <v>0</v>
      </c>
      <c r="H202" s="12" t="n">
        <f aca="false">IF(F202=0,"",G202/F202)</f>
        <v>0</v>
      </c>
      <c r="I202" s="2" t="s">
        <v>629</v>
      </c>
    </row>
    <row r="203" customFormat="false" ht="15" hidden="false" customHeight="false" outlineLevel="0" collapsed="false">
      <c r="A203" s="2" t="s">
        <v>425</v>
      </c>
      <c r="B203" s="4" t="n">
        <v>10</v>
      </c>
      <c r="C203" s="5" t="n">
        <f aca="false">SUMPRODUCT((MONTH('07_CALENDARIO'!$A$2:$A$397)=B203)*(YEAR('07_CALENDARIO'!$A$2:$A$397)=p_anio_base)*'07_CALENDARIO'!$D$2:$D$397)</f>
        <v>23</v>
      </c>
      <c r="D203" s="11" t="n">
        <f aca="false">p_horas_productivas_dia</f>
        <v>8</v>
      </c>
      <c r="E203" s="5" t="n">
        <f aca="false">INDEX('04_MAQUINAS'!$E$2:$E$18,MATCH(A203,'04_MAQUINAS'!$A$2:$A$18,0))</f>
        <v>1</v>
      </c>
      <c r="F203" s="11" t="n">
        <f aca="false">C203*D203*E203</f>
        <v>184</v>
      </c>
      <c r="G203" s="17" t="n">
        <f aca="false">SUMIFS('09_CARGA_ORDEN'!$J$2:$J$1153,'09_CARGA_ORDEN'!$E$2:$E$1153,A203,'09_CARGA_ORDEN'!$K$2:$K$1153,B203)</f>
        <v>0</v>
      </c>
      <c r="H203" s="12" t="n">
        <f aca="false">IF(F203=0,"",G203/F203)</f>
        <v>0</v>
      </c>
      <c r="I203" s="2" t="s">
        <v>629</v>
      </c>
    </row>
    <row r="204" customFormat="false" ht="15" hidden="false" customHeight="false" outlineLevel="0" collapsed="false">
      <c r="A204" s="2" t="s">
        <v>425</v>
      </c>
      <c r="B204" s="4" t="n">
        <v>11</v>
      </c>
      <c r="C204" s="5" t="n">
        <f aca="false">SUMPRODUCT((MONTH('07_CALENDARIO'!$A$2:$A$397)=B204)*(YEAR('07_CALENDARIO'!$A$2:$A$397)=p_anio_base)*'07_CALENDARIO'!$D$2:$D$397)</f>
        <v>20</v>
      </c>
      <c r="D204" s="11" t="n">
        <f aca="false">p_horas_productivas_dia</f>
        <v>8</v>
      </c>
      <c r="E204" s="5" t="n">
        <f aca="false">INDEX('04_MAQUINAS'!$E$2:$E$18,MATCH(A204,'04_MAQUINAS'!$A$2:$A$18,0))</f>
        <v>1</v>
      </c>
      <c r="F204" s="11" t="n">
        <f aca="false">C204*D204*E204</f>
        <v>160</v>
      </c>
      <c r="G204" s="17" t="n">
        <f aca="false">SUMIFS('09_CARGA_ORDEN'!$J$2:$J$1153,'09_CARGA_ORDEN'!$E$2:$E$1153,A204,'09_CARGA_ORDEN'!$K$2:$K$1153,B204)</f>
        <v>0</v>
      </c>
      <c r="H204" s="12" t="n">
        <f aca="false">IF(F204=0,"",G204/F204)</f>
        <v>0</v>
      </c>
      <c r="I204" s="2" t="s">
        <v>629</v>
      </c>
    </row>
    <row r="205" customFormat="false" ht="15" hidden="false" customHeight="false" outlineLevel="0" collapsed="false">
      <c r="A205" s="2" t="s">
        <v>425</v>
      </c>
      <c r="B205" s="4" t="n">
        <v>12</v>
      </c>
      <c r="C205" s="5" t="n">
        <f aca="false">SUMPRODUCT((MONTH('07_CALENDARIO'!$A$2:$A$397)=B205)*(YEAR('07_CALENDARIO'!$A$2:$A$397)=p_anio_base)*'07_CALENDARIO'!$D$2:$D$397)</f>
        <v>23</v>
      </c>
      <c r="D205" s="11" t="n">
        <f aca="false">p_horas_productivas_dia</f>
        <v>8</v>
      </c>
      <c r="E205" s="5" t="n">
        <f aca="false">INDEX('04_MAQUINAS'!$E$2:$E$18,MATCH(A205,'04_MAQUINAS'!$A$2:$A$18,0))</f>
        <v>1</v>
      </c>
      <c r="F205" s="11" t="n">
        <f aca="false">C205*D205*E205</f>
        <v>184</v>
      </c>
      <c r="G205" s="17" t="n">
        <f aca="false">SUMIFS('09_CARGA_ORDEN'!$J$2:$J$1153,'09_CARGA_ORDEN'!$E$2:$E$1153,A205,'09_CARGA_ORDEN'!$K$2:$K$1153,B205)</f>
        <v>0</v>
      </c>
      <c r="H205" s="12" t="n">
        <f aca="false">IF(F205=0,"",G205/F205)</f>
        <v>0</v>
      </c>
      <c r="I205" s="2" t="s">
        <v>629</v>
      </c>
    </row>
  </sheetData>
  <autoFilter ref="A1:I20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7" min="7" style="0" width="34"/>
  </cols>
  <sheetData>
    <row r="1" customFormat="false" ht="31.5" hidden="false" customHeight="true" outlineLevel="0" collapsed="false">
      <c r="A1" s="1" t="s">
        <v>67</v>
      </c>
      <c r="B1" s="1" t="s">
        <v>643</v>
      </c>
      <c r="C1" s="1" t="s">
        <v>644</v>
      </c>
      <c r="D1" s="1" t="s">
        <v>645</v>
      </c>
      <c r="E1" s="1" t="s">
        <v>646</v>
      </c>
      <c r="F1" s="1" t="s">
        <v>647</v>
      </c>
      <c r="G1" s="1" t="s">
        <v>64</v>
      </c>
    </row>
    <row r="2" customFormat="false" ht="15" hidden="false" customHeight="false" outlineLevel="0" collapsed="false">
      <c r="A2" s="2" t="s">
        <v>79</v>
      </c>
      <c r="B2" s="4" t="n">
        <v>295</v>
      </c>
      <c r="C2" s="7" t="n">
        <v>781894.55</v>
      </c>
      <c r="D2" s="16" t="n">
        <f aca="false">C2/B2</f>
        <v>2650.49</v>
      </c>
      <c r="E2" s="20" t="n">
        <v>0.1</v>
      </c>
      <c r="F2" s="20" t="n">
        <v>0</v>
      </c>
      <c r="G2" s="2" t="s">
        <v>648</v>
      </c>
    </row>
    <row r="3" customFormat="false" ht="15" hidden="false" customHeight="false" outlineLevel="0" collapsed="false">
      <c r="A3" s="2" t="s">
        <v>93</v>
      </c>
      <c r="B3" s="4" t="n">
        <v>167</v>
      </c>
      <c r="C3" s="7" t="n">
        <v>359145.19</v>
      </c>
      <c r="D3" s="16" t="n">
        <f aca="false">C3/B3</f>
        <v>2150.57</v>
      </c>
      <c r="E3" s="20" t="n">
        <v>0.1</v>
      </c>
      <c r="F3" s="20" t="n">
        <v>0</v>
      </c>
      <c r="G3" s="2" t="s">
        <v>648</v>
      </c>
    </row>
    <row r="4" customFormat="false" ht="15" hidden="false" customHeight="false" outlineLevel="0" collapsed="false">
      <c r="A4" s="2" t="s">
        <v>105</v>
      </c>
      <c r="B4" s="4" t="n">
        <v>139</v>
      </c>
      <c r="C4" s="7" t="n">
        <v>250312.59</v>
      </c>
      <c r="D4" s="16" t="n">
        <f aca="false">C4/B4</f>
        <v>1800.81</v>
      </c>
      <c r="E4" s="20" t="n">
        <v>0.1</v>
      </c>
      <c r="F4" s="20" t="n">
        <v>0</v>
      </c>
      <c r="G4" s="2" t="s">
        <v>648</v>
      </c>
    </row>
    <row r="5" customFormat="false" ht="15" hidden="false" customHeight="false" outlineLevel="0" collapsed="false">
      <c r="A5" s="2" t="s">
        <v>118</v>
      </c>
      <c r="B5" s="4" t="n">
        <v>250</v>
      </c>
      <c r="C5" s="7" t="n">
        <v>580617.45</v>
      </c>
      <c r="D5" s="16" t="n">
        <f aca="false">C5/B5</f>
        <v>2322.4698</v>
      </c>
      <c r="E5" s="20" t="n">
        <v>0.1</v>
      </c>
      <c r="F5" s="20" t="n">
        <v>0</v>
      </c>
      <c r="G5" s="2" t="s">
        <v>648</v>
      </c>
    </row>
  </sheetData>
  <autoFilter ref="A1:G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H4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6"/>
    <col collapsed="false" customWidth="true" hidden="false" outlineLevel="0" max="3" min="3" style="0" width="28"/>
    <col collapsed="false" customWidth="true" hidden="false" outlineLevel="0" max="4" min="4" style="0" width="44"/>
    <col collapsed="false" customWidth="true" hidden="false" outlineLevel="0" max="5" min="5" style="0" width="34"/>
    <col collapsed="false" customWidth="true" hidden="false" outlineLevel="0" max="6" min="6" style="0" width="8"/>
    <col collapsed="false" customWidth="true" hidden="false" outlineLevel="0" max="7" min="7" style="0" width="9"/>
    <col collapsed="false" customWidth="true" hidden="false" outlineLevel="0" max="8" min="8" style="0" width="12"/>
  </cols>
  <sheetData>
    <row r="1" customFormat="false" ht="31.5" hidden="false" customHeight="true" outlineLevel="0" collapsed="false">
      <c r="A1" s="1" t="s">
        <v>272</v>
      </c>
      <c r="B1" s="1" t="s">
        <v>427</v>
      </c>
      <c r="C1" s="1" t="s">
        <v>428</v>
      </c>
      <c r="D1" s="1" t="s">
        <v>649</v>
      </c>
      <c r="E1" s="1" t="s">
        <v>650</v>
      </c>
      <c r="F1" s="1" t="s">
        <v>651</v>
      </c>
      <c r="G1" s="1" t="s">
        <v>652</v>
      </c>
      <c r="H1" s="1" t="s">
        <v>64</v>
      </c>
    </row>
    <row r="2" customFormat="false" ht="15" hidden="false" customHeight="false" outlineLevel="0" collapsed="false">
      <c r="A2" s="2" t="s">
        <v>80</v>
      </c>
      <c r="B2" s="4" t="n">
        <v>1</v>
      </c>
      <c r="C2" s="2" t="s">
        <v>437</v>
      </c>
      <c r="D2" s="2" t="s">
        <v>375</v>
      </c>
      <c r="E2" s="2" t="s">
        <v>653</v>
      </c>
      <c r="F2" s="4" t="n">
        <v>1</v>
      </c>
      <c r="G2" s="6" t="n">
        <v>1</v>
      </c>
      <c r="H2" s="2" t="s">
        <v>629</v>
      </c>
    </row>
    <row r="3" customFormat="false" ht="15" hidden="false" customHeight="false" outlineLevel="0" collapsed="false">
      <c r="A3" s="2" t="s">
        <v>80</v>
      </c>
      <c r="B3" s="4" t="n">
        <v>2</v>
      </c>
      <c r="C3" s="2" t="s">
        <v>441</v>
      </c>
      <c r="D3" s="2" t="s">
        <v>380</v>
      </c>
      <c r="E3" s="2" t="s">
        <v>653</v>
      </c>
      <c r="F3" s="4" t="n">
        <v>1</v>
      </c>
      <c r="G3" s="6" t="n">
        <v>1</v>
      </c>
      <c r="H3" s="2" t="s">
        <v>629</v>
      </c>
    </row>
    <row r="4" customFormat="false" ht="15" hidden="false" customHeight="false" outlineLevel="0" collapsed="false">
      <c r="A4" s="2" t="s">
        <v>80</v>
      </c>
      <c r="B4" s="4" t="n">
        <v>3</v>
      </c>
      <c r="C4" s="2" t="s">
        <v>386</v>
      </c>
      <c r="D4" s="2" t="s">
        <v>383</v>
      </c>
      <c r="E4" s="2" t="s">
        <v>653</v>
      </c>
      <c r="F4" s="4" t="n">
        <v>1</v>
      </c>
      <c r="G4" s="6" t="n">
        <v>1</v>
      </c>
      <c r="H4" s="2" t="s">
        <v>629</v>
      </c>
    </row>
    <row r="5" customFormat="false" ht="15" hidden="false" customHeight="false" outlineLevel="0" collapsed="false">
      <c r="A5" s="2" t="s">
        <v>80</v>
      </c>
      <c r="B5" s="4" t="n">
        <v>3</v>
      </c>
      <c r="C5" s="2" t="s">
        <v>386</v>
      </c>
      <c r="D5" s="2" t="s">
        <v>413</v>
      </c>
      <c r="E5" s="2" t="s">
        <v>654</v>
      </c>
      <c r="F5" s="4" t="n">
        <v>1</v>
      </c>
      <c r="G5" s="6" t="n">
        <v>1.1</v>
      </c>
      <c r="H5" s="2" t="s">
        <v>82</v>
      </c>
    </row>
    <row r="6" customFormat="false" ht="15" hidden="false" customHeight="false" outlineLevel="0" collapsed="false">
      <c r="A6" s="2" t="s">
        <v>80</v>
      </c>
      <c r="B6" s="4" t="n">
        <v>4</v>
      </c>
      <c r="C6" s="2" t="s">
        <v>390</v>
      </c>
      <c r="D6" s="2" t="s">
        <v>387</v>
      </c>
      <c r="E6" s="2" t="s">
        <v>653</v>
      </c>
      <c r="F6" s="4" t="n">
        <v>1</v>
      </c>
      <c r="G6" s="6" t="n">
        <v>1</v>
      </c>
      <c r="H6" s="2" t="s">
        <v>629</v>
      </c>
    </row>
    <row r="7" customFormat="false" ht="15" hidden="false" customHeight="false" outlineLevel="0" collapsed="false">
      <c r="A7" s="2" t="s">
        <v>80</v>
      </c>
      <c r="B7" s="4" t="n">
        <v>5</v>
      </c>
      <c r="C7" s="2" t="s">
        <v>442</v>
      </c>
      <c r="D7" s="2" t="s">
        <v>391</v>
      </c>
      <c r="E7" s="2" t="s">
        <v>653</v>
      </c>
      <c r="F7" s="4" t="n">
        <v>1</v>
      </c>
      <c r="G7" s="6" t="n">
        <v>1</v>
      </c>
      <c r="H7" s="2" t="s">
        <v>629</v>
      </c>
    </row>
    <row r="8" customFormat="false" ht="15" hidden="false" customHeight="false" outlineLevel="0" collapsed="false">
      <c r="A8" s="2" t="s">
        <v>80</v>
      </c>
      <c r="B8" s="4" t="n">
        <v>5</v>
      </c>
      <c r="C8" s="2" t="s">
        <v>442</v>
      </c>
      <c r="D8" s="2" t="s">
        <v>415</v>
      </c>
      <c r="E8" s="2" t="s">
        <v>655</v>
      </c>
      <c r="F8" s="4" t="n">
        <v>1</v>
      </c>
      <c r="G8" s="6" t="n">
        <v>1</v>
      </c>
      <c r="H8" s="2" t="s">
        <v>82</v>
      </c>
    </row>
    <row r="9" customFormat="false" ht="15" hidden="false" customHeight="false" outlineLevel="0" collapsed="false">
      <c r="A9" s="2" t="s">
        <v>80</v>
      </c>
      <c r="B9" s="4" t="n">
        <v>6</v>
      </c>
      <c r="C9" s="2" t="s">
        <v>443</v>
      </c>
      <c r="D9" s="2" t="s">
        <v>395</v>
      </c>
      <c r="E9" s="2" t="s">
        <v>653</v>
      </c>
      <c r="F9" s="4" t="n">
        <v>1</v>
      </c>
      <c r="G9" s="6" t="n">
        <v>1</v>
      </c>
      <c r="H9" s="2" t="s">
        <v>629</v>
      </c>
    </row>
    <row r="10" customFormat="false" ht="15" hidden="false" customHeight="false" outlineLevel="0" collapsed="false">
      <c r="A10" s="2" t="s">
        <v>80</v>
      </c>
      <c r="B10" s="4" t="n">
        <v>7</v>
      </c>
      <c r="C10" s="2" t="s">
        <v>444</v>
      </c>
      <c r="D10" s="2" t="s">
        <v>399</v>
      </c>
      <c r="E10" s="2" t="s">
        <v>653</v>
      </c>
      <c r="F10" s="4" t="n">
        <v>1</v>
      </c>
      <c r="G10" s="6" t="n">
        <v>1</v>
      </c>
      <c r="H10" s="2" t="s">
        <v>629</v>
      </c>
    </row>
    <row r="11" customFormat="false" ht="15" hidden="false" customHeight="false" outlineLevel="0" collapsed="false">
      <c r="A11" s="2" t="s">
        <v>80</v>
      </c>
      <c r="B11" s="4" t="n">
        <v>8</v>
      </c>
      <c r="C11" s="2" t="s">
        <v>445</v>
      </c>
      <c r="D11" s="2" t="s">
        <v>402</v>
      </c>
      <c r="E11" s="2" t="s">
        <v>653</v>
      </c>
      <c r="F11" s="4" t="n">
        <v>1</v>
      </c>
      <c r="G11" s="6" t="n">
        <v>1</v>
      </c>
      <c r="H11" s="2" t="s">
        <v>629</v>
      </c>
    </row>
    <row r="12" customFormat="false" ht="15" hidden="false" customHeight="false" outlineLevel="0" collapsed="false">
      <c r="A12" s="2" t="s">
        <v>80</v>
      </c>
      <c r="B12" s="4" t="n">
        <v>9</v>
      </c>
      <c r="C12" s="2" t="s">
        <v>447</v>
      </c>
      <c r="D12" s="2" t="s">
        <v>421</v>
      </c>
      <c r="E12" s="2" t="s">
        <v>653</v>
      </c>
      <c r="F12" s="4" t="n">
        <v>1</v>
      </c>
      <c r="G12" s="6" t="n">
        <v>1</v>
      </c>
      <c r="H12" s="2" t="s">
        <v>629</v>
      </c>
    </row>
    <row r="13" customFormat="false" ht="15" hidden="false" customHeight="false" outlineLevel="0" collapsed="false">
      <c r="A13" s="2" t="s">
        <v>80</v>
      </c>
      <c r="B13" s="4" t="n">
        <v>10</v>
      </c>
      <c r="C13" s="2" t="s">
        <v>449</v>
      </c>
      <c r="D13" s="2" t="s">
        <v>423</v>
      </c>
      <c r="E13" s="2" t="s">
        <v>653</v>
      </c>
      <c r="F13" s="4" t="n">
        <v>1</v>
      </c>
      <c r="G13" s="6" t="n">
        <v>1</v>
      </c>
      <c r="H13" s="2" t="s">
        <v>629</v>
      </c>
    </row>
    <row r="14" customFormat="false" ht="15" hidden="false" customHeight="false" outlineLevel="0" collapsed="false">
      <c r="A14" s="2" t="s">
        <v>80</v>
      </c>
      <c r="B14" s="4" t="n">
        <v>11</v>
      </c>
      <c r="C14" s="2" t="s">
        <v>450</v>
      </c>
      <c r="D14" s="2" t="s">
        <v>406</v>
      </c>
      <c r="E14" s="2" t="s">
        <v>653</v>
      </c>
      <c r="F14" s="4" t="n">
        <v>1</v>
      </c>
      <c r="G14" s="6" t="n">
        <v>1</v>
      </c>
      <c r="H14" s="2" t="s">
        <v>629</v>
      </c>
    </row>
    <row r="15" customFormat="false" ht="15" hidden="false" customHeight="false" outlineLevel="0" collapsed="false">
      <c r="A15" s="2" t="s">
        <v>80</v>
      </c>
      <c r="B15" s="4" t="n">
        <v>12</v>
      </c>
      <c r="C15" s="2" t="s">
        <v>451</v>
      </c>
      <c r="D15" s="2" t="s">
        <v>408</v>
      </c>
      <c r="E15" s="2" t="s">
        <v>653</v>
      </c>
      <c r="F15" s="4" t="n">
        <v>1</v>
      </c>
      <c r="G15" s="6" t="n">
        <v>1</v>
      </c>
      <c r="H15" s="2" t="s">
        <v>629</v>
      </c>
    </row>
    <row r="16" customFormat="false" ht="15" hidden="false" customHeight="false" outlineLevel="0" collapsed="false">
      <c r="A16" s="2" t="s">
        <v>80</v>
      </c>
      <c r="B16" s="4" t="n">
        <v>13</v>
      </c>
      <c r="C16" s="2" t="s">
        <v>452</v>
      </c>
      <c r="D16" s="2" t="s">
        <v>411</v>
      </c>
      <c r="E16" s="2" t="s">
        <v>653</v>
      </c>
      <c r="F16" s="4" t="n">
        <v>1</v>
      </c>
      <c r="G16" s="6" t="n">
        <v>1</v>
      </c>
      <c r="H16" s="2" t="s">
        <v>629</v>
      </c>
    </row>
    <row r="17" customFormat="false" ht="15" hidden="false" customHeight="false" outlineLevel="0" collapsed="false">
      <c r="A17" s="2" t="s">
        <v>83</v>
      </c>
      <c r="B17" s="4" t="n">
        <v>1</v>
      </c>
      <c r="C17" s="2" t="s">
        <v>437</v>
      </c>
      <c r="D17" s="2" t="s">
        <v>375</v>
      </c>
      <c r="E17" s="2" t="s">
        <v>653</v>
      </c>
      <c r="F17" s="4" t="n">
        <v>1</v>
      </c>
      <c r="G17" s="6" t="n">
        <v>1</v>
      </c>
      <c r="H17" s="2" t="s">
        <v>629</v>
      </c>
    </row>
    <row r="18" customFormat="false" ht="15" hidden="false" customHeight="false" outlineLevel="0" collapsed="false">
      <c r="A18" s="2" t="s">
        <v>83</v>
      </c>
      <c r="B18" s="4" t="n">
        <v>2</v>
      </c>
      <c r="C18" s="2" t="s">
        <v>441</v>
      </c>
      <c r="D18" s="2" t="s">
        <v>380</v>
      </c>
      <c r="E18" s="2" t="s">
        <v>653</v>
      </c>
      <c r="F18" s="4" t="n">
        <v>1</v>
      </c>
      <c r="G18" s="6" t="n">
        <v>1</v>
      </c>
      <c r="H18" s="2" t="s">
        <v>629</v>
      </c>
    </row>
    <row r="19" customFormat="false" ht="15" hidden="false" customHeight="false" outlineLevel="0" collapsed="false">
      <c r="A19" s="2" t="s">
        <v>83</v>
      </c>
      <c r="B19" s="4" t="n">
        <v>3</v>
      </c>
      <c r="C19" s="2" t="s">
        <v>386</v>
      </c>
      <c r="D19" s="2" t="s">
        <v>383</v>
      </c>
      <c r="E19" s="2" t="s">
        <v>653</v>
      </c>
      <c r="F19" s="4" t="n">
        <v>1</v>
      </c>
      <c r="G19" s="6" t="n">
        <v>1</v>
      </c>
      <c r="H19" s="2" t="s">
        <v>629</v>
      </c>
    </row>
    <row r="20" customFormat="false" ht="15" hidden="false" customHeight="false" outlineLevel="0" collapsed="false">
      <c r="A20" s="2" t="s">
        <v>83</v>
      </c>
      <c r="B20" s="4" t="n">
        <v>3</v>
      </c>
      <c r="C20" s="2" t="s">
        <v>386</v>
      </c>
      <c r="D20" s="2" t="s">
        <v>413</v>
      </c>
      <c r="E20" s="2" t="s">
        <v>654</v>
      </c>
      <c r="F20" s="4" t="n">
        <v>1</v>
      </c>
      <c r="G20" s="6" t="n">
        <v>1.1</v>
      </c>
      <c r="H20" s="2" t="s">
        <v>82</v>
      </c>
    </row>
    <row r="21" customFormat="false" ht="15" hidden="false" customHeight="false" outlineLevel="0" collapsed="false">
      <c r="A21" s="2" t="s">
        <v>83</v>
      </c>
      <c r="B21" s="4" t="n">
        <v>4</v>
      </c>
      <c r="C21" s="2" t="s">
        <v>390</v>
      </c>
      <c r="D21" s="2" t="s">
        <v>387</v>
      </c>
      <c r="E21" s="2" t="s">
        <v>653</v>
      </c>
      <c r="F21" s="4" t="n">
        <v>1</v>
      </c>
      <c r="G21" s="6" t="n">
        <v>1</v>
      </c>
      <c r="H21" s="2" t="s">
        <v>629</v>
      </c>
    </row>
    <row r="22" customFormat="false" ht="15" hidden="false" customHeight="false" outlineLevel="0" collapsed="false">
      <c r="A22" s="2" t="s">
        <v>83</v>
      </c>
      <c r="B22" s="4" t="n">
        <v>5</v>
      </c>
      <c r="C22" s="2" t="s">
        <v>442</v>
      </c>
      <c r="D22" s="2" t="s">
        <v>391</v>
      </c>
      <c r="E22" s="2" t="s">
        <v>653</v>
      </c>
      <c r="F22" s="4" t="n">
        <v>1</v>
      </c>
      <c r="G22" s="6" t="n">
        <v>1</v>
      </c>
      <c r="H22" s="2" t="s">
        <v>629</v>
      </c>
    </row>
    <row r="23" customFormat="false" ht="15" hidden="false" customHeight="false" outlineLevel="0" collapsed="false">
      <c r="A23" s="2" t="s">
        <v>83</v>
      </c>
      <c r="B23" s="4" t="n">
        <v>5</v>
      </c>
      <c r="C23" s="2" t="s">
        <v>442</v>
      </c>
      <c r="D23" s="2" t="s">
        <v>415</v>
      </c>
      <c r="E23" s="2" t="s">
        <v>655</v>
      </c>
      <c r="F23" s="4" t="n">
        <v>1</v>
      </c>
      <c r="G23" s="6" t="n">
        <v>1</v>
      </c>
      <c r="H23" s="2" t="s">
        <v>82</v>
      </c>
    </row>
    <row r="24" customFormat="false" ht="15" hidden="false" customHeight="false" outlineLevel="0" collapsed="false">
      <c r="A24" s="2" t="s">
        <v>83</v>
      </c>
      <c r="B24" s="4" t="n">
        <v>6</v>
      </c>
      <c r="C24" s="2" t="s">
        <v>443</v>
      </c>
      <c r="D24" s="2" t="s">
        <v>395</v>
      </c>
      <c r="E24" s="2" t="s">
        <v>653</v>
      </c>
      <c r="F24" s="4" t="n">
        <v>1</v>
      </c>
      <c r="G24" s="6" t="n">
        <v>1</v>
      </c>
      <c r="H24" s="2" t="s">
        <v>629</v>
      </c>
    </row>
    <row r="25" customFormat="false" ht="15" hidden="false" customHeight="false" outlineLevel="0" collapsed="false">
      <c r="A25" s="2" t="s">
        <v>83</v>
      </c>
      <c r="B25" s="4" t="n">
        <v>7</v>
      </c>
      <c r="C25" s="2" t="s">
        <v>444</v>
      </c>
      <c r="D25" s="2" t="s">
        <v>399</v>
      </c>
      <c r="E25" s="2" t="s">
        <v>653</v>
      </c>
      <c r="F25" s="4" t="n">
        <v>1</v>
      </c>
      <c r="G25" s="6" t="n">
        <v>1</v>
      </c>
      <c r="H25" s="2" t="s">
        <v>629</v>
      </c>
    </row>
    <row r="26" customFormat="false" ht="15" hidden="false" customHeight="false" outlineLevel="0" collapsed="false">
      <c r="A26" s="2" t="s">
        <v>83</v>
      </c>
      <c r="B26" s="4" t="n">
        <v>8</v>
      </c>
      <c r="C26" s="2" t="s">
        <v>445</v>
      </c>
      <c r="D26" s="2" t="s">
        <v>402</v>
      </c>
      <c r="E26" s="2" t="s">
        <v>653</v>
      </c>
      <c r="F26" s="4" t="n">
        <v>1</v>
      </c>
      <c r="G26" s="6" t="n">
        <v>1</v>
      </c>
      <c r="H26" s="2" t="s">
        <v>629</v>
      </c>
    </row>
    <row r="27" customFormat="false" ht="15" hidden="false" customHeight="false" outlineLevel="0" collapsed="false">
      <c r="A27" s="2" t="s">
        <v>83</v>
      </c>
      <c r="B27" s="4" t="n">
        <v>9</v>
      </c>
      <c r="C27" s="2" t="s">
        <v>447</v>
      </c>
      <c r="D27" s="2" t="s">
        <v>421</v>
      </c>
      <c r="E27" s="2" t="s">
        <v>653</v>
      </c>
      <c r="F27" s="4" t="n">
        <v>1</v>
      </c>
      <c r="G27" s="6" t="n">
        <v>1</v>
      </c>
      <c r="H27" s="2" t="s">
        <v>629</v>
      </c>
    </row>
    <row r="28" customFormat="false" ht="15" hidden="false" customHeight="false" outlineLevel="0" collapsed="false">
      <c r="A28" s="2" t="s">
        <v>83</v>
      </c>
      <c r="B28" s="4" t="n">
        <v>10</v>
      </c>
      <c r="C28" s="2" t="s">
        <v>449</v>
      </c>
      <c r="D28" s="2" t="s">
        <v>423</v>
      </c>
      <c r="E28" s="2" t="s">
        <v>653</v>
      </c>
      <c r="F28" s="4" t="n">
        <v>1</v>
      </c>
      <c r="G28" s="6" t="n">
        <v>1</v>
      </c>
      <c r="H28" s="2" t="s">
        <v>629</v>
      </c>
    </row>
    <row r="29" customFormat="false" ht="15" hidden="false" customHeight="false" outlineLevel="0" collapsed="false">
      <c r="A29" s="2" t="s">
        <v>83</v>
      </c>
      <c r="B29" s="4" t="n">
        <v>11</v>
      </c>
      <c r="C29" s="2" t="s">
        <v>450</v>
      </c>
      <c r="D29" s="2" t="s">
        <v>406</v>
      </c>
      <c r="E29" s="2" t="s">
        <v>653</v>
      </c>
      <c r="F29" s="4" t="n">
        <v>1</v>
      </c>
      <c r="G29" s="6" t="n">
        <v>1</v>
      </c>
      <c r="H29" s="2" t="s">
        <v>629</v>
      </c>
    </row>
    <row r="30" customFormat="false" ht="15" hidden="false" customHeight="false" outlineLevel="0" collapsed="false">
      <c r="A30" s="2" t="s">
        <v>83</v>
      </c>
      <c r="B30" s="4" t="n">
        <v>12</v>
      </c>
      <c r="C30" s="2" t="s">
        <v>451</v>
      </c>
      <c r="D30" s="2" t="s">
        <v>408</v>
      </c>
      <c r="E30" s="2" t="s">
        <v>653</v>
      </c>
      <c r="F30" s="4" t="n">
        <v>1</v>
      </c>
      <c r="G30" s="6" t="n">
        <v>1</v>
      </c>
      <c r="H30" s="2" t="s">
        <v>629</v>
      </c>
    </row>
    <row r="31" customFormat="false" ht="15" hidden="false" customHeight="false" outlineLevel="0" collapsed="false">
      <c r="A31" s="2" t="s">
        <v>83</v>
      </c>
      <c r="B31" s="4" t="n">
        <v>13</v>
      </c>
      <c r="C31" s="2" t="s">
        <v>452</v>
      </c>
      <c r="D31" s="2" t="s">
        <v>411</v>
      </c>
      <c r="E31" s="2" t="s">
        <v>653</v>
      </c>
      <c r="F31" s="4" t="n">
        <v>1</v>
      </c>
      <c r="G31" s="6" t="n">
        <v>1</v>
      </c>
      <c r="H31" s="2" t="s">
        <v>629</v>
      </c>
    </row>
    <row r="32" customFormat="false" ht="15" hidden="false" customHeight="false" outlineLevel="0" collapsed="false">
      <c r="A32" s="2" t="s">
        <v>94</v>
      </c>
      <c r="B32" s="4" t="n">
        <v>1</v>
      </c>
      <c r="C32" s="2" t="s">
        <v>437</v>
      </c>
      <c r="D32" s="2" t="s">
        <v>375</v>
      </c>
      <c r="E32" s="2" t="s">
        <v>653</v>
      </c>
      <c r="F32" s="4" t="n">
        <v>1</v>
      </c>
      <c r="G32" s="6" t="n">
        <v>1</v>
      </c>
      <c r="H32" s="2" t="s">
        <v>629</v>
      </c>
    </row>
    <row r="33" customFormat="false" ht="15" hidden="false" customHeight="false" outlineLevel="0" collapsed="false">
      <c r="A33" s="2" t="s">
        <v>94</v>
      </c>
      <c r="B33" s="4" t="n">
        <v>2</v>
      </c>
      <c r="C33" s="2" t="s">
        <v>441</v>
      </c>
      <c r="D33" s="2" t="s">
        <v>380</v>
      </c>
      <c r="E33" s="2" t="s">
        <v>653</v>
      </c>
      <c r="F33" s="4" t="n">
        <v>1</v>
      </c>
      <c r="G33" s="6" t="n">
        <v>1</v>
      </c>
      <c r="H33" s="2" t="s">
        <v>629</v>
      </c>
    </row>
    <row r="34" customFormat="false" ht="15" hidden="false" customHeight="false" outlineLevel="0" collapsed="false">
      <c r="A34" s="2" t="s">
        <v>94</v>
      </c>
      <c r="B34" s="4" t="n">
        <v>3</v>
      </c>
      <c r="C34" s="2" t="s">
        <v>386</v>
      </c>
      <c r="D34" s="2" t="s">
        <v>383</v>
      </c>
      <c r="E34" s="2" t="s">
        <v>653</v>
      </c>
      <c r="F34" s="4" t="n">
        <v>1</v>
      </c>
      <c r="G34" s="6" t="n">
        <v>1</v>
      </c>
      <c r="H34" s="2" t="s">
        <v>629</v>
      </c>
    </row>
    <row r="35" customFormat="false" ht="15" hidden="false" customHeight="false" outlineLevel="0" collapsed="false">
      <c r="A35" s="2" t="s">
        <v>94</v>
      </c>
      <c r="B35" s="4" t="n">
        <v>3</v>
      </c>
      <c r="C35" s="2" t="s">
        <v>386</v>
      </c>
      <c r="D35" s="2" t="s">
        <v>413</v>
      </c>
      <c r="E35" s="2" t="s">
        <v>654</v>
      </c>
      <c r="F35" s="4" t="n">
        <v>1</v>
      </c>
      <c r="G35" s="6" t="n">
        <v>1.1</v>
      </c>
      <c r="H35" s="2" t="s">
        <v>82</v>
      </c>
    </row>
    <row r="36" customFormat="false" ht="15" hidden="false" customHeight="false" outlineLevel="0" collapsed="false">
      <c r="A36" s="2" t="s">
        <v>94</v>
      </c>
      <c r="B36" s="4" t="n">
        <v>4</v>
      </c>
      <c r="C36" s="2" t="s">
        <v>390</v>
      </c>
      <c r="D36" s="2" t="s">
        <v>387</v>
      </c>
      <c r="E36" s="2" t="s">
        <v>653</v>
      </c>
      <c r="F36" s="4" t="n">
        <v>1</v>
      </c>
      <c r="G36" s="6" t="n">
        <v>1</v>
      </c>
      <c r="H36" s="2" t="s">
        <v>629</v>
      </c>
    </row>
    <row r="37" customFormat="false" ht="15" hidden="false" customHeight="false" outlineLevel="0" collapsed="false">
      <c r="A37" s="2" t="s">
        <v>94</v>
      </c>
      <c r="B37" s="4" t="n">
        <v>5</v>
      </c>
      <c r="C37" s="2" t="s">
        <v>443</v>
      </c>
      <c r="D37" s="2" t="s">
        <v>395</v>
      </c>
      <c r="E37" s="2" t="s">
        <v>653</v>
      </c>
      <c r="F37" s="4" t="n">
        <v>1</v>
      </c>
      <c r="G37" s="6" t="n">
        <v>1</v>
      </c>
      <c r="H37" s="2" t="s">
        <v>629</v>
      </c>
    </row>
    <row r="38" customFormat="false" ht="15" hidden="false" customHeight="false" outlineLevel="0" collapsed="false">
      <c r="A38" s="2" t="s">
        <v>94</v>
      </c>
      <c r="B38" s="4" t="n">
        <v>6</v>
      </c>
      <c r="C38" s="2" t="s">
        <v>444</v>
      </c>
      <c r="D38" s="2" t="s">
        <v>399</v>
      </c>
      <c r="E38" s="2" t="s">
        <v>653</v>
      </c>
      <c r="F38" s="4" t="n">
        <v>1</v>
      </c>
      <c r="G38" s="6" t="n">
        <v>1</v>
      </c>
      <c r="H38" s="2" t="s">
        <v>629</v>
      </c>
    </row>
    <row r="39" customFormat="false" ht="15" hidden="false" customHeight="false" outlineLevel="0" collapsed="false">
      <c r="A39" s="2" t="s">
        <v>94</v>
      </c>
      <c r="B39" s="4" t="n">
        <v>7</v>
      </c>
      <c r="C39" s="2" t="s">
        <v>445</v>
      </c>
      <c r="D39" s="2" t="s">
        <v>402</v>
      </c>
      <c r="E39" s="2" t="s">
        <v>653</v>
      </c>
      <c r="F39" s="4" t="n">
        <v>1</v>
      </c>
      <c r="G39" s="6" t="n">
        <v>1</v>
      </c>
      <c r="H39" s="2" t="s">
        <v>629</v>
      </c>
    </row>
    <row r="40" customFormat="false" ht="15" hidden="false" customHeight="false" outlineLevel="0" collapsed="false">
      <c r="A40" s="2" t="s">
        <v>94</v>
      </c>
      <c r="B40" s="4" t="n">
        <v>8</v>
      </c>
      <c r="C40" s="2" t="s">
        <v>447</v>
      </c>
      <c r="D40" s="2" t="s">
        <v>421</v>
      </c>
      <c r="E40" s="2" t="s">
        <v>653</v>
      </c>
      <c r="F40" s="4" t="n">
        <v>1</v>
      </c>
      <c r="G40" s="6" t="n">
        <v>1</v>
      </c>
      <c r="H40" s="2" t="s">
        <v>629</v>
      </c>
    </row>
    <row r="41" customFormat="false" ht="15" hidden="false" customHeight="false" outlineLevel="0" collapsed="false">
      <c r="A41" s="2" t="s">
        <v>94</v>
      </c>
      <c r="B41" s="4" t="n">
        <v>9</v>
      </c>
      <c r="C41" s="2" t="s">
        <v>449</v>
      </c>
      <c r="D41" s="2" t="s">
        <v>423</v>
      </c>
      <c r="E41" s="2" t="s">
        <v>653</v>
      </c>
      <c r="F41" s="4" t="n">
        <v>1</v>
      </c>
      <c r="G41" s="6" t="n">
        <v>1</v>
      </c>
      <c r="H41" s="2" t="s">
        <v>629</v>
      </c>
    </row>
    <row r="42" customFormat="false" ht="15" hidden="false" customHeight="false" outlineLevel="0" collapsed="false">
      <c r="A42" s="2" t="s">
        <v>94</v>
      </c>
      <c r="B42" s="4" t="n">
        <v>10</v>
      </c>
      <c r="C42" s="2" t="s">
        <v>450</v>
      </c>
      <c r="D42" s="2" t="s">
        <v>406</v>
      </c>
      <c r="E42" s="2" t="s">
        <v>653</v>
      </c>
      <c r="F42" s="4" t="n">
        <v>1</v>
      </c>
      <c r="G42" s="6" t="n">
        <v>1</v>
      </c>
      <c r="H42" s="2" t="s">
        <v>629</v>
      </c>
    </row>
    <row r="43" customFormat="false" ht="15" hidden="false" customHeight="false" outlineLevel="0" collapsed="false">
      <c r="A43" s="2" t="s">
        <v>94</v>
      </c>
      <c r="B43" s="4" t="n">
        <v>11</v>
      </c>
      <c r="C43" s="2" t="s">
        <v>451</v>
      </c>
      <c r="D43" s="2" t="s">
        <v>408</v>
      </c>
      <c r="E43" s="2" t="s">
        <v>653</v>
      </c>
      <c r="F43" s="4" t="n">
        <v>1</v>
      </c>
      <c r="G43" s="6" t="n">
        <v>1</v>
      </c>
      <c r="H43" s="2" t="s">
        <v>629</v>
      </c>
    </row>
    <row r="44" customFormat="false" ht="15" hidden="false" customHeight="false" outlineLevel="0" collapsed="false">
      <c r="A44" s="2" t="s">
        <v>94</v>
      </c>
      <c r="B44" s="4" t="n">
        <v>12</v>
      </c>
      <c r="C44" s="2" t="s">
        <v>452</v>
      </c>
      <c r="D44" s="2" t="s">
        <v>411</v>
      </c>
      <c r="E44" s="2" t="s">
        <v>653</v>
      </c>
      <c r="F44" s="4" t="n">
        <v>1</v>
      </c>
      <c r="G44" s="6" t="n">
        <v>1</v>
      </c>
      <c r="H44" s="2" t="s">
        <v>629</v>
      </c>
    </row>
    <row r="45" customFormat="false" ht="15" hidden="false" customHeight="false" outlineLevel="0" collapsed="false">
      <c r="A45" s="2" t="s">
        <v>96</v>
      </c>
      <c r="B45" s="4" t="n">
        <v>1</v>
      </c>
      <c r="C45" s="2" t="s">
        <v>437</v>
      </c>
      <c r="D45" s="2" t="s">
        <v>375</v>
      </c>
      <c r="E45" s="2" t="s">
        <v>653</v>
      </c>
      <c r="F45" s="4" t="n">
        <v>1</v>
      </c>
      <c r="G45" s="6" t="n">
        <v>1</v>
      </c>
      <c r="H45" s="2" t="s">
        <v>629</v>
      </c>
    </row>
    <row r="46" customFormat="false" ht="15" hidden="false" customHeight="false" outlineLevel="0" collapsed="false">
      <c r="A46" s="2" t="s">
        <v>96</v>
      </c>
      <c r="B46" s="4" t="n">
        <v>2</v>
      </c>
      <c r="C46" s="2" t="s">
        <v>441</v>
      </c>
      <c r="D46" s="2" t="s">
        <v>380</v>
      </c>
      <c r="E46" s="2" t="s">
        <v>653</v>
      </c>
      <c r="F46" s="4" t="n">
        <v>1</v>
      </c>
      <c r="G46" s="6" t="n">
        <v>1</v>
      </c>
      <c r="H46" s="2" t="s">
        <v>629</v>
      </c>
    </row>
    <row r="47" customFormat="false" ht="15" hidden="false" customHeight="false" outlineLevel="0" collapsed="false">
      <c r="A47" s="2" t="s">
        <v>96</v>
      </c>
      <c r="B47" s="4" t="n">
        <v>3</v>
      </c>
      <c r="C47" s="2" t="s">
        <v>386</v>
      </c>
      <c r="D47" s="2" t="s">
        <v>383</v>
      </c>
      <c r="E47" s="2" t="s">
        <v>653</v>
      </c>
      <c r="F47" s="4" t="n">
        <v>1</v>
      </c>
      <c r="G47" s="6" t="n">
        <v>1</v>
      </c>
      <c r="H47" s="2" t="s">
        <v>629</v>
      </c>
    </row>
    <row r="48" customFormat="false" ht="15" hidden="false" customHeight="false" outlineLevel="0" collapsed="false">
      <c r="A48" s="2" t="s">
        <v>96</v>
      </c>
      <c r="B48" s="4" t="n">
        <v>3</v>
      </c>
      <c r="C48" s="2" t="s">
        <v>386</v>
      </c>
      <c r="D48" s="2" t="s">
        <v>413</v>
      </c>
      <c r="E48" s="2" t="s">
        <v>654</v>
      </c>
      <c r="F48" s="4" t="n">
        <v>1</v>
      </c>
      <c r="G48" s="6" t="n">
        <v>1.1</v>
      </c>
      <c r="H48" s="2" t="s">
        <v>82</v>
      </c>
    </row>
    <row r="49" customFormat="false" ht="15" hidden="false" customHeight="false" outlineLevel="0" collapsed="false">
      <c r="A49" s="2" t="s">
        <v>96</v>
      </c>
      <c r="B49" s="4" t="n">
        <v>4</v>
      </c>
      <c r="C49" s="2" t="s">
        <v>390</v>
      </c>
      <c r="D49" s="2" t="s">
        <v>387</v>
      </c>
      <c r="E49" s="2" t="s">
        <v>653</v>
      </c>
      <c r="F49" s="4" t="n">
        <v>1</v>
      </c>
      <c r="G49" s="6" t="n">
        <v>1</v>
      </c>
      <c r="H49" s="2" t="s">
        <v>629</v>
      </c>
    </row>
    <row r="50" customFormat="false" ht="15" hidden="false" customHeight="false" outlineLevel="0" collapsed="false">
      <c r="A50" s="2" t="s">
        <v>96</v>
      </c>
      <c r="B50" s="4" t="n">
        <v>5</v>
      </c>
      <c r="C50" s="2" t="s">
        <v>442</v>
      </c>
      <c r="D50" s="2" t="s">
        <v>391</v>
      </c>
      <c r="E50" s="2" t="s">
        <v>653</v>
      </c>
      <c r="F50" s="4" t="n">
        <v>1</v>
      </c>
      <c r="G50" s="6" t="n">
        <v>1</v>
      </c>
      <c r="H50" s="2" t="s">
        <v>629</v>
      </c>
    </row>
    <row r="51" customFormat="false" ht="15" hidden="false" customHeight="false" outlineLevel="0" collapsed="false">
      <c r="A51" s="2" t="s">
        <v>96</v>
      </c>
      <c r="B51" s="4" t="n">
        <v>5</v>
      </c>
      <c r="C51" s="2" t="s">
        <v>442</v>
      </c>
      <c r="D51" s="2" t="s">
        <v>415</v>
      </c>
      <c r="E51" s="2" t="s">
        <v>655</v>
      </c>
      <c r="F51" s="4" t="n">
        <v>1</v>
      </c>
      <c r="G51" s="6" t="n">
        <v>1</v>
      </c>
      <c r="H51" s="2" t="s">
        <v>82</v>
      </c>
    </row>
    <row r="52" customFormat="false" ht="15" hidden="false" customHeight="false" outlineLevel="0" collapsed="false">
      <c r="A52" s="2" t="s">
        <v>96</v>
      </c>
      <c r="B52" s="4" t="n">
        <v>6</v>
      </c>
      <c r="C52" s="2" t="s">
        <v>443</v>
      </c>
      <c r="D52" s="2" t="s">
        <v>395</v>
      </c>
      <c r="E52" s="2" t="s">
        <v>653</v>
      </c>
      <c r="F52" s="4" t="n">
        <v>1</v>
      </c>
      <c r="G52" s="6" t="n">
        <v>1</v>
      </c>
      <c r="H52" s="2" t="s">
        <v>629</v>
      </c>
    </row>
    <row r="53" customFormat="false" ht="15" hidden="false" customHeight="false" outlineLevel="0" collapsed="false">
      <c r="A53" s="2" t="s">
        <v>96</v>
      </c>
      <c r="B53" s="4" t="n">
        <v>7</v>
      </c>
      <c r="C53" s="2" t="s">
        <v>444</v>
      </c>
      <c r="D53" s="2" t="s">
        <v>399</v>
      </c>
      <c r="E53" s="2" t="s">
        <v>653</v>
      </c>
      <c r="F53" s="4" t="n">
        <v>1</v>
      </c>
      <c r="G53" s="6" t="n">
        <v>1</v>
      </c>
      <c r="H53" s="2" t="s">
        <v>629</v>
      </c>
    </row>
    <row r="54" customFormat="false" ht="15" hidden="false" customHeight="false" outlineLevel="0" collapsed="false">
      <c r="A54" s="2" t="s">
        <v>96</v>
      </c>
      <c r="B54" s="4" t="n">
        <v>8</v>
      </c>
      <c r="C54" s="2" t="s">
        <v>445</v>
      </c>
      <c r="D54" s="2" t="s">
        <v>402</v>
      </c>
      <c r="E54" s="2" t="s">
        <v>653</v>
      </c>
      <c r="F54" s="4" t="n">
        <v>1</v>
      </c>
      <c r="G54" s="6" t="n">
        <v>1</v>
      </c>
      <c r="H54" s="2" t="s">
        <v>629</v>
      </c>
    </row>
    <row r="55" customFormat="false" ht="15" hidden="false" customHeight="false" outlineLevel="0" collapsed="false">
      <c r="A55" s="2" t="s">
        <v>96</v>
      </c>
      <c r="B55" s="4" t="n">
        <v>9</v>
      </c>
      <c r="C55" s="2" t="s">
        <v>447</v>
      </c>
      <c r="D55" s="2" t="s">
        <v>421</v>
      </c>
      <c r="E55" s="2" t="s">
        <v>653</v>
      </c>
      <c r="F55" s="4" t="n">
        <v>1</v>
      </c>
      <c r="G55" s="6" t="n">
        <v>1</v>
      </c>
      <c r="H55" s="2" t="s">
        <v>629</v>
      </c>
    </row>
    <row r="56" customFormat="false" ht="15" hidden="false" customHeight="false" outlineLevel="0" collapsed="false">
      <c r="A56" s="2" t="s">
        <v>96</v>
      </c>
      <c r="B56" s="4" t="n">
        <v>10</v>
      </c>
      <c r="C56" s="2" t="s">
        <v>449</v>
      </c>
      <c r="D56" s="2" t="s">
        <v>423</v>
      </c>
      <c r="E56" s="2" t="s">
        <v>653</v>
      </c>
      <c r="F56" s="4" t="n">
        <v>1</v>
      </c>
      <c r="G56" s="6" t="n">
        <v>1</v>
      </c>
      <c r="H56" s="2" t="s">
        <v>629</v>
      </c>
    </row>
    <row r="57" customFormat="false" ht="15" hidden="false" customHeight="false" outlineLevel="0" collapsed="false">
      <c r="A57" s="2" t="s">
        <v>96</v>
      </c>
      <c r="B57" s="4" t="n">
        <v>11</v>
      </c>
      <c r="C57" s="2" t="s">
        <v>450</v>
      </c>
      <c r="D57" s="2" t="s">
        <v>406</v>
      </c>
      <c r="E57" s="2" t="s">
        <v>653</v>
      </c>
      <c r="F57" s="4" t="n">
        <v>1</v>
      </c>
      <c r="G57" s="6" t="n">
        <v>1</v>
      </c>
      <c r="H57" s="2" t="s">
        <v>629</v>
      </c>
    </row>
    <row r="58" customFormat="false" ht="15" hidden="false" customHeight="false" outlineLevel="0" collapsed="false">
      <c r="A58" s="2" t="s">
        <v>96</v>
      </c>
      <c r="B58" s="4" t="n">
        <v>12</v>
      </c>
      <c r="C58" s="2" t="s">
        <v>451</v>
      </c>
      <c r="D58" s="2" t="s">
        <v>408</v>
      </c>
      <c r="E58" s="2" t="s">
        <v>653</v>
      </c>
      <c r="F58" s="4" t="n">
        <v>1</v>
      </c>
      <c r="G58" s="6" t="n">
        <v>1</v>
      </c>
      <c r="H58" s="2" t="s">
        <v>629</v>
      </c>
    </row>
    <row r="59" customFormat="false" ht="15" hidden="false" customHeight="false" outlineLevel="0" collapsed="false">
      <c r="A59" s="2" t="s">
        <v>96</v>
      </c>
      <c r="B59" s="4" t="n">
        <v>13</v>
      </c>
      <c r="C59" s="2" t="s">
        <v>452</v>
      </c>
      <c r="D59" s="2" t="s">
        <v>411</v>
      </c>
      <c r="E59" s="2" t="s">
        <v>653</v>
      </c>
      <c r="F59" s="4" t="n">
        <v>1</v>
      </c>
      <c r="G59" s="6" t="n">
        <v>1</v>
      </c>
      <c r="H59" s="2" t="s">
        <v>629</v>
      </c>
    </row>
    <row r="60" customFormat="false" ht="15" hidden="false" customHeight="false" outlineLevel="0" collapsed="false">
      <c r="A60" s="2" t="s">
        <v>106</v>
      </c>
      <c r="B60" s="4" t="n">
        <v>1</v>
      </c>
      <c r="C60" s="2" t="s">
        <v>437</v>
      </c>
      <c r="D60" s="2" t="s">
        <v>375</v>
      </c>
      <c r="E60" s="2" t="s">
        <v>653</v>
      </c>
      <c r="F60" s="4" t="n">
        <v>1</v>
      </c>
      <c r="G60" s="6" t="n">
        <v>1</v>
      </c>
      <c r="H60" s="2" t="s">
        <v>629</v>
      </c>
    </row>
    <row r="61" customFormat="false" ht="15" hidden="false" customHeight="false" outlineLevel="0" collapsed="false">
      <c r="A61" s="2" t="s">
        <v>106</v>
      </c>
      <c r="B61" s="4" t="n">
        <v>2</v>
      </c>
      <c r="C61" s="2" t="s">
        <v>386</v>
      </c>
      <c r="D61" s="2" t="s">
        <v>383</v>
      </c>
      <c r="E61" s="2" t="s">
        <v>653</v>
      </c>
      <c r="F61" s="4" t="n">
        <v>1</v>
      </c>
      <c r="G61" s="6" t="n">
        <v>1</v>
      </c>
      <c r="H61" s="2" t="s">
        <v>629</v>
      </c>
    </row>
    <row r="62" customFormat="false" ht="15" hidden="false" customHeight="false" outlineLevel="0" collapsed="false">
      <c r="A62" s="2" t="s">
        <v>106</v>
      </c>
      <c r="B62" s="4" t="n">
        <v>2</v>
      </c>
      <c r="C62" s="2" t="s">
        <v>386</v>
      </c>
      <c r="D62" s="2" t="s">
        <v>413</v>
      </c>
      <c r="E62" s="2" t="s">
        <v>654</v>
      </c>
      <c r="F62" s="4" t="n">
        <v>1</v>
      </c>
      <c r="G62" s="6" t="n">
        <v>1.1</v>
      </c>
      <c r="H62" s="2" t="s">
        <v>82</v>
      </c>
    </row>
    <row r="63" customFormat="false" ht="15" hidden="false" customHeight="false" outlineLevel="0" collapsed="false">
      <c r="A63" s="2" t="s">
        <v>106</v>
      </c>
      <c r="B63" s="4" t="n">
        <v>3</v>
      </c>
      <c r="C63" s="2" t="s">
        <v>390</v>
      </c>
      <c r="D63" s="2" t="s">
        <v>387</v>
      </c>
      <c r="E63" s="2" t="s">
        <v>653</v>
      </c>
      <c r="F63" s="4" t="n">
        <v>1</v>
      </c>
      <c r="G63" s="6" t="n">
        <v>1</v>
      </c>
      <c r="H63" s="2" t="s">
        <v>629</v>
      </c>
    </row>
    <row r="64" customFormat="false" ht="15" hidden="false" customHeight="false" outlineLevel="0" collapsed="false">
      <c r="A64" s="2" t="s">
        <v>106</v>
      </c>
      <c r="B64" s="4" t="n">
        <v>4</v>
      </c>
      <c r="C64" s="2" t="s">
        <v>443</v>
      </c>
      <c r="D64" s="2" t="s">
        <v>395</v>
      </c>
      <c r="E64" s="2" t="s">
        <v>653</v>
      </c>
      <c r="F64" s="4" t="n">
        <v>1</v>
      </c>
      <c r="G64" s="6" t="n">
        <v>1</v>
      </c>
      <c r="H64" s="2" t="s">
        <v>629</v>
      </c>
    </row>
    <row r="65" customFormat="false" ht="15" hidden="false" customHeight="false" outlineLevel="0" collapsed="false">
      <c r="A65" s="2" t="s">
        <v>106</v>
      </c>
      <c r="B65" s="4" t="n">
        <v>5</v>
      </c>
      <c r="C65" s="2" t="s">
        <v>444</v>
      </c>
      <c r="D65" s="2" t="s">
        <v>399</v>
      </c>
      <c r="E65" s="2" t="s">
        <v>653</v>
      </c>
      <c r="F65" s="4" t="n">
        <v>1</v>
      </c>
      <c r="G65" s="6" t="n">
        <v>1</v>
      </c>
      <c r="H65" s="2" t="s">
        <v>629</v>
      </c>
    </row>
    <row r="66" customFormat="false" ht="15" hidden="false" customHeight="false" outlineLevel="0" collapsed="false">
      <c r="A66" s="2" t="s">
        <v>106</v>
      </c>
      <c r="B66" s="4" t="n">
        <v>6</v>
      </c>
      <c r="C66" s="2" t="s">
        <v>445</v>
      </c>
      <c r="D66" s="2" t="s">
        <v>402</v>
      </c>
      <c r="E66" s="2" t="s">
        <v>653</v>
      </c>
      <c r="F66" s="4" t="n">
        <v>1</v>
      </c>
      <c r="G66" s="6" t="n">
        <v>1</v>
      </c>
      <c r="H66" s="2" t="s">
        <v>629</v>
      </c>
    </row>
    <row r="67" customFormat="false" ht="15" hidden="false" customHeight="false" outlineLevel="0" collapsed="false">
      <c r="A67" s="2" t="s">
        <v>106</v>
      </c>
      <c r="B67" s="4" t="n">
        <v>7</v>
      </c>
      <c r="C67" s="2" t="s">
        <v>447</v>
      </c>
      <c r="D67" s="2" t="s">
        <v>421</v>
      </c>
      <c r="E67" s="2" t="s">
        <v>653</v>
      </c>
      <c r="F67" s="4" t="n">
        <v>1</v>
      </c>
      <c r="G67" s="6" t="n">
        <v>1</v>
      </c>
      <c r="H67" s="2" t="s">
        <v>629</v>
      </c>
    </row>
    <row r="68" customFormat="false" ht="15" hidden="false" customHeight="false" outlineLevel="0" collapsed="false">
      <c r="A68" s="2" t="s">
        <v>106</v>
      </c>
      <c r="B68" s="4" t="n">
        <v>8</v>
      </c>
      <c r="C68" s="2" t="s">
        <v>449</v>
      </c>
      <c r="D68" s="2" t="s">
        <v>423</v>
      </c>
      <c r="E68" s="2" t="s">
        <v>653</v>
      </c>
      <c r="F68" s="4" t="n">
        <v>1</v>
      </c>
      <c r="G68" s="6" t="n">
        <v>1</v>
      </c>
      <c r="H68" s="2" t="s">
        <v>629</v>
      </c>
    </row>
    <row r="69" customFormat="false" ht="15" hidden="false" customHeight="false" outlineLevel="0" collapsed="false">
      <c r="A69" s="2" t="s">
        <v>106</v>
      </c>
      <c r="B69" s="4" t="n">
        <v>9</v>
      </c>
      <c r="C69" s="2" t="s">
        <v>450</v>
      </c>
      <c r="D69" s="2" t="s">
        <v>406</v>
      </c>
      <c r="E69" s="2" t="s">
        <v>653</v>
      </c>
      <c r="F69" s="4" t="n">
        <v>1</v>
      </c>
      <c r="G69" s="6" t="n">
        <v>1</v>
      </c>
      <c r="H69" s="2" t="s">
        <v>629</v>
      </c>
    </row>
    <row r="70" customFormat="false" ht="15" hidden="false" customHeight="false" outlineLevel="0" collapsed="false">
      <c r="A70" s="2" t="s">
        <v>106</v>
      </c>
      <c r="B70" s="4" t="n">
        <v>10</v>
      </c>
      <c r="C70" s="2" t="s">
        <v>451</v>
      </c>
      <c r="D70" s="2" t="s">
        <v>408</v>
      </c>
      <c r="E70" s="2" t="s">
        <v>653</v>
      </c>
      <c r="F70" s="4" t="n">
        <v>1</v>
      </c>
      <c r="G70" s="6" t="n">
        <v>1</v>
      </c>
      <c r="H70" s="2" t="s">
        <v>629</v>
      </c>
    </row>
    <row r="71" customFormat="false" ht="15" hidden="false" customHeight="false" outlineLevel="0" collapsed="false">
      <c r="A71" s="2" t="s">
        <v>106</v>
      </c>
      <c r="B71" s="4" t="n">
        <v>11</v>
      </c>
      <c r="C71" s="2" t="s">
        <v>452</v>
      </c>
      <c r="D71" s="2" t="s">
        <v>411</v>
      </c>
      <c r="E71" s="2" t="s">
        <v>653</v>
      </c>
      <c r="F71" s="4" t="n">
        <v>1</v>
      </c>
      <c r="G71" s="6" t="n">
        <v>1</v>
      </c>
      <c r="H71" s="2" t="s">
        <v>629</v>
      </c>
    </row>
    <row r="72" customFormat="false" ht="15" hidden="false" customHeight="false" outlineLevel="0" collapsed="false">
      <c r="A72" s="2" t="s">
        <v>108</v>
      </c>
      <c r="B72" s="4" t="n">
        <v>1</v>
      </c>
      <c r="C72" s="2" t="s">
        <v>437</v>
      </c>
      <c r="D72" s="2" t="s">
        <v>375</v>
      </c>
      <c r="E72" s="2" t="s">
        <v>653</v>
      </c>
      <c r="F72" s="4" t="n">
        <v>1</v>
      </c>
      <c r="G72" s="6" t="n">
        <v>1</v>
      </c>
      <c r="H72" s="2" t="s">
        <v>629</v>
      </c>
    </row>
    <row r="73" customFormat="false" ht="15" hidden="false" customHeight="false" outlineLevel="0" collapsed="false">
      <c r="A73" s="2" t="s">
        <v>108</v>
      </c>
      <c r="B73" s="4" t="n">
        <v>2</v>
      </c>
      <c r="C73" s="2" t="s">
        <v>386</v>
      </c>
      <c r="D73" s="2" t="s">
        <v>383</v>
      </c>
      <c r="E73" s="2" t="s">
        <v>653</v>
      </c>
      <c r="F73" s="4" t="n">
        <v>1</v>
      </c>
      <c r="G73" s="6" t="n">
        <v>1</v>
      </c>
      <c r="H73" s="2" t="s">
        <v>629</v>
      </c>
    </row>
    <row r="74" customFormat="false" ht="15" hidden="false" customHeight="false" outlineLevel="0" collapsed="false">
      <c r="A74" s="2" t="s">
        <v>108</v>
      </c>
      <c r="B74" s="4" t="n">
        <v>2</v>
      </c>
      <c r="C74" s="2" t="s">
        <v>386</v>
      </c>
      <c r="D74" s="2" t="s">
        <v>413</v>
      </c>
      <c r="E74" s="2" t="s">
        <v>654</v>
      </c>
      <c r="F74" s="4" t="n">
        <v>1</v>
      </c>
      <c r="G74" s="6" t="n">
        <v>1.1</v>
      </c>
      <c r="H74" s="2" t="s">
        <v>82</v>
      </c>
    </row>
    <row r="75" customFormat="false" ht="15" hidden="false" customHeight="false" outlineLevel="0" collapsed="false">
      <c r="A75" s="2" t="s">
        <v>108</v>
      </c>
      <c r="B75" s="4" t="n">
        <v>3</v>
      </c>
      <c r="C75" s="2" t="s">
        <v>390</v>
      </c>
      <c r="D75" s="2" t="s">
        <v>387</v>
      </c>
      <c r="E75" s="2" t="s">
        <v>653</v>
      </c>
      <c r="F75" s="4" t="n">
        <v>1</v>
      </c>
      <c r="G75" s="6" t="n">
        <v>1</v>
      </c>
      <c r="H75" s="2" t="s">
        <v>629</v>
      </c>
    </row>
    <row r="76" customFormat="false" ht="15" hidden="false" customHeight="false" outlineLevel="0" collapsed="false">
      <c r="A76" s="2" t="s">
        <v>108</v>
      </c>
      <c r="B76" s="4" t="n">
        <v>4</v>
      </c>
      <c r="C76" s="2" t="s">
        <v>443</v>
      </c>
      <c r="D76" s="2" t="s">
        <v>395</v>
      </c>
      <c r="E76" s="2" t="s">
        <v>653</v>
      </c>
      <c r="F76" s="4" t="n">
        <v>1</v>
      </c>
      <c r="G76" s="6" t="n">
        <v>1</v>
      </c>
      <c r="H76" s="2" t="s">
        <v>629</v>
      </c>
    </row>
    <row r="77" customFormat="false" ht="15" hidden="false" customHeight="false" outlineLevel="0" collapsed="false">
      <c r="A77" s="2" t="s">
        <v>108</v>
      </c>
      <c r="B77" s="4" t="n">
        <v>5</v>
      </c>
      <c r="C77" s="2" t="s">
        <v>444</v>
      </c>
      <c r="D77" s="2" t="s">
        <v>399</v>
      </c>
      <c r="E77" s="2" t="s">
        <v>653</v>
      </c>
      <c r="F77" s="4" t="n">
        <v>1</v>
      </c>
      <c r="G77" s="6" t="n">
        <v>1</v>
      </c>
      <c r="H77" s="2" t="s">
        <v>629</v>
      </c>
    </row>
    <row r="78" customFormat="false" ht="15" hidden="false" customHeight="false" outlineLevel="0" collapsed="false">
      <c r="A78" s="2" t="s">
        <v>108</v>
      </c>
      <c r="B78" s="4" t="n">
        <v>6</v>
      </c>
      <c r="C78" s="2" t="s">
        <v>445</v>
      </c>
      <c r="D78" s="2" t="s">
        <v>402</v>
      </c>
      <c r="E78" s="2" t="s">
        <v>653</v>
      </c>
      <c r="F78" s="4" t="n">
        <v>1</v>
      </c>
      <c r="G78" s="6" t="n">
        <v>1</v>
      </c>
      <c r="H78" s="2" t="s">
        <v>629</v>
      </c>
    </row>
    <row r="79" customFormat="false" ht="15" hidden="false" customHeight="false" outlineLevel="0" collapsed="false">
      <c r="A79" s="2" t="s">
        <v>108</v>
      </c>
      <c r="B79" s="4" t="n">
        <v>7</v>
      </c>
      <c r="C79" s="2" t="s">
        <v>447</v>
      </c>
      <c r="D79" s="2" t="s">
        <v>421</v>
      </c>
      <c r="E79" s="2" t="s">
        <v>653</v>
      </c>
      <c r="F79" s="4" t="n">
        <v>1</v>
      </c>
      <c r="G79" s="6" t="n">
        <v>1</v>
      </c>
      <c r="H79" s="2" t="s">
        <v>629</v>
      </c>
    </row>
    <row r="80" customFormat="false" ht="15" hidden="false" customHeight="false" outlineLevel="0" collapsed="false">
      <c r="A80" s="2" t="s">
        <v>108</v>
      </c>
      <c r="B80" s="4" t="n">
        <v>8</v>
      </c>
      <c r="C80" s="2" t="s">
        <v>449</v>
      </c>
      <c r="D80" s="2" t="s">
        <v>423</v>
      </c>
      <c r="E80" s="2" t="s">
        <v>653</v>
      </c>
      <c r="F80" s="4" t="n">
        <v>1</v>
      </c>
      <c r="G80" s="6" t="n">
        <v>1</v>
      </c>
      <c r="H80" s="2" t="s">
        <v>629</v>
      </c>
    </row>
    <row r="81" customFormat="false" ht="15" hidden="false" customHeight="false" outlineLevel="0" collapsed="false">
      <c r="A81" s="2" t="s">
        <v>108</v>
      </c>
      <c r="B81" s="4" t="n">
        <v>9</v>
      </c>
      <c r="C81" s="2" t="s">
        <v>450</v>
      </c>
      <c r="D81" s="2" t="s">
        <v>406</v>
      </c>
      <c r="E81" s="2" t="s">
        <v>653</v>
      </c>
      <c r="F81" s="4" t="n">
        <v>1</v>
      </c>
      <c r="G81" s="6" t="n">
        <v>1</v>
      </c>
      <c r="H81" s="2" t="s">
        <v>629</v>
      </c>
    </row>
    <row r="82" customFormat="false" ht="15" hidden="false" customHeight="false" outlineLevel="0" collapsed="false">
      <c r="A82" s="2" t="s">
        <v>108</v>
      </c>
      <c r="B82" s="4" t="n">
        <v>10</v>
      </c>
      <c r="C82" s="2" t="s">
        <v>451</v>
      </c>
      <c r="D82" s="2" t="s">
        <v>408</v>
      </c>
      <c r="E82" s="2" t="s">
        <v>653</v>
      </c>
      <c r="F82" s="4" t="n">
        <v>1</v>
      </c>
      <c r="G82" s="6" t="n">
        <v>1</v>
      </c>
      <c r="H82" s="2" t="s">
        <v>629</v>
      </c>
    </row>
    <row r="83" customFormat="false" ht="15" hidden="false" customHeight="false" outlineLevel="0" collapsed="false">
      <c r="A83" s="2" t="s">
        <v>108</v>
      </c>
      <c r="B83" s="4" t="n">
        <v>11</v>
      </c>
      <c r="C83" s="2" t="s">
        <v>452</v>
      </c>
      <c r="D83" s="2" t="s">
        <v>411</v>
      </c>
      <c r="E83" s="2" t="s">
        <v>653</v>
      </c>
      <c r="F83" s="4" t="n">
        <v>1</v>
      </c>
      <c r="G83" s="6" t="n">
        <v>1</v>
      </c>
      <c r="H83" s="2" t="s">
        <v>629</v>
      </c>
    </row>
    <row r="84" customFormat="false" ht="15" hidden="false" customHeight="false" outlineLevel="0" collapsed="false">
      <c r="A84" s="2" t="s">
        <v>119</v>
      </c>
      <c r="B84" s="4" t="n">
        <v>1</v>
      </c>
      <c r="C84" s="2" t="s">
        <v>437</v>
      </c>
      <c r="D84" s="2" t="s">
        <v>375</v>
      </c>
      <c r="E84" s="2" t="s">
        <v>653</v>
      </c>
      <c r="F84" s="4" t="n">
        <v>1</v>
      </c>
      <c r="G84" s="6" t="n">
        <v>1</v>
      </c>
      <c r="H84" s="2" t="s">
        <v>629</v>
      </c>
    </row>
    <row r="85" customFormat="false" ht="15" hidden="false" customHeight="false" outlineLevel="0" collapsed="false">
      <c r="A85" s="2" t="s">
        <v>119</v>
      </c>
      <c r="B85" s="4" t="n">
        <v>2</v>
      </c>
      <c r="C85" s="2" t="s">
        <v>386</v>
      </c>
      <c r="D85" s="2" t="s">
        <v>383</v>
      </c>
      <c r="E85" s="2" t="s">
        <v>653</v>
      </c>
      <c r="F85" s="4" t="n">
        <v>1</v>
      </c>
      <c r="G85" s="6" t="n">
        <v>1</v>
      </c>
      <c r="H85" s="2" t="s">
        <v>629</v>
      </c>
    </row>
    <row r="86" customFormat="false" ht="15" hidden="false" customHeight="false" outlineLevel="0" collapsed="false">
      <c r="A86" s="2" t="s">
        <v>119</v>
      </c>
      <c r="B86" s="4" t="n">
        <v>2</v>
      </c>
      <c r="C86" s="2" t="s">
        <v>386</v>
      </c>
      <c r="D86" s="2" t="s">
        <v>413</v>
      </c>
      <c r="E86" s="2" t="s">
        <v>654</v>
      </c>
      <c r="F86" s="4" t="n">
        <v>1</v>
      </c>
      <c r="G86" s="6" t="n">
        <v>1.1</v>
      </c>
      <c r="H86" s="2" t="s">
        <v>82</v>
      </c>
    </row>
    <row r="87" customFormat="false" ht="15" hidden="false" customHeight="false" outlineLevel="0" collapsed="false">
      <c r="A87" s="2" t="s">
        <v>119</v>
      </c>
      <c r="B87" s="4" t="n">
        <v>3</v>
      </c>
      <c r="C87" s="2" t="s">
        <v>390</v>
      </c>
      <c r="D87" s="2" t="s">
        <v>387</v>
      </c>
      <c r="E87" s="2" t="s">
        <v>653</v>
      </c>
      <c r="F87" s="4" t="n">
        <v>1</v>
      </c>
      <c r="G87" s="6" t="n">
        <v>1</v>
      </c>
      <c r="H87" s="2" t="s">
        <v>629</v>
      </c>
    </row>
    <row r="88" customFormat="false" ht="15" hidden="false" customHeight="false" outlineLevel="0" collapsed="false">
      <c r="A88" s="2" t="s">
        <v>119</v>
      </c>
      <c r="B88" s="4" t="n">
        <v>4</v>
      </c>
      <c r="C88" s="2" t="s">
        <v>443</v>
      </c>
      <c r="D88" s="2" t="s">
        <v>395</v>
      </c>
      <c r="E88" s="2" t="s">
        <v>653</v>
      </c>
      <c r="F88" s="4" t="n">
        <v>1</v>
      </c>
      <c r="G88" s="6" t="n">
        <v>1</v>
      </c>
      <c r="H88" s="2" t="s">
        <v>629</v>
      </c>
    </row>
    <row r="89" customFormat="false" ht="15" hidden="false" customHeight="false" outlineLevel="0" collapsed="false">
      <c r="A89" s="2" t="s">
        <v>119</v>
      </c>
      <c r="B89" s="4" t="n">
        <v>5</v>
      </c>
      <c r="C89" s="2" t="s">
        <v>444</v>
      </c>
      <c r="D89" s="2" t="s">
        <v>399</v>
      </c>
      <c r="E89" s="2" t="s">
        <v>653</v>
      </c>
      <c r="F89" s="4" t="n">
        <v>1</v>
      </c>
      <c r="G89" s="6" t="n">
        <v>1</v>
      </c>
      <c r="H89" s="2" t="s">
        <v>629</v>
      </c>
    </row>
    <row r="90" customFormat="false" ht="15" hidden="false" customHeight="false" outlineLevel="0" collapsed="false">
      <c r="A90" s="2" t="s">
        <v>119</v>
      </c>
      <c r="B90" s="4" t="n">
        <v>6</v>
      </c>
      <c r="C90" s="2" t="s">
        <v>445</v>
      </c>
      <c r="D90" s="2" t="s">
        <v>402</v>
      </c>
      <c r="E90" s="2" t="s">
        <v>653</v>
      </c>
      <c r="F90" s="4" t="n">
        <v>1</v>
      </c>
      <c r="G90" s="6" t="n">
        <v>1</v>
      </c>
      <c r="H90" s="2" t="s">
        <v>629</v>
      </c>
    </row>
    <row r="91" customFormat="false" ht="15" hidden="false" customHeight="false" outlineLevel="0" collapsed="false">
      <c r="A91" s="2" t="s">
        <v>119</v>
      </c>
      <c r="B91" s="4" t="n">
        <v>7</v>
      </c>
      <c r="C91" s="2" t="s">
        <v>447</v>
      </c>
      <c r="D91" s="2" t="s">
        <v>421</v>
      </c>
      <c r="E91" s="2" t="s">
        <v>653</v>
      </c>
      <c r="F91" s="4" t="n">
        <v>1</v>
      </c>
      <c r="G91" s="6" t="n">
        <v>1</v>
      </c>
      <c r="H91" s="2" t="s">
        <v>629</v>
      </c>
    </row>
    <row r="92" customFormat="false" ht="15" hidden="false" customHeight="false" outlineLevel="0" collapsed="false">
      <c r="A92" s="2" t="s">
        <v>119</v>
      </c>
      <c r="B92" s="4" t="n">
        <v>8</v>
      </c>
      <c r="C92" s="2" t="s">
        <v>449</v>
      </c>
      <c r="D92" s="2" t="s">
        <v>423</v>
      </c>
      <c r="E92" s="2" t="s">
        <v>653</v>
      </c>
      <c r="F92" s="4" t="n">
        <v>1</v>
      </c>
      <c r="G92" s="6" t="n">
        <v>1</v>
      </c>
      <c r="H92" s="2" t="s">
        <v>629</v>
      </c>
    </row>
    <row r="93" customFormat="false" ht="15" hidden="false" customHeight="false" outlineLevel="0" collapsed="false">
      <c r="A93" s="2" t="s">
        <v>119</v>
      </c>
      <c r="B93" s="4" t="n">
        <v>9</v>
      </c>
      <c r="C93" s="2" t="s">
        <v>450</v>
      </c>
      <c r="D93" s="2" t="s">
        <v>406</v>
      </c>
      <c r="E93" s="2" t="s">
        <v>653</v>
      </c>
      <c r="F93" s="4" t="n">
        <v>1</v>
      </c>
      <c r="G93" s="6" t="n">
        <v>1</v>
      </c>
      <c r="H93" s="2" t="s">
        <v>629</v>
      </c>
    </row>
    <row r="94" customFormat="false" ht="15" hidden="false" customHeight="false" outlineLevel="0" collapsed="false">
      <c r="A94" s="2" t="s">
        <v>119</v>
      </c>
      <c r="B94" s="4" t="n">
        <v>10</v>
      </c>
      <c r="C94" s="2" t="s">
        <v>451</v>
      </c>
      <c r="D94" s="2" t="s">
        <v>408</v>
      </c>
      <c r="E94" s="2" t="s">
        <v>653</v>
      </c>
      <c r="F94" s="4" t="n">
        <v>1</v>
      </c>
      <c r="G94" s="6" t="n">
        <v>1</v>
      </c>
      <c r="H94" s="2" t="s">
        <v>629</v>
      </c>
    </row>
    <row r="95" customFormat="false" ht="15" hidden="false" customHeight="false" outlineLevel="0" collapsed="false">
      <c r="A95" s="2" t="s">
        <v>119</v>
      </c>
      <c r="B95" s="4" t="n">
        <v>11</v>
      </c>
      <c r="C95" s="2" t="s">
        <v>452</v>
      </c>
      <c r="D95" s="2" t="s">
        <v>411</v>
      </c>
      <c r="E95" s="2" t="s">
        <v>653</v>
      </c>
      <c r="F95" s="4" t="n">
        <v>1</v>
      </c>
      <c r="G95" s="6" t="n">
        <v>1</v>
      </c>
      <c r="H95" s="2" t="s">
        <v>629</v>
      </c>
    </row>
    <row r="96" customFormat="false" ht="15" hidden="false" customHeight="false" outlineLevel="0" collapsed="false">
      <c r="A96" s="2" t="s">
        <v>121</v>
      </c>
      <c r="B96" s="4" t="n">
        <v>1</v>
      </c>
      <c r="C96" s="2" t="s">
        <v>437</v>
      </c>
      <c r="D96" s="2" t="s">
        <v>375</v>
      </c>
      <c r="E96" s="2" t="s">
        <v>653</v>
      </c>
      <c r="F96" s="4" t="n">
        <v>1</v>
      </c>
      <c r="G96" s="6" t="n">
        <v>1</v>
      </c>
      <c r="H96" s="2" t="s">
        <v>629</v>
      </c>
    </row>
    <row r="97" customFormat="false" ht="15" hidden="false" customHeight="false" outlineLevel="0" collapsed="false">
      <c r="A97" s="2" t="s">
        <v>121</v>
      </c>
      <c r="B97" s="4" t="n">
        <v>2</v>
      </c>
      <c r="C97" s="2" t="s">
        <v>441</v>
      </c>
      <c r="D97" s="2" t="s">
        <v>380</v>
      </c>
      <c r="E97" s="2" t="s">
        <v>653</v>
      </c>
      <c r="F97" s="4" t="n">
        <v>1</v>
      </c>
      <c r="G97" s="6" t="n">
        <v>1</v>
      </c>
      <c r="H97" s="2" t="s">
        <v>629</v>
      </c>
    </row>
    <row r="98" customFormat="false" ht="15" hidden="false" customHeight="false" outlineLevel="0" collapsed="false">
      <c r="A98" s="2" t="s">
        <v>121</v>
      </c>
      <c r="B98" s="4" t="n">
        <v>3</v>
      </c>
      <c r="C98" s="2" t="s">
        <v>386</v>
      </c>
      <c r="D98" s="2" t="s">
        <v>383</v>
      </c>
      <c r="E98" s="2" t="s">
        <v>653</v>
      </c>
      <c r="F98" s="4" t="n">
        <v>1</v>
      </c>
      <c r="G98" s="6" t="n">
        <v>1</v>
      </c>
      <c r="H98" s="2" t="s">
        <v>629</v>
      </c>
    </row>
    <row r="99" customFormat="false" ht="15" hidden="false" customHeight="false" outlineLevel="0" collapsed="false">
      <c r="A99" s="2" t="s">
        <v>121</v>
      </c>
      <c r="B99" s="4" t="n">
        <v>3</v>
      </c>
      <c r="C99" s="2" t="s">
        <v>386</v>
      </c>
      <c r="D99" s="2" t="s">
        <v>413</v>
      </c>
      <c r="E99" s="2" t="s">
        <v>654</v>
      </c>
      <c r="F99" s="4" t="n">
        <v>1</v>
      </c>
      <c r="G99" s="6" t="n">
        <v>1.1</v>
      </c>
      <c r="H99" s="2" t="s">
        <v>82</v>
      </c>
    </row>
    <row r="100" customFormat="false" ht="15" hidden="false" customHeight="false" outlineLevel="0" collapsed="false">
      <c r="A100" s="2" t="s">
        <v>121</v>
      </c>
      <c r="B100" s="4" t="n">
        <v>4</v>
      </c>
      <c r="C100" s="2" t="s">
        <v>390</v>
      </c>
      <c r="D100" s="2" t="s">
        <v>387</v>
      </c>
      <c r="E100" s="2" t="s">
        <v>653</v>
      </c>
      <c r="F100" s="4" t="n">
        <v>1</v>
      </c>
      <c r="G100" s="6" t="n">
        <v>1</v>
      </c>
      <c r="H100" s="2" t="s">
        <v>629</v>
      </c>
    </row>
    <row r="101" customFormat="false" ht="15" hidden="false" customHeight="false" outlineLevel="0" collapsed="false">
      <c r="A101" s="2" t="s">
        <v>121</v>
      </c>
      <c r="B101" s="4" t="n">
        <v>5</v>
      </c>
      <c r="C101" s="2" t="s">
        <v>443</v>
      </c>
      <c r="D101" s="2" t="s">
        <v>395</v>
      </c>
      <c r="E101" s="2" t="s">
        <v>653</v>
      </c>
      <c r="F101" s="4" t="n">
        <v>1</v>
      </c>
      <c r="G101" s="6" t="n">
        <v>1</v>
      </c>
      <c r="H101" s="2" t="s">
        <v>629</v>
      </c>
    </row>
    <row r="102" customFormat="false" ht="15" hidden="false" customHeight="false" outlineLevel="0" collapsed="false">
      <c r="A102" s="2" t="s">
        <v>121</v>
      </c>
      <c r="B102" s="4" t="n">
        <v>6</v>
      </c>
      <c r="C102" s="2" t="s">
        <v>444</v>
      </c>
      <c r="D102" s="2" t="s">
        <v>399</v>
      </c>
      <c r="E102" s="2" t="s">
        <v>653</v>
      </c>
      <c r="F102" s="4" t="n">
        <v>1</v>
      </c>
      <c r="G102" s="6" t="n">
        <v>1</v>
      </c>
      <c r="H102" s="2" t="s">
        <v>629</v>
      </c>
    </row>
    <row r="103" customFormat="false" ht="15" hidden="false" customHeight="false" outlineLevel="0" collapsed="false">
      <c r="A103" s="2" t="s">
        <v>121</v>
      </c>
      <c r="B103" s="4" t="n">
        <v>7</v>
      </c>
      <c r="C103" s="2" t="s">
        <v>445</v>
      </c>
      <c r="D103" s="2" t="s">
        <v>402</v>
      </c>
      <c r="E103" s="2" t="s">
        <v>653</v>
      </c>
      <c r="F103" s="4" t="n">
        <v>1</v>
      </c>
      <c r="G103" s="6" t="n">
        <v>1</v>
      </c>
      <c r="H103" s="2" t="s">
        <v>629</v>
      </c>
    </row>
    <row r="104" customFormat="false" ht="15" hidden="false" customHeight="false" outlineLevel="0" collapsed="false">
      <c r="A104" s="2" t="s">
        <v>121</v>
      </c>
      <c r="B104" s="4" t="n">
        <v>8</v>
      </c>
      <c r="C104" s="2" t="s">
        <v>447</v>
      </c>
      <c r="D104" s="2" t="s">
        <v>421</v>
      </c>
      <c r="E104" s="2" t="s">
        <v>653</v>
      </c>
      <c r="F104" s="4" t="n">
        <v>1</v>
      </c>
      <c r="G104" s="6" t="n">
        <v>1</v>
      </c>
      <c r="H104" s="2" t="s">
        <v>629</v>
      </c>
    </row>
    <row r="105" customFormat="false" ht="15" hidden="false" customHeight="false" outlineLevel="0" collapsed="false">
      <c r="A105" s="2" t="s">
        <v>121</v>
      </c>
      <c r="B105" s="4" t="n">
        <v>9</v>
      </c>
      <c r="C105" s="2" t="s">
        <v>449</v>
      </c>
      <c r="D105" s="2" t="s">
        <v>423</v>
      </c>
      <c r="E105" s="2" t="s">
        <v>653</v>
      </c>
      <c r="F105" s="4" t="n">
        <v>1</v>
      </c>
      <c r="G105" s="6" t="n">
        <v>1</v>
      </c>
      <c r="H105" s="2" t="s">
        <v>629</v>
      </c>
    </row>
    <row r="106" customFormat="false" ht="15" hidden="false" customHeight="false" outlineLevel="0" collapsed="false">
      <c r="A106" s="2" t="s">
        <v>121</v>
      </c>
      <c r="B106" s="4" t="n">
        <v>10</v>
      </c>
      <c r="C106" s="2" t="s">
        <v>450</v>
      </c>
      <c r="D106" s="2" t="s">
        <v>406</v>
      </c>
      <c r="E106" s="2" t="s">
        <v>653</v>
      </c>
      <c r="F106" s="4" t="n">
        <v>1</v>
      </c>
      <c r="G106" s="6" t="n">
        <v>1</v>
      </c>
      <c r="H106" s="2" t="s">
        <v>629</v>
      </c>
    </row>
    <row r="107" customFormat="false" ht="15" hidden="false" customHeight="false" outlineLevel="0" collapsed="false">
      <c r="A107" s="2" t="s">
        <v>121</v>
      </c>
      <c r="B107" s="4" t="n">
        <v>11</v>
      </c>
      <c r="C107" s="2" t="s">
        <v>451</v>
      </c>
      <c r="D107" s="2" t="s">
        <v>408</v>
      </c>
      <c r="E107" s="2" t="s">
        <v>653</v>
      </c>
      <c r="F107" s="4" t="n">
        <v>1</v>
      </c>
      <c r="G107" s="6" t="n">
        <v>1</v>
      </c>
      <c r="H107" s="2" t="s">
        <v>629</v>
      </c>
    </row>
    <row r="108" customFormat="false" ht="15" hidden="false" customHeight="false" outlineLevel="0" collapsed="false">
      <c r="A108" s="2" t="s">
        <v>121</v>
      </c>
      <c r="B108" s="4" t="n">
        <v>12</v>
      </c>
      <c r="C108" s="2" t="s">
        <v>452</v>
      </c>
      <c r="D108" s="2" t="s">
        <v>411</v>
      </c>
      <c r="E108" s="2" t="s">
        <v>653</v>
      </c>
      <c r="F108" s="4" t="n">
        <v>1</v>
      </c>
      <c r="G108" s="6" t="n">
        <v>1</v>
      </c>
      <c r="H108" s="2" t="s">
        <v>629</v>
      </c>
    </row>
    <row r="109" customFormat="false" ht="15" hidden="false" customHeight="false" outlineLevel="0" collapsed="false">
      <c r="A109" s="2" t="s">
        <v>85</v>
      </c>
      <c r="B109" s="4" t="n">
        <v>1</v>
      </c>
      <c r="C109" s="2" t="s">
        <v>441</v>
      </c>
      <c r="D109" s="2" t="s">
        <v>380</v>
      </c>
      <c r="E109" s="2" t="s">
        <v>653</v>
      </c>
      <c r="F109" s="4" t="n">
        <v>1</v>
      </c>
      <c r="G109" s="6" t="n">
        <v>1</v>
      </c>
      <c r="H109" s="2" t="s">
        <v>629</v>
      </c>
    </row>
    <row r="110" customFormat="false" ht="15" hidden="false" customHeight="false" outlineLevel="0" collapsed="false">
      <c r="A110" s="2" t="s">
        <v>85</v>
      </c>
      <c r="B110" s="4" t="n">
        <v>2</v>
      </c>
      <c r="C110" s="2" t="s">
        <v>386</v>
      </c>
      <c r="D110" s="2" t="s">
        <v>413</v>
      </c>
      <c r="E110" s="2" t="s">
        <v>653</v>
      </c>
      <c r="F110" s="4" t="n">
        <v>1</v>
      </c>
      <c r="G110" s="6" t="n">
        <v>1</v>
      </c>
      <c r="H110" s="2" t="s">
        <v>629</v>
      </c>
    </row>
    <row r="111" customFormat="false" ht="15" hidden="false" customHeight="false" outlineLevel="0" collapsed="false">
      <c r="A111" s="2" t="s">
        <v>85</v>
      </c>
      <c r="B111" s="4" t="n">
        <v>2</v>
      </c>
      <c r="C111" s="2" t="s">
        <v>386</v>
      </c>
      <c r="D111" s="2" t="s">
        <v>383</v>
      </c>
      <c r="E111" s="2" t="s">
        <v>654</v>
      </c>
      <c r="F111" s="4" t="n">
        <v>1</v>
      </c>
      <c r="G111" s="6" t="n">
        <v>1.1</v>
      </c>
      <c r="H111" s="2" t="s">
        <v>82</v>
      </c>
    </row>
    <row r="112" customFormat="false" ht="15" hidden="false" customHeight="false" outlineLevel="0" collapsed="false">
      <c r="A112" s="2" t="s">
        <v>85</v>
      </c>
      <c r="B112" s="4" t="n">
        <v>3</v>
      </c>
      <c r="C112" s="2" t="s">
        <v>442</v>
      </c>
      <c r="D112" s="2" t="s">
        <v>415</v>
      </c>
      <c r="E112" s="2" t="s">
        <v>653</v>
      </c>
      <c r="F112" s="4" t="n">
        <v>1</v>
      </c>
      <c r="G112" s="6" t="n">
        <v>1</v>
      </c>
      <c r="H112" s="2" t="s">
        <v>629</v>
      </c>
    </row>
    <row r="113" customFormat="false" ht="15" hidden="false" customHeight="false" outlineLevel="0" collapsed="false">
      <c r="A113" s="2" t="s">
        <v>85</v>
      </c>
      <c r="B113" s="4" t="n">
        <v>3</v>
      </c>
      <c r="C113" s="2" t="s">
        <v>442</v>
      </c>
      <c r="D113" s="2" t="s">
        <v>391</v>
      </c>
      <c r="E113" s="2" t="s">
        <v>655</v>
      </c>
      <c r="F113" s="4" t="n">
        <v>1</v>
      </c>
      <c r="G113" s="6" t="n">
        <v>1</v>
      </c>
      <c r="H113" s="2" t="s">
        <v>82</v>
      </c>
    </row>
    <row r="114" customFormat="false" ht="15" hidden="false" customHeight="false" outlineLevel="0" collapsed="false">
      <c r="A114" s="2" t="s">
        <v>85</v>
      </c>
      <c r="B114" s="4" t="n">
        <v>4</v>
      </c>
      <c r="C114" s="2" t="s">
        <v>445</v>
      </c>
      <c r="D114" s="2" t="s">
        <v>402</v>
      </c>
      <c r="E114" s="2" t="s">
        <v>653</v>
      </c>
      <c r="F114" s="4" t="n">
        <v>1</v>
      </c>
      <c r="G114" s="6" t="n">
        <v>1</v>
      </c>
      <c r="H114" s="2" t="s">
        <v>629</v>
      </c>
    </row>
    <row r="115" customFormat="false" ht="15" hidden="false" customHeight="false" outlineLevel="0" collapsed="false">
      <c r="A115" s="2" t="s">
        <v>85</v>
      </c>
      <c r="B115" s="4" t="n">
        <v>5</v>
      </c>
      <c r="C115" s="2" t="s">
        <v>447</v>
      </c>
      <c r="D115" s="2" t="s">
        <v>421</v>
      </c>
      <c r="E115" s="2" t="s">
        <v>653</v>
      </c>
      <c r="F115" s="4" t="n">
        <v>1</v>
      </c>
      <c r="G115" s="6" t="n">
        <v>1</v>
      </c>
      <c r="H115" s="2" t="s">
        <v>629</v>
      </c>
    </row>
    <row r="116" customFormat="false" ht="15" hidden="false" customHeight="false" outlineLevel="0" collapsed="false">
      <c r="A116" s="2" t="s">
        <v>85</v>
      </c>
      <c r="B116" s="4" t="n">
        <v>6</v>
      </c>
      <c r="C116" s="2" t="s">
        <v>449</v>
      </c>
      <c r="D116" s="2" t="s">
        <v>423</v>
      </c>
      <c r="E116" s="2" t="s">
        <v>653</v>
      </c>
      <c r="F116" s="4" t="n">
        <v>1</v>
      </c>
      <c r="G116" s="6" t="n">
        <v>1</v>
      </c>
      <c r="H116" s="2" t="s">
        <v>629</v>
      </c>
    </row>
    <row r="117" customFormat="false" ht="15" hidden="false" customHeight="false" outlineLevel="0" collapsed="false">
      <c r="A117" s="2" t="s">
        <v>85</v>
      </c>
      <c r="B117" s="4" t="n">
        <v>7</v>
      </c>
      <c r="C117" s="2" t="s">
        <v>450</v>
      </c>
      <c r="D117" s="2" t="s">
        <v>406</v>
      </c>
      <c r="E117" s="2" t="s">
        <v>653</v>
      </c>
      <c r="F117" s="4" t="n">
        <v>1</v>
      </c>
      <c r="G117" s="6" t="n">
        <v>1</v>
      </c>
      <c r="H117" s="2" t="s">
        <v>629</v>
      </c>
    </row>
    <row r="118" customFormat="false" ht="15" hidden="false" customHeight="false" outlineLevel="0" collapsed="false">
      <c r="A118" s="2" t="s">
        <v>85</v>
      </c>
      <c r="B118" s="4" t="n">
        <v>8</v>
      </c>
      <c r="C118" s="2" t="s">
        <v>453</v>
      </c>
      <c r="D118" s="2" t="s">
        <v>406</v>
      </c>
      <c r="E118" s="2" t="s">
        <v>653</v>
      </c>
      <c r="F118" s="4" t="n">
        <v>1</v>
      </c>
      <c r="G118" s="6" t="n">
        <v>1</v>
      </c>
      <c r="H118" s="2" t="s">
        <v>629</v>
      </c>
    </row>
    <row r="119" customFormat="false" ht="15" hidden="false" customHeight="false" outlineLevel="0" collapsed="false">
      <c r="A119" s="2" t="s">
        <v>87</v>
      </c>
      <c r="B119" s="4" t="n">
        <v>1</v>
      </c>
      <c r="C119" s="2" t="s">
        <v>441</v>
      </c>
      <c r="D119" s="2" t="s">
        <v>380</v>
      </c>
      <c r="E119" s="2" t="s">
        <v>653</v>
      </c>
      <c r="F119" s="4" t="n">
        <v>1</v>
      </c>
      <c r="G119" s="6" t="n">
        <v>1</v>
      </c>
      <c r="H119" s="2" t="s">
        <v>629</v>
      </c>
    </row>
    <row r="120" customFormat="false" ht="15" hidden="false" customHeight="false" outlineLevel="0" collapsed="false">
      <c r="A120" s="2" t="s">
        <v>87</v>
      </c>
      <c r="B120" s="4" t="n">
        <v>2</v>
      </c>
      <c r="C120" s="2" t="s">
        <v>386</v>
      </c>
      <c r="D120" s="2" t="s">
        <v>413</v>
      </c>
      <c r="E120" s="2" t="s">
        <v>653</v>
      </c>
      <c r="F120" s="4" t="n">
        <v>1</v>
      </c>
      <c r="G120" s="6" t="n">
        <v>1</v>
      </c>
      <c r="H120" s="2" t="s">
        <v>629</v>
      </c>
    </row>
    <row r="121" customFormat="false" ht="15" hidden="false" customHeight="false" outlineLevel="0" collapsed="false">
      <c r="A121" s="2" t="s">
        <v>87</v>
      </c>
      <c r="B121" s="4" t="n">
        <v>2</v>
      </c>
      <c r="C121" s="2" t="s">
        <v>386</v>
      </c>
      <c r="D121" s="2" t="s">
        <v>383</v>
      </c>
      <c r="E121" s="2" t="s">
        <v>654</v>
      </c>
      <c r="F121" s="4" t="n">
        <v>1</v>
      </c>
      <c r="G121" s="6" t="n">
        <v>1.1</v>
      </c>
      <c r="H121" s="2" t="s">
        <v>82</v>
      </c>
    </row>
    <row r="122" customFormat="false" ht="15" hidden="false" customHeight="false" outlineLevel="0" collapsed="false">
      <c r="A122" s="2" t="s">
        <v>87</v>
      </c>
      <c r="B122" s="4" t="n">
        <v>3</v>
      </c>
      <c r="C122" s="2" t="s">
        <v>442</v>
      </c>
      <c r="D122" s="2" t="s">
        <v>415</v>
      </c>
      <c r="E122" s="2" t="s">
        <v>653</v>
      </c>
      <c r="F122" s="4" t="n">
        <v>1</v>
      </c>
      <c r="G122" s="6" t="n">
        <v>1</v>
      </c>
      <c r="H122" s="2" t="s">
        <v>629</v>
      </c>
    </row>
    <row r="123" customFormat="false" ht="15" hidden="false" customHeight="false" outlineLevel="0" collapsed="false">
      <c r="A123" s="2" t="s">
        <v>87</v>
      </c>
      <c r="B123" s="4" t="n">
        <v>3</v>
      </c>
      <c r="C123" s="2" t="s">
        <v>442</v>
      </c>
      <c r="D123" s="2" t="s">
        <v>391</v>
      </c>
      <c r="E123" s="2" t="s">
        <v>655</v>
      </c>
      <c r="F123" s="4" t="n">
        <v>1</v>
      </c>
      <c r="G123" s="6" t="n">
        <v>1</v>
      </c>
      <c r="H123" s="2" t="s">
        <v>82</v>
      </c>
    </row>
    <row r="124" customFormat="false" ht="15" hidden="false" customHeight="false" outlineLevel="0" collapsed="false">
      <c r="A124" s="2" t="s">
        <v>87</v>
      </c>
      <c r="B124" s="4" t="n">
        <v>4</v>
      </c>
      <c r="C124" s="2" t="s">
        <v>445</v>
      </c>
      <c r="D124" s="2" t="s">
        <v>402</v>
      </c>
      <c r="E124" s="2" t="s">
        <v>653</v>
      </c>
      <c r="F124" s="4" t="n">
        <v>1</v>
      </c>
      <c r="G124" s="6" t="n">
        <v>1</v>
      </c>
      <c r="H124" s="2" t="s">
        <v>629</v>
      </c>
    </row>
    <row r="125" customFormat="false" ht="15" hidden="false" customHeight="false" outlineLevel="0" collapsed="false">
      <c r="A125" s="2" t="s">
        <v>87</v>
      </c>
      <c r="B125" s="4" t="n">
        <v>5</v>
      </c>
      <c r="C125" s="2" t="s">
        <v>447</v>
      </c>
      <c r="D125" s="2" t="s">
        <v>421</v>
      </c>
      <c r="E125" s="2" t="s">
        <v>653</v>
      </c>
      <c r="F125" s="4" t="n">
        <v>1</v>
      </c>
      <c r="G125" s="6" t="n">
        <v>1</v>
      </c>
      <c r="H125" s="2" t="s">
        <v>629</v>
      </c>
    </row>
    <row r="126" customFormat="false" ht="15" hidden="false" customHeight="false" outlineLevel="0" collapsed="false">
      <c r="A126" s="2" t="s">
        <v>87</v>
      </c>
      <c r="B126" s="4" t="n">
        <v>6</v>
      </c>
      <c r="C126" s="2" t="s">
        <v>449</v>
      </c>
      <c r="D126" s="2" t="s">
        <v>423</v>
      </c>
      <c r="E126" s="2" t="s">
        <v>653</v>
      </c>
      <c r="F126" s="4" t="n">
        <v>1</v>
      </c>
      <c r="G126" s="6" t="n">
        <v>1</v>
      </c>
      <c r="H126" s="2" t="s">
        <v>629</v>
      </c>
    </row>
    <row r="127" customFormat="false" ht="15" hidden="false" customHeight="false" outlineLevel="0" collapsed="false">
      <c r="A127" s="2" t="s">
        <v>87</v>
      </c>
      <c r="B127" s="4" t="n">
        <v>7</v>
      </c>
      <c r="C127" s="2" t="s">
        <v>450</v>
      </c>
      <c r="D127" s="2" t="s">
        <v>406</v>
      </c>
      <c r="E127" s="2" t="s">
        <v>653</v>
      </c>
      <c r="F127" s="4" t="n">
        <v>1</v>
      </c>
      <c r="G127" s="6" t="n">
        <v>1</v>
      </c>
      <c r="H127" s="2" t="s">
        <v>629</v>
      </c>
    </row>
    <row r="128" customFormat="false" ht="15" hidden="false" customHeight="false" outlineLevel="0" collapsed="false">
      <c r="A128" s="2" t="s">
        <v>87</v>
      </c>
      <c r="B128" s="4" t="n">
        <v>8</v>
      </c>
      <c r="C128" s="2" t="s">
        <v>453</v>
      </c>
      <c r="D128" s="2" t="s">
        <v>406</v>
      </c>
      <c r="E128" s="2" t="s">
        <v>653</v>
      </c>
      <c r="F128" s="4" t="n">
        <v>1</v>
      </c>
      <c r="G128" s="6" t="n">
        <v>1</v>
      </c>
      <c r="H128" s="2" t="s">
        <v>629</v>
      </c>
    </row>
    <row r="129" customFormat="false" ht="15" hidden="false" customHeight="false" outlineLevel="0" collapsed="false">
      <c r="A129" s="2" t="s">
        <v>89</v>
      </c>
      <c r="B129" s="4" t="n">
        <v>1</v>
      </c>
      <c r="C129" s="2" t="s">
        <v>437</v>
      </c>
      <c r="D129" s="2" t="s">
        <v>375</v>
      </c>
      <c r="E129" s="2" t="s">
        <v>653</v>
      </c>
      <c r="F129" s="4" t="n">
        <v>1</v>
      </c>
      <c r="G129" s="6" t="n">
        <v>1</v>
      </c>
      <c r="H129" s="2" t="s">
        <v>629</v>
      </c>
    </row>
    <row r="130" customFormat="false" ht="15" hidden="false" customHeight="false" outlineLevel="0" collapsed="false">
      <c r="A130" s="2" t="s">
        <v>89</v>
      </c>
      <c r="B130" s="4" t="n">
        <v>2</v>
      </c>
      <c r="C130" s="2" t="s">
        <v>441</v>
      </c>
      <c r="D130" s="2" t="s">
        <v>380</v>
      </c>
      <c r="E130" s="2" t="s">
        <v>653</v>
      </c>
      <c r="F130" s="4" t="n">
        <v>1</v>
      </c>
      <c r="G130" s="6" t="n">
        <v>1</v>
      </c>
      <c r="H130" s="2" t="s">
        <v>629</v>
      </c>
    </row>
    <row r="131" customFormat="false" ht="15" hidden="false" customHeight="false" outlineLevel="0" collapsed="false">
      <c r="A131" s="2" t="s">
        <v>89</v>
      </c>
      <c r="B131" s="4" t="n">
        <v>3</v>
      </c>
      <c r="C131" s="2" t="s">
        <v>386</v>
      </c>
      <c r="D131" s="2" t="s">
        <v>413</v>
      </c>
      <c r="E131" s="2" t="s">
        <v>653</v>
      </c>
      <c r="F131" s="4" t="n">
        <v>1</v>
      </c>
      <c r="G131" s="6" t="n">
        <v>1</v>
      </c>
      <c r="H131" s="2" t="s">
        <v>629</v>
      </c>
    </row>
    <row r="132" customFormat="false" ht="15" hidden="false" customHeight="false" outlineLevel="0" collapsed="false">
      <c r="A132" s="2" t="s">
        <v>89</v>
      </c>
      <c r="B132" s="4" t="n">
        <v>3</v>
      </c>
      <c r="C132" s="2" t="s">
        <v>386</v>
      </c>
      <c r="D132" s="2" t="s">
        <v>383</v>
      </c>
      <c r="E132" s="2" t="s">
        <v>654</v>
      </c>
      <c r="F132" s="4" t="n">
        <v>1</v>
      </c>
      <c r="G132" s="6" t="n">
        <v>1.1</v>
      </c>
      <c r="H132" s="2" t="s">
        <v>82</v>
      </c>
    </row>
    <row r="133" customFormat="false" ht="15" hidden="false" customHeight="false" outlineLevel="0" collapsed="false">
      <c r="A133" s="2" t="s">
        <v>89</v>
      </c>
      <c r="B133" s="4" t="n">
        <v>4</v>
      </c>
      <c r="C133" s="2" t="s">
        <v>390</v>
      </c>
      <c r="D133" s="2" t="s">
        <v>387</v>
      </c>
      <c r="E133" s="2" t="s">
        <v>653</v>
      </c>
      <c r="F133" s="4" t="n">
        <v>1</v>
      </c>
      <c r="G133" s="6" t="n">
        <v>1</v>
      </c>
      <c r="H133" s="2" t="s">
        <v>629</v>
      </c>
    </row>
    <row r="134" customFormat="false" ht="15" hidden="false" customHeight="false" outlineLevel="0" collapsed="false">
      <c r="A134" s="2" t="s">
        <v>89</v>
      </c>
      <c r="B134" s="4" t="n">
        <v>5</v>
      </c>
      <c r="C134" s="2" t="s">
        <v>442</v>
      </c>
      <c r="D134" s="2" t="s">
        <v>415</v>
      </c>
      <c r="E134" s="2" t="s">
        <v>653</v>
      </c>
      <c r="F134" s="4" t="n">
        <v>1</v>
      </c>
      <c r="G134" s="6" t="n">
        <v>1</v>
      </c>
      <c r="H134" s="2" t="s">
        <v>629</v>
      </c>
    </row>
    <row r="135" customFormat="false" ht="15" hidden="false" customHeight="false" outlineLevel="0" collapsed="false">
      <c r="A135" s="2" t="s">
        <v>89</v>
      </c>
      <c r="B135" s="4" t="n">
        <v>5</v>
      </c>
      <c r="C135" s="2" t="s">
        <v>442</v>
      </c>
      <c r="D135" s="2" t="s">
        <v>391</v>
      </c>
      <c r="E135" s="2" t="s">
        <v>655</v>
      </c>
      <c r="F135" s="4" t="n">
        <v>1</v>
      </c>
      <c r="G135" s="6" t="n">
        <v>1</v>
      </c>
      <c r="H135" s="2" t="s">
        <v>82</v>
      </c>
    </row>
    <row r="136" customFormat="false" ht="15" hidden="false" customHeight="false" outlineLevel="0" collapsed="false">
      <c r="A136" s="2" t="s">
        <v>89</v>
      </c>
      <c r="B136" s="4" t="n">
        <v>6</v>
      </c>
      <c r="C136" s="2" t="s">
        <v>445</v>
      </c>
      <c r="D136" s="2" t="s">
        <v>402</v>
      </c>
      <c r="E136" s="2" t="s">
        <v>653</v>
      </c>
      <c r="F136" s="4" t="n">
        <v>1</v>
      </c>
      <c r="G136" s="6" t="n">
        <v>1</v>
      </c>
      <c r="H136" s="2" t="s">
        <v>629</v>
      </c>
    </row>
    <row r="137" customFormat="false" ht="15" hidden="false" customHeight="false" outlineLevel="0" collapsed="false">
      <c r="A137" s="2" t="s">
        <v>89</v>
      </c>
      <c r="B137" s="4" t="n">
        <v>7</v>
      </c>
      <c r="C137" s="2" t="s">
        <v>447</v>
      </c>
      <c r="D137" s="2" t="s">
        <v>421</v>
      </c>
      <c r="E137" s="2" t="s">
        <v>653</v>
      </c>
      <c r="F137" s="4" t="n">
        <v>1</v>
      </c>
      <c r="G137" s="6" t="n">
        <v>1</v>
      </c>
      <c r="H137" s="2" t="s">
        <v>629</v>
      </c>
    </row>
    <row r="138" customFormat="false" ht="15" hidden="false" customHeight="false" outlineLevel="0" collapsed="false">
      <c r="A138" s="2" t="s">
        <v>89</v>
      </c>
      <c r="B138" s="4" t="n">
        <v>8</v>
      </c>
      <c r="C138" s="2" t="s">
        <v>449</v>
      </c>
      <c r="D138" s="2" t="s">
        <v>423</v>
      </c>
      <c r="E138" s="2" t="s">
        <v>653</v>
      </c>
      <c r="F138" s="4" t="n">
        <v>1</v>
      </c>
      <c r="G138" s="6" t="n">
        <v>1</v>
      </c>
      <c r="H138" s="2" t="s">
        <v>629</v>
      </c>
    </row>
    <row r="139" customFormat="false" ht="15" hidden="false" customHeight="false" outlineLevel="0" collapsed="false">
      <c r="A139" s="2" t="s">
        <v>89</v>
      </c>
      <c r="B139" s="4" t="n">
        <v>9</v>
      </c>
      <c r="C139" s="2" t="s">
        <v>450</v>
      </c>
      <c r="D139" s="2" t="s">
        <v>406</v>
      </c>
      <c r="E139" s="2" t="s">
        <v>653</v>
      </c>
      <c r="F139" s="4" t="n">
        <v>1</v>
      </c>
      <c r="G139" s="6" t="n">
        <v>1</v>
      </c>
      <c r="H139" s="2" t="s">
        <v>629</v>
      </c>
    </row>
    <row r="140" customFormat="false" ht="15" hidden="false" customHeight="false" outlineLevel="0" collapsed="false">
      <c r="A140" s="2" t="s">
        <v>89</v>
      </c>
      <c r="B140" s="4" t="n">
        <v>10</v>
      </c>
      <c r="C140" s="2" t="s">
        <v>453</v>
      </c>
      <c r="D140" s="2" t="s">
        <v>406</v>
      </c>
      <c r="E140" s="2" t="s">
        <v>653</v>
      </c>
      <c r="F140" s="4" t="n">
        <v>1</v>
      </c>
      <c r="G140" s="6" t="n">
        <v>1</v>
      </c>
      <c r="H140" s="2" t="s">
        <v>629</v>
      </c>
    </row>
    <row r="141" customFormat="false" ht="15" hidden="false" customHeight="false" outlineLevel="0" collapsed="false">
      <c r="A141" s="2" t="s">
        <v>91</v>
      </c>
      <c r="B141" s="4" t="n">
        <v>1</v>
      </c>
      <c r="C141" s="2" t="s">
        <v>441</v>
      </c>
      <c r="D141" s="2" t="s">
        <v>380</v>
      </c>
      <c r="E141" s="2" t="s">
        <v>653</v>
      </c>
      <c r="F141" s="4" t="n">
        <v>1</v>
      </c>
      <c r="G141" s="6" t="n">
        <v>1</v>
      </c>
      <c r="H141" s="2" t="s">
        <v>629</v>
      </c>
    </row>
    <row r="142" customFormat="false" ht="15" hidden="false" customHeight="false" outlineLevel="0" collapsed="false">
      <c r="A142" s="2" t="s">
        <v>91</v>
      </c>
      <c r="B142" s="4" t="n">
        <v>2</v>
      </c>
      <c r="C142" s="2" t="s">
        <v>386</v>
      </c>
      <c r="D142" s="2" t="s">
        <v>413</v>
      </c>
      <c r="E142" s="2" t="s">
        <v>653</v>
      </c>
      <c r="F142" s="4" t="n">
        <v>1</v>
      </c>
      <c r="G142" s="6" t="n">
        <v>1</v>
      </c>
      <c r="H142" s="2" t="s">
        <v>629</v>
      </c>
    </row>
    <row r="143" customFormat="false" ht="15" hidden="false" customHeight="false" outlineLevel="0" collapsed="false">
      <c r="A143" s="2" t="s">
        <v>91</v>
      </c>
      <c r="B143" s="4" t="n">
        <v>2</v>
      </c>
      <c r="C143" s="2" t="s">
        <v>386</v>
      </c>
      <c r="D143" s="2" t="s">
        <v>383</v>
      </c>
      <c r="E143" s="2" t="s">
        <v>654</v>
      </c>
      <c r="F143" s="4" t="n">
        <v>1</v>
      </c>
      <c r="G143" s="6" t="n">
        <v>1.1</v>
      </c>
      <c r="H143" s="2" t="s">
        <v>82</v>
      </c>
    </row>
    <row r="144" customFormat="false" ht="15" hidden="false" customHeight="false" outlineLevel="0" collapsed="false">
      <c r="A144" s="2" t="s">
        <v>91</v>
      </c>
      <c r="B144" s="4" t="n">
        <v>3</v>
      </c>
      <c r="C144" s="2" t="s">
        <v>442</v>
      </c>
      <c r="D144" s="2" t="s">
        <v>415</v>
      </c>
      <c r="E144" s="2" t="s">
        <v>653</v>
      </c>
      <c r="F144" s="4" t="n">
        <v>1</v>
      </c>
      <c r="G144" s="6" t="n">
        <v>1</v>
      </c>
      <c r="H144" s="2" t="s">
        <v>629</v>
      </c>
    </row>
    <row r="145" customFormat="false" ht="15" hidden="false" customHeight="false" outlineLevel="0" collapsed="false">
      <c r="A145" s="2" t="s">
        <v>91</v>
      </c>
      <c r="B145" s="4" t="n">
        <v>3</v>
      </c>
      <c r="C145" s="2" t="s">
        <v>442</v>
      </c>
      <c r="D145" s="2" t="s">
        <v>391</v>
      </c>
      <c r="E145" s="2" t="s">
        <v>655</v>
      </c>
      <c r="F145" s="4" t="n">
        <v>1</v>
      </c>
      <c r="G145" s="6" t="n">
        <v>1</v>
      </c>
      <c r="H145" s="2" t="s">
        <v>82</v>
      </c>
    </row>
    <row r="146" customFormat="false" ht="15" hidden="false" customHeight="false" outlineLevel="0" collapsed="false">
      <c r="A146" s="2" t="s">
        <v>91</v>
      </c>
      <c r="B146" s="4" t="n">
        <v>4</v>
      </c>
      <c r="C146" s="2" t="s">
        <v>445</v>
      </c>
      <c r="D146" s="2" t="s">
        <v>402</v>
      </c>
      <c r="E146" s="2" t="s">
        <v>653</v>
      </c>
      <c r="F146" s="4" t="n">
        <v>1</v>
      </c>
      <c r="G146" s="6" t="n">
        <v>1</v>
      </c>
      <c r="H146" s="2" t="s">
        <v>629</v>
      </c>
    </row>
    <row r="147" customFormat="false" ht="15" hidden="false" customHeight="false" outlineLevel="0" collapsed="false">
      <c r="A147" s="2" t="s">
        <v>91</v>
      </c>
      <c r="B147" s="4" t="n">
        <v>5</v>
      </c>
      <c r="C147" s="2" t="s">
        <v>447</v>
      </c>
      <c r="D147" s="2" t="s">
        <v>421</v>
      </c>
      <c r="E147" s="2" t="s">
        <v>653</v>
      </c>
      <c r="F147" s="4" t="n">
        <v>1</v>
      </c>
      <c r="G147" s="6" t="n">
        <v>1</v>
      </c>
      <c r="H147" s="2" t="s">
        <v>629</v>
      </c>
    </row>
    <row r="148" customFormat="false" ht="15" hidden="false" customHeight="false" outlineLevel="0" collapsed="false">
      <c r="A148" s="2" t="s">
        <v>91</v>
      </c>
      <c r="B148" s="4" t="n">
        <v>6</v>
      </c>
      <c r="C148" s="2" t="s">
        <v>449</v>
      </c>
      <c r="D148" s="2" t="s">
        <v>423</v>
      </c>
      <c r="E148" s="2" t="s">
        <v>653</v>
      </c>
      <c r="F148" s="4" t="n">
        <v>1</v>
      </c>
      <c r="G148" s="6" t="n">
        <v>1</v>
      </c>
      <c r="H148" s="2" t="s">
        <v>629</v>
      </c>
    </row>
    <row r="149" customFormat="false" ht="15" hidden="false" customHeight="false" outlineLevel="0" collapsed="false">
      <c r="A149" s="2" t="s">
        <v>91</v>
      </c>
      <c r="B149" s="4" t="n">
        <v>7</v>
      </c>
      <c r="C149" s="2" t="s">
        <v>450</v>
      </c>
      <c r="D149" s="2" t="s">
        <v>406</v>
      </c>
      <c r="E149" s="2" t="s">
        <v>653</v>
      </c>
      <c r="F149" s="4" t="n">
        <v>1</v>
      </c>
      <c r="G149" s="6" t="n">
        <v>1</v>
      </c>
      <c r="H149" s="2" t="s">
        <v>629</v>
      </c>
    </row>
    <row r="150" customFormat="false" ht="15" hidden="false" customHeight="false" outlineLevel="0" collapsed="false">
      <c r="A150" s="2" t="s">
        <v>91</v>
      </c>
      <c r="B150" s="4" t="n">
        <v>8</v>
      </c>
      <c r="C150" s="2" t="s">
        <v>453</v>
      </c>
      <c r="D150" s="2" t="s">
        <v>406</v>
      </c>
      <c r="E150" s="2" t="s">
        <v>653</v>
      </c>
      <c r="F150" s="4" t="n">
        <v>1</v>
      </c>
      <c r="G150" s="6" t="n">
        <v>1</v>
      </c>
      <c r="H150" s="2" t="s">
        <v>629</v>
      </c>
    </row>
    <row r="151" customFormat="false" ht="15" hidden="false" customHeight="false" outlineLevel="0" collapsed="false">
      <c r="A151" s="2" t="s">
        <v>97</v>
      </c>
      <c r="B151" s="4" t="n">
        <v>1</v>
      </c>
      <c r="C151" s="2" t="s">
        <v>437</v>
      </c>
      <c r="D151" s="2" t="s">
        <v>375</v>
      </c>
      <c r="E151" s="2" t="s">
        <v>653</v>
      </c>
      <c r="F151" s="4" t="n">
        <v>1</v>
      </c>
      <c r="G151" s="6" t="n">
        <v>1</v>
      </c>
      <c r="H151" s="2" t="s">
        <v>629</v>
      </c>
    </row>
    <row r="152" customFormat="false" ht="15" hidden="false" customHeight="false" outlineLevel="0" collapsed="false">
      <c r="A152" s="2" t="s">
        <v>97</v>
      </c>
      <c r="B152" s="4" t="n">
        <v>2</v>
      </c>
      <c r="C152" s="2" t="s">
        <v>441</v>
      </c>
      <c r="D152" s="2" t="s">
        <v>380</v>
      </c>
      <c r="E152" s="2" t="s">
        <v>653</v>
      </c>
      <c r="F152" s="4" t="n">
        <v>1</v>
      </c>
      <c r="G152" s="6" t="n">
        <v>1</v>
      </c>
      <c r="H152" s="2" t="s">
        <v>629</v>
      </c>
    </row>
    <row r="153" customFormat="false" ht="15" hidden="false" customHeight="false" outlineLevel="0" collapsed="false">
      <c r="A153" s="2" t="s">
        <v>97</v>
      </c>
      <c r="B153" s="4" t="n">
        <v>3</v>
      </c>
      <c r="C153" s="2" t="s">
        <v>386</v>
      </c>
      <c r="D153" s="2" t="s">
        <v>413</v>
      </c>
      <c r="E153" s="2" t="s">
        <v>653</v>
      </c>
      <c r="F153" s="4" t="n">
        <v>1</v>
      </c>
      <c r="G153" s="6" t="n">
        <v>1</v>
      </c>
      <c r="H153" s="2" t="s">
        <v>629</v>
      </c>
    </row>
    <row r="154" customFormat="false" ht="15" hidden="false" customHeight="false" outlineLevel="0" collapsed="false">
      <c r="A154" s="2" t="s">
        <v>97</v>
      </c>
      <c r="B154" s="4" t="n">
        <v>3</v>
      </c>
      <c r="C154" s="2" t="s">
        <v>386</v>
      </c>
      <c r="D154" s="2" t="s">
        <v>383</v>
      </c>
      <c r="E154" s="2" t="s">
        <v>654</v>
      </c>
      <c r="F154" s="4" t="n">
        <v>1</v>
      </c>
      <c r="G154" s="6" t="n">
        <v>1.1</v>
      </c>
      <c r="H154" s="2" t="s">
        <v>82</v>
      </c>
    </row>
    <row r="155" customFormat="false" ht="15" hidden="false" customHeight="false" outlineLevel="0" collapsed="false">
      <c r="A155" s="2" t="s">
        <v>97</v>
      </c>
      <c r="B155" s="4" t="n">
        <v>4</v>
      </c>
      <c r="C155" s="2" t="s">
        <v>390</v>
      </c>
      <c r="D155" s="2" t="s">
        <v>387</v>
      </c>
      <c r="E155" s="2" t="s">
        <v>653</v>
      </c>
      <c r="F155" s="4" t="n">
        <v>1</v>
      </c>
      <c r="G155" s="6" t="n">
        <v>1</v>
      </c>
      <c r="H155" s="2" t="s">
        <v>629</v>
      </c>
    </row>
    <row r="156" customFormat="false" ht="15" hidden="false" customHeight="false" outlineLevel="0" collapsed="false">
      <c r="A156" s="2" t="s">
        <v>97</v>
      </c>
      <c r="B156" s="4" t="n">
        <v>5</v>
      </c>
      <c r="C156" s="2" t="s">
        <v>442</v>
      </c>
      <c r="D156" s="2" t="s">
        <v>415</v>
      </c>
      <c r="E156" s="2" t="s">
        <v>653</v>
      </c>
      <c r="F156" s="4" t="n">
        <v>1</v>
      </c>
      <c r="G156" s="6" t="n">
        <v>1</v>
      </c>
      <c r="H156" s="2" t="s">
        <v>629</v>
      </c>
    </row>
    <row r="157" customFormat="false" ht="15" hidden="false" customHeight="false" outlineLevel="0" collapsed="false">
      <c r="A157" s="2" t="s">
        <v>97</v>
      </c>
      <c r="B157" s="4" t="n">
        <v>5</v>
      </c>
      <c r="C157" s="2" t="s">
        <v>442</v>
      </c>
      <c r="D157" s="2" t="s">
        <v>391</v>
      </c>
      <c r="E157" s="2" t="s">
        <v>655</v>
      </c>
      <c r="F157" s="4" t="n">
        <v>1</v>
      </c>
      <c r="G157" s="6" t="n">
        <v>1</v>
      </c>
      <c r="H157" s="2" t="s">
        <v>82</v>
      </c>
    </row>
    <row r="158" customFormat="false" ht="15" hidden="false" customHeight="false" outlineLevel="0" collapsed="false">
      <c r="A158" s="2" t="s">
        <v>97</v>
      </c>
      <c r="B158" s="4" t="n">
        <v>6</v>
      </c>
      <c r="C158" s="2" t="s">
        <v>445</v>
      </c>
      <c r="D158" s="2" t="s">
        <v>402</v>
      </c>
      <c r="E158" s="2" t="s">
        <v>653</v>
      </c>
      <c r="F158" s="4" t="n">
        <v>1</v>
      </c>
      <c r="G158" s="6" t="n">
        <v>1</v>
      </c>
      <c r="H158" s="2" t="s">
        <v>629</v>
      </c>
    </row>
    <row r="159" customFormat="false" ht="15" hidden="false" customHeight="false" outlineLevel="0" collapsed="false">
      <c r="A159" s="2" t="s">
        <v>97</v>
      </c>
      <c r="B159" s="4" t="n">
        <v>7</v>
      </c>
      <c r="C159" s="2" t="s">
        <v>447</v>
      </c>
      <c r="D159" s="2" t="s">
        <v>421</v>
      </c>
      <c r="E159" s="2" t="s">
        <v>653</v>
      </c>
      <c r="F159" s="4" t="n">
        <v>1</v>
      </c>
      <c r="G159" s="6" t="n">
        <v>1</v>
      </c>
      <c r="H159" s="2" t="s">
        <v>629</v>
      </c>
    </row>
    <row r="160" customFormat="false" ht="15" hidden="false" customHeight="false" outlineLevel="0" collapsed="false">
      <c r="A160" s="2" t="s">
        <v>97</v>
      </c>
      <c r="B160" s="4" t="n">
        <v>8</v>
      </c>
      <c r="C160" s="2" t="s">
        <v>449</v>
      </c>
      <c r="D160" s="2" t="s">
        <v>423</v>
      </c>
      <c r="E160" s="2" t="s">
        <v>653</v>
      </c>
      <c r="F160" s="4" t="n">
        <v>1</v>
      </c>
      <c r="G160" s="6" t="n">
        <v>1</v>
      </c>
      <c r="H160" s="2" t="s">
        <v>629</v>
      </c>
    </row>
    <row r="161" customFormat="false" ht="15" hidden="false" customHeight="false" outlineLevel="0" collapsed="false">
      <c r="A161" s="2" t="s">
        <v>97</v>
      </c>
      <c r="B161" s="4" t="n">
        <v>9</v>
      </c>
      <c r="C161" s="2" t="s">
        <v>450</v>
      </c>
      <c r="D161" s="2" t="s">
        <v>406</v>
      </c>
      <c r="E161" s="2" t="s">
        <v>653</v>
      </c>
      <c r="F161" s="4" t="n">
        <v>1</v>
      </c>
      <c r="G161" s="6" t="n">
        <v>1</v>
      </c>
      <c r="H161" s="2" t="s">
        <v>629</v>
      </c>
    </row>
    <row r="162" customFormat="false" ht="15" hidden="false" customHeight="false" outlineLevel="0" collapsed="false">
      <c r="A162" s="2" t="s">
        <v>97</v>
      </c>
      <c r="B162" s="4" t="n">
        <v>10</v>
      </c>
      <c r="C162" s="2" t="s">
        <v>453</v>
      </c>
      <c r="D162" s="2" t="s">
        <v>406</v>
      </c>
      <c r="E162" s="2" t="s">
        <v>653</v>
      </c>
      <c r="F162" s="4" t="n">
        <v>1</v>
      </c>
      <c r="G162" s="6" t="n">
        <v>1</v>
      </c>
      <c r="H162" s="2" t="s">
        <v>629</v>
      </c>
    </row>
    <row r="163" customFormat="false" ht="15" hidden="false" customHeight="false" outlineLevel="0" collapsed="false">
      <c r="A163" s="2" t="s">
        <v>99</v>
      </c>
      <c r="B163" s="4" t="n">
        <v>1</v>
      </c>
      <c r="C163" s="2" t="s">
        <v>437</v>
      </c>
      <c r="D163" s="2" t="s">
        <v>375</v>
      </c>
      <c r="E163" s="2" t="s">
        <v>653</v>
      </c>
      <c r="F163" s="4" t="n">
        <v>1</v>
      </c>
      <c r="G163" s="6" t="n">
        <v>1</v>
      </c>
      <c r="H163" s="2" t="s">
        <v>629</v>
      </c>
    </row>
    <row r="164" customFormat="false" ht="15" hidden="false" customHeight="false" outlineLevel="0" collapsed="false">
      <c r="A164" s="2" t="s">
        <v>99</v>
      </c>
      <c r="B164" s="4" t="n">
        <v>2</v>
      </c>
      <c r="C164" s="2" t="s">
        <v>441</v>
      </c>
      <c r="D164" s="2" t="s">
        <v>380</v>
      </c>
      <c r="E164" s="2" t="s">
        <v>653</v>
      </c>
      <c r="F164" s="4" t="n">
        <v>1</v>
      </c>
      <c r="G164" s="6" t="n">
        <v>1</v>
      </c>
      <c r="H164" s="2" t="s">
        <v>629</v>
      </c>
    </row>
    <row r="165" customFormat="false" ht="15" hidden="false" customHeight="false" outlineLevel="0" collapsed="false">
      <c r="A165" s="2" t="s">
        <v>99</v>
      </c>
      <c r="B165" s="4" t="n">
        <v>3</v>
      </c>
      <c r="C165" s="2" t="s">
        <v>386</v>
      </c>
      <c r="D165" s="2" t="s">
        <v>413</v>
      </c>
      <c r="E165" s="2" t="s">
        <v>653</v>
      </c>
      <c r="F165" s="4" t="n">
        <v>1</v>
      </c>
      <c r="G165" s="6" t="n">
        <v>1</v>
      </c>
      <c r="H165" s="2" t="s">
        <v>629</v>
      </c>
    </row>
    <row r="166" customFormat="false" ht="15" hidden="false" customHeight="false" outlineLevel="0" collapsed="false">
      <c r="A166" s="2" t="s">
        <v>99</v>
      </c>
      <c r="B166" s="4" t="n">
        <v>3</v>
      </c>
      <c r="C166" s="2" t="s">
        <v>386</v>
      </c>
      <c r="D166" s="2" t="s">
        <v>383</v>
      </c>
      <c r="E166" s="2" t="s">
        <v>654</v>
      </c>
      <c r="F166" s="4" t="n">
        <v>1</v>
      </c>
      <c r="G166" s="6" t="n">
        <v>1.1</v>
      </c>
      <c r="H166" s="2" t="s">
        <v>82</v>
      </c>
    </row>
    <row r="167" customFormat="false" ht="15" hidden="false" customHeight="false" outlineLevel="0" collapsed="false">
      <c r="A167" s="2" t="s">
        <v>99</v>
      </c>
      <c r="B167" s="4" t="n">
        <v>4</v>
      </c>
      <c r="C167" s="2" t="s">
        <v>390</v>
      </c>
      <c r="D167" s="2" t="s">
        <v>387</v>
      </c>
      <c r="E167" s="2" t="s">
        <v>653</v>
      </c>
      <c r="F167" s="4" t="n">
        <v>1</v>
      </c>
      <c r="G167" s="6" t="n">
        <v>1</v>
      </c>
      <c r="H167" s="2" t="s">
        <v>629</v>
      </c>
    </row>
    <row r="168" customFormat="false" ht="15" hidden="false" customHeight="false" outlineLevel="0" collapsed="false">
      <c r="A168" s="2" t="s">
        <v>99</v>
      </c>
      <c r="B168" s="4" t="n">
        <v>5</v>
      </c>
      <c r="C168" s="2" t="s">
        <v>442</v>
      </c>
      <c r="D168" s="2" t="s">
        <v>415</v>
      </c>
      <c r="E168" s="2" t="s">
        <v>653</v>
      </c>
      <c r="F168" s="4" t="n">
        <v>1</v>
      </c>
      <c r="G168" s="6" t="n">
        <v>1</v>
      </c>
      <c r="H168" s="2" t="s">
        <v>629</v>
      </c>
    </row>
    <row r="169" customFormat="false" ht="15" hidden="false" customHeight="false" outlineLevel="0" collapsed="false">
      <c r="A169" s="2" t="s">
        <v>99</v>
      </c>
      <c r="B169" s="4" t="n">
        <v>5</v>
      </c>
      <c r="C169" s="2" t="s">
        <v>442</v>
      </c>
      <c r="D169" s="2" t="s">
        <v>391</v>
      </c>
      <c r="E169" s="2" t="s">
        <v>655</v>
      </c>
      <c r="F169" s="4" t="n">
        <v>1</v>
      </c>
      <c r="G169" s="6" t="n">
        <v>1</v>
      </c>
      <c r="H169" s="2" t="s">
        <v>82</v>
      </c>
    </row>
    <row r="170" customFormat="false" ht="15" hidden="false" customHeight="false" outlineLevel="0" collapsed="false">
      <c r="A170" s="2" t="s">
        <v>99</v>
      </c>
      <c r="B170" s="4" t="n">
        <v>6</v>
      </c>
      <c r="C170" s="2" t="s">
        <v>445</v>
      </c>
      <c r="D170" s="2" t="s">
        <v>402</v>
      </c>
      <c r="E170" s="2" t="s">
        <v>653</v>
      </c>
      <c r="F170" s="4" t="n">
        <v>1</v>
      </c>
      <c r="G170" s="6" t="n">
        <v>1</v>
      </c>
      <c r="H170" s="2" t="s">
        <v>629</v>
      </c>
    </row>
    <row r="171" customFormat="false" ht="15" hidden="false" customHeight="false" outlineLevel="0" collapsed="false">
      <c r="A171" s="2" t="s">
        <v>99</v>
      </c>
      <c r="B171" s="4" t="n">
        <v>7</v>
      </c>
      <c r="C171" s="2" t="s">
        <v>447</v>
      </c>
      <c r="D171" s="2" t="s">
        <v>421</v>
      </c>
      <c r="E171" s="2" t="s">
        <v>653</v>
      </c>
      <c r="F171" s="4" t="n">
        <v>1</v>
      </c>
      <c r="G171" s="6" t="n">
        <v>1</v>
      </c>
      <c r="H171" s="2" t="s">
        <v>629</v>
      </c>
    </row>
    <row r="172" customFormat="false" ht="15" hidden="false" customHeight="false" outlineLevel="0" collapsed="false">
      <c r="A172" s="2" t="s">
        <v>99</v>
      </c>
      <c r="B172" s="4" t="n">
        <v>8</v>
      </c>
      <c r="C172" s="2" t="s">
        <v>449</v>
      </c>
      <c r="D172" s="2" t="s">
        <v>423</v>
      </c>
      <c r="E172" s="2" t="s">
        <v>653</v>
      </c>
      <c r="F172" s="4" t="n">
        <v>1</v>
      </c>
      <c r="G172" s="6" t="n">
        <v>1</v>
      </c>
      <c r="H172" s="2" t="s">
        <v>629</v>
      </c>
    </row>
    <row r="173" customFormat="false" ht="15" hidden="false" customHeight="false" outlineLevel="0" collapsed="false">
      <c r="A173" s="2" t="s">
        <v>99</v>
      </c>
      <c r="B173" s="4" t="n">
        <v>9</v>
      </c>
      <c r="C173" s="2" t="s">
        <v>450</v>
      </c>
      <c r="D173" s="2" t="s">
        <v>406</v>
      </c>
      <c r="E173" s="2" t="s">
        <v>653</v>
      </c>
      <c r="F173" s="4" t="n">
        <v>1</v>
      </c>
      <c r="G173" s="6" t="n">
        <v>1</v>
      </c>
      <c r="H173" s="2" t="s">
        <v>629</v>
      </c>
    </row>
    <row r="174" customFormat="false" ht="15" hidden="false" customHeight="false" outlineLevel="0" collapsed="false">
      <c r="A174" s="2" t="s">
        <v>99</v>
      </c>
      <c r="B174" s="4" t="n">
        <v>10</v>
      </c>
      <c r="C174" s="2" t="s">
        <v>453</v>
      </c>
      <c r="D174" s="2" t="s">
        <v>406</v>
      </c>
      <c r="E174" s="2" t="s">
        <v>653</v>
      </c>
      <c r="F174" s="4" t="n">
        <v>1</v>
      </c>
      <c r="G174" s="6" t="n">
        <v>1</v>
      </c>
      <c r="H174" s="2" t="s">
        <v>629</v>
      </c>
    </row>
    <row r="175" customFormat="false" ht="15" hidden="false" customHeight="false" outlineLevel="0" collapsed="false">
      <c r="A175" s="2" t="s">
        <v>101</v>
      </c>
      <c r="B175" s="4" t="n">
        <v>1</v>
      </c>
      <c r="C175" s="2" t="s">
        <v>437</v>
      </c>
      <c r="D175" s="2" t="s">
        <v>375</v>
      </c>
      <c r="E175" s="2" t="s">
        <v>653</v>
      </c>
      <c r="F175" s="4" t="n">
        <v>1</v>
      </c>
      <c r="G175" s="6" t="n">
        <v>1</v>
      </c>
      <c r="H175" s="2" t="s">
        <v>629</v>
      </c>
    </row>
    <row r="176" customFormat="false" ht="15" hidden="false" customHeight="false" outlineLevel="0" collapsed="false">
      <c r="A176" s="2" t="s">
        <v>101</v>
      </c>
      <c r="B176" s="4" t="n">
        <v>2</v>
      </c>
      <c r="C176" s="2" t="s">
        <v>441</v>
      </c>
      <c r="D176" s="2" t="s">
        <v>380</v>
      </c>
      <c r="E176" s="2" t="s">
        <v>653</v>
      </c>
      <c r="F176" s="4" t="n">
        <v>1</v>
      </c>
      <c r="G176" s="6" t="n">
        <v>1</v>
      </c>
      <c r="H176" s="2" t="s">
        <v>629</v>
      </c>
    </row>
    <row r="177" customFormat="false" ht="15" hidden="false" customHeight="false" outlineLevel="0" collapsed="false">
      <c r="A177" s="2" t="s">
        <v>101</v>
      </c>
      <c r="B177" s="4" t="n">
        <v>3</v>
      </c>
      <c r="C177" s="2" t="s">
        <v>386</v>
      </c>
      <c r="D177" s="2" t="s">
        <v>413</v>
      </c>
      <c r="E177" s="2" t="s">
        <v>653</v>
      </c>
      <c r="F177" s="4" t="n">
        <v>1</v>
      </c>
      <c r="G177" s="6" t="n">
        <v>1</v>
      </c>
      <c r="H177" s="2" t="s">
        <v>629</v>
      </c>
    </row>
    <row r="178" customFormat="false" ht="15" hidden="false" customHeight="false" outlineLevel="0" collapsed="false">
      <c r="A178" s="2" t="s">
        <v>101</v>
      </c>
      <c r="B178" s="4" t="n">
        <v>3</v>
      </c>
      <c r="C178" s="2" t="s">
        <v>386</v>
      </c>
      <c r="D178" s="2" t="s">
        <v>383</v>
      </c>
      <c r="E178" s="2" t="s">
        <v>654</v>
      </c>
      <c r="F178" s="4" t="n">
        <v>1</v>
      </c>
      <c r="G178" s="6" t="n">
        <v>1.1</v>
      </c>
      <c r="H178" s="2" t="s">
        <v>82</v>
      </c>
    </row>
    <row r="179" customFormat="false" ht="15" hidden="false" customHeight="false" outlineLevel="0" collapsed="false">
      <c r="A179" s="2" t="s">
        <v>101</v>
      </c>
      <c r="B179" s="4" t="n">
        <v>4</v>
      </c>
      <c r="C179" s="2" t="s">
        <v>390</v>
      </c>
      <c r="D179" s="2" t="s">
        <v>387</v>
      </c>
      <c r="E179" s="2" t="s">
        <v>653</v>
      </c>
      <c r="F179" s="4" t="n">
        <v>1</v>
      </c>
      <c r="G179" s="6" t="n">
        <v>1</v>
      </c>
      <c r="H179" s="2" t="s">
        <v>629</v>
      </c>
    </row>
    <row r="180" customFormat="false" ht="15" hidden="false" customHeight="false" outlineLevel="0" collapsed="false">
      <c r="A180" s="2" t="s">
        <v>101</v>
      </c>
      <c r="B180" s="4" t="n">
        <v>5</v>
      </c>
      <c r="C180" s="2" t="s">
        <v>442</v>
      </c>
      <c r="D180" s="2" t="s">
        <v>415</v>
      </c>
      <c r="E180" s="2" t="s">
        <v>653</v>
      </c>
      <c r="F180" s="4" t="n">
        <v>1</v>
      </c>
      <c r="G180" s="6" t="n">
        <v>1</v>
      </c>
      <c r="H180" s="2" t="s">
        <v>629</v>
      </c>
    </row>
    <row r="181" customFormat="false" ht="15" hidden="false" customHeight="false" outlineLevel="0" collapsed="false">
      <c r="A181" s="2" t="s">
        <v>101</v>
      </c>
      <c r="B181" s="4" t="n">
        <v>5</v>
      </c>
      <c r="C181" s="2" t="s">
        <v>442</v>
      </c>
      <c r="D181" s="2" t="s">
        <v>391</v>
      </c>
      <c r="E181" s="2" t="s">
        <v>655</v>
      </c>
      <c r="F181" s="4" t="n">
        <v>1</v>
      </c>
      <c r="G181" s="6" t="n">
        <v>1</v>
      </c>
      <c r="H181" s="2" t="s">
        <v>82</v>
      </c>
    </row>
    <row r="182" customFormat="false" ht="15" hidden="false" customHeight="false" outlineLevel="0" collapsed="false">
      <c r="A182" s="2" t="s">
        <v>101</v>
      </c>
      <c r="B182" s="4" t="n">
        <v>6</v>
      </c>
      <c r="C182" s="2" t="s">
        <v>445</v>
      </c>
      <c r="D182" s="2" t="s">
        <v>402</v>
      </c>
      <c r="E182" s="2" t="s">
        <v>653</v>
      </c>
      <c r="F182" s="4" t="n">
        <v>1</v>
      </c>
      <c r="G182" s="6" t="n">
        <v>1</v>
      </c>
      <c r="H182" s="2" t="s">
        <v>629</v>
      </c>
    </row>
    <row r="183" customFormat="false" ht="15" hidden="false" customHeight="false" outlineLevel="0" collapsed="false">
      <c r="A183" s="2" t="s">
        <v>101</v>
      </c>
      <c r="B183" s="4" t="n">
        <v>7</v>
      </c>
      <c r="C183" s="2" t="s">
        <v>447</v>
      </c>
      <c r="D183" s="2" t="s">
        <v>421</v>
      </c>
      <c r="E183" s="2" t="s">
        <v>653</v>
      </c>
      <c r="F183" s="4" t="n">
        <v>1</v>
      </c>
      <c r="G183" s="6" t="n">
        <v>1</v>
      </c>
      <c r="H183" s="2" t="s">
        <v>629</v>
      </c>
    </row>
    <row r="184" customFormat="false" ht="15" hidden="false" customHeight="false" outlineLevel="0" collapsed="false">
      <c r="A184" s="2" t="s">
        <v>101</v>
      </c>
      <c r="B184" s="4" t="n">
        <v>8</v>
      </c>
      <c r="C184" s="2" t="s">
        <v>449</v>
      </c>
      <c r="D184" s="2" t="s">
        <v>423</v>
      </c>
      <c r="E184" s="2" t="s">
        <v>653</v>
      </c>
      <c r="F184" s="4" t="n">
        <v>1</v>
      </c>
      <c r="G184" s="6" t="n">
        <v>1</v>
      </c>
      <c r="H184" s="2" t="s">
        <v>629</v>
      </c>
    </row>
    <row r="185" customFormat="false" ht="15" hidden="false" customHeight="false" outlineLevel="0" collapsed="false">
      <c r="A185" s="2" t="s">
        <v>101</v>
      </c>
      <c r="B185" s="4" t="n">
        <v>9</v>
      </c>
      <c r="C185" s="2" t="s">
        <v>450</v>
      </c>
      <c r="D185" s="2" t="s">
        <v>406</v>
      </c>
      <c r="E185" s="2" t="s">
        <v>653</v>
      </c>
      <c r="F185" s="4" t="n">
        <v>1</v>
      </c>
      <c r="G185" s="6" t="n">
        <v>1</v>
      </c>
      <c r="H185" s="2" t="s">
        <v>629</v>
      </c>
    </row>
    <row r="186" customFormat="false" ht="15" hidden="false" customHeight="false" outlineLevel="0" collapsed="false">
      <c r="A186" s="2" t="s">
        <v>101</v>
      </c>
      <c r="B186" s="4" t="n">
        <v>10</v>
      </c>
      <c r="C186" s="2" t="s">
        <v>453</v>
      </c>
      <c r="D186" s="2" t="s">
        <v>406</v>
      </c>
      <c r="E186" s="2" t="s">
        <v>653</v>
      </c>
      <c r="F186" s="4" t="n">
        <v>1</v>
      </c>
      <c r="G186" s="6" t="n">
        <v>1</v>
      </c>
      <c r="H186" s="2" t="s">
        <v>629</v>
      </c>
    </row>
    <row r="187" customFormat="false" ht="15" hidden="false" customHeight="false" outlineLevel="0" collapsed="false">
      <c r="A187" s="2" t="s">
        <v>103</v>
      </c>
      <c r="B187" s="4" t="n">
        <v>1</v>
      </c>
      <c r="C187" s="2" t="s">
        <v>437</v>
      </c>
      <c r="D187" s="2" t="s">
        <v>375</v>
      </c>
      <c r="E187" s="2" t="s">
        <v>653</v>
      </c>
      <c r="F187" s="4" t="n">
        <v>1</v>
      </c>
      <c r="G187" s="6" t="n">
        <v>1</v>
      </c>
      <c r="H187" s="2" t="s">
        <v>629</v>
      </c>
    </row>
    <row r="188" customFormat="false" ht="15" hidden="false" customHeight="false" outlineLevel="0" collapsed="false">
      <c r="A188" s="2" t="s">
        <v>103</v>
      </c>
      <c r="B188" s="4" t="n">
        <v>2</v>
      </c>
      <c r="C188" s="2" t="s">
        <v>441</v>
      </c>
      <c r="D188" s="2" t="s">
        <v>380</v>
      </c>
      <c r="E188" s="2" t="s">
        <v>653</v>
      </c>
      <c r="F188" s="4" t="n">
        <v>1</v>
      </c>
      <c r="G188" s="6" t="n">
        <v>1</v>
      </c>
      <c r="H188" s="2" t="s">
        <v>629</v>
      </c>
    </row>
    <row r="189" customFormat="false" ht="15" hidden="false" customHeight="false" outlineLevel="0" collapsed="false">
      <c r="A189" s="2" t="s">
        <v>103</v>
      </c>
      <c r="B189" s="4" t="n">
        <v>3</v>
      </c>
      <c r="C189" s="2" t="s">
        <v>386</v>
      </c>
      <c r="D189" s="2" t="s">
        <v>413</v>
      </c>
      <c r="E189" s="2" t="s">
        <v>653</v>
      </c>
      <c r="F189" s="4" t="n">
        <v>1</v>
      </c>
      <c r="G189" s="6" t="n">
        <v>1</v>
      </c>
      <c r="H189" s="2" t="s">
        <v>629</v>
      </c>
    </row>
    <row r="190" customFormat="false" ht="15" hidden="false" customHeight="false" outlineLevel="0" collapsed="false">
      <c r="A190" s="2" t="s">
        <v>103</v>
      </c>
      <c r="B190" s="4" t="n">
        <v>3</v>
      </c>
      <c r="C190" s="2" t="s">
        <v>386</v>
      </c>
      <c r="D190" s="2" t="s">
        <v>383</v>
      </c>
      <c r="E190" s="2" t="s">
        <v>654</v>
      </c>
      <c r="F190" s="4" t="n">
        <v>1</v>
      </c>
      <c r="G190" s="6" t="n">
        <v>1.1</v>
      </c>
      <c r="H190" s="2" t="s">
        <v>82</v>
      </c>
    </row>
    <row r="191" customFormat="false" ht="15" hidden="false" customHeight="false" outlineLevel="0" collapsed="false">
      <c r="A191" s="2" t="s">
        <v>103</v>
      </c>
      <c r="B191" s="4" t="n">
        <v>4</v>
      </c>
      <c r="C191" s="2" t="s">
        <v>390</v>
      </c>
      <c r="D191" s="2" t="s">
        <v>387</v>
      </c>
      <c r="E191" s="2" t="s">
        <v>653</v>
      </c>
      <c r="F191" s="4" t="n">
        <v>1</v>
      </c>
      <c r="G191" s="6" t="n">
        <v>1</v>
      </c>
      <c r="H191" s="2" t="s">
        <v>629</v>
      </c>
    </row>
    <row r="192" customFormat="false" ht="15" hidden="false" customHeight="false" outlineLevel="0" collapsed="false">
      <c r="A192" s="2" t="s">
        <v>103</v>
      </c>
      <c r="B192" s="4" t="n">
        <v>5</v>
      </c>
      <c r="C192" s="2" t="s">
        <v>442</v>
      </c>
      <c r="D192" s="2" t="s">
        <v>415</v>
      </c>
      <c r="E192" s="2" t="s">
        <v>653</v>
      </c>
      <c r="F192" s="4" t="n">
        <v>1</v>
      </c>
      <c r="G192" s="6" t="n">
        <v>1</v>
      </c>
      <c r="H192" s="2" t="s">
        <v>629</v>
      </c>
    </row>
    <row r="193" customFormat="false" ht="15" hidden="false" customHeight="false" outlineLevel="0" collapsed="false">
      <c r="A193" s="2" t="s">
        <v>103</v>
      </c>
      <c r="B193" s="4" t="n">
        <v>5</v>
      </c>
      <c r="C193" s="2" t="s">
        <v>442</v>
      </c>
      <c r="D193" s="2" t="s">
        <v>391</v>
      </c>
      <c r="E193" s="2" t="s">
        <v>655</v>
      </c>
      <c r="F193" s="4" t="n">
        <v>1</v>
      </c>
      <c r="G193" s="6" t="n">
        <v>1</v>
      </c>
      <c r="H193" s="2" t="s">
        <v>82</v>
      </c>
    </row>
    <row r="194" customFormat="false" ht="15" hidden="false" customHeight="false" outlineLevel="0" collapsed="false">
      <c r="A194" s="2" t="s">
        <v>103</v>
      </c>
      <c r="B194" s="4" t="n">
        <v>6</v>
      </c>
      <c r="C194" s="2" t="s">
        <v>445</v>
      </c>
      <c r="D194" s="2" t="s">
        <v>402</v>
      </c>
      <c r="E194" s="2" t="s">
        <v>653</v>
      </c>
      <c r="F194" s="4" t="n">
        <v>1</v>
      </c>
      <c r="G194" s="6" t="n">
        <v>1</v>
      </c>
      <c r="H194" s="2" t="s">
        <v>629</v>
      </c>
    </row>
    <row r="195" customFormat="false" ht="15" hidden="false" customHeight="false" outlineLevel="0" collapsed="false">
      <c r="A195" s="2" t="s">
        <v>103</v>
      </c>
      <c r="B195" s="4" t="n">
        <v>7</v>
      </c>
      <c r="C195" s="2" t="s">
        <v>447</v>
      </c>
      <c r="D195" s="2" t="s">
        <v>421</v>
      </c>
      <c r="E195" s="2" t="s">
        <v>653</v>
      </c>
      <c r="F195" s="4" t="n">
        <v>1</v>
      </c>
      <c r="G195" s="6" t="n">
        <v>1</v>
      </c>
      <c r="H195" s="2" t="s">
        <v>629</v>
      </c>
    </row>
    <row r="196" customFormat="false" ht="15" hidden="false" customHeight="false" outlineLevel="0" collapsed="false">
      <c r="A196" s="2" t="s">
        <v>103</v>
      </c>
      <c r="B196" s="4" t="n">
        <v>8</v>
      </c>
      <c r="C196" s="2" t="s">
        <v>449</v>
      </c>
      <c r="D196" s="2" t="s">
        <v>423</v>
      </c>
      <c r="E196" s="2" t="s">
        <v>653</v>
      </c>
      <c r="F196" s="4" t="n">
        <v>1</v>
      </c>
      <c r="G196" s="6" t="n">
        <v>1</v>
      </c>
      <c r="H196" s="2" t="s">
        <v>629</v>
      </c>
    </row>
    <row r="197" customFormat="false" ht="15" hidden="false" customHeight="false" outlineLevel="0" collapsed="false">
      <c r="A197" s="2" t="s">
        <v>103</v>
      </c>
      <c r="B197" s="4" t="n">
        <v>9</v>
      </c>
      <c r="C197" s="2" t="s">
        <v>450</v>
      </c>
      <c r="D197" s="2" t="s">
        <v>406</v>
      </c>
      <c r="E197" s="2" t="s">
        <v>653</v>
      </c>
      <c r="F197" s="4" t="n">
        <v>1</v>
      </c>
      <c r="G197" s="6" t="n">
        <v>1</v>
      </c>
      <c r="H197" s="2" t="s">
        <v>629</v>
      </c>
    </row>
    <row r="198" customFormat="false" ht="15" hidden="false" customHeight="false" outlineLevel="0" collapsed="false">
      <c r="A198" s="2" t="s">
        <v>103</v>
      </c>
      <c r="B198" s="4" t="n">
        <v>10</v>
      </c>
      <c r="C198" s="2" t="s">
        <v>453</v>
      </c>
      <c r="D198" s="2" t="s">
        <v>406</v>
      </c>
      <c r="E198" s="2" t="s">
        <v>653</v>
      </c>
      <c r="F198" s="4" t="n">
        <v>1</v>
      </c>
      <c r="G198" s="6" t="n">
        <v>1</v>
      </c>
      <c r="H198" s="2" t="s">
        <v>629</v>
      </c>
    </row>
    <row r="199" customFormat="false" ht="15" hidden="false" customHeight="false" outlineLevel="0" collapsed="false">
      <c r="A199" s="2" t="s">
        <v>110</v>
      </c>
      <c r="B199" s="4" t="n">
        <v>1</v>
      </c>
      <c r="C199" s="2" t="s">
        <v>437</v>
      </c>
      <c r="D199" s="2" t="s">
        <v>375</v>
      </c>
      <c r="E199" s="2" t="s">
        <v>653</v>
      </c>
      <c r="F199" s="4" t="n">
        <v>1</v>
      </c>
      <c r="G199" s="6" t="n">
        <v>1</v>
      </c>
      <c r="H199" s="2" t="s">
        <v>629</v>
      </c>
    </row>
    <row r="200" customFormat="false" ht="15" hidden="false" customHeight="false" outlineLevel="0" collapsed="false">
      <c r="A200" s="2" t="s">
        <v>110</v>
      </c>
      <c r="B200" s="4" t="n">
        <v>2</v>
      </c>
      <c r="C200" s="2" t="s">
        <v>386</v>
      </c>
      <c r="D200" s="2" t="s">
        <v>413</v>
      </c>
      <c r="E200" s="2" t="s">
        <v>653</v>
      </c>
      <c r="F200" s="4" t="n">
        <v>1</v>
      </c>
      <c r="G200" s="6" t="n">
        <v>1</v>
      </c>
      <c r="H200" s="2" t="s">
        <v>629</v>
      </c>
    </row>
    <row r="201" customFormat="false" ht="15" hidden="false" customHeight="false" outlineLevel="0" collapsed="false">
      <c r="A201" s="2" t="s">
        <v>110</v>
      </c>
      <c r="B201" s="4" t="n">
        <v>2</v>
      </c>
      <c r="C201" s="2" t="s">
        <v>386</v>
      </c>
      <c r="D201" s="2" t="s">
        <v>383</v>
      </c>
      <c r="E201" s="2" t="s">
        <v>654</v>
      </c>
      <c r="F201" s="4" t="n">
        <v>1</v>
      </c>
      <c r="G201" s="6" t="n">
        <v>1.1</v>
      </c>
      <c r="H201" s="2" t="s">
        <v>82</v>
      </c>
    </row>
    <row r="202" customFormat="false" ht="15" hidden="false" customHeight="false" outlineLevel="0" collapsed="false">
      <c r="A202" s="2" t="s">
        <v>110</v>
      </c>
      <c r="B202" s="4" t="n">
        <v>3</v>
      </c>
      <c r="C202" s="2" t="s">
        <v>390</v>
      </c>
      <c r="D202" s="2" t="s">
        <v>387</v>
      </c>
      <c r="E202" s="2" t="s">
        <v>653</v>
      </c>
      <c r="F202" s="4" t="n">
        <v>1</v>
      </c>
      <c r="G202" s="6" t="n">
        <v>1</v>
      </c>
      <c r="H202" s="2" t="s">
        <v>629</v>
      </c>
    </row>
    <row r="203" customFormat="false" ht="15" hidden="false" customHeight="false" outlineLevel="0" collapsed="false">
      <c r="A203" s="2" t="s">
        <v>110</v>
      </c>
      <c r="B203" s="4" t="n">
        <v>4</v>
      </c>
      <c r="C203" s="2" t="s">
        <v>445</v>
      </c>
      <c r="D203" s="2" t="s">
        <v>402</v>
      </c>
      <c r="E203" s="2" t="s">
        <v>653</v>
      </c>
      <c r="F203" s="4" t="n">
        <v>1</v>
      </c>
      <c r="G203" s="6" t="n">
        <v>1</v>
      </c>
      <c r="H203" s="2" t="s">
        <v>629</v>
      </c>
    </row>
    <row r="204" customFormat="false" ht="15" hidden="false" customHeight="false" outlineLevel="0" collapsed="false">
      <c r="A204" s="2" t="s">
        <v>110</v>
      </c>
      <c r="B204" s="4" t="n">
        <v>5</v>
      </c>
      <c r="C204" s="2" t="s">
        <v>447</v>
      </c>
      <c r="D204" s="2" t="s">
        <v>421</v>
      </c>
      <c r="E204" s="2" t="s">
        <v>653</v>
      </c>
      <c r="F204" s="4" t="n">
        <v>1</v>
      </c>
      <c r="G204" s="6" t="n">
        <v>1</v>
      </c>
      <c r="H204" s="2" t="s">
        <v>629</v>
      </c>
    </row>
    <row r="205" customFormat="false" ht="15" hidden="false" customHeight="false" outlineLevel="0" collapsed="false">
      <c r="A205" s="2" t="s">
        <v>110</v>
      </c>
      <c r="B205" s="4" t="n">
        <v>6</v>
      </c>
      <c r="C205" s="2" t="s">
        <v>449</v>
      </c>
      <c r="D205" s="2" t="s">
        <v>423</v>
      </c>
      <c r="E205" s="2" t="s">
        <v>653</v>
      </c>
      <c r="F205" s="4" t="n">
        <v>1</v>
      </c>
      <c r="G205" s="6" t="n">
        <v>1</v>
      </c>
      <c r="H205" s="2" t="s">
        <v>629</v>
      </c>
    </row>
    <row r="206" customFormat="false" ht="15" hidden="false" customHeight="false" outlineLevel="0" collapsed="false">
      <c r="A206" s="2" t="s">
        <v>110</v>
      </c>
      <c r="B206" s="4" t="n">
        <v>7</v>
      </c>
      <c r="C206" s="2" t="s">
        <v>450</v>
      </c>
      <c r="D206" s="2" t="s">
        <v>406</v>
      </c>
      <c r="E206" s="2" t="s">
        <v>653</v>
      </c>
      <c r="F206" s="4" t="n">
        <v>1</v>
      </c>
      <c r="G206" s="6" t="n">
        <v>1</v>
      </c>
      <c r="H206" s="2" t="s">
        <v>629</v>
      </c>
    </row>
    <row r="207" customFormat="false" ht="15" hidden="false" customHeight="false" outlineLevel="0" collapsed="false">
      <c r="A207" s="2" t="s">
        <v>110</v>
      </c>
      <c r="B207" s="4" t="n">
        <v>8</v>
      </c>
      <c r="C207" s="2" t="s">
        <v>453</v>
      </c>
      <c r="D207" s="2" t="s">
        <v>406</v>
      </c>
      <c r="E207" s="2" t="s">
        <v>653</v>
      </c>
      <c r="F207" s="4" t="n">
        <v>1</v>
      </c>
      <c r="G207" s="6" t="n">
        <v>1</v>
      </c>
      <c r="H207" s="2" t="s">
        <v>629</v>
      </c>
    </row>
    <row r="208" customFormat="false" ht="15" hidden="false" customHeight="false" outlineLevel="0" collapsed="false">
      <c r="A208" s="2" t="s">
        <v>112</v>
      </c>
      <c r="B208" s="4" t="n">
        <v>1</v>
      </c>
      <c r="C208" s="2" t="s">
        <v>437</v>
      </c>
      <c r="D208" s="2" t="s">
        <v>375</v>
      </c>
      <c r="E208" s="2" t="s">
        <v>653</v>
      </c>
      <c r="F208" s="4" t="n">
        <v>1</v>
      </c>
      <c r="G208" s="6" t="n">
        <v>1</v>
      </c>
      <c r="H208" s="2" t="s">
        <v>629</v>
      </c>
    </row>
    <row r="209" customFormat="false" ht="15" hidden="false" customHeight="false" outlineLevel="0" collapsed="false">
      <c r="A209" s="2" t="s">
        <v>112</v>
      </c>
      <c r="B209" s="4" t="n">
        <v>2</v>
      </c>
      <c r="C209" s="2" t="s">
        <v>386</v>
      </c>
      <c r="D209" s="2" t="s">
        <v>413</v>
      </c>
      <c r="E209" s="2" t="s">
        <v>653</v>
      </c>
      <c r="F209" s="4" t="n">
        <v>1</v>
      </c>
      <c r="G209" s="6" t="n">
        <v>1</v>
      </c>
      <c r="H209" s="2" t="s">
        <v>629</v>
      </c>
    </row>
    <row r="210" customFormat="false" ht="15" hidden="false" customHeight="false" outlineLevel="0" collapsed="false">
      <c r="A210" s="2" t="s">
        <v>112</v>
      </c>
      <c r="B210" s="4" t="n">
        <v>2</v>
      </c>
      <c r="C210" s="2" t="s">
        <v>386</v>
      </c>
      <c r="D210" s="2" t="s">
        <v>383</v>
      </c>
      <c r="E210" s="2" t="s">
        <v>654</v>
      </c>
      <c r="F210" s="4" t="n">
        <v>1</v>
      </c>
      <c r="G210" s="6" t="n">
        <v>1.1</v>
      </c>
      <c r="H210" s="2" t="s">
        <v>82</v>
      </c>
    </row>
    <row r="211" customFormat="false" ht="15" hidden="false" customHeight="false" outlineLevel="0" collapsed="false">
      <c r="A211" s="2" t="s">
        <v>112</v>
      </c>
      <c r="B211" s="4" t="n">
        <v>3</v>
      </c>
      <c r="C211" s="2" t="s">
        <v>390</v>
      </c>
      <c r="D211" s="2" t="s">
        <v>387</v>
      </c>
      <c r="E211" s="2" t="s">
        <v>653</v>
      </c>
      <c r="F211" s="4" t="n">
        <v>1</v>
      </c>
      <c r="G211" s="6" t="n">
        <v>1</v>
      </c>
      <c r="H211" s="2" t="s">
        <v>629</v>
      </c>
    </row>
    <row r="212" customFormat="false" ht="15" hidden="false" customHeight="false" outlineLevel="0" collapsed="false">
      <c r="A212" s="2" t="s">
        <v>112</v>
      </c>
      <c r="B212" s="4" t="n">
        <v>4</v>
      </c>
      <c r="C212" s="2" t="s">
        <v>445</v>
      </c>
      <c r="D212" s="2" t="s">
        <v>402</v>
      </c>
      <c r="E212" s="2" t="s">
        <v>653</v>
      </c>
      <c r="F212" s="4" t="n">
        <v>1</v>
      </c>
      <c r="G212" s="6" t="n">
        <v>1</v>
      </c>
      <c r="H212" s="2" t="s">
        <v>629</v>
      </c>
    </row>
    <row r="213" customFormat="false" ht="15" hidden="false" customHeight="false" outlineLevel="0" collapsed="false">
      <c r="A213" s="2" t="s">
        <v>112</v>
      </c>
      <c r="B213" s="4" t="n">
        <v>5</v>
      </c>
      <c r="C213" s="2" t="s">
        <v>447</v>
      </c>
      <c r="D213" s="2" t="s">
        <v>421</v>
      </c>
      <c r="E213" s="2" t="s">
        <v>653</v>
      </c>
      <c r="F213" s="4" t="n">
        <v>1</v>
      </c>
      <c r="G213" s="6" t="n">
        <v>1</v>
      </c>
      <c r="H213" s="2" t="s">
        <v>629</v>
      </c>
    </row>
    <row r="214" customFormat="false" ht="15" hidden="false" customHeight="false" outlineLevel="0" collapsed="false">
      <c r="A214" s="2" t="s">
        <v>112</v>
      </c>
      <c r="B214" s="4" t="n">
        <v>6</v>
      </c>
      <c r="C214" s="2" t="s">
        <v>449</v>
      </c>
      <c r="D214" s="2" t="s">
        <v>423</v>
      </c>
      <c r="E214" s="2" t="s">
        <v>653</v>
      </c>
      <c r="F214" s="4" t="n">
        <v>1</v>
      </c>
      <c r="G214" s="6" t="n">
        <v>1</v>
      </c>
      <c r="H214" s="2" t="s">
        <v>629</v>
      </c>
    </row>
    <row r="215" customFormat="false" ht="15" hidden="false" customHeight="false" outlineLevel="0" collapsed="false">
      <c r="A215" s="2" t="s">
        <v>112</v>
      </c>
      <c r="B215" s="4" t="n">
        <v>7</v>
      </c>
      <c r="C215" s="2" t="s">
        <v>450</v>
      </c>
      <c r="D215" s="2" t="s">
        <v>406</v>
      </c>
      <c r="E215" s="2" t="s">
        <v>653</v>
      </c>
      <c r="F215" s="4" t="n">
        <v>1</v>
      </c>
      <c r="G215" s="6" t="n">
        <v>1</v>
      </c>
      <c r="H215" s="2" t="s">
        <v>629</v>
      </c>
    </row>
    <row r="216" customFormat="false" ht="15" hidden="false" customHeight="false" outlineLevel="0" collapsed="false">
      <c r="A216" s="2" t="s">
        <v>112</v>
      </c>
      <c r="B216" s="4" t="n">
        <v>8</v>
      </c>
      <c r="C216" s="2" t="s">
        <v>453</v>
      </c>
      <c r="D216" s="2" t="s">
        <v>406</v>
      </c>
      <c r="E216" s="2" t="s">
        <v>653</v>
      </c>
      <c r="F216" s="4" t="n">
        <v>1</v>
      </c>
      <c r="G216" s="6" t="n">
        <v>1</v>
      </c>
      <c r="H216" s="2" t="s">
        <v>629</v>
      </c>
    </row>
    <row r="217" customFormat="false" ht="15" hidden="false" customHeight="false" outlineLevel="0" collapsed="false">
      <c r="A217" s="2" t="s">
        <v>114</v>
      </c>
      <c r="B217" s="4" t="n">
        <v>1</v>
      </c>
      <c r="C217" s="2" t="s">
        <v>437</v>
      </c>
      <c r="D217" s="2" t="s">
        <v>375</v>
      </c>
      <c r="E217" s="2" t="s">
        <v>653</v>
      </c>
      <c r="F217" s="4" t="n">
        <v>1</v>
      </c>
      <c r="G217" s="6" t="n">
        <v>1</v>
      </c>
      <c r="H217" s="2" t="s">
        <v>629</v>
      </c>
    </row>
    <row r="218" customFormat="false" ht="15" hidden="false" customHeight="false" outlineLevel="0" collapsed="false">
      <c r="A218" s="2" t="s">
        <v>114</v>
      </c>
      <c r="B218" s="4" t="n">
        <v>2</v>
      </c>
      <c r="C218" s="2" t="s">
        <v>386</v>
      </c>
      <c r="D218" s="2" t="s">
        <v>413</v>
      </c>
      <c r="E218" s="2" t="s">
        <v>653</v>
      </c>
      <c r="F218" s="4" t="n">
        <v>1</v>
      </c>
      <c r="G218" s="6" t="n">
        <v>1</v>
      </c>
      <c r="H218" s="2" t="s">
        <v>629</v>
      </c>
    </row>
    <row r="219" customFormat="false" ht="15" hidden="false" customHeight="false" outlineLevel="0" collapsed="false">
      <c r="A219" s="2" t="s">
        <v>114</v>
      </c>
      <c r="B219" s="4" t="n">
        <v>2</v>
      </c>
      <c r="C219" s="2" t="s">
        <v>386</v>
      </c>
      <c r="D219" s="2" t="s">
        <v>383</v>
      </c>
      <c r="E219" s="2" t="s">
        <v>654</v>
      </c>
      <c r="F219" s="4" t="n">
        <v>1</v>
      </c>
      <c r="G219" s="6" t="n">
        <v>1.1</v>
      </c>
      <c r="H219" s="2" t="s">
        <v>82</v>
      </c>
    </row>
    <row r="220" customFormat="false" ht="15" hidden="false" customHeight="false" outlineLevel="0" collapsed="false">
      <c r="A220" s="2" t="s">
        <v>114</v>
      </c>
      <c r="B220" s="4" t="n">
        <v>3</v>
      </c>
      <c r="C220" s="2" t="s">
        <v>390</v>
      </c>
      <c r="D220" s="2" t="s">
        <v>387</v>
      </c>
      <c r="E220" s="2" t="s">
        <v>653</v>
      </c>
      <c r="F220" s="4" t="n">
        <v>1</v>
      </c>
      <c r="G220" s="6" t="n">
        <v>1</v>
      </c>
      <c r="H220" s="2" t="s">
        <v>629</v>
      </c>
    </row>
    <row r="221" customFormat="false" ht="15" hidden="false" customHeight="false" outlineLevel="0" collapsed="false">
      <c r="A221" s="2" t="s">
        <v>114</v>
      </c>
      <c r="B221" s="4" t="n">
        <v>4</v>
      </c>
      <c r="C221" s="2" t="s">
        <v>445</v>
      </c>
      <c r="D221" s="2" t="s">
        <v>402</v>
      </c>
      <c r="E221" s="2" t="s">
        <v>653</v>
      </c>
      <c r="F221" s="4" t="n">
        <v>1</v>
      </c>
      <c r="G221" s="6" t="n">
        <v>1</v>
      </c>
      <c r="H221" s="2" t="s">
        <v>629</v>
      </c>
    </row>
    <row r="222" customFormat="false" ht="15" hidden="false" customHeight="false" outlineLevel="0" collapsed="false">
      <c r="A222" s="2" t="s">
        <v>114</v>
      </c>
      <c r="B222" s="4" t="n">
        <v>5</v>
      </c>
      <c r="C222" s="2" t="s">
        <v>447</v>
      </c>
      <c r="D222" s="2" t="s">
        <v>421</v>
      </c>
      <c r="E222" s="2" t="s">
        <v>653</v>
      </c>
      <c r="F222" s="4" t="n">
        <v>1</v>
      </c>
      <c r="G222" s="6" t="n">
        <v>1</v>
      </c>
      <c r="H222" s="2" t="s">
        <v>629</v>
      </c>
    </row>
    <row r="223" customFormat="false" ht="15" hidden="false" customHeight="false" outlineLevel="0" collapsed="false">
      <c r="A223" s="2" t="s">
        <v>114</v>
      </c>
      <c r="B223" s="4" t="n">
        <v>6</v>
      </c>
      <c r="C223" s="2" t="s">
        <v>449</v>
      </c>
      <c r="D223" s="2" t="s">
        <v>423</v>
      </c>
      <c r="E223" s="2" t="s">
        <v>653</v>
      </c>
      <c r="F223" s="4" t="n">
        <v>1</v>
      </c>
      <c r="G223" s="6" t="n">
        <v>1</v>
      </c>
      <c r="H223" s="2" t="s">
        <v>629</v>
      </c>
    </row>
    <row r="224" customFormat="false" ht="15" hidden="false" customHeight="false" outlineLevel="0" collapsed="false">
      <c r="A224" s="2" t="s">
        <v>114</v>
      </c>
      <c r="B224" s="4" t="n">
        <v>7</v>
      </c>
      <c r="C224" s="2" t="s">
        <v>450</v>
      </c>
      <c r="D224" s="2" t="s">
        <v>406</v>
      </c>
      <c r="E224" s="2" t="s">
        <v>653</v>
      </c>
      <c r="F224" s="4" t="n">
        <v>1</v>
      </c>
      <c r="G224" s="6" t="n">
        <v>1</v>
      </c>
      <c r="H224" s="2" t="s">
        <v>629</v>
      </c>
    </row>
    <row r="225" customFormat="false" ht="15" hidden="false" customHeight="false" outlineLevel="0" collapsed="false">
      <c r="A225" s="2" t="s">
        <v>114</v>
      </c>
      <c r="B225" s="4" t="n">
        <v>8</v>
      </c>
      <c r="C225" s="2" t="s">
        <v>453</v>
      </c>
      <c r="D225" s="2" t="s">
        <v>406</v>
      </c>
      <c r="E225" s="2" t="s">
        <v>653</v>
      </c>
      <c r="F225" s="4" t="n">
        <v>1</v>
      </c>
      <c r="G225" s="6" t="n">
        <v>1</v>
      </c>
      <c r="H225" s="2" t="s">
        <v>629</v>
      </c>
    </row>
    <row r="226" customFormat="false" ht="15" hidden="false" customHeight="false" outlineLevel="0" collapsed="false">
      <c r="A226" s="2" t="s">
        <v>116</v>
      </c>
      <c r="B226" s="4" t="n">
        <v>1</v>
      </c>
      <c r="C226" s="2" t="s">
        <v>437</v>
      </c>
      <c r="D226" s="2" t="s">
        <v>375</v>
      </c>
      <c r="E226" s="2" t="s">
        <v>653</v>
      </c>
      <c r="F226" s="4" t="n">
        <v>1</v>
      </c>
      <c r="G226" s="6" t="n">
        <v>1</v>
      </c>
      <c r="H226" s="2" t="s">
        <v>629</v>
      </c>
    </row>
    <row r="227" customFormat="false" ht="15" hidden="false" customHeight="false" outlineLevel="0" collapsed="false">
      <c r="A227" s="2" t="s">
        <v>116</v>
      </c>
      <c r="B227" s="4" t="n">
        <v>2</v>
      </c>
      <c r="C227" s="2" t="s">
        <v>386</v>
      </c>
      <c r="D227" s="2" t="s">
        <v>413</v>
      </c>
      <c r="E227" s="2" t="s">
        <v>653</v>
      </c>
      <c r="F227" s="4" t="n">
        <v>1</v>
      </c>
      <c r="G227" s="6" t="n">
        <v>1</v>
      </c>
      <c r="H227" s="2" t="s">
        <v>629</v>
      </c>
    </row>
    <row r="228" customFormat="false" ht="15" hidden="false" customHeight="false" outlineLevel="0" collapsed="false">
      <c r="A228" s="2" t="s">
        <v>116</v>
      </c>
      <c r="B228" s="4" t="n">
        <v>2</v>
      </c>
      <c r="C228" s="2" t="s">
        <v>386</v>
      </c>
      <c r="D228" s="2" t="s">
        <v>383</v>
      </c>
      <c r="E228" s="2" t="s">
        <v>654</v>
      </c>
      <c r="F228" s="4" t="n">
        <v>1</v>
      </c>
      <c r="G228" s="6" t="n">
        <v>1.1</v>
      </c>
      <c r="H228" s="2" t="s">
        <v>82</v>
      </c>
    </row>
    <row r="229" customFormat="false" ht="15" hidden="false" customHeight="false" outlineLevel="0" collapsed="false">
      <c r="A229" s="2" t="s">
        <v>116</v>
      </c>
      <c r="B229" s="4" t="n">
        <v>3</v>
      </c>
      <c r="C229" s="2" t="s">
        <v>390</v>
      </c>
      <c r="D229" s="2" t="s">
        <v>387</v>
      </c>
      <c r="E229" s="2" t="s">
        <v>653</v>
      </c>
      <c r="F229" s="4" t="n">
        <v>1</v>
      </c>
      <c r="G229" s="6" t="n">
        <v>1</v>
      </c>
      <c r="H229" s="2" t="s">
        <v>629</v>
      </c>
    </row>
    <row r="230" customFormat="false" ht="15" hidden="false" customHeight="false" outlineLevel="0" collapsed="false">
      <c r="A230" s="2" t="s">
        <v>116</v>
      </c>
      <c r="B230" s="4" t="n">
        <v>4</v>
      </c>
      <c r="C230" s="2" t="s">
        <v>445</v>
      </c>
      <c r="D230" s="2" t="s">
        <v>402</v>
      </c>
      <c r="E230" s="2" t="s">
        <v>653</v>
      </c>
      <c r="F230" s="4" t="n">
        <v>1</v>
      </c>
      <c r="G230" s="6" t="n">
        <v>1</v>
      </c>
      <c r="H230" s="2" t="s">
        <v>629</v>
      </c>
    </row>
    <row r="231" customFormat="false" ht="15" hidden="false" customHeight="false" outlineLevel="0" collapsed="false">
      <c r="A231" s="2" t="s">
        <v>116</v>
      </c>
      <c r="B231" s="4" t="n">
        <v>5</v>
      </c>
      <c r="C231" s="2" t="s">
        <v>447</v>
      </c>
      <c r="D231" s="2" t="s">
        <v>421</v>
      </c>
      <c r="E231" s="2" t="s">
        <v>653</v>
      </c>
      <c r="F231" s="4" t="n">
        <v>1</v>
      </c>
      <c r="G231" s="6" t="n">
        <v>1</v>
      </c>
      <c r="H231" s="2" t="s">
        <v>629</v>
      </c>
    </row>
    <row r="232" customFormat="false" ht="15" hidden="false" customHeight="false" outlineLevel="0" collapsed="false">
      <c r="A232" s="2" t="s">
        <v>116</v>
      </c>
      <c r="B232" s="4" t="n">
        <v>6</v>
      </c>
      <c r="C232" s="2" t="s">
        <v>449</v>
      </c>
      <c r="D232" s="2" t="s">
        <v>423</v>
      </c>
      <c r="E232" s="2" t="s">
        <v>653</v>
      </c>
      <c r="F232" s="4" t="n">
        <v>1</v>
      </c>
      <c r="G232" s="6" t="n">
        <v>1</v>
      </c>
      <c r="H232" s="2" t="s">
        <v>629</v>
      </c>
    </row>
    <row r="233" customFormat="false" ht="15" hidden="false" customHeight="false" outlineLevel="0" collapsed="false">
      <c r="A233" s="2" t="s">
        <v>116</v>
      </c>
      <c r="B233" s="4" t="n">
        <v>7</v>
      </c>
      <c r="C233" s="2" t="s">
        <v>450</v>
      </c>
      <c r="D233" s="2" t="s">
        <v>406</v>
      </c>
      <c r="E233" s="2" t="s">
        <v>653</v>
      </c>
      <c r="F233" s="4" t="n">
        <v>1</v>
      </c>
      <c r="G233" s="6" t="n">
        <v>1</v>
      </c>
      <c r="H233" s="2" t="s">
        <v>629</v>
      </c>
    </row>
    <row r="234" customFormat="false" ht="15" hidden="false" customHeight="false" outlineLevel="0" collapsed="false">
      <c r="A234" s="2" t="s">
        <v>116</v>
      </c>
      <c r="B234" s="4" t="n">
        <v>8</v>
      </c>
      <c r="C234" s="2" t="s">
        <v>453</v>
      </c>
      <c r="D234" s="2" t="s">
        <v>406</v>
      </c>
      <c r="E234" s="2" t="s">
        <v>653</v>
      </c>
      <c r="F234" s="4" t="n">
        <v>1</v>
      </c>
      <c r="G234" s="6" t="n">
        <v>1</v>
      </c>
      <c r="H234" s="2" t="s">
        <v>629</v>
      </c>
    </row>
    <row r="235" customFormat="false" ht="15" hidden="false" customHeight="false" outlineLevel="0" collapsed="false">
      <c r="A235" s="2" t="s">
        <v>122</v>
      </c>
      <c r="B235" s="4" t="n">
        <v>1</v>
      </c>
      <c r="C235" s="2" t="s">
        <v>441</v>
      </c>
      <c r="D235" s="2" t="s">
        <v>380</v>
      </c>
      <c r="E235" s="2" t="s">
        <v>653</v>
      </c>
      <c r="F235" s="4" t="n">
        <v>1</v>
      </c>
      <c r="G235" s="6" t="n">
        <v>1</v>
      </c>
      <c r="H235" s="2" t="s">
        <v>629</v>
      </c>
    </row>
    <row r="236" customFormat="false" ht="15" hidden="false" customHeight="false" outlineLevel="0" collapsed="false">
      <c r="A236" s="2" t="s">
        <v>122</v>
      </c>
      <c r="B236" s="4" t="n">
        <v>2</v>
      </c>
      <c r="C236" s="2" t="s">
        <v>386</v>
      </c>
      <c r="D236" s="2" t="s">
        <v>413</v>
      </c>
      <c r="E236" s="2" t="s">
        <v>653</v>
      </c>
      <c r="F236" s="4" t="n">
        <v>1</v>
      </c>
      <c r="G236" s="6" t="n">
        <v>1</v>
      </c>
      <c r="H236" s="2" t="s">
        <v>629</v>
      </c>
    </row>
    <row r="237" customFormat="false" ht="15" hidden="false" customHeight="false" outlineLevel="0" collapsed="false">
      <c r="A237" s="2" t="s">
        <v>122</v>
      </c>
      <c r="B237" s="4" t="n">
        <v>2</v>
      </c>
      <c r="C237" s="2" t="s">
        <v>386</v>
      </c>
      <c r="D237" s="2" t="s">
        <v>383</v>
      </c>
      <c r="E237" s="2" t="s">
        <v>654</v>
      </c>
      <c r="F237" s="4" t="n">
        <v>1</v>
      </c>
      <c r="G237" s="6" t="n">
        <v>1.1</v>
      </c>
      <c r="H237" s="2" t="s">
        <v>82</v>
      </c>
    </row>
    <row r="238" customFormat="false" ht="15" hidden="false" customHeight="false" outlineLevel="0" collapsed="false">
      <c r="A238" s="2" t="s">
        <v>122</v>
      </c>
      <c r="B238" s="4" t="n">
        <v>3</v>
      </c>
      <c r="C238" s="2" t="s">
        <v>442</v>
      </c>
      <c r="D238" s="2" t="s">
        <v>415</v>
      </c>
      <c r="E238" s="2" t="s">
        <v>653</v>
      </c>
      <c r="F238" s="4" t="n">
        <v>1</v>
      </c>
      <c r="G238" s="6" t="n">
        <v>1</v>
      </c>
      <c r="H238" s="2" t="s">
        <v>629</v>
      </c>
    </row>
    <row r="239" customFormat="false" ht="15" hidden="false" customHeight="false" outlineLevel="0" collapsed="false">
      <c r="A239" s="2" t="s">
        <v>122</v>
      </c>
      <c r="B239" s="4" t="n">
        <v>3</v>
      </c>
      <c r="C239" s="2" t="s">
        <v>442</v>
      </c>
      <c r="D239" s="2" t="s">
        <v>391</v>
      </c>
      <c r="E239" s="2" t="s">
        <v>655</v>
      </c>
      <c r="F239" s="4" t="n">
        <v>1</v>
      </c>
      <c r="G239" s="6" t="n">
        <v>1</v>
      </c>
      <c r="H239" s="2" t="s">
        <v>82</v>
      </c>
    </row>
    <row r="240" customFormat="false" ht="15" hidden="false" customHeight="false" outlineLevel="0" collapsed="false">
      <c r="A240" s="2" t="s">
        <v>122</v>
      </c>
      <c r="B240" s="4" t="n">
        <v>4</v>
      </c>
      <c r="C240" s="2" t="s">
        <v>445</v>
      </c>
      <c r="D240" s="2" t="s">
        <v>402</v>
      </c>
      <c r="E240" s="2" t="s">
        <v>653</v>
      </c>
      <c r="F240" s="4" t="n">
        <v>1</v>
      </c>
      <c r="G240" s="6" t="n">
        <v>1</v>
      </c>
      <c r="H240" s="2" t="s">
        <v>629</v>
      </c>
    </row>
    <row r="241" customFormat="false" ht="15" hidden="false" customHeight="false" outlineLevel="0" collapsed="false">
      <c r="A241" s="2" t="s">
        <v>122</v>
      </c>
      <c r="B241" s="4" t="n">
        <v>5</v>
      </c>
      <c r="C241" s="2" t="s">
        <v>447</v>
      </c>
      <c r="D241" s="2" t="s">
        <v>421</v>
      </c>
      <c r="E241" s="2" t="s">
        <v>653</v>
      </c>
      <c r="F241" s="4" t="n">
        <v>1</v>
      </c>
      <c r="G241" s="6" t="n">
        <v>1</v>
      </c>
      <c r="H241" s="2" t="s">
        <v>629</v>
      </c>
    </row>
    <row r="242" customFormat="false" ht="15" hidden="false" customHeight="false" outlineLevel="0" collapsed="false">
      <c r="A242" s="2" t="s">
        <v>122</v>
      </c>
      <c r="B242" s="4" t="n">
        <v>6</v>
      </c>
      <c r="C242" s="2" t="s">
        <v>449</v>
      </c>
      <c r="D242" s="2" t="s">
        <v>423</v>
      </c>
      <c r="E242" s="2" t="s">
        <v>653</v>
      </c>
      <c r="F242" s="4" t="n">
        <v>1</v>
      </c>
      <c r="G242" s="6" t="n">
        <v>1</v>
      </c>
      <c r="H242" s="2" t="s">
        <v>629</v>
      </c>
    </row>
    <row r="243" customFormat="false" ht="15" hidden="false" customHeight="false" outlineLevel="0" collapsed="false">
      <c r="A243" s="2" t="s">
        <v>122</v>
      </c>
      <c r="B243" s="4" t="n">
        <v>7</v>
      </c>
      <c r="C243" s="2" t="s">
        <v>450</v>
      </c>
      <c r="D243" s="2" t="s">
        <v>406</v>
      </c>
      <c r="E243" s="2" t="s">
        <v>653</v>
      </c>
      <c r="F243" s="4" t="n">
        <v>1</v>
      </c>
      <c r="G243" s="6" t="n">
        <v>1</v>
      </c>
      <c r="H243" s="2" t="s">
        <v>629</v>
      </c>
    </row>
    <row r="244" customFormat="false" ht="15" hidden="false" customHeight="false" outlineLevel="0" collapsed="false">
      <c r="A244" s="2" t="s">
        <v>122</v>
      </c>
      <c r="B244" s="4" t="n">
        <v>8</v>
      </c>
      <c r="C244" s="2" t="s">
        <v>453</v>
      </c>
      <c r="D244" s="2" t="s">
        <v>406</v>
      </c>
      <c r="E244" s="2" t="s">
        <v>653</v>
      </c>
      <c r="F244" s="4" t="n">
        <v>1</v>
      </c>
      <c r="G244" s="6" t="n">
        <v>1</v>
      </c>
      <c r="H244" s="2" t="s">
        <v>629</v>
      </c>
    </row>
    <row r="245" customFormat="false" ht="15" hidden="false" customHeight="false" outlineLevel="0" collapsed="false">
      <c r="A245" s="2" t="s">
        <v>124</v>
      </c>
      <c r="B245" s="4" t="n">
        <v>1</v>
      </c>
      <c r="C245" s="2" t="s">
        <v>450</v>
      </c>
      <c r="D245" s="2" t="s">
        <v>406</v>
      </c>
      <c r="E245" s="2" t="s">
        <v>653</v>
      </c>
      <c r="F245" s="4" t="n">
        <v>1</v>
      </c>
      <c r="G245" s="6" t="n">
        <v>1</v>
      </c>
      <c r="H245" s="2" t="s">
        <v>629</v>
      </c>
    </row>
    <row r="246" customFormat="false" ht="15" hidden="false" customHeight="false" outlineLevel="0" collapsed="false">
      <c r="A246" s="2" t="s">
        <v>124</v>
      </c>
      <c r="B246" s="4" t="n">
        <v>2</v>
      </c>
      <c r="C246" s="2" t="s">
        <v>453</v>
      </c>
      <c r="D246" s="2" t="s">
        <v>406</v>
      </c>
      <c r="E246" s="2" t="s">
        <v>653</v>
      </c>
      <c r="F246" s="4" t="n">
        <v>1</v>
      </c>
      <c r="G246" s="6" t="n">
        <v>1</v>
      </c>
      <c r="H246" s="2" t="s">
        <v>629</v>
      </c>
    </row>
    <row r="247" customFormat="false" ht="15" hidden="false" customHeight="false" outlineLevel="0" collapsed="false">
      <c r="A247" s="2" t="s">
        <v>125</v>
      </c>
      <c r="B247" s="4" t="n">
        <v>1</v>
      </c>
      <c r="C247" s="2" t="s">
        <v>437</v>
      </c>
      <c r="D247" s="2" t="s">
        <v>375</v>
      </c>
      <c r="E247" s="2" t="s">
        <v>653</v>
      </c>
      <c r="F247" s="4" t="n">
        <v>1</v>
      </c>
      <c r="G247" s="6" t="n">
        <v>1</v>
      </c>
      <c r="H247" s="2" t="s">
        <v>629</v>
      </c>
    </row>
    <row r="248" customFormat="false" ht="15" hidden="false" customHeight="false" outlineLevel="0" collapsed="false">
      <c r="A248" s="2" t="s">
        <v>125</v>
      </c>
      <c r="B248" s="4" t="n">
        <v>2</v>
      </c>
      <c r="C248" s="2" t="s">
        <v>386</v>
      </c>
      <c r="D248" s="2" t="s">
        <v>413</v>
      </c>
      <c r="E248" s="2" t="s">
        <v>653</v>
      </c>
      <c r="F248" s="4" t="n">
        <v>1</v>
      </c>
      <c r="G248" s="6" t="n">
        <v>1</v>
      </c>
      <c r="H248" s="2" t="s">
        <v>629</v>
      </c>
    </row>
    <row r="249" customFormat="false" ht="15" hidden="false" customHeight="false" outlineLevel="0" collapsed="false">
      <c r="A249" s="2" t="s">
        <v>125</v>
      </c>
      <c r="B249" s="4" t="n">
        <v>2</v>
      </c>
      <c r="C249" s="2" t="s">
        <v>386</v>
      </c>
      <c r="D249" s="2" t="s">
        <v>383</v>
      </c>
      <c r="E249" s="2" t="s">
        <v>654</v>
      </c>
      <c r="F249" s="4" t="n">
        <v>1</v>
      </c>
      <c r="G249" s="6" t="n">
        <v>1.1</v>
      </c>
      <c r="H249" s="2" t="s">
        <v>82</v>
      </c>
    </row>
    <row r="250" customFormat="false" ht="15" hidden="false" customHeight="false" outlineLevel="0" collapsed="false">
      <c r="A250" s="2" t="s">
        <v>125</v>
      </c>
      <c r="B250" s="4" t="n">
        <v>3</v>
      </c>
      <c r="C250" s="2" t="s">
        <v>390</v>
      </c>
      <c r="D250" s="2" t="s">
        <v>387</v>
      </c>
      <c r="E250" s="2" t="s">
        <v>653</v>
      </c>
      <c r="F250" s="4" t="n">
        <v>1</v>
      </c>
      <c r="G250" s="6" t="n">
        <v>1</v>
      </c>
      <c r="H250" s="2" t="s">
        <v>629</v>
      </c>
    </row>
    <row r="251" customFormat="false" ht="15" hidden="false" customHeight="false" outlineLevel="0" collapsed="false">
      <c r="A251" s="2" t="s">
        <v>125</v>
      </c>
      <c r="B251" s="4" t="n">
        <v>4</v>
      </c>
      <c r="C251" s="2" t="s">
        <v>445</v>
      </c>
      <c r="D251" s="2" t="s">
        <v>402</v>
      </c>
      <c r="E251" s="2" t="s">
        <v>653</v>
      </c>
      <c r="F251" s="4" t="n">
        <v>1</v>
      </c>
      <c r="G251" s="6" t="n">
        <v>1</v>
      </c>
      <c r="H251" s="2" t="s">
        <v>629</v>
      </c>
    </row>
    <row r="252" customFormat="false" ht="15" hidden="false" customHeight="false" outlineLevel="0" collapsed="false">
      <c r="A252" s="2" t="s">
        <v>125</v>
      </c>
      <c r="B252" s="4" t="n">
        <v>5</v>
      </c>
      <c r="C252" s="2" t="s">
        <v>447</v>
      </c>
      <c r="D252" s="2" t="s">
        <v>421</v>
      </c>
      <c r="E252" s="2" t="s">
        <v>653</v>
      </c>
      <c r="F252" s="4" t="n">
        <v>1</v>
      </c>
      <c r="G252" s="6" t="n">
        <v>1</v>
      </c>
      <c r="H252" s="2" t="s">
        <v>629</v>
      </c>
    </row>
    <row r="253" customFormat="false" ht="15" hidden="false" customHeight="false" outlineLevel="0" collapsed="false">
      <c r="A253" s="2" t="s">
        <v>125</v>
      </c>
      <c r="B253" s="4" t="n">
        <v>6</v>
      </c>
      <c r="C253" s="2" t="s">
        <v>449</v>
      </c>
      <c r="D253" s="2" t="s">
        <v>423</v>
      </c>
      <c r="E253" s="2" t="s">
        <v>653</v>
      </c>
      <c r="F253" s="4" t="n">
        <v>1</v>
      </c>
      <c r="G253" s="6" t="n">
        <v>1</v>
      </c>
      <c r="H253" s="2" t="s">
        <v>629</v>
      </c>
    </row>
    <row r="254" customFormat="false" ht="15" hidden="false" customHeight="false" outlineLevel="0" collapsed="false">
      <c r="A254" s="2" t="s">
        <v>125</v>
      </c>
      <c r="B254" s="4" t="n">
        <v>7</v>
      </c>
      <c r="C254" s="2" t="s">
        <v>450</v>
      </c>
      <c r="D254" s="2" t="s">
        <v>406</v>
      </c>
      <c r="E254" s="2" t="s">
        <v>653</v>
      </c>
      <c r="F254" s="4" t="n">
        <v>1</v>
      </c>
      <c r="G254" s="6" t="n">
        <v>1</v>
      </c>
      <c r="H254" s="2" t="s">
        <v>629</v>
      </c>
    </row>
    <row r="255" customFormat="false" ht="15" hidden="false" customHeight="false" outlineLevel="0" collapsed="false">
      <c r="A255" s="2" t="s">
        <v>125</v>
      </c>
      <c r="B255" s="4" t="n">
        <v>8</v>
      </c>
      <c r="C255" s="2" t="s">
        <v>453</v>
      </c>
      <c r="D255" s="2" t="s">
        <v>406</v>
      </c>
      <c r="E255" s="2" t="s">
        <v>653</v>
      </c>
      <c r="F255" s="4" t="n">
        <v>1</v>
      </c>
      <c r="G255" s="6" t="n">
        <v>1</v>
      </c>
      <c r="H255" s="2" t="s">
        <v>629</v>
      </c>
    </row>
    <row r="256" customFormat="false" ht="15" hidden="false" customHeight="false" outlineLevel="0" collapsed="false">
      <c r="A256" s="2" t="s">
        <v>127</v>
      </c>
      <c r="B256" s="4" t="n">
        <v>1</v>
      </c>
      <c r="C256" s="2" t="s">
        <v>437</v>
      </c>
      <c r="D256" s="2" t="s">
        <v>375</v>
      </c>
      <c r="E256" s="2" t="s">
        <v>653</v>
      </c>
      <c r="F256" s="4" t="n">
        <v>1</v>
      </c>
      <c r="G256" s="6" t="n">
        <v>1</v>
      </c>
      <c r="H256" s="2" t="s">
        <v>629</v>
      </c>
    </row>
    <row r="257" customFormat="false" ht="15" hidden="false" customHeight="false" outlineLevel="0" collapsed="false">
      <c r="A257" s="2" t="s">
        <v>127</v>
      </c>
      <c r="B257" s="4" t="n">
        <v>2</v>
      </c>
      <c r="C257" s="2" t="s">
        <v>386</v>
      </c>
      <c r="D257" s="2" t="s">
        <v>413</v>
      </c>
      <c r="E257" s="2" t="s">
        <v>653</v>
      </c>
      <c r="F257" s="4" t="n">
        <v>1</v>
      </c>
      <c r="G257" s="6" t="n">
        <v>1</v>
      </c>
      <c r="H257" s="2" t="s">
        <v>629</v>
      </c>
    </row>
    <row r="258" customFormat="false" ht="15" hidden="false" customHeight="false" outlineLevel="0" collapsed="false">
      <c r="A258" s="2" t="s">
        <v>127</v>
      </c>
      <c r="B258" s="4" t="n">
        <v>2</v>
      </c>
      <c r="C258" s="2" t="s">
        <v>386</v>
      </c>
      <c r="D258" s="2" t="s">
        <v>383</v>
      </c>
      <c r="E258" s="2" t="s">
        <v>654</v>
      </c>
      <c r="F258" s="4" t="n">
        <v>1</v>
      </c>
      <c r="G258" s="6" t="n">
        <v>1.1</v>
      </c>
      <c r="H258" s="2" t="s">
        <v>82</v>
      </c>
    </row>
    <row r="259" customFormat="false" ht="15" hidden="false" customHeight="false" outlineLevel="0" collapsed="false">
      <c r="A259" s="2" t="s">
        <v>127</v>
      </c>
      <c r="B259" s="4" t="n">
        <v>3</v>
      </c>
      <c r="C259" s="2" t="s">
        <v>390</v>
      </c>
      <c r="D259" s="2" t="s">
        <v>387</v>
      </c>
      <c r="E259" s="2" t="s">
        <v>653</v>
      </c>
      <c r="F259" s="4" t="n">
        <v>1</v>
      </c>
      <c r="G259" s="6" t="n">
        <v>1</v>
      </c>
      <c r="H259" s="2" t="s">
        <v>629</v>
      </c>
    </row>
    <row r="260" customFormat="false" ht="15" hidden="false" customHeight="false" outlineLevel="0" collapsed="false">
      <c r="A260" s="2" t="s">
        <v>127</v>
      </c>
      <c r="B260" s="4" t="n">
        <v>4</v>
      </c>
      <c r="C260" s="2" t="s">
        <v>445</v>
      </c>
      <c r="D260" s="2" t="s">
        <v>402</v>
      </c>
      <c r="E260" s="2" t="s">
        <v>653</v>
      </c>
      <c r="F260" s="4" t="n">
        <v>1</v>
      </c>
      <c r="G260" s="6" t="n">
        <v>1</v>
      </c>
      <c r="H260" s="2" t="s">
        <v>629</v>
      </c>
    </row>
    <row r="261" customFormat="false" ht="15" hidden="false" customHeight="false" outlineLevel="0" collapsed="false">
      <c r="A261" s="2" t="s">
        <v>127</v>
      </c>
      <c r="B261" s="4" t="n">
        <v>5</v>
      </c>
      <c r="C261" s="2" t="s">
        <v>447</v>
      </c>
      <c r="D261" s="2" t="s">
        <v>421</v>
      </c>
      <c r="E261" s="2" t="s">
        <v>653</v>
      </c>
      <c r="F261" s="4" t="n">
        <v>1</v>
      </c>
      <c r="G261" s="6" t="n">
        <v>1</v>
      </c>
      <c r="H261" s="2" t="s">
        <v>629</v>
      </c>
    </row>
    <row r="262" customFormat="false" ht="15" hidden="false" customHeight="false" outlineLevel="0" collapsed="false">
      <c r="A262" s="2" t="s">
        <v>127</v>
      </c>
      <c r="B262" s="4" t="n">
        <v>6</v>
      </c>
      <c r="C262" s="2" t="s">
        <v>449</v>
      </c>
      <c r="D262" s="2" t="s">
        <v>423</v>
      </c>
      <c r="E262" s="2" t="s">
        <v>653</v>
      </c>
      <c r="F262" s="4" t="n">
        <v>1</v>
      </c>
      <c r="G262" s="6" t="n">
        <v>1</v>
      </c>
      <c r="H262" s="2" t="s">
        <v>629</v>
      </c>
    </row>
    <row r="263" customFormat="false" ht="15" hidden="false" customHeight="false" outlineLevel="0" collapsed="false">
      <c r="A263" s="2" t="s">
        <v>127</v>
      </c>
      <c r="B263" s="4" t="n">
        <v>7</v>
      </c>
      <c r="C263" s="2" t="s">
        <v>450</v>
      </c>
      <c r="D263" s="2" t="s">
        <v>406</v>
      </c>
      <c r="E263" s="2" t="s">
        <v>653</v>
      </c>
      <c r="F263" s="4" t="n">
        <v>1</v>
      </c>
      <c r="G263" s="6" t="n">
        <v>1</v>
      </c>
      <c r="H263" s="2" t="s">
        <v>629</v>
      </c>
    </row>
    <row r="264" customFormat="false" ht="15" hidden="false" customHeight="false" outlineLevel="0" collapsed="false">
      <c r="A264" s="2" t="s">
        <v>127</v>
      </c>
      <c r="B264" s="4" t="n">
        <v>8</v>
      </c>
      <c r="C264" s="2" t="s">
        <v>453</v>
      </c>
      <c r="D264" s="2" t="s">
        <v>406</v>
      </c>
      <c r="E264" s="2" t="s">
        <v>653</v>
      </c>
      <c r="F264" s="4" t="n">
        <v>1</v>
      </c>
      <c r="G264" s="6" t="n">
        <v>1</v>
      </c>
      <c r="H264" s="2" t="s">
        <v>629</v>
      </c>
    </row>
    <row r="265" customFormat="false" ht="15" hidden="false" customHeight="false" outlineLevel="0" collapsed="false">
      <c r="A265" s="2" t="s">
        <v>128</v>
      </c>
      <c r="B265" s="4" t="n">
        <v>1</v>
      </c>
      <c r="C265" s="2" t="s">
        <v>437</v>
      </c>
      <c r="D265" s="2" t="s">
        <v>375</v>
      </c>
      <c r="E265" s="2" t="s">
        <v>653</v>
      </c>
      <c r="F265" s="4" t="n">
        <v>1</v>
      </c>
      <c r="G265" s="6" t="n">
        <v>1</v>
      </c>
      <c r="H265" s="2" t="s">
        <v>629</v>
      </c>
    </row>
    <row r="266" customFormat="false" ht="15" hidden="false" customHeight="false" outlineLevel="0" collapsed="false">
      <c r="A266" s="2" t="s">
        <v>128</v>
      </c>
      <c r="B266" s="4" t="n">
        <v>2</v>
      </c>
      <c r="C266" s="2" t="s">
        <v>386</v>
      </c>
      <c r="D266" s="2" t="s">
        <v>413</v>
      </c>
      <c r="E266" s="2" t="s">
        <v>653</v>
      </c>
      <c r="F266" s="4" t="n">
        <v>1</v>
      </c>
      <c r="G266" s="6" t="n">
        <v>1</v>
      </c>
      <c r="H266" s="2" t="s">
        <v>629</v>
      </c>
    </row>
    <row r="267" customFormat="false" ht="15" hidden="false" customHeight="false" outlineLevel="0" collapsed="false">
      <c r="A267" s="2" t="s">
        <v>128</v>
      </c>
      <c r="B267" s="4" t="n">
        <v>2</v>
      </c>
      <c r="C267" s="2" t="s">
        <v>386</v>
      </c>
      <c r="D267" s="2" t="s">
        <v>383</v>
      </c>
      <c r="E267" s="2" t="s">
        <v>654</v>
      </c>
      <c r="F267" s="4" t="n">
        <v>1</v>
      </c>
      <c r="G267" s="6" t="n">
        <v>1.1</v>
      </c>
      <c r="H267" s="2" t="s">
        <v>82</v>
      </c>
    </row>
    <row r="268" customFormat="false" ht="15" hidden="false" customHeight="false" outlineLevel="0" collapsed="false">
      <c r="A268" s="2" t="s">
        <v>128</v>
      </c>
      <c r="B268" s="4" t="n">
        <v>3</v>
      </c>
      <c r="C268" s="2" t="s">
        <v>390</v>
      </c>
      <c r="D268" s="2" t="s">
        <v>387</v>
      </c>
      <c r="E268" s="2" t="s">
        <v>653</v>
      </c>
      <c r="F268" s="4" t="n">
        <v>1</v>
      </c>
      <c r="G268" s="6" t="n">
        <v>1</v>
      </c>
      <c r="H268" s="2" t="s">
        <v>629</v>
      </c>
    </row>
    <row r="269" customFormat="false" ht="15" hidden="false" customHeight="false" outlineLevel="0" collapsed="false">
      <c r="A269" s="2" t="s">
        <v>128</v>
      </c>
      <c r="B269" s="4" t="n">
        <v>4</v>
      </c>
      <c r="C269" s="2" t="s">
        <v>445</v>
      </c>
      <c r="D269" s="2" t="s">
        <v>402</v>
      </c>
      <c r="E269" s="2" t="s">
        <v>653</v>
      </c>
      <c r="F269" s="4" t="n">
        <v>1</v>
      </c>
      <c r="G269" s="6" t="n">
        <v>1</v>
      </c>
      <c r="H269" s="2" t="s">
        <v>629</v>
      </c>
    </row>
    <row r="270" customFormat="false" ht="15" hidden="false" customHeight="false" outlineLevel="0" collapsed="false">
      <c r="A270" s="2" t="s">
        <v>128</v>
      </c>
      <c r="B270" s="4" t="n">
        <v>5</v>
      </c>
      <c r="C270" s="2" t="s">
        <v>447</v>
      </c>
      <c r="D270" s="2" t="s">
        <v>421</v>
      </c>
      <c r="E270" s="2" t="s">
        <v>653</v>
      </c>
      <c r="F270" s="4" t="n">
        <v>1</v>
      </c>
      <c r="G270" s="6" t="n">
        <v>1</v>
      </c>
      <c r="H270" s="2" t="s">
        <v>629</v>
      </c>
    </row>
    <row r="271" customFormat="false" ht="15" hidden="false" customHeight="false" outlineLevel="0" collapsed="false">
      <c r="A271" s="2" t="s">
        <v>128</v>
      </c>
      <c r="B271" s="4" t="n">
        <v>6</v>
      </c>
      <c r="C271" s="2" t="s">
        <v>449</v>
      </c>
      <c r="D271" s="2" t="s">
        <v>423</v>
      </c>
      <c r="E271" s="2" t="s">
        <v>653</v>
      </c>
      <c r="F271" s="4" t="n">
        <v>1</v>
      </c>
      <c r="G271" s="6" t="n">
        <v>1</v>
      </c>
      <c r="H271" s="2" t="s">
        <v>629</v>
      </c>
    </row>
    <row r="272" customFormat="false" ht="15" hidden="false" customHeight="false" outlineLevel="0" collapsed="false">
      <c r="A272" s="2" t="s">
        <v>128</v>
      </c>
      <c r="B272" s="4" t="n">
        <v>7</v>
      </c>
      <c r="C272" s="2" t="s">
        <v>450</v>
      </c>
      <c r="D272" s="2" t="s">
        <v>406</v>
      </c>
      <c r="E272" s="2" t="s">
        <v>653</v>
      </c>
      <c r="F272" s="4" t="n">
        <v>1</v>
      </c>
      <c r="G272" s="6" t="n">
        <v>1</v>
      </c>
      <c r="H272" s="2" t="s">
        <v>629</v>
      </c>
    </row>
    <row r="273" customFormat="false" ht="15" hidden="false" customHeight="false" outlineLevel="0" collapsed="false">
      <c r="A273" s="2" t="s">
        <v>128</v>
      </c>
      <c r="B273" s="4" t="n">
        <v>8</v>
      </c>
      <c r="C273" s="2" t="s">
        <v>453</v>
      </c>
      <c r="D273" s="2" t="s">
        <v>406</v>
      </c>
      <c r="E273" s="2" t="s">
        <v>653</v>
      </c>
      <c r="F273" s="4" t="n">
        <v>1</v>
      </c>
      <c r="G273" s="6" t="n">
        <v>1</v>
      </c>
      <c r="H273" s="2" t="s">
        <v>629</v>
      </c>
    </row>
    <row r="274" customFormat="false" ht="15" hidden="false" customHeight="false" outlineLevel="0" collapsed="false">
      <c r="A274" s="2" t="s">
        <v>129</v>
      </c>
      <c r="B274" s="4" t="n">
        <v>1</v>
      </c>
      <c r="C274" s="2" t="s">
        <v>437</v>
      </c>
      <c r="D274" s="2" t="s">
        <v>375</v>
      </c>
      <c r="E274" s="2" t="s">
        <v>653</v>
      </c>
      <c r="F274" s="4" t="n">
        <v>1</v>
      </c>
      <c r="G274" s="6" t="n">
        <v>1</v>
      </c>
      <c r="H274" s="2" t="s">
        <v>629</v>
      </c>
    </row>
    <row r="275" customFormat="false" ht="15" hidden="false" customHeight="false" outlineLevel="0" collapsed="false">
      <c r="A275" s="2" t="s">
        <v>129</v>
      </c>
      <c r="B275" s="4" t="n">
        <v>2</v>
      </c>
      <c r="C275" s="2" t="s">
        <v>386</v>
      </c>
      <c r="D275" s="2" t="s">
        <v>413</v>
      </c>
      <c r="E275" s="2" t="s">
        <v>653</v>
      </c>
      <c r="F275" s="4" t="n">
        <v>1</v>
      </c>
      <c r="G275" s="6" t="n">
        <v>1</v>
      </c>
      <c r="H275" s="2" t="s">
        <v>629</v>
      </c>
    </row>
    <row r="276" customFormat="false" ht="15" hidden="false" customHeight="false" outlineLevel="0" collapsed="false">
      <c r="A276" s="2" t="s">
        <v>129</v>
      </c>
      <c r="B276" s="4" t="n">
        <v>2</v>
      </c>
      <c r="C276" s="2" t="s">
        <v>386</v>
      </c>
      <c r="D276" s="2" t="s">
        <v>383</v>
      </c>
      <c r="E276" s="2" t="s">
        <v>654</v>
      </c>
      <c r="F276" s="4" t="n">
        <v>1</v>
      </c>
      <c r="G276" s="6" t="n">
        <v>1.1</v>
      </c>
      <c r="H276" s="2" t="s">
        <v>82</v>
      </c>
    </row>
    <row r="277" customFormat="false" ht="15" hidden="false" customHeight="false" outlineLevel="0" collapsed="false">
      <c r="A277" s="2" t="s">
        <v>129</v>
      </c>
      <c r="B277" s="4" t="n">
        <v>3</v>
      </c>
      <c r="C277" s="2" t="s">
        <v>390</v>
      </c>
      <c r="D277" s="2" t="s">
        <v>387</v>
      </c>
      <c r="E277" s="2" t="s">
        <v>653</v>
      </c>
      <c r="F277" s="4" t="n">
        <v>1</v>
      </c>
      <c r="G277" s="6" t="n">
        <v>1</v>
      </c>
      <c r="H277" s="2" t="s">
        <v>629</v>
      </c>
    </row>
    <row r="278" customFormat="false" ht="15" hidden="false" customHeight="false" outlineLevel="0" collapsed="false">
      <c r="A278" s="2" t="s">
        <v>129</v>
      </c>
      <c r="B278" s="4" t="n">
        <v>4</v>
      </c>
      <c r="C278" s="2" t="s">
        <v>445</v>
      </c>
      <c r="D278" s="2" t="s">
        <v>402</v>
      </c>
      <c r="E278" s="2" t="s">
        <v>653</v>
      </c>
      <c r="F278" s="4" t="n">
        <v>1</v>
      </c>
      <c r="G278" s="6" t="n">
        <v>1</v>
      </c>
      <c r="H278" s="2" t="s">
        <v>629</v>
      </c>
    </row>
    <row r="279" customFormat="false" ht="15" hidden="false" customHeight="false" outlineLevel="0" collapsed="false">
      <c r="A279" s="2" t="s">
        <v>129</v>
      </c>
      <c r="B279" s="4" t="n">
        <v>5</v>
      </c>
      <c r="C279" s="2" t="s">
        <v>447</v>
      </c>
      <c r="D279" s="2" t="s">
        <v>421</v>
      </c>
      <c r="E279" s="2" t="s">
        <v>653</v>
      </c>
      <c r="F279" s="4" t="n">
        <v>1</v>
      </c>
      <c r="G279" s="6" t="n">
        <v>1</v>
      </c>
      <c r="H279" s="2" t="s">
        <v>629</v>
      </c>
    </row>
    <row r="280" customFormat="false" ht="15" hidden="false" customHeight="false" outlineLevel="0" collapsed="false">
      <c r="A280" s="2" t="s">
        <v>129</v>
      </c>
      <c r="B280" s="4" t="n">
        <v>6</v>
      </c>
      <c r="C280" s="2" t="s">
        <v>449</v>
      </c>
      <c r="D280" s="2" t="s">
        <v>423</v>
      </c>
      <c r="E280" s="2" t="s">
        <v>653</v>
      </c>
      <c r="F280" s="4" t="n">
        <v>1</v>
      </c>
      <c r="G280" s="6" t="n">
        <v>1</v>
      </c>
      <c r="H280" s="2" t="s">
        <v>629</v>
      </c>
    </row>
    <row r="281" customFormat="false" ht="15" hidden="false" customHeight="false" outlineLevel="0" collapsed="false">
      <c r="A281" s="2" t="s">
        <v>129</v>
      </c>
      <c r="B281" s="4" t="n">
        <v>7</v>
      </c>
      <c r="C281" s="2" t="s">
        <v>450</v>
      </c>
      <c r="D281" s="2" t="s">
        <v>406</v>
      </c>
      <c r="E281" s="2" t="s">
        <v>653</v>
      </c>
      <c r="F281" s="4" t="n">
        <v>1</v>
      </c>
      <c r="G281" s="6" t="n">
        <v>1</v>
      </c>
      <c r="H281" s="2" t="s">
        <v>629</v>
      </c>
    </row>
    <row r="282" customFormat="false" ht="15" hidden="false" customHeight="false" outlineLevel="0" collapsed="false">
      <c r="A282" s="2" t="s">
        <v>129</v>
      </c>
      <c r="B282" s="4" t="n">
        <v>8</v>
      </c>
      <c r="C282" s="2" t="s">
        <v>453</v>
      </c>
      <c r="D282" s="2" t="s">
        <v>406</v>
      </c>
      <c r="E282" s="2" t="s">
        <v>653</v>
      </c>
      <c r="F282" s="4" t="n">
        <v>1</v>
      </c>
      <c r="G282" s="6" t="n">
        <v>1</v>
      </c>
      <c r="H282" s="2" t="s">
        <v>629</v>
      </c>
    </row>
    <row r="283" customFormat="false" ht="15" hidden="false" customHeight="false" outlineLevel="0" collapsed="false">
      <c r="A283" s="2" t="s">
        <v>131</v>
      </c>
      <c r="B283" s="4" t="n">
        <v>1</v>
      </c>
      <c r="C283" s="2" t="s">
        <v>441</v>
      </c>
      <c r="D283" s="2" t="s">
        <v>380</v>
      </c>
      <c r="E283" s="2" t="s">
        <v>653</v>
      </c>
      <c r="F283" s="4" t="n">
        <v>1</v>
      </c>
      <c r="G283" s="6" t="n">
        <v>1</v>
      </c>
      <c r="H283" s="2" t="s">
        <v>629</v>
      </c>
    </row>
    <row r="284" customFormat="false" ht="15" hidden="false" customHeight="false" outlineLevel="0" collapsed="false">
      <c r="A284" s="2" t="s">
        <v>131</v>
      </c>
      <c r="B284" s="4" t="n">
        <v>2</v>
      </c>
      <c r="C284" s="2" t="s">
        <v>386</v>
      </c>
      <c r="D284" s="2" t="s">
        <v>413</v>
      </c>
      <c r="E284" s="2" t="s">
        <v>653</v>
      </c>
      <c r="F284" s="4" t="n">
        <v>1</v>
      </c>
      <c r="G284" s="6" t="n">
        <v>1</v>
      </c>
      <c r="H284" s="2" t="s">
        <v>629</v>
      </c>
    </row>
    <row r="285" customFormat="false" ht="15" hidden="false" customHeight="false" outlineLevel="0" collapsed="false">
      <c r="A285" s="2" t="s">
        <v>131</v>
      </c>
      <c r="B285" s="4" t="n">
        <v>2</v>
      </c>
      <c r="C285" s="2" t="s">
        <v>386</v>
      </c>
      <c r="D285" s="2" t="s">
        <v>383</v>
      </c>
      <c r="E285" s="2" t="s">
        <v>654</v>
      </c>
      <c r="F285" s="4" t="n">
        <v>1</v>
      </c>
      <c r="G285" s="6" t="n">
        <v>1.1</v>
      </c>
      <c r="H285" s="2" t="s">
        <v>82</v>
      </c>
    </row>
    <row r="286" customFormat="false" ht="15" hidden="false" customHeight="false" outlineLevel="0" collapsed="false">
      <c r="A286" s="2" t="s">
        <v>131</v>
      </c>
      <c r="B286" s="4" t="n">
        <v>3</v>
      </c>
      <c r="C286" s="2" t="s">
        <v>442</v>
      </c>
      <c r="D286" s="2" t="s">
        <v>415</v>
      </c>
      <c r="E286" s="2" t="s">
        <v>653</v>
      </c>
      <c r="F286" s="4" t="n">
        <v>1</v>
      </c>
      <c r="G286" s="6" t="n">
        <v>1</v>
      </c>
      <c r="H286" s="2" t="s">
        <v>629</v>
      </c>
    </row>
    <row r="287" customFormat="false" ht="15" hidden="false" customHeight="false" outlineLevel="0" collapsed="false">
      <c r="A287" s="2" t="s">
        <v>131</v>
      </c>
      <c r="B287" s="4" t="n">
        <v>3</v>
      </c>
      <c r="C287" s="2" t="s">
        <v>442</v>
      </c>
      <c r="D287" s="2" t="s">
        <v>391</v>
      </c>
      <c r="E287" s="2" t="s">
        <v>655</v>
      </c>
      <c r="F287" s="4" t="n">
        <v>1</v>
      </c>
      <c r="G287" s="6" t="n">
        <v>1</v>
      </c>
      <c r="H287" s="2" t="s">
        <v>82</v>
      </c>
    </row>
    <row r="288" customFormat="false" ht="15" hidden="false" customHeight="false" outlineLevel="0" collapsed="false">
      <c r="A288" s="2" t="s">
        <v>131</v>
      </c>
      <c r="B288" s="4" t="n">
        <v>4</v>
      </c>
      <c r="C288" s="2" t="s">
        <v>445</v>
      </c>
      <c r="D288" s="2" t="s">
        <v>402</v>
      </c>
      <c r="E288" s="2" t="s">
        <v>653</v>
      </c>
      <c r="F288" s="4" t="n">
        <v>1</v>
      </c>
      <c r="G288" s="6" t="n">
        <v>1</v>
      </c>
      <c r="H288" s="2" t="s">
        <v>629</v>
      </c>
    </row>
    <row r="289" customFormat="false" ht="15" hidden="false" customHeight="false" outlineLevel="0" collapsed="false">
      <c r="A289" s="2" t="s">
        <v>131</v>
      </c>
      <c r="B289" s="4" t="n">
        <v>5</v>
      </c>
      <c r="C289" s="2" t="s">
        <v>447</v>
      </c>
      <c r="D289" s="2" t="s">
        <v>421</v>
      </c>
      <c r="E289" s="2" t="s">
        <v>653</v>
      </c>
      <c r="F289" s="4" t="n">
        <v>1</v>
      </c>
      <c r="G289" s="6" t="n">
        <v>1</v>
      </c>
      <c r="H289" s="2" t="s">
        <v>629</v>
      </c>
    </row>
    <row r="290" customFormat="false" ht="15" hidden="false" customHeight="false" outlineLevel="0" collapsed="false">
      <c r="A290" s="2" t="s">
        <v>131</v>
      </c>
      <c r="B290" s="4" t="n">
        <v>6</v>
      </c>
      <c r="C290" s="2" t="s">
        <v>449</v>
      </c>
      <c r="D290" s="2" t="s">
        <v>423</v>
      </c>
      <c r="E290" s="2" t="s">
        <v>653</v>
      </c>
      <c r="F290" s="4" t="n">
        <v>1</v>
      </c>
      <c r="G290" s="6" t="n">
        <v>1</v>
      </c>
      <c r="H290" s="2" t="s">
        <v>629</v>
      </c>
    </row>
    <row r="291" customFormat="false" ht="15" hidden="false" customHeight="false" outlineLevel="0" collapsed="false">
      <c r="A291" s="2" t="s">
        <v>131</v>
      </c>
      <c r="B291" s="4" t="n">
        <v>7</v>
      </c>
      <c r="C291" s="2" t="s">
        <v>450</v>
      </c>
      <c r="D291" s="2" t="s">
        <v>406</v>
      </c>
      <c r="E291" s="2" t="s">
        <v>653</v>
      </c>
      <c r="F291" s="4" t="n">
        <v>1</v>
      </c>
      <c r="G291" s="6" t="n">
        <v>1</v>
      </c>
      <c r="H291" s="2" t="s">
        <v>629</v>
      </c>
    </row>
    <row r="292" customFormat="false" ht="15" hidden="false" customHeight="false" outlineLevel="0" collapsed="false">
      <c r="A292" s="2" t="s">
        <v>131</v>
      </c>
      <c r="B292" s="4" t="n">
        <v>8</v>
      </c>
      <c r="C292" s="2" t="s">
        <v>453</v>
      </c>
      <c r="D292" s="2" t="s">
        <v>406</v>
      </c>
      <c r="E292" s="2" t="s">
        <v>653</v>
      </c>
      <c r="F292" s="4" t="n">
        <v>1</v>
      </c>
      <c r="G292" s="6" t="n">
        <v>1</v>
      </c>
      <c r="H292" s="2" t="s">
        <v>629</v>
      </c>
    </row>
    <row r="293" customFormat="false" ht="15" hidden="false" customHeight="false" outlineLevel="0" collapsed="false">
      <c r="A293" s="2" t="s">
        <v>133</v>
      </c>
      <c r="B293" s="4" t="n">
        <v>1</v>
      </c>
      <c r="C293" s="2" t="s">
        <v>437</v>
      </c>
      <c r="D293" s="2" t="s">
        <v>375</v>
      </c>
      <c r="E293" s="2" t="s">
        <v>653</v>
      </c>
      <c r="F293" s="4" t="n">
        <v>1</v>
      </c>
      <c r="G293" s="6" t="n">
        <v>1</v>
      </c>
      <c r="H293" s="2" t="s">
        <v>629</v>
      </c>
    </row>
    <row r="294" customFormat="false" ht="15" hidden="false" customHeight="false" outlineLevel="0" collapsed="false">
      <c r="A294" s="2" t="s">
        <v>133</v>
      </c>
      <c r="B294" s="4" t="n">
        <v>2</v>
      </c>
      <c r="C294" s="2" t="s">
        <v>386</v>
      </c>
      <c r="D294" s="2" t="s">
        <v>413</v>
      </c>
      <c r="E294" s="2" t="s">
        <v>653</v>
      </c>
      <c r="F294" s="4" t="n">
        <v>1</v>
      </c>
      <c r="G294" s="6" t="n">
        <v>1</v>
      </c>
      <c r="H294" s="2" t="s">
        <v>629</v>
      </c>
    </row>
    <row r="295" customFormat="false" ht="15" hidden="false" customHeight="false" outlineLevel="0" collapsed="false">
      <c r="A295" s="2" t="s">
        <v>133</v>
      </c>
      <c r="B295" s="4" t="n">
        <v>2</v>
      </c>
      <c r="C295" s="2" t="s">
        <v>386</v>
      </c>
      <c r="D295" s="2" t="s">
        <v>383</v>
      </c>
      <c r="E295" s="2" t="s">
        <v>654</v>
      </c>
      <c r="F295" s="4" t="n">
        <v>1</v>
      </c>
      <c r="G295" s="6" t="n">
        <v>1.1</v>
      </c>
      <c r="H295" s="2" t="s">
        <v>82</v>
      </c>
    </row>
    <row r="296" customFormat="false" ht="15" hidden="false" customHeight="false" outlineLevel="0" collapsed="false">
      <c r="A296" s="2" t="s">
        <v>133</v>
      </c>
      <c r="B296" s="4" t="n">
        <v>3</v>
      </c>
      <c r="C296" s="2" t="s">
        <v>390</v>
      </c>
      <c r="D296" s="2" t="s">
        <v>387</v>
      </c>
      <c r="E296" s="2" t="s">
        <v>653</v>
      </c>
      <c r="F296" s="4" t="n">
        <v>1</v>
      </c>
      <c r="G296" s="6" t="n">
        <v>1</v>
      </c>
      <c r="H296" s="2" t="s">
        <v>629</v>
      </c>
    </row>
    <row r="297" customFormat="false" ht="15" hidden="false" customHeight="false" outlineLevel="0" collapsed="false">
      <c r="A297" s="2" t="s">
        <v>133</v>
      </c>
      <c r="B297" s="4" t="n">
        <v>4</v>
      </c>
      <c r="C297" s="2" t="s">
        <v>445</v>
      </c>
      <c r="D297" s="2" t="s">
        <v>402</v>
      </c>
      <c r="E297" s="2" t="s">
        <v>653</v>
      </c>
      <c r="F297" s="4" t="n">
        <v>1</v>
      </c>
      <c r="G297" s="6" t="n">
        <v>1</v>
      </c>
      <c r="H297" s="2" t="s">
        <v>629</v>
      </c>
    </row>
    <row r="298" customFormat="false" ht="15" hidden="false" customHeight="false" outlineLevel="0" collapsed="false">
      <c r="A298" s="2" t="s">
        <v>133</v>
      </c>
      <c r="B298" s="4" t="n">
        <v>5</v>
      </c>
      <c r="C298" s="2" t="s">
        <v>447</v>
      </c>
      <c r="D298" s="2" t="s">
        <v>421</v>
      </c>
      <c r="E298" s="2" t="s">
        <v>653</v>
      </c>
      <c r="F298" s="4" t="n">
        <v>1</v>
      </c>
      <c r="G298" s="6" t="n">
        <v>1</v>
      </c>
      <c r="H298" s="2" t="s">
        <v>629</v>
      </c>
    </row>
    <row r="299" customFormat="false" ht="15" hidden="false" customHeight="false" outlineLevel="0" collapsed="false">
      <c r="A299" s="2" t="s">
        <v>133</v>
      </c>
      <c r="B299" s="4" t="n">
        <v>6</v>
      </c>
      <c r="C299" s="2" t="s">
        <v>449</v>
      </c>
      <c r="D299" s="2" t="s">
        <v>423</v>
      </c>
      <c r="E299" s="2" t="s">
        <v>653</v>
      </c>
      <c r="F299" s="4" t="n">
        <v>1</v>
      </c>
      <c r="G299" s="6" t="n">
        <v>1</v>
      </c>
      <c r="H299" s="2" t="s">
        <v>629</v>
      </c>
    </row>
    <row r="300" customFormat="false" ht="15" hidden="false" customHeight="false" outlineLevel="0" collapsed="false">
      <c r="A300" s="2" t="s">
        <v>133</v>
      </c>
      <c r="B300" s="4" t="n">
        <v>7</v>
      </c>
      <c r="C300" s="2" t="s">
        <v>450</v>
      </c>
      <c r="D300" s="2" t="s">
        <v>406</v>
      </c>
      <c r="E300" s="2" t="s">
        <v>653</v>
      </c>
      <c r="F300" s="4" t="n">
        <v>1</v>
      </c>
      <c r="G300" s="6" t="n">
        <v>1</v>
      </c>
      <c r="H300" s="2" t="s">
        <v>629</v>
      </c>
    </row>
    <row r="301" customFormat="false" ht="15" hidden="false" customHeight="false" outlineLevel="0" collapsed="false">
      <c r="A301" s="2" t="s">
        <v>133</v>
      </c>
      <c r="B301" s="4" t="n">
        <v>8</v>
      </c>
      <c r="C301" s="2" t="s">
        <v>453</v>
      </c>
      <c r="D301" s="2" t="s">
        <v>406</v>
      </c>
      <c r="E301" s="2" t="s">
        <v>653</v>
      </c>
      <c r="F301" s="4" t="n">
        <v>1</v>
      </c>
      <c r="G301" s="6" t="n">
        <v>1</v>
      </c>
      <c r="H301" s="2" t="s">
        <v>629</v>
      </c>
    </row>
    <row r="302" customFormat="false" ht="15" hidden="false" customHeight="false" outlineLevel="0" collapsed="false">
      <c r="A302" s="2" t="s">
        <v>134</v>
      </c>
      <c r="B302" s="4" t="n">
        <v>1</v>
      </c>
      <c r="C302" s="2" t="s">
        <v>437</v>
      </c>
      <c r="D302" s="2" t="s">
        <v>375</v>
      </c>
      <c r="E302" s="2" t="s">
        <v>653</v>
      </c>
      <c r="F302" s="4" t="n">
        <v>1</v>
      </c>
      <c r="G302" s="6" t="n">
        <v>1</v>
      </c>
      <c r="H302" s="2" t="s">
        <v>629</v>
      </c>
    </row>
    <row r="303" customFormat="false" ht="15" hidden="false" customHeight="false" outlineLevel="0" collapsed="false">
      <c r="A303" s="2" t="s">
        <v>134</v>
      </c>
      <c r="B303" s="4" t="n">
        <v>2</v>
      </c>
      <c r="C303" s="2" t="s">
        <v>386</v>
      </c>
      <c r="D303" s="2" t="s">
        <v>413</v>
      </c>
      <c r="E303" s="2" t="s">
        <v>653</v>
      </c>
      <c r="F303" s="4" t="n">
        <v>1</v>
      </c>
      <c r="G303" s="6" t="n">
        <v>1</v>
      </c>
      <c r="H303" s="2" t="s">
        <v>629</v>
      </c>
    </row>
    <row r="304" customFormat="false" ht="15" hidden="false" customHeight="false" outlineLevel="0" collapsed="false">
      <c r="A304" s="2" t="s">
        <v>134</v>
      </c>
      <c r="B304" s="4" t="n">
        <v>2</v>
      </c>
      <c r="C304" s="2" t="s">
        <v>386</v>
      </c>
      <c r="D304" s="2" t="s">
        <v>383</v>
      </c>
      <c r="E304" s="2" t="s">
        <v>654</v>
      </c>
      <c r="F304" s="4" t="n">
        <v>1</v>
      </c>
      <c r="G304" s="6" t="n">
        <v>1.1</v>
      </c>
      <c r="H304" s="2" t="s">
        <v>82</v>
      </c>
    </row>
    <row r="305" customFormat="false" ht="15" hidden="false" customHeight="false" outlineLevel="0" collapsed="false">
      <c r="A305" s="2" t="s">
        <v>134</v>
      </c>
      <c r="B305" s="4" t="n">
        <v>3</v>
      </c>
      <c r="C305" s="2" t="s">
        <v>390</v>
      </c>
      <c r="D305" s="2" t="s">
        <v>387</v>
      </c>
      <c r="E305" s="2" t="s">
        <v>653</v>
      </c>
      <c r="F305" s="4" t="n">
        <v>1</v>
      </c>
      <c r="G305" s="6" t="n">
        <v>1</v>
      </c>
      <c r="H305" s="2" t="s">
        <v>629</v>
      </c>
    </row>
    <row r="306" customFormat="false" ht="15" hidden="false" customHeight="false" outlineLevel="0" collapsed="false">
      <c r="A306" s="2" t="s">
        <v>134</v>
      </c>
      <c r="B306" s="4" t="n">
        <v>4</v>
      </c>
      <c r="C306" s="2" t="s">
        <v>445</v>
      </c>
      <c r="D306" s="2" t="s">
        <v>402</v>
      </c>
      <c r="E306" s="2" t="s">
        <v>653</v>
      </c>
      <c r="F306" s="4" t="n">
        <v>1</v>
      </c>
      <c r="G306" s="6" t="n">
        <v>1</v>
      </c>
      <c r="H306" s="2" t="s">
        <v>629</v>
      </c>
    </row>
    <row r="307" customFormat="false" ht="15" hidden="false" customHeight="false" outlineLevel="0" collapsed="false">
      <c r="A307" s="2" t="s">
        <v>134</v>
      </c>
      <c r="B307" s="4" t="n">
        <v>5</v>
      </c>
      <c r="C307" s="2" t="s">
        <v>447</v>
      </c>
      <c r="D307" s="2" t="s">
        <v>421</v>
      </c>
      <c r="E307" s="2" t="s">
        <v>653</v>
      </c>
      <c r="F307" s="4" t="n">
        <v>1</v>
      </c>
      <c r="G307" s="6" t="n">
        <v>1</v>
      </c>
      <c r="H307" s="2" t="s">
        <v>629</v>
      </c>
    </row>
    <row r="308" customFormat="false" ht="15" hidden="false" customHeight="false" outlineLevel="0" collapsed="false">
      <c r="A308" s="2" t="s">
        <v>134</v>
      </c>
      <c r="B308" s="4" t="n">
        <v>6</v>
      </c>
      <c r="C308" s="2" t="s">
        <v>449</v>
      </c>
      <c r="D308" s="2" t="s">
        <v>423</v>
      </c>
      <c r="E308" s="2" t="s">
        <v>653</v>
      </c>
      <c r="F308" s="4" t="n">
        <v>1</v>
      </c>
      <c r="G308" s="6" t="n">
        <v>1</v>
      </c>
      <c r="H308" s="2" t="s">
        <v>629</v>
      </c>
    </row>
    <row r="309" customFormat="false" ht="15" hidden="false" customHeight="false" outlineLevel="0" collapsed="false">
      <c r="A309" s="2" t="s">
        <v>134</v>
      </c>
      <c r="B309" s="4" t="n">
        <v>7</v>
      </c>
      <c r="C309" s="2" t="s">
        <v>450</v>
      </c>
      <c r="D309" s="2" t="s">
        <v>406</v>
      </c>
      <c r="E309" s="2" t="s">
        <v>653</v>
      </c>
      <c r="F309" s="4" t="n">
        <v>1</v>
      </c>
      <c r="G309" s="6" t="n">
        <v>1</v>
      </c>
      <c r="H309" s="2" t="s">
        <v>629</v>
      </c>
    </row>
    <row r="310" customFormat="false" ht="15" hidden="false" customHeight="false" outlineLevel="0" collapsed="false">
      <c r="A310" s="2" t="s">
        <v>134</v>
      </c>
      <c r="B310" s="4" t="n">
        <v>8</v>
      </c>
      <c r="C310" s="2" t="s">
        <v>453</v>
      </c>
      <c r="D310" s="2" t="s">
        <v>406</v>
      </c>
      <c r="E310" s="2" t="s">
        <v>653</v>
      </c>
      <c r="F310" s="4" t="n">
        <v>1</v>
      </c>
      <c r="G310" s="6" t="n">
        <v>1</v>
      </c>
      <c r="H310" s="2" t="s">
        <v>629</v>
      </c>
    </row>
    <row r="311" customFormat="false" ht="15" hidden="false" customHeight="false" outlineLevel="0" collapsed="false">
      <c r="A311" s="2" t="s">
        <v>135</v>
      </c>
      <c r="B311" s="4" t="n">
        <v>1</v>
      </c>
      <c r="C311" s="2" t="s">
        <v>437</v>
      </c>
      <c r="D311" s="2" t="s">
        <v>375</v>
      </c>
      <c r="E311" s="2" t="s">
        <v>653</v>
      </c>
      <c r="F311" s="4" t="n">
        <v>1</v>
      </c>
      <c r="G311" s="6" t="n">
        <v>1</v>
      </c>
      <c r="H311" s="2" t="s">
        <v>629</v>
      </c>
    </row>
    <row r="312" customFormat="false" ht="15" hidden="false" customHeight="false" outlineLevel="0" collapsed="false">
      <c r="A312" s="2" t="s">
        <v>135</v>
      </c>
      <c r="B312" s="4" t="n">
        <v>2</v>
      </c>
      <c r="C312" s="2" t="s">
        <v>386</v>
      </c>
      <c r="D312" s="2" t="s">
        <v>413</v>
      </c>
      <c r="E312" s="2" t="s">
        <v>653</v>
      </c>
      <c r="F312" s="4" t="n">
        <v>1</v>
      </c>
      <c r="G312" s="6" t="n">
        <v>1</v>
      </c>
      <c r="H312" s="2" t="s">
        <v>629</v>
      </c>
    </row>
    <row r="313" customFormat="false" ht="15" hidden="false" customHeight="false" outlineLevel="0" collapsed="false">
      <c r="A313" s="2" t="s">
        <v>135</v>
      </c>
      <c r="B313" s="4" t="n">
        <v>2</v>
      </c>
      <c r="C313" s="2" t="s">
        <v>386</v>
      </c>
      <c r="D313" s="2" t="s">
        <v>383</v>
      </c>
      <c r="E313" s="2" t="s">
        <v>654</v>
      </c>
      <c r="F313" s="4" t="n">
        <v>1</v>
      </c>
      <c r="G313" s="6" t="n">
        <v>1.1</v>
      </c>
      <c r="H313" s="2" t="s">
        <v>82</v>
      </c>
    </row>
    <row r="314" customFormat="false" ht="15" hidden="false" customHeight="false" outlineLevel="0" collapsed="false">
      <c r="A314" s="2" t="s">
        <v>135</v>
      </c>
      <c r="B314" s="4" t="n">
        <v>3</v>
      </c>
      <c r="C314" s="2" t="s">
        <v>390</v>
      </c>
      <c r="D314" s="2" t="s">
        <v>387</v>
      </c>
      <c r="E314" s="2" t="s">
        <v>653</v>
      </c>
      <c r="F314" s="4" t="n">
        <v>1</v>
      </c>
      <c r="G314" s="6" t="n">
        <v>1</v>
      </c>
      <c r="H314" s="2" t="s">
        <v>629</v>
      </c>
    </row>
    <row r="315" customFormat="false" ht="15" hidden="false" customHeight="false" outlineLevel="0" collapsed="false">
      <c r="A315" s="2" t="s">
        <v>135</v>
      </c>
      <c r="B315" s="4" t="n">
        <v>4</v>
      </c>
      <c r="C315" s="2" t="s">
        <v>445</v>
      </c>
      <c r="D315" s="2" t="s">
        <v>402</v>
      </c>
      <c r="E315" s="2" t="s">
        <v>653</v>
      </c>
      <c r="F315" s="4" t="n">
        <v>1</v>
      </c>
      <c r="G315" s="6" t="n">
        <v>1</v>
      </c>
      <c r="H315" s="2" t="s">
        <v>629</v>
      </c>
    </row>
    <row r="316" customFormat="false" ht="15" hidden="false" customHeight="false" outlineLevel="0" collapsed="false">
      <c r="A316" s="2" t="s">
        <v>135</v>
      </c>
      <c r="B316" s="4" t="n">
        <v>5</v>
      </c>
      <c r="C316" s="2" t="s">
        <v>447</v>
      </c>
      <c r="D316" s="2" t="s">
        <v>421</v>
      </c>
      <c r="E316" s="2" t="s">
        <v>653</v>
      </c>
      <c r="F316" s="4" t="n">
        <v>1</v>
      </c>
      <c r="G316" s="6" t="n">
        <v>1</v>
      </c>
      <c r="H316" s="2" t="s">
        <v>629</v>
      </c>
    </row>
    <row r="317" customFormat="false" ht="15" hidden="false" customHeight="false" outlineLevel="0" collapsed="false">
      <c r="A317" s="2" t="s">
        <v>135</v>
      </c>
      <c r="B317" s="4" t="n">
        <v>6</v>
      </c>
      <c r="C317" s="2" t="s">
        <v>449</v>
      </c>
      <c r="D317" s="2" t="s">
        <v>423</v>
      </c>
      <c r="E317" s="2" t="s">
        <v>653</v>
      </c>
      <c r="F317" s="4" t="n">
        <v>1</v>
      </c>
      <c r="G317" s="6" t="n">
        <v>1</v>
      </c>
      <c r="H317" s="2" t="s">
        <v>629</v>
      </c>
    </row>
    <row r="318" customFormat="false" ht="15" hidden="false" customHeight="false" outlineLevel="0" collapsed="false">
      <c r="A318" s="2" t="s">
        <v>135</v>
      </c>
      <c r="B318" s="4" t="n">
        <v>7</v>
      </c>
      <c r="C318" s="2" t="s">
        <v>450</v>
      </c>
      <c r="D318" s="2" t="s">
        <v>406</v>
      </c>
      <c r="E318" s="2" t="s">
        <v>653</v>
      </c>
      <c r="F318" s="4" t="n">
        <v>1</v>
      </c>
      <c r="G318" s="6" t="n">
        <v>1</v>
      </c>
      <c r="H318" s="2" t="s">
        <v>629</v>
      </c>
    </row>
    <row r="319" customFormat="false" ht="15" hidden="false" customHeight="false" outlineLevel="0" collapsed="false">
      <c r="A319" s="2" t="s">
        <v>135</v>
      </c>
      <c r="B319" s="4" t="n">
        <v>8</v>
      </c>
      <c r="C319" s="2" t="s">
        <v>453</v>
      </c>
      <c r="D319" s="2" t="s">
        <v>406</v>
      </c>
      <c r="E319" s="2" t="s">
        <v>653</v>
      </c>
      <c r="F319" s="4" t="n">
        <v>1</v>
      </c>
      <c r="G319" s="6" t="n">
        <v>1</v>
      </c>
      <c r="H319" s="2" t="s">
        <v>629</v>
      </c>
    </row>
    <row r="320" customFormat="false" ht="15" hidden="false" customHeight="false" outlineLevel="0" collapsed="false">
      <c r="A320" s="2" t="s">
        <v>136</v>
      </c>
      <c r="B320" s="4" t="n">
        <v>1</v>
      </c>
      <c r="C320" s="2" t="s">
        <v>437</v>
      </c>
      <c r="D320" s="2" t="s">
        <v>375</v>
      </c>
      <c r="E320" s="2" t="s">
        <v>653</v>
      </c>
      <c r="F320" s="4" t="n">
        <v>1</v>
      </c>
      <c r="G320" s="6" t="n">
        <v>1</v>
      </c>
      <c r="H320" s="2" t="s">
        <v>629</v>
      </c>
    </row>
    <row r="321" customFormat="false" ht="15" hidden="false" customHeight="false" outlineLevel="0" collapsed="false">
      <c r="A321" s="2" t="s">
        <v>136</v>
      </c>
      <c r="B321" s="4" t="n">
        <v>2</v>
      </c>
      <c r="C321" s="2" t="s">
        <v>386</v>
      </c>
      <c r="D321" s="2" t="s">
        <v>413</v>
      </c>
      <c r="E321" s="2" t="s">
        <v>653</v>
      </c>
      <c r="F321" s="4" t="n">
        <v>1</v>
      </c>
      <c r="G321" s="6" t="n">
        <v>1</v>
      </c>
      <c r="H321" s="2" t="s">
        <v>629</v>
      </c>
    </row>
    <row r="322" customFormat="false" ht="15" hidden="false" customHeight="false" outlineLevel="0" collapsed="false">
      <c r="A322" s="2" t="s">
        <v>136</v>
      </c>
      <c r="B322" s="4" t="n">
        <v>2</v>
      </c>
      <c r="C322" s="2" t="s">
        <v>386</v>
      </c>
      <c r="D322" s="2" t="s">
        <v>383</v>
      </c>
      <c r="E322" s="2" t="s">
        <v>654</v>
      </c>
      <c r="F322" s="4" t="n">
        <v>1</v>
      </c>
      <c r="G322" s="6" t="n">
        <v>1.1</v>
      </c>
      <c r="H322" s="2" t="s">
        <v>82</v>
      </c>
    </row>
    <row r="323" customFormat="false" ht="15" hidden="false" customHeight="false" outlineLevel="0" collapsed="false">
      <c r="A323" s="2" t="s">
        <v>136</v>
      </c>
      <c r="B323" s="4" t="n">
        <v>3</v>
      </c>
      <c r="C323" s="2" t="s">
        <v>390</v>
      </c>
      <c r="D323" s="2" t="s">
        <v>387</v>
      </c>
      <c r="E323" s="2" t="s">
        <v>653</v>
      </c>
      <c r="F323" s="4" t="n">
        <v>1</v>
      </c>
      <c r="G323" s="6" t="n">
        <v>1</v>
      </c>
      <c r="H323" s="2" t="s">
        <v>629</v>
      </c>
    </row>
    <row r="324" customFormat="false" ht="15" hidden="false" customHeight="false" outlineLevel="0" collapsed="false">
      <c r="A324" s="2" t="s">
        <v>136</v>
      </c>
      <c r="B324" s="4" t="n">
        <v>4</v>
      </c>
      <c r="C324" s="2" t="s">
        <v>445</v>
      </c>
      <c r="D324" s="2" t="s">
        <v>402</v>
      </c>
      <c r="E324" s="2" t="s">
        <v>653</v>
      </c>
      <c r="F324" s="4" t="n">
        <v>1</v>
      </c>
      <c r="G324" s="6" t="n">
        <v>1</v>
      </c>
      <c r="H324" s="2" t="s">
        <v>629</v>
      </c>
    </row>
    <row r="325" customFormat="false" ht="15" hidden="false" customHeight="false" outlineLevel="0" collapsed="false">
      <c r="A325" s="2" t="s">
        <v>136</v>
      </c>
      <c r="B325" s="4" t="n">
        <v>5</v>
      </c>
      <c r="C325" s="2" t="s">
        <v>447</v>
      </c>
      <c r="D325" s="2" t="s">
        <v>421</v>
      </c>
      <c r="E325" s="2" t="s">
        <v>653</v>
      </c>
      <c r="F325" s="4" t="n">
        <v>1</v>
      </c>
      <c r="G325" s="6" t="n">
        <v>1</v>
      </c>
      <c r="H325" s="2" t="s">
        <v>629</v>
      </c>
    </row>
    <row r="326" customFormat="false" ht="15" hidden="false" customHeight="false" outlineLevel="0" collapsed="false">
      <c r="A326" s="2" t="s">
        <v>136</v>
      </c>
      <c r="B326" s="4" t="n">
        <v>6</v>
      </c>
      <c r="C326" s="2" t="s">
        <v>449</v>
      </c>
      <c r="D326" s="2" t="s">
        <v>423</v>
      </c>
      <c r="E326" s="2" t="s">
        <v>653</v>
      </c>
      <c r="F326" s="4" t="n">
        <v>1</v>
      </c>
      <c r="G326" s="6" t="n">
        <v>1</v>
      </c>
      <c r="H326" s="2" t="s">
        <v>629</v>
      </c>
    </row>
    <row r="327" customFormat="false" ht="15" hidden="false" customHeight="false" outlineLevel="0" collapsed="false">
      <c r="A327" s="2" t="s">
        <v>136</v>
      </c>
      <c r="B327" s="4" t="n">
        <v>7</v>
      </c>
      <c r="C327" s="2" t="s">
        <v>450</v>
      </c>
      <c r="D327" s="2" t="s">
        <v>406</v>
      </c>
      <c r="E327" s="2" t="s">
        <v>653</v>
      </c>
      <c r="F327" s="4" t="n">
        <v>1</v>
      </c>
      <c r="G327" s="6" t="n">
        <v>1</v>
      </c>
      <c r="H327" s="2" t="s">
        <v>629</v>
      </c>
    </row>
    <row r="328" customFormat="false" ht="15" hidden="false" customHeight="false" outlineLevel="0" collapsed="false">
      <c r="A328" s="2" t="s">
        <v>136</v>
      </c>
      <c r="B328" s="4" t="n">
        <v>8</v>
      </c>
      <c r="C328" s="2" t="s">
        <v>453</v>
      </c>
      <c r="D328" s="2" t="s">
        <v>406</v>
      </c>
      <c r="E328" s="2" t="s">
        <v>653</v>
      </c>
      <c r="F328" s="4" t="n">
        <v>1</v>
      </c>
      <c r="G328" s="6" t="n">
        <v>1</v>
      </c>
      <c r="H328" s="2" t="s">
        <v>629</v>
      </c>
    </row>
    <row r="329" customFormat="false" ht="15" hidden="false" customHeight="false" outlineLevel="0" collapsed="false">
      <c r="A329" s="2" t="s">
        <v>137</v>
      </c>
      <c r="B329" s="4" t="n">
        <v>1</v>
      </c>
      <c r="C329" s="2" t="s">
        <v>437</v>
      </c>
      <c r="D329" s="2" t="s">
        <v>375</v>
      </c>
      <c r="E329" s="2" t="s">
        <v>653</v>
      </c>
      <c r="F329" s="4" t="n">
        <v>1</v>
      </c>
      <c r="G329" s="6" t="n">
        <v>1</v>
      </c>
      <c r="H329" s="2" t="s">
        <v>629</v>
      </c>
    </row>
    <row r="330" customFormat="false" ht="15" hidden="false" customHeight="false" outlineLevel="0" collapsed="false">
      <c r="A330" s="2" t="s">
        <v>137</v>
      </c>
      <c r="B330" s="4" t="n">
        <v>2</v>
      </c>
      <c r="C330" s="2" t="s">
        <v>386</v>
      </c>
      <c r="D330" s="2" t="s">
        <v>413</v>
      </c>
      <c r="E330" s="2" t="s">
        <v>653</v>
      </c>
      <c r="F330" s="4" t="n">
        <v>1</v>
      </c>
      <c r="G330" s="6" t="n">
        <v>1</v>
      </c>
      <c r="H330" s="2" t="s">
        <v>629</v>
      </c>
    </row>
    <row r="331" customFormat="false" ht="15" hidden="false" customHeight="false" outlineLevel="0" collapsed="false">
      <c r="A331" s="2" t="s">
        <v>137</v>
      </c>
      <c r="B331" s="4" t="n">
        <v>2</v>
      </c>
      <c r="C331" s="2" t="s">
        <v>386</v>
      </c>
      <c r="D331" s="2" t="s">
        <v>383</v>
      </c>
      <c r="E331" s="2" t="s">
        <v>654</v>
      </c>
      <c r="F331" s="4" t="n">
        <v>1</v>
      </c>
      <c r="G331" s="6" t="n">
        <v>1.1</v>
      </c>
      <c r="H331" s="2" t="s">
        <v>82</v>
      </c>
    </row>
    <row r="332" customFormat="false" ht="15" hidden="false" customHeight="false" outlineLevel="0" collapsed="false">
      <c r="A332" s="2" t="s">
        <v>137</v>
      </c>
      <c r="B332" s="4" t="n">
        <v>3</v>
      </c>
      <c r="C332" s="2" t="s">
        <v>390</v>
      </c>
      <c r="D332" s="2" t="s">
        <v>387</v>
      </c>
      <c r="E332" s="2" t="s">
        <v>653</v>
      </c>
      <c r="F332" s="4" t="n">
        <v>1</v>
      </c>
      <c r="G332" s="6" t="n">
        <v>1</v>
      </c>
      <c r="H332" s="2" t="s">
        <v>629</v>
      </c>
    </row>
    <row r="333" customFormat="false" ht="15" hidden="false" customHeight="false" outlineLevel="0" collapsed="false">
      <c r="A333" s="2" t="s">
        <v>137</v>
      </c>
      <c r="B333" s="4" t="n">
        <v>4</v>
      </c>
      <c r="C333" s="2" t="s">
        <v>445</v>
      </c>
      <c r="D333" s="2" t="s">
        <v>402</v>
      </c>
      <c r="E333" s="2" t="s">
        <v>653</v>
      </c>
      <c r="F333" s="4" t="n">
        <v>1</v>
      </c>
      <c r="G333" s="6" t="n">
        <v>1</v>
      </c>
      <c r="H333" s="2" t="s">
        <v>629</v>
      </c>
    </row>
    <row r="334" customFormat="false" ht="15" hidden="false" customHeight="false" outlineLevel="0" collapsed="false">
      <c r="A334" s="2" t="s">
        <v>137</v>
      </c>
      <c r="B334" s="4" t="n">
        <v>5</v>
      </c>
      <c r="C334" s="2" t="s">
        <v>447</v>
      </c>
      <c r="D334" s="2" t="s">
        <v>421</v>
      </c>
      <c r="E334" s="2" t="s">
        <v>653</v>
      </c>
      <c r="F334" s="4" t="n">
        <v>1</v>
      </c>
      <c r="G334" s="6" t="n">
        <v>1</v>
      </c>
      <c r="H334" s="2" t="s">
        <v>629</v>
      </c>
    </row>
    <row r="335" customFormat="false" ht="15" hidden="false" customHeight="false" outlineLevel="0" collapsed="false">
      <c r="A335" s="2" t="s">
        <v>137</v>
      </c>
      <c r="B335" s="4" t="n">
        <v>6</v>
      </c>
      <c r="C335" s="2" t="s">
        <v>449</v>
      </c>
      <c r="D335" s="2" t="s">
        <v>423</v>
      </c>
      <c r="E335" s="2" t="s">
        <v>653</v>
      </c>
      <c r="F335" s="4" t="n">
        <v>1</v>
      </c>
      <c r="G335" s="6" t="n">
        <v>1</v>
      </c>
      <c r="H335" s="2" t="s">
        <v>629</v>
      </c>
    </row>
    <row r="336" customFormat="false" ht="15" hidden="false" customHeight="false" outlineLevel="0" collapsed="false">
      <c r="A336" s="2" t="s">
        <v>137</v>
      </c>
      <c r="B336" s="4" t="n">
        <v>7</v>
      </c>
      <c r="C336" s="2" t="s">
        <v>450</v>
      </c>
      <c r="D336" s="2" t="s">
        <v>406</v>
      </c>
      <c r="E336" s="2" t="s">
        <v>653</v>
      </c>
      <c r="F336" s="4" t="n">
        <v>1</v>
      </c>
      <c r="G336" s="6" t="n">
        <v>1</v>
      </c>
      <c r="H336" s="2" t="s">
        <v>629</v>
      </c>
    </row>
    <row r="337" customFormat="false" ht="15" hidden="false" customHeight="false" outlineLevel="0" collapsed="false">
      <c r="A337" s="2" t="s">
        <v>137</v>
      </c>
      <c r="B337" s="4" t="n">
        <v>8</v>
      </c>
      <c r="C337" s="2" t="s">
        <v>453</v>
      </c>
      <c r="D337" s="2" t="s">
        <v>406</v>
      </c>
      <c r="E337" s="2" t="s">
        <v>653</v>
      </c>
      <c r="F337" s="4" t="n">
        <v>1</v>
      </c>
      <c r="G337" s="6" t="n">
        <v>1</v>
      </c>
      <c r="H337" s="2" t="s">
        <v>629</v>
      </c>
    </row>
    <row r="338" customFormat="false" ht="15" hidden="false" customHeight="false" outlineLevel="0" collapsed="false">
      <c r="A338" s="2" t="s">
        <v>139</v>
      </c>
      <c r="B338" s="4" t="n">
        <v>1</v>
      </c>
      <c r="C338" s="2" t="s">
        <v>437</v>
      </c>
      <c r="D338" s="2" t="s">
        <v>375</v>
      </c>
      <c r="E338" s="2" t="s">
        <v>653</v>
      </c>
      <c r="F338" s="4" t="n">
        <v>1</v>
      </c>
      <c r="G338" s="6" t="n">
        <v>1</v>
      </c>
      <c r="H338" s="2" t="s">
        <v>629</v>
      </c>
    </row>
    <row r="339" customFormat="false" ht="15" hidden="false" customHeight="false" outlineLevel="0" collapsed="false">
      <c r="A339" s="2" t="s">
        <v>139</v>
      </c>
      <c r="B339" s="4" t="n">
        <v>2</v>
      </c>
      <c r="C339" s="2" t="s">
        <v>386</v>
      </c>
      <c r="D339" s="2" t="s">
        <v>413</v>
      </c>
      <c r="E339" s="2" t="s">
        <v>653</v>
      </c>
      <c r="F339" s="4" t="n">
        <v>1</v>
      </c>
      <c r="G339" s="6" t="n">
        <v>1</v>
      </c>
      <c r="H339" s="2" t="s">
        <v>629</v>
      </c>
    </row>
    <row r="340" customFormat="false" ht="15" hidden="false" customHeight="false" outlineLevel="0" collapsed="false">
      <c r="A340" s="2" t="s">
        <v>139</v>
      </c>
      <c r="B340" s="4" t="n">
        <v>2</v>
      </c>
      <c r="C340" s="2" t="s">
        <v>386</v>
      </c>
      <c r="D340" s="2" t="s">
        <v>383</v>
      </c>
      <c r="E340" s="2" t="s">
        <v>654</v>
      </c>
      <c r="F340" s="4" t="n">
        <v>1</v>
      </c>
      <c r="G340" s="6" t="n">
        <v>1.1</v>
      </c>
      <c r="H340" s="2" t="s">
        <v>82</v>
      </c>
    </row>
    <row r="341" customFormat="false" ht="15" hidden="false" customHeight="false" outlineLevel="0" collapsed="false">
      <c r="A341" s="2" t="s">
        <v>139</v>
      </c>
      <c r="B341" s="4" t="n">
        <v>3</v>
      </c>
      <c r="C341" s="2" t="s">
        <v>390</v>
      </c>
      <c r="D341" s="2" t="s">
        <v>387</v>
      </c>
      <c r="E341" s="2" t="s">
        <v>653</v>
      </c>
      <c r="F341" s="4" t="n">
        <v>1</v>
      </c>
      <c r="G341" s="6" t="n">
        <v>1</v>
      </c>
      <c r="H341" s="2" t="s">
        <v>629</v>
      </c>
    </row>
    <row r="342" customFormat="false" ht="15" hidden="false" customHeight="false" outlineLevel="0" collapsed="false">
      <c r="A342" s="2" t="s">
        <v>139</v>
      </c>
      <c r="B342" s="4" t="n">
        <v>4</v>
      </c>
      <c r="C342" s="2" t="s">
        <v>445</v>
      </c>
      <c r="D342" s="2" t="s">
        <v>402</v>
      </c>
      <c r="E342" s="2" t="s">
        <v>653</v>
      </c>
      <c r="F342" s="4" t="n">
        <v>1</v>
      </c>
      <c r="G342" s="6" t="n">
        <v>1</v>
      </c>
      <c r="H342" s="2" t="s">
        <v>629</v>
      </c>
    </row>
    <row r="343" customFormat="false" ht="15" hidden="false" customHeight="false" outlineLevel="0" collapsed="false">
      <c r="A343" s="2" t="s">
        <v>139</v>
      </c>
      <c r="B343" s="4" t="n">
        <v>5</v>
      </c>
      <c r="C343" s="2" t="s">
        <v>447</v>
      </c>
      <c r="D343" s="2" t="s">
        <v>421</v>
      </c>
      <c r="E343" s="2" t="s">
        <v>653</v>
      </c>
      <c r="F343" s="4" t="n">
        <v>1</v>
      </c>
      <c r="G343" s="6" t="n">
        <v>1</v>
      </c>
      <c r="H343" s="2" t="s">
        <v>629</v>
      </c>
    </row>
    <row r="344" customFormat="false" ht="15" hidden="false" customHeight="false" outlineLevel="0" collapsed="false">
      <c r="A344" s="2" t="s">
        <v>139</v>
      </c>
      <c r="B344" s="4" t="n">
        <v>6</v>
      </c>
      <c r="C344" s="2" t="s">
        <v>449</v>
      </c>
      <c r="D344" s="2" t="s">
        <v>423</v>
      </c>
      <c r="E344" s="2" t="s">
        <v>653</v>
      </c>
      <c r="F344" s="4" t="n">
        <v>1</v>
      </c>
      <c r="G344" s="6" t="n">
        <v>1</v>
      </c>
      <c r="H344" s="2" t="s">
        <v>629</v>
      </c>
    </row>
    <row r="345" customFormat="false" ht="15" hidden="false" customHeight="false" outlineLevel="0" collapsed="false">
      <c r="A345" s="2" t="s">
        <v>139</v>
      </c>
      <c r="B345" s="4" t="n">
        <v>7</v>
      </c>
      <c r="C345" s="2" t="s">
        <v>450</v>
      </c>
      <c r="D345" s="2" t="s">
        <v>406</v>
      </c>
      <c r="E345" s="2" t="s">
        <v>653</v>
      </c>
      <c r="F345" s="4" t="n">
        <v>1</v>
      </c>
      <c r="G345" s="6" t="n">
        <v>1</v>
      </c>
      <c r="H345" s="2" t="s">
        <v>629</v>
      </c>
    </row>
    <row r="346" customFormat="false" ht="15" hidden="false" customHeight="false" outlineLevel="0" collapsed="false">
      <c r="A346" s="2" t="s">
        <v>139</v>
      </c>
      <c r="B346" s="4" t="n">
        <v>8</v>
      </c>
      <c r="C346" s="2" t="s">
        <v>453</v>
      </c>
      <c r="D346" s="2" t="s">
        <v>406</v>
      </c>
      <c r="E346" s="2" t="s">
        <v>653</v>
      </c>
      <c r="F346" s="4" t="n">
        <v>1</v>
      </c>
      <c r="G346" s="6" t="n">
        <v>1</v>
      </c>
      <c r="H346" s="2" t="s">
        <v>629</v>
      </c>
    </row>
    <row r="347" customFormat="false" ht="15" hidden="false" customHeight="false" outlineLevel="0" collapsed="false">
      <c r="A347" s="2" t="s">
        <v>140</v>
      </c>
      <c r="B347" s="4" t="n">
        <v>1</v>
      </c>
      <c r="C347" s="2" t="s">
        <v>437</v>
      </c>
      <c r="D347" s="2" t="s">
        <v>375</v>
      </c>
      <c r="E347" s="2" t="s">
        <v>653</v>
      </c>
      <c r="F347" s="4" t="n">
        <v>1</v>
      </c>
      <c r="G347" s="6" t="n">
        <v>1</v>
      </c>
      <c r="H347" s="2" t="s">
        <v>629</v>
      </c>
    </row>
    <row r="348" customFormat="false" ht="15" hidden="false" customHeight="false" outlineLevel="0" collapsed="false">
      <c r="A348" s="2" t="s">
        <v>140</v>
      </c>
      <c r="B348" s="4" t="n">
        <v>2</v>
      </c>
      <c r="C348" s="2" t="s">
        <v>386</v>
      </c>
      <c r="D348" s="2" t="s">
        <v>413</v>
      </c>
      <c r="E348" s="2" t="s">
        <v>653</v>
      </c>
      <c r="F348" s="4" t="n">
        <v>1</v>
      </c>
      <c r="G348" s="6" t="n">
        <v>1</v>
      </c>
      <c r="H348" s="2" t="s">
        <v>629</v>
      </c>
    </row>
    <row r="349" customFormat="false" ht="15" hidden="false" customHeight="false" outlineLevel="0" collapsed="false">
      <c r="A349" s="2" t="s">
        <v>140</v>
      </c>
      <c r="B349" s="4" t="n">
        <v>2</v>
      </c>
      <c r="C349" s="2" t="s">
        <v>386</v>
      </c>
      <c r="D349" s="2" t="s">
        <v>383</v>
      </c>
      <c r="E349" s="2" t="s">
        <v>654</v>
      </c>
      <c r="F349" s="4" t="n">
        <v>1</v>
      </c>
      <c r="G349" s="6" t="n">
        <v>1.1</v>
      </c>
      <c r="H349" s="2" t="s">
        <v>82</v>
      </c>
    </row>
    <row r="350" customFormat="false" ht="15" hidden="false" customHeight="false" outlineLevel="0" collapsed="false">
      <c r="A350" s="2" t="s">
        <v>140</v>
      </c>
      <c r="B350" s="4" t="n">
        <v>3</v>
      </c>
      <c r="C350" s="2" t="s">
        <v>390</v>
      </c>
      <c r="D350" s="2" t="s">
        <v>387</v>
      </c>
      <c r="E350" s="2" t="s">
        <v>653</v>
      </c>
      <c r="F350" s="4" t="n">
        <v>1</v>
      </c>
      <c r="G350" s="6" t="n">
        <v>1</v>
      </c>
      <c r="H350" s="2" t="s">
        <v>629</v>
      </c>
    </row>
    <row r="351" customFormat="false" ht="15" hidden="false" customHeight="false" outlineLevel="0" collapsed="false">
      <c r="A351" s="2" t="s">
        <v>140</v>
      </c>
      <c r="B351" s="4" t="n">
        <v>4</v>
      </c>
      <c r="C351" s="2" t="s">
        <v>445</v>
      </c>
      <c r="D351" s="2" t="s">
        <v>402</v>
      </c>
      <c r="E351" s="2" t="s">
        <v>653</v>
      </c>
      <c r="F351" s="4" t="n">
        <v>1</v>
      </c>
      <c r="G351" s="6" t="n">
        <v>1</v>
      </c>
      <c r="H351" s="2" t="s">
        <v>629</v>
      </c>
    </row>
    <row r="352" customFormat="false" ht="15" hidden="false" customHeight="false" outlineLevel="0" collapsed="false">
      <c r="A352" s="2" t="s">
        <v>140</v>
      </c>
      <c r="B352" s="4" t="n">
        <v>5</v>
      </c>
      <c r="C352" s="2" t="s">
        <v>447</v>
      </c>
      <c r="D352" s="2" t="s">
        <v>421</v>
      </c>
      <c r="E352" s="2" t="s">
        <v>653</v>
      </c>
      <c r="F352" s="4" t="n">
        <v>1</v>
      </c>
      <c r="G352" s="6" t="n">
        <v>1</v>
      </c>
      <c r="H352" s="2" t="s">
        <v>629</v>
      </c>
    </row>
    <row r="353" customFormat="false" ht="15" hidden="false" customHeight="false" outlineLevel="0" collapsed="false">
      <c r="A353" s="2" t="s">
        <v>140</v>
      </c>
      <c r="B353" s="4" t="n">
        <v>6</v>
      </c>
      <c r="C353" s="2" t="s">
        <v>449</v>
      </c>
      <c r="D353" s="2" t="s">
        <v>423</v>
      </c>
      <c r="E353" s="2" t="s">
        <v>653</v>
      </c>
      <c r="F353" s="4" t="n">
        <v>1</v>
      </c>
      <c r="G353" s="6" t="n">
        <v>1</v>
      </c>
      <c r="H353" s="2" t="s">
        <v>629</v>
      </c>
    </row>
    <row r="354" customFormat="false" ht="15" hidden="false" customHeight="false" outlineLevel="0" collapsed="false">
      <c r="A354" s="2" t="s">
        <v>140</v>
      </c>
      <c r="B354" s="4" t="n">
        <v>7</v>
      </c>
      <c r="C354" s="2" t="s">
        <v>450</v>
      </c>
      <c r="D354" s="2" t="s">
        <v>406</v>
      </c>
      <c r="E354" s="2" t="s">
        <v>653</v>
      </c>
      <c r="F354" s="4" t="n">
        <v>1</v>
      </c>
      <c r="G354" s="6" t="n">
        <v>1</v>
      </c>
      <c r="H354" s="2" t="s">
        <v>629</v>
      </c>
    </row>
    <row r="355" customFormat="false" ht="15" hidden="false" customHeight="false" outlineLevel="0" collapsed="false">
      <c r="A355" s="2" t="s">
        <v>140</v>
      </c>
      <c r="B355" s="4" t="n">
        <v>8</v>
      </c>
      <c r="C355" s="2" t="s">
        <v>453</v>
      </c>
      <c r="D355" s="2" t="s">
        <v>406</v>
      </c>
      <c r="E355" s="2" t="s">
        <v>653</v>
      </c>
      <c r="F355" s="4" t="n">
        <v>1</v>
      </c>
      <c r="G355" s="6" t="n">
        <v>1</v>
      </c>
      <c r="H355" s="2" t="s">
        <v>629</v>
      </c>
    </row>
    <row r="356" customFormat="false" ht="15" hidden="false" customHeight="false" outlineLevel="0" collapsed="false">
      <c r="A356" s="2" t="s">
        <v>141</v>
      </c>
      <c r="B356" s="4" t="n">
        <v>1</v>
      </c>
      <c r="C356" s="2" t="s">
        <v>437</v>
      </c>
      <c r="D356" s="2" t="s">
        <v>375</v>
      </c>
      <c r="E356" s="2" t="s">
        <v>653</v>
      </c>
      <c r="F356" s="4" t="n">
        <v>1</v>
      </c>
      <c r="G356" s="6" t="n">
        <v>1</v>
      </c>
      <c r="H356" s="2" t="s">
        <v>629</v>
      </c>
    </row>
    <row r="357" customFormat="false" ht="15" hidden="false" customHeight="false" outlineLevel="0" collapsed="false">
      <c r="A357" s="2" t="s">
        <v>141</v>
      </c>
      <c r="B357" s="4" t="n">
        <v>2</v>
      </c>
      <c r="C357" s="2" t="s">
        <v>386</v>
      </c>
      <c r="D357" s="2" t="s">
        <v>413</v>
      </c>
      <c r="E357" s="2" t="s">
        <v>653</v>
      </c>
      <c r="F357" s="4" t="n">
        <v>1</v>
      </c>
      <c r="G357" s="6" t="n">
        <v>1</v>
      </c>
      <c r="H357" s="2" t="s">
        <v>629</v>
      </c>
    </row>
    <row r="358" customFormat="false" ht="15" hidden="false" customHeight="false" outlineLevel="0" collapsed="false">
      <c r="A358" s="2" t="s">
        <v>141</v>
      </c>
      <c r="B358" s="4" t="n">
        <v>2</v>
      </c>
      <c r="C358" s="2" t="s">
        <v>386</v>
      </c>
      <c r="D358" s="2" t="s">
        <v>383</v>
      </c>
      <c r="E358" s="2" t="s">
        <v>654</v>
      </c>
      <c r="F358" s="4" t="n">
        <v>1</v>
      </c>
      <c r="G358" s="6" t="n">
        <v>1.1</v>
      </c>
      <c r="H358" s="2" t="s">
        <v>82</v>
      </c>
    </row>
    <row r="359" customFormat="false" ht="15" hidden="false" customHeight="false" outlineLevel="0" collapsed="false">
      <c r="A359" s="2" t="s">
        <v>141</v>
      </c>
      <c r="B359" s="4" t="n">
        <v>3</v>
      </c>
      <c r="C359" s="2" t="s">
        <v>390</v>
      </c>
      <c r="D359" s="2" t="s">
        <v>387</v>
      </c>
      <c r="E359" s="2" t="s">
        <v>653</v>
      </c>
      <c r="F359" s="4" t="n">
        <v>1</v>
      </c>
      <c r="G359" s="6" t="n">
        <v>1</v>
      </c>
      <c r="H359" s="2" t="s">
        <v>629</v>
      </c>
    </row>
    <row r="360" customFormat="false" ht="15" hidden="false" customHeight="false" outlineLevel="0" collapsed="false">
      <c r="A360" s="2" t="s">
        <v>141</v>
      </c>
      <c r="B360" s="4" t="n">
        <v>4</v>
      </c>
      <c r="C360" s="2" t="s">
        <v>445</v>
      </c>
      <c r="D360" s="2" t="s">
        <v>402</v>
      </c>
      <c r="E360" s="2" t="s">
        <v>653</v>
      </c>
      <c r="F360" s="4" t="n">
        <v>1</v>
      </c>
      <c r="G360" s="6" t="n">
        <v>1</v>
      </c>
      <c r="H360" s="2" t="s">
        <v>629</v>
      </c>
    </row>
    <row r="361" customFormat="false" ht="15" hidden="false" customHeight="false" outlineLevel="0" collapsed="false">
      <c r="A361" s="2" t="s">
        <v>141</v>
      </c>
      <c r="B361" s="4" t="n">
        <v>5</v>
      </c>
      <c r="C361" s="2" t="s">
        <v>447</v>
      </c>
      <c r="D361" s="2" t="s">
        <v>421</v>
      </c>
      <c r="E361" s="2" t="s">
        <v>653</v>
      </c>
      <c r="F361" s="4" t="n">
        <v>1</v>
      </c>
      <c r="G361" s="6" t="n">
        <v>1</v>
      </c>
      <c r="H361" s="2" t="s">
        <v>629</v>
      </c>
    </row>
    <row r="362" customFormat="false" ht="15" hidden="false" customHeight="false" outlineLevel="0" collapsed="false">
      <c r="A362" s="2" t="s">
        <v>141</v>
      </c>
      <c r="B362" s="4" t="n">
        <v>6</v>
      </c>
      <c r="C362" s="2" t="s">
        <v>449</v>
      </c>
      <c r="D362" s="2" t="s">
        <v>423</v>
      </c>
      <c r="E362" s="2" t="s">
        <v>653</v>
      </c>
      <c r="F362" s="4" t="n">
        <v>1</v>
      </c>
      <c r="G362" s="6" t="n">
        <v>1</v>
      </c>
      <c r="H362" s="2" t="s">
        <v>629</v>
      </c>
    </row>
    <row r="363" customFormat="false" ht="15" hidden="false" customHeight="false" outlineLevel="0" collapsed="false">
      <c r="A363" s="2" t="s">
        <v>141</v>
      </c>
      <c r="B363" s="4" t="n">
        <v>7</v>
      </c>
      <c r="C363" s="2" t="s">
        <v>450</v>
      </c>
      <c r="D363" s="2" t="s">
        <v>406</v>
      </c>
      <c r="E363" s="2" t="s">
        <v>653</v>
      </c>
      <c r="F363" s="4" t="n">
        <v>1</v>
      </c>
      <c r="G363" s="6" t="n">
        <v>1</v>
      </c>
      <c r="H363" s="2" t="s">
        <v>629</v>
      </c>
    </row>
    <row r="364" customFormat="false" ht="15" hidden="false" customHeight="false" outlineLevel="0" collapsed="false">
      <c r="A364" s="2" t="s">
        <v>141</v>
      </c>
      <c r="B364" s="4" t="n">
        <v>8</v>
      </c>
      <c r="C364" s="2" t="s">
        <v>453</v>
      </c>
      <c r="D364" s="2" t="s">
        <v>406</v>
      </c>
      <c r="E364" s="2" t="s">
        <v>653</v>
      </c>
      <c r="F364" s="4" t="n">
        <v>1</v>
      </c>
      <c r="G364" s="6" t="n">
        <v>1</v>
      </c>
      <c r="H364" s="2" t="s">
        <v>629</v>
      </c>
    </row>
    <row r="365" customFormat="false" ht="15" hidden="false" customHeight="false" outlineLevel="0" collapsed="false">
      <c r="A365" s="2" t="s">
        <v>143</v>
      </c>
      <c r="B365" s="4" t="n">
        <v>1</v>
      </c>
      <c r="C365" s="2" t="s">
        <v>450</v>
      </c>
      <c r="D365" s="2" t="s">
        <v>406</v>
      </c>
      <c r="E365" s="2" t="s">
        <v>653</v>
      </c>
      <c r="F365" s="4" t="n">
        <v>1</v>
      </c>
      <c r="G365" s="6" t="n">
        <v>1</v>
      </c>
      <c r="H365" s="2" t="s">
        <v>629</v>
      </c>
    </row>
    <row r="366" customFormat="false" ht="15" hidden="false" customHeight="false" outlineLevel="0" collapsed="false">
      <c r="A366" s="2" t="s">
        <v>143</v>
      </c>
      <c r="B366" s="4" t="n">
        <v>2</v>
      </c>
      <c r="C366" s="2" t="s">
        <v>453</v>
      </c>
      <c r="D366" s="2" t="s">
        <v>406</v>
      </c>
      <c r="E366" s="2" t="s">
        <v>653</v>
      </c>
      <c r="F366" s="4" t="n">
        <v>1</v>
      </c>
      <c r="G366" s="6" t="n">
        <v>1</v>
      </c>
      <c r="H366" s="2" t="s">
        <v>629</v>
      </c>
    </row>
    <row r="367" customFormat="false" ht="15" hidden="false" customHeight="false" outlineLevel="0" collapsed="false">
      <c r="A367" s="2" t="s">
        <v>144</v>
      </c>
      <c r="B367" s="4" t="n">
        <v>1</v>
      </c>
      <c r="C367" s="2" t="s">
        <v>450</v>
      </c>
      <c r="D367" s="2" t="s">
        <v>406</v>
      </c>
      <c r="E367" s="2" t="s">
        <v>653</v>
      </c>
      <c r="F367" s="4" t="n">
        <v>1</v>
      </c>
      <c r="G367" s="6" t="n">
        <v>1</v>
      </c>
      <c r="H367" s="2" t="s">
        <v>629</v>
      </c>
    </row>
    <row r="368" customFormat="false" ht="15" hidden="false" customHeight="false" outlineLevel="0" collapsed="false">
      <c r="A368" s="2" t="s">
        <v>144</v>
      </c>
      <c r="B368" s="4" t="n">
        <v>2</v>
      </c>
      <c r="C368" s="2" t="s">
        <v>453</v>
      </c>
      <c r="D368" s="2" t="s">
        <v>406</v>
      </c>
      <c r="E368" s="2" t="s">
        <v>653</v>
      </c>
      <c r="F368" s="4" t="n">
        <v>1</v>
      </c>
      <c r="G368" s="6" t="n">
        <v>1</v>
      </c>
      <c r="H368" s="2" t="s">
        <v>629</v>
      </c>
    </row>
    <row r="369" customFormat="false" ht="15" hidden="false" customHeight="false" outlineLevel="0" collapsed="false">
      <c r="A369" s="2" t="s">
        <v>145</v>
      </c>
      <c r="B369" s="4" t="n">
        <v>1</v>
      </c>
      <c r="C369" s="2" t="s">
        <v>441</v>
      </c>
      <c r="D369" s="2" t="s">
        <v>380</v>
      </c>
      <c r="E369" s="2" t="s">
        <v>653</v>
      </c>
      <c r="F369" s="4" t="n">
        <v>1</v>
      </c>
      <c r="G369" s="6" t="n">
        <v>1</v>
      </c>
      <c r="H369" s="2" t="s">
        <v>629</v>
      </c>
    </row>
    <row r="370" customFormat="false" ht="15" hidden="false" customHeight="false" outlineLevel="0" collapsed="false">
      <c r="A370" s="2" t="s">
        <v>145</v>
      </c>
      <c r="B370" s="4" t="n">
        <v>2</v>
      </c>
      <c r="C370" s="2" t="s">
        <v>386</v>
      </c>
      <c r="D370" s="2" t="s">
        <v>413</v>
      </c>
      <c r="E370" s="2" t="s">
        <v>653</v>
      </c>
      <c r="F370" s="4" t="n">
        <v>1</v>
      </c>
      <c r="G370" s="6" t="n">
        <v>1</v>
      </c>
      <c r="H370" s="2" t="s">
        <v>629</v>
      </c>
    </row>
    <row r="371" customFormat="false" ht="15" hidden="false" customHeight="false" outlineLevel="0" collapsed="false">
      <c r="A371" s="2" t="s">
        <v>145</v>
      </c>
      <c r="B371" s="4" t="n">
        <v>2</v>
      </c>
      <c r="C371" s="2" t="s">
        <v>386</v>
      </c>
      <c r="D371" s="2" t="s">
        <v>383</v>
      </c>
      <c r="E371" s="2" t="s">
        <v>654</v>
      </c>
      <c r="F371" s="4" t="n">
        <v>1</v>
      </c>
      <c r="G371" s="6" t="n">
        <v>1.1</v>
      </c>
      <c r="H371" s="2" t="s">
        <v>82</v>
      </c>
    </row>
    <row r="372" customFormat="false" ht="15" hidden="false" customHeight="false" outlineLevel="0" collapsed="false">
      <c r="A372" s="2" t="s">
        <v>145</v>
      </c>
      <c r="B372" s="4" t="n">
        <v>3</v>
      </c>
      <c r="C372" s="2" t="s">
        <v>442</v>
      </c>
      <c r="D372" s="2" t="s">
        <v>415</v>
      </c>
      <c r="E372" s="2" t="s">
        <v>653</v>
      </c>
      <c r="F372" s="4" t="n">
        <v>1</v>
      </c>
      <c r="G372" s="6" t="n">
        <v>1</v>
      </c>
      <c r="H372" s="2" t="s">
        <v>629</v>
      </c>
    </row>
    <row r="373" customFormat="false" ht="15" hidden="false" customHeight="false" outlineLevel="0" collapsed="false">
      <c r="A373" s="2" t="s">
        <v>145</v>
      </c>
      <c r="B373" s="4" t="n">
        <v>3</v>
      </c>
      <c r="C373" s="2" t="s">
        <v>442</v>
      </c>
      <c r="D373" s="2" t="s">
        <v>391</v>
      </c>
      <c r="E373" s="2" t="s">
        <v>655</v>
      </c>
      <c r="F373" s="4" t="n">
        <v>1</v>
      </c>
      <c r="G373" s="6" t="n">
        <v>1</v>
      </c>
      <c r="H373" s="2" t="s">
        <v>82</v>
      </c>
    </row>
    <row r="374" customFormat="false" ht="15" hidden="false" customHeight="false" outlineLevel="0" collapsed="false">
      <c r="A374" s="2" t="s">
        <v>145</v>
      </c>
      <c r="B374" s="4" t="n">
        <v>4</v>
      </c>
      <c r="C374" s="2" t="s">
        <v>445</v>
      </c>
      <c r="D374" s="2" t="s">
        <v>402</v>
      </c>
      <c r="E374" s="2" t="s">
        <v>653</v>
      </c>
      <c r="F374" s="4" t="n">
        <v>1</v>
      </c>
      <c r="G374" s="6" t="n">
        <v>1</v>
      </c>
      <c r="H374" s="2" t="s">
        <v>629</v>
      </c>
    </row>
    <row r="375" customFormat="false" ht="15" hidden="false" customHeight="false" outlineLevel="0" collapsed="false">
      <c r="A375" s="2" t="s">
        <v>145</v>
      </c>
      <c r="B375" s="4" t="n">
        <v>5</v>
      </c>
      <c r="C375" s="2" t="s">
        <v>447</v>
      </c>
      <c r="D375" s="2" t="s">
        <v>421</v>
      </c>
      <c r="E375" s="2" t="s">
        <v>653</v>
      </c>
      <c r="F375" s="4" t="n">
        <v>1</v>
      </c>
      <c r="G375" s="6" t="n">
        <v>1</v>
      </c>
      <c r="H375" s="2" t="s">
        <v>629</v>
      </c>
    </row>
    <row r="376" customFormat="false" ht="15" hidden="false" customHeight="false" outlineLevel="0" collapsed="false">
      <c r="A376" s="2" t="s">
        <v>145</v>
      </c>
      <c r="B376" s="4" t="n">
        <v>6</v>
      </c>
      <c r="C376" s="2" t="s">
        <v>449</v>
      </c>
      <c r="D376" s="2" t="s">
        <v>423</v>
      </c>
      <c r="E376" s="2" t="s">
        <v>653</v>
      </c>
      <c r="F376" s="4" t="n">
        <v>1</v>
      </c>
      <c r="G376" s="6" t="n">
        <v>1</v>
      </c>
      <c r="H376" s="2" t="s">
        <v>629</v>
      </c>
    </row>
    <row r="377" customFormat="false" ht="15" hidden="false" customHeight="false" outlineLevel="0" collapsed="false">
      <c r="A377" s="2" t="s">
        <v>145</v>
      </c>
      <c r="B377" s="4" t="n">
        <v>7</v>
      </c>
      <c r="C377" s="2" t="s">
        <v>450</v>
      </c>
      <c r="D377" s="2" t="s">
        <v>406</v>
      </c>
      <c r="E377" s="2" t="s">
        <v>653</v>
      </c>
      <c r="F377" s="4" t="n">
        <v>1</v>
      </c>
      <c r="G377" s="6" t="n">
        <v>1</v>
      </c>
      <c r="H377" s="2" t="s">
        <v>629</v>
      </c>
    </row>
    <row r="378" customFormat="false" ht="15" hidden="false" customHeight="false" outlineLevel="0" collapsed="false">
      <c r="A378" s="2" t="s">
        <v>145</v>
      </c>
      <c r="B378" s="4" t="n">
        <v>8</v>
      </c>
      <c r="C378" s="2" t="s">
        <v>453</v>
      </c>
      <c r="D378" s="2" t="s">
        <v>406</v>
      </c>
      <c r="E378" s="2" t="s">
        <v>653</v>
      </c>
      <c r="F378" s="4" t="n">
        <v>1</v>
      </c>
      <c r="G378" s="6" t="n">
        <v>1</v>
      </c>
      <c r="H378" s="2" t="s">
        <v>629</v>
      </c>
    </row>
    <row r="379" customFormat="false" ht="15" hidden="false" customHeight="false" outlineLevel="0" collapsed="false">
      <c r="A379" s="2" t="s">
        <v>147</v>
      </c>
      <c r="B379" s="4" t="n">
        <v>1</v>
      </c>
      <c r="C379" s="2" t="s">
        <v>441</v>
      </c>
      <c r="D379" s="2" t="s">
        <v>380</v>
      </c>
      <c r="E379" s="2" t="s">
        <v>653</v>
      </c>
      <c r="F379" s="4" t="n">
        <v>1</v>
      </c>
      <c r="G379" s="6" t="n">
        <v>1</v>
      </c>
      <c r="H379" s="2" t="s">
        <v>629</v>
      </c>
    </row>
    <row r="380" customFormat="false" ht="15" hidden="false" customHeight="false" outlineLevel="0" collapsed="false">
      <c r="A380" s="2" t="s">
        <v>147</v>
      </c>
      <c r="B380" s="4" t="n">
        <v>2</v>
      </c>
      <c r="C380" s="2" t="s">
        <v>386</v>
      </c>
      <c r="D380" s="2" t="s">
        <v>413</v>
      </c>
      <c r="E380" s="2" t="s">
        <v>653</v>
      </c>
      <c r="F380" s="4" t="n">
        <v>1</v>
      </c>
      <c r="G380" s="6" t="n">
        <v>1</v>
      </c>
      <c r="H380" s="2" t="s">
        <v>629</v>
      </c>
    </row>
    <row r="381" customFormat="false" ht="15" hidden="false" customHeight="false" outlineLevel="0" collapsed="false">
      <c r="A381" s="2" t="s">
        <v>147</v>
      </c>
      <c r="B381" s="4" t="n">
        <v>2</v>
      </c>
      <c r="C381" s="2" t="s">
        <v>386</v>
      </c>
      <c r="D381" s="2" t="s">
        <v>383</v>
      </c>
      <c r="E381" s="2" t="s">
        <v>654</v>
      </c>
      <c r="F381" s="4" t="n">
        <v>1</v>
      </c>
      <c r="G381" s="6" t="n">
        <v>1.1</v>
      </c>
      <c r="H381" s="2" t="s">
        <v>82</v>
      </c>
    </row>
    <row r="382" customFormat="false" ht="15" hidden="false" customHeight="false" outlineLevel="0" collapsed="false">
      <c r="A382" s="2" t="s">
        <v>147</v>
      </c>
      <c r="B382" s="4" t="n">
        <v>3</v>
      </c>
      <c r="C382" s="2" t="s">
        <v>442</v>
      </c>
      <c r="D382" s="2" t="s">
        <v>415</v>
      </c>
      <c r="E382" s="2" t="s">
        <v>653</v>
      </c>
      <c r="F382" s="4" t="n">
        <v>1</v>
      </c>
      <c r="G382" s="6" t="n">
        <v>1</v>
      </c>
      <c r="H382" s="2" t="s">
        <v>629</v>
      </c>
    </row>
    <row r="383" customFormat="false" ht="15" hidden="false" customHeight="false" outlineLevel="0" collapsed="false">
      <c r="A383" s="2" t="s">
        <v>147</v>
      </c>
      <c r="B383" s="4" t="n">
        <v>3</v>
      </c>
      <c r="C383" s="2" t="s">
        <v>442</v>
      </c>
      <c r="D383" s="2" t="s">
        <v>391</v>
      </c>
      <c r="E383" s="2" t="s">
        <v>655</v>
      </c>
      <c r="F383" s="4" t="n">
        <v>1</v>
      </c>
      <c r="G383" s="6" t="n">
        <v>1</v>
      </c>
      <c r="H383" s="2" t="s">
        <v>82</v>
      </c>
    </row>
    <row r="384" customFormat="false" ht="15" hidden="false" customHeight="false" outlineLevel="0" collapsed="false">
      <c r="A384" s="2" t="s">
        <v>147</v>
      </c>
      <c r="B384" s="4" t="n">
        <v>4</v>
      </c>
      <c r="C384" s="2" t="s">
        <v>445</v>
      </c>
      <c r="D384" s="2" t="s">
        <v>402</v>
      </c>
      <c r="E384" s="2" t="s">
        <v>653</v>
      </c>
      <c r="F384" s="4" t="n">
        <v>1</v>
      </c>
      <c r="G384" s="6" t="n">
        <v>1</v>
      </c>
      <c r="H384" s="2" t="s">
        <v>629</v>
      </c>
    </row>
    <row r="385" customFormat="false" ht="15" hidden="false" customHeight="false" outlineLevel="0" collapsed="false">
      <c r="A385" s="2" t="s">
        <v>147</v>
      </c>
      <c r="B385" s="4" t="n">
        <v>5</v>
      </c>
      <c r="C385" s="2" t="s">
        <v>447</v>
      </c>
      <c r="D385" s="2" t="s">
        <v>421</v>
      </c>
      <c r="E385" s="2" t="s">
        <v>653</v>
      </c>
      <c r="F385" s="4" t="n">
        <v>1</v>
      </c>
      <c r="G385" s="6" t="n">
        <v>1</v>
      </c>
      <c r="H385" s="2" t="s">
        <v>629</v>
      </c>
    </row>
    <row r="386" customFormat="false" ht="15" hidden="false" customHeight="false" outlineLevel="0" collapsed="false">
      <c r="A386" s="2" t="s">
        <v>147</v>
      </c>
      <c r="B386" s="4" t="n">
        <v>6</v>
      </c>
      <c r="C386" s="2" t="s">
        <v>449</v>
      </c>
      <c r="D386" s="2" t="s">
        <v>423</v>
      </c>
      <c r="E386" s="2" t="s">
        <v>653</v>
      </c>
      <c r="F386" s="4" t="n">
        <v>1</v>
      </c>
      <c r="G386" s="6" t="n">
        <v>1</v>
      </c>
      <c r="H386" s="2" t="s">
        <v>629</v>
      </c>
    </row>
    <row r="387" customFormat="false" ht="15" hidden="false" customHeight="false" outlineLevel="0" collapsed="false">
      <c r="A387" s="2" t="s">
        <v>147</v>
      </c>
      <c r="B387" s="4" t="n">
        <v>7</v>
      </c>
      <c r="C387" s="2" t="s">
        <v>450</v>
      </c>
      <c r="D387" s="2" t="s">
        <v>406</v>
      </c>
      <c r="E387" s="2" t="s">
        <v>653</v>
      </c>
      <c r="F387" s="4" t="n">
        <v>1</v>
      </c>
      <c r="G387" s="6" t="n">
        <v>1</v>
      </c>
      <c r="H387" s="2" t="s">
        <v>629</v>
      </c>
    </row>
    <row r="388" customFormat="false" ht="15" hidden="false" customHeight="false" outlineLevel="0" collapsed="false">
      <c r="A388" s="2" t="s">
        <v>147</v>
      </c>
      <c r="B388" s="4" t="n">
        <v>8</v>
      </c>
      <c r="C388" s="2" t="s">
        <v>453</v>
      </c>
      <c r="D388" s="2" t="s">
        <v>406</v>
      </c>
      <c r="E388" s="2" t="s">
        <v>653</v>
      </c>
      <c r="F388" s="4" t="n">
        <v>1</v>
      </c>
      <c r="G388" s="6" t="n">
        <v>1</v>
      </c>
      <c r="H388" s="2" t="s">
        <v>629</v>
      </c>
    </row>
    <row r="389" customFormat="false" ht="15" hidden="false" customHeight="false" outlineLevel="0" collapsed="false">
      <c r="A389" s="2" t="s">
        <v>148</v>
      </c>
      <c r="B389" s="4" t="n">
        <v>1</v>
      </c>
      <c r="C389" s="2" t="s">
        <v>450</v>
      </c>
      <c r="D389" s="2" t="s">
        <v>406</v>
      </c>
      <c r="E389" s="2" t="s">
        <v>653</v>
      </c>
      <c r="F389" s="4" t="n">
        <v>1</v>
      </c>
      <c r="G389" s="6" t="n">
        <v>1</v>
      </c>
      <c r="H389" s="2" t="s">
        <v>629</v>
      </c>
    </row>
    <row r="390" customFormat="false" ht="15" hidden="false" customHeight="false" outlineLevel="0" collapsed="false">
      <c r="A390" s="2" t="s">
        <v>148</v>
      </c>
      <c r="B390" s="4" t="n">
        <v>2</v>
      </c>
      <c r="C390" s="2" t="s">
        <v>453</v>
      </c>
      <c r="D390" s="2" t="s">
        <v>406</v>
      </c>
      <c r="E390" s="2" t="s">
        <v>653</v>
      </c>
      <c r="F390" s="4" t="n">
        <v>1</v>
      </c>
      <c r="G390" s="6" t="n">
        <v>1</v>
      </c>
      <c r="H390" s="2" t="s">
        <v>629</v>
      </c>
    </row>
    <row r="391" customFormat="false" ht="15" hidden="false" customHeight="false" outlineLevel="0" collapsed="false">
      <c r="A391" s="2" t="s">
        <v>149</v>
      </c>
      <c r="B391" s="4" t="n">
        <v>1</v>
      </c>
      <c r="C391" s="2" t="s">
        <v>441</v>
      </c>
      <c r="D391" s="2" t="s">
        <v>380</v>
      </c>
      <c r="E391" s="2" t="s">
        <v>653</v>
      </c>
      <c r="F391" s="4" t="n">
        <v>1</v>
      </c>
      <c r="G391" s="6" t="n">
        <v>1</v>
      </c>
      <c r="H391" s="2" t="s">
        <v>629</v>
      </c>
    </row>
    <row r="392" customFormat="false" ht="15" hidden="false" customHeight="false" outlineLevel="0" collapsed="false">
      <c r="A392" s="2" t="s">
        <v>149</v>
      </c>
      <c r="B392" s="4" t="n">
        <v>2</v>
      </c>
      <c r="C392" s="2" t="s">
        <v>386</v>
      </c>
      <c r="D392" s="2" t="s">
        <v>413</v>
      </c>
      <c r="E392" s="2" t="s">
        <v>653</v>
      </c>
      <c r="F392" s="4" t="n">
        <v>1</v>
      </c>
      <c r="G392" s="6" t="n">
        <v>1</v>
      </c>
      <c r="H392" s="2" t="s">
        <v>629</v>
      </c>
    </row>
    <row r="393" customFormat="false" ht="15" hidden="false" customHeight="false" outlineLevel="0" collapsed="false">
      <c r="A393" s="2" t="s">
        <v>149</v>
      </c>
      <c r="B393" s="4" t="n">
        <v>2</v>
      </c>
      <c r="C393" s="2" t="s">
        <v>386</v>
      </c>
      <c r="D393" s="2" t="s">
        <v>383</v>
      </c>
      <c r="E393" s="2" t="s">
        <v>654</v>
      </c>
      <c r="F393" s="4" t="n">
        <v>1</v>
      </c>
      <c r="G393" s="6" t="n">
        <v>1.1</v>
      </c>
      <c r="H393" s="2" t="s">
        <v>82</v>
      </c>
    </row>
    <row r="394" customFormat="false" ht="15" hidden="false" customHeight="false" outlineLevel="0" collapsed="false">
      <c r="A394" s="2" t="s">
        <v>149</v>
      </c>
      <c r="B394" s="4" t="n">
        <v>3</v>
      </c>
      <c r="C394" s="2" t="s">
        <v>442</v>
      </c>
      <c r="D394" s="2" t="s">
        <v>415</v>
      </c>
      <c r="E394" s="2" t="s">
        <v>653</v>
      </c>
      <c r="F394" s="4" t="n">
        <v>1</v>
      </c>
      <c r="G394" s="6" t="n">
        <v>1</v>
      </c>
      <c r="H394" s="2" t="s">
        <v>629</v>
      </c>
    </row>
    <row r="395" customFormat="false" ht="15" hidden="false" customHeight="false" outlineLevel="0" collapsed="false">
      <c r="A395" s="2" t="s">
        <v>149</v>
      </c>
      <c r="B395" s="4" t="n">
        <v>3</v>
      </c>
      <c r="C395" s="2" t="s">
        <v>442</v>
      </c>
      <c r="D395" s="2" t="s">
        <v>391</v>
      </c>
      <c r="E395" s="2" t="s">
        <v>655</v>
      </c>
      <c r="F395" s="4" t="n">
        <v>1</v>
      </c>
      <c r="G395" s="6" t="n">
        <v>1</v>
      </c>
      <c r="H395" s="2" t="s">
        <v>82</v>
      </c>
    </row>
    <row r="396" customFormat="false" ht="15" hidden="false" customHeight="false" outlineLevel="0" collapsed="false">
      <c r="A396" s="2" t="s">
        <v>149</v>
      </c>
      <c r="B396" s="4" t="n">
        <v>4</v>
      </c>
      <c r="C396" s="2" t="s">
        <v>445</v>
      </c>
      <c r="D396" s="2" t="s">
        <v>402</v>
      </c>
      <c r="E396" s="2" t="s">
        <v>653</v>
      </c>
      <c r="F396" s="4" t="n">
        <v>1</v>
      </c>
      <c r="G396" s="6" t="n">
        <v>1</v>
      </c>
      <c r="H396" s="2" t="s">
        <v>629</v>
      </c>
    </row>
    <row r="397" customFormat="false" ht="15" hidden="false" customHeight="false" outlineLevel="0" collapsed="false">
      <c r="A397" s="2" t="s">
        <v>149</v>
      </c>
      <c r="B397" s="4" t="n">
        <v>5</v>
      </c>
      <c r="C397" s="2" t="s">
        <v>447</v>
      </c>
      <c r="D397" s="2" t="s">
        <v>421</v>
      </c>
      <c r="E397" s="2" t="s">
        <v>653</v>
      </c>
      <c r="F397" s="4" t="n">
        <v>1</v>
      </c>
      <c r="G397" s="6" t="n">
        <v>1</v>
      </c>
      <c r="H397" s="2" t="s">
        <v>629</v>
      </c>
    </row>
    <row r="398" customFormat="false" ht="15" hidden="false" customHeight="false" outlineLevel="0" collapsed="false">
      <c r="A398" s="2" t="s">
        <v>149</v>
      </c>
      <c r="B398" s="4" t="n">
        <v>6</v>
      </c>
      <c r="C398" s="2" t="s">
        <v>449</v>
      </c>
      <c r="D398" s="2" t="s">
        <v>423</v>
      </c>
      <c r="E398" s="2" t="s">
        <v>653</v>
      </c>
      <c r="F398" s="4" t="n">
        <v>1</v>
      </c>
      <c r="G398" s="6" t="n">
        <v>1</v>
      </c>
      <c r="H398" s="2" t="s">
        <v>629</v>
      </c>
    </row>
    <row r="399" customFormat="false" ht="15" hidden="false" customHeight="false" outlineLevel="0" collapsed="false">
      <c r="A399" s="2" t="s">
        <v>149</v>
      </c>
      <c r="B399" s="4" t="n">
        <v>7</v>
      </c>
      <c r="C399" s="2" t="s">
        <v>450</v>
      </c>
      <c r="D399" s="2" t="s">
        <v>406</v>
      </c>
      <c r="E399" s="2" t="s">
        <v>653</v>
      </c>
      <c r="F399" s="4" t="n">
        <v>1</v>
      </c>
      <c r="G399" s="6" t="n">
        <v>1</v>
      </c>
      <c r="H399" s="2" t="s">
        <v>629</v>
      </c>
    </row>
    <row r="400" customFormat="false" ht="15" hidden="false" customHeight="false" outlineLevel="0" collapsed="false">
      <c r="A400" s="2" t="s">
        <v>149</v>
      </c>
      <c r="B400" s="4" t="n">
        <v>8</v>
      </c>
      <c r="C400" s="2" t="s">
        <v>453</v>
      </c>
      <c r="D400" s="2" t="s">
        <v>406</v>
      </c>
      <c r="E400" s="2" t="s">
        <v>653</v>
      </c>
      <c r="F400" s="4" t="n">
        <v>1</v>
      </c>
      <c r="G400" s="6" t="n">
        <v>1</v>
      </c>
      <c r="H400" s="2" t="s">
        <v>629</v>
      </c>
    </row>
    <row r="401" customFormat="false" ht="15" hidden="false" customHeight="false" outlineLevel="0" collapsed="false">
      <c r="A401" s="2" t="s">
        <v>151</v>
      </c>
      <c r="B401" s="4" t="n">
        <v>1</v>
      </c>
      <c r="C401" s="2" t="s">
        <v>441</v>
      </c>
      <c r="D401" s="2" t="s">
        <v>380</v>
      </c>
      <c r="E401" s="2" t="s">
        <v>653</v>
      </c>
      <c r="F401" s="4" t="n">
        <v>1</v>
      </c>
      <c r="G401" s="6" t="n">
        <v>1</v>
      </c>
      <c r="H401" s="2" t="s">
        <v>629</v>
      </c>
    </row>
    <row r="402" customFormat="false" ht="15" hidden="false" customHeight="false" outlineLevel="0" collapsed="false">
      <c r="A402" s="2" t="s">
        <v>151</v>
      </c>
      <c r="B402" s="4" t="n">
        <v>2</v>
      </c>
      <c r="C402" s="2" t="s">
        <v>386</v>
      </c>
      <c r="D402" s="2" t="s">
        <v>413</v>
      </c>
      <c r="E402" s="2" t="s">
        <v>653</v>
      </c>
      <c r="F402" s="4" t="n">
        <v>1</v>
      </c>
      <c r="G402" s="6" t="n">
        <v>1</v>
      </c>
      <c r="H402" s="2" t="s">
        <v>629</v>
      </c>
    </row>
    <row r="403" customFormat="false" ht="15" hidden="false" customHeight="false" outlineLevel="0" collapsed="false">
      <c r="A403" s="2" t="s">
        <v>151</v>
      </c>
      <c r="B403" s="4" t="n">
        <v>2</v>
      </c>
      <c r="C403" s="2" t="s">
        <v>386</v>
      </c>
      <c r="D403" s="2" t="s">
        <v>383</v>
      </c>
      <c r="E403" s="2" t="s">
        <v>654</v>
      </c>
      <c r="F403" s="4" t="n">
        <v>1</v>
      </c>
      <c r="G403" s="6" t="n">
        <v>1.1</v>
      </c>
      <c r="H403" s="2" t="s">
        <v>82</v>
      </c>
    </row>
    <row r="404" customFormat="false" ht="15" hidden="false" customHeight="false" outlineLevel="0" collapsed="false">
      <c r="A404" s="2" t="s">
        <v>151</v>
      </c>
      <c r="B404" s="4" t="n">
        <v>3</v>
      </c>
      <c r="C404" s="2" t="s">
        <v>442</v>
      </c>
      <c r="D404" s="2" t="s">
        <v>415</v>
      </c>
      <c r="E404" s="2" t="s">
        <v>653</v>
      </c>
      <c r="F404" s="4" t="n">
        <v>1</v>
      </c>
      <c r="G404" s="6" t="n">
        <v>1</v>
      </c>
      <c r="H404" s="2" t="s">
        <v>629</v>
      </c>
    </row>
    <row r="405" customFormat="false" ht="15" hidden="false" customHeight="false" outlineLevel="0" collapsed="false">
      <c r="A405" s="2" t="s">
        <v>151</v>
      </c>
      <c r="B405" s="4" t="n">
        <v>3</v>
      </c>
      <c r="C405" s="2" t="s">
        <v>442</v>
      </c>
      <c r="D405" s="2" t="s">
        <v>391</v>
      </c>
      <c r="E405" s="2" t="s">
        <v>655</v>
      </c>
      <c r="F405" s="4" t="n">
        <v>1</v>
      </c>
      <c r="G405" s="6" t="n">
        <v>1</v>
      </c>
      <c r="H405" s="2" t="s">
        <v>82</v>
      </c>
    </row>
    <row r="406" customFormat="false" ht="15" hidden="false" customHeight="false" outlineLevel="0" collapsed="false">
      <c r="A406" s="2" t="s">
        <v>151</v>
      </c>
      <c r="B406" s="4" t="n">
        <v>4</v>
      </c>
      <c r="C406" s="2" t="s">
        <v>445</v>
      </c>
      <c r="D406" s="2" t="s">
        <v>402</v>
      </c>
      <c r="E406" s="2" t="s">
        <v>653</v>
      </c>
      <c r="F406" s="4" t="n">
        <v>1</v>
      </c>
      <c r="G406" s="6" t="n">
        <v>1</v>
      </c>
      <c r="H406" s="2" t="s">
        <v>629</v>
      </c>
    </row>
    <row r="407" customFormat="false" ht="15" hidden="false" customHeight="false" outlineLevel="0" collapsed="false">
      <c r="A407" s="2" t="s">
        <v>151</v>
      </c>
      <c r="B407" s="4" t="n">
        <v>5</v>
      </c>
      <c r="C407" s="2" t="s">
        <v>447</v>
      </c>
      <c r="D407" s="2" t="s">
        <v>421</v>
      </c>
      <c r="E407" s="2" t="s">
        <v>653</v>
      </c>
      <c r="F407" s="4" t="n">
        <v>1</v>
      </c>
      <c r="G407" s="6" t="n">
        <v>1</v>
      </c>
      <c r="H407" s="2" t="s">
        <v>629</v>
      </c>
    </row>
    <row r="408" customFormat="false" ht="15" hidden="false" customHeight="false" outlineLevel="0" collapsed="false">
      <c r="A408" s="2" t="s">
        <v>151</v>
      </c>
      <c r="B408" s="4" t="n">
        <v>6</v>
      </c>
      <c r="C408" s="2" t="s">
        <v>449</v>
      </c>
      <c r="D408" s="2" t="s">
        <v>423</v>
      </c>
      <c r="E408" s="2" t="s">
        <v>653</v>
      </c>
      <c r="F408" s="4" t="n">
        <v>1</v>
      </c>
      <c r="G408" s="6" t="n">
        <v>1</v>
      </c>
      <c r="H408" s="2" t="s">
        <v>629</v>
      </c>
    </row>
    <row r="409" customFormat="false" ht="15" hidden="false" customHeight="false" outlineLevel="0" collapsed="false">
      <c r="A409" s="2" t="s">
        <v>151</v>
      </c>
      <c r="B409" s="4" t="n">
        <v>7</v>
      </c>
      <c r="C409" s="2" t="s">
        <v>450</v>
      </c>
      <c r="D409" s="2" t="s">
        <v>406</v>
      </c>
      <c r="E409" s="2" t="s">
        <v>653</v>
      </c>
      <c r="F409" s="4" t="n">
        <v>1</v>
      </c>
      <c r="G409" s="6" t="n">
        <v>1</v>
      </c>
      <c r="H409" s="2" t="s">
        <v>629</v>
      </c>
    </row>
    <row r="410" customFormat="false" ht="15" hidden="false" customHeight="false" outlineLevel="0" collapsed="false">
      <c r="A410" s="2" t="s">
        <v>151</v>
      </c>
      <c r="B410" s="4" t="n">
        <v>8</v>
      </c>
      <c r="C410" s="2" t="s">
        <v>453</v>
      </c>
      <c r="D410" s="2" t="s">
        <v>406</v>
      </c>
      <c r="E410" s="2" t="s">
        <v>653</v>
      </c>
      <c r="F410" s="4" t="n">
        <v>1</v>
      </c>
      <c r="G410" s="6" t="n">
        <v>1</v>
      </c>
      <c r="H410" s="2" t="s">
        <v>629</v>
      </c>
    </row>
    <row r="411" customFormat="false" ht="15" hidden="false" customHeight="false" outlineLevel="0" collapsed="false">
      <c r="A411" s="2" t="s">
        <v>153</v>
      </c>
      <c r="B411" s="4" t="n">
        <v>1</v>
      </c>
      <c r="C411" s="2" t="s">
        <v>441</v>
      </c>
      <c r="D411" s="2" t="s">
        <v>380</v>
      </c>
      <c r="E411" s="2" t="s">
        <v>653</v>
      </c>
      <c r="F411" s="4" t="n">
        <v>1</v>
      </c>
      <c r="G411" s="6" t="n">
        <v>1</v>
      </c>
      <c r="H411" s="2" t="s">
        <v>629</v>
      </c>
    </row>
    <row r="412" customFormat="false" ht="15" hidden="false" customHeight="false" outlineLevel="0" collapsed="false">
      <c r="A412" s="2" t="s">
        <v>153</v>
      </c>
      <c r="B412" s="4" t="n">
        <v>2</v>
      </c>
      <c r="C412" s="2" t="s">
        <v>386</v>
      </c>
      <c r="D412" s="2" t="s">
        <v>413</v>
      </c>
      <c r="E412" s="2" t="s">
        <v>653</v>
      </c>
      <c r="F412" s="4" t="n">
        <v>1</v>
      </c>
      <c r="G412" s="6" t="n">
        <v>1</v>
      </c>
      <c r="H412" s="2" t="s">
        <v>629</v>
      </c>
    </row>
    <row r="413" customFormat="false" ht="15" hidden="false" customHeight="false" outlineLevel="0" collapsed="false">
      <c r="A413" s="2" t="s">
        <v>153</v>
      </c>
      <c r="B413" s="4" t="n">
        <v>2</v>
      </c>
      <c r="C413" s="2" t="s">
        <v>386</v>
      </c>
      <c r="D413" s="2" t="s">
        <v>383</v>
      </c>
      <c r="E413" s="2" t="s">
        <v>654</v>
      </c>
      <c r="F413" s="4" t="n">
        <v>1</v>
      </c>
      <c r="G413" s="6" t="n">
        <v>1.1</v>
      </c>
      <c r="H413" s="2" t="s">
        <v>82</v>
      </c>
    </row>
    <row r="414" customFormat="false" ht="15" hidden="false" customHeight="false" outlineLevel="0" collapsed="false">
      <c r="A414" s="2" t="s">
        <v>153</v>
      </c>
      <c r="B414" s="4" t="n">
        <v>3</v>
      </c>
      <c r="C414" s="2" t="s">
        <v>442</v>
      </c>
      <c r="D414" s="2" t="s">
        <v>415</v>
      </c>
      <c r="E414" s="2" t="s">
        <v>653</v>
      </c>
      <c r="F414" s="4" t="n">
        <v>1</v>
      </c>
      <c r="G414" s="6" t="n">
        <v>1</v>
      </c>
      <c r="H414" s="2" t="s">
        <v>629</v>
      </c>
    </row>
    <row r="415" customFormat="false" ht="15" hidden="false" customHeight="false" outlineLevel="0" collapsed="false">
      <c r="A415" s="2" t="s">
        <v>153</v>
      </c>
      <c r="B415" s="4" t="n">
        <v>3</v>
      </c>
      <c r="C415" s="2" t="s">
        <v>442</v>
      </c>
      <c r="D415" s="2" t="s">
        <v>391</v>
      </c>
      <c r="E415" s="2" t="s">
        <v>655</v>
      </c>
      <c r="F415" s="4" t="n">
        <v>1</v>
      </c>
      <c r="G415" s="6" t="n">
        <v>1</v>
      </c>
      <c r="H415" s="2" t="s">
        <v>82</v>
      </c>
    </row>
    <row r="416" customFormat="false" ht="15" hidden="false" customHeight="false" outlineLevel="0" collapsed="false">
      <c r="A416" s="2" t="s">
        <v>153</v>
      </c>
      <c r="B416" s="4" t="n">
        <v>4</v>
      </c>
      <c r="C416" s="2" t="s">
        <v>445</v>
      </c>
      <c r="D416" s="2" t="s">
        <v>402</v>
      </c>
      <c r="E416" s="2" t="s">
        <v>653</v>
      </c>
      <c r="F416" s="4" t="n">
        <v>1</v>
      </c>
      <c r="G416" s="6" t="n">
        <v>1</v>
      </c>
      <c r="H416" s="2" t="s">
        <v>629</v>
      </c>
    </row>
    <row r="417" customFormat="false" ht="15" hidden="false" customHeight="false" outlineLevel="0" collapsed="false">
      <c r="A417" s="2" t="s">
        <v>153</v>
      </c>
      <c r="B417" s="4" t="n">
        <v>5</v>
      </c>
      <c r="C417" s="2" t="s">
        <v>447</v>
      </c>
      <c r="D417" s="2" t="s">
        <v>421</v>
      </c>
      <c r="E417" s="2" t="s">
        <v>653</v>
      </c>
      <c r="F417" s="4" t="n">
        <v>1</v>
      </c>
      <c r="G417" s="6" t="n">
        <v>1</v>
      </c>
      <c r="H417" s="2" t="s">
        <v>629</v>
      </c>
    </row>
    <row r="418" customFormat="false" ht="15" hidden="false" customHeight="false" outlineLevel="0" collapsed="false">
      <c r="A418" s="2" t="s">
        <v>153</v>
      </c>
      <c r="B418" s="4" t="n">
        <v>6</v>
      </c>
      <c r="C418" s="2" t="s">
        <v>449</v>
      </c>
      <c r="D418" s="2" t="s">
        <v>423</v>
      </c>
      <c r="E418" s="2" t="s">
        <v>653</v>
      </c>
      <c r="F418" s="4" t="n">
        <v>1</v>
      </c>
      <c r="G418" s="6" t="n">
        <v>1</v>
      </c>
      <c r="H418" s="2" t="s">
        <v>629</v>
      </c>
    </row>
    <row r="419" customFormat="false" ht="15" hidden="false" customHeight="false" outlineLevel="0" collapsed="false">
      <c r="A419" s="2" t="s">
        <v>153</v>
      </c>
      <c r="B419" s="4" t="n">
        <v>7</v>
      </c>
      <c r="C419" s="2" t="s">
        <v>450</v>
      </c>
      <c r="D419" s="2" t="s">
        <v>406</v>
      </c>
      <c r="E419" s="2" t="s">
        <v>653</v>
      </c>
      <c r="F419" s="4" t="n">
        <v>1</v>
      </c>
      <c r="G419" s="6" t="n">
        <v>1</v>
      </c>
      <c r="H419" s="2" t="s">
        <v>629</v>
      </c>
    </row>
    <row r="420" customFormat="false" ht="15" hidden="false" customHeight="false" outlineLevel="0" collapsed="false">
      <c r="A420" s="2" t="s">
        <v>153</v>
      </c>
      <c r="B420" s="4" t="n">
        <v>8</v>
      </c>
      <c r="C420" s="2" t="s">
        <v>453</v>
      </c>
      <c r="D420" s="2" t="s">
        <v>406</v>
      </c>
      <c r="E420" s="2" t="s">
        <v>653</v>
      </c>
      <c r="F420" s="4" t="n">
        <v>1</v>
      </c>
      <c r="G420" s="6" t="n">
        <v>1</v>
      </c>
      <c r="H420" s="2" t="s">
        <v>629</v>
      </c>
    </row>
    <row r="421" customFormat="false" ht="15" hidden="false" customHeight="false" outlineLevel="0" collapsed="false">
      <c r="A421" s="2" t="s">
        <v>154</v>
      </c>
      <c r="B421" s="4" t="n">
        <v>1</v>
      </c>
      <c r="C421" s="2" t="s">
        <v>441</v>
      </c>
      <c r="D421" s="2" t="s">
        <v>380</v>
      </c>
      <c r="E421" s="2" t="s">
        <v>653</v>
      </c>
      <c r="F421" s="4" t="n">
        <v>1</v>
      </c>
      <c r="G421" s="6" t="n">
        <v>1</v>
      </c>
      <c r="H421" s="2" t="s">
        <v>629</v>
      </c>
    </row>
    <row r="422" customFormat="false" ht="15" hidden="false" customHeight="false" outlineLevel="0" collapsed="false">
      <c r="A422" s="2" t="s">
        <v>154</v>
      </c>
      <c r="B422" s="4" t="n">
        <v>2</v>
      </c>
      <c r="C422" s="2" t="s">
        <v>386</v>
      </c>
      <c r="D422" s="2" t="s">
        <v>413</v>
      </c>
      <c r="E422" s="2" t="s">
        <v>653</v>
      </c>
      <c r="F422" s="4" t="n">
        <v>1</v>
      </c>
      <c r="G422" s="6" t="n">
        <v>1</v>
      </c>
      <c r="H422" s="2" t="s">
        <v>629</v>
      </c>
    </row>
    <row r="423" customFormat="false" ht="15" hidden="false" customHeight="false" outlineLevel="0" collapsed="false">
      <c r="A423" s="2" t="s">
        <v>154</v>
      </c>
      <c r="B423" s="4" t="n">
        <v>2</v>
      </c>
      <c r="C423" s="2" t="s">
        <v>386</v>
      </c>
      <c r="D423" s="2" t="s">
        <v>383</v>
      </c>
      <c r="E423" s="2" t="s">
        <v>654</v>
      </c>
      <c r="F423" s="4" t="n">
        <v>1</v>
      </c>
      <c r="G423" s="6" t="n">
        <v>1.1</v>
      </c>
      <c r="H423" s="2" t="s">
        <v>82</v>
      </c>
    </row>
    <row r="424" customFormat="false" ht="15" hidden="false" customHeight="false" outlineLevel="0" collapsed="false">
      <c r="A424" s="2" t="s">
        <v>154</v>
      </c>
      <c r="B424" s="4" t="n">
        <v>3</v>
      </c>
      <c r="C424" s="2" t="s">
        <v>442</v>
      </c>
      <c r="D424" s="2" t="s">
        <v>415</v>
      </c>
      <c r="E424" s="2" t="s">
        <v>653</v>
      </c>
      <c r="F424" s="4" t="n">
        <v>1</v>
      </c>
      <c r="G424" s="6" t="n">
        <v>1</v>
      </c>
      <c r="H424" s="2" t="s">
        <v>629</v>
      </c>
    </row>
    <row r="425" customFormat="false" ht="15" hidden="false" customHeight="false" outlineLevel="0" collapsed="false">
      <c r="A425" s="2" t="s">
        <v>154</v>
      </c>
      <c r="B425" s="4" t="n">
        <v>3</v>
      </c>
      <c r="C425" s="2" t="s">
        <v>442</v>
      </c>
      <c r="D425" s="2" t="s">
        <v>391</v>
      </c>
      <c r="E425" s="2" t="s">
        <v>655</v>
      </c>
      <c r="F425" s="4" t="n">
        <v>1</v>
      </c>
      <c r="G425" s="6" t="n">
        <v>1</v>
      </c>
      <c r="H425" s="2" t="s">
        <v>82</v>
      </c>
    </row>
    <row r="426" customFormat="false" ht="15" hidden="false" customHeight="false" outlineLevel="0" collapsed="false">
      <c r="A426" s="2" t="s">
        <v>154</v>
      </c>
      <c r="B426" s="4" t="n">
        <v>4</v>
      </c>
      <c r="C426" s="2" t="s">
        <v>445</v>
      </c>
      <c r="D426" s="2" t="s">
        <v>402</v>
      </c>
      <c r="E426" s="2" t="s">
        <v>653</v>
      </c>
      <c r="F426" s="4" t="n">
        <v>1</v>
      </c>
      <c r="G426" s="6" t="n">
        <v>1</v>
      </c>
      <c r="H426" s="2" t="s">
        <v>629</v>
      </c>
    </row>
    <row r="427" customFormat="false" ht="15" hidden="false" customHeight="false" outlineLevel="0" collapsed="false">
      <c r="A427" s="2" t="s">
        <v>154</v>
      </c>
      <c r="B427" s="4" t="n">
        <v>5</v>
      </c>
      <c r="C427" s="2" t="s">
        <v>447</v>
      </c>
      <c r="D427" s="2" t="s">
        <v>421</v>
      </c>
      <c r="E427" s="2" t="s">
        <v>653</v>
      </c>
      <c r="F427" s="4" t="n">
        <v>1</v>
      </c>
      <c r="G427" s="6" t="n">
        <v>1</v>
      </c>
      <c r="H427" s="2" t="s">
        <v>629</v>
      </c>
    </row>
    <row r="428" customFormat="false" ht="15" hidden="false" customHeight="false" outlineLevel="0" collapsed="false">
      <c r="A428" s="2" t="s">
        <v>154</v>
      </c>
      <c r="B428" s="4" t="n">
        <v>6</v>
      </c>
      <c r="C428" s="2" t="s">
        <v>449</v>
      </c>
      <c r="D428" s="2" t="s">
        <v>423</v>
      </c>
      <c r="E428" s="2" t="s">
        <v>653</v>
      </c>
      <c r="F428" s="4" t="n">
        <v>1</v>
      </c>
      <c r="G428" s="6" t="n">
        <v>1</v>
      </c>
      <c r="H428" s="2" t="s">
        <v>629</v>
      </c>
    </row>
    <row r="429" customFormat="false" ht="15" hidden="false" customHeight="false" outlineLevel="0" collapsed="false">
      <c r="A429" s="2" t="s">
        <v>154</v>
      </c>
      <c r="B429" s="4" t="n">
        <v>7</v>
      </c>
      <c r="C429" s="2" t="s">
        <v>450</v>
      </c>
      <c r="D429" s="2" t="s">
        <v>406</v>
      </c>
      <c r="E429" s="2" t="s">
        <v>653</v>
      </c>
      <c r="F429" s="4" t="n">
        <v>1</v>
      </c>
      <c r="G429" s="6" t="n">
        <v>1</v>
      </c>
      <c r="H429" s="2" t="s">
        <v>629</v>
      </c>
    </row>
    <row r="430" customFormat="false" ht="15" hidden="false" customHeight="false" outlineLevel="0" collapsed="false">
      <c r="A430" s="2" t="s">
        <v>154</v>
      </c>
      <c r="B430" s="4" t="n">
        <v>8</v>
      </c>
      <c r="C430" s="2" t="s">
        <v>453</v>
      </c>
      <c r="D430" s="2" t="s">
        <v>406</v>
      </c>
      <c r="E430" s="2" t="s">
        <v>653</v>
      </c>
      <c r="F430" s="4" t="n">
        <v>1</v>
      </c>
      <c r="G430" s="6" t="n">
        <v>1</v>
      </c>
      <c r="H430" s="2" t="s">
        <v>629</v>
      </c>
    </row>
    <row r="431" customFormat="false" ht="15" hidden="false" customHeight="false" outlineLevel="0" collapsed="false">
      <c r="A431" s="2" t="s">
        <v>155</v>
      </c>
      <c r="B431" s="4" t="n">
        <v>1</v>
      </c>
      <c r="C431" s="2" t="s">
        <v>450</v>
      </c>
      <c r="D431" s="2" t="s">
        <v>406</v>
      </c>
      <c r="E431" s="2" t="s">
        <v>653</v>
      </c>
      <c r="F431" s="4" t="n">
        <v>1</v>
      </c>
      <c r="G431" s="6" t="n">
        <v>1</v>
      </c>
      <c r="H431" s="2" t="s">
        <v>629</v>
      </c>
    </row>
    <row r="432" customFormat="false" ht="15" hidden="false" customHeight="false" outlineLevel="0" collapsed="false">
      <c r="A432" s="2" t="s">
        <v>155</v>
      </c>
      <c r="B432" s="4" t="n">
        <v>2</v>
      </c>
      <c r="C432" s="2" t="s">
        <v>453</v>
      </c>
      <c r="D432" s="2" t="s">
        <v>406</v>
      </c>
      <c r="E432" s="2" t="s">
        <v>653</v>
      </c>
      <c r="F432" s="4" t="n">
        <v>1</v>
      </c>
      <c r="G432" s="6" t="n">
        <v>1</v>
      </c>
      <c r="H432" s="2" t="s">
        <v>629</v>
      </c>
    </row>
    <row r="433" customFormat="false" ht="15" hidden="false" customHeight="false" outlineLevel="0" collapsed="false">
      <c r="A433" s="2" t="s">
        <v>156</v>
      </c>
      <c r="B433" s="4" t="n">
        <v>1</v>
      </c>
      <c r="C433" s="2" t="s">
        <v>450</v>
      </c>
      <c r="D433" s="2" t="s">
        <v>406</v>
      </c>
      <c r="E433" s="2" t="s">
        <v>653</v>
      </c>
      <c r="F433" s="4" t="n">
        <v>1</v>
      </c>
      <c r="G433" s="6" t="n">
        <v>1</v>
      </c>
      <c r="H433" s="2" t="s">
        <v>629</v>
      </c>
    </row>
    <row r="434" customFormat="false" ht="15" hidden="false" customHeight="false" outlineLevel="0" collapsed="false">
      <c r="A434" s="2" t="s">
        <v>156</v>
      </c>
      <c r="B434" s="4" t="n">
        <v>2</v>
      </c>
      <c r="C434" s="2" t="s">
        <v>453</v>
      </c>
      <c r="D434" s="2" t="s">
        <v>406</v>
      </c>
      <c r="E434" s="2" t="s">
        <v>653</v>
      </c>
      <c r="F434" s="4" t="n">
        <v>1</v>
      </c>
      <c r="G434" s="6" t="n">
        <v>1</v>
      </c>
      <c r="H434" s="2" t="s">
        <v>629</v>
      </c>
    </row>
    <row r="435" customFormat="false" ht="15" hidden="false" customHeight="false" outlineLevel="0" collapsed="false">
      <c r="A435" s="2" t="s">
        <v>157</v>
      </c>
      <c r="B435" s="4" t="n">
        <v>1</v>
      </c>
      <c r="C435" s="2" t="s">
        <v>441</v>
      </c>
      <c r="D435" s="2" t="s">
        <v>380</v>
      </c>
      <c r="E435" s="2" t="s">
        <v>653</v>
      </c>
      <c r="F435" s="4" t="n">
        <v>1</v>
      </c>
      <c r="G435" s="6" t="n">
        <v>1</v>
      </c>
      <c r="H435" s="2" t="s">
        <v>629</v>
      </c>
    </row>
    <row r="436" customFormat="false" ht="15" hidden="false" customHeight="false" outlineLevel="0" collapsed="false">
      <c r="A436" s="2" t="s">
        <v>157</v>
      </c>
      <c r="B436" s="4" t="n">
        <v>2</v>
      </c>
      <c r="C436" s="2" t="s">
        <v>386</v>
      </c>
      <c r="D436" s="2" t="s">
        <v>413</v>
      </c>
      <c r="E436" s="2" t="s">
        <v>653</v>
      </c>
      <c r="F436" s="4" t="n">
        <v>1</v>
      </c>
      <c r="G436" s="6" t="n">
        <v>1</v>
      </c>
      <c r="H436" s="2" t="s">
        <v>629</v>
      </c>
    </row>
    <row r="437" customFormat="false" ht="15" hidden="false" customHeight="false" outlineLevel="0" collapsed="false">
      <c r="A437" s="2" t="s">
        <v>157</v>
      </c>
      <c r="B437" s="4" t="n">
        <v>2</v>
      </c>
      <c r="C437" s="2" t="s">
        <v>386</v>
      </c>
      <c r="D437" s="2" t="s">
        <v>383</v>
      </c>
      <c r="E437" s="2" t="s">
        <v>654</v>
      </c>
      <c r="F437" s="4" t="n">
        <v>1</v>
      </c>
      <c r="G437" s="6" t="n">
        <v>1.1</v>
      </c>
      <c r="H437" s="2" t="s">
        <v>82</v>
      </c>
    </row>
    <row r="438" customFormat="false" ht="15" hidden="false" customHeight="false" outlineLevel="0" collapsed="false">
      <c r="A438" s="2" t="s">
        <v>157</v>
      </c>
      <c r="B438" s="4" t="n">
        <v>3</v>
      </c>
      <c r="C438" s="2" t="s">
        <v>442</v>
      </c>
      <c r="D438" s="2" t="s">
        <v>415</v>
      </c>
      <c r="E438" s="2" t="s">
        <v>653</v>
      </c>
      <c r="F438" s="4" t="n">
        <v>1</v>
      </c>
      <c r="G438" s="6" t="n">
        <v>1</v>
      </c>
      <c r="H438" s="2" t="s">
        <v>629</v>
      </c>
    </row>
    <row r="439" customFormat="false" ht="15" hidden="false" customHeight="false" outlineLevel="0" collapsed="false">
      <c r="A439" s="2" t="s">
        <v>157</v>
      </c>
      <c r="B439" s="4" t="n">
        <v>3</v>
      </c>
      <c r="C439" s="2" t="s">
        <v>442</v>
      </c>
      <c r="D439" s="2" t="s">
        <v>391</v>
      </c>
      <c r="E439" s="2" t="s">
        <v>655</v>
      </c>
      <c r="F439" s="4" t="n">
        <v>1</v>
      </c>
      <c r="G439" s="6" t="n">
        <v>1</v>
      </c>
      <c r="H439" s="2" t="s">
        <v>82</v>
      </c>
    </row>
    <row r="440" customFormat="false" ht="15" hidden="false" customHeight="false" outlineLevel="0" collapsed="false">
      <c r="A440" s="2" t="s">
        <v>157</v>
      </c>
      <c r="B440" s="4" t="n">
        <v>4</v>
      </c>
      <c r="C440" s="2" t="s">
        <v>445</v>
      </c>
      <c r="D440" s="2" t="s">
        <v>402</v>
      </c>
      <c r="E440" s="2" t="s">
        <v>653</v>
      </c>
      <c r="F440" s="4" t="n">
        <v>1</v>
      </c>
      <c r="G440" s="6" t="n">
        <v>1</v>
      </c>
      <c r="H440" s="2" t="s">
        <v>629</v>
      </c>
    </row>
    <row r="441" customFormat="false" ht="15" hidden="false" customHeight="false" outlineLevel="0" collapsed="false">
      <c r="A441" s="2" t="s">
        <v>157</v>
      </c>
      <c r="B441" s="4" t="n">
        <v>5</v>
      </c>
      <c r="C441" s="2" t="s">
        <v>447</v>
      </c>
      <c r="D441" s="2" t="s">
        <v>421</v>
      </c>
      <c r="E441" s="2" t="s">
        <v>653</v>
      </c>
      <c r="F441" s="4" t="n">
        <v>1</v>
      </c>
      <c r="G441" s="6" t="n">
        <v>1</v>
      </c>
      <c r="H441" s="2" t="s">
        <v>629</v>
      </c>
    </row>
    <row r="442" customFormat="false" ht="15" hidden="false" customHeight="false" outlineLevel="0" collapsed="false">
      <c r="A442" s="2" t="s">
        <v>157</v>
      </c>
      <c r="B442" s="4" t="n">
        <v>6</v>
      </c>
      <c r="C442" s="2" t="s">
        <v>449</v>
      </c>
      <c r="D442" s="2" t="s">
        <v>423</v>
      </c>
      <c r="E442" s="2" t="s">
        <v>653</v>
      </c>
      <c r="F442" s="4" t="n">
        <v>1</v>
      </c>
      <c r="G442" s="6" t="n">
        <v>1</v>
      </c>
      <c r="H442" s="2" t="s">
        <v>629</v>
      </c>
    </row>
    <row r="443" customFormat="false" ht="15" hidden="false" customHeight="false" outlineLevel="0" collapsed="false">
      <c r="A443" s="2" t="s">
        <v>157</v>
      </c>
      <c r="B443" s="4" t="n">
        <v>7</v>
      </c>
      <c r="C443" s="2" t="s">
        <v>450</v>
      </c>
      <c r="D443" s="2" t="s">
        <v>406</v>
      </c>
      <c r="E443" s="2" t="s">
        <v>653</v>
      </c>
      <c r="F443" s="4" t="n">
        <v>1</v>
      </c>
      <c r="G443" s="6" t="n">
        <v>1</v>
      </c>
      <c r="H443" s="2" t="s">
        <v>629</v>
      </c>
    </row>
    <row r="444" customFormat="false" ht="15" hidden="false" customHeight="false" outlineLevel="0" collapsed="false">
      <c r="A444" s="2" t="s">
        <v>157</v>
      </c>
      <c r="B444" s="4" t="n">
        <v>8</v>
      </c>
      <c r="C444" s="2" t="s">
        <v>453</v>
      </c>
      <c r="D444" s="2" t="s">
        <v>406</v>
      </c>
      <c r="E444" s="2" t="s">
        <v>653</v>
      </c>
      <c r="F444" s="4" t="n">
        <v>1</v>
      </c>
      <c r="G444" s="6" t="n">
        <v>1</v>
      </c>
      <c r="H444" s="2" t="s">
        <v>629</v>
      </c>
    </row>
    <row r="445" customFormat="false" ht="15" hidden="false" customHeight="false" outlineLevel="0" collapsed="false">
      <c r="A445" s="2" t="s">
        <v>158</v>
      </c>
      <c r="B445" s="4" t="n">
        <v>1</v>
      </c>
      <c r="C445" s="2" t="s">
        <v>441</v>
      </c>
      <c r="D445" s="2" t="s">
        <v>380</v>
      </c>
      <c r="E445" s="2" t="s">
        <v>653</v>
      </c>
      <c r="F445" s="4" t="n">
        <v>1</v>
      </c>
      <c r="G445" s="6" t="n">
        <v>1</v>
      </c>
      <c r="H445" s="2" t="s">
        <v>629</v>
      </c>
    </row>
    <row r="446" customFormat="false" ht="15" hidden="false" customHeight="false" outlineLevel="0" collapsed="false">
      <c r="A446" s="2" t="s">
        <v>158</v>
      </c>
      <c r="B446" s="4" t="n">
        <v>2</v>
      </c>
      <c r="C446" s="2" t="s">
        <v>386</v>
      </c>
      <c r="D446" s="2" t="s">
        <v>413</v>
      </c>
      <c r="E446" s="2" t="s">
        <v>653</v>
      </c>
      <c r="F446" s="4" t="n">
        <v>1</v>
      </c>
      <c r="G446" s="6" t="n">
        <v>1</v>
      </c>
      <c r="H446" s="2" t="s">
        <v>629</v>
      </c>
    </row>
    <row r="447" customFormat="false" ht="15" hidden="false" customHeight="false" outlineLevel="0" collapsed="false">
      <c r="A447" s="2" t="s">
        <v>158</v>
      </c>
      <c r="B447" s="4" t="n">
        <v>2</v>
      </c>
      <c r="C447" s="2" t="s">
        <v>386</v>
      </c>
      <c r="D447" s="2" t="s">
        <v>383</v>
      </c>
      <c r="E447" s="2" t="s">
        <v>654</v>
      </c>
      <c r="F447" s="4" t="n">
        <v>1</v>
      </c>
      <c r="G447" s="6" t="n">
        <v>1.1</v>
      </c>
      <c r="H447" s="2" t="s">
        <v>82</v>
      </c>
    </row>
    <row r="448" customFormat="false" ht="15" hidden="false" customHeight="false" outlineLevel="0" collapsed="false">
      <c r="A448" s="2" t="s">
        <v>158</v>
      </c>
      <c r="B448" s="4" t="n">
        <v>3</v>
      </c>
      <c r="C448" s="2" t="s">
        <v>442</v>
      </c>
      <c r="D448" s="2" t="s">
        <v>415</v>
      </c>
      <c r="E448" s="2" t="s">
        <v>653</v>
      </c>
      <c r="F448" s="4" t="n">
        <v>1</v>
      </c>
      <c r="G448" s="6" t="n">
        <v>1</v>
      </c>
      <c r="H448" s="2" t="s">
        <v>629</v>
      </c>
    </row>
    <row r="449" customFormat="false" ht="15" hidden="false" customHeight="false" outlineLevel="0" collapsed="false">
      <c r="A449" s="2" t="s">
        <v>158</v>
      </c>
      <c r="B449" s="4" t="n">
        <v>3</v>
      </c>
      <c r="C449" s="2" t="s">
        <v>442</v>
      </c>
      <c r="D449" s="2" t="s">
        <v>391</v>
      </c>
      <c r="E449" s="2" t="s">
        <v>655</v>
      </c>
      <c r="F449" s="4" t="n">
        <v>1</v>
      </c>
      <c r="G449" s="6" t="n">
        <v>1</v>
      </c>
      <c r="H449" s="2" t="s">
        <v>82</v>
      </c>
    </row>
    <row r="450" customFormat="false" ht="15" hidden="false" customHeight="false" outlineLevel="0" collapsed="false">
      <c r="A450" s="2" t="s">
        <v>158</v>
      </c>
      <c r="B450" s="4" t="n">
        <v>4</v>
      </c>
      <c r="C450" s="2" t="s">
        <v>445</v>
      </c>
      <c r="D450" s="2" t="s">
        <v>402</v>
      </c>
      <c r="E450" s="2" t="s">
        <v>653</v>
      </c>
      <c r="F450" s="4" t="n">
        <v>1</v>
      </c>
      <c r="G450" s="6" t="n">
        <v>1</v>
      </c>
      <c r="H450" s="2" t="s">
        <v>629</v>
      </c>
    </row>
    <row r="451" customFormat="false" ht="15" hidden="false" customHeight="false" outlineLevel="0" collapsed="false">
      <c r="A451" s="2" t="s">
        <v>158</v>
      </c>
      <c r="B451" s="4" t="n">
        <v>5</v>
      </c>
      <c r="C451" s="2" t="s">
        <v>447</v>
      </c>
      <c r="D451" s="2" t="s">
        <v>421</v>
      </c>
      <c r="E451" s="2" t="s">
        <v>653</v>
      </c>
      <c r="F451" s="4" t="n">
        <v>1</v>
      </c>
      <c r="G451" s="6" t="n">
        <v>1</v>
      </c>
      <c r="H451" s="2" t="s">
        <v>629</v>
      </c>
    </row>
    <row r="452" customFormat="false" ht="15" hidden="false" customHeight="false" outlineLevel="0" collapsed="false">
      <c r="A452" s="2" t="s">
        <v>158</v>
      </c>
      <c r="B452" s="4" t="n">
        <v>6</v>
      </c>
      <c r="C452" s="2" t="s">
        <v>449</v>
      </c>
      <c r="D452" s="2" t="s">
        <v>423</v>
      </c>
      <c r="E452" s="2" t="s">
        <v>653</v>
      </c>
      <c r="F452" s="4" t="n">
        <v>1</v>
      </c>
      <c r="G452" s="6" t="n">
        <v>1</v>
      </c>
      <c r="H452" s="2" t="s">
        <v>629</v>
      </c>
    </row>
    <row r="453" customFormat="false" ht="15" hidden="false" customHeight="false" outlineLevel="0" collapsed="false">
      <c r="A453" s="2" t="s">
        <v>158</v>
      </c>
      <c r="B453" s="4" t="n">
        <v>7</v>
      </c>
      <c r="C453" s="2" t="s">
        <v>450</v>
      </c>
      <c r="D453" s="2" t="s">
        <v>406</v>
      </c>
      <c r="E453" s="2" t="s">
        <v>653</v>
      </c>
      <c r="F453" s="4" t="n">
        <v>1</v>
      </c>
      <c r="G453" s="6" t="n">
        <v>1</v>
      </c>
      <c r="H453" s="2" t="s">
        <v>629</v>
      </c>
    </row>
    <row r="454" customFormat="false" ht="15" hidden="false" customHeight="false" outlineLevel="0" collapsed="false">
      <c r="A454" s="2" t="s">
        <v>158</v>
      </c>
      <c r="B454" s="4" t="n">
        <v>8</v>
      </c>
      <c r="C454" s="2" t="s">
        <v>453</v>
      </c>
      <c r="D454" s="2" t="s">
        <v>406</v>
      </c>
      <c r="E454" s="2" t="s">
        <v>653</v>
      </c>
      <c r="F454" s="4" t="n">
        <v>1</v>
      </c>
      <c r="G454" s="6" t="n">
        <v>1</v>
      </c>
      <c r="H454" s="2" t="s">
        <v>629</v>
      </c>
    </row>
    <row r="455" customFormat="false" ht="15" hidden="false" customHeight="false" outlineLevel="0" collapsed="false">
      <c r="A455" s="2" t="s">
        <v>159</v>
      </c>
      <c r="B455" s="4" t="n">
        <v>1</v>
      </c>
      <c r="C455" s="2" t="s">
        <v>441</v>
      </c>
      <c r="D455" s="2" t="s">
        <v>380</v>
      </c>
      <c r="E455" s="2" t="s">
        <v>653</v>
      </c>
      <c r="F455" s="4" t="n">
        <v>1</v>
      </c>
      <c r="G455" s="6" t="n">
        <v>1</v>
      </c>
      <c r="H455" s="2" t="s">
        <v>629</v>
      </c>
    </row>
    <row r="456" customFormat="false" ht="15" hidden="false" customHeight="false" outlineLevel="0" collapsed="false">
      <c r="A456" s="2" t="s">
        <v>159</v>
      </c>
      <c r="B456" s="4" t="n">
        <v>2</v>
      </c>
      <c r="C456" s="2" t="s">
        <v>386</v>
      </c>
      <c r="D456" s="2" t="s">
        <v>413</v>
      </c>
      <c r="E456" s="2" t="s">
        <v>653</v>
      </c>
      <c r="F456" s="4" t="n">
        <v>1</v>
      </c>
      <c r="G456" s="6" t="n">
        <v>1</v>
      </c>
      <c r="H456" s="2" t="s">
        <v>629</v>
      </c>
    </row>
    <row r="457" customFormat="false" ht="15" hidden="false" customHeight="false" outlineLevel="0" collapsed="false">
      <c r="A457" s="2" t="s">
        <v>159</v>
      </c>
      <c r="B457" s="4" t="n">
        <v>2</v>
      </c>
      <c r="C457" s="2" t="s">
        <v>386</v>
      </c>
      <c r="D457" s="2" t="s">
        <v>383</v>
      </c>
      <c r="E457" s="2" t="s">
        <v>654</v>
      </c>
      <c r="F457" s="4" t="n">
        <v>1</v>
      </c>
      <c r="G457" s="6" t="n">
        <v>1.1</v>
      </c>
      <c r="H457" s="2" t="s">
        <v>82</v>
      </c>
    </row>
    <row r="458" customFormat="false" ht="15" hidden="false" customHeight="false" outlineLevel="0" collapsed="false">
      <c r="A458" s="2" t="s">
        <v>159</v>
      </c>
      <c r="B458" s="4" t="n">
        <v>3</v>
      </c>
      <c r="C458" s="2" t="s">
        <v>442</v>
      </c>
      <c r="D458" s="2" t="s">
        <v>415</v>
      </c>
      <c r="E458" s="2" t="s">
        <v>653</v>
      </c>
      <c r="F458" s="4" t="n">
        <v>1</v>
      </c>
      <c r="G458" s="6" t="n">
        <v>1</v>
      </c>
      <c r="H458" s="2" t="s">
        <v>629</v>
      </c>
    </row>
    <row r="459" customFormat="false" ht="15" hidden="false" customHeight="false" outlineLevel="0" collapsed="false">
      <c r="A459" s="2" t="s">
        <v>159</v>
      </c>
      <c r="B459" s="4" t="n">
        <v>3</v>
      </c>
      <c r="C459" s="2" t="s">
        <v>442</v>
      </c>
      <c r="D459" s="2" t="s">
        <v>391</v>
      </c>
      <c r="E459" s="2" t="s">
        <v>655</v>
      </c>
      <c r="F459" s="4" t="n">
        <v>1</v>
      </c>
      <c r="G459" s="6" t="n">
        <v>1</v>
      </c>
      <c r="H459" s="2" t="s">
        <v>82</v>
      </c>
    </row>
    <row r="460" customFormat="false" ht="15" hidden="false" customHeight="false" outlineLevel="0" collapsed="false">
      <c r="A460" s="2" t="s">
        <v>159</v>
      </c>
      <c r="B460" s="4" t="n">
        <v>4</v>
      </c>
      <c r="C460" s="2" t="s">
        <v>445</v>
      </c>
      <c r="D460" s="2" t="s">
        <v>402</v>
      </c>
      <c r="E460" s="2" t="s">
        <v>653</v>
      </c>
      <c r="F460" s="4" t="n">
        <v>1</v>
      </c>
      <c r="G460" s="6" t="n">
        <v>1</v>
      </c>
      <c r="H460" s="2" t="s">
        <v>629</v>
      </c>
    </row>
    <row r="461" customFormat="false" ht="15" hidden="false" customHeight="false" outlineLevel="0" collapsed="false">
      <c r="A461" s="2" t="s">
        <v>159</v>
      </c>
      <c r="B461" s="4" t="n">
        <v>5</v>
      </c>
      <c r="C461" s="2" t="s">
        <v>447</v>
      </c>
      <c r="D461" s="2" t="s">
        <v>421</v>
      </c>
      <c r="E461" s="2" t="s">
        <v>653</v>
      </c>
      <c r="F461" s="4" t="n">
        <v>1</v>
      </c>
      <c r="G461" s="6" t="n">
        <v>1</v>
      </c>
      <c r="H461" s="2" t="s">
        <v>629</v>
      </c>
    </row>
    <row r="462" customFormat="false" ht="15" hidden="false" customHeight="false" outlineLevel="0" collapsed="false">
      <c r="A462" s="2" t="s">
        <v>159</v>
      </c>
      <c r="B462" s="4" t="n">
        <v>6</v>
      </c>
      <c r="C462" s="2" t="s">
        <v>449</v>
      </c>
      <c r="D462" s="2" t="s">
        <v>423</v>
      </c>
      <c r="E462" s="2" t="s">
        <v>653</v>
      </c>
      <c r="F462" s="4" t="n">
        <v>1</v>
      </c>
      <c r="G462" s="6" t="n">
        <v>1</v>
      </c>
      <c r="H462" s="2" t="s">
        <v>629</v>
      </c>
    </row>
    <row r="463" customFormat="false" ht="15" hidden="false" customHeight="false" outlineLevel="0" collapsed="false">
      <c r="A463" s="2" t="s">
        <v>159</v>
      </c>
      <c r="B463" s="4" t="n">
        <v>7</v>
      </c>
      <c r="C463" s="2" t="s">
        <v>450</v>
      </c>
      <c r="D463" s="2" t="s">
        <v>406</v>
      </c>
      <c r="E463" s="2" t="s">
        <v>653</v>
      </c>
      <c r="F463" s="4" t="n">
        <v>1</v>
      </c>
      <c r="G463" s="6" t="n">
        <v>1</v>
      </c>
      <c r="H463" s="2" t="s">
        <v>629</v>
      </c>
    </row>
    <row r="464" customFormat="false" ht="15" hidden="false" customHeight="false" outlineLevel="0" collapsed="false">
      <c r="A464" s="2" t="s">
        <v>159</v>
      </c>
      <c r="B464" s="4" t="n">
        <v>8</v>
      </c>
      <c r="C464" s="2" t="s">
        <v>453</v>
      </c>
      <c r="D464" s="2" t="s">
        <v>406</v>
      </c>
      <c r="E464" s="2" t="s">
        <v>653</v>
      </c>
      <c r="F464" s="4" t="n">
        <v>1</v>
      </c>
      <c r="G464" s="6" t="n">
        <v>1</v>
      </c>
      <c r="H464" s="2" t="s">
        <v>629</v>
      </c>
    </row>
    <row r="465" customFormat="false" ht="15" hidden="false" customHeight="false" outlineLevel="0" collapsed="false">
      <c r="A465" s="2" t="s">
        <v>160</v>
      </c>
      <c r="B465" s="4" t="n">
        <v>1</v>
      </c>
      <c r="C465" s="2" t="s">
        <v>441</v>
      </c>
      <c r="D465" s="2" t="s">
        <v>380</v>
      </c>
      <c r="E465" s="2" t="s">
        <v>653</v>
      </c>
      <c r="F465" s="4" t="n">
        <v>1</v>
      </c>
      <c r="G465" s="6" t="n">
        <v>1</v>
      </c>
      <c r="H465" s="2" t="s">
        <v>629</v>
      </c>
    </row>
    <row r="466" customFormat="false" ht="15" hidden="false" customHeight="false" outlineLevel="0" collapsed="false">
      <c r="A466" s="2" t="s">
        <v>160</v>
      </c>
      <c r="B466" s="4" t="n">
        <v>2</v>
      </c>
      <c r="C466" s="2" t="s">
        <v>386</v>
      </c>
      <c r="D466" s="2" t="s">
        <v>413</v>
      </c>
      <c r="E466" s="2" t="s">
        <v>653</v>
      </c>
      <c r="F466" s="4" t="n">
        <v>1</v>
      </c>
      <c r="G466" s="6" t="n">
        <v>1</v>
      </c>
      <c r="H466" s="2" t="s">
        <v>629</v>
      </c>
    </row>
    <row r="467" customFormat="false" ht="15" hidden="false" customHeight="false" outlineLevel="0" collapsed="false">
      <c r="A467" s="2" t="s">
        <v>160</v>
      </c>
      <c r="B467" s="4" t="n">
        <v>2</v>
      </c>
      <c r="C467" s="2" t="s">
        <v>386</v>
      </c>
      <c r="D467" s="2" t="s">
        <v>383</v>
      </c>
      <c r="E467" s="2" t="s">
        <v>654</v>
      </c>
      <c r="F467" s="4" t="n">
        <v>1</v>
      </c>
      <c r="G467" s="6" t="n">
        <v>1.1</v>
      </c>
      <c r="H467" s="2" t="s">
        <v>82</v>
      </c>
    </row>
    <row r="468" customFormat="false" ht="15" hidden="false" customHeight="false" outlineLevel="0" collapsed="false">
      <c r="A468" s="2" t="s">
        <v>160</v>
      </c>
      <c r="B468" s="4" t="n">
        <v>3</v>
      </c>
      <c r="C468" s="2" t="s">
        <v>442</v>
      </c>
      <c r="D468" s="2" t="s">
        <v>415</v>
      </c>
      <c r="E468" s="2" t="s">
        <v>653</v>
      </c>
      <c r="F468" s="4" t="n">
        <v>1</v>
      </c>
      <c r="G468" s="6" t="n">
        <v>1</v>
      </c>
      <c r="H468" s="2" t="s">
        <v>629</v>
      </c>
    </row>
    <row r="469" customFormat="false" ht="15" hidden="false" customHeight="false" outlineLevel="0" collapsed="false">
      <c r="A469" s="2" t="s">
        <v>160</v>
      </c>
      <c r="B469" s="4" t="n">
        <v>3</v>
      </c>
      <c r="C469" s="2" t="s">
        <v>442</v>
      </c>
      <c r="D469" s="2" t="s">
        <v>391</v>
      </c>
      <c r="E469" s="2" t="s">
        <v>655</v>
      </c>
      <c r="F469" s="4" t="n">
        <v>1</v>
      </c>
      <c r="G469" s="6" t="n">
        <v>1</v>
      </c>
      <c r="H469" s="2" t="s">
        <v>82</v>
      </c>
    </row>
    <row r="470" customFormat="false" ht="15" hidden="false" customHeight="false" outlineLevel="0" collapsed="false">
      <c r="A470" s="2" t="s">
        <v>160</v>
      </c>
      <c r="B470" s="4" t="n">
        <v>4</v>
      </c>
      <c r="C470" s="2" t="s">
        <v>445</v>
      </c>
      <c r="D470" s="2" t="s">
        <v>402</v>
      </c>
      <c r="E470" s="2" t="s">
        <v>653</v>
      </c>
      <c r="F470" s="4" t="n">
        <v>1</v>
      </c>
      <c r="G470" s="6" t="n">
        <v>1</v>
      </c>
      <c r="H470" s="2" t="s">
        <v>629</v>
      </c>
    </row>
    <row r="471" customFormat="false" ht="15" hidden="false" customHeight="false" outlineLevel="0" collapsed="false">
      <c r="A471" s="2" t="s">
        <v>160</v>
      </c>
      <c r="B471" s="4" t="n">
        <v>5</v>
      </c>
      <c r="C471" s="2" t="s">
        <v>447</v>
      </c>
      <c r="D471" s="2" t="s">
        <v>421</v>
      </c>
      <c r="E471" s="2" t="s">
        <v>653</v>
      </c>
      <c r="F471" s="4" t="n">
        <v>1</v>
      </c>
      <c r="G471" s="6" t="n">
        <v>1</v>
      </c>
      <c r="H471" s="2" t="s">
        <v>629</v>
      </c>
    </row>
    <row r="472" customFormat="false" ht="15" hidden="false" customHeight="false" outlineLevel="0" collapsed="false">
      <c r="A472" s="2" t="s">
        <v>160</v>
      </c>
      <c r="B472" s="4" t="n">
        <v>6</v>
      </c>
      <c r="C472" s="2" t="s">
        <v>449</v>
      </c>
      <c r="D472" s="2" t="s">
        <v>423</v>
      </c>
      <c r="E472" s="2" t="s">
        <v>653</v>
      </c>
      <c r="F472" s="4" t="n">
        <v>1</v>
      </c>
      <c r="G472" s="6" t="n">
        <v>1</v>
      </c>
      <c r="H472" s="2" t="s">
        <v>629</v>
      </c>
    </row>
    <row r="473" customFormat="false" ht="15" hidden="false" customHeight="false" outlineLevel="0" collapsed="false">
      <c r="A473" s="2" t="s">
        <v>160</v>
      </c>
      <c r="B473" s="4" t="n">
        <v>7</v>
      </c>
      <c r="C473" s="2" t="s">
        <v>450</v>
      </c>
      <c r="D473" s="2" t="s">
        <v>406</v>
      </c>
      <c r="E473" s="2" t="s">
        <v>653</v>
      </c>
      <c r="F473" s="4" t="n">
        <v>1</v>
      </c>
      <c r="G473" s="6" t="n">
        <v>1</v>
      </c>
      <c r="H473" s="2" t="s">
        <v>629</v>
      </c>
    </row>
    <row r="474" customFormat="false" ht="15" hidden="false" customHeight="false" outlineLevel="0" collapsed="false">
      <c r="A474" s="2" t="s">
        <v>160</v>
      </c>
      <c r="B474" s="4" t="n">
        <v>8</v>
      </c>
      <c r="C474" s="2" t="s">
        <v>453</v>
      </c>
      <c r="D474" s="2" t="s">
        <v>406</v>
      </c>
      <c r="E474" s="2" t="s">
        <v>653</v>
      </c>
      <c r="F474" s="4" t="n">
        <v>1</v>
      </c>
      <c r="G474" s="6" t="n">
        <v>1</v>
      </c>
      <c r="H474" s="2" t="s">
        <v>629</v>
      </c>
    </row>
  </sheetData>
  <autoFilter ref="A1:H47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5100"/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9"/>
    <col collapsed="false" customWidth="true" hidden="false" outlineLevel="0" max="4" min="4" style="0" width="8"/>
    <col collapsed="false" customWidth="true" hidden="false" outlineLevel="0" max="5" min="5" style="0" width="40"/>
    <col collapsed="false" customWidth="true" hidden="false" outlineLevel="0" max="6" min="6" style="0" width="44"/>
    <col collapsed="false" customWidth="true" hidden="false" outlineLevel="0" max="7" min="7" style="0" width="10"/>
    <col collapsed="false" customWidth="true" hidden="false" outlineLevel="0" max="8" min="8" style="0" width="6"/>
    <col collapsed="false" customWidth="true" hidden="false" outlineLevel="0" max="9" min="9" style="0" width="26"/>
    <col collapsed="false" customWidth="true" hidden="false" outlineLevel="0" max="10" min="10" style="0" width="10"/>
    <col collapsed="false" customWidth="true" hidden="false" outlineLevel="0" max="11" min="11" style="0" width="11"/>
  </cols>
  <sheetData>
    <row r="1" customFormat="false" ht="31.5" hidden="false" customHeight="true" outlineLevel="0" collapsed="false">
      <c r="A1" s="1" t="s">
        <v>656</v>
      </c>
      <c r="B1" s="1" t="s">
        <v>438</v>
      </c>
      <c r="C1" s="1" t="s">
        <v>657</v>
      </c>
      <c r="D1" s="1" t="s">
        <v>658</v>
      </c>
      <c r="E1" s="1" t="s">
        <v>621</v>
      </c>
      <c r="F1" s="1" t="s">
        <v>659</v>
      </c>
      <c r="G1" s="1" t="s">
        <v>660</v>
      </c>
      <c r="H1" s="1" t="s">
        <v>427</v>
      </c>
      <c r="I1" s="1" t="s">
        <v>661</v>
      </c>
      <c r="J1" s="1" t="s">
        <v>662</v>
      </c>
      <c r="K1" s="1" t="s">
        <v>64</v>
      </c>
    </row>
    <row r="2" customFormat="false" ht="15" hidden="false" customHeight="false" outlineLevel="0" collapsed="false">
      <c r="A2" s="2" t="s">
        <v>663</v>
      </c>
      <c r="B2" s="21" t="n">
        <v>45817.3333333333</v>
      </c>
      <c r="C2" s="22" t="n">
        <f aca="false">B2+D2/24</f>
        <v>45817.4166666667</v>
      </c>
      <c r="D2" s="6" t="n">
        <v>2</v>
      </c>
      <c r="E2" s="2" t="s">
        <v>387</v>
      </c>
      <c r="F2" s="2" t="s">
        <v>664</v>
      </c>
      <c r="G2" s="2" t="s">
        <v>565</v>
      </c>
      <c r="H2" s="4" t="n">
        <v>4</v>
      </c>
      <c r="I2" s="2" t="s">
        <v>456</v>
      </c>
      <c r="J2" s="9" t="n">
        <v>2</v>
      </c>
      <c r="K2" s="2" t="s">
        <v>456</v>
      </c>
    </row>
    <row r="3" customFormat="false" ht="15" hidden="false" customHeight="false" outlineLevel="0" collapsed="false">
      <c r="A3" s="2" t="s">
        <v>665</v>
      </c>
      <c r="B3" s="21" t="n">
        <v>45825.4266805556</v>
      </c>
      <c r="C3" s="22" t="n">
        <f aca="false">B3+D3/24</f>
        <v>45825.5516805556</v>
      </c>
      <c r="D3" s="6" t="n">
        <v>3</v>
      </c>
      <c r="E3" s="2" t="s">
        <v>387</v>
      </c>
      <c r="F3" s="2" t="s">
        <v>666</v>
      </c>
      <c r="G3" s="2" t="s">
        <v>571</v>
      </c>
      <c r="H3" s="4" t="n">
        <v>3</v>
      </c>
      <c r="I3" s="2" t="s">
        <v>456</v>
      </c>
      <c r="J3" s="9" t="n">
        <v>2</v>
      </c>
      <c r="K3" s="2" t="s">
        <v>456</v>
      </c>
    </row>
    <row r="4" customFormat="false" ht="15" hidden="false" customHeight="false" outlineLevel="0" collapsed="false">
      <c r="A4" s="2" t="s">
        <v>667</v>
      </c>
      <c r="B4" s="21" t="n">
        <v>45839.4977638889</v>
      </c>
      <c r="C4" s="22" t="n">
        <f aca="false">B4+D4/24</f>
        <v>45839.6644305556</v>
      </c>
      <c r="D4" s="6" t="n">
        <v>4</v>
      </c>
      <c r="E4" s="2" t="s">
        <v>387</v>
      </c>
      <c r="F4" s="2" t="s">
        <v>668</v>
      </c>
      <c r="G4" s="2" t="s">
        <v>572</v>
      </c>
      <c r="H4" s="4" t="n">
        <v>4</v>
      </c>
      <c r="I4" s="2" t="s">
        <v>456</v>
      </c>
      <c r="J4" s="9" t="n">
        <v>3</v>
      </c>
      <c r="K4" s="2" t="s">
        <v>456</v>
      </c>
    </row>
    <row r="5" customFormat="false" ht="15" hidden="false" customHeight="false" outlineLevel="0" collapsed="false">
      <c r="A5" s="2" t="s">
        <v>669</v>
      </c>
      <c r="B5" s="21" t="n">
        <v>45855.4266805556</v>
      </c>
      <c r="C5" s="22" t="n">
        <f aca="false">B5+D5/24</f>
        <v>45855.6766805556</v>
      </c>
      <c r="D5" s="6" t="n">
        <v>6</v>
      </c>
      <c r="E5" s="2" t="s">
        <v>387</v>
      </c>
      <c r="F5" s="2" t="s">
        <v>670</v>
      </c>
      <c r="G5" s="2" t="s">
        <v>579</v>
      </c>
      <c r="H5" s="4" t="n">
        <v>3</v>
      </c>
      <c r="I5" s="2" t="s">
        <v>456</v>
      </c>
      <c r="J5" s="9" t="n">
        <v>5</v>
      </c>
      <c r="K5" s="2" t="s">
        <v>456</v>
      </c>
    </row>
    <row r="6" customFormat="false" ht="15" hidden="false" customHeight="false" outlineLevel="0" collapsed="false">
      <c r="A6" s="2" t="s">
        <v>671</v>
      </c>
      <c r="B6" s="21" t="n">
        <v>45877.375</v>
      </c>
      <c r="C6" s="22" t="n">
        <f aca="false">B6+D6/24</f>
        <v>45877.4791666667</v>
      </c>
      <c r="D6" s="6" t="n">
        <v>2.5</v>
      </c>
      <c r="E6" s="2" t="s">
        <v>387</v>
      </c>
      <c r="F6" s="2" t="s">
        <v>672</v>
      </c>
      <c r="G6" s="2" t="s">
        <v>581</v>
      </c>
      <c r="H6" s="4" t="n">
        <v>4</v>
      </c>
      <c r="I6" s="2" t="s">
        <v>456</v>
      </c>
      <c r="J6" s="9" t="n">
        <v>2.5</v>
      </c>
      <c r="K6" s="2" t="s">
        <v>456</v>
      </c>
    </row>
    <row r="7" customFormat="false" ht="15" hidden="false" customHeight="false" outlineLevel="0" collapsed="false">
      <c r="A7" s="2" t="s">
        <v>673</v>
      </c>
      <c r="B7" s="21" t="n">
        <v>45887.4266805556</v>
      </c>
      <c r="C7" s="22" t="n">
        <f aca="false">B7+D7/24</f>
        <v>45887.6350138889</v>
      </c>
      <c r="D7" s="6" t="n">
        <v>5</v>
      </c>
      <c r="E7" s="2" t="s">
        <v>387</v>
      </c>
      <c r="F7" s="2" t="s">
        <v>674</v>
      </c>
      <c r="G7" s="2" t="s">
        <v>587</v>
      </c>
      <c r="H7" s="4" t="n">
        <v>3</v>
      </c>
      <c r="I7" s="2" t="s">
        <v>456</v>
      </c>
      <c r="J7" s="9" t="n">
        <v>4</v>
      </c>
      <c r="K7" s="2" t="s">
        <v>456</v>
      </c>
    </row>
    <row r="8" customFormat="false" ht="15" hidden="false" customHeight="false" outlineLevel="0" collapsed="false">
      <c r="A8" s="2" t="s">
        <v>675</v>
      </c>
      <c r="B8" s="21" t="n">
        <v>45902.4977638889</v>
      </c>
      <c r="C8" s="22" t="n">
        <f aca="false">B8+D8/24</f>
        <v>45902.6435972222</v>
      </c>
      <c r="D8" s="6" t="n">
        <v>3.5</v>
      </c>
      <c r="E8" s="2" t="s">
        <v>387</v>
      </c>
      <c r="F8" s="2" t="s">
        <v>664</v>
      </c>
      <c r="G8" s="2" t="s">
        <v>588</v>
      </c>
      <c r="H8" s="4" t="n">
        <v>4</v>
      </c>
      <c r="I8" s="2" t="s">
        <v>456</v>
      </c>
      <c r="J8" s="9" t="n">
        <v>2.5</v>
      </c>
      <c r="K8" s="2" t="s">
        <v>456</v>
      </c>
    </row>
    <row r="9" customFormat="false" ht="15" hidden="false" customHeight="false" outlineLevel="0" collapsed="false">
      <c r="A9" s="2" t="s">
        <v>676</v>
      </c>
      <c r="B9" s="21" t="n">
        <v>45916.375</v>
      </c>
      <c r="C9" s="22" t="n">
        <f aca="false">B9+D9/24</f>
        <v>45916.5625</v>
      </c>
      <c r="D9" s="6" t="n">
        <v>4.5</v>
      </c>
      <c r="E9" s="2" t="s">
        <v>387</v>
      </c>
      <c r="F9" s="2" t="s">
        <v>666</v>
      </c>
      <c r="G9" s="2" t="s">
        <v>595</v>
      </c>
      <c r="H9" s="4" t="n">
        <v>3</v>
      </c>
      <c r="I9" s="2" t="s">
        <v>456</v>
      </c>
      <c r="J9" s="9" t="n">
        <v>3.5</v>
      </c>
      <c r="K9" s="2" t="s">
        <v>456</v>
      </c>
    </row>
    <row r="10" customFormat="false" ht="15" hidden="false" customHeight="false" outlineLevel="0" collapsed="false">
      <c r="A10" s="2" t="s">
        <v>677</v>
      </c>
      <c r="B10" s="21" t="n">
        <v>45939.375</v>
      </c>
      <c r="C10" s="22" t="n">
        <f aca="false">B10+D10/24</f>
        <v>45939.4583333333</v>
      </c>
      <c r="D10" s="6" t="n">
        <v>2</v>
      </c>
      <c r="E10" s="2" t="s">
        <v>387</v>
      </c>
      <c r="F10" s="2" t="s">
        <v>668</v>
      </c>
      <c r="G10" s="2" t="s">
        <v>597</v>
      </c>
      <c r="H10" s="4" t="n">
        <v>4</v>
      </c>
      <c r="I10" s="2" t="s">
        <v>456</v>
      </c>
      <c r="J10" s="9" t="n">
        <v>2</v>
      </c>
      <c r="K10" s="2" t="s">
        <v>456</v>
      </c>
    </row>
    <row r="11" customFormat="false" ht="15" hidden="false" customHeight="false" outlineLevel="0" collapsed="false">
      <c r="A11" s="2" t="s">
        <v>678</v>
      </c>
      <c r="B11" s="21" t="n">
        <v>45952.4765555556</v>
      </c>
      <c r="C11" s="22" t="n">
        <f aca="false">B11+D11/24</f>
        <v>45952.7265555556</v>
      </c>
      <c r="D11" s="6" t="n">
        <v>6</v>
      </c>
      <c r="E11" s="2" t="s">
        <v>387</v>
      </c>
      <c r="F11" s="2" t="s">
        <v>670</v>
      </c>
      <c r="G11" s="2" t="s">
        <v>598</v>
      </c>
      <c r="H11" s="4" t="n">
        <v>4</v>
      </c>
      <c r="I11" s="2" t="s">
        <v>456</v>
      </c>
      <c r="J11" s="9" t="n">
        <v>4.56266666666667</v>
      </c>
      <c r="K11" s="2" t="s">
        <v>456</v>
      </c>
    </row>
    <row r="12" customFormat="false" ht="15" hidden="false" customHeight="false" outlineLevel="0" collapsed="false">
      <c r="A12" s="2" t="s">
        <v>679</v>
      </c>
      <c r="B12" s="21" t="n">
        <v>45967.4664861111</v>
      </c>
      <c r="C12" s="22" t="n">
        <f aca="false">B12+D12/24</f>
        <v>45967.5914861111</v>
      </c>
      <c r="D12" s="6" t="n">
        <v>3</v>
      </c>
      <c r="E12" s="2" t="s">
        <v>387</v>
      </c>
      <c r="F12" s="2" t="s">
        <v>672</v>
      </c>
      <c r="G12" s="2" t="s">
        <v>605</v>
      </c>
      <c r="H12" s="4" t="n">
        <v>4</v>
      </c>
      <c r="I12" s="2" t="s">
        <v>456</v>
      </c>
      <c r="J12" s="9" t="n">
        <v>2</v>
      </c>
      <c r="K12" s="2" t="s">
        <v>456</v>
      </c>
    </row>
    <row r="13" customFormat="false" ht="15" hidden="false" customHeight="false" outlineLevel="0" collapsed="false">
      <c r="A13" s="2" t="s">
        <v>680</v>
      </c>
      <c r="B13" s="21" t="n">
        <v>45982.4765555556</v>
      </c>
      <c r="C13" s="22" t="n">
        <f aca="false">B13+D13/24</f>
        <v>45982.6432222222</v>
      </c>
      <c r="D13" s="6" t="n">
        <v>4</v>
      </c>
      <c r="E13" s="2" t="s">
        <v>387</v>
      </c>
      <c r="F13" s="2" t="s">
        <v>674</v>
      </c>
      <c r="G13" s="2" t="s">
        <v>606</v>
      </c>
      <c r="H13" s="4" t="n">
        <v>4</v>
      </c>
      <c r="I13" s="2" t="s">
        <v>456</v>
      </c>
      <c r="J13" s="9" t="n">
        <v>3</v>
      </c>
      <c r="K13" s="2" t="s">
        <v>456</v>
      </c>
    </row>
    <row r="14" customFormat="false" ht="15" hidden="false" customHeight="false" outlineLevel="0" collapsed="false">
      <c r="A14" s="2" t="s">
        <v>681</v>
      </c>
      <c r="B14" s="21" t="n">
        <v>45881.4166666667</v>
      </c>
      <c r="C14" s="22" t="n">
        <f aca="false">B14+D14/24</f>
        <v>45882.625</v>
      </c>
      <c r="D14" s="6" t="n">
        <v>29</v>
      </c>
      <c r="E14" s="2" t="s">
        <v>387</v>
      </c>
      <c r="F14" s="2" t="s">
        <v>682</v>
      </c>
      <c r="G14" s="2" t="s">
        <v>583</v>
      </c>
      <c r="H14" s="4" t="n">
        <v>4</v>
      </c>
      <c r="I14" s="2" t="s">
        <v>456</v>
      </c>
      <c r="J14" s="9" t="n">
        <v>12</v>
      </c>
      <c r="K14" s="2" t="s">
        <v>456</v>
      </c>
    </row>
    <row r="15" customFormat="false" ht="15" hidden="false" customHeight="false" outlineLevel="0" collapsed="false">
      <c r="A15" s="2" t="s">
        <v>683</v>
      </c>
      <c r="B15" s="21" t="n">
        <v>45834.3958333333</v>
      </c>
      <c r="C15" s="22" t="n">
        <f aca="false">B15+D15/24</f>
        <v>45834.5208333333</v>
      </c>
      <c r="D15" s="6" t="n">
        <v>3</v>
      </c>
      <c r="E15" s="2" t="s">
        <v>387</v>
      </c>
      <c r="F15" s="2" t="s">
        <v>684</v>
      </c>
      <c r="G15" s="2" t="s">
        <v>568</v>
      </c>
      <c r="H15" s="4" t="n">
        <v>4</v>
      </c>
      <c r="I15" s="2" t="s">
        <v>456</v>
      </c>
      <c r="J15" s="9" t="n">
        <v>2.5</v>
      </c>
      <c r="K15" s="2" t="s">
        <v>456</v>
      </c>
    </row>
    <row r="16" customFormat="false" ht="15" hidden="false" customHeight="false" outlineLevel="0" collapsed="false">
      <c r="A16" s="2" t="s">
        <v>685</v>
      </c>
      <c r="B16" s="21" t="n">
        <v>45919.4375</v>
      </c>
      <c r="C16" s="22" t="n">
        <f aca="false">B16+D16/24</f>
        <v>45919.625</v>
      </c>
      <c r="D16" s="6" t="n">
        <v>4.5</v>
      </c>
      <c r="E16" s="2" t="s">
        <v>383</v>
      </c>
      <c r="F16" s="2" t="s">
        <v>686</v>
      </c>
      <c r="G16" s="2" t="s">
        <v>590</v>
      </c>
      <c r="H16" s="4" t="n">
        <v>3</v>
      </c>
      <c r="I16" s="2" t="s">
        <v>456</v>
      </c>
      <c r="J16" s="9" t="n">
        <v>3.5</v>
      </c>
      <c r="K16" s="2" t="s">
        <v>456</v>
      </c>
    </row>
    <row r="17" customFormat="false" ht="15" hidden="false" customHeight="false" outlineLevel="0" collapsed="false">
      <c r="A17" s="2" t="s">
        <v>687</v>
      </c>
      <c r="B17" s="21" t="n">
        <v>45849.375</v>
      </c>
      <c r="C17" s="22" t="n">
        <f aca="false">B17+D17/24</f>
        <v>45849.5833333333</v>
      </c>
      <c r="D17" s="6" t="n">
        <v>5</v>
      </c>
      <c r="E17" s="2" t="s">
        <v>391</v>
      </c>
      <c r="F17" s="2" t="s">
        <v>688</v>
      </c>
      <c r="G17" s="2" t="s">
        <v>573</v>
      </c>
      <c r="H17" s="4" t="n">
        <v>5</v>
      </c>
      <c r="I17" s="2" t="s">
        <v>456</v>
      </c>
      <c r="J17" s="9" t="n">
        <v>4</v>
      </c>
      <c r="K17" s="2" t="s">
        <v>456</v>
      </c>
    </row>
    <row r="18" customFormat="false" ht="15" hidden="false" customHeight="false" outlineLevel="0" collapsed="false">
      <c r="A18" s="2" t="s">
        <v>689</v>
      </c>
      <c r="B18" s="21" t="n">
        <v>45840.40625</v>
      </c>
      <c r="C18" s="22" t="n">
        <f aca="false">B18+D18/24</f>
        <v>45840.65625</v>
      </c>
      <c r="D18" s="6" t="n">
        <v>6</v>
      </c>
      <c r="E18" s="2" t="s">
        <v>421</v>
      </c>
      <c r="F18" s="2" t="s">
        <v>690</v>
      </c>
      <c r="G18" s="2" t="s">
        <v>566</v>
      </c>
      <c r="H18" s="4" t="n">
        <v>9</v>
      </c>
      <c r="I18" s="2" t="s">
        <v>456</v>
      </c>
      <c r="J18" s="9" t="n">
        <v>5</v>
      </c>
      <c r="K18" s="2" t="s">
        <v>456</v>
      </c>
    </row>
    <row r="19" customFormat="false" ht="15" hidden="false" customHeight="false" outlineLevel="0" collapsed="false">
      <c r="A19" s="2" t="s">
        <v>691</v>
      </c>
      <c r="B19" s="21" t="n">
        <v>45784.375</v>
      </c>
      <c r="C19" s="22" t="n">
        <f aca="false">B19+D19/24</f>
        <v>45784.5416666667</v>
      </c>
      <c r="D19" s="6" t="n">
        <v>4</v>
      </c>
      <c r="E19" s="2" t="s">
        <v>375</v>
      </c>
      <c r="F19" s="2" t="s">
        <v>692</v>
      </c>
      <c r="G19" s="2" t="s">
        <v>561</v>
      </c>
      <c r="H19" s="4" t="n">
        <v>1</v>
      </c>
      <c r="I19" s="2" t="s">
        <v>456</v>
      </c>
      <c r="J19" s="9" t="n">
        <v>3</v>
      </c>
      <c r="K19" s="2" t="s">
        <v>456</v>
      </c>
    </row>
    <row r="20" customFormat="false" ht="15" hidden="false" customHeight="false" outlineLevel="0" collapsed="false">
      <c r="A20" s="2" t="s">
        <v>693</v>
      </c>
      <c r="B20" s="21" t="n">
        <v>45855.375</v>
      </c>
      <c r="C20" s="22" t="n">
        <f aca="false">B20+D20/24</f>
        <v>45855.5</v>
      </c>
      <c r="D20" s="6" t="n">
        <v>3</v>
      </c>
      <c r="E20" s="2" t="s">
        <v>387</v>
      </c>
      <c r="F20" s="2" t="s">
        <v>694</v>
      </c>
      <c r="G20" s="2" t="s">
        <v>577</v>
      </c>
      <c r="H20" s="4" t="n">
        <v>3</v>
      </c>
      <c r="I20" s="2" t="s">
        <v>456</v>
      </c>
      <c r="J20" s="9" t="n">
        <v>3</v>
      </c>
      <c r="K20" s="2" t="s">
        <v>456</v>
      </c>
    </row>
    <row r="21" customFormat="false" ht="15" hidden="false" customHeight="false" outlineLevel="0" collapsed="false">
      <c r="A21" s="2" t="s">
        <v>695</v>
      </c>
      <c r="B21" s="21" t="n">
        <v>45855.375</v>
      </c>
      <c r="C21" s="22" t="n">
        <f aca="false">B21+D21/24</f>
        <v>45855.5</v>
      </c>
      <c r="D21" s="6" t="n">
        <v>3</v>
      </c>
      <c r="E21" s="2" t="s">
        <v>375</v>
      </c>
      <c r="F21" s="2" t="s">
        <v>696</v>
      </c>
      <c r="G21" s="2" t="s">
        <v>576</v>
      </c>
      <c r="H21" s="4" t="n">
        <v>1</v>
      </c>
      <c r="I21" s="2" t="s">
        <v>456</v>
      </c>
      <c r="J21" s="9" t="n">
        <v>3</v>
      </c>
      <c r="K21" s="2" t="s">
        <v>456</v>
      </c>
    </row>
    <row r="22" customFormat="false" ht="15" hidden="false" customHeight="false" outlineLevel="0" collapsed="false">
      <c r="A22" s="2" t="s">
        <v>697</v>
      </c>
      <c r="B22" s="21" t="n">
        <v>45854.3333333333</v>
      </c>
      <c r="C22" s="22" t="n">
        <f aca="false">B22+D22/24</f>
        <v>45854.5</v>
      </c>
      <c r="D22" s="6" t="n">
        <v>4</v>
      </c>
      <c r="E22" s="2" t="s">
        <v>387</v>
      </c>
      <c r="F22" s="2" t="s">
        <v>698</v>
      </c>
      <c r="G22" s="2" t="s">
        <v>577</v>
      </c>
      <c r="H22" s="4" t="n">
        <v>3</v>
      </c>
      <c r="I22" s="2" t="s">
        <v>699</v>
      </c>
      <c r="J22" s="9" t="n">
        <v>4</v>
      </c>
      <c r="K22" s="2" t="s">
        <v>456</v>
      </c>
    </row>
  </sheetData>
  <autoFilter ref="A1:K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5100"/>
    <pageSetUpPr fitToPage="false"/>
  </sheetPr>
  <dimension ref="A1:J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6"/>
    <col collapsed="false" customWidth="true" hidden="false" outlineLevel="0" max="3" min="3" style="0" width="26"/>
    <col collapsed="false" customWidth="true" hidden="false" outlineLevel="0" max="4" min="4" style="0" width="18"/>
    <col collapsed="false" customWidth="true" hidden="false" outlineLevel="0" max="7" min="5" style="0" width="9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12"/>
  </cols>
  <sheetData>
    <row r="1" customFormat="false" ht="31.5" hidden="false" customHeight="true" outlineLevel="0" collapsed="false">
      <c r="A1" s="1" t="s">
        <v>272</v>
      </c>
      <c r="B1" s="1" t="s">
        <v>427</v>
      </c>
      <c r="C1" s="1" t="s">
        <v>428</v>
      </c>
      <c r="D1" s="1" t="s">
        <v>700</v>
      </c>
      <c r="E1" s="1" t="s">
        <v>701</v>
      </c>
      <c r="F1" s="1" t="s">
        <v>702</v>
      </c>
      <c r="G1" s="1" t="s">
        <v>703</v>
      </c>
      <c r="H1" s="1" t="s">
        <v>704</v>
      </c>
      <c r="I1" s="1" t="s">
        <v>705</v>
      </c>
      <c r="J1" s="1" t="s">
        <v>64</v>
      </c>
    </row>
    <row r="2" customFormat="false" ht="15" hidden="false" customHeight="false" outlineLevel="0" collapsed="false">
      <c r="A2" s="2" t="s">
        <v>80</v>
      </c>
      <c r="B2" s="4" t="n">
        <v>4</v>
      </c>
      <c r="C2" s="2" t="s">
        <v>390</v>
      </c>
      <c r="D2" s="2" t="s">
        <v>706</v>
      </c>
      <c r="E2" s="4" t="n">
        <v>1</v>
      </c>
      <c r="F2" s="4" t="n">
        <v>0</v>
      </c>
      <c r="G2" s="4" t="n">
        <v>0</v>
      </c>
      <c r="H2" s="4" t="n">
        <v>1</v>
      </c>
      <c r="I2" s="3" t="n">
        <v>10</v>
      </c>
      <c r="J2" s="2" t="s">
        <v>82</v>
      </c>
    </row>
    <row r="3" customFormat="false" ht="15" hidden="false" customHeight="false" outlineLevel="0" collapsed="false">
      <c r="A3" s="2" t="s">
        <v>80</v>
      </c>
      <c r="B3" s="4" t="n">
        <v>4</v>
      </c>
      <c r="C3" s="2" t="s">
        <v>390</v>
      </c>
      <c r="D3" s="2" t="s">
        <v>707</v>
      </c>
      <c r="E3" s="4" t="n">
        <v>0</v>
      </c>
      <c r="F3" s="4" t="n">
        <v>1</v>
      </c>
      <c r="G3" s="4" t="n">
        <v>1</v>
      </c>
      <c r="I3" s="3" t="n">
        <v>0</v>
      </c>
      <c r="J3" s="2" t="s">
        <v>82</v>
      </c>
    </row>
    <row r="4" customFormat="false" ht="15" hidden="false" customHeight="false" outlineLevel="0" collapsed="false">
      <c r="A4" s="2" t="s">
        <v>83</v>
      </c>
      <c r="B4" s="4" t="n">
        <v>4</v>
      </c>
      <c r="C4" s="2" t="s">
        <v>390</v>
      </c>
      <c r="D4" s="2" t="s">
        <v>706</v>
      </c>
      <c r="E4" s="4" t="n">
        <v>1</v>
      </c>
      <c r="F4" s="4" t="n">
        <v>0</v>
      </c>
      <c r="G4" s="4" t="n">
        <v>0</v>
      </c>
      <c r="H4" s="4" t="n">
        <v>1</v>
      </c>
      <c r="I4" s="3" t="n">
        <v>10</v>
      </c>
      <c r="J4" s="2" t="s">
        <v>82</v>
      </c>
    </row>
    <row r="5" customFormat="false" ht="15" hidden="false" customHeight="false" outlineLevel="0" collapsed="false">
      <c r="A5" s="2" t="s">
        <v>83</v>
      </c>
      <c r="B5" s="4" t="n">
        <v>4</v>
      </c>
      <c r="C5" s="2" t="s">
        <v>390</v>
      </c>
      <c r="D5" s="2" t="s">
        <v>707</v>
      </c>
      <c r="E5" s="4" t="n">
        <v>0</v>
      </c>
      <c r="F5" s="4" t="n">
        <v>1</v>
      </c>
      <c r="G5" s="4" t="n">
        <v>1</v>
      </c>
      <c r="I5" s="3" t="n">
        <v>0</v>
      </c>
      <c r="J5" s="2" t="s">
        <v>82</v>
      </c>
    </row>
    <row r="6" customFormat="false" ht="15" hidden="false" customHeight="false" outlineLevel="0" collapsed="false">
      <c r="A6" s="2" t="s">
        <v>94</v>
      </c>
      <c r="B6" s="4" t="n">
        <v>4</v>
      </c>
      <c r="C6" s="2" t="s">
        <v>390</v>
      </c>
      <c r="D6" s="2" t="s">
        <v>706</v>
      </c>
      <c r="E6" s="4" t="n">
        <v>1</v>
      </c>
      <c r="F6" s="4" t="n">
        <v>0</v>
      </c>
      <c r="G6" s="4" t="n">
        <v>0</v>
      </c>
      <c r="H6" s="4" t="n">
        <v>1</v>
      </c>
      <c r="I6" s="3" t="n">
        <v>10</v>
      </c>
      <c r="J6" s="2" t="s">
        <v>82</v>
      </c>
    </row>
    <row r="7" customFormat="false" ht="15" hidden="false" customHeight="false" outlineLevel="0" collapsed="false">
      <c r="A7" s="2" t="s">
        <v>94</v>
      </c>
      <c r="B7" s="4" t="n">
        <v>4</v>
      </c>
      <c r="C7" s="2" t="s">
        <v>390</v>
      </c>
      <c r="D7" s="2" t="s">
        <v>707</v>
      </c>
      <c r="E7" s="4" t="n">
        <v>0</v>
      </c>
      <c r="F7" s="4" t="n">
        <v>1</v>
      </c>
      <c r="G7" s="4" t="n">
        <v>1</v>
      </c>
      <c r="I7" s="3" t="n">
        <v>0</v>
      </c>
      <c r="J7" s="2" t="s">
        <v>82</v>
      </c>
    </row>
    <row r="8" customFormat="false" ht="15" hidden="false" customHeight="false" outlineLevel="0" collapsed="false">
      <c r="A8" s="2" t="s">
        <v>96</v>
      </c>
      <c r="B8" s="4" t="n">
        <v>4</v>
      </c>
      <c r="C8" s="2" t="s">
        <v>390</v>
      </c>
      <c r="D8" s="2" t="s">
        <v>706</v>
      </c>
      <c r="E8" s="4" t="n">
        <v>1</v>
      </c>
      <c r="F8" s="4" t="n">
        <v>0</v>
      </c>
      <c r="G8" s="4" t="n">
        <v>0</v>
      </c>
      <c r="H8" s="4" t="n">
        <v>1</v>
      </c>
      <c r="I8" s="3" t="n">
        <v>10</v>
      </c>
      <c r="J8" s="2" t="s">
        <v>82</v>
      </c>
    </row>
    <row r="9" customFormat="false" ht="15" hidden="false" customHeight="false" outlineLevel="0" collapsed="false">
      <c r="A9" s="2" t="s">
        <v>96</v>
      </c>
      <c r="B9" s="4" t="n">
        <v>4</v>
      </c>
      <c r="C9" s="2" t="s">
        <v>390</v>
      </c>
      <c r="D9" s="2" t="s">
        <v>707</v>
      </c>
      <c r="E9" s="4" t="n">
        <v>0</v>
      </c>
      <c r="F9" s="4" t="n">
        <v>1</v>
      </c>
      <c r="G9" s="4" t="n">
        <v>1</v>
      </c>
      <c r="I9" s="3" t="n">
        <v>0</v>
      </c>
      <c r="J9" s="2" t="s">
        <v>82</v>
      </c>
    </row>
    <row r="10" customFormat="false" ht="15" hidden="false" customHeight="false" outlineLevel="0" collapsed="false">
      <c r="A10" s="2" t="s">
        <v>106</v>
      </c>
      <c r="B10" s="4" t="n">
        <v>3</v>
      </c>
      <c r="C10" s="2" t="s">
        <v>390</v>
      </c>
      <c r="D10" s="2" t="s">
        <v>706</v>
      </c>
      <c r="E10" s="4" t="n">
        <v>1</v>
      </c>
      <c r="F10" s="4" t="n">
        <v>0</v>
      </c>
      <c r="G10" s="4" t="n">
        <v>0</v>
      </c>
      <c r="H10" s="4" t="n">
        <v>1</v>
      </c>
      <c r="I10" s="3" t="n">
        <v>10</v>
      </c>
      <c r="J10" s="2" t="s">
        <v>82</v>
      </c>
    </row>
    <row r="11" customFormat="false" ht="15" hidden="false" customHeight="false" outlineLevel="0" collapsed="false">
      <c r="A11" s="2" t="s">
        <v>106</v>
      </c>
      <c r="B11" s="4" t="n">
        <v>3</v>
      </c>
      <c r="C11" s="2" t="s">
        <v>390</v>
      </c>
      <c r="D11" s="2" t="s">
        <v>707</v>
      </c>
      <c r="E11" s="4" t="n">
        <v>0</v>
      </c>
      <c r="F11" s="4" t="n">
        <v>1</v>
      </c>
      <c r="G11" s="4" t="n">
        <v>1</v>
      </c>
      <c r="I11" s="3" t="n">
        <v>0</v>
      </c>
      <c r="J11" s="2" t="s">
        <v>82</v>
      </c>
    </row>
    <row r="12" customFormat="false" ht="15" hidden="false" customHeight="false" outlineLevel="0" collapsed="false">
      <c r="A12" s="2" t="s">
        <v>108</v>
      </c>
      <c r="B12" s="4" t="n">
        <v>3</v>
      </c>
      <c r="C12" s="2" t="s">
        <v>390</v>
      </c>
      <c r="D12" s="2" t="s">
        <v>706</v>
      </c>
      <c r="E12" s="4" t="n">
        <v>1</v>
      </c>
      <c r="F12" s="4" t="n">
        <v>0</v>
      </c>
      <c r="G12" s="4" t="n">
        <v>0</v>
      </c>
      <c r="H12" s="4" t="n">
        <v>1</v>
      </c>
      <c r="I12" s="3" t="n">
        <v>10</v>
      </c>
      <c r="J12" s="2" t="s">
        <v>82</v>
      </c>
    </row>
    <row r="13" customFormat="false" ht="15" hidden="false" customHeight="false" outlineLevel="0" collapsed="false">
      <c r="A13" s="2" t="s">
        <v>108</v>
      </c>
      <c r="B13" s="4" t="n">
        <v>3</v>
      </c>
      <c r="C13" s="2" t="s">
        <v>390</v>
      </c>
      <c r="D13" s="2" t="s">
        <v>707</v>
      </c>
      <c r="E13" s="4" t="n">
        <v>0</v>
      </c>
      <c r="F13" s="4" t="n">
        <v>1</v>
      </c>
      <c r="G13" s="4" t="n">
        <v>1</v>
      </c>
      <c r="I13" s="3" t="n">
        <v>0</v>
      </c>
      <c r="J13" s="2" t="s">
        <v>82</v>
      </c>
    </row>
    <row r="14" customFormat="false" ht="15" hidden="false" customHeight="false" outlineLevel="0" collapsed="false">
      <c r="A14" s="2" t="s">
        <v>119</v>
      </c>
      <c r="B14" s="4" t="n">
        <v>3</v>
      </c>
      <c r="C14" s="2" t="s">
        <v>390</v>
      </c>
      <c r="D14" s="2" t="s">
        <v>706</v>
      </c>
      <c r="E14" s="4" t="n">
        <v>1</v>
      </c>
      <c r="F14" s="4" t="n">
        <v>0</v>
      </c>
      <c r="G14" s="4" t="n">
        <v>0</v>
      </c>
      <c r="H14" s="4" t="n">
        <v>1</v>
      </c>
      <c r="I14" s="3" t="n">
        <v>10</v>
      </c>
      <c r="J14" s="2" t="s">
        <v>82</v>
      </c>
    </row>
    <row r="15" customFormat="false" ht="15" hidden="false" customHeight="false" outlineLevel="0" collapsed="false">
      <c r="A15" s="2" t="s">
        <v>119</v>
      </c>
      <c r="B15" s="4" t="n">
        <v>3</v>
      </c>
      <c r="C15" s="2" t="s">
        <v>390</v>
      </c>
      <c r="D15" s="2" t="s">
        <v>707</v>
      </c>
      <c r="E15" s="4" t="n">
        <v>0</v>
      </c>
      <c r="F15" s="4" t="n">
        <v>1</v>
      </c>
      <c r="G15" s="4" t="n">
        <v>1</v>
      </c>
      <c r="I15" s="3" t="n">
        <v>0</v>
      </c>
      <c r="J15" s="2" t="s">
        <v>82</v>
      </c>
    </row>
    <row r="16" customFormat="false" ht="15" hidden="false" customHeight="false" outlineLevel="0" collapsed="false">
      <c r="A16" s="2" t="s">
        <v>121</v>
      </c>
      <c r="B16" s="4" t="n">
        <v>4</v>
      </c>
      <c r="C16" s="2" t="s">
        <v>390</v>
      </c>
      <c r="D16" s="2" t="s">
        <v>706</v>
      </c>
      <c r="E16" s="4" t="n">
        <v>1</v>
      </c>
      <c r="F16" s="4" t="n">
        <v>0</v>
      </c>
      <c r="G16" s="4" t="n">
        <v>0</v>
      </c>
      <c r="H16" s="4" t="n">
        <v>1</v>
      </c>
      <c r="I16" s="3" t="n">
        <v>10</v>
      </c>
      <c r="J16" s="2" t="s">
        <v>82</v>
      </c>
    </row>
    <row r="17" customFormat="false" ht="15" hidden="false" customHeight="false" outlineLevel="0" collapsed="false">
      <c r="A17" s="2" t="s">
        <v>121</v>
      </c>
      <c r="B17" s="4" t="n">
        <v>4</v>
      </c>
      <c r="C17" s="2" t="s">
        <v>390</v>
      </c>
      <c r="D17" s="2" t="s">
        <v>707</v>
      </c>
      <c r="E17" s="4" t="n">
        <v>0</v>
      </c>
      <c r="F17" s="4" t="n">
        <v>1</v>
      </c>
      <c r="G17" s="4" t="n">
        <v>1</v>
      </c>
      <c r="I17" s="3" t="n">
        <v>0</v>
      </c>
      <c r="J17" s="2" t="s">
        <v>82</v>
      </c>
    </row>
    <row r="18" customFormat="false" ht="15" hidden="false" customHeight="false" outlineLevel="0" collapsed="false">
      <c r="A18" s="2" t="s">
        <v>89</v>
      </c>
      <c r="B18" s="4" t="n">
        <v>4</v>
      </c>
      <c r="C18" s="2" t="s">
        <v>390</v>
      </c>
      <c r="D18" s="2" t="s">
        <v>706</v>
      </c>
      <c r="E18" s="4" t="n">
        <v>1</v>
      </c>
      <c r="F18" s="4" t="n">
        <v>0</v>
      </c>
      <c r="G18" s="4" t="n">
        <v>0</v>
      </c>
      <c r="H18" s="4" t="n">
        <v>1</v>
      </c>
      <c r="I18" s="3" t="n">
        <v>10</v>
      </c>
      <c r="J18" s="2" t="s">
        <v>82</v>
      </c>
    </row>
    <row r="19" customFormat="false" ht="15" hidden="false" customHeight="false" outlineLevel="0" collapsed="false">
      <c r="A19" s="2" t="s">
        <v>89</v>
      </c>
      <c r="B19" s="4" t="n">
        <v>4</v>
      </c>
      <c r="C19" s="2" t="s">
        <v>390</v>
      </c>
      <c r="D19" s="2" t="s">
        <v>707</v>
      </c>
      <c r="E19" s="4" t="n">
        <v>0</v>
      </c>
      <c r="F19" s="4" t="n">
        <v>1</v>
      </c>
      <c r="G19" s="4" t="n">
        <v>1</v>
      </c>
      <c r="I19" s="3" t="n">
        <v>0</v>
      </c>
      <c r="J19" s="2" t="s">
        <v>82</v>
      </c>
    </row>
    <row r="20" customFormat="false" ht="15" hidden="false" customHeight="false" outlineLevel="0" collapsed="false">
      <c r="A20" s="2" t="s">
        <v>97</v>
      </c>
      <c r="B20" s="4" t="n">
        <v>4</v>
      </c>
      <c r="C20" s="2" t="s">
        <v>390</v>
      </c>
      <c r="D20" s="2" t="s">
        <v>706</v>
      </c>
      <c r="E20" s="4" t="n">
        <v>1</v>
      </c>
      <c r="F20" s="4" t="n">
        <v>0</v>
      </c>
      <c r="G20" s="4" t="n">
        <v>0</v>
      </c>
      <c r="H20" s="4" t="n">
        <v>1</v>
      </c>
      <c r="I20" s="3" t="n">
        <v>10</v>
      </c>
      <c r="J20" s="2" t="s">
        <v>82</v>
      </c>
    </row>
    <row r="21" customFormat="false" ht="15" hidden="false" customHeight="false" outlineLevel="0" collapsed="false">
      <c r="A21" s="2" t="s">
        <v>97</v>
      </c>
      <c r="B21" s="4" t="n">
        <v>4</v>
      </c>
      <c r="C21" s="2" t="s">
        <v>390</v>
      </c>
      <c r="D21" s="2" t="s">
        <v>707</v>
      </c>
      <c r="E21" s="4" t="n">
        <v>0</v>
      </c>
      <c r="F21" s="4" t="n">
        <v>1</v>
      </c>
      <c r="G21" s="4" t="n">
        <v>1</v>
      </c>
      <c r="I21" s="3" t="n">
        <v>0</v>
      </c>
      <c r="J21" s="2" t="s">
        <v>82</v>
      </c>
    </row>
    <row r="22" customFormat="false" ht="15" hidden="false" customHeight="false" outlineLevel="0" collapsed="false">
      <c r="A22" s="2" t="s">
        <v>99</v>
      </c>
      <c r="B22" s="4" t="n">
        <v>4</v>
      </c>
      <c r="C22" s="2" t="s">
        <v>390</v>
      </c>
      <c r="D22" s="2" t="s">
        <v>706</v>
      </c>
      <c r="E22" s="4" t="n">
        <v>1</v>
      </c>
      <c r="F22" s="4" t="n">
        <v>0</v>
      </c>
      <c r="G22" s="4" t="n">
        <v>0</v>
      </c>
      <c r="H22" s="4" t="n">
        <v>1</v>
      </c>
      <c r="I22" s="3" t="n">
        <v>10</v>
      </c>
      <c r="J22" s="2" t="s">
        <v>82</v>
      </c>
    </row>
    <row r="23" customFormat="false" ht="15" hidden="false" customHeight="false" outlineLevel="0" collapsed="false">
      <c r="A23" s="2" t="s">
        <v>99</v>
      </c>
      <c r="B23" s="4" t="n">
        <v>4</v>
      </c>
      <c r="C23" s="2" t="s">
        <v>390</v>
      </c>
      <c r="D23" s="2" t="s">
        <v>707</v>
      </c>
      <c r="E23" s="4" t="n">
        <v>0</v>
      </c>
      <c r="F23" s="4" t="n">
        <v>1</v>
      </c>
      <c r="G23" s="4" t="n">
        <v>1</v>
      </c>
      <c r="I23" s="3" t="n">
        <v>0</v>
      </c>
      <c r="J23" s="2" t="s">
        <v>82</v>
      </c>
    </row>
    <row r="24" customFormat="false" ht="15" hidden="false" customHeight="false" outlineLevel="0" collapsed="false">
      <c r="A24" s="2" t="s">
        <v>101</v>
      </c>
      <c r="B24" s="4" t="n">
        <v>4</v>
      </c>
      <c r="C24" s="2" t="s">
        <v>390</v>
      </c>
      <c r="D24" s="2" t="s">
        <v>706</v>
      </c>
      <c r="E24" s="4" t="n">
        <v>1</v>
      </c>
      <c r="F24" s="4" t="n">
        <v>0</v>
      </c>
      <c r="G24" s="4" t="n">
        <v>0</v>
      </c>
      <c r="H24" s="4" t="n">
        <v>1</v>
      </c>
      <c r="I24" s="3" t="n">
        <v>10</v>
      </c>
      <c r="J24" s="2" t="s">
        <v>82</v>
      </c>
    </row>
    <row r="25" customFormat="false" ht="15" hidden="false" customHeight="false" outlineLevel="0" collapsed="false">
      <c r="A25" s="2" t="s">
        <v>101</v>
      </c>
      <c r="B25" s="4" t="n">
        <v>4</v>
      </c>
      <c r="C25" s="2" t="s">
        <v>390</v>
      </c>
      <c r="D25" s="2" t="s">
        <v>707</v>
      </c>
      <c r="E25" s="4" t="n">
        <v>0</v>
      </c>
      <c r="F25" s="4" t="n">
        <v>1</v>
      </c>
      <c r="G25" s="4" t="n">
        <v>1</v>
      </c>
      <c r="I25" s="3" t="n">
        <v>0</v>
      </c>
      <c r="J25" s="2" t="s">
        <v>82</v>
      </c>
    </row>
    <row r="26" customFormat="false" ht="15" hidden="false" customHeight="false" outlineLevel="0" collapsed="false">
      <c r="A26" s="2" t="s">
        <v>103</v>
      </c>
      <c r="B26" s="4" t="n">
        <v>4</v>
      </c>
      <c r="C26" s="2" t="s">
        <v>390</v>
      </c>
      <c r="D26" s="2" t="s">
        <v>706</v>
      </c>
      <c r="E26" s="4" t="n">
        <v>1</v>
      </c>
      <c r="F26" s="4" t="n">
        <v>0</v>
      </c>
      <c r="G26" s="4" t="n">
        <v>0</v>
      </c>
      <c r="H26" s="4" t="n">
        <v>1</v>
      </c>
      <c r="I26" s="3" t="n">
        <v>10</v>
      </c>
      <c r="J26" s="2" t="s">
        <v>82</v>
      </c>
    </row>
    <row r="27" customFormat="false" ht="15" hidden="false" customHeight="false" outlineLevel="0" collapsed="false">
      <c r="A27" s="2" t="s">
        <v>103</v>
      </c>
      <c r="B27" s="4" t="n">
        <v>4</v>
      </c>
      <c r="C27" s="2" t="s">
        <v>390</v>
      </c>
      <c r="D27" s="2" t="s">
        <v>707</v>
      </c>
      <c r="E27" s="4" t="n">
        <v>0</v>
      </c>
      <c r="F27" s="4" t="n">
        <v>1</v>
      </c>
      <c r="G27" s="4" t="n">
        <v>1</v>
      </c>
      <c r="I27" s="3" t="n">
        <v>0</v>
      </c>
      <c r="J27" s="2" t="s">
        <v>82</v>
      </c>
    </row>
    <row r="28" customFormat="false" ht="15" hidden="false" customHeight="false" outlineLevel="0" collapsed="false">
      <c r="A28" s="2" t="s">
        <v>110</v>
      </c>
      <c r="B28" s="4" t="n">
        <v>3</v>
      </c>
      <c r="C28" s="2" t="s">
        <v>390</v>
      </c>
      <c r="D28" s="2" t="s">
        <v>706</v>
      </c>
      <c r="E28" s="4" t="n">
        <v>1</v>
      </c>
      <c r="F28" s="4" t="n">
        <v>0</v>
      </c>
      <c r="G28" s="4" t="n">
        <v>0</v>
      </c>
      <c r="H28" s="4" t="n">
        <v>1</v>
      </c>
      <c r="I28" s="3" t="n">
        <v>10</v>
      </c>
      <c r="J28" s="2" t="s">
        <v>82</v>
      </c>
    </row>
    <row r="29" customFormat="false" ht="15" hidden="false" customHeight="false" outlineLevel="0" collapsed="false">
      <c r="A29" s="2" t="s">
        <v>110</v>
      </c>
      <c r="B29" s="4" t="n">
        <v>3</v>
      </c>
      <c r="C29" s="2" t="s">
        <v>390</v>
      </c>
      <c r="D29" s="2" t="s">
        <v>707</v>
      </c>
      <c r="E29" s="4" t="n">
        <v>0</v>
      </c>
      <c r="F29" s="4" t="n">
        <v>1</v>
      </c>
      <c r="G29" s="4" t="n">
        <v>1</v>
      </c>
      <c r="I29" s="3" t="n">
        <v>0</v>
      </c>
      <c r="J29" s="2" t="s">
        <v>82</v>
      </c>
    </row>
    <row r="30" customFormat="false" ht="15" hidden="false" customHeight="false" outlineLevel="0" collapsed="false">
      <c r="A30" s="2" t="s">
        <v>112</v>
      </c>
      <c r="B30" s="4" t="n">
        <v>3</v>
      </c>
      <c r="C30" s="2" t="s">
        <v>390</v>
      </c>
      <c r="D30" s="2" t="s">
        <v>706</v>
      </c>
      <c r="E30" s="4" t="n">
        <v>1</v>
      </c>
      <c r="F30" s="4" t="n">
        <v>0</v>
      </c>
      <c r="G30" s="4" t="n">
        <v>0</v>
      </c>
      <c r="H30" s="4" t="n">
        <v>1</v>
      </c>
      <c r="I30" s="3" t="n">
        <v>10</v>
      </c>
      <c r="J30" s="2" t="s">
        <v>82</v>
      </c>
    </row>
    <row r="31" customFormat="false" ht="15" hidden="false" customHeight="false" outlineLevel="0" collapsed="false">
      <c r="A31" s="2" t="s">
        <v>112</v>
      </c>
      <c r="B31" s="4" t="n">
        <v>3</v>
      </c>
      <c r="C31" s="2" t="s">
        <v>390</v>
      </c>
      <c r="D31" s="2" t="s">
        <v>707</v>
      </c>
      <c r="E31" s="4" t="n">
        <v>0</v>
      </c>
      <c r="F31" s="4" t="n">
        <v>1</v>
      </c>
      <c r="G31" s="4" t="n">
        <v>1</v>
      </c>
      <c r="I31" s="3" t="n">
        <v>0</v>
      </c>
      <c r="J31" s="2" t="s">
        <v>82</v>
      </c>
    </row>
    <row r="32" customFormat="false" ht="15" hidden="false" customHeight="false" outlineLevel="0" collapsed="false">
      <c r="A32" s="2" t="s">
        <v>114</v>
      </c>
      <c r="B32" s="4" t="n">
        <v>3</v>
      </c>
      <c r="C32" s="2" t="s">
        <v>390</v>
      </c>
      <c r="D32" s="2" t="s">
        <v>706</v>
      </c>
      <c r="E32" s="4" t="n">
        <v>1</v>
      </c>
      <c r="F32" s="4" t="n">
        <v>0</v>
      </c>
      <c r="G32" s="4" t="n">
        <v>0</v>
      </c>
      <c r="H32" s="4" t="n">
        <v>1</v>
      </c>
      <c r="I32" s="3" t="n">
        <v>10</v>
      </c>
      <c r="J32" s="2" t="s">
        <v>82</v>
      </c>
    </row>
    <row r="33" customFormat="false" ht="15" hidden="false" customHeight="false" outlineLevel="0" collapsed="false">
      <c r="A33" s="2" t="s">
        <v>114</v>
      </c>
      <c r="B33" s="4" t="n">
        <v>3</v>
      </c>
      <c r="C33" s="2" t="s">
        <v>390</v>
      </c>
      <c r="D33" s="2" t="s">
        <v>707</v>
      </c>
      <c r="E33" s="4" t="n">
        <v>0</v>
      </c>
      <c r="F33" s="4" t="n">
        <v>1</v>
      </c>
      <c r="G33" s="4" t="n">
        <v>1</v>
      </c>
      <c r="I33" s="3" t="n">
        <v>0</v>
      </c>
      <c r="J33" s="2" t="s">
        <v>82</v>
      </c>
    </row>
    <row r="34" customFormat="false" ht="15" hidden="false" customHeight="false" outlineLevel="0" collapsed="false">
      <c r="A34" s="2" t="s">
        <v>116</v>
      </c>
      <c r="B34" s="4" t="n">
        <v>3</v>
      </c>
      <c r="C34" s="2" t="s">
        <v>390</v>
      </c>
      <c r="D34" s="2" t="s">
        <v>706</v>
      </c>
      <c r="E34" s="4" t="n">
        <v>1</v>
      </c>
      <c r="F34" s="4" t="n">
        <v>0</v>
      </c>
      <c r="G34" s="4" t="n">
        <v>0</v>
      </c>
      <c r="H34" s="4" t="n">
        <v>1</v>
      </c>
      <c r="I34" s="3" t="n">
        <v>10</v>
      </c>
      <c r="J34" s="2" t="s">
        <v>82</v>
      </c>
    </row>
    <row r="35" customFormat="false" ht="15" hidden="false" customHeight="false" outlineLevel="0" collapsed="false">
      <c r="A35" s="2" t="s">
        <v>116</v>
      </c>
      <c r="B35" s="4" t="n">
        <v>3</v>
      </c>
      <c r="C35" s="2" t="s">
        <v>390</v>
      </c>
      <c r="D35" s="2" t="s">
        <v>707</v>
      </c>
      <c r="E35" s="4" t="n">
        <v>0</v>
      </c>
      <c r="F35" s="4" t="n">
        <v>1</v>
      </c>
      <c r="G35" s="4" t="n">
        <v>1</v>
      </c>
      <c r="I35" s="3" t="n">
        <v>0</v>
      </c>
      <c r="J35" s="2" t="s">
        <v>82</v>
      </c>
    </row>
    <row r="36" customFormat="false" ht="15" hidden="false" customHeight="false" outlineLevel="0" collapsed="false">
      <c r="A36" s="2" t="s">
        <v>125</v>
      </c>
      <c r="B36" s="4" t="n">
        <v>3</v>
      </c>
      <c r="C36" s="2" t="s">
        <v>390</v>
      </c>
      <c r="D36" s="2" t="s">
        <v>706</v>
      </c>
      <c r="E36" s="4" t="n">
        <v>1</v>
      </c>
      <c r="F36" s="4" t="n">
        <v>0</v>
      </c>
      <c r="G36" s="4" t="n">
        <v>0</v>
      </c>
      <c r="H36" s="4" t="n">
        <v>1</v>
      </c>
      <c r="I36" s="3" t="n">
        <v>10</v>
      </c>
      <c r="J36" s="2" t="s">
        <v>82</v>
      </c>
    </row>
    <row r="37" customFormat="false" ht="15" hidden="false" customHeight="false" outlineLevel="0" collapsed="false">
      <c r="A37" s="2" t="s">
        <v>125</v>
      </c>
      <c r="B37" s="4" t="n">
        <v>3</v>
      </c>
      <c r="C37" s="2" t="s">
        <v>390</v>
      </c>
      <c r="D37" s="2" t="s">
        <v>707</v>
      </c>
      <c r="E37" s="4" t="n">
        <v>0</v>
      </c>
      <c r="F37" s="4" t="n">
        <v>1</v>
      </c>
      <c r="G37" s="4" t="n">
        <v>1</v>
      </c>
      <c r="I37" s="3" t="n">
        <v>0</v>
      </c>
      <c r="J37" s="2" t="s">
        <v>82</v>
      </c>
    </row>
    <row r="38" customFormat="false" ht="15" hidden="false" customHeight="false" outlineLevel="0" collapsed="false">
      <c r="A38" s="2" t="s">
        <v>127</v>
      </c>
      <c r="B38" s="4" t="n">
        <v>3</v>
      </c>
      <c r="C38" s="2" t="s">
        <v>390</v>
      </c>
      <c r="D38" s="2" t="s">
        <v>706</v>
      </c>
      <c r="E38" s="4" t="n">
        <v>1</v>
      </c>
      <c r="F38" s="4" t="n">
        <v>0</v>
      </c>
      <c r="G38" s="4" t="n">
        <v>0</v>
      </c>
      <c r="H38" s="4" t="n">
        <v>1</v>
      </c>
      <c r="I38" s="3" t="n">
        <v>10</v>
      </c>
      <c r="J38" s="2" t="s">
        <v>82</v>
      </c>
    </row>
    <row r="39" customFormat="false" ht="15" hidden="false" customHeight="false" outlineLevel="0" collapsed="false">
      <c r="A39" s="2" t="s">
        <v>127</v>
      </c>
      <c r="B39" s="4" t="n">
        <v>3</v>
      </c>
      <c r="C39" s="2" t="s">
        <v>390</v>
      </c>
      <c r="D39" s="2" t="s">
        <v>707</v>
      </c>
      <c r="E39" s="4" t="n">
        <v>0</v>
      </c>
      <c r="F39" s="4" t="n">
        <v>1</v>
      </c>
      <c r="G39" s="4" t="n">
        <v>1</v>
      </c>
      <c r="I39" s="3" t="n">
        <v>0</v>
      </c>
      <c r="J39" s="2" t="s">
        <v>82</v>
      </c>
    </row>
    <row r="40" customFormat="false" ht="15" hidden="false" customHeight="false" outlineLevel="0" collapsed="false">
      <c r="A40" s="2" t="s">
        <v>128</v>
      </c>
      <c r="B40" s="4" t="n">
        <v>3</v>
      </c>
      <c r="C40" s="2" t="s">
        <v>390</v>
      </c>
      <c r="D40" s="2" t="s">
        <v>706</v>
      </c>
      <c r="E40" s="4" t="n">
        <v>1</v>
      </c>
      <c r="F40" s="4" t="n">
        <v>0</v>
      </c>
      <c r="G40" s="4" t="n">
        <v>0</v>
      </c>
      <c r="H40" s="4" t="n">
        <v>1</v>
      </c>
      <c r="I40" s="3" t="n">
        <v>10</v>
      </c>
      <c r="J40" s="2" t="s">
        <v>82</v>
      </c>
    </row>
    <row r="41" customFormat="false" ht="15" hidden="false" customHeight="false" outlineLevel="0" collapsed="false">
      <c r="A41" s="2" t="s">
        <v>128</v>
      </c>
      <c r="B41" s="4" t="n">
        <v>3</v>
      </c>
      <c r="C41" s="2" t="s">
        <v>390</v>
      </c>
      <c r="D41" s="2" t="s">
        <v>707</v>
      </c>
      <c r="E41" s="4" t="n">
        <v>0</v>
      </c>
      <c r="F41" s="4" t="n">
        <v>1</v>
      </c>
      <c r="G41" s="4" t="n">
        <v>1</v>
      </c>
      <c r="I41" s="3" t="n">
        <v>0</v>
      </c>
      <c r="J41" s="2" t="s">
        <v>82</v>
      </c>
    </row>
    <row r="42" customFormat="false" ht="15" hidden="false" customHeight="false" outlineLevel="0" collapsed="false">
      <c r="A42" s="2" t="s">
        <v>129</v>
      </c>
      <c r="B42" s="4" t="n">
        <v>3</v>
      </c>
      <c r="C42" s="2" t="s">
        <v>390</v>
      </c>
      <c r="D42" s="2" t="s">
        <v>706</v>
      </c>
      <c r="E42" s="4" t="n">
        <v>1</v>
      </c>
      <c r="F42" s="4" t="n">
        <v>0</v>
      </c>
      <c r="G42" s="4" t="n">
        <v>0</v>
      </c>
      <c r="H42" s="4" t="n">
        <v>1</v>
      </c>
      <c r="I42" s="3" t="n">
        <v>10</v>
      </c>
      <c r="J42" s="2" t="s">
        <v>82</v>
      </c>
    </row>
    <row r="43" customFormat="false" ht="15" hidden="false" customHeight="false" outlineLevel="0" collapsed="false">
      <c r="A43" s="2" t="s">
        <v>129</v>
      </c>
      <c r="B43" s="4" t="n">
        <v>3</v>
      </c>
      <c r="C43" s="2" t="s">
        <v>390</v>
      </c>
      <c r="D43" s="2" t="s">
        <v>707</v>
      </c>
      <c r="E43" s="4" t="n">
        <v>0</v>
      </c>
      <c r="F43" s="4" t="n">
        <v>1</v>
      </c>
      <c r="G43" s="4" t="n">
        <v>1</v>
      </c>
      <c r="I43" s="3" t="n">
        <v>0</v>
      </c>
      <c r="J43" s="2" t="s">
        <v>82</v>
      </c>
    </row>
    <row r="44" customFormat="false" ht="15" hidden="false" customHeight="false" outlineLevel="0" collapsed="false">
      <c r="A44" s="2" t="s">
        <v>133</v>
      </c>
      <c r="B44" s="4" t="n">
        <v>3</v>
      </c>
      <c r="C44" s="2" t="s">
        <v>390</v>
      </c>
      <c r="D44" s="2" t="s">
        <v>706</v>
      </c>
      <c r="E44" s="4" t="n">
        <v>1</v>
      </c>
      <c r="F44" s="4" t="n">
        <v>0</v>
      </c>
      <c r="G44" s="4" t="n">
        <v>0</v>
      </c>
      <c r="H44" s="4" t="n">
        <v>1</v>
      </c>
      <c r="I44" s="3" t="n">
        <v>10</v>
      </c>
      <c r="J44" s="2" t="s">
        <v>82</v>
      </c>
    </row>
    <row r="45" customFormat="false" ht="15" hidden="false" customHeight="false" outlineLevel="0" collapsed="false">
      <c r="A45" s="2" t="s">
        <v>133</v>
      </c>
      <c r="B45" s="4" t="n">
        <v>3</v>
      </c>
      <c r="C45" s="2" t="s">
        <v>390</v>
      </c>
      <c r="D45" s="2" t="s">
        <v>707</v>
      </c>
      <c r="E45" s="4" t="n">
        <v>0</v>
      </c>
      <c r="F45" s="4" t="n">
        <v>1</v>
      </c>
      <c r="G45" s="4" t="n">
        <v>1</v>
      </c>
      <c r="I45" s="3" t="n">
        <v>0</v>
      </c>
      <c r="J45" s="2" t="s">
        <v>82</v>
      </c>
    </row>
    <row r="46" customFormat="false" ht="15" hidden="false" customHeight="false" outlineLevel="0" collapsed="false">
      <c r="A46" s="2" t="s">
        <v>134</v>
      </c>
      <c r="B46" s="4" t="n">
        <v>3</v>
      </c>
      <c r="C46" s="2" t="s">
        <v>390</v>
      </c>
      <c r="D46" s="2" t="s">
        <v>706</v>
      </c>
      <c r="E46" s="4" t="n">
        <v>1</v>
      </c>
      <c r="F46" s="4" t="n">
        <v>0</v>
      </c>
      <c r="G46" s="4" t="n">
        <v>0</v>
      </c>
      <c r="H46" s="4" t="n">
        <v>1</v>
      </c>
      <c r="I46" s="3" t="n">
        <v>10</v>
      </c>
      <c r="J46" s="2" t="s">
        <v>82</v>
      </c>
    </row>
    <row r="47" customFormat="false" ht="15" hidden="false" customHeight="false" outlineLevel="0" collapsed="false">
      <c r="A47" s="2" t="s">
        <v>134</v>
      </c>
      <c r="B47" s="4" t="n">
        <v>3</v>
      </c>
      <c r="C47" s="2" t="s">
        <v>390</v>
      </c>
      <c r="D47" s="2" t="s">
        <v>707</v>
      </c>
      <c r="E47" s="4" t="n">
        <v>0</v>
      </c>
      <c r="F47" s="4" t="n">
        <v>1</v>
      </c>
      <c r="G47" s="4" t="n">
        <v>1</v>
      </c>
      <c r="I47" s="3" t="n">
        <v>0</v>
      </c>
      <c r="J47" s="2" t="s">
        <v>82</v>
      </c>
    </row>
    <row r="48" customFormat="false" ht="15" hidden="false" customHeight="false" outlineLevel="0" collapsed="false">
      <c r="A48" s="2" t="s">
        <v>135</v>
      </c>
      <c r="B48" s="4" t="n">
        <v>3</v>
      </c>
      <c r="C48" s="2" t="s">
        <v>390</v>
      </c>
      <c r="D48" s="2" t="s">
        <v>706</v>
      </c>
      <c r="E48" s="4" t="n">
        <v>1</v>
      </c>
      <c r="F48" s="4" t="n">
        <v>0</v>
      </c>
      <c r="G48" s="4" t="n">
        <v>0</v>
      </c>
      <c r="H48" s="4" t="n">
        <v>1</v>
      </c>
      <c r="I48" s="3" t="n">
        <v>10</v>
      </c>
      <c r="J48" s="2" t="s">
        <v>82</v>
      </c>
    </row>
    <row r="49" customFormat="false" ht="15" hidden="false" customHeight="false" outlineLevel="0" collapsed="false">
      <c r="A49" s="2" t="s">
        <v>135</v>
      </c>
      <c r="B49" s="4" t="n">
        <v>3</v>
      </c>
      <c r="C49" s="2" t="s">
        <v>390</v>
      </c>
      <c r="D49" s="2" t="s">
        <v>707</v>
      </c>
      <c r="E49" s="4" t="n">
        <v>0</v>
      </c>
      <c r="F49" s="4" t="n">
        <v>1</v>
      </c>
      <c r="G49" s="4" t="n">
        <v>1</v>
      </c>
      <c r="I49" s="3" t="n">
        <v>0</v>
      </c>
      <c r="J49" s="2" t="s">
        <v>82</v>
      </c>
    </row>
    <row r="50" customFormat="false" ht="15" hidden="false" customHeight="false" outlineLevel="0" collapsed="false">
      <c r="A50" s="2" t="s">
        <v>136</v>
      </c>
      <c r="B50" s="4" t="n">
        <v>3</v>
      </c>
      <c r="C50" s="2" t="s">
        <v>390</v>
      </c>
      <c r="D50" s="2" t="s">
        <v>706</v>
      </c>
      <c r="E50" s="4" t="n">
        <v>1</v>
      </c>
      <c r="F50" s="4" t="n">
        <v>0</v>
      </c>
      <c r="G50" s="4" t="n">
        <v>0</v>
      </c>
      <c r="H50" s="4" t="n">
        <v>1</v>
      </c>
      <c r="I50" s="3" t="n">
        <v>10</v>
      </c>
      <c r="J50" s="2" t="s">
        <v>82</v>
      </c>
    </row>
    <row r="51" customFormat="false" ht="15" hidden="false" customHeight="false" outlineLevel="0" collapsed="false">
      <c r="A51" s="2" t="s">
        <v>136</v>
      </c>
      <c r="B51" s="4" t="n">
        <v>3</v>
      </c>
      <c r="C51" s="2" t="s">
        <v>390</v>
      </c>
      <c r="D51" s="2" t="s">
        <v>707</v>
      </c>
      <c r="E51" s="4" t="n">
        <v>0</v>
      </c>
      <c r="F51" s="4" t="n">
        <v>1</v>
      </c>
      <c r="G51" s="4" t="n">
        <v>1</v>
      </c>
      <c r="I51" s="3" t="n">
        <v>0</v>
      </c>
      <c r="J51" s="2" t="s">
        <v>82</v>
      </c>
    </row>
    <row r="52" customFormat="false" ht="15" hidden="false" customHeight="false" outlineLevel="0" collapsed="false">
      <c r="A52" s="2" t="s">
        <v>137</v>
      </c>
      <c r="B52" s="4" t="n">
        <v>3</v>
      </c>
      <c r="C52" s="2" t="s">
        <v>390</v>
      </c>
      <c r="D52" s="2" t="s">
        <v>706</v>
      </c>
      <c r="E52" s="4" t="n">
        <v>1</v>
      </c>
      <c r="F52" s="4" t="n">
        <v>0</v>
      </c>
      <c r="G52" s="4" t="n">
        <v>0</v>
      </c>
      <c r="H52" s="4" t="n">
        <v>1</v>
      </c>
      <c r="I52" s="3" t="n">
        <v>10</v>
      </c>
      <c r="J52" s="2" t="s">
        <v>82</v>
      </c>
    </row>
    <row r="53" customFormat="false" ht="15" hidden="false" customHeight="false" outlineLevel="0" collapsed="false">
      <c r="A53" s="2" t="s">
        <v>137</v>
      </c>
      <c r="B53" s="4" t="n">
        <v>3</v>
      </c>
      <c r="C53" s="2" t="s">
        <v>390</v>
      </c>
      <c r="D53" s="2" t="s">
        <v>707</v>
      </c>
      <c r="E53" s="4" t="n">
        <v>0</v>
      </c>
      <c r="F53" s="4" t="n">
        <v>1</v>
      </c>
      <c r="G53" s="4" t="n">
        <v>1</v>
      </c>
      <c r="I53" s="3" t="n">
        <v>0</v>
      </c>
      <c r="J53" s="2" t="s">
        <v>82</v>
      </c>
    </row>
    <row r="54" customFormat="false" ht="15" hidden="false" customHeight="false" outlineLevel="0" collapsed="false">
      <c r="A54" s="2" t="s">
        <v>139</v>
      </c>
      <c r="B54" s="4" t="n">
        <v>3</v>
      </c>
      <c r="C54" s="2" t="s">
        <v>390</v>
      </c>
      <c r="D54" s="2" t="s">
        <v>706</v>
      </c>
      <c r="E54" s="4" t="n">
        <v>1</v>
      </c>
      <c r="F54" s="4" t="n">
        <v>0</v>
      </c>
      <c r="G54" s="4" t="n">
        <v>0</v>
      </c>
      <c r="H54" s="4" t="n">
        <v>1</v>
      </c>
      <c r="I54" s="3" t="n">
        <v>10</v>
      </c>
      <c r="J54" s="2" t="s">
        <v>82</v>
      </c>
    </row>
    <row r="55" customFormat="false" ht="15" hidden="false" customHeight="false" outlineLevel="0" collapsed="false">
      <c r="A55" s="2" t="s">
        <v>139</v>
      </c>
      <c r="B55" s="4" t="n">
        <v>3</v>
      </c>
      <c r="C55" s="2" t="s">
        <v>390</v>
      </c>
      <c r="D55" s="2" t="s">
        <v>707</v>
      </c>
      <c r="E55" s="4" t="n">
        <v>0</v>
      </c>
      <c r="F55" s="4" t="n">
        <v>1</v>
      </c>
      <c r="G55" s="4" t="n">
        <v>1</v>
      </c>
      <c r="I55" s="3" t="n">
        <v>0</v>
      </c>
      <c r="J55" s="2" t="s">
        <v>82</v>
      </c>
    </row>
    <row r="56" customFormat="false" ht="15" hidden="false" customHeight="false" outlineLevel="0" collapsed="false">
      <c r="A56" s="2" t="s">
        <v>140</v>
      </c>
      <c r="B56" s="4" t="n">
        <v>3</v>
      </c>
      <c r="C56" s="2" t="s">
        <v>390</v>
      </c>
      <c r="D56" s="2" t="s">
        <v>706</v>
      </c>
      <c r="E56" s="4" t="n">
        <v>1</v>
      </c>
      <c r="F56" s="4" t="n">
        <v>0</v>
      </c>
      <c r="G56" s="4" t="n">
        <v>0</v>
      </c>
      <c r="H56" s="4" t="n">
        <v>1</v>
      </c>
      <c r="I56" s="3" t="n">
        <v>10</v>
      </c>
      <c r="J56" s="2" t="s">
        <v>82</v>
      </c>
    </row>
    <row r="57" customFormat="false" ht="15" hidden="false" customHeight="false" outlineLevel="0" collapsed="false">
      <c r="A57" s="2" t="s">
        <v>140</v>
      </c>
      <c r="B57" s="4" t="n">
        <v>3</v>
      </c>
      <c r="C57" s="2" t="s">
        <v>390</v>
      </c>
      <c r="D57" s="2" t="s">
        <v>707</v>
      </c>
      <c r="E57" s="4" t="n">
        <v>0</v>
      </c>
      <c r="F57" s="4" t="n">
        <v>1</v>
      </c>
      <c r="G57" s="4" t="n">
        <v>1</v>
      </c>
      <c r="I57" s="3" t="n">
        <v>0</v>
      </c>
      <c r="J57" s="2" t="s">
        <v>82</v>
      </c>
    </row>
    <row r="58" customFormat="false" ht="15" hidden="false" customHeight="false" outlineLevel="0" collapsed="false">
      <c r="A58" s="2" t="s">
        <v>141</v>
      </c>
      <c r="B58" s="4" t="n">
        <v>3</v>
      </c>
      <c r="C58" s="2" t="s">
        <v>390</v>
      </c>
      <c r="D58" s="2" t="s">
        <v>706</v>
      </c>
      <c r="E58" s="4" t="n">
        <v>1</v>
      </c>
      <c r="F58" s="4" t="n">
        <v>0</v>
      </c>
      <c r="G58" s="4" t="n">
        <v>0</v>
      </c>
      <c r="H58" s="4" t="n">
        <v>1</v>
      </c>
      <c r="I58" s="3" t="n">
        <v>10</v>
      </c>
      <c r="J58" s="2" t="s">
        <v>82</v>
      </c>
    </row>
    <row r="59" customFormat="false" ht="15" hidden="false" customHeight="false" outlineLevel="0" collapsed="false">
      <c r="A59" s="2" t="s">
        <v>141</v>
      </c>
      <c r="B59" s="4" t="n">
        <v>3</v>
      </c>
      <c r="C59" s="2" t="s">
        <v>390</v>
      </c>
      <c r="D59" s="2" t="s">
        <v>707</v>
      </c>
      <c r="E59" s="4" t="n">
        <v>0</v>
      </c>
      <c r="F59" s="4" t="n">
        <v>1</v>
      </c>
      <c r="G59" s="4" t="n">
        <v>1</v>
      </c>
      <c r="I59" s="3" t="n">
        <v>0</v>
      </c>
      <c r="J59" s="2" t="s">
        <v>82</v>
      </c>
    </row>
    <row r="60" customFormat="false" ht="15" hidden="false" customHeight="false" outlineLevel="0" collapsed="false">
      <c r="A60" s="2" t="s">
        <v>708</v>
      </c>
      <c r="C60" s="2" t="s">
        <v>709</v>
      </c>
      <c r="D60" s="2" t="s">
        <v>706</v>
      </c>
      <c r="E60" s="4" t="n">
        <v>1</v>
      </c>
      <c r="F60" s="4" t="n">
        <v>0</v>
      </c>
      <c r="G60" s="4" t="n">
        <v>0</v>
      </c>
      <c r="H60" s="4" t="n">
        <v>0</v>
      </c>
      <c r="I60" s="3" t="n">
        <v>0</v>
      </c>
      <c r="J60" s="2" t="s">
        <v>82</v>
      </c>
    </row>
    <row r="61" customFormat="false" ht="15" hidden="false" customHeight="false" outlineLevel="0" collapsed="false">
      <c r="A61" s="2" t="s">
        <v>708</v>
      </c>
      <c r="C61" s="2" t="s">
        <v>709</v>
      </c>
      <c r="D61" s="2" t="s">
        <v>707</v>
      </c>
      <c r="E61" s="4" t="n">
        <v>0</v>
      </c>
      <c r="F61" s="4" t="n">
        <v>1</v>
      </c>
      <c r="G61" s="4" t="n">
        <v>1</v>
      </c>
      <c r="I61" s="3" t="n">
        <v>0</v>
      </c>
      <c r="J61" s="2" t="s">
        <v>82</v>
      </c>
    </row>
    <row r="62" customFormat="false" ht="15" hidden="false" customHeight="false" outlineLevel="0" collapsed="false">
      <c r="A62" s="2" t="s">
        <v>710</v>
      </c>
      <c r="C62" s="2" t="s">
        <v>711</v>
      </c>
      <c r="D62" s="2" t="s">
        <v>706</v>
      </c>
      <c r="E62" s="4" t="n">
        <v>0</v>
      </c>
      <c r="F62" s="4" t="n">
        <v>1</v>
      </c>
      <c r="G62" s="4" t="n">
        <v>1</v>
      </c>
      <c r="I62" s="3" t="n">
        <v>0</v>
      </c>
      <c r="J62" s="2" t="s">
        <v>82</v>
      </c>
    </row>
    <row r="63" customFormat="false" ht="15" hidden="false" customHeight="false" outlineLevel="0" collapsed="false">
      <c r="A63" s="2" t="s">
        <v>710</v>
      </c>
      <c r="C63" s="2" t="s">
        <v>711</v>
      </c>
      <c r="D63" s="2" t="s">
        <v>707</v>
      </c>
      <c r="E63" s="4" t="n">
        <v>0</v>
      </c>
      <c r="F63" s="4" t="n">
        <v>1</v>
      </c>
      <c r="G63" s="4" t="n">
        <v>1</v>
      </c>
      <c r="I63" s="3" t="n">
        <v>0</v>
      </c>
      <c r="J63" s="2" t="s">
        <v>82</v>
      </c>
    </row>
  </sheetData>
  <autoFilter ref="A1:J6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95959"/>
    <pageSetUpPr fitToPage="false"/>
  </sheetPr>
  <dimension ref="A1:J11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6"/>
    <col collapsed="false" customWidth="true" hidden="false" outlineLevel="0" max="4" min="4" style="0" width="28"/>
    <col collapsed="false" customWidth="true" hidden="false" outlineLevel="0" max="5" min="5" style="0" width="40"/>
    <col collapsed="false" customWidth="true" hidden="false" outlineLevel="0" max="7" min="6" style="0" width="19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12"/>
  </cols>
  <sheetData>
    <row r="1" customFormat="false" ht="31.5" hidden="false" customHeight="true" outlineLevel="0" collapsed="false">
      <c r="A1" s="1" t="s">
        <v>509</v>
      </c>
      <c r="B1" s="1" t="s">
        <v>272</v>
      </c>
      <c r="C1" s="1" t="s">
        <v>427</v>
      </c>
      <c r="D1" s="1" t="s">
        <v>428</v>
      </c>
      <c r="E1" s="1" t="s">
        <v>712</v>
      </c>
      <c r="F1" s="1" t="s">
        <v>438</v>
      </c>
      <c r="G1" s="1" t="s">
        <v>657</v>
      </c>
      <c r="H1" s="1" t="s">
        <v>713</v>
      </c>
      <c r="I1" s="1" t="s">
        <v>714</v>
      </c>
      <c r="J1" s="1" t="s">
        <v>64</v>
      </c>
    </row>
    <row r="2" customFormat="false" ht="15" hidden="false" customHeight="false" outlineLevel="0" collapsed="false">
      <c r="A2" s="2" t="s">
        <v>525</v>
      </c>
      <c r="B2" s="2" t="s">
        <v>80</v>
      </c>
      <c r="C2" s="4" t="n">
        <v>1</v>
      </c>
      <c r="D2" s="2" t="s">
        <v>437</v>
      </c>
      <c r="E2" s="2" t="s">
        <v>375</v>
      </c>
      <c r="F2" s="21" t="n">
        <v>45660.3333333333</v>
      </c>
      <c r="G2" s="21" t="n">
        <v>45660.6746111111</v>
      </c>
      <c r="H2" s="10" t="n">
        <v>7.19066666666667</v>
      </c>
      <c r="I2" s="15" t="n">
        <v>45677</v>
      </c>
      <c r="J2" s="2" t="s">
        <v>629</v>
      </c>
    </row>
    <row r="3" customFormat="false" ht="15" hidden="false" customHeight="false" outlineLevel="0" collapsed="false">
      <c r="A3" s="2" t="s">
        <v>525</v>
      </c>
      <c r="B3" s="2" t="s">
        <v>80</v>
      </c>
      <c r="C3" s="4" t="n">
        <v>2</v>
      </c>
      <c r="D3" s="2" t="s">
        <v>441</v>
      </c>
      <c r="E3" s="2" t="s">
        <v>380</v>
      </c>
      <c r="F3" s="21" t="n">
        <v>45660.6746111111</v>
      </c>
      <c r="G3" s="21" t="n">
        <v>45664.3400555556</v>
      </c>
      <c r="H3" s="10" t="n">
        <v>8.97066666666667</v>
      </c>
      <c r="I3" s="15" t="n">
        <v>45677</v>
      </c>
      <c r="J3" s="2" t="s">
        <v>629</v>
      </c>
    </row>
    <row r="4" customFormat="false" ht="15" hidden="false" customHeight="false" outlineLevel="0" collapsed="false">
      <c r="A4" s="2" t="s">
        <v>525</v>
      </c>
      <c r="B4" s="2" t="s">
        <v>80</v>
      </c>
      <c r="C4" s="4" t="n">
        <v>3</v>
      </c>
      <c r="D4" s="2" t="s">
        <v>386</v>
      </c>
      <c r="E4" s="2" t="s">
        <v>383</v>
      </c>
      <c r="F4" s="21" t="n">
        <v>45664.3400555556</v>
      </c>
      <c r="G4" s="21" t="n">
        <v>45665.5889444445</v>
      </c>
      <c r="H4" s="10" t="n">
        <v>12.9733333333333</v>
      </c>
      <c r="I4" s="15" t="n">
        <v>45677</v>
      </c>
      <c r="J4" s="2" t="s">
        <v>629</v>
      </c>
    </row>
    <row r="5" customFormat="false" ht="15" hidden="false" customHeight="false" outlineLevel="0" collapsed="false">
      <c r="A5" s="2" t="s">
        <v>525</v>
      </c>
      <c r="B5" s="2" t="s">
        <v>80</v>
      </c>
      <c r="C5" s="4" t="n">
        <v>4</v>
      </c>
      <c r="D5" s="2" t="s">
        <v>390</v>
      </c>
      <c r="E5" s="2" t="s">
        <v>387</v>
      </c>
      <c r="F5" s="21" t="n">
        <v>45665.5889444445</v>
      </c>
      <c r="G5" s="21" t="n">
        <v>45667.3972777778</v>
      </c>
      <c r="H5" s="10" t="n">
        <v>12.4</v>
      </c>
      <c r="I5" s="15" t="n">
        <v>45677</v>
      </c>
      <c r="J5" s="2" t="s">
        <v>629</v>
      </c>
    </row>
    <row r="6" customFormat="false" ht="15" hidden="false" customHeight="false" outlineLevel="0" collapsed="false">
      <c r="A6" s="2" t="s">
        <v>525</v>
      </c>
      <c r="B6" s="2" t="s">
        <v>80</v>
      </c>
      <c r="C6" s="4" t="n">
        <v>5</v>
      </c>
      <c r="D6" s="2" t="s">
        <v>442</v>
      </c>
      <c r="E6" s="2" t="s">
        <v>391</v>
      </c>
      <c r="F6" s="21" t="n">
        <v>45667.3972777778</v>
      </c>
      <c r="G6" s="21" t="n">
        <v>45671.3978333333</v>
      </c>
      <c r="H6" s="10" t="n">
        <v>16.0133333333333</v>
      </c>
      <c r="I6" s="15" t="n">
        <v>45677</v>
      </c>
      <c r="J6" s="2" t="s">
        <v>629</v>
      </c>
    </row>
    <row r="7" customFormat="false" ht="15" hidden="false" customHeight="false" outlineLevel="0" collapsed="false">
      <c r="A7" s="2" t="s">
        <v>525</v>
      </c>
      <c r="B7" s="2" t="s">
        <v>80</v>
      </c>
      <c r="C7" s="4" t="n">
        <v>6</v>
      </c>
      <c r="D7" s="2" t="s">
        <v>443</v>
      </c>
      <c r="E7" s="2" t="s">
        <v>395</v>
      </c>
      <c r="F7" s="21" t="n">
        <v>45671.3978333333</v>
      </c>
      <c r="G7" s="21" t="n">
        <v>45672.4186666667</v>
      </c>
      <c r="H7" s="10" t="n">
        <v>8.5</v>
      </c>
      <c r="I7" s="15" t="n">
        <v>45677</v>
      </c>
      <c r="J7" s="2" t="s">
        <v>629</v>
      </c>
    </row>
    <row r="8" customFormat="false" ht="15" hidden="false" customHeight="false" outlineLevel="0" collapsed="false">
      <c r="A8" s="2" t="s">
        <v>525</v>
      </c>
      <c r="B8" s="2" t="s">
        <v>80</v>
      </c>
      <c r="C8" s="4" t="n">
        <v>7</v>
      </c>
      <c r="D8" s="2" t="s">
        <v>444</v>
      </c>
      <c r="E8" s="2" t="s">
        <v>399</v>
      </c>
      <c r="F8" s="21" t="n">
        <v>45672.4186666667</v>
      </c>
      <c r="G8" s="21" t="n">
        <v>45673.3413733333</v>
      </c>
      <c r="H8" s="10" t="n">
        <v>6.14496</v>
      </c>
      <c r="I8" s="15" t="n">
        <v>45677</v>
      </c>
      <c r="J8" s="2" t="s">
        <v>629</v>
      </c>
    </row>
    <row r="9" customFormat="false" ht="15" hidden="false" customHeight="false" outlineLevel="0" collapsed="false">
      <c r="A9" s="2" t="s">
        <v>525</v>
      </c>
      <c r="B9" s="2" t="s">
        <v>80</v>
      </c>
      <c r="C9" s="4" t="n">
        <v>8</v>
      </c>
      <c r="D9" s="2" t="s">
        <v>445</v>
      </c>
      <c r="E9" s="2" t="s">
        <v>402</v>
      </c>
      <c r="F9" s="21" t="n">
        <v>45673.3413733333</v>
      </c>
      <c r="G9" s="21" t="n">
        <v>45673.4248733333</v>
      </c>
      <c r="H9" s="10" t="n">
        <v>2.004</v>
      </c>
      <c r="I9" s="15" t="n">
        <v>45677</v>
      </c>
      <c r="J9" s="2" t="s">
        <v>629</v>
      </c>
    </row>
    <row r="10" customFormat="false" ht="15" hidden="false" customHeight="false" outlineLevel="0" collapsed="false">
      <c r="A10" s="2" t="s">
        <v>525</v>
      </c>
      <c r="B10" s="2" t="s">
        <v>80</v>
      </c>
      <c r="C10" s="4" t="n">
        <v>9</v>
      </c>
      <c r="D10" s="2" t="s">
        <v>447</v>
      </c>
      <c r="E10" s="2" t="s">
        <v>421</v>
      </c>
      <c r="F10" s="21" t="n">
        <v>45673.4248733333</v>
      </c>
      <c r="G10" s="21" t="n">
        <v>45673.4873733333</v>
      </c>
      <c r="H10" s="10" t="n">
        <v>1.5</v>
      </c>
      <c r="I10" s="15" t="n">
        <v>45677</v>
      </c>
      <c r="J10" s="2" t="s">
        <v>629</v>
      </c>
    </row>
    <row r="11" customFormat="false" ht="15" hidden="false" customHeight="false" outlineLevel="0" collapsed="false">
      <c r="A11" s="2" t="s">
        <v>525</v>
      </c>
      <c r="B11" s="2" t="s">
        <v>80</v>
      </c>
      <c r="C11" s="4" t="n">
        <v>10</v>
      </c>
      <c r="D11" s="2" t="s">
        <v>449</v>
      </c>
      <c r="E11" s="2" t="s">
        <v>423</v>
      </c>
      <c r="F11" s="21" t="n">
        <v>45673.4873733333</v>
      </c>
      <c r="G11" s="21" t="n">
        <v>45673.5625677778</v>
      </c>
      <c r="H11" s="10" t="n">
        <v>0.804666666666667</v>
      </c>
      <c r="I11" s="15" t="n">
        <v>45677</v>
      </c>
      <c r="J11" s="2" t="s">
        <v>629</v>
      </c>
    </row>
    <row r="12" customFormat="false" ht="15" hidden="false" customHeight="false" outlineLevel="0" collapsed="false">
      <c r="A12" s="2" t="s">
        <v>525</v>
      </c>
      <c r="B12" s="2" t="s">
        <v>80</v>
      </c>
      <c r="C12" s="4" t="n">
        <v>11</v>
      </c>
      <c r="D12" s="2" t="s">
        <v>450</v>
      </c>
      <c r="E12" s="2" t="s">
        <v>406</v>
      </c>
      <c r="F12" s="21" t="n">
        <v>45673.5625677778</v>
      </c>
      <c r="G12" s="21" t="n">
        <v>45677.3625677778</v>
      </c>
      <c r="H12" s="10" t="n">
        <v>12.2</v>
      </c>
      <c r="I12" s="15" t="n">
        <v>45677</v>
      </c>
      <c r="J12" s="2" t="s">
        <v>629</v>
      </c>
    </row>
    <row r="13" customFormat="false" ht="15" hidden="false" customHeight="false" outlineLevel="0" collapsed="false">
      <c r="A13" s="2" t="s">
        <v>525</v>
      </c>
      <c r="B13" s="2" t="s">
        <v>80</v>
      </c>
      <c r="C13" s="4" t="n">
        <v>12</v>
      </c>
      <c r="D13" s="2" t="s">
        <v>451</v>
      </c>
      <c r="E13" s="2" t="s">
        <v>408</v>
      </c>
      <c r="F13" s="21" t="n">
        <v>45677.3625677778</v>
      </c>
      <c r="G13" s="21" t="n">
        <v>45677.3975122222</v>
      </c>
      <c r="H13" s="10" t="n">
        <v>0.838666666666667</v>
      </c>
      <c r="I13" s="15" t="n">
        <v>45677</v>
      </c>
      <c r="J13" s="2" t="s">
        <v>629</v>
      </c>
    </row>
    <row r="14" customFormat="false" ht="15" hidden="false" customHeight="false" outlineLevel="0" collapsed="false">
      <c r="A14" s="2" t="s">
        <v>525</v>
      </c>
      <c r="B14" s="2" t="s">
        <v>80</v>
      </c>
      <c r="C14" s="4" t="n">
        <v>13</v>
      </c>
      <c r="D14" s="2" t="s">
        <v>452</v>
      </c>
      <c r="E14" s="2" t="s">
        <v>411</v>
      </c>
      <c r="F14" s="21" t="n">
        <v>45677.3975122222</v>
      </c>
      <c r="G14" s="21" t="n">
        <v>45677.4444566667</v>
      </c>
      <c r="H14" s="10" t="n">
        <v>1.12666666666667</v>
      </c>
      <c r="I14" s="15" t="n">
        <v>45677</v>
      </c>
      <c r="J14" s="2" t="s">
        <v>629</v>
      </c>
    </row>
    <row r="15" customFormat="false" ht="15" hidden="false" customHeight="false" outlineLevel="0" collapsed="false">
      <c r="A15" s="2" t="s">
        <v>527</v>
      </c>
      <c r="B15" s="2" t="s">
        <v>94</v>
      </c>
      <c r="C15" s="4" t="n">
        <v>1</v>
      </c>
      <c r="D15" s="2" t="s">
        <v>437</v>
      </c>
      <c r="E15" s="2" t="s">
        <v>375</v>
      </c>
      <c r="F15" s="21" t="n">
        <v>45660.6746111111</v>
      </c>
      <c r="G15" s="21" t="n">
        <v>45664.4111805556</v>
      </c>
      <c r="H15" s="10" t="n">
        <v>10.6776666666667</v>
      </c>
      <c r="I15" s="15" t="n">
        <v>45675</v>
      </c>
      <c r="J15" s="2" t="s">
        <v>629</v>
      </c>
    </row>
    <row r="16" customFormat="false" ht="15" hidden="false" customHeight="false" outlineLevel="0" collapsed="false">
      <c r="A16" s="2" t="s">
        <v>527</v>
      </c>
      <c r="B16" s="2" t="s">
        <v>94</v>
      </c>
      <c r="C16" s="4" t="n">
        <v>2</v>
      </c>
      <c r="D16" s="2" t="s">
        <v>441</v>
      </c>
      <c r="E16" s="2" t="s">
        <v>380</v>
      </c>
      <c r="F16" s="21" t="n">
        <v>45664.4111805556</v>
      </c>
      <c r="G16" s="21" t="n">
        <v>45664.4458055556</v>
      </c>
      <c r="H16" s="10" t="n">
        <v>0.831</v>
      </c>
      <c r="I16" s="15" t="n">
        <v>45675</v>
      </c>
      <c r="J16" s="2" t="s">
        <v>629</v>
      </c>
    </row>
    <row r="17" customFormat="false" ht="15" hidden="false" customHeight="false" outlineLevel="0" collapsed="false">
      <c r="A17" s="2" t="s">
        <v>527</v>
      </c>
      <c r="B17" s="2" t="s">
        <v>94</v>
      </c>
      <c r="C17" s="4" t="n">
        <v>3</v>
      </c>
      <c r="D17" s="2" t="s">
        <v>386</v>
      </c>
      <c r="E17" s="2" t="s">
        <v>383</v>
      </c>
      <c r="F17" s="21" t="n">
        <v>45665.5889444445</v>
      </c>
      <c r="G17" s="21" t="n">
        <v>45667.3590833333</v>
      </c>
      <c r="H17" s="10" t="n">
        <v>11.4833333333333</v>
      </c>
      <c r="I17" s="15" t="n">
        <v>45675</v>
      </c>
      <c r="J17" s="2" t="s">
        <v>629</v>
      </c>
    </row>
    <row r="18" customFormat="false" ht="15" hidden="false" customHeight="false" outlineLevel="0" collapsed="false">
      <c r="A18" s="2" t="s">
        <v>527</v>
      </c>
      <c r="B18" s="2" t="s">
        <v>94</v>
      </c>
      <c r="C18" s="4" t="n">
        <v>4</v>
      </c>
      <c r="D18" s="2" t="s">
        <v>390</v>
      </c>
      <c r="E18" s="2" t="s">
        <v>387</v>
      </c>
      <c r="F18" s="21" t="n">
        <v>45667.3972777778</v>
      </c>
      <c r="G18" s="21" t="n">
        <v>45672.3583888889</v>
      </c>
      <c r="H18" s="10" t="n">
        <v>23.0666666666667</v>
      </c>
      <c r="I18" s="15" t="n">
        <v>45675</v>
      </c>
      <c r="J18" s="2" t="s">
        <v>629</v>
      </c>
    </row>
    <row r="19" customFormat="false" ht="15" hidden="false" customHeight="false" outlineLevel="0" collapsed="false">
      <c r="A19" s="2" t="s">
        <v>527</v>
      </c>
      <c r="B19" s="2" t="s">
        <v>94</v>
      </c>
      <c r="C19" s="4" t="n">
        <v>5</v>
      </c>
      <c r="D19" s="2" t="s">
        <v>443</v>
      </c>
      <c r="E19" s="2" t="s">
        <v>395</v>
      </c>
      <c r="F19" s="21" t="n">
        <v>45672.4186666667</v>
      </c>
      <c r="G19" s="21" t="n">
        <v>45673.3353333333</v>
      </c>
      <c r="H19" s="10" t="n">
        <v>6</v>
      </c>
      <c r="I19" s="15" t="n">
        <v>45675</v>
      </c>
      <c r="J19" s="2" t="s">
        <v>629</v>
      </c>
    </row>
    <row r="20" customFormat="false" ht="15" hidden="false" customHeight="false" outlineLevel="0" collapsed="false">
      <c r="A20" s="2" t="s">
        <v>527</v>
      </c>
      <c r="B20" s="2" t="s">
        <v>94</v>
      </c>
      <c r="C20" s="4" t="n">
        <v>6</v>
      </c>
      <c r="D20" s="2" t="s">
        <v>444</v>
      </c>
      <c r="E20" s="2" t="s">
        <v>399</v>
      </c>
      <c r="F20" s="21" t="n">
        <v>45673.3413733333</v>
      </c>
      <c r="G20" s="21" t="n">
        <v>45673.5841555556</v>
      </c>
      <c r="H20" s="10" t="n">
        <v>4.82677333333333</v>
      </c>
      <c r="I20" s="15" t="n">
        <v>45675</v>
      </c>
      <c r="J20" s="2" t="s">
        <v>629</v>
      </c>
    </row>
    <row r="21" customFormat="false" ht="15" hidden="false" customHeight="false" outlineLevel="0" collapsed="false">
      <c r="A21" s="2" t="s">
        <v>527</v>
      </c>
      <c r="B21" s="2" t="s">
        <v>94</v>
      </c>
      <c r="C21" s="4" t="n">
        <v>7</v>
      </c>
      <c r="D21" s="2" t="s">
        <v>445</v>
      </c>
      <c r="E21" s="2" t="s">
        <v>402</v>
      </c>
      <c r="F21" s="21" t="n">
        <v>45673.5841555556</v>
      </c>
      <c r="G21" s="21" t="n">
        <v>45673.6302111111</v>
      </c>
      <c r="H21" s="10" t="n">
        <v>1.10533333333333</v>
      </c>
      <c r="I21" s="15" t="n">
        <v>45675</v>
      </c>
      <c r="J21" s="2" t="s">
        <v>629</v>
      </c>
    </row>
    <row r="22" customFormat="false" ht="15" hidden="false" customHeight="false" outlineLevel="0" collapsed="false">
      <c r="A22" s="2" t="s">
        <v>527</v>
      </c>
      <c r="B22" s="2" t="s">
        <v>94</v>
      </c>
      <c r="C22" s="4" t="n">
        <v>8</v>
      </c>
      <c r="D22" s="2" t="s">
        <v>447</v>
      </c>
      <c r="E22" s="2" t="s">
        <v>421</v>
      </c>
      <c r="F22" s="21" t="n">
        <v>45673.6302111111</v>
      </c>
      <c r="G22" s="21" t="n">
        <v>45673.6614611111</v>
      </c>
      <c r="H22" s="10" t="n">
        <v>0.75</v>
      </c>
      <c r="I22" s="15" t="n">
        <v>45675</v>
      </c>
      <c r="J22" s="2" t="s">
        <v>629</v>
      </c>
    </row>
    <row r="23" customFormat="false" ht="15" hidden="false" customHeight="false" outlineLevel="0" collapsed="false">
      <c r="A23" s="2" t="s">
        <v>527</v>
      </c>
      <c r="B23" s="2" t="s">
        <v>94</v>
      </c>
      <c r="C23" s="4" t="n">
        <v>9</v>
      </c>
      <c r="D23" s="2" t="s">
        <v>449</v>
      </c>
      <c r="E23" s="2" t="s">
        <v>423</v>
      </c>
      <c r="F23" s="21" t="n">
        <v>45673.6614611111</v>
      </c>
      <c r="G23" s="21" t="n">
        <v>45673.6798013889</v>
      </c>
      <c r="H23" s="10" t="n">
        <v>0.440166666666667</v>
      </c>
      <c r="I23" s="15" t="n">
        <v>45675</v>
      </c>
      <c r="J23" s="2" t="s">
        <v>629</v>
      </c>
    </row>
    <row r="24" customFormat="false" ht="15" hidden="false" customHeight="false" outlineLevel="0" collapsed="false">
      <c r="A24" s="2" t="s">
        <v>527</v>
      </c>
      <c r="B24" s="2" t="s">
        <v>94</v>
      </c>
      <c r="C24" s="4" t="n">
        <v>10</v>
      </c>
      <c r="D24" s="2" t="s">
        <v>450</v>
      </c>
      <c r="E24" s="2" t="s">
        <v>406</v>
      </c>
      <c r="F24" s="21" t="n">
        <v>45677.3625677778</v>
      </c>
      <c r="G24" s="21" t="n">
        <v>45678.3688177778</v>
      </c>
      <c r="H24" s="10" t="n">
        <v>8.15</v>
      </c>
      <c r="I24" s="15" t="n">
        <v>45675</v>
      </c>
      <c r="J24" s="2" t="s">
        <v>629</v>
      </c>
    </row>
    <row r="25" customFormat="false" ht="15" hidden="false" customHeight="false" outlineLevel="0" collapsed="false">
      <c r="A25" s="2" t="s">
        <v>527</v>
      </c>
      <c r="B25" s="2" t="s">
        <v>94</v>
      </c>
      <c r="C25" s="4" t="n">
        <v>11</v>
      </c>
      <c r="D25" s="2" t="s">
        <v>451</v>
      </c>
      <c r="E25" s="2" t="s">
        <v>408</v>
      </c>
      <c r="F25" s="21" t="n">
        <v>45678.3688177778</v>
      </c>
      <c r="G25" s="21" t="n">
        <v>45678.3886302778</v>
      </c>
      <c r="H25" s="10" t="n">
        <v>0.4755</v>
      </c>
      <c r="I25" s="15" t="n">
        <v>45675</v>
      </c>
      <c r="J25" s="2" t="s">
        <v>629</v>
      </c>
    </row>
    <row r="26" customFormat="false" ht="15" hidden="false" customHeight="false" outlineLevel="0" collapsed="false">
      <c r="A26" s="2" t="s">
        <v>527</v>
      </c>
      <c r="B26" s="2" t="s">
        <v>94</v>
      </c>
      <c r="C26" s="4" t="n">
        <v>12</v>
      </c>
      <c r="D26" s="2" t="s">
        <v>452</v>
      </c>
      <c r="E26" s="2" t="s">
        <v>411</v>
      </c>
      <c r="F26" s="21" t="n">
        <v>45678.3886302778</v>
      </c>
      <c r="G26" s="21" t="n">
        <v>45678.4151997222</v>
      </c>
      <c r="H26" s="10" t="n">
        <v>0.637666666666667</v>
      </c>
      <c r="I26" s="15" t="n">
        <v>45675</v>
      </c>
      <c r="J26" s="2" t="s">
        <v>629</v>
      </c>
    </row>
    <row r="27" customFormat="false" ht="15" hidden="false" customHeight="false" outlineLevel="0" collapsed="false">
      <c r="A27" s="2" t="s">
        <v>529</v>
      </c>
      <c r="B27" s="2" t="s">
        <v>106</v>
      </c>
      <c r="C27" s="4" t="n">
        <v>1</v>
      </c>
      <c r="D27" s="2" t="s">
        <v>437</v>
      </c>
      <c r="E27" s="2" t="s">
        <v>375</v>
      </c>
      <c r="F27" s="21" t="n">
        <v>45664.4111805556</v>
      </c>
      <c r="G27" s="21" t="n">
        <v>45664.6260902778</v>
      </c>
      <c r="H27" s="10" t="n">
        <v>4.15783333333333</v>
      </c>
      <c r="I27" s="15" t="n">
        <v>45674</v>
      </c>
      <c r="J27" s="2" t="s">
        <v>629</v>
      </c>
    </row>
    <row r="28" customFormat="false" ht="15" hidden="false" customHeight="false" outlineLevel="0" collapsed="false">
      <c r="A28" s="2" t="s">
        <v>529</v>
      </c>
      <c r="B28" s="2" t="s">
        <v>106</v>
      </c>
      <c r="C28" s="4" t="n">
        <v>2</v>
      </c>
      <c r="D28" s="2" t="s">
        <v>386</v>
      </c>
      <c r="E28" s="2" t="s">
        <v>383</v>
      </c>
      <c r="F28" s="21" t="n">
        <v>45667.3590833333</v>
      </c>
      <c r="G28" s="21" t="n">
        <v>45667.4276944444</v>
      </c>
      <c r="H28" s="10" t="n">
        <v>1.64666666666667</v>
      </c>
      <c r="I28" s="15" t="n">
        <v>45674</v>
      </c>
      <c r="J28" s="2" t="s">
        <v>629</v>
      </c>
    </row>
    <row r="29" customFormat="false" ht="15" hidden="false" customHeight="false" outlineLevel="0" collapsed="false">
      <c r="A29" s="2" t="s">
        <v>529</v>
      </c>
      <c r="B29" s="2" t="s">
        <v>106</v>
      </c>
      <c r="C29" s="4" t="n">
        <v>3</v>
      </c>
      <c r="D29" s="2" t="s">
        <v>390</v>
      </c>
      <c r="E29" s="2" t="s">
        <v>387</v>
      </c>
      <c r="F29" s="21" t="n">
        <v>45672.3583888889</v>
      </c>
      <c r="G29" s="21" t="n">
        <v>45673.4667222222</v>
      </c>
      <c r="H29" s="10" t="n">
        <v>10.6</v>
      </c>
      <c r="I29" s="15" t="n">
        <v>45674</v>
      </c>
      <c r="J29" s="2" t="s">
        <v>629</v>
      </c>
    </row>
    <row r="30" customFormat="false" ht="15" hidden="false" customHeight="false" outlineLevel="0" collapsed="false">
      <c r="A30" s="2" t="s">
        <v>529</v>
      </c>
      <c r="B30" s="2" t="s">
        <v>106</v>
      </c>
      <c r="C30" s="4" t="n">
        <v>4</v>
      </c>
      <c r="D30" s="2" t="s">
        <v>443</v>
      </c>
      <c r="E30" s="2" t="s">
        <v>395</v>
      </c>
      <c r="F30" s="21" t="n">
        <v>45673.4667222222</v>
      </c>
      <c r="G30" s="21" t="n">
        <v>45673.5854722222</v>
      </c>
      <c r="H30" s="10" t="n">
        <v>1.85</v>
      </c>
      <c r="I30" s="15" t="n">
        <v>45674</v>
      </c>
      <c r="J30" s="2" t="s">
        <v>629</v>
      </c>
    </row>
    <row r="31" customFormat="false" ht="15" hidden="false" customHeight="false" outlineLevel="0" collapsed="false">
      <c r="A31" s="2" t="s">
        <v>529</v>
      </c>
      <c r="B31" s="2" t="s">
        <v>106</v>
      </c>
      <c r="C31" s="4" t="n">
        <v>5</v>
      </c>
      <c r="D31" s="2" t="s">
        <v>444</v>
      </c>
      <c r="E31" s="2" t="s">
        <v>399</v>
      </c>
      <c r="F31" s="21" t="n">
        <v>45673.5854722222</v>
      </c>
      <c r="G31" s="21" t="n">
        <v>45673.6993222222</v>
      </c>
      <c r="H31" s="10" t="n">
        <v>2.7324</v>
      </c>
      <c r="I31" s="15" t="n">
        <v>45674</v>
      </c>
      <c r="J31" s="2" t="s">
        <v>629</v>
      </c>
    </row>
    <row r="32" customFormat="false" ht="15" hidden="false" customHeight="false" outlineLevel="0" collapsed="false">
      <c r="A32" s="2" t="s">
        <v>529</v>
      </c>
      <c r="B32" s="2" t="s">
        <v>106</v>
      </c>
      <c r="C32" s="4" t="n">
        <v>6</v>
      </c>
      <c r="D32" s="2" t="s">
        <v>445</v>
      </c>
      <c r="E32" s="2" t="s">
        <v>402</v>
      </c>
      <c r="F32" s="21" t="n">
        <v>45673.6993222222</v>
      </c>
      <c r="G32" s="21" t="n">
        <v>45674.3611138889</v>
      </c>
      <c r="H32" s="10" t="n">
        <v>0.883</v>
      </c>
      <c r="I32" s="15" t="n">
        <v>45674</v>
      </c>
      <c r="J32" s="2" t="s">
        <v>629</v>
      </c>
    </row>
    <row r="33" customFormat="false" ht="15" hidden="false" customHeight="false" outlineLevel="0" collapsed="false">
      <c r="A33" s="2" t="s">
        <v>529</v>
      </c>
      <c r="B33" s="2" t="s">
        <v>106</v>
      </c>
      <c r="C33" s="4" t="n">
        <v>7</v>
      </c>
      <c r="D33" s="2" t="s">
        <v>447</v>
      </c>
      <c r="E33" s="2" t="s">
        <v>421</v>
      </c>
      <c r="F33" s="21" t="n">
        <v>45674.3611138889</v>
      </c>
      <c r="G33" s="21" t="n">
        <v>45674.3923638889</v>
      </c>
      <c r="H33" s="10" t="n">
        <v>0.75</v>
      </c>
      <c r="I33" s="15" t="n">
        <v>45674</v>
      </c>
      <c r="J33" s="2" t="s">
        <v>629</v>
      </c>
    </row>
    <row r="34" customFormat="false" ht="15" hidden="false" customHeight="false" outlineLevel="0" collapsed="false">
      <c r="A34" s="2" t="s">
        <v>529</v>
      </c>
      <c r="B34" s="2" t="s">
        <v>106</v>
      </c>
      <c r="C34" s="4" t="n">
        <v>8</v>
      </c>
      <c r="D34" s="2" t="s">
        <v>449</v>
      </c>
      <c r="E34" s="2" t="s">
        <v>423</v>
      </c>
      <c r="F34" s="21" t="n">
        <v>45674.3923638889</v>
      </c>
      <c r="G34" s="21" t="n">
        <v>45674.4080027778</v>
      </c>
      <c r="H34" s="10" t="n">
        <v>0.375333333333333</v>
      </c>
      <c r="I34" s="15" t="n">
        <v>45674</v>
      </c>
      <c r="J34" s="2" t="s">
        <v>629</v>
      </c>
    </row>
    <row r="35" customFormat="false" ht="15" hidden="false" customHeight="false" outlineLevel="0" collapsed="false">
      <c r="A35" s="2" t="s">
        <v>529</v>
      </c>
      <c r="B35" s="2" t="s">
        <v>106</v>
      </c>
      <c r="C35" s="4" t="n">
        <v>9</v>
      </c>
      <c r="D35" s="2" t="s">
        <v>450</v>
      </c>
      <c r="E35" s="2" t="s">
        <v>406</v>
      </c>
      <c r="F35" s="21" t="n">
        <v>45678.3688177778</v>
      </c>
      <c r="G35" s="21" t="n">
        <v>45678.5896511111</v>
      </c>
      <c r="H35" s="10" t="n">
        <v>4.3</v>
      </c>
      <c r="I35" s="15" t="n">
        <v>45674</v>
      </c>
      <c r="J35" s="2" t="s">
        <v>629</v>
      </c>
    </row>
    <row r="36" customFormat="false" ht="15" hidden="false" customHeight="false" outlineLevel="0" collapsed="false">
      <c r="A36" s="2" t="s">
        <v>529</v>
      </c>
      <c r="B36" s="2" t="s">
        <v>106</v>
      </c>
      <c r="C36" s="4" t="n">
        <v>10</v>
      </c>
      <c r="D36" s="2" t="s">
        <v>451</v>
      </c>
      <c r="E36" s="2" t="s">
        <v>408</v>
      </c>
      <c r="F36" s="21" t="n">
        <v>45678.5896511111</v>
      </c>
      <c r="G36" s="21" t="n">
        <v>45678.6057066667</v>
      </c>
      <c r="H36" s="10" t="n">
        <v>0.385333333333333</v>
      </c>
      <c r="I36" s="15" t="n">
        <v>45674</v>
      </c>
      <c r="J36" s="2" t="s">
        <v>629</v>
      </c>
    </row>
    <row r="37" customFormat="false" ht="15" hidden="false" customHeight="false" outlineLevel="0" collapsed="false">
      <c r="A37" s="2" t="s">
        <v>529</v>
      </c>
      <c r="B37" s="2" t="s">
        <v>106</v>
      </c>
      <c r="C37" s="4" t="n">
        <v>11</v>
      </c>
      <c r="D37" s="2" t="s">
        <v>452</v>
      </c>
      <c r="E37" s="2" t="s">
        <v>411</v>
      </c>
      <c r="F37" s="21" t="n">
        <v>45678.6057066667</v>
      </c>
      <c r="G37" s="21" t="n">
        <v>45678.6270122222</v>
      </c>
      <c r="H37" s="10" t="n">
        <v>0.511333333333333</v>
      </c>
      <c r="I37" s="15" t="n">
        <v>45674</v>
      </c>
      <c r="J37" s="2" t="s">
        <v>629</v>
      </c>
    </row>
    <row r="38" customFormat="false" ht="15" hidden="false" customHeight="false" outlineLevel="0" collapsed="false">
      <c r="A38" s="2" t="s">
        <v>531</v>
      </c>
      <c r="B38" s="2" t="s">
        <v>119</v>
      </c>
      <c r="C38" s="4" t="n">
        <v>1</v>
      </c>
      <c r="D38" s="2" t="s">
        <v>437</v>
      </c>
      <c r="E38" s="2" t="s">
        <v>375</v>
      </c>
      <c r="F38" s="21" t="n">
        <v>45664.6260902778</v>
      </c>
      <c r="G38" s="21" t="n">
        <v>45665.5452569445</v>
      </c>
      <c r="H38" s="10" t="n">
        <v>6.06</v>
      </c>
      <c r="I38" s="15" t="n">
        <v>45675</v>
      </c>
      <c r="J38" s="2" t="s">
        <v>629</v>
      </c>
    </row>
    <row r="39" customFormat="false" ht="15" hidden="false" customHeight="false" outlineLevel="0" collapsed="false">
      <c r="A39" s="2" t="s">
        <v>531</v>
      </c>
      <c r="B39" s="2" t="s">
        <v>119</v>
      </c>
      <c r="C39" s="4" t="n">
        <v>2</v>
      </c>
      <c r="D39" s="2" t="s">
        <v>386</v>
      </c>
      <c r="E39" s="2" t="s">
        <v>383</v>
      </c>
      <c r="F39" s="21" t="n">
        <v>45667.4276944444</v>
      </c>
      <c r="G39" s="21" t="n">
        <v>45667.4749166667</v>
      </c>
      <c r="H39" s="10" t="n">
        <v>1.13333333333333</v>
      </c>
      <c r="I39" s="15" t="n">
        <v>45675</v>
      </c>
      <c r="J39" s="2" t="s">
        <v>629</v>
      </c>
    </row>
    <row r="40" customFormat="false" ht="15" hidden="false" customHeight="false" outlineLevel="0" collapsed="false">
      <c r="A40" s="2" t="s">
        <v>531</v>
      </c>
      <c r="B40" s="2" t="s">
        <v>119</v>
      </c>
      <c r="C40" s="4" t="n">
        <v>3</v>
      </c>
      <c r="D40" s="2" t="s">
        <v>390</v>
      </c>
      <c r="E40" s="2" t="s">
        <v>387</v>
      </c>
      <c r="F40" s="21" t="n">
        <v>45673.4667222222</v>
      </c>
      <c r="G40" s="21" t="n">
        <v>45677.4056111111</v>
      </c>
      <c r="H40" s="10" t="n">
        <v>14.5333333333333</v>
      </c>
      <c r="I40" s="15" t="n">
        <v>45675</v>
      </c>
      <c r="J40" s="2" t="s">
        <v>629</v>
      </c>
    </row>
    <row r="41" customFormat="false" ht="15" hidden="false" customHeight="false" outlineLevel="0" collapsed="false">
      <c r="A41" s="2" t="s">
        <v>531</v>
      </c>
      <c r="B41" s="2" t="s">
        <v>119</v>
      </c>
      <c r="C41" s="4" t="n">
        <v>4</v>
      </c>
      <c r="D41" s="2" t="s">
        <v>443</v>
      </c>
      <c r="E41" s="2" t="s">
        <v>395</v>
      </c>
      <c r="F41" s="21" t="n">
        <v>45677.4056111111</v>
      </c>
      <c r="G41" s="21" t="n">
        <v>45677.5535277778</v>
      </c>
      <c r="H41" s="10" t="n">
        <v>2.55</v>
      </c>
      <c r="I41" s="15" t="n">
        <v>45675</v>
      </c>
      <c r="J41" s="2" t="s">
        <v>629</v>
      </c>
    </row>
    <row r="42" customFormat="false" ht="15" hidden="false" customHeight="false" outlineLevel="0" collapsed="false">
      <c r="A42" s="2" t="s">
        <v>531</v>
      </c>
      <c r="B42" s="2" t="s">
        <v>119</v>
      </c>
      <c r="C42" s="4" t="n">
        <v>5</v>
      </c>
      <c r="D42" s="2" t="s">
        <v>444</v>
      </c>
      <c r="E42" s="2" t="s">
        <v>399</v>
      </c>
      <c r="F42" s="21" t="n">
        <v>45677.5535277778</v>
      </c>
      <c r="G42" s="21" t="n">
        <v>45678.36125</v>
      </c>
      <c r="H42" s="10" t="n">
        <v>4.38533333333333</v>
      </c>
      <c r="I42" s="15" t="n">
        <v>45675</v>
      </c>
      <c r="J42" s="2" t="s">
        <v>629</v>
      </c>
    </row>
    <row r="43" customFormat="false" ht="15" hidden="false" customHeight="false" outlineLevel="0" collapsed="false">
      <c r="A43" s="2" t="s">
        <v>531</v>
      </c>
      <c r="B43" s="2" t="s">
        <v>119</v>
      </c>
      <c r="C43" s="4" t="n">
        <v>6</v>
      </c>
      <c r="D43" s="2" t="s">
        <v>445</v>
      </c>
      <c r="E43" s="2" t="s">
        <v>402</v>
      </c>
      <c r="F43" s="21" t="n">
        <v>45678.36125</v>
      </c>
      <c r="G43" s="21" t="n">
        <v>45678.4152777778</v>
      </c>
      <c r="H43" s="10" t="n">
        <v>1.29666666666667</v>
      </c>
      <c r="I43" s="15" t="n">
        <v>45675</v>
      </c>
      <c r="J43" s="2" t="s">
        <v>629</v>
      </c>
    </row>
    <row r="44" customFormat="false" ht="15" hidden="false" customHeight="false" outlineLevel="0" collapsed="false">
      <c r="A44" s="2" t="s">
        <v>531</v>
      </c>
      <c r="B44" s="2" t="s">
        <v>119</v>
      </c>
      <c r="C44" s="4" t="n">
        <v>7</v>
      </c>
      <c r="D44" s="2" t="s">
        <v>447</v>
      </c>
      <c r="E44" s="2" t="s">
        <v>421</v>
      </c>
      <c r="F44" s="21" t="n">
        <v>45678.4152777778</v>
      </c>
      <c r="G44" s="21" t="n">
        <v>45678.4465277778</v>
      </c>
      <c r="H44" s="10" t="n">
        <v>0.75</v>
      </c>
      <c r="I44" s="15" t="n">
        <v>45675</v>
      </c>
      <c r="J44" s="2" t="s">
        <v>629</v>
      </c>
    </row>
    <row r="45" customFormat="false" ht="15" hidden="false" customHeight="false" outlineLevel="0" collapsed="false">
      <c r="A45" s="2" t="s">
        <v>531</v>
      </c>
      <c r="B45" s="2" t="s">
        <v>119</v>
      </c>
      <c r="C45" s="4" t="n">
        <v>8</v>
      </c>
      <c r="D45" s="2" t="s">
        <v>449</v>
      </c>
      <c r="E45" s="2" t="s">
        <v>423</v>
      </c>
      <c r="F45" s="21" t="n">
        <v>45678.4465277778</v>
      </c>
      <c r="G45" s="21" t="n">
        <v>45678.4684722222</v>
      </c>
      <c r="H45" s="10" t="n">
        <v>0.526666666666667</v>
      </c>
      <c r="I45" s="15" t="n">
        <v>45675</v>
      </c>
      <c r="J45" s="2" t="s">
        <v>629</v>
      </c>
    </row>
    <row r="46" customFormat="false" ht="15" hidden="false" customHeight="false" outlineLevel="0" collapsed="false">
      <c r="A46" s="2" t="s">
        <v>531</v>
      </c>
      <c r="B46" s="2" t="s">
        <v>119</v>
      </c>
      <c r="C46" s="4" t="n">
        <v>9</v>
      </c>
      <c r="D46" s="2" t="s">
        <v>450</v>
      </c>
      <c r="E46" s="2" t="s">
        <v>406</v>
      </c>
      <c r="F46" s="21" t="n">
        <v>45678.5896511111</v>
      </c>
      <c r="G46" s="21" t="n">
        <v>45679.4063177778</v>
      </c>
      <c r="H46" s="10" t="n">
        <v>4.6</v>
      </c>
      <c r="I46" s="15" t="n">
        <v>45675</v>
      </c>
      <c r="J46" s="2" t="s">
        <v>629</v>
      </c>
    </row>
    <row r="47" customFormat="false" ht="15" hidden="false" customHeight="false" outlineLevel="0" collapsed="false">
      <c r="A47" s="2" t="s">
        <v>531</v>
      </c>
      <c r="B47" s="2" t="s">
        <v>119</v>
      </c>
      <c r="C47" s="4" t="n">
        <v>10</v>
      </c>
      <c r="D47" s="2" t="s">
        <v>451</v>
      </c>
      <c r="E47" s="2" t="s">
        <v>408</v>
      </c>
      <c r="F47" s="21" t="n">
        <v>45679.4063177778</v>
      </c>
      <c r="G47" s="21" t="n">
        <v>45679.431665</v>
      </c>
      <c r="H47" s="10" t="n">
        <v>0.608333333333333</v>
      </c>
      <c r="I47" s="15" t="n">
        <v>45675</v>
      </c>
      <c r="J47" s="2" t="s">
        <v>629</v>
      </c>
    </row>
    <row r="48" customFormat="false" ht="15" hidden="false" customHeight="false" outlineLevel="0" collapsed="false">
      <c r="A48" s="2" t="s">
        <v>531</v>
      </c>
      <c r="B48" s="2" t="s">
        <v>119</v>
      </c>
      <c r="C48" s="4" t="n">
        <v>11</v>
      </c>
      <c r="D48" s="2" t="s">
        <v>452</v>
      </c>
      <c r="E48" s="2" t="s">
        <v>411</v>
      </c>
      <c r="F48" s="21" t="n">
        <v>45679.431665</v>
      </c>
      <c r="G48" s="21" t="n">
        <v>45679.4654844444</v>
      </c>
      <c r="H48" s="10" t="n">
        <v>0.811666666666667</v>
      </c>
      <c r="I48" s="15" t="n">
        <v>45675</v>
      </c>
      <c r="J48" s="2" t="s">
        <v>629</v>
      </c>
    </row>
    <row r="49" customFormat="false" ht="15" hidden="false" customHeight="false" outlineLevel="0" collapsed="false">
      <c r="A49" s="2" t="s">
        <v>526</v>
      </c>
      <c r="B49" s="2" t="s">
        <v>83</v>
      </c>
      <c r="C49" s="4" t="n">
        <v>1</v>
      </c>
      <c r="D49" s="2" t="s">
        <v>437</v>
      </c>
      <c r="E49" s="2" t="s">
        <v>375</v>
      </c>
      <c r="F49" s="21" t="n">
        <v>45673.3333333333</v>
      </c>
      <c r="G49" s="21" t="n">
        <v>45673.6916944445</v>
      </c>
      <c r="H49" s="10" t="n">
        <v>7.60066666666667</v>
      </c>
      <c r="I49" s="15" t="n">
        <v>45691</v>
      </c>
      <c r="J49" s="2" t="s">
        <v>629</v>
      </c>
    </row>
    <row r="50" customFormat="false" ht="15" hidden="false" customHeight="false" outlineLevel="0" collapsed="false">
      <c r="A50" s="2" t="s">
        <v>526</v>
      </c>
      <c r="B50" s="2" t="s">
        <v>83</v>
      </c>
      <c r="C50" s="4" t="n">
        <v>2</v>
      </c>
      <c r="D50" s="2" t="s">
        <v>441</v>
      </c>
      <c r="E50" s="2" t="s">
        <v>380</v>
      </c>
      <c r="F50" s="21" t="n">
        <v>45673.6916944445</v>
      </c>
      <c r="G50" s="21" t="n">
        <v>45677.4278055556</v>
      </c>
      <c r="H50" s="10" t="n">
        <v>10.6666666666667</v>
      </c>
      <c r="I50" s="15" t="n">
        <v>45691</v>
      </c>
      <c r="J50" s="2" t="s">
        <v>629</v>
      </c>
    </row>
    <row r="51" customFormat="false" ht="15" hidden="false" customHeight="false" outlineLevel="0" collapsed="false">
      <c r="A51" s="2" t="s">
        <v>526</v>
      </c>
      <c r="B51" s="2" t="s">
        <v>83</v>
      </c>
      <c r="C51" s="4" t="n">
        <v>3</v>
      </c>
      <c r="D51" s="2" t="s">
        <v>386</v>
      </c>
      <c r="E51" s="2" t="s">
        <v>383</v>
      </c>
      <c r="F51" s="21" t="n">
        <v>45677.4278055556</v>
      </c>
      <c r="G51" s="21" t="n">
        <v>45679.4591944445</v>
      </c>
      <c r="H51" s="10" t="n">
        <v>16.7533333333333</v>
      </c>
      <c r="I51" s="15" t="n">
        <v>45691</v>
      </c>
      <c r="J51" s="2" t="s">
        <v>629</v>
      </c>
    </row>
    <row r="52" customFormat="false" ht="15" hidden="false" customHeight="false" outlineLevel="0" collapsed="false">
      <c r="A52" s="2" t="s">
        <v>526</v>
      </c>
      <c r="B52" s="2" t="s">
        <v>83</v>
      </c>
      <c r="C52" s="4" t="n">
        <v>4</v>
      </c>
      <c r="D52" s="2" t="s">
        <v>390</v>
      </c>
      <c r="E52" s="2" t="s">
        <v>387</v>
      </c>
      <c r="F52" s="21" t="n">
        <v>45679.4591944445</v>
      </c>
      <c r="G52" s="21" t="n">
        <v>45681.3841944444</v>
      </c>
      <c r="H52" s="10" t="n">
        <v>14.2</v>
      </c>
      <c r="I52" s="15" t="n">
        <v>45691</v>
      </c>
      <c r="J52" s="2" t="s">
        <v>629</v>
      </c>
    </row>
    <row r="53" customFormat="false" ht="15" hidden="false" customHeight="false" outlineLevel="0" collapsed="false">
      <c r="A53" s="2" t="s">
        <v>526</v>
      </c>
      <c r="B53" s="2" t="s">
        <v>83</v>
      </c>
      <c r="C53" s="4" t="n">
        <v>5</v>
      </c>
      <c r="D53" s="2" t="s">
        <v>442</v>
      </c>
      <c r="E53" s="2" t="s">
        <v>391</v>
      </c>
      <c r="F53" s="21" t="n">
        <v>45681.3841944444</v>
      </c>
      <c r="G53" s="21" t="n">
        <v>45685.38475</v>
      </c>
      <c r="H53" s="10" t="n">
        <v>16.0133333333333</v>
      </c>
      <c r="I53" s="15" t="n">
        <v>45691</v>
      </c>
      <c r="J53" s="2" t="s">
        <v>629</v>
      </c>
    </row>
    <row r="54" customFormat="false" ht="15" hidden="false" customHeight="false" outlineLevel="0" collapsed="false">
      <c r="A54" s="2" t="s">
        <v>526</v>
      </c>
      <c r="B54" s="2" t="s">
        <v>83</v>
      </c>
      <c r="C54" s="4" t="n">
        <v>6</v>
      </c>
      <c r="D54" s="2" t="s">
        <v>443</v>
      </c>
      <c r="E54" s="2" t="s">
        <v>395</v>
      </c>
      <c r="F54" s="21" t="n">
        <v>45685.38475</v>
      </c>
      <c r="G54" s="21" t="n">
        <v>45686.4680833333</v>
      </c>
      <c r="H54" s="10" t="n">
        <v>10</v>
      </c>
      <c r="I54" s="15" t="n">
        <v>45691</v>
      </c>
      <c r="J54" s="2" t="s">
        <v>629</v>
      </c>
    </row>
    <row r="55" customFormat="false" ht="15" hidden="false" customHeight="false" outlineLevel="0" collapsed="false">
      <c r="A55" s="2" t="s">
        <v>526</v>
      </c>
      <c r="B55" s="2" t="s">
        <v>83</v>
      </c>
      <c r="C55" s="4" t="n">
        <v>7</v>
      </c>
      <c r="D55" s="2" t="s">
        <v>444</v>
      </c>
      <c r="E55" s="2" t="s">
        <v>399</v>
      </c>
      <c r="F55" s="21" t="n">
        <v>45686.4680833333</v>
      </c>
      <c r="G55" s="21" t="n">
        <v>45687.4102833333</v>
      </c>
      <c r="H55" s="10" t="n">
        <v>6.6128</v>
      </c>
      <c r="I55" s="15" t="n">
        <v>45691</v>
      </c>
      <c r="J55" s="2" t="s">
        <v>629</v>
      </c>
    </row>
    <row r="56" customFormat="false" ht="15" hidden="false" customHeight="false" outlineLevel="0" collapsed="false">
      <c r="A56" s="2" t="s">
        <v>526</v>
      </c>
      <c r="B56" s="2" t="s">
        <v>83</v>
      </c>
      <c r="C56" s="4" t="n">
        <v>8</v>
      </c>
      <c r="D56" s="2" t="s">
        <v>445</v>
      </c>
      <c r="E56" s="2" t="s">
        <v>402</v>
      </c>
      <c r="F56" s="21" t="n">
        <v>45687.4102833333</v>
      </c>
      <c r="G56" s="21" t="n">
        <v>45687.4937833333</v>
      </c>
      <c r="H56" s="10" t="n">
        <v>2.004</v>
      </c>
      <c r="I56" s="15" t="n">
        <v>45691</v>
      </c>
      <c r="J56" s="2" t="s">
        <v>629</v>
      </c>
    </row>
    <row r="57" customFormat="false" ht="15" hidden="false" customHeight="false" outlineLevel="0" collapsed="false">
      <c r="A57" s="2" t="s">
        <v>526</v>
      </c>
      <c r="B57" s="2" t="s">
        <v>83</v>
      </c>
      <c r="C57" s="4" t="n">
        <v>9</v>
      </c>
      <c r="D57" s="2" t="s">
        <v>447</v>
      </c>
      <c r="E57" s="2" t="s">
        <v>421</v>
      </c>
      <c r="F57" s="21" t="n">
        <v>45687.4937833333</v>
      </c>
      <c r="G57" s="21" t="n">
        <v>45687.59795</v>
      </c>
      <c r="H57" s="10" t="n">
        <v>1.5</v>
      </c>
      <c r="I57" s="15" t="n">
        <v>45691</v>
      </c>
      <c r="J57" s="2" t="s">
        <v>629</v>
      </c>
    </row>
    <row r="58" customFormat="false" ht="15" hidden="false" customHeight="false" outlineLevel="0" collapsed="false">
      <c r="A58" s="2" t="s">
        <v>526</v>
      </c>
      <c r="B58" s="2" t="s">
        <v>83</v>
      </c>
      <c r="C58" s="4" t="n">
        <v>10</v>
      </c>
      <c r="D58" s="2" t="s">
        <v>449</v>
      </c>
      <c r="E58" s="2" t="s">
        <v>423</v>
      </c>
      <c r="F58" s="21" t="n">
        <v>45687.59795</v>
      </c>
      <c r="G58" s="21" t="n">
        <v>45687.6314777778</v>
      </c>
      <c r="H58" s="10" t="n">
        <v>0.804666666666667</v>
      </c>
      <c r="I58" s="15" t="n">
        <v>45691</v>
      </c>
      <c r="J58" s="2" t="s">
        <v>629</v>
      </c>
    </row>
    <row r="59" customFormat="false" ht="15" hidden="false" customHeight="false" outlineLevel="0" collapsed="false">
      <c r="A59" s="2" t="s">
        <v>526</v>
      </c>
      <c r="B59" s="2" t="s">
        <v>83</v>
      </c>
      <c r="C59" s="4" t="n">
        <v>11</v>
      </c>
      <c r="D59" s="2" t="s">
        <v>450</v>
      </c>
      <c r="E59" s="2" t="s">
        <v>406</v>
      </c>
      <c r="F59" s="21" t="n">
        <v>45687.6314777778</v>
      </c>
      <c r="G59" s="21" t="n">
        <v>45691.4502277778</v>
      </c>
      <c r="H59" s="10" t="n">
        <v>12.65</v>
      </c>
      <c r="I59" s="15" t="n">
        <v>45691</v>
      </c>
      <c r="J59" s="2" t="s">
        <v>629</v>
      </c>
    </row>
    <row r="60" customFormat="false" ht="15" hidden="false" customHeight="false" outlineLevel="0" collapsed="false">
      <c r="A60" s="2" t="s">
        <v>526</v>
      </c>
      <c r="B60" s="2" t="s">
        <v>83</v>
      </c>
      <c r="C60" s="4" t="n">
        <v>12</v>
      </c>
      <c r="D60" s="2" t="s">
        <v>451</v>
      </c>
      <c r="E60" s="2" t="s">
        <v>408</v>
      </c>
      <c r="F60" s="21" t="n">
        <v>45691.4502277778</v>
      </c>
      <c r="G60" s="21" t="n">
        <v>45691.4851722222</v>
      </c>
      <c r="H60" s="10" t="n">
        <v>0.838666666666667</v>
      </c>
      <c r="I60" s="15" t="n">
        <v>45691</v>
      </c>
      <c r="J60" s="2" t="s">
        <v>629</v>
      </c>
    </row>
    <row r="61" customFormat="false" ht="15" hidden="false" customHeight="false" outlineLevel="0" collapsed="false">
      <c r="A61" s="2" t="s">
        <v>526</v>
      </c>
      <c r="B61" s="2" t="s">
        <v>83</v>
      </c>
      <c r="C61" s="4" t="n">
        <v>13</v>
      </c>
      <c r="D61" s="2" t="s">
        <v>452</v>
      </c>
      <c r="E61" s="2" t="s">
        <v>411</v>
      </c>
      <c r="F61" s="21" t="n">
        <v>45691.4851722222</v>
      </c>
      <c r="G61" s="21" t="n">
        <v>45691.5737833333</v>
      </c>
      <c r="H61" s="10" t="n">
        <v>1.12666666666667</v>
      </c>
      <c r="I61" s="15" t="n">
        <v>45691</v>
      </c>
      <c r="J61" s="2" t="s">
        <v>629</v>
      </c>
    </row>
    <row r="62" customFormat="false" ht="15" hidden="false" customHeight="false" outlineLevel="0" collapsed="false">
      <c r="A62" s="2" t="s">
        <v>528</v>
      </c>
      <c r="B62" s="2" t="s">
        <v>96</v>
      </c>
      <c r="C62" s="4" t="n">
        <v>1</v>
      </c>
      <c r="D62" s="2" t="s">
        <v>437</v>
      </c>
      <c r="E62" s="2" t="s">
        <v>375</v>
      </c>
      <c r="F62" s="21" t="n">
        <v>45673.6916944445</v>
      </c>
      <c r="G62" s="21" t="n">
        <v>45674.6408784722</v>
      </c>
      <c r="H62" s="10" t="n">
        <v>6.78041666666667</v>
      </c>
      <c r="I62" s="15" t="n">
        <v>45689</v>
      </c>
      <c r="J62" s="2" t="s">
        <v>629</v>
      </c>
    </row>
    <row r="63" customFormat="false" ht="15" hidden="false" customHeight="false" outlineLevel="0" collapsed="false">
      <c r="A63" s="2" t="s">
        <v>528</v>
      </c>
      <c r="B63" s="2" t="s">
        <v>96</v>
      </c>
      <c r="C63" s="4" t="n">
        <v>2</v>
      </c>
      <c r="D63" s="2" t="s">
        <v>441</v>
      </c>
      <c r="E63" s="2" t="s">
        <v>380</v>
      </c>
      <c r="F63" s="21" t="n">
        <v>45677.4278055556</v>
      </c>
      <c r="G63" s="21" t="n">
        <v>45677.4638888889</v>
      </c>
      <c r="H63" s="10" t="n">
        <v>0.866</v>
      </c>
      <c r="I63" s="15" t="n">
        <v>45689</v>
      </c>
      <c r="J63" s="2" t="s">
        <v>629</v>
      </c>
    </row>
    <row r="64" customFormat="false" ht="15" hidden="false" customHeight="false" outlineLevel="0" collapsed="false">
      <c r="A64" s="2" t="s">
        <v>528</v>
      </c>
      <c r="B64" s="2" t="s">
        <v>96</v>
      </c>
      <c r="C64" s="4" t="n">
        <v>3</v>
      </c>
      <c r="D64" s="2" t="s">
        <v>386</v>
      </c>
      <c r="E64" s="2" t="s">
        <v>383</v>
      </c>
      <c r="F64" s="21" t="n">
        <v>45679.4591944445</v>
      </c>
      <c r="G64" s="21" t="n">
        <v>45680.4585</v>
      </c>
      <c r="H64" s="10" t="n">
        <v>7.98333333333333</v>
      </c>
      <c r="I64" s="15" t="n">
        <v>45689</v>
      </c>
      <c r="J64" s="2" t="s">
        <v>629</v>
      </c>
    </row>
    <row r="65" customFormat="false" ht="15" hidden="false" customHeight="false" outlineLevel="0" collapsed="false">
      <c r="A65" s="2" t="s">
        <v>528</v>
      </c>
      <c r="B65" s="2" t="s">
        <v>96</v>
      </c>
      <c r="C65" s="4" t="n">
        <v>4</v>
      </c>
      <c r="D65" s="2" t="s">
        <v>390</v>
      </c>
      <c r="E65" s="2" t="s">
        <v>387</v>
      </c>
      <c r="F65" s="21" t="n">
        <v>45681.3841944444</v>
      </c>
      <c r="G65" s="21" t="n">
        <v>45684.7036388889</v>
      </c>
      <c r="H65" s="10" t="n">
        <v>14.6666666666667</v>
      </c>
      <c r="I65" s="15" t="n">
        <v>45689</v>
      </c>
      <c r="J65" s="2" t="s">
        <v>629</v>
      </c>
    </row>
    <row r="66" customFormat="false" ht="15" hidden="false" customHeight="false" outlineLevel="0" collapsed="false">
      <c r="A66" s="2" t="s">
        <v>528</v>
      </c>
      <c r="B66" s="2" t="s">
        <v>96</v>
      </c>
      <c r="C66" s="4" t="n">
        <v>5</v>
      </c>
      <c r="D66" s="2" t="s">
        <v>442</v>
      </c>
      <c r="E66" s="2" t="s">
        <v>391</v>
      </c>
      <c r="F66" s="21" t="n">
        <v>45685.38475</v>
      </c>
      <c r="G66" s="21" t="n">
        <v>45685.4189166667</v>
      </c>
      <c r="H66" s="10" t="n">
        <v>0.82</v>
      </c>
      <c r="I66" s="15" t="n">
        <v>45689</v>
      </c>
      <c r="J66" s="2" t="s">
        <v>629</v>
      </c>
    </row>
    <row r="67" customFormat="false" ht="15" hidden="false" customHeight="false" outlineLevel="0" collapsed="false">
      <c r="A67" s="2" t="s">
        <v>528</v>
      </c>
      <c r="B67" s="2" t="s">
        <v>96</v>
      </c>
      <c r="C67" s="4" t="n">
        <v>6</v>
      </c>
      <c r="D67" s="2" t="s">
        <v>443</v>
      </c>
      <c r="E67" s="2" t="s">
        <v>395</v>
      </c>
      <c r="F67" s="21" t="n">
        <v>45686.4680833333</v>
      </c>
      <c r="G67" s="21" t="n">
        <v>45686.67225</v>
      </c>
      <c r="H67" s="10" t="n">
        <v>3.9</v>
      </c>
      <c r="I67" s="15" t="n">
        <v>45689</v>
      </c>
      <c r="J67" s="2" t="s">
        <v>629</v>
      </c>
    </row>
    <row r="68" customFormat="false" ht="15" hidden="false" customHeight="false" outlineLevel="0" collapsed="false">
      <c r="A68" s="2" t="s">
        <v>528</v>
      </c>
      <c r="B68" s="2" t="s">
        <v>96</v>
      </c>
      <c r="C68" s="4" t="n">
        <v>7</v>
      </c>
      <c r="D68" s="2" t="s">
        <v>444</v>
      </c>
      <c r="E68" s="2" t="s">
        <v>399</v>
      </c>
      <c r="F68" s="21" t="n">
        <v>45687.4102833333</v>
      </c>
      <c r="G68" s="21" t="n">
        <v>45687.5877127778</v>
      </c>
      <c r="H68" s="10" t="n">
        <v>3.25830666666667</v>
      </c>
      <c r="I68" s="15" t="n">
        <v>45689</v>
      </c>
      <c r="J68" s="2" t="s">
        <v>629</v>
      </c>
    </row>
    <row r="69" customFormat="false" ht="15" hidden="false" customHeight="false" outlineLevel="0" collapsed="false">
      <c r="A69" s="2" t="s">
        <v>528</v>
      </c>
      <c r="B69" s="2" t="s">
        <v>96</v>
      </c>
      <c r="C69" s="4" t="n">
        <v>8</v>
      </c>
      <c r="D69" s="2" t="s">
        <v>445</v>
      </c>
      <c r="E69" s="2" t="s">
        <v>402</v>
      </c>
      <c r="F69" s="21" t="n">
        <v>45687.5877127778</v>
      </c>
      <c r="G69" s="21" t="n">
        <v>45687.6317266667</v>
      </c>
      <c r="H69" s="10" t="n">
        <v>1.05633333333333</v>
      </c>
      <c r="I69" s="15" t="n">
        <v>45689</v>
      </c>
      <c r="J69" s="2" t="s">
        <v>629</v>
      </c>
    </row>
    <row r="70" customFormat="false" ht="15" hidden="false" customHeight="false" outlineLevel="0" collapsed="false">
      <c r="A70" s="2" t="s">
        <v>528</v>
      </c>
      <c r="B70" s="2" t="s">
        <v>96</v>
      </c>
      <c r="C70" s="4" t="n">
        <v>9</v>
      </c>
      <c r="D70" s="2" t="s">
        <v>447</v>
      </c>
      <c r="E70" s="2" t="s">
        <v>421</v>
      </c>
      <c r="F70" s="21" t="n">
        <v>45687.6317266667</v>
      </c>
      <c r="G70" s="21" t="n">
        <v>45687.6629766667</v>
      </c>
      <c r="H70" s="10" t="n">
        <v>0.75</v>
      </c>
      <c r="I70" s="15" t="n">
        <v>45689</v>
      </c>
      <c r="J70" s="2" t="s">
        <v>629</v>
      </c>
    </row>
    <row r="71" customFormat="false" ht="15" hidden="false" customHeight="false" outlineLevel="0" collapsed="false">
      <c r="A71" s="2" t="s">
        <v>528</v>
      </c>
      <c r="B71" s="2" t="s">
        <v>96</v>
      </c>
      <c r="C71" s="4" t="n">
        <v>10</v>
      </c>
      <c r="D71" s="2" t="s">
        <v>449</v>
      </c>
      <c r="E71" s="2" t="s">
        <v>423</v>
      </c>
      <c r="F71" s="21" t="n">
        <v>45687.6629766667</v>
      </c>
      <c r="G71" s="21" t="n">
        <v>45687.6808794444</v>
      </c>
      <c r="H71" s="10" t="n">
        <v>0.429666666666667</v>
      </c>
      <c r="I71" s="15" t="n">
        <v>45689</v>
      </c>
      <c r="J71" s="2" t="s">
        <v>629</v>
      </c>
    </row>
    <row r="72" customFormat="false" ht="15" hidden="false" customHeight="false" outlineLevel="0" collapsed="false">
      <c r="A72" s="2" t="s">
        <v>528</v>
      </c>
      <c r="B72" s="2" t="s">
        <v>96</v>
      </c>
      <c r="C72" s="4" t="n">
        <v>11</v>
      </c>
      <c r="D72" s="2" t="s">
        <v>450</v>
      </c>
      <c r="E72" s="2" t="s">
        <v>406</v>
      </c>
      <c r="F72" s="21" t="n">
        <v>45691.4502277778</v>
      </c>
      <c r="G72" s="21" t="n">
        <v>45692.3580402778</v>
      </c>
      <c r="H72" s="10" t="n">
        <v>5.7875</v>
      </c>
      <c r="I72" s="15" t="n">
        <v>45689</v>
      </c>
      <c r="J72" s="2" t="s">
        <v>629</v>
      </c>
    </row>
    <row r="73" customFormat="false" ht="15" hidden="false" customHeight="false" outlineLevel="0" collapsed="false">
      <c r="A73" s="2" t="s">
        <v>528</v>
      </c>
      <c r="B73" s="2" t="s">
        <v>96</v>
      </c>
      <c r="C73" s="4" t="n">
        <v>12</v>
      </c>
      <c r="D73" s="2" t="s">
        <v>451</v>
      </c>
      <c r="E73" s="2" t="s">
        <v>408</v>
      </c>
      <c r="F73" s="21" t="n">
        <v>45692.3580402778</v>
      </c>
      <c r="G73" s="21" t="n">
        <v>45692.3772694444</v>
      </c>
      <c r="H73" s="10" t="n">
        <v>0.4615</v>
      </c>
      <c r="I73" s="15" t="n">
        <v>45689</v>
      </c>
      <c r="J73" s="2" t="s">
        <v>629</v>
      </c>
    </row>
    <row r="74" customFormat="false" ht="15" hidden="false" customHeight="false" outlineLevel="0" collapsed="false">
      <c r="A74" s="2" t="s">
        <v>528</v>
      </c>
      <c r="B74" s="2" t="s">
        <v>96</v>
      </c>
      <c r="C74" s="4" t="n">
        <v>13</v>
      </c>
      <c r="D74" s="2" t="s">
        <v>452</v>
      </c>
      <c r="E74" s="2" t="s">
        <v>411</v>
      </c>
      <c r="F74" s="21" t="n">
        <v>45692.3772694444</v>
      </c>
      <c r="G74" s="21" t="n">
        <v>45692.4029638889</v>
      </c>
      <c r="H74" s="10" t="n">
        <v>0.616666666666667</v>
      </c>
      <c r="I74" s="15" t="n">
        <v>45689</v>
      </c>
      <c r="J74" s="2" t="s">
        <v>629</v>
      </c>
    </row>
    <row r="75" customFormat="false" ht="15" hidden="false" customHeight="false" outlineLevel="0" collapsed="false">
      <c r="A75" s="2" t="s">
        <v>530</v>
      </c>
      <c r="B75" s="2" t="s">
        <v>108</v>
      </c>
      <c r="C75" s="4" t="n">
        <v>1</v>
      </c>
      <c r="D75" s="2" t="s">
        <v>437</v>
      </c>
      <c r="E75" s="2" t="s">
        <v>375</v>
      </c>
      <c r="F75" s="21" t="n">
        <v>45674.6408784722</v>
      </c>
      <c r="G75" s="21" t="n">
        <v>45677.5511840278</v>
      </c>
      <c r="H75" s="10" t="n">
        <v>5.84733333333333</v>
      </c>
      <c r="I75" s="15" t="n">
        <v>45688</v>
      </c>
      <c r="J75" s="2" t="s">
        <v>629</v>
      </c>
    </row>
    <row r="76" customFormat="false" ht="15" hidden="false" customHeight="false" outlineLevel="0" collapsed="false">
      <c r="A76" s="2" t="s">
        <v>530</v>
      </c>
      <c r="B76" s="2" t="s">
        <v>108</v>
      </c>
      <c r="C76" s="4" t="n">
        <v>2</v>
      </c>
      <c r="D76" s="2" t="s">
        <v>386</v>
      </c>
      <c r="E76" s="2" t="s">
        <v>383</v>
      </c>
      <c r="F76" s="21" t="n">
        <v>45680.4585</v>
      </c>
      <c r="G76" s="21" t="n">
        <v>45680.6196111111</v>
      </c>
      <c r="H76" s="10" t="n">
        <v>2.86666666666667</v>
      </c>
      <c r="I76" s="15" t="n">
        <v>45688</v>
      </c>
      <c r="J76" s="2" t="s">
        <v>629</v>
      </c>
    </row>
    <row r="77" customFormat="false" ht="15" hidden="false" customHeight="false" outlineLevel="0" collapsed="false">
      <c r="A77" s="2" t="s">
        <v>530</v>
      </c>
      <c r="B77" s="2" t="s">
        <v>108</v>
      </c>
      <c r="C77" s="4" t="n">
        <v>3</v>
      </c>
      <c r="D77" s="2" t="s">
        <v>390</v>
      </c>
      <c r="E77" s="2" t="s">
        <v>387</v>
      </c>
      <c r="F77" s="21" t="n">
        <v>45684.7036388889</v>
      </c>
      <c r="G77" s="21" t="n">
        <v>45686.6661388889</v>
      </c>
      <c r="H77" s="10" t="n">
        <v>15.1</v>
      </c>
      <c r="I77" s="15" t="n">
        <v>45688</v>
      </c>
      <c r="J77" s="2" t="s">
        <v>629</v>
      </c>
    </row>
    <row r="78" customFormat="false" ht="15" hidden="false" customHeight="false" outlineLevel="0" collapsed="false">
      <c r="A78" s="2" t="s">
        <v>530</v>
      </c>
      <c r="B78" s="2" t="s">
        <v>108</v>
      </c>
      <c r="C78" s="4" t="n">
        <v>4</v>
      </c>
      <c r="D78" s="2" t="s">
        <v>443</v>
      </c>
      <c r="E78" s="2" t="s">
        <v>395</v>
      </c>
      <c r="F78" s="21" t="n">
        <v>45686.67225</v>
      </c>
      <c r="G78" s="21" t="n">
        <v>45687.4055833333</v>
      </c>
      <c r="H78" s="10" t="n">
        <v>2.6</v>
      </c>
      <c r="I78" s="15" t="n">
        <v>45688</v>
      </c>
      <c r="J78" s="2" t="s">
        <v>629</v>
      </c>
    </row>
    <row r="79" customFormat="false" ht="15" hidden="false" customHeight="false" outlineLevel="0" collapsed="false">
      <c r="A79" s="2" t="s">
        <v>530</v>
      </c>
      <c r="B79" s="2" t="s">
        <v>108</v>
      </c>
      <c r="C79" s="4" t="n">
        <v>5</v>
      </c>
      <c r="D79" s="2" t="s">
        <v>444</v>
      </c>
      <c r="E79" s="2" t="s">
        <v>399</v>
      </c>
      <c r="F79" s="21" t="n">
        <v>45687.5877127778</v>
      </c>
      <c r="G79" s="21" t="n">
        <v>45688.3732461111</v>
      </c>
      <c r="H79" s="10" t="n">
        <v>3.8528</v>
      </c>
      <c r="I79" s="15" t="n">
        <v>45688</v>
      </c>
      <c r="J79" s="2" t="s">
        <v>629</v>
      </c>
    </row>
    <row r="80" customFormat="false" ht="15" hidden="false" customHeight="false" outlineLevel="0" collapsed="false">
      <c r="A80" s="2" t="s">
        <v>530</v>
      </c>
      <c r="B80" s="2" t="s">
        <v>108</v>
      </c>
      <c r="C80" s="4" t="n">
        <v>6</v>
      </c>
      <c r="D80" s="2" t="s">
        <v>445</v>
      </c>
      <c r="E80" s="2" t="s">
        <v>402</v>
      </c>
      <c r="F80" s="21" t="n">
        <v>45688.3732461111</v>
      </c>
      <c r="G80" s="21" t="n">
        <v>45688.4100377778</v>
      </c>
      <c r="H80" s="10" t="n">
        <v>0.883</v>
      </c>
      <c r="I80" s="15" t="n">
        <v>45688</v>
      </c>
      <c r="J80" s="2" t="s">
        <v>629</v>
      </c>
    </row>
    <row r="81" customFormat="false" ht="15" hidden="false" customHeight="false" outlineLevel="0" collapsed="false">
      <c r="A81" s="2" t="s">
        <v>530</v>
      </c>
      <c r="B81" s="2" t="s">
        <v>108</v>
      </c>
      <c r="C81" s="4" t="n">
        <v>7</v>
      </c>
      <c r="D81" s="2" t="s">
        <v>447</v>
      </c>
      <c r="E81" s="2" t="s">
        <v>421</v>
      </c>
      <c r="F81" s="21" t="n">
        <v>45688.4100377778</v>
      </c>
      <c r="G81" s="21" t="n">
        <v>45688.4412877778</v>
      </c>
      <c r="H81" s="10" t="n">
        <v>0.75</v>
      </c>
      <c r="I81" s="15" t="n">
        <v>45688</v>
      </c>
      <c r="J81" s="2" t="s">
        <v>629</v>
      </c>
    </row>
    <row r="82" customFormat="false" ht="15" hidden="false" customHeight="false" outlineLevel="0" collapsed="false">
      <c r="A82" s="2" t="s">
        <v>530</v>
      </c>
      <c r="B82" s="2" t="s">
        <v>108</v>
      </c>
      <c r="C82" s="4" t="n">
        <v>8</v>
      </c>
      <c r="D82" s="2" t="s">
        <v>449</v>
      </c>
      <c r="E82" s="2" t="s">
        <v>423</v>
      </c>
      <c r="F82" s="21" t="n">
        <v>45688.4412877778</v>
      </c>
      <c r="G82" s="21" t="n">
        <v>45688.4569266667</v>
      </c>
      <c r="H82" s="10" t="n">
        <v>0.375333333333333</v>
      </c>
      <c r="I82" s="15" t="n">
        <v>45688</v>
      </c>
      <c r="J82" s="2" t="s">
        <v>629</v>
      </c>
    </row>
    <row r="83" customFormat="false" ht="15" hidden="false" customHeight="false" outlineLevel="0" collapsed="false">
      <c r="A83" s="2" t="s">
        <v>530</v>
      </c>
      <c r="B83" s="2" t="s">
        <v>108</v>
      </c>
      <c r="C83" s="4" t="n">
        <v>9</v>
      </c>
      <c r="D83" s="2" t="s">
        <v>450</v>
      </c>
      <c r="E83" s="2" t="s">
        <v>406</v>
      </c>
      <c r="F83" s="21" t="n">
        <v>45692.3580402778</v>
      </c>
      <c r="G83" s="21" t="n">
        <v>45692.6382486111</v>
      </c>
      <c r="H83" s="10" t="n">
        <v>5.725</v>
      </c>
      <c r="I83" s="15" t="n">
        <v>45688</v>
      </c>
      <c r="J83" s="2" t="s">
        <v>629</v>
      </c>
    </row>
    <row r="84" customFormat="false" ht="15" hidden="false" customHeight="false" outlineLevel="0" collapsed="false">
      <c r="A84" s="2" t="s">
        <v>530</v>
      </c>
      <c r="B84" s="2" t="s">
        <v>108</v>
      </c>
      <c r="C84" s="4" t="n">
        <v>10</v>
      </c>
      <c r="D84" s="2" t="s">
        <v>451</v>
      </c>
      <c r="E84" s="2" t="s">
        <v>408</v>
      </c>
      <c r="F84" s="21" t="n">
        <v>45692.6382486111</v>
      </c>
      <c r="G84" s="21" t="n">
        <v>45692.6543041667</v>
      </c>
      <c r="H84" s="10" t="n">
        <v>0.385333333333333</v>
      </c>
      <c r="I84" s="15" t="n">
        <v>45688</v>
      </c>
      <c r="J84" s="2" t="s">
        <v>629</v>
      </c>
    </row>
    <row r="85" customFormat="false" ht="15" hidden="false" customHeight="false" outlineLevel="0" collapsed="false">
      <c r="A85" s="2" t="s">
        <v>530</v>
      </c>
      <c r="B85" s="2" t="s">
        <v>108</v>
      </c>
      <c r="C85" s="4" t="n">
        <v>11</v>
      </c>
      <c r="D85" s="2" t="s">
        <v>452</v>
      </c>
      <c r="E85" s="2" t="s">
        <v>411</v>
      </c>
      <c r="F85" s="21" t="n">
        <v>45692.6543041667</v>
      </c>
      <c r="G85" s="21" t="n">
        <v>45692.6756097222</v>
      </c>
      <c r="H85" s="10" t="n">
        <v>0.511333333333333</v>
      </c>
      <c r="I85" s="15" t="n">
        <v>45688</v>
      </c>
      <c r="J85" s="2" t="s">
        <v>629</v>
      </c>
    </row>
    <row r="86" customFormat="false" ht="15" hidden="false" customHeight="false" outlineLevel="0" collapsed="false">
      <c r="A86" s="2" t="s">
        <v>532</v>
      </c>
      <c r="B86" s="2" t="s">
        <v>121</v>
      </c>
      <c r="C86" s="4" t="n">
        <v>1</v>
      </c>
      <c r="D86" s="2" t="s">
        <v>437</v>
      </c>
      <c r="E86" s="2" t="s">
        <v>375</v>
      </c>
      <c r="F86" s="21" t="n">
        <v>45677.5511840278</v>
      </c>
      <c r="G86" s="21" t="n">
        <v>45678.4311840278</v>
      </c>
      <c r="H86" s="10" t="n">
        <v>6.12</v>
      </c>
      <c r="I86" s="15" t="n">
        <v>45689</v>
      </c>
      <c r="J86" s="2" t="s">
        <v>629</v>
      </c>
    </row>
    <row r="87" customFormat="false" ht="15" hidden="false" customHeight="false" outlineLevel="0" collapsed="false">
      <c r="A87" s="2" t="s">
        <v>532</v>
      </c>
      <c r="B87" s="2" t="s">
        <v>121</v>
      </c>
      <c r="C87" s="4" t="n">
        <v>2</v>
      </c>
      <c r="D87" s="2" t="s">
        <v>441</v>
      </c>
      <c r="E87" s="2" t="s">
        <v>380</v>
      </c>
      <c r="F87" s="21" t="n">
        <v>45678.4311840278</v>
      </c>
      <c r="G87" s="21" t="n">
        <v>45678.7025729167</v>
      </c>
      <c r="H87" s="10" t="n">
        <v>5.51333333333333</v>
      </c>
      <c r="I87" s="15" t="n">
        <v>45689</v>
      </c>
      <c r="J87" s="2" t="s">
        <v>629</v>
      </c>
    </row>
    <row r="88" customFormat="false" ht="15" hidden="false" customHeight="false" outlineLevel="0" collapsed="false">
      <c r="A88" s="2" t="s">
        <v>532</v>
      </c>
      <c r="B88" s="2" t="s">
        <v>121</v>
      </c>
      <c r="C88" s="4" t="n">
        <v>3</v>
      </c>
      <c r="D88" s="2" t="s">
        <v>386</v>
      </c>
      <c r="E88" s="2" t="s">
        <v>383</v>
      </c>
      <c r="F88" s="21" t="n">
        <v>45680.6196111111</v>
      </c>
      <c r="G88" s="21" t="n">
        <v>45681.6737777778</v>
      </c>
      <c r="H88" s="10" t="n">
        <v>9.3</v>
      </c>
      <c r="I88" s="15" t="n">
        <v>45689</v>
      </c>
      <c r="J88" s="2" t="s">
        <v>629</v>
      </c>
    </row>
    <row r="89" customFormat="false" ht="15" hidden="false" customHeight="false" outlineLevel="0" collapsed="false">
      <c r="A89" s="2" t="s">
        <v>532</v>
      </c>
      <c r="B89" s="2" t="s">
        <v>121</v>
      </c>
      <c r="C89" s="4" t="n">
        <v>4</v>
      </c>
      <c r="D89" s="2" t="s">
        <v>390</v>
      </c>
      <c r="E89" s="2" t="s">
        <v>387</v>
      </c>
      <c r="F89" s="21" t="n">
        <v>45686.6661388889</v>
      </c>
      <c r="G89" s="21" t="n">
        <v>45688.5980833333</v>
      </c>
      <c r="H89" s="10" t="n">
        <v>14.3666666666667</v>
      </c>
      <c r="I89" s="15" t="n">
        <v>45689</v>
      </c>
      <c r="J89" s="2" t="s">
        <v>629</v>
      </c>
    </row>
    <row r="90" customFormat="false" ht="15" hidden="false" customHeight="false" outlineLevel="0" collapsed="false">
      <c r="A90" s="2" t="s">
        <v>532</v>
      </c>
      <c r="B90" s="2" t="s">
        <v>121</v>
      </c>
      <c r="C90" s="4" t="n">
        <v>5</v>
      </c>
      <c r="D90" s="2" t="s">
        <v>443</v>
      </c>
      <c r="E90" s="2" t="s">
        <v>395</v>
      </c>
      <c r="F90" s="21" t="n">
        <v>45688.5980833333</v>
      </c>
      <c r="G90" s="21" t="n">
        <v>45691.4855833333</v>
      </c>
      <c r="H90" s="10" t="n">
        <v>6.3</v>
      </c>
      <c r="I90" s="15" t="n">
        <v>45689</v>
      </c>
      <c r="J90" s="2" t="s">
        <v>629</v>
      </c>
    </row>
    <row r="91" customFormat="false" ht="15" hidden="false" customHeight="false" outlineLevel="0" collapsed="false">
      <c r="A91" s="2" t="s">
        <v>532</v>
      </c>
      <c r="B91" s="2" t="s">
        <v>121</v>
      </c>
      <c r="C91" s="4" t="n">
        <v>6</v>
      </c>
      <c r="D91" s="2" t="s">
        <v>444</v>
      </c>
      <c r="E91" s="2" t="s">
        <v>399</v>
      </c>
      <c r="F91" s="21" t="n">
        <v>45691.4855833333</v>
      </c>
      <c r="G91" s="21" t="n">
        <v>45691.7013833333</v>
      </c>
      <c r="H91" s="10" t="n">
        <v>4.1792</v>
      </c>
      <c r="I91" s="15" t="n">
        <v>45689</v>
      </c>
      <c r="J91" s="2" t="s">
        <v>629</v>
      </c>
    </row>
    <row r="92" customFormat="false" ht="15" hidden="false" customHeight="false" outlineLevel="0" collapsed="false">
      <c r="A92" s="2" t="s">
        <v>532</v>
      </c>
      <c r="B92" s="2" t="s">
        <v>121</v>
      </c>
      <c r="C92" s="4" t="n">
        <v>7</v>
      </c>
      <c r="D92" s="2" t="s">
        <v>445</v>
      </c>
      <c r="E92" s="2" t="s">
        <v>402</v>
      </c>
      <c r="F92" s="21" t="n">
        <v>45691.7013833333</v>
      </c>
      <c r="G92" s="21" t="n">
        <v>45692.3804111111</v>
      </c>
      <c r="H92" s="10" t="n">
        <v>1.29666666666667</v>
      </c>
      <c r="I92" s="15" t="n">
        <v>45689</v>
      </c>
      <c r="J92" s="2" t="s">
        <v>629</v>
      </c>
    </row>
    <row r="93" customFormat="false" ht="15" hidden="false" customHeight="false" outlineLevel="0" collapsed="false">
      <c r="A93" s="2" t="s">
        <v>532</v>
      </c>
      <c r="B93" s="2" t="s">
        <v>121</v>
      </c>
      <c r="C93" s="4" t="n">
        <v>8</v>
      </c>
      <c r="D93" s="2" t="s">
        <v>447</v>
      </c>
      <c r="E93" s="2" t="s">
        <v>421</v>
      </c>
      <c r="F93" s="21" t="n">
        <v>45692.3804111111</v>
      </c>
      <c r="G93" s="21" t="n">
        <v>45692.4116611111</v>
      </c>
      <c r="H93" s="10" t="n">
        <v>0.75</v>
      </c>
      <c r="I93" s="15" t="n">
        <v>45689</v>
      </c>
      <c r="J93" s="2" t="s">
        <v>629</v>
      </c>
    </row>
    <row r="94" customFormat="false" ht="15" hidden="false" customHeight="false" outlineLevel="0" collapsed="false">
      <c r="A94" s="2" t="s">
        <v>532</v>
      </c>
      <c r="B94" s="2" t="s">
        <v>121</v>
      </c>
      <c r="C94" s="4" t="n">
        <v>9</v>
      </c>
      <c r="D94" s="2" t="s">
        <v>449</v>
      </c>
      <c r="E94" s="2" t="s">
        <v>423</v>
      </c>
      <c r="F94" s="21" t="n">
        <v>45692.4116611111</v>
      </c>
      <c r="G94" s="21" t="n">
        <v>45692.4336055556</v>
      </c>
      <c r="H94" s="10" t="n">
        <v>0.526666666666667</v>
      </c>
      <c r="I94" s="15" t="n">
        <v>45689</v>
      </c>
      <c r="J94" s="2" t="s">
        <v>629</v>
      </c>
    </row>
    <row r="95" customFormat="false" ht="15" hidden="false" customHeight="false" outlineLevel="0" collapsed="false">
      <c r="A95" s="2" t="s">
        <v>532</v>
      </c>
      <c r="B95" s="2" t="s">
        <v>121</v>
      </c>
      <c r="C95" s="4" t="n">
        <v>10</v>
      </c>
      <c r="D95" s="2" t="s">
        <v>450</v>
      </c>
      <c r="E95" s="2" t="s">
        <v>406</v>
      </c>
      <c r="F95" s="21" t="n">
        <v>45692.6382486111</v>
      </c>
      <c r="G95" s="21" t="n">
        <v>45694.3611652778</v>
      </c>
      <c r="H95" s="10" t="n">
        <v>10.35</v>
      </c>
      <c r="I95" s="15" t="n">
        <v>45689</v>
      </c>
      <c r="J95" s="2" t="s">
        <v>629</v>
      </c>
    </row>
    <row r="96" customFormat="false" ht="15" hidden="false" customHeight="false" outlineLevel="0" collapsed="false">
      <c r="A96" s="2" t="s">
        <v>532</v>
      </c>
      <c r="B96" s="2" t="s">
        <v>121</v>
      </c>
      <c r="C96" s="4" t="n">
        <v>11</v>
      </c>
      <c r="D96" s="2" t="s">
        <v>451</v>
      </c>
      <c r="E96" s="2" t="s">
        <v>408</v>
      </c>
      <c r="F96" s="21" t="n">
        <v>45694.3611652778</v>
      </c>
      <c r="G96" s="21" t="n">
        <v>45694.3865125</v>
      </c>
      <c r="H96" s="10" t="n">
        <v>0.608333333333333</v>
      </c>
      <c r="I96" s="15" t="n">
        <v>45689</v>
      </c>
      <c r="J96" s="2" t="s">
        <v>629</v>
      </c>
    </row>
    <row r="97" customFormat="false" ht="15" hidden="false" customHeight="false" outlineLevel="0" collapsed="false">
      <c r="A97" s="2" t="s">
        <v>532</v>
      </c>
      <c r="B97" s="2" t="s">
        <v>121</v>
      </c>
      <c r="C97" s="4" t="n">
        <v>12</v>
      </c>
      <c r="D97" s="2" t="s">
        <v>452</v>
      </c>
      <c r="E97" s="2" t="s">
        <v>411</v>
      </c>
      <c r="F97" s="21" t="n">
        <v>45694.3865125</v>
      </c>
      <c r="G97" s="21" t="n">
        <v>45694.4203319444</v>
      </c>
      <c r="H97" s="10" t="n">
        <v>0.811666666666667</v>
      </c>
      <c r="I97" s="15" t="n">
        <v>45689</v>
      </c>
      <c r="J97" s="2" t="s">
        <v>629</v>
      </c>
    </row>
    <row r="98" customFormat="false" ht="15" hidden="false" customHeight="false" outlineLevel="0" collapsed="false">
      <c r="A98" s="2" t="s">
        <v>533</v>
      </c>
      <c r="B98" s="2" t="s">
        <v>80</v>
      </c>
      <c r="C98" s="4" t="n">
        <v>1</v>
      </c>
      <c r="D98" s="2" t="s">
        <v>437</v>
      </c>
      <c r="E98" s="2" t="s">
        <v>375</v>
      </c>
      <c r="F98" s="21" t="n">
        <v>45691.3333333333</v>
      </c>
      <c r="G98" s="21" t="n">
        <v>45691.6746111111</v>
      </c>
      <c r="H98" s="10" t="n">
        <v>7.19066666666667</v>
      </c>
      <c r="I98" s="15" t="n">
        <v>45708</v>
      </c>
      <c r="J98" s="2" t="s">
        <v>629</v>
      </c>
    </row>
    <row r="99" customFormat="false" ht="15" hidden="false" customHeight="false" outlineLevel="0" collapsed="false">
      <c r="A99" s="2" t="s">
        <v>533</v>
      </c>
      <c r="B99" s="2" t="s">
        <v>80</v>
      </c>
      <c r="C99" s="4" t="n">
        <v>2</v>
      </c>
      <c r="D99" s="2" t="s">
        <v>441</v>
      </c>
      <c r="E99" s="2" t="s">
        <v>380</v>
      </c>
      <c r="F99" s="21" t="n">
        <v>45691.6746111111</v>
      </c>
      <c r="G99" s="21" t="n">
        <v>45693.3400555556</v>
      </c>
      <c r="H99" s="10" t="n">
        <v>8.97066666666667</v>
      </c>
      <c r="I99" s="15" t="n">
        <v>45708</v>
      </c>
      <c r="J99" s="2" t="s">
        <v>629</v>
      </c>
    </row>
    <row r="100" customFormat="false" ht="15" hidden="false" customHeight="false" outlineLevel="0" collapsed="false">
      <c r="A100" s="2" t="s">
        <v>533</v>
      </c>
      <c r="B100" s="2" t="s">
        <v>80</v>
      </c>
      <c r="C100" s="4" t="n">
        <v>3</v>
      </c>
      <c r="D100" s="2" t="s">
        <v>386</v>
      </c>
      <c r="E100" s="2" t="s">
        <v>383</v>
      </c>
      <c r="F100" s="21" t="n">
        <v>45693.3400555556</v>
      </c>
      <c r="G100" s="21" t="n">
        <v>45694.5889444445</v>
      </c>
      <c r="H100" s="10" t="n">
        <v>12.9733333333333</v>
      </c>
      <c r="I100" s="15" t="n">
        <v>45708</v>
      </c>
      <c r="J100" s="2" t="s">
        <v>629</v>
      </c>
    </row>
    <row r="101" customFormat="false" ht="15" hidden="false" customHeight="false" outlineLevel="0" collapsed="false">
      <c r="A101" s="2" t="s">
        <v>533</v>
      </c>
      <c r="B101" s="2" t="s">
        <v>80</v>
      </c>
      <c r="C101" s="4" t="n">
        <v>4</v>
      </c>
      <c r="D101" s="2" t="s">
        <v>390</v>
      </c>
      <c r="E101" s="2" t="s">
        <v>387</v>
      </c>
      <c r="F101" s="21" t="n">
        <v>45694.5889444445</v>
      </c>
      <c r="G101" s="21" t="n">
        <v>45698.3972777778</v>
      </c>
      <c r="H101" s="10" t="n">
        <v>12.4</v>
      </c>
      <c r="I101" s="15" t="n">
        <v>45708</v>
      </c>
      <c r="J101" s="2" t="s">
        <v>629</v>
      </c>
    </row>
    <row r="102" customFormat="false" ht="15" hidden="false" customHeight="false" outlineLevel="0" collapsed="false">
      <c r="A102" s="2" t="s">
        <v>533</v>
      </c>
      <c r="B102" s="2" t="s">
        <v>80</v>
      </c>
      <c r="C102" s="4" t="n">
        <v>5</v>
      </c>
      <c r="D102" s="2" t="s">
        <v>442</v>
      </c>
      <c r="E102" s="2" t="s">
        <v>391</v>
      </c>
      <c r="F102" s="21" t="n">
        <v>45698.3972777778</v>
      </c>
      <c r="G102" s="21" t="n">
        <v>45700.3978333333</v>
      </c>
      <c r="H102" s="10" t="n">
        <v>16.0133333333333</v>
      </c>
      <c r="I102" s="15" t="n">
        <v>45708</v>
      </c>
      <c r="J102" s="2" t="s">
        <v>629</v>
      </c>
    </row>
    <row r="103" customFormat="false" ht="15" hidden="false" customHeight="false" outlineLevel="0" collapsed="false">
      <c r="A103" s="2" t="s">
        <v>533</v>
      </c>
      <c r="B103" s="2" t="s">
        <v>80</v>
      </c>
      <c r="C103" s="4" t="n">
        <v>6</v>
      </c>
      <c r="D103" s="2" t="s">
        <v>443</v>
      </c>
      <c r="E103" s="2" t="s">
        <v>395</v>
      </c>
      <c r="F103" s="21" t="n">
        <v>45700.3978333333</v>
      </c>
      <c r="G103" s="21" t="n">
        <v>45701.4186666667</v>
      </c>
      <c r="H103" s="10" t="n">
        <v>8.5</v>
      </c>
      <c r="I103" s="15" t="n">
        <v>45708</v>
      </c>
      <c r="J103" s="2" t="s">
        <v>629</v>
      </c>
    </row>
    <row r="104" customFormat="false" ht="15" hidden="false" customHeight="false" outlineLevel="0" collapsed="false">
      <c r="A104" s="2" t="s">
        <v>533</v>
      </c>
      <c r="B104" s="2" t="s">
        <v>80</v>
      </c>
      <c r="C104" s="4" t="n">
        <v>7</v>
      </c>
      <c r="D104" s="2" t="s">
        <v>444</v>
      </c>
      <c r="E104" s="2" t="s">
        <v>399</v>
      </c>
      <c r="F104" s="21" t="n">
        <v>45701.4186666667</v>
      </c>
      <c r="G104" s="21" t="n">
        <v>45702.3413733333</v>
      </c>
      <c r="H104" s="10" t="n">
        <v>6.14496</v>
      </c>
      <c r="I104" s="15" t="n">
        <v>45708</v>
      </c>
      <c r="J104" s="2" t="s">
        <v>629</v>
      </c>
    </row>
    <row r="105" customFormat="false" ht="15" hidden="false" customHeight="false" outlineLevel="0" collapsed="false">
      <c r="A105" s="2" t="s">
        <v>533</v>
      </c>
      <c r="B105" s="2" t="s">
        <v>80</v>
      </c>
      <c r="C105" s="4" t="n">
        <v>8</v>
      </c>
      <c r="D105" s="2" t="s">
        <v>445</v>
      </c>
      <c r="E105" s="2" t="s">
        <v>402</v>
      </c>
      <c r="F105" s="21" t="n">
        <v>45702.3413733333</v>
      </c>
      <c r="G105" s="21" t="n">
        <v>45702.4248733333</v>
      </c>
      <c r="H105" s="10" t="n">
        <v>2.004</v>
      </c>
      <c r="I105" s="15" t="n">
        <v>45708</v>
      </c>
      <c r="J105" s="2" t="s">
        <v>629</v>
      </c>
    </row>
    <row r="106" customFormat="false" ht="15" hidden="false" customHeight="false" outlineLevel="0" collapsed="false">
      <c r="A106" s="2" t="s">
        <v>533</v>
      </c>
      <c r="B106" s="2" t="s">
        <v>80</v>
      </c>
      <c r="C106" s="4" t="n">
        <v>9</v>
      </c>
      <c r="D106" s="2" t="s">
        <v>447</v>
      </c>
      <c r="E106" s="2" t="s">
        <v>421</v>
      </c>
      <c r="F106" s="21" t="n">
        <v>45702.4248733333</v>
      </c>
      <c r="G106" s="21" t="n">
        <v>45702.4873733333</v>
      </c>
      <c r="H106" s="10" t="n">
        <v>1.5</v>
      </c>
      <c r="I106" s="15" t="n">
        <v>45708</v>
      </c>
      <c r="J106" s="2" t="s">
        <v>629</v>
      </c>
    </row>
    <row r="107" customFormat="false" ht="15" hidden="false" customHeight="false" outlineLevel="0" collapsed="false">
      <c r="A107" s="2" t="s">
        <v>533</v>
      </c>
      <c r="B107" s="2" t="s">
        <v>80</v>
      </c>
      <c r="C107" s="4" t="n">
        <v>10</v>
      </c>
      <c r="D107" s="2" t="s">
        <v>449</v>
      </c>
      <c r="E107" s="2" t="s">
        <v>423</v>
      </c>
      <c r="F107" s="21" t="n">
        <v>45702.4873733333</v>
      </c>
      <c r="G107" s="21" t="n">
        <v>45702.5625677778</v>
      </c>
      <c r="H107" s="10" t="n">
        <v>0.804666666666667</v>
      </c>
      <c r="I107" s="15" t="n">
        <v>45708</v>
      </c>
      <c r="J107" s="2" t="s">
        <v>629</v>
      </c>
    </row>
    <row r="108" customFormat="false" ht="15" hidden="false" customHeight="false" outlineLevel="0" collapsed="false">
      <c r="A108" s="2" t="s">
        <v>533</v>
      </c>
      <c r="B108" s="2" t="s">
        <v>80</v>
      </c>
      <c r="C108" s="4" t="n">
        <v>11</v>
      </c>
      <c r="D108" s="2" t="s">
        <v>450</v>
      </c>
      <c r="E108" s="2" t="s">
        <v>406</v>
      </c>
      <c r="F108" s="21" t="n">
        <v>45702.5625677778</v>
      </c>
      <c r="G108" s="21" t="n">
        <v>45706.3625677778</v>
      </c>
      <c r="H108" s="10" t="n">
        <v>12.2</v>
      </c>
      <c r="I108" s="15" t="n">
        <v>45708</v>
      </c>
      <c r="J108" s="2" t="s">
        <v>629</v>
      </c>
    </row>
    <row r="109" customFormat="false" ht="15" hidden="false" customHeight="false" outlineLevel="0" collapsed="false">
      <c r="A109" s="2" t="s">
        <v>533</v>
      </c>
      <c r="B109" s="2" t="s">
        <v>80</v>
      </c>
      <c r="C109" s="4" t="n">
        <v>12</v>
      </c>
      <c r="D109" s="2" t="s">
        <v>451</v>
      </c>
      <c r="E109" s="2" t="s">
        <v>408</v>
      </c>
      <c r="F109" s="21" t="n">
        <v>45706.3625677778</v>
      </c>
      <c r="G109" s="21" t="n">
        <v>45706.3975122222</v>
      </c>
      <c r="H109" s="10" t="n">
        <v>0.838666666666667</v>
      </c>
      <c r="I109" s="15" t="n">
        <v>45708</v>
      </c>
      <c r="J109" s="2" t="s">
        <v>629</v>
      </c>
    </row>
    <row r="110" customFormat="false" ht="15" hidden="false" customHeight="false" outlineLevel="0" collapsed="false">
      <c r="A110" s="2" t="s">
        <v>533</v>
      </c>
      <c r="B110" s="2" t="s">
        <v>80</v>
      </c>
      <c r="C110" s="4" t="n">
        <v>13</v>
      </c>
      <c r="D110" s="2" t="s">
        <v>452</v>
      </c>
      <c r="E110" s="2" t="s">
        <v>411</v>
      </c>
      <c r="F110" s="21" t="n">
        <v>45706.3975122222</v>
      </c>
      <c r="G110" s="21" t="n">
        <v>45706.4444566667</v>
      </c>
      <c r="H110" s="10" t="n">
        <v>1.12666666666667</v>
      </c>
      <c r="I110" s="15" t="n">
        <v>45708</v>
      </c>
      <c r="J110" s="2" t="s">
        <v>629</v>
      </c>
    </row>
    <row r="111" customFormat="false" ht="15" hidden="false" customHeight="false" outlineLevel="0" collapsed="false">
      <c r="A111" s="2" t="s">
        <v>535</v>
      </c>
      <c r="B111" s="2" t="s">
        <v>94</v>
      </c>
      <c r="C111" s="4" t="n">
        <v>1</v>
      </c>
      <c r="D111" s="2" t="s">
        <v>437</v>
      </c>
      <c r="E111" s="2" t="s">
        <v>375</v>
      </c>
      <c r="F111" s="21" t="n">
        <v>45691.6746111111</v>
      </c>
      <c r="G111" s="21" t="n">
        <v>45693.4111805556</v>
      </c>
      <c r="H111" s="10" t="n">
        <v>10.6776666666667</v>
      </c>
      <c r="I111" s="15" t="n">
        <v>45706</v>
      </c>
      <c r="J111" s="2" t="s">
        <v>629</v>
      </c>
    </row>
    <row r="112" customFormat="false" ht="15" hidden="false" customHeight="false" outlineLevel="0" collapsed="false">
      <c r="A112" s="2" t="s">
        <v>535</v>
      </c>
      <c r="B112" s="2" t="s">
        <v>94</v>
      </c>
      <c r="C112" s="4" t="n">
        <v>2</v>
      </c>
      <c r="D112" s="2" t="s">
        <v>441</v>
      </c>
      <c r="E112" s="2" t="s">
        <v>380</v>
      </c>
      <c r="F112" s="21" t="n">
        <v>45693.4111805556</v>
      </c>
      <c r="G112" s="21" t="n">
        <v>45693.4458055556</v>
      </c>
      <c r="H112" s="10" t="n">
        <v>0.831</v>
      </c>
      <c r="I112" s="15" t="n">
        <v>45706</v>
      </c>
      <c r="J112" s="2" t="s">
        <v>629</v>
      </c>
    </row>
    <row r="113" customFormat="false" ht="15" hidden="false" customHeight="false" outlineLevel="0" collapsed="false">
      <c r="A113" s="2" t="s">
        <v>535</v>
      </c>
      <c r="B113" s="2" t="s">
        <v>94</v>
      </c>
      <c r="C113" s="4" t="n">
        <v>3</v>
      </c>
      <c r="D113" s="2" t="s">
        <v>386</v>
      </c>
      <c r="E113" s="2" t="s">
        <v>383</v>
      </c>
      <c r="F113" s="21" t="n">
        <v>45694.5889444445</v>
      </c>
      <c r="G113" s="21" t="n">
        <v>45698.3590833333</v>
      </c>
      <c r="H113" s="10" t="n">
        <v>11.4833333333333</v>
      </c>
      <c r="I113" s="15" t="n">
        <v>45706</v>
      </c>
      <c r="J113" s="2" t="s">
        <v>629</v>
      </c>
    </row>
    <row r="114" customFormat="false" ht="15" hidden="false" customHeight="false" outlineLevel="0" collapsed="false">
      <c r="A114" s="2" t="s">
        <v>535</v>
      </c>
      <c r="B114" s="2" t="s">
        <v>94</v>
      </c>
      <c r="C114" s="4" t="n">
        <v>4</v>
      </c>
      <c r="D114" s="2" t="s">
        <v>390</v>
      </c>
      <c r="E114" s="2" t="s">
        <v>387</v>
      </c>
      <c r="F114" s="21" t="n">
        <v>45698.3972777778</v>
      </c>
      <c r="G114" s="21" t="n">
        <v>45701.3583888889</v>
      </c>
      <c r="H114" s="10" t="n">
        <v>23.0666666666667</v>
      </c>
      <c r="I114" s="15" t="n">
        <v>45706</v>
      </c>
      <c r="J114" s="2" t="s">
        <v>629</v>
      </c>
    </row>
    <row r="115" customFormat="false" ht="15" hidden="false" customHeight="false" outlineLevel="0" collapsed="false">
      <c r="A115" s="2" t="s">
        <v>535</v>
      </c>
      <c r="B115" s="2" t="s">
        <v>94</v>
      </c>
      <c r="C115" s="4" t="n">
        <v>5</v>
      </c>
      <c r="D115" s="2" t="s">
        <v>443</v>
      </c>
      <c r="E115" s="2" t="s">
        <v>395</v>
      </c>
      <c r="F115" s="21" t="n">
        <v>45701.4186666667</v>
      </c>
      <c r="G115" s="21" t="n">
        <v>45702.3353333333</v>
      </c>
      <c r="H115" s="10" t="n">
        <v>6</v>
      </c>
      <c r="I115" s="15" t="n">
        <v>45706</v>
      </c>
      <c r="J115" s="2" t="s">
        <v>629</v>
      </c>
    </row>
    <row r="116" customFormat="false" ht="15" hidden="false" customHeight="false" outlineLevel="0" collapsed="false">
      <c r="A116" s="2" t="s">
        <v>535</v>
      </c>
      <c r="B116" s="2" t="s">
        <v>94</v>
      </c>
      <c r="C116" s="4" t="n">
        <v>6</v>
      </c>
      <c r="D116" s="2" t="s">
        <v>444</v>
      </c>
      <c r="E116" s="2" t="s">
        <v>399</v>
      </c>
      <c r="F116" s="21" t="n">
        <v>45702.3413733333</v>
      </c>
      <c r="G116" s="21" t="n">
        <v>45702.5841555556</v>
      </c>
      <c r="H116" s="10" t="n">
        <v>4.82677333333333</v>
      </c>
      <c r="I116" s="15" t="n">
        <v>45706</v>
      </c>
      <c r="J116" s="2" t="s">
        <v>629</v>
      </c>
    </row>
    <row r="117" customFormat="false" ht="15" hidden="false" customHeight="false" outlineLevel="0" collapsed="false">
      <c r="A117" s="2" t="s">
        <v>535</v>
      </c>
      <c r="B117" s="2" t="s">
        <v>94</v>
      </c>
      <c r="C117" s="4" t="n">
        <v>7</v>
      </c>
      <c r="D117" s="2" t="s">
        <v>445</v>
      </c>
      <c r="E117" s="2" t="s">
        <v>402</v>
      </c>
      <c r="F117" s="21" t="n">
        <v>45702.5841555556</v>
      </c>
      <c r="G117" s="21" t="n">
        <v>45702.6302111111</v>
      </c>
      <c r="H117" s="10" t="n">
        <v>1.10533333333333</v>
      </c>
      <c r="I117" s="15" t="n">
        <v>45706</v>
      </c>
      <c r="J117" s="2" t="s">
        <v>629</v>
      </c>
    </row>
    <row r="118" customFormat="false" ht="15" hidden="false" customHeight="false" outlineLevel="0" collapsed="false">
      <c r="A118" s="2" t="s">
        <v>535</v>
      </c>
      <c r="B118" s="2" t="s">
        <v>94</v>
      </c>
      <c r="C118" s="4" t="n">
        <v>8</v>
      </c>
      <c r="D118" s="2" t="s">
        <v>447</v>
      </c>
      <c r="E118" s="2" t="s">
        <v>421</v>
      </c>
      <c r="F118" s="21" t="n">
        <v>45702.6302111111</v>
      </c>
      <c r="G118" s="21" t="n">
        <v>45702.6614611111</v>
      </c>
      <c r="H118" s="10" t="n">
        <v>0.75</v>
      </c>
      <c r="I118" s="15" t="n">
        <v>45706</v>
      </c>
      <c r="J118" s="2" t="s">
        <v>629</v>
      </c>
    </row>
    <row r="119" customFormat="false" ht="15" hidden="false" customHeight="false" outlineLevel="0" collapsed="false">
      <c r="A119" s="2" t="s">
        <v>535</v>
      </c>
      <c r="B119" s="2" t="s">
        <v>94</v>
      </c>
      <c r="C119" s="4" t="n">
        <v>9</v>
      </c>
      <c r="D119" s="2" t="s">
        <v>449</v>
      </c>
      <c r="E119" s="2" t="s">
        <v>423</v>
      </c>
      <c r="F119" s="21" t="n">
        <v>45702.6614611111</v>
      </c>
      <c r="G119" s="21" t="n">
        <v>45702.6798013889</v>
      </c>
      <c r="H119" s="10" t="n">
        <v>0.440166666666667</v>
      </c>
      <c r="I119" s="15" t="n">
        <v>45706</v>
      </c>
      <c r="J119" s="2" t="s">
        <v>629</v>
      </c>
    </row>
    <row r="120" customFormat="false" ht="15" hidden="false" customHeight="false" outlineLevel="0" collapsed="false">
      <c r="A120" s="2" t="s">
        <v>535</v>
      </c>
      <c r="B120" s="2" t="s">
        <v>94</v>
      </c>
      <c r="C120" s="4" t="n">
        <v>10</v>
      </c>
      <c r="D120" s="2" t="s">
        <v>450</v>
      </c>
      <c r="E120" s="2" t="s">
        <v>406</v>
      </c>
      <c r="F120" s="21" t="n">
        <v>45706.3625677778</v>
      </c>
      <c r="G120" s="21" t="n">
        <v>45707.3688177778</v>
      </c>
      <c r="H120" s="10" t="n">
        <v>8.15</v>
      </c>
      <c r="I120" s="15" t="n">
        <v>45706</v>
      </c>
      <c r="J120" s="2" t="s">
        <v>629</v>
      </c>
    </row>
    <row r="121" customFormat="false" ht="15" hidden="false" customHeight="false" outlineLevel="0" collapsed="false">
      <c r="A121" s="2" t="s">
        <v>535</v>
      </c>
      <c r="B121" s="2" t="s">
        <v>94</v>
      </c>
      <c r="C121" s="4" t="n">
        <v>11</v>
      </c>
      <c r="D121" s="2" t="s">
        <v>451</v>
      </c>
      <c r="E121" s="2" t="s">
        <v>408</v>
      </c>
      <c r="F121" s="21" t="n">
        <v>45707.3688177778</v>
      </c>
      <c r="G121" s="21" t="n">
        <v>45707.3886302778</v>
      </c>
      <c r="H121" s="10" t="n">
        <v>0.4755</v>
      </c>
      <c r="I121" s="15" t="n">
        <v>45706</v>
      </c>
      <c r="J121" s="2" t="s">
        <v>629</v>
      </c>
    </row>
    <row r="122" customFormat="false" ht="15" hidden="false" customHeight="false" outlineLevel="0" collapsed="false">
      <c r="A122" s="2" t="s">
        <v>535</v>
      </c>
      <c r="B122" s="2" t="s">
        <v>94</v>
      </c>
      <c r="C122" s="4" t="n">
        <v>12</v>
      </c>
      <c r="D122" s="2" t="s">
        <v>452</v>
      </c>
      <c r="E122" s="2" t="s">
        <v>411</v>
      </c>
      <c r="F122" s="21" t="n">
        <v>45707.3886302778</v>
      </c>
      <c r="G122" s="21" t="n">
        <v>45707.4151997222</v>
      </c>
      <c r="H122" s="10" t="n">
        <v>0.637666666666667</v>
      </c>
      <c r="I122" s="15" t="n">
        <v>45706</v>
      </c>
      <c r="J122" s="2" t="s">
        <v>629</v>
      </c>
    </row>
    <row r="123" customFormat="false" ht="15" hidden="false" customHeight="false" outlineLevel="0" collapsed="false">
      <c r="A123" s="2" t="s">
        <v>537</v>
      </c>
      <c r="B123" s="2" t="s">
        <v>106</v>
      </c>
      <c r="C123" s="4" t="n">
        <v>1</v>
      </c>
      <c r="D123" s="2" t="s">
        <v>437</v>
      </c>
      <c r="E123" s="2" t="s">
        <v>375</v>
      </c>
      <c r="F123" s="21" t="n">
        <v>45693.4111805556</v>
      </c>
      <c r="G123" s="21" t="n">
        <v>45693.5981423611</v>
      </c>
      <c r="H123" s="10" t="n">
        <v>3.48708333333333</v>
      </c>
      <c r="I123" s="15" t="n">
        <v>45705</v>
      </c>
      <c r="J123" s="2" t="s">
        <v>629</v>
      </c>
    </row>
    <row r="124" customFormat="false" ht="15" hidden="false" customHeight="false" outlineLevel="0" collapsed="false">
      <c r="A124" s="2" t="s">
        <v>537</v>
      </c>
      <c r="B124" s="2" t="s">
        <v>106</v>
      </c>
      <c r="C124" s="4" t="n">
        <v>2</v>
      </c>
      <c r="D124" s="2" t="s">
        <v>386</v>
      </c>
      <c r="E124" s="2" t="s">
        <v>383</v>
      </c>
      <c r="F124" s="21" t="n">
        <v>45698.3590833333</v>
      </c>
      <c r="G124" s="21" t="n">
        <v>45698.4174166667</v>
      </c>
      <c r="H124" s="10" t="n">
        <v>1.4</v>
      </c>
      <c r="I124" s="15" t="n">
        <v>45705</v>
      </c>
      <c r="J124" s="2" t="s">
        <v>629</v>
      </c>
    </row>
    <row r="125" customFormat="false" ht="15" hidden="false" customHeight="false" outlineLevel="0" collapsed="false">
      <c r="A125" s="2" t="s">
        <v>537</v>
      </c>
      <c r="B125" s="2" t="s">
        <v>106</v>
      </c>
      <c r="C125" s="4" t="n">
        <v>3</v>
      </c>
      <c r="D125" s="2" t="s">
        <v>390</v>
      </c>
      <c r="E125" s="2" t="s">
        <v>387</v>
      </c>
      <c r="F125" s="21" t="n">
        <v>45701.3583888889</v>
      </c>
      <c r="G125" s="21" t="n">
        <v>45702.3945</v>
      </c>
      <c r="H125" s="10" t="n">
        <v>8.86666666666667</v>
      </c>
      <c r="I125" s="15" t="n">
        <v>45705</v>
      </c>
      <c r="J125" s="2" t="s">
        <v>629</v>
      </c>
    </row>
    <row r="126" customFormat="false" ht="15" hidden="false" customHeight="false" outlineLevel="0" collapsed="false">
      <c r="A126" s="2" t="s">
        <v>537</v>
      </c>
      <c r="B126" s="2" t="s">
        <v>106</v>
      </c>
      <c r="C126" s="4" t="n">
        <v>4</v>
      </c>
      <c r="D126" s="2" t="s">
        <v>443</v>
      </c>
      <c r="E126" s="2" t="s">
        <v>395</v>
      </c>
      <c r="F126" s="21" t="n">
        <v>45702.3945</v>
      </c>
      <c r="G126" s="21" t="n">
        <v>45702.4590833333</v>
      </c>
      <c r="H126" s="10" t="n">
        <v>1.55</v>
      </c>
      <c r="I126" s="15" t="n">
        <v>45705</v>
      </c>
      <c r="J126" s="2" t="s">
        <v>629</v>
      </c>
    </row>
    <row r="127" customFormat="false" ht="15" hidden="false" customHeight="false" outlineLevel="0" collapsed="false">
      <c r="A127" s="2" t="s">
        <v>537</v>
      </c>
      <c r="B127" s="2" t="s">
        <v>106</v>
      </c>
      <c r="C127" s="4" t="n">
        <v>5</v>
      </c>
      <c r="D127" s="2" t="s">
        <v>444</v>
      </c>
      <c r="E127" s="2" t="s">
        <v>399</v>
      </c>
      <c r="F127" s="21" t="n">
        <v>45702.5841555556</v>
      </c>
      <c r="G127" s="21" t="n">
        <v>45702.679725</v>
      </c>
      <c r="H127" s="10" t="n">
        <v>2.29366666666667</v>
      </c>
      <c r="I127" s="15" t="n">
        <v>45705</v>
      </c>
      <c r="J127" s="2" t="s">
        <v>629</v>
      </c>
    </row>
    <row r="128" customFormat="false" ht="15" hidden="false" customHeight="false" outlineLevel="0" collapsed="false">
      <c r="A128" s="2" t="s">
        <v>537</v>
      </c>
      <c r="B128" s="2" t="s">
        <v>106</v>
      </c>
      <c r="C128" s="4" t="n">
        <v>6</v>
      </c>
      <c r="D128" s="2" t="s">
        <v>445</v>
      </c>
      <c r="E128" s="2" t="s">
        <v>402</v>
      </c>
      <c r="F128" s="21" t="n">
        <v>45702.679725</v>
      </c>
      <c r="G128" s="21" t="n">
        <v>45705.3367736111</v>
      </c>
      <c r="H128" s="10" t="n">
        <v>0.769166666666667</v>
      </c>
      <c r="I128" s="15" t="n">
        <v>45705</v>
      </c>
      <c r="J128" s="2" t="s">
        <v>629</v>
      </c>
    </row>
    <row r="129" customFormat="false" ht="15" hidden="false" customHeight="false" outlineLevel="0" collapsed="false">
      <c r="A129" s="2" t="s">
        <v>537</v>
      </c>
      <c r="B129" s="2" t="s">
        <v>106</v>
      </c>
      <c r="C129" s="4" t="n">
        <v>7</v>
      </c>
      <c r="D129" s="2" t="s">
        <v>447</v>
      </c>
      <c r="E129" s="2" t="s">
        <v>421</v>
      </c>
      <c r="F129" s="21" t="n">
        <v>45705.3367736111</v>
      </c>
      <c r="G129" s="21" t="n">
        <v>45705.3680236111</v>
      </c>
      <c r="H129" s="10" t="n">
        <v>0.75</v>
      </c>
      <c r="I129" s="15" t="n">
        <v>45705</v>
      </c>
      <c r="J129" s="2" t="s">
        <v>629</v>
      </c>
    </row>
    <row r="130" customFormat="false" ht="15" hidden="false" customHeight="false" outlineLevel="0" collapsed="false">
      <c r="A130" s="2" t="s">
        <v>537</v>
      </c>
      <c r="B130" s="2" t="s">
        <v>106</v>
      </c>
      <c r="C130" s="4" t="n">
        <v>8</v>
      </c>
      <c r="D130" s="2" t="s">
        <v>449</v>
      </c>
      <c r="E130" s="2" t="s">
        <v>423</v>
      </c>
      <c r="F130" s="21" t="n">
        <v>45705.3680236111</v>
      </c>
      <c r="G130" s="21" t="n">
        <v>45705.3819819445</v>
      </c>
      <c r="H130" s="10" t="n">
        <v>0.335</v>
      </c>
      <c r="I130" s="15" t="n">
        <v>45705</v>
      </c>
      <c r="J130" s="2" t="s">
        <v>629</v>
      </c>
    </row>
    <row r="131" customFormat="false" ht="15" hidden="false" customHeight="false" outlineLevel="0" collapsed="false">
      <c r="A131" s="2" t="s">
        <v>537</v>
      </c>
      <c r="B131" s="2" t="s">
        <v>106</v>
      </c>
      <c r="C131" s="4" t="n">
        <v>9</v>
      </c>
      <c r="D131" s="2" t="s">
        <v>450</v>
      </c>
      <c r="E131" s="2" t="s">
        <v>406</v>
      </c>
      <c r="F131" s="21" t="n">
        <v>45707.3688177778</v>
      </c>
      <c r="G131" s="21" t="n">
        <v>45707.5604844445</v>
      </c>
      <c r="H131" s="10" t="n">
        <v>3.6</v>
      </c>
      <c r="I131" s="15" t="n">
        <v>45705</v>
      </c>
      <c r="J131" s="2" t="s">
        <v>629</v>
      </c>
    </row>
    <row r="132" customFormat="false" ht="15" hidden="false" customHeight="false" outlineLevel="0" collapsed="false">
      <c r="A132" s="2" t="s">
        <v>537</v>
      </c>
      <c r="B132" s="2" t="s">
        <v>106</v>
      </c>
      <c r="C132" s="4" t="n">
        <v>10</v>
      </c>
      <c r="D132" s="2" t="s">
        <v>451</v>
      </c>
      <c r="E132" s="2" t="s">
        <v>408</v>
      </c>
      <c r="F132" s="21" t="n">
        <v>45707.5604844445</v>
      </c>
      <c r="G132" s="21" t="n">
        <v>45707.5740955556</v>
      </c>
      <c r="H132" s="10" t="n">
        <v>0.326666666666667</v>
      </c>
      <c r="I132" s="15" t="n">
        <v>45705</v>
      </c>
      <c r="J132" s="2" t="s">
        <v>629</v>
      </c>
    </row>
    <row r="133" customFormat="false" ht="15" hidden="false" customHeight="false" outlineLevel="0" collapsed="false">
      <c r="A133" s="2" t="s">
        <v>537</v>
      </c>
      <c r="B133" s="2" t="s">
        <v>106</v>
      </c>
      <c r="C133" s="4" t="n">
        <v>11</v>
      </c>
      <c r="D133" s="2" t="s">
        <v>452</v>
      </c>
      <c r="E133" s="2" t="s">
        <v>411</v>
      </c>
      <c r="F133" s="21" t="n">
        <v>45707.5740955556</v>
      </c>
      <c r="G133" s="21" t="n">
        <v>45707.5920816667</v>
      </c>
      <c r="H133" s="10" t="n">
        <v>0.431666666666667</v>
      </c>
      <c r="I133" s="15" t="n">
        <v>45705</v>
      </c>
      <c r="J133" s="2" t="s">
        <v>629</v>
      </c>
    </row>
    <row r="134" customFormat="false" ht="15" hidden="false" customHeight="false" outlineLevel="0" collapsed="false">
      <c r="A134" s="2" t="s">
        <v>539</v>
      </c>
      <c r="B134" s="2" t="s">
        <v>119</v>
      </c>
      <c r="C134" s="4" t="n">
        <v>1</v>
      </c>
      <c r="D134" s="2" t="s">
        <v>437</v>
      </c>
      <c r="E134" s="2" t="s">
        <v>375</v>
      </c>
      <c r="F134" s="21" t="n">
        <v>45693.5981423611</v>
      </c>
      <c r="G134" s="21" t="n">
        <v>45694.4756423611</v>
      </c>
      <c r="H134" s="10" t="n">
        <v>6.06</v>
      </c>
      <c r="I134" s="15" t="n">
        <v>45706</v>
      </c>
      <c r="J134" s="2" t="s">
        <v>629</v>
      </c>
    </row>
    <row r="135" customFormat="false" ht="15" hidden="false" customHeight="false" outlineLevel="0" collapsed="false">
      <c r="A135" s="2" t="s">
        <v>539</v>
      </c>
      <c r="B135" s="2" t="s">
        <v>119</v>
      </c>
      <c r="C135" s="4" t="n">
        <v>2</v>
      </c>
      <c r="D135" s="2" t="s">
        <v>386</v>
      </c>
      <c r="E135" s="2" t="s">
        <v>383</v>
      </c>
      <c r="F135" s="21" t="n">
        <v>45698.4174166667</v>
      </c>
      <c r="G135" s="21" t="n">
        <v>45698.4646388889</v>
      </c>
      <c r="H135" s="10" t="n">
        <v>1.13333333333333</v>
      </c>
      <c r="I135" s="15" t="n">
        <v>45706</v>
      </c>
      <c r="J135" s="2" t="s">
        <v>629</v>
      </c>
    </row>
    <row r="136" customFormat="false" ht="15" hidden="false" customHeight="false" outlineLevel="0" collapsed="false">
      <c r="A136" s="2" t="s">
        <v>539</v>
      </c>
      <c r="B136" s="2" t="s">
        <v>119</v>
      </c>
      <c r="C136" s="4" t="n">
        <v>3</v>
      </c>
      <c r="D136" s="2" t="s">
        <v>390</v>
      </c>
      <c r="E136" s="2" t="s">
        <v>387</v>
      </c>
      <c r="F136" s="21" t="n">
        <v>45702.3945</v>
      </c>
      <c r="G136" s="21" t="n">
        <v>45706.3333888889</v>
      </c>
      <c r="H136" s="10" t="n">
        <v>14.5333333333333</v>
      </c>
      <c r="I136" s="15" t="n">
        <v>45706</v>
      </c>
      <c r="J136" s="2" t="s">
        <v>629</v>
      </c>
    </row>
    <row r="137" customFormat="false" ht="15" hidden="false" customHeight="false" outlineLevel="0" collapsed="false">
      <c r="A137" s="2" t="s">
        <v>539</v>
      </c>
      <c r="B137" s="2" t="s">
        <v>119</v>
      </c>
      <c r="C137" s="4" t="n">
        <v>4</v>
      </c>
      <c r="D137" s="2" t="s">
        <v>443</v>
      </c>
      <c r="E137" s="2" t="s">
        <v>395</v>
      </c>
      <c r="F137" s="21" t="n">
        <v>45706.3333888889</v>
      </c>
      <c r="G137" s="21" t="n">
        <v>45706.4396388889</v>
      </c>
      <c r="H137" s="10" t="n">
        <v>2.55</v>
      </c>
      <c r="I137" s="15" t="n">
        <v>45706</v>
      </c>
      <c r="J137" s="2" t="s">
        <v>629</v>
      </c>
    </row>
    <row r="138" customFormat="false" ht="15" hidden="false" customHeight="false" outlineLevel="0" collapsed="false">
      <c r="A138" s="2" t="s">
        <v>539</v>
      </c>
      <c r="B138" s="2" t="s">
        <v>119</v>
      </c>
      <c r="C138" s="4" t="n">
        <v>5</v>
      </c>
      <c r="D138" s="2" t="s">
        <v>444</v>
      </c>
      <c r="E138" s="2" t="s">
        <v>399</v>
      </c>
      <c r="F138" s="21" t="n">
        <v>45706.4396388889</v>
      </c>
      <c r="G138" s="21" t="n">
        <v>45706.6640277778</v>
      </c>
      <c r="H138" s="10" t="n">
        <v>4.38533333333333</v>
      </c>
      <c r="I138" s="15" t="n">
        <v>45706</v>
      </c>
      <c r="J138" s="2" t="s">
        <v>629</v>
      </c>
    </row>
    <row r="139" customFormat="false" ht="15" hidden="false" customHeight="false" outlineLevel="0" collapsed="false">
      <c r="A139" s="2" t="s">
        <v>539</v>
      </c>
      <c r="B139" s="2" t="s">
        <v>119</v>
      </c>
      <c r="C139" s="4" t="n">
        <v>6</v>
      </c>
      <c r="D139" s="2" t="s">
        <v>445</v>
      </c>
      <c r="E139" s="2" t="s">
        <v>402</v>
      </c>
      <c r="F139" s="21" t="n">
        <v>45706.6640277778</v>
      </c>
      <c r="G139" s="21" t="n">
        <v>45707.3430555556</v>
      </c>
      <c r="H139" s="10" t="n">
        <v>1.29666666666667</v>
      </c>
      <c r="I139" s="15" t="n">
        <v>45706</v>
      </c>
      <c r="J139" s="2" t="s">
        <v>629</v>
      </c>
    </row>
    <row r="140" customFormat="false" ht="15" hidden="false" customHeight="false" outlineLevel="0" collapsed="false">
      <c r="A140" s="2" t="s">
        <v>539</v>
      </c>
      <c r="B140" s="2" t="s">
        <v>119</v>
      </c>
      <c r="C140" s="4" t="n">
        <v>7</v>
      </c>
      <c r="D140" s="2" t="s">
        <v>447</v>
      </c>
      <c r="E140" s="2" t="s">
        <v>421</v>
      </c>
      <c r="F140" s="21" t="n">
        <v>45707.3430555556</v>
      </c>
      <c r="G140" s="21" t="n">
        <v>45707.3743055556</v>
      </c>
      <c r="H140" s="10" t="n">
        <v>0.75</v>
      </c>
      <c r="I140" s="15" t="n">
        <v>45706</v>
      </c>
      <c r="J140" s="2" t="s">
        <v>629</v>
      </c>
    </row>
    <row r="141" customFormat="false" ht="15" hidden="false" customHeight="false" outlineLevel="0" collapsed="false">
      <c r="A141" s="2" t="s">
        <v>539</v>
      </c>
      <c r="B141" s="2" t="s">
        <v>119</v>
      </c>
      <c r="C141" s="4" t="n">
        <v>8</v>
      </c>
      <c r="D141" s="2" t="s">
        <v>449</v>
      </c>
      <c r="E141" s="2" t="s">
        <v>423</v>
      </c>
      <c r="F141" s="21" t="n">
        <v>45707.3743055556</v>
      </c>
      <c r="G141" s="21" t="n">
        <v>45707.39625</v>
      </c>
      <c r="H141" s="10" t="n">
        <v>0.526666666666667</v>
      </c>
      <c r="I141" s="15" t="n">
        <v>45706</v>
      </c>
      <c r="J141" s="2" t="s">
        <v>629</v>
      </c>
    </row>
    <row r="142" customFormat="false" ht="15" hidden="false" customHeight="false" outlineLevel="0" collapsed="false">
      <c r="A142" s="2" t="s">
        <v>539</v>
      </c>
      <c r="B142" s="2" t="s">
        <v>119</v>
      </c>
      <c r="C142" s="4" t="n">
        <v>9</v>
      </c>
      <c r="D142" s="2" t="s">
        <v>450</v>
      </c>
      <c r="E142" s="2" t="s">
        <v>406</v>
      </c>
      <c r="F142" s="21" t="n">
        <v>45707.5604844445</v>
      </c>
      <c r="G142" s="21" t="n">
        <v>45708.3771511111</v>
      </c>
      <c r="H142" s="10" t="n">
        <v>4.6</v>
      </c>
      <c r="I142" s="15" t="n">
        <v>45706</v>
      </c>
      <c r="J142" s="2" t="s">
        <v>629</v>
      </c>
    </row>
    <row r="143" customFormat="false" ht="15" hidden="false" customHeight="false" outlineLevel="0" collapsed="false">
      <c r="A143" s="2" t="s">
        <v>539</v>
      </c>
      <c r="B143" s="2" t="s">
        <v>119</v>
      </c>
      <c r="C143" s="4" t="n">
        <v>10</v>
      </c>
      <c r="D143" s="2" t="s">
        <v>451</v>
      </c>
      <c r="E143" s="2" t="s">
        <v>408</v>
      </c>
      <c r="F143" s="21" t="n">
        <v>45708.3771511111</v>
      </c>
      <c r="G143" s="21" t="n">
        <v>45708.4024983333</v>
      </c>
      <c r="H143" s="10" t="n">
        <v>0.608333333333333</v>
      </c>
      <c r="I143" s="15" t="n">
        <v>45706</v>
      </c>
      <c r="J143" s="2" t="s">
        <v>629</v>
      </c>
    </row>
    <row r="144" customFormat="false" ht="15" hidden="false" customHeight="false" outlineLevel="0" collapsed="false">
      <c r="A144" s="2" t="s">
        <v>539</v>
      </c>
      <c r="B144" s="2" t="s">
        <v>119</v>
      </c>
      <c r="C144" s="4" t="n">
        <v>11</v>
      </c>
      <c r="D144" s="2" t="s">
        <v>452</v>
      </c>
      <c r="E144" s="2" t="s">
        <v>411</v>
      </c>
      <c r="F144" s="21" t="n">
        <v>45708.4024983333</v>
      </c>
      <c r="G144" s="21" t="n">
        <v>45708.4363177778</v>
      </c>
      <c r="H144" s="10" t="n">
        <v>0.811666666666667</v>
      </c>
      <c r="I144" s="15" t="n">
        <v>45706</v>
      </c>
      <c r="J144" s="2" t="s">
        <v>629</v>
      </c>
    </row>
    <row r="145" customFormat="false" ht="15" hidden="false" customHeight="false" outlineLevel="0" collapsed="false">
      <c r="A145" s="2" t="s">
        <v>534</v>
      </c>
      <c r="B145" s="2" t="s">
        <v>83</v>
      </c>
      <c r="C145" s="4" t="n">
        <v>1</v>
      </c>
      <c r="D145" s="2" t="s">
        <v>437</v>
      </c>
      <c r="E145" s="2" t="s">
        <v>375</v>
      </c>
      <c r="F145" s="21" t="n">
        <v>45705.3333333333</v>
      </c>
      <c r="G145" s="21" t="n">
        <v>45705.6916944445</v>
      </c>
      <c r="H145" s="10" t="n">
        <v>7.60066666666667</v>
      </c>
      <c r="I145" s="15" t="n">
        <v>45722</v>
      </c>
      <c r="J145" s="2" t="s">
        <v>629</v>
      </c>
    </row>
    <row r="146" customFormat="false" ht="15" hidden="false" customHeight="false" outlineLevel="0" collapsed="false">
      <c r="A146" s="2" t="s">
        <v>534</v>
      </c>
      <c r="B146" s="2" t="s">
        <v>83</v>
      </c>
      <c r="C146" s="4" t="n">
        <v>2</v>
      </c>
      <c r="D146" s="2" t="s">
        <v>441</v>
      </c>
      <c r="E146" s="2" t="s">
        <v>380</v>
      </c>
      <c r="F146" s="21" t="n">
        <v>45705.6916944445</v>
      </c>
      <c r="G146" s="21" t="n">
        <v>45707.4278055556</v>
      </c>
      <c r="H146" s="10" t="n">
        <v>10.6666666666667</v>
      </c>
      <c r="I146" s="15" t="n">
        <v>45722</v>
      </c>
      <c r="J146" s="2" t="s">
        <v>629</v>
      </c>
    </row>
    <row r="147" customFormat="false" ht="15" hidden="false" customHeight="false" outlineLevel="0" collapsed="false">
      <c r="A147" s="2" t="s">
        <v>534</v>
      </c>
      <c r="B147" s="2" t="s">
        <v>83</v>
      </c>
      <c r="C147" s="4" t="n">
        <v>3</v>
      </c>
      <c r="D147" s="2" t="s">
        <v>386</v>
      </c>
      <c r="E147" s="2" t="s">
        <v>383</v>
      </c>
      <c r="F147" s="21" t="n">
        <v>45707.4278055556</v>
      </c>
      <c r="G147" s="21" t="n">
        <v>45709.4591944445</v>
      </c>
      <c r="H147" s="10" t="n">
        <v>16.7533333333333</v>
      </c>
      <c r="I147" s="15" t="n">
        <v>45722</v>
      </c>
      <c r="J147" s="2" t="s">
        <v>629</v>
      </c>
    </row>
    <row r="148" customFormat="false" ht="15" hidden="false" customHeight="false" outlineLevel="0" collapsed="false">
      <c r="A148" s="2" t="s">
        <v>534</v>
      </c>
      <c r="B148" s="2" t="s">
        <v>83</v>
      </c>
      <c r="C148" s="4" t="n">
        <v>4</v>
      </c>
      <c r="D148" s="2" t="s">
        <v>390</v>
      </c>
      <c r="E148" s="2" t="s">
        <v>387</v>
      </c>
      <c r="F148" s="21" t="n">
        <v>45709.4591944445</v>
      </c>
      <c r="G148" s="21" t="n">
        <v>45713.3841944444</v>
      </c>
      <c r="H148" s="10" t="n">
        <v>14.2</v>
      </c>
      <c r="I148" s="15" t="n">
        <v>45722</v>
      </c>
      <c r="J148" s="2" t="s">
        <v>629</v>
      </c>
    </row>
    <row r="149" customFormat="false" ht="15" hidden="false" customHeight="false" outlineLevel="0" collapsed="false">
      <c r="A149" s="2" t="s">
        <v>534</v>
      </c>
      <c r="B149" s="2" t="s">
        <v>83</v>
      </c>
      <c r="C149" s="4" t="n">
        <v>5</v>
      </c>
      <c r="D149" s="2" t="s">
        <v>442</v>
      </c>
      <c r="E149" s="2" t="s">
        <v>391</v>
      </c>
      <c r="F149" s="21" t="n">
        <v>45713.3841944444</v>
      </c>
      <c r="G149" s="21" t="n">
        <v>45715.38475</v>
      </c>
      <c r="H149" s="10" t="n">
        <v>16.0133333333333</v>
      </c>
      <c r="I149" s="15" t="n">
        <v>45722</v>
      </c>
      <c r="J149" s="2" t="s">
        <v>629</v>
      </c>
    </row>
    <row r="150" customFormat="false" ht="15" hidden="false" customHeight="false" outlineLevel="0" collapsed="false">
      <c r="A150" s="2" t="s">
        <v>534</v>
      </c>
      <c r="B150" s="2" t="s">
        <v>83</v>
      </c>
      <c r="C150" s="4" t="n">
        <v>6</v>
      </c>
      <c r="D150" s="2" t="s">
        <v>443</v>
      </c>
      <c r="E150" s="2" t="s">
        <v>395</v>
      </c>
      <c r="F150" s="21" t="n">
        <v>45715.38475</v>
      </c>
      <c r="G150" s="21" t="n">
        <v>45716.4680833333</v>
      </c>
      <c r="H150" s="10" t="n">
        <v>10</v>
      </c>
      <c r="I150" s="15" t="n">
        <v>45722</v>
      </c>
      <c r="J150" s="2" t="s">
        <v>629</v>
      </c>
    </row>
    <row r="151" customFormat="false" ht="15" hidden="false" customHeight="false" outlineLevel="0" collapsed="false">
      <c r="A151" s="2" t="s">
        <v>534</v>
      </c>
      <c r="B151" s="2" t="s">
        <v>83</v>
      </c>
      <c r="C151" s="4" t="n">
        <v>7</v>
      </c>
      <c r="D151" s="2" t="s">
        <v>444</v>
      </c>
      <c r="E151" s="2" t="s">
        <v>399</v>
      </c>
      <c r="F151" s="21" t="n">
        <v>45716.4680833333</v>
      </c>
      <c r="G151" s="21" t="n">
        <v>45719.4102833333</v>
      </c>
      <c r="H151" s="10" t="n">
        <v>6.6128</v>
      </c>
      <c r="I151" s="15" t="n">
        <v>45722</v>
      </c>
      <c r="J151" s="2" t="s">
        <v>629</v>
      </c>
    </row>
    <row r="152" customFormat="false" ht="15" hidden="false" customHeight="false" outlineLevel="0" collapsed="false">
      <c r="A152" s="2" t="s">
        <v>534</v>
      </c>
      <c r="B152" s="2" t="s">
        <v>83</v>
      </c>
      <c r="C152" s="4" t="n">
        <v>8</v>
      </c>
      <c r="D152" s="2" t="s">
        <v>445</v>
      </c>
      <c r="E152" s="2" t="s">
        <v>402</v>
      </c>
      <c r="F152" s="21" t="n">
        <v>45719.4102833333</v>
      </c>
      <c r="G152" s="21" t="n">
        <v>45719.4937833333</v>
      </c>
      <c r="H152" s="10" t="n">
        <v>2.004</v>
      </c>
      <c r="I152" s="15" t="n">
        <v>45722</v>
      </c>
      <c r="J152" s="2" t="s">
        <v>629</v>
      </c>
    </row>
    <row r="153" customFormat="false" ht="15" hidden="false" customHeight="false" outlineLevel="0" collapsed="false">
      <c r="A153" s="2" t="s">
        <v>534</v>
      </c>
      <c r="B153" s="2" t="s">
        <v>83</v>
      </c>
      <c r="C153" s="4" t="n">
        <v>9</v>
      </c>
      <c r="D153" s="2" t="s">
        <v>447</v>
      </c>
      <c r="E153" s="2" t="s">
        <v>421</v>
      </c>
      <c r="F153" s="21" t="n">
        <v>45719.4937833333</v>
      </c>
      <c r="G153" s="21" t="n">
        <v>45719.59795</v>
      </c>
      <c r="H153" s="10" t="n">
        <v>1.5</v>
      </c>
      <c r="I153" s="15" t="n">
        <v>45722</v>
      </c>
      <c r="J153" s="2" t="s">
        <v>629</v>
      </c>
    </row>
    <row r="154" customFormat="false" ht="15" hidden="false" customHeight="false" outlineLevel="0" collapsed="false">
      <c r="A154" s="2" t="s">
        <v>534</v>
      </c>
      <c r="B154" s="2" t="s">
        <v>83</v>
      </c>
      <c r="C154" s="4" t="n">
        <v>10</v>
      </c>
      <c r="D154" s="2" t="s">
        <v>449</v>
      </c>
      <c r="E154" s="2" t="s">
        <v>423</v>
      </c>
      <c r="F154" s="21" t="n">
        <v>45719.59795</v>
      </c>
      <c r="G154" s="21" t="n">
        <v>45719.6314777778</v>
      </c>
      <c r="H154" s="10" t="n">
        <v>0.804666666666667</v>
      </c>
      <c r="I154" s="15" t="n">
        <v>45722</v>
      </c>
      <c r="J154" s="2" t="s">
        <v>629</v>
      </c>
    </row>
    <row r="155" customFormat="false" ht="15" hidden="false" customHeight="false" outlineLevel="0" collapsed="false">
      <c r="A155" s="2" t="s">
        <v>534</v>
      </c>
      <c r="B155" s="2" t="s">
        <v>83</v>
      </c>
      <c r="C155" s="4" t="n">
        <v>11</v>
      </c>
      <c r="D155" s="2" t="s">
        <v>450</v>
      </c>
      <c r="E155" s="2" t="s">
        <v>406</v>
      </c>
      <c r="F155" s="21" t="n">
        <v>45719.6314777778</v>
      </c>
      <c r="G155" s="21" t="n">
        <v>45721.4502277778</v>
      </c>
      <c r="H155" s="10" t="n">
        <v>12.65</v>
      </c>
      <c r="I155" s="15" t="n">
        <v>45722</v>
      </c>
      <c r="J155" s="2" t="s">
        <v>629</v>
      </c>
    </row>
    <row r="156" customFormat="false" ht="15" hidden="false" customHeight="false" outlineLevel="0" collapsed="false">
      <c r="A156" s="2" t="s">
        <v>534</v>
      </c>
      <c r="B156" s="2" t="s">
        <v>83</v>
      </c>
      <c r="C156" s="4" t="n">
        <v>12</v>
      </c>
      <c r="D156" s="2" t="s">
        <v>451</v>
      </c>
      <c r="E156" s="2" t="s">
        <v>408</v>
      </c>
      <c r="F156" s="21" t="n">
        <v>45721.4502277778</v>
      </c>
      <c r="G156" s="21" t="n">
        <v>45721.4851722222</v>
      </c>
      <c r="H156" s="10" t="n">
        <v>0.838666666666667</v>
      </c>
      <c r="I156" s="15" t="n">
        <v>45722</v>
      </c>
      <c r="J156" s="2" t="s">
        <v>629</v>
      </c>
    </row>
    <row r="157" customFormat="false" ht="15" hidden="false" customHeight="false" outlineLevel="0" collapsed="false">
      <c r="A157" s="2" t="s">
        <v>534</v>
      </c>
      <c r="B157" s="2" t="s">
        <v>83</v>
      </c>
      <c r="C157" s="4" t="n">
        <v>13</v>
      </c>
      <c r="D157" s="2" t="s">
        <v>452</v>
      </c>
      <c r="E157" s="2" t="s">
        <v>411</v>
      </c>
      <c r="F157" s="21" t="n">
        <v>45721.4851722222</v>
      </c>
      <c r="G157" s="21" t="n">
        <v>45721.5737833333</v>
      </c>
      <c r="H157" s="10" t="n">
        <v>1.12666666666667</v>
      </c>
      <c r="I157" s="15" t="n">
        <v>45722</v>
      </c>
      <c r="J157" s="2" t="s">
        <v>629</v>
      </c>
    </row>
    <row r="158" customFormat="false" ht="15" hidden="false" customHeight="false" outlineLevel="0" collapsed="false">
      <c r="A158" s="2" t="s">
        <v>536</v>
      </c>
      <c r="B158" s="2" t="s">
        <v>96</v>
      </c>
      <c r="C158" s="4" t="n">
        <v>1</v>
      </c>
      <c r="D158" s="2" t="s">
        <v>437</v>
      </c>
      <c r="E158" s="2" t="s">
        <v>375</v>
      </c>
      <c r="F158" s="21" t="n">
        <v>45705.6916944445</v>
      </c>
      <c r="G158" s="21" t="n">
        <v>45706.6408784722</v>
      </c>
      <c r="H158" s="10" t="n">
        <v>6.78041666666667</v>
      </c>
      <c r="I158" s="15" t="n">
        <v>45720</v>
      </c>
      <c r="J158" s="2" t="s">
        <v>629</v>
      </c>
    </row>
    <row r="159" customFormat="false" ht="15" hidden="false" customHeight="false" outlineLevel="0" collapsed="false">
      <c r="A159" s="2" t="s">
        <v>536</v>
      </c>
      <c r="B159" s="2" t="s">
        <v>96</v>
      </c>
      <c r="C159" s="4" t="n">
        <v>2</v>
      </c>
      <c r="D159" s="2" t="s">
        <v>441</v>
      </c>
      <c r="E159" s="2" t="s">
        <v>380</v>
      </c>
      <c r="F159" s="21" t="n">
        <v>45707.4278055556</v>
      </c>
      <c r="G159" s="21" t="n">
        <v>45707.4638888889</v>
      </c>
      <c r="H159" s="10" t="n">
        <v>0.866</v>
      </c>
      <c r="I159" s="15" t="n">
        <v>45720</v>
      </c>
      <c r="J159" s="2" t="s">
        <v>629</v>
      </c>
    </row>
    <row r="160" customFormat="false" ht="15" hidden="false" customHeight="false" outlineLevel="0" collapsed="false">
      <c r="A160" s="2" t="s">
        <v>536</v>
      </c>
      <c r="B160" s="2" t="s">
        <v>96</v>
      </c>
      <c r="C160" s="4" t="n">
        <v>3</v>
      </c>
      <c r="D160" s="2" t="s">
        <v>386</v>
      </c>
      <c r="E160" s="2" t="s">
        <v>383</v>
      </c>
      <c r="F160" s="21" t="n">
        <v>45709.4591944445</v>
      </c>
      <c r="G160" s="21" t="n">
        <v>45712.4585</v>
      </c>
      <c r="H160" s="10" t="n">
        <v>7.98333333333333</v>
      </c>
      <c r="I160" s="15" t="n">
        <v>45720</v>
      </c>
      <c r="J160" s="2" t="s">
        <v>629</v>
      </c>
    </row>
    <row r="161" customFormat="false" ht="15" hidden="false" customHeight="false" outlineLevel="0" collapsed="false">
      <c r="A161" s="2" t="s">
        <v>536</v>
      </c>
      <c r="B161" s="2" t="s">
        <v>96</v>
      </c>
      <c r="C161" s="4" t="n">
        <v>4</v>
      </c>
      <c r="D161" s="2" t="s">
        <v>390</v>
      </c>
      <c r="E161" s="2" t="s">
        <v>387</v>
      </c>
      <c r="F161" s="21" t="n">
        <v>45713.3841944444</v>
      </c>
      <c r="G161" s="21" t="n">
        <v>45714.7036388889</v>
      </c>
      <c r="H161" s="10" t="n">
        <v>14.6666666666667</v>
      </c>
      <c r="I161" s="15" t="n">
        <v>45720</v>
      </c>
      <c r="J161" s="2" t="s">
        <v>629</v>
      </c>
    </row>
    <row r="162" customFormat="false" ht="15" hidden="false" customHeight="false" outlineLevel="0" collapsed="false">
      <c r="A162" s="2" t="s">
        <v>536</v>
      </c>
      <c r="B162" s="2" t="s">
        <v>96</v>
      </c>
      <c r="C162" s="4" t="n">
        <v>5</v>
      </c>
      <c r="D162" s="2" t="s">
        <v>442</v>
      </c>
      <c r="E162" s="2" t="s">
        <v>391</v>
      </c>
      <c r="F162" s="21" t="n">
        <v>45715.38475</v>
      </c>
      <c r="G162" s="21" t="n">
        <v>45715.4189166667</v>
      </c>
      <c r="H162" s="10" t="n">
        <v>0.82</v>
      </c>
      <c r="I162" s="15" t="n">
        <v>45720</v>
      </c>
      <c r="J162" s="2" t="s">
        <v>629</v>
      </c>
    </row>
    <row r="163" customFormat="false" ht="15" hidden="false" customHeight="false" outlineLevel="0" collapsed="false">
      <c r="A163" s="2" t="s">
        <v>536</v>
      </c>
      <c r="B163" s="2" t="s">
        <v>96</v>
      </c>
      <c r="C163" s="4" t="n">
        <v>6</v>
      </c>
      <c r="D163" s="2" t="s">
        <v>443</v>
      </c>
      <c r="E163" s="2" t="s">
        <v>395</v>
      </c>
      <c r="F163" s="21" t="n">
        <v>45716.4680833333</v>
      </c>
      <c r="G163" s="21" t="n">
        <v>45716.67225</v>
      </c>
      <c r="H163" s="10" t="n">
        <v>3.9</v>
      </c>
      <c r="I163" s="15" t="n">
        <v>45720</v>
      </c>
      <c r="J163" s="2" t="s">
        <v>629</v>
      </c>
    </row>
    <row r="164" customFormat="false" ht="15" hidden="false" customHeight="false" outlineLevel="0" collapsed="false">
      <c r="A164" s="2" t="s">
        <v>536</v>
      </c>
      <c r="B164" s="2" t="s">
        <v>96</v>
      </c>
      <c r="C164" s="4" t="n">
        <v>7</v>
      </c>
      <c r="D164" s="2" t="s">
        <v>444</v>
      </c>
      <c r="E164" s="2" t="s">
        <v>399</v>
      </c>
      <c r="F164" s="21" t="n">
        <v>45719.4102833333</v>
      </c>
      <c r="G164" s="21" t="n">
        <v>45719.5877127778</v>
      </c>
      <c r="H164" s="10" t="n">
        <v>3.25830666666667</v>
      </c>
      <c r="I164" s="15" t="n">
        <v>45720</v>
      </c>
      <c r="J164" s="2" t="s">
        <v>629</v>
      </c>
    </row>
    <row r="165" customFormat="false" ht="15" hidden="false" customHeight="false" outlineLevel="0" collapsed="false">
      <c r="A165" s="2" t="s">
        <v>536</v>
      </c>
      <c r="B165" s="2" t="s">
        <v>96</v>
      </c>
      <c r="C165" s="4" t="n">
        <v>8</v>
      </c>
      <c r="D165" s="2" t="s">
        <v>445</v>
      </c>
      <c r="E165" s="2" t="s">
        <v>402</v>
      </c>
      <c r="F165" s="21" t="n">
        <v>45719.5877127778</v>
      </c>
      <c r="G165" s="21" t="n">
        <v>45719.6317266667</v>
      </c>
      <c r="H165" s="10" t="n">
        <v>1.05633333333333</v>
      </c>
      <c r="I165" s="15" t="n">
        <v>45720</v>
      </c>
      <c r="J165" s="2" t="s">
        <v>629</v>
      </c>
    </row>
    <row r="166" customFormat="false" ht="15" hidden="false" customHeight="false" outlineLevel="0" collapsed="false">
      <c r="A166" s="2" t="s">
        <v>536</v>
      </c>
      <c r="B166" s="2" t="s">
        <v>96</v>
      </c>
      <c r="C166" s="4" t="n">
        <v>9</v>
      </c>
      <c r="D166" s="2" t="s">
        <v>447</v>
      </c>
      <c r="E166" s="2" t="s">
        <v>421</v>
      </c>
      <c r="F166" s="21" t="n">
        <v>45719.6317266667</v>
      </c>
      <c r="G166" s="21" t="n">
        <v>45719.6629766667</v>
      </c>
      <c r="H166" s="10" t="n">
        <v>0.75</v>
      </c>
      <c r="I166" s="15" t="n">
        <v>45720</v>
      </c>
      <c r="J166" s="2" t="s">
        <v>629</v>
      </c>
    </row>
    <row r="167" customFormat="false" ht="15" hidden="false" customHeight="false" outlineLevel="0" collapsed="false">
      <c r="A167" s="2" t="s">
        <v>536</v>
      </c>
      <c r="B167" s="2" t="s">
        <v>96</v>
      </c>
      <c r="C167" s="4" t="n">
        <v>10</v>
      </c>
      <c r="D167" s="2" t="s">
        <v>449</v>
      </c>
      <c r="E167" s="2" t="s">
        <v>423</v>
      </c>
      <c r="F167" s="21" t="n">
        <v>45719.6629766667</v>
      </c>
      <c r="G167" s="21" t="n">
        <v>45719.6808794444</v>
      </c>
      <c r="H167" s="10" t="n">
        <v>0.429666666666667</v>
      </c>
      <c r="I167" s="15" t="n">
        <v>45720</v>
      </c>
      <c r="J167" s="2" t="s">
        <v>629</v>
      </c>
    </row>
    <row r="168" customFormat="false" ht="15" hidden="false" customHeight="false" outlineLevel="0" collapsed="false">
      <c r="A168" s="2" t="s">
        <v>536</v>
      </c>
      <c r="B168" s="2" t="s">
        <v>96</v>
      </c>
      <c r="C168" s="4" t="n">
        <v>11</v>
      </c>
      <c r="D168" s="2" t="s">
        <v>450</v>
      </c>
      <c r="E168" s="2" t="s">
        <v>406</v>
      </c>
      <c r="F168" s="21" t="n">
        <v>45721.4502277778</v>
      </c>
      <c r="G168" s="21" t="n">
        <v>45722.3580402778</v>
      </c>
      <c r="H168" s="10" t="n">
        <v>5.7875</v>
      </c>
      <c r="I168" s="15" t="n">
        <v>45720</v>
      </c>
      <c r="J168" s="2" t="s">
        <v>629</v>
      </c>
    </row>
    <row r="169" customFormat="false" ht="15" hidden="false" customHeight="false" outlineLevel="0" collapsed="false">
      <c r="A169" s="2" t="s">
        <v>536</v>
      </c>
      <c r="B169" s="2" t="s">
        <v>96</v>
      </c>
      <c r="C169" s="4" t="n">
        <v>12</v>
      </c>
      <c r="D169" s="2" t="s">
        <v>451</v>
      </c>
      <c r="E169" s="2" t="s">
        <v>408</v>
      </c>
      <c r="F169" s="21" t="n">
        <v>45722.3580402778</v>
      </c>
      <c r="G169" s="21" t="n">
        <v>45722.3772694444</v>
      </c>
      <c r="H169" s="10" t="n">
        <v>0.4615</v>
      </c>
      <c r="I169" s="15" t="n">
        <v>45720</v>
      </c>
      <c r="J169" s="2" t="s">
        <v>629</v>
      </c>
    </row>
    <row r="170" customFormat="false" ht="15" hidden="false" customHeight="false" outlineLevel="0" collapsed="false">
      <c r="A170" s="2" t="s">
        <v>536</v>
      </c>
      <c r="B170" s="2" t="s">
        <v>96</v>
      </c>
      <c r="C170" s="4" t="n">
        <v>13</v>
      </c>
      <c r="D170" s="2" t="s">
        <v>452</v>
      </c>
      <c r="E170" s="2" t="s">
        <v>411</v>
      </c>
      <c r="F170" s="21" t="n">
        <v>45722.3772694444</v>
      </c>
      <c r="G170" s="21" t="n">
        <v>45722.4029638889</v>
      </c>
      <c r="H170" s="10" t="n">
        <v>0.616666666666667</v>
      </c>
      <c r="I170" s="15" t="n">
        <v>45720</v>
      </c>
      <c r="J170" s="2" t="s">
        <v>629</v>
      </c>
    </row>
    <row r="171" customFormat="false" ht="15" hidden="false" customHeight="false" outlineLevel="0" collapsed="false">
      <c r="A171" s="2" t="s">
        <v>538</v>
      </c>
      <c r="B171" s="2" t="s">
        <v>108</v>
      </c>
      <c r="C171" s="4" t="n">
        <v>1</v>
      </c>
      <c r="D171" s="2" t="s">
        <v>437</v>
      </c>
      <c r="E171" s="2" t="s">
        <v>375</v>
      </c>
      <c r="F171" s="21" t="n">
        <v>45706.6408784722</v>
      </c>
      <c r="G171" s="21" t="n">
        <v>45707.5511840278</v>
      </c>
      <c r="H171" s="10" t="n">
        <v>5.84733333333333</v>
      </c>
      <c r="I171" s="15" t="n">
        <v>45719</v>
      </c>
      <c r="J171" s="2" t="s">
        <v>629</v>
      </c>
    </row>
    <row r="172" customFormat="false" ht="15" hidden="false" customHeight="false" outlineLevel="0" collapsed="false">
      <c r="A172" s="2" t="s">
        <v>538</v>
      </c>
      <c r="B172" s="2" t="s">
        <v>108</v>
      </c>
      <c r="C172" s="4" t="n">
        <v>2</v>
      </c>
      <c r="D172" s="2" t="s">
        <v>386</v>
      </c>
      <c r="E172" s="2" t="s">
        <v>383</v>
      </c>
      <c r="F172" s="21" t="n">
        <v>45712.4585</v>
      </c>
      <c r="G172" s="21" t="n">
        <v>45712.6196111111</v>
      </c>
      <c r="H172" s="10" t="n">
        <v>2.86666666666667</v>
      </c>
      <c r="I172" s="15" t="n">
        <v>45719</v>
      </c>
      <c r="J172" s="2" t="s">
        <v>629</v>
      </c>
    </row>
    <row r="173" customFormat="false" ht="15" hidden="false" customHeight="false" outlineLevel="0" collapsed="false">
      <c r="A173" s="2" t="s">
        <v>538</v>
      </c>
      <c r="B173" s="2" t="s">
        <v>108</v>
      </c>
      <c r="C173" s="4" t="n">
        <v>3</v>
      </c>
      <c r="D173" s="2" t="s">
        <v>390</v>
      </c>
      <c r="E173" s="2" t="s">
        <v>387</v>
      </c>
      <c r="F173" s="21" t="n">
        <v>45714.7036388889</v>
      </c>
      <c r="G173" s="21" t="n">
        <v>45716.6661388889</v>
      </c>
      <c r="H173" s="10" t="n">
        <v>15.1</v>
      </c>
      <c r="I173" s="15" t="n">
        <v>45719</v>
      </c>
      <c r="J173" s="2" t="s">
        <v>629</v>
      </c>
    </row>
    <row r="174" customFormat="false" ht="15" hidden="false" customHeight="false" outlineLevel="0" collapsed="false">
      <c r="A174" s="2" t="s">
        <v>538</v>
      </c>
      <c r="B174" s="2" t="s">
        <v>108</v>
      </c>
      <c r="C174" s="4" t="n">
        <v>4</v>
      </c>
      <c r="D174" s="2" t="s">
        <v>443</v>
      </c>
      <c r="E174" s="2" t="s">
        <v>395</v>
      </c>
      <c r="F174" s="21" t="n">
        <v>45716.67225</v>
      </c>
      <c r="G174" s="21" t="n">
        <v>45719.4055833333</v>
      </c>
      <c r="H174" s="10" t="n">
        <v>2.6</v>
      </c>
      <c r="I174" s="15" t="n">
        <v>45719</v>
      </c>
      <c r="J174" s="2" t="s">
        <v>629</v>
      </c>
    </row>
    <row r="175" customFormat="false" ht="15" hidden="false" customHeight="false" outlineLevel="0" collapsed="false">
      <c r="A175" s="2" t="s">
        <v>538</v>
      </c>
      <c r="B175" s="2" t="s">
        <v>108</v>
      </c>
      <c r="C175" s="4" t="n">
        <v>5</v>
      </c>
      <c r="D175" s="2" t="s">
        <v>444</v>
      </c>
      <c r="E175" s="2" t="s">
        <v>399</v>
      </c>
      <c r="F175" s="21" t="n">
        <v>45719.5877127778</v>
      </c>
      <c r="G175" s="21" t="n">
        <v>45720.3732461111</v>
      </c>
      <c r="H175" s="10" t="n">
        <v>3.8528</v>
      </c>
      <c r="I175" s="15" t="n">
        <v>45719</v>
      </c>
      <c r="J175" s="2" t="s">
        <v>629</v>
      </c>
    </row>
    <row r="176" customFormat="false" ht="15" hidden="false" customHeight="false" outlineLevel="0" collapsed="false">
      <c r="A176" s="2" t="s">
        <v>538</v>
      </c>
      <c r="B176" s="2" t="s">
        <v>108</v>
      </c>
      <c r="C176" s="4" t="n">
        <v>6</v>
      </c>
      <c r="D176" s="2" t="s">
        <v>445</v>
      </c>
      <c r="E176" s="2" t="s">
        <v>402</v>
      </c>
      <c r="F176" s="21" t="n">
        <v>45720.3732461111</v>
      </c>
      <c r="G176" s="21" t="n">
        <v>45720.4100377778</v>
      </c>
      <c r="H176" s="10" t="n">
        <v>0.883</v>
      </c>
      <c r="I176" s="15" t="n">
        <v>45719</v>
      </c>
      <c r="J176" s="2" t="s">
        <v>629</v>
      </c>
    </row>
    <row r="177" customFormat="false" ht="15" hidden="false" customHeight="false" outlineLevel="0" collapsed="false">
      <c r="A177" s="2" t="s">
        <v>538</v>
      </c>
      <c r="B177" s="2" t="s">
        <v>108</v>
      </c>
      <c r="C177" s="4" t="n">
        <v>7</v>
      </c>
      <c r="D177" s="2" t="s">
        <v>447</v>
      </c>
      <c r="E177" s="2" t="s">
        <v>421</v>
      </c>
      <c r="F177" s="21" t="n">
        <v>45720.4100377778</v>
      </c>
      <c r="G177" s="21" t="n">
        <v>45720.4412877778</v>
      </c>
      <c r="H177" s="10" t="n">
        <v>0.75</v>
      </c>
      <c r="I177" s="15" t="n">
        <v>45719</v>
      </c>
      <c r="J177" s="2" t="s">
        <v>629</v>
      </c>
    </row>
    <row r="178" customFormat="false" ht="15" hidden="false" customHeight="false" outlineLevel="0" collapsed="false">
      <c r="A178" s="2" t="s">
        <v>538</v>
      </c>
      <c r="B178" s="2" t="s">
        <v>108</v>
      </c>
      <c r="C178" s="4" t="n">
        <v>8</v>
      </c>
      <c r="D178" s="2" t="s">
        <v>449</v>
      </c>
      <c r="E178" s="2" t="s">
        <v>423</v>
      </c>
      <c r="F178" s="21" t="n">
        <v>45720.4412877778</v>
      </c>
      <c r="G178" s="21" t="n">
        <v>45720.4569266667</v>
      </c>
      <c r="H178" s="10" t="n">
        <v>0.375333333333333</v>
      </c>
      <c r="I178" s="15" t="n">
        <v>45719</v>
      </c>
      <c r="J178" s="2" t="s">
        <v>629</v>
      </c>
    </row>
    <row r="179" customFormat="false" ht="15" hidden="false" customHeight="false" outlineLevel="0" collapsed="false">
      <c r="A179" s="2" t="s">
        <v>538</v>
      </c>
      <c r="B179" s="2" t="s">
        <v>108</v>
      </c>
      <c r="C179" s="4" t="n">
        <v>9</v>
      </c>
      <c r="D179" s="2" t="s">
        <v>450</v>
      </c>
      <c r="E179" s="2" t="s">
        <v>406</v>
      </c>
      <c r="F179" s="21" t="n">
        <v>45722.3580402778</v>
      </c>
      <c r="G179" s="21" t="n">
        <v>45722.6382486111</v>
      </c>
      <c r="H179" s="10" t="n">
        <v>5.725</v>
      </c>
      <c r="I179" s="15" t="n">
        <v>45719</v>
      </c>
      <c r="J179" s="2" t="s">
        <v>629</v>
      </c>
    </row>
    <row r="180" customFormat="false" ht="15" hidden="false" customHeight="false" outlineLevel="0" collapsed="false">
      <c r="A180" s="2" t="s">
        <v>538</v>
      </c>
      <c r="B180" s="2" t="s">
        <v>108</v>
      </c>
      <c r="C180" s="4" t="n">
        <v>10</v>
      </c>
      <c r="D180" s="2" t="s">
        <v>451</v>
      </c>
      <c r="E180" s="2" t="s">
        <v>408</v>
      </c>
      <c r="F180" s="21" t="n">
        <v>45722.6382486111</v>
      </c>
      <c r="G180" s="21" t="n">
        <v>45722.6543041667</v>
      </c>
      <c r="H180" s="10" t="n">
        <v>0.385333333333333</v>
      </c>
      <c r="I180" s="15" t="n">
        <v>45719</v>
      </c>
      <c r="J180" s="2" t="s">
        <v>629</v>
      </c>
    </row>
    <row r="181" customFormat="false" ht="15" hidden="false" customHeight="false" outlineLevel="0" collapsed="false">
      <c r="A181" s="2" t="s">
        <v>538</v>
      </c>
      <c r="B181" s="2" t="s">
        <v>108</v>
      </c>
      <c r="C181" s="4" t="n">
        <v>11</v>
      </c>
      <c r="D181" s="2" t="s">
        <v>452</v>
      </c>
      <c r="E181" s="2" t="s">
        <v>411</v>
      </c>
      <c r="F181" s="21" t="n">
        <v>45722.6543041667</v>
      </c>
      <c r="G181" s="21" t="n">
        <v>45722.6756097222</v>
      </c>
      <c r="H181" s="10" t="n">
        <v>0.511333333333333</v>
      </c>
      <c r="I181" s="15" t="n">
        <v>45719</v>
      </c>
      <c r="J181" s="2" t="s">
        <v>629</v>
      </c>
    </row>
    <row r="182" customFormat="false" ht="15" hidden="false" customHeight="false" outlineLevel="0" collapsed="false">
      <c r="A182" s="2" t="s">
        <v>540</v>
      </c>
      <c r="B182" s="2" t="s">
        <v>121</v>
      </c>
      <c r="C182" s="4" t="n">
        <v>1</v>
      </c>
      <c r="D182" s="2" t="s">
        <v>437</v>
      </c>
      <c r="E182" s="2" t="s">
        <v>375</v>
      </c>
      <c r="F182" s="21" t="n">
        <v>45707.5511840278</v>
      </c>
      <c r="G182" s="21" t="n">
        <v>45708.4311840278</v>
      </c>
      <c r="H182" s="10" t="n">
        <v>6.12</v>
      </c>
      <c r="I182" s="15" t="n">
        <v>45720</v>
      </c>
      <c r="J182" s="2" t="s">
        <v>629</v>
      </c>
    </row>
    <row r="183" customFormat="false" ht="15" hidden="false" customHeight="false" outlineLevel="0" collapsed="false">
      <c r="A183" s="2" t="s">
        <v>540</v>
      </c>
      <c r="B183" s="2" t="s">
        <v>121</v>
      </c>
      <c r="C183" s="4" t="n">
        <v>2</v>
      </c>
      <c r="D183" s="2" t="s">
        <v>441</v>
      </c>
      <c r="E183" s="2" t="s">
        <v>380</v>
      </c>
      <c r="F183" s="21" t="n">
        <v>45708.4311840278</v>
      </c>
      <c r="G183" s="21" t="n">
        <v>45708.7025729167</v>
      </c>
      <c r="H183" s="10" t="n">
        <v>5.51333333333333</v>
      </c>
      <c r="I183" s="15" t="n">
        <v>45720</v>
      </c>
      <c r="J183" s="2" t="s">
        <v>629</v>
      </c>
    </row>
    <row r="184" customFormat="false" ht="15" hidden="false" customHeight="false" outlineLevel="0" collapsed="false">
      <c r="A184" s="2" t="s">
        <v>540</v>
      </c>
      <c r="B184" s="2" t="s">
        <v>121</v>
      </c>
      <c r="C184" s="4" t="n">
        <v>3</v>
      </c>
      <c r="D184" s="2" t="s">
        <v>386</v>
      </c>
      <c r="E184" s="2" t="s">
        <v>383</v>
      </c>
      <c r="F184" s="21" t="n">
        <v>45712.6196111111</v>
      </c>
      <c r="G184" s="21" t="n">
        <v>45713.6737777778</v>
      </c>
      <c r="H184" s="10" t="n">
        <v>9.3</v>
      </c>
      <c r="I184" s="15" t="n">
        <v>45720</v>
      </c>
      <c r="J184" s="2" t="s">
        <v>629</v>
      </c>
    </row>
    <row r="185" customFormat="false" ht="15" hidden="false" customHeight="false" outlineLevel="0" collapsed="false">
      <c r="A185" s="2" t="s">
        <v>540</v>
      </c>
      <c r="B185" s="2" t="s">
        <v>121</v>
      </c>
      <c r="C185" s="4" t="n">
        <v>4</v>
      </c>
      <c r="D185" s="2" t="s">
        <v>390</v>
      </c>
      <c r="E185" s="2" t="s">
        <v>387</v>
      </c>
      <c r="F185" s="21" t="n">
        <v>45716.6661388889</v>
      </c>
      <c r="G185" s="21" t="n">
        <v>45720.5980833333</v>
      </c>
      <c r="H185" s="10" t="n">
        <v>14.3666666666667</v>
      </c>
      <c r="I185" s="15" t="n">
        <v>45720</v>
      </c>
      <c r="J185" s="2" t="s">
        <v>629</v>
      </c>
    </row>
    <row r="186" customFormat="false" ht="15" hidden="false" customHeight="false" outlineLevel="0" collapsed="false">
      <c r="A186" s="2" t="s">
        <v>540</v>
      </c>
      <c r="B186" s="2" t="s">
        <v>121</v>
      </c>
      <c r="C186" s="4" t="n">
        <v>5</v>
      </c>
      <c r="D186" s="2" t="s">
        <v>443</v>
      </c>
      <c r="E186" s="2" t="s">
        <v>395</v>
      </c>
      <c r="F186" s="21" t="n">
        <v>45720.5980833333</v>
      </c>
      <c r="G186" s="21" t="n">
        <v>45721.4855833333</v>
      </c>
      <c r="H186" s="10" t="n">
        <v>6.3</v>
      </c>
      <c r="I186" s="15" t="n">
        <v>45720</v>
      </c>
      <c r="J186" s="2" t="s">
        <v>629</v>
      </c>
    </row>
    <row r="187" customFormat="false" ht="15" hidden="false" customHeight="false" outlineLevel="0" collapsed="false">
      <c r="A187" s="2" t="s">
        <v>540</v>
      </c>
      <c r="B187" s="2" t="s">
        <v>121</v>
      </c>
      <c r="C187" s="4" t="n">
        <v>6</v>
      </c>
      <c r="D187" s="2" t="s">
        <v>444</v>
      </c>
      <c r="E187" s="2" t="s">
        <v>399</v>
      </c>
      <c r="F187" s="21" t="n">
        <v>45721.4855833333</v>
      </c>
      <c r="G187" s="21" t="n">
        <v>45721.7013833333</v>
      </c>
      <c r="H187" s="10" t="n">
        <v>4.1792</v>
      </c>
      <c r="I187" s="15" t="n">
        <v>45720</v>
      </c>
      <c r="J187" s="2" t="s">
        <v>629</v>
      </c>
    </row>
    <row r="188" customFormat="false" ht="15" hidden="false" customHeight="false" outlineLevel="0" collapsed="false">
      <c r="A188" s="2" t="s">
        <v>540</v>
      </c>
      <c r="B188" s="2" t="s">
        <v>121</v>
      </c>
      <c r="C188" s="4" t="n">
        <v>7</v>
      </c>
      <c r="D188" s="2" t="s">
        <v>445</v>
      </c>
      <c r="E188" s="2" t="s">
        <v>402</v>
      </c>
      <c r="F188" s="21" t="n">
        <v>45721.7013833333</v>
      </c>
      <c r="G188" s="21" t="n">
        <v>45722.3804111111</v>
      </c>
      <c r="H188" s="10" t="n">
        <v>1.29666666666667</v>
      </c>
      <c r="I188" s="15" t="n">
        <v>45720</v>
      </c>
      <c r="J188" s="2" t="s">
        <v>629</v>
      </c>
    </row>
    <row r="189" customFormat="false" ht="15" hidden="false" customHeight="false" outlineLevel="0" collapsed="false">
      <c r="A189" s="2" t="s">
        <v>540</v>
      </c>
      <c r="B189" s="2" t="s">
        <v>121</v>
      </c>
      <c r="C189" s="4" t="n">
        <v>8</v>
      </c>
      <c r="D189" s="2" t="s">
        <v>447</v>
      </c>
      <c r="E189" s="2" t="s">
        <v>421</v>
      </c>
      <c r="F189" s="21" t="n">
        <v>45722.3804111111</v>
      </c>
      <c r="G189" s="21" t="n">
        <v>45722.4116611111</v>
      </c>
      <c r="H189" s="10" t="n">
        <v>0.75</v>
      </c>
      <c r="I189" s="15" t="n">
        <v>45720</v>
      </c>
      <c r="J189" s="2" t="s">
        <v>629</v>
      </c>
    </row>
    <row r="190" customFormat="false" ht="15" hidden="false" customHeight="false" outlineLevel="0" collapsed="false">
      <c r="A190" s="2" t="s">
        <v>540</v>
      </c>
      <c r="B190" s="2" t="s">
        <v>121</v>
      </c>
      <c r="C190" s="4" t="n">
        <v>9</v>
      </c>
      <c r="D190" s="2" t="s">
        <v>449</v>
      </c>
      <c r="E190" s="2" t="s">
        <v>423</v>
      </c>
      <c r="F190" s="21" t="n">
        <v>45722.4116611111</v>
      </c>
      <c r="G190" s="21" t="n">
        <v>45722.4336055556</v>
      </c>
      <c r="H190" s="10" t="n">
        <v>0.526666666666667</v>
      </c>
      <c r="I190" s="15" t="n">
        <v>45720</v>
      </c>
      <c r="J190" s="2" t="s">
        <v>629</v>
      </c>
    </row>
    <row r="191" customFormat="false" ht="15" hidden="false" customHeight="false" outlineLevel="0" collapsed="false">
      <c r="A191" s="2" t="s">
        <v>540</v>
      </c>
      <c r="B191" s="2" t="s">
        <v>121</v>
      </c>
      <c r="C191" s="4" t="n">
        <v>10</v>
      </c>
      <c r="D191" s="2" t="s">
        <v>450</v>
      </c>
      <c r="E191" s="2" t="s">
        <v>406</v>
      </c>
      <c r="F191" s="21" t="n">
        <v>45722.6382486111</v>
      </c>
      <c r="G191" s="21" t="n">
        <v>45726.3611652778</v>
      </c>
      <c r="H191" s="10" t="n">
        <v>10.35</v>
      </c>
      <c r="I191" s="15" t="n">
        <v>45720</v>
      </c>
      <c r="J191" s="2" t="s">
        <v>629</v>
      </c>
    </row>
    <row r="192" customFormat="false" ht="15" hidden="false" customHeight="false" outlineLevel="0" collapsed="false">
      <c r="A192" s="2" t="s">
        <v>540</v>
      </c>
      <c r="B192" s="2" t="s">
        <v>121</v>
      </c>
      <c r="C192" s="4" t="n">
        <v>11</v>
      </c>
      <c r="D192" s="2" t="s">
        <v>451</v>
      </c>
      <c r="E192" s="2" t="s">
        <v>408</v>
      </c>
      <c r="F192" s="21" t="n">
        <v>45726.3611652778</v>
      </c>
      <c r="G192" s="21" t="n">
        <v>45726.3865125</v>
      </c>
      <c r="H192" s="10" t="n">
        <v>0.608333333333333</v>
      </c>
      <c r="I192" s="15" t="n">
        <v>45720</v>
      </c>
      <c r="J192" s="2" t="s">
        <v>629</v>
      </c>
    </row>
    <row r="193" customFormat="false" ht="15" hidden="false" customHeight="false" outlineLevel="0" collapsed="false">
      <c r="A193" s="2" t="s">
        <v>540</v>
      </c>
      <c r="B193" s="2" t="s">
        <v>121</v>
      </c>
      <c r="C193" s="4" t="n">
        <v>12</v>
      </c>
      <c r="D193" s="2" t="s">
        <v>452</v>
      </c>
      <c r="E193" s="2" t="s">
        <v>411</v>
      </c>
      <c r="F193" s="21" t="n">
        <v>45726.3865125</v>
      </c>
      <c r="G193" s="21" t="n">
        <v>45726.4203319444</v>
      </c>
      <c r="H193" s="10" t="n">
        <v>0.811666666666667</v>
      </c>
      <c r="I193" s="15" t="n">
        <v>45720</v>
      </c>
      <c r="J193" s="2" t="s">
        <v>629</v>
      </c>
    </row>
    <row r="194" customFormat="false" ht="15" hidden="false" customHeight="false" outlineLevel="0" collapsed="false">
      <c r="A194" s="2" t="s">
        <v>541</v>
      </c>
      <c r="B194" s="2" t="s">
        <v>80</v>
      </c>
      <c r="C194" s="4" t="n">
        <v>1</v>
      </c>
      <c r="D194" s="2" t="s">
        <v>437</v>
      </c>
      <c r="E194" s="2" t="s">
        <v>375</v>
      </c>
      <c r="F194" s="21" t="n">
        <v>45719.3333333333</v>
      </c>
      <c r="G194" s="21" t="n">
        <v>45719.6746111111</v>
      </c>
      <c r="H194" s="10" t="n">
        <v>7.19066666666667</v>
      </c>
      <c r="I194" s="15" t="n">
        <v>45736</v>
      </c>
      <c r="J194" s="2" t="s">
        <v>629</v>
      </c>
    </row>
    <row r="195" customFormat="false" ht="15" hidden="false" customHeight="false" outlineLevel="0" collapsed="false">
      <c r="A195" s="2" t="s">
        <v>541</v>
      </c>
      <c r="B195" s="2" t="s">
        <v>80</v>
      </c>
      <c r="C195" s="4" t="n">
        <v>2</v>
      </c>
      <c r="D195" s="2" t="s">
        <v>441</v>
      </c>
      <c r="E195" s="2" t="s">
        <v>380</v>
      </c>
      <c r="F195" s="21" t="n">
        <v>45719.6746111111</v>
      </c>
      <c r="G195" s="21" t="n">
        <v>45721.3400555556</v>
      </c>
      <c r="H195" s="10" t="n">
        <v>8.97066666666667</v>
      </c>
      <c r="I195" s="15" t="n">
        <v>45736</v>
      </c>
      <c r="J195" s="2" t="s">
        <v>629</v>
      </c>
    </row>
    <row r="196" customFormat="false" ht="15" hidden="false" customHeight="false" outlineLevel="0" collapsed="false">
      <c r="A196" s="2" t="s">
        <v>541</v>
      </c>
      <c r="B196" s="2" t="s">
        <v>80</v>
      </c>
      <c r="C196" s="4" t="n">
        <v>3</v>
      </c>
      <c r="D196" s="2" t="s">
        <v>386</v>
      </c>
      <c r="E196" s="2" t="s">
        <v>383</v>
      </c>
      <c r="F196" s="21" t="n">
        <v>45721.3400555556</v>
      </c>
      <c r="G196" s="21" t="n">
        <v>45722.5889444445</v>
      </c>
      <c r="H196" s="10" t="n">
        <v>12.9733333333333</v>
      </c>
      <c r="I196" s="15" t="n">
        <v>45736</v>
      </c>
      <c r="J196" s="2" t="s">
        <v>629</v>
      </c>
    </row>
    <row r="197" customFormat="false" ht="15" hidden="false" customHeight="false" outlineLevel="0" collapsed="false">
      <c r="A197" s="2" t="s">
        <v>541</v>
      </c>
      <c r="B197" s="2" t="s">
        <v>80</v>
      </c>
      <c r="C197" s="4" t="n">
        <v>4</v>
      </c>
      <c r="D197" s="2" t="s">
        <v>390</v>
      </c>
      <c r="E197" s="2" t="s">
        <v>387</v>
      </c>
      <c r="F197" s="21" t="n">
        <v>45722.5889444445</v>
      </c>
      <c r="G197" s="21" t="n">
        <v>45726.3972777778</v>
      </c>
      <c r="H197" s="10" t="n">
        <v>12.4</v>
      </c>
      <c r="I197" s="15" t="n">
        <v>45736</v>
      </c>
      <c r="J197" s="2" t="s">
        <v>629</v>
      </c>
    </row>
    <row r="198" customFormat="false" ht="15" hidden="false" customHeight="false" outlineLevel="0" collapsed="false">
      <c r="A198" s="2" t="s">
        <v>541</v>
      </c>
      <c r="B198" s="2" t="s">
        <v>80</v>
      </c>
      <c r="C198" s="4" t="n">
        <v>5</v>
      </c>
      <c r="D198" s="2" t="s">
        <v>442</v>
      </c>
      <c r="E198" s="2" t="s">
        <v>391</v>
      </c>
      <c r="F198" s="21" t="n">
        <v>45726.3972777778</v>
      </c>
      <c r="G198" s="21" t="n">
        <v>45728.3978333333</v>
      </c>
      <c r="H198" s="10" t="n">
        <v>16.0133333333333</v>
      </c>
      <c r="I198" s="15" t="n">
        <v>45736</v>
      </c>
      <c r="J198" s="2" t="s">
        <v>629</v>
      </c>
    </row>
    <row r="199" customFormat="false" ht="15" hidden="false" customHeight="false" outlineLevel="0" collapsed="false">
      <c r="A199" s="2" t="s">
        <v>541</v>
      </c>
      <c r="B199" s="2" t="s">
        <v>80</v>
      </c>
      <c r="C199" s="4" t="n">
        <v>6</v>
      </c>
      <c r="D199" s="2" t="s">
        <v>443</v>
      </c>
      <c r="E199" s="2" t="s">
        <v>395</v>
      </c>
      <c r="F199" s="21" t="n">
        <v>45728.3978333333</v>
      </c>
      <c r="G199" s="21" t="n">
        <v>45729.4186666667</v>
      </c>
      <c r="H199" s="10" t="n">
        <v>8.5</v>
      </c>
      <c r="I199" s="15" t="n">
        <v>45736</v>
      </c>
      <c r="J199" s="2" t="s">
        <v>629</v>
      </c>
    </row>
    <row r="200" customFormat="false" ht="15" hidden="false" customHeight="false" outlineLevel="0" collapsed="false">
      <c r="A200" s="2" t="s">
        <v>541</v>
      </c>
      <c r="B200" s="2" t="s">
        <v>80</v>
      </c>
      <c r="C200" s="4" t="n">
        <v>7</v>
      </c>
      <c r="D200" s="2" t="s">
        <v>444</v>
      </c>
      <c r="E200" s="2" t="s">
        <v>399</v>
      </c>
      <c r="F200" s="21" t="n">
        <v>45729.4186666667</v>
      </c>
      <c r="G200" s="21" t="n">
        <v>45730.3413733333</v>
      </c>
      <c r="H200" s="10" t="n">
        <v>6.14496</v>
      </c>
      <c r="I200" s="15" t="n">
        <v>45736</v>
      </c>
      <c r="J200" s="2" t="s">
        <v>629</v>
      </c>
    </row>
    <row r="201" customFormat="false" ht="15" hidden="false" customHeight="false" outlineLevel="0" collapsed="false">
      <c r="A201" s="2" t="s">
        <v>541</v>
      </c>
      <c r="B201" s="2" t="s">
        <v>80</v>
      </c>
      <c r="C201" s="4" t="n">
        <v>8</v>
      </c>
      <c r="D201" s="2" t="s">
        <v>445</v>
      </c>
      <c r="E201" s="2" t="s">
        <v>402</v>
      </c>
      <c r="F201" s="21" t="n">
        <v>45730.3413733333</v>
      </c>
      <c r="G201" s="21" t="n">
        <v>45730.4248733333</v>
      </c>
      <c r="H201" s="10" t="n">
        <v>2.004</v>
      </c>
      <c r="I201" s="15" t="n">
        <v>45736</v>
      </c>
      <c r="J201" s="2" t="s">
        <v>629</v>
      </c>
    </row>
    <row r="202" customFormat="false" ht="15" hidden="false" customHeight="false" outlineLevel="0" collapsed="false">
      <c r="A202" s="2" t="s">
        <v>541</v>
      </c>
      <c r="B202" s="2" t="s">
        <v>80</v>
      </c>
      <c r="C202" s="4" t="n">
        <v>9</v>
      </c>
      <c r="D202" s="2" t="s">
        <v>447</v>
      </c>
      <c r="E202" s="2" t="s">
        <v>421</v>
      </c>
      <c r="F202" s="21" t="n">
        <v>45730.4248733333</v>
      </c>
      <c r="G202" s="21" t="n">
        <v>45730.4873733333</v>
      </c>
      <c r="H202" s="10" t="n">
        <v>1.5</v>
      </c>
      <c r="I202" s="15" t="n">
        <v>45736</v>
      </c>
      <c r="J202" s="2" t="s">
        <v>629</v>
      </c>
    </row>
    <row r="203" customFormat="false" ht="15" hidden="false" customHeight="false" outlineLevel="0" collapsed="false">
      <c r="A203" s="2" t="s">
        <v>541</v>
      </c>
      <c r="B203" s="2" t="s">
        <v>80</v>
      </c>
      <c r="C203" s="4" t="n">
        <v>10</v>
      </c>
      <c r="D203" s="2" t="s">
        <v>449</v>
      </c>
      <c r="E203" s="2" t="s">
        <v>423</v>
      </c>
      <c r="F203" s="21" t="n">
        <v>45730.4873733333</v>
      </c>
      <c r="G203" s="21" t="n">
        <v>45730.5625677778</v>
      </c>
      <c r="H203" s="10" t="n">
        <v>0.804666666666667</v>
      </c>
      <c r="I203" s="15" t="n">
        <v>45736</v>
      </c>
      <c r="J203" s="2" t="s">
        <v>629</v>
      </c>
    </row>
    <row r="204" customFormat="false" ht="15" hidden="false" customHeight="false" outlineLevel="0" collapsed="false">
      <c r="A204" s="2" t="s">
        <v>541</v>
      </c>
      <c r="B204" s="2" t="s">
        <v>80</v>
      </c>
      <c r="C204" s="4" t="n">
        <v>11</v>
      </c>
      <c r="D204" s="2" t="s">
        <v>450</v>
      </c>
      <c r="E204" s="2" t="s">
        <v>406</v>
      </c>
      <c r="F204" s="21" t="n">
        <v>45730.5625677778</v>
      </c>
      <c r="G204" s="21" t="n">
        <v>45734.3625677778</v>
      </c>
      <c r="H204" s="10" t="n">
        <v>12.2</v>
      </c>
      <c r="I204" s="15" t="n">
        <v>45736</v>
      </c>
      <c r="J204" s="2" t="s">
        <v>629</v>
      </c>
    </row>
    <row r="205" customFormat="false" ht="15" hidden="false" customHeight="false" outlineLevel="0" collapsed="false">
      <c r="A205" s="2" t="s">
        <v>541</v>
      </c>
      <c r="B205" s="2" t="s">
        <v>80</v>
      </c>
      <c r="C205" s="4" t="n">
        <v>12</v>
      </c>
      <c r="D205" s="2" t="s">
        <v>451</v>
      </c>
      <c r="E205" s="2" t="s">
        <v>408</v>
      </c>
      <c r="F205" s="21" t="n">
        <v>45734.3625677778</v>
      </c>
      <c r="G205" s="21" t="n">
        <v>45734.3975122222</v>
      </c>
      <c r="H205" s="10" t="n">
        <v>0.838666666666667</v>
      </c>
      <c r="I205" s="15" t="n">
        <v>45736</v>
      </c>
      <c r="J205" s="2" t="s">
        <v>629</v>
      </c>
    </row>
    <row r="206" customFormat="false" ht="15" hidden="false" customHeight="false" outlineLevel="0" collapsed="false">
      <c r="A206" s="2" t="s">
        <v>541</v>
      </c>
      <c r="B206" s="2" t="s">
        <v>80</v>
      </c>
      <c r="C206" s="4" t="n">
        <v>13</v>
      </c>
      <c r="D206" s="2" t="s">
        <v>452</v>
      </c>
      <c r="E206" s="2" t="s">
        <v>411</v>
      </c>
      <c r="F206" s="21" t="n">
        <v>45734.3975122222</v>
      </c>
      <c r="G206" s="21" t="n">
        <v>45734.4444566667</v>
      </c>
      <c r="H206" s="10" t="n">
        <v>1.12666666666667</v>
      </c>
      <c r="I206" s="15" t="n">
        <v>45736</v>
      </c>
      <c r="J206" s="2" t="s">
        <v>629</v>
      </c>
    </row>
    <row r="207" customFormat="false" ht="15" hidden="false" customHeight="false" outlineLevel="0" collapsed="false">
      <c r="A207" s="2" t="s">
        <v>543</v>
      </c>
      <c r="B207" s="2" t="s">
        <v>94</v>
      </c>
      <c r="C207" s="4" t="n">
        <v>1</v>
      </c>
      <c r="D207" s="2" t="s">
        <v>437</v>
      </c>
      <c r="E207" s="2" t="s">
        <v>375</v>
      </c>
      <c r="F207" s="21" t="n">
        <v>45719.6746111111</v>
      </c>
      <c r="G207" s="21" t="n">
        <v>45721.3484166667</v>
      </c>
      <c r="H207" s="10" t="n">
        <v>9.17133333333333</v>
      </c>
      <c r="I207" s="15" t="n">
        <v>45734</v>
      </c>
      <c r="J207" s="2" t="s">
        <v>629</v>
      </c>
    </row>
    <row r="208" customFormat="false" ht="15" hidden="false" customHeight="false" outlineLevel="0" collapsed="false">
      <c r="A208" s="2" t="s">
        <v>543</v>
      </c>
      <c r="B208" s="2" t="s">
        <v>94</v>
      </c>
      <c r="C208" s="4" t="n">
        <v>2</v>
      </c>
      <c r="D208" s="2" t="s">
        <v>441</v>
      </c>
      <c r="E208" s="2" t="s">
        <v>380</v>
      </c>
      <c r="F208" s="21" t="n">
        <v>45721.3484166667</v>
      </c>
      <c r="G208" s="21" t="n">
        <v>45721.3788888889</v>
      </c>
      <c r="H208" s="10" t="n">
        <v>0.731333333333333</v>
      </c>
      <c r="I208" s="15" t="n">
        <v>45734</v>
      </c>
      <c r="J208" s="2" t="s">
        <v>629</v>
      </c>
    </row>
    <row r="209" customFormat="false" ht="15" hidden="false" customHeight="false" outlineLevel="0" collapsed="false">
      <c r="A209" s="2" t="s">
        <v>543</v>
      </c>
      <c r="B209" s="2" t="s">
        <v>94</v>
      </c>
      <c r="C209" s="4" t="n">
        <v>3</v>
      </c>
      <c r="D209" s="2" t="s">
        <v>386</v>
      </c>
      <c r="E209" s="2" t="s">
        <v>383</v>
      </c>
      <c r="F209" s="21" t="n">
        <v>45722.5889444445</v>
      </c>
      <c r="G209" s="21" t="n">
        <v>45723.6667222222</v>
      </c>
      <c r="H209" s="10" t="n">
        <v>9.86666666666667</v>
      </c>
      <c r="I209" s="15" t="n">
        <v>45734</v>
      </c>
      <c r="J209" s="2" t="s">
        <v>629</v>
      </c>
    </row>
    <row r="210" customFormat="false" ht="15" hidden="false" customHeight="false" outlineLevel="0" collapsed="false">
      <c r="A210" s="2" t="s">
        <v>543</v>
      </c>
      <c r="B210" s="2" t="s">
        <v>94</v>
      </c>
      <c r="C210" s="4" t="n">
        <v>4</v>
      </c>
      <c r="D210" s="2" t="s">
        <v>390</v>
      </c>
      <c r="E210" s="2" t="s">
        <v>387</v>
      </c>
      <c r="F210" s="21" t="n">
        <v>45726.3972777778</v>
      </c>
      <c r="G210" s="21" t="n">
        <v>45728.5972777778</v>
      </c>
      <c r="H210" s="10" t="n">
        <v>19.8</v>
      </c>
      <c r="I210" s="15" t="n">
        <v>45734</v>
      </c>
      <c r="J210" s="2" t="s">
        <v>629</v>
      </c>
    </row>
    <row r="211" customFormat="false" ht="15" hidden="false" customHeight="false" outlineLevel="0" collapsed="false">
      <c r="A211" s="2" t="s">
        <v>543</v>
      </c>
      <c r="B211" s="2" t="s">
        <v>94</v>
      </c>
      <c r="C211" s="4" t="n">
        <v>5</v>
      </c>
      <c r="D211" s="2" t="s">
        <v>443</v>
      </c>
      <c r="E211" s="2" t="s">
        <v>395</v>
      </c>
      <c r="F211" s="21" t="n">
        <v>45729.4186666667</v>
      </c>
      <c r="G211" s="21" t="n">
        <v>45729.6749166667</v>
      </c>
      <c r="H211" s="10" t="n">
        <v>5.15</v>
      </c>
      <c r="I211" s="15" t="n">
        <v>45734</v>
      </c>
      <c r="J211" s="2" t="s">
        <v>629</v>
      </c>
    </row>
    <row r="212" customFormat="false" ht="15" hidden="false" customHeight="false" outlineLevel="0" collapsed="false">
      <c r="A212" s="2" t="s">
        <v>543</v>
      </c>
      <c r="B212" s="2" t="s">
        <v>94</v>
      </c>
      <c r="C212" s="4" t="n">
        <v>6</v>
      </c>
      <c r="D212" s="2" t="s">
        <v>444</v>
      </c>
      <c r="E212" s="2" t="s">
        <v>399</v>
      </c>
      <c r="F212" s="21" t="n">
        <v>45730.3413733333</v>
      </c>
      <c r="G212" s="21" t="n">
        <v>45730.55602</v>
      </c>
      <c r="H212" s="10" t="n">
        <v>4.15152</v>
      </c>
      <c r="I212" s="15" t="n">
        <v>45734</v>
      </c>
      <c r="J212" s="2" t="s">
        <v>629</v>
      </c>
    </row>
    <row r="213" customFormat="false" ht="15" hidden="false" customHeight="false" outlineLevel="0" collapsed="false">
      <c r="A213" s="2" t="s">
        <v>543</v>
      </c>
      <c r="B213" s="2" t="s">
        <v>94</v>
      </c>
      <c r="C213" s="4" t="n">
        <v>7</v>
      </c>
      <c r="D213" s="2" t="s">
        <v>445</v>
      </c>
      <c r="E213" s="2" t="s">
        <v>402</v>
      </c>
      <c r="F213" s="21" t="n">
        <v>45730.55602</v>
      </c>
      <c r="G213" s="21" t="n">
        <v>45730.5966866667</v>
      </c>
      <c r="H213" s="10" t="n">
        <v>0.976</v>
      </c>
      <c r="I213" s="15" t="n">
        <v>45734</v>
      </c>
      <c r="J213" s="2" t="s">
        <v>629</v>
      </c>
    </row>
    <row r="214" customFormat="false" ht="15" hidden="false" customHeight="false" outlineLevel="0" collapsed="false">
      <c r="A214" s="2" t="s">
        <v>543</v>
      </c>
      <c r="B214" s="2" t="s">
        <v>94</v>
      </c>
      <c r="C214" s="4" t="n">
        <v>8</v>
      </c>
      <c r="D214" s="2" t="s">
        <v>447</v>
      </c>
      <c r="E214" s="2" t="s">
        <v>421</v>
      </c>
      <c r="F214" s="21" t="n">
        <v>45730.5966866667</v>
      </c>
      <c r="G214" s="21" t="n">
        <v>45730.6279366667</v>
      </c>
      <c r="H214" s="10" t="n">
        <v>0.75</v>
      </c>
      <c r="I214" s="15" t="n">
        <v>45734</v>
      </c>
      <c r="J214" s="2" t="s">
        <v>629</v>
      </c>
    </row>
    <row r="215" customFormat="false" ht="15" hidden="false" customHeight="false" outlineLevel="0" collapsed="false">
      <c r="A215" s="2" t="s">
        <v>543</v>
      </c>
      <c r="B215" s="2" t="s">
        <v>94</v>
      </c>
      <c r="C215" s="4" t="n">
        <v>9</v>
      </c>
      <c r="D215" s="2" t="s">
        <v>449</v>
      </c>
      <c r="E215" s="2" t="s">
        <v>423</v>
      </c>
      <c r="F215" s="21" t="n">
        <v>45730.6279366667</v>
      </c>
      <c r="G215" s="21" t="n">
        <v>45730.6444505556</v>
      </c>
      <c r="H215" s="10" t="n">
        <v>0.396333333333333</v>
      </c>
      <c r="I215" s="15" t="n">
        <v>45734</v>
      </c>
      <c r="J215" s="2" t="s">
        <v>629</v>
      </c>
    </row>
    <row r="216" customFormat="false" ht="15" hidden="false" customHeight="false" outlineLevel="0" collapsed="false">
      <c r="A216" s="2" t="s">
        <v>543</v>
      </c>
      <c r="B216" s="2" t="s">
        <v>94</v>
      </c>
      <c r="C216" s="4" t="n">
        <v>10</v>
      </c>
      <c r="D216" s="2" t="s">
        <v>450</v>
      </c>
      <c r="E216" s="2" t="s">
        <v>406</v>
      </c>
      <c r="F216" s="21" t="n">
        <v>45734.3625677778</v>
      </c>
      <c r="G216" s="21" t="n">
        <v>45734.6959011111</v>
      </c>
      <c r="H216" s="10" t="n">
        <v>7</v>
      </c>
      <c r="I216" s="15" t="n">
        <v>45734</v>
      </c>
      <c r="J216" s="2" t="s">
        <v>629</v>
      </c>
    </row>
    <row r="217" customFormat="false" ht="15" hidden="false" customHeight="false" outlineLevel="0" collapsed="false">
      <c r="A217" s="2" t="s">
        <v>543</v>
      </c>
      <c r="B217" s="2" t="s">
        <v>94</v>
      </c>
      <c r="C217" s="4" t="n">
        <v>11</v>
      </c>
      <c r="D217" s="2" t="s">
        <v>451</v>
      </c>
      <c r="E217" s="2" t="s">
        <v>408</v>
      </c>
      <c r="F217" s="21" t="n">
        <v>45734.6959011111</v>
      </c>
      <c r="G217" s="21" t="n">
        <v>45735.3380816667</v>
      </c>
      <c r="H217" s="10" t="n">
        <v>0.412333333333333</v>
      </c>
      <c r="I217" s="15" t="n">
        <v>45734</v>
      </c>
      <c r="J217" s="2" t="s">
        <v>629</v>
      </c>
    </row>
    <row r="218" customFormat="false" ht="15" hidden="false" customHeight="false" outlineLevel="0" collapsed="false">
      <c r="A218" s="2" t="s">
        <v>543</v>
      </c>
      <c r="B218" s="2" t="s">
        <v>94</v>
      </c>
      <c r="C218" s="4" t="n">
        <v>12</v>
      </c>
      <c r="D218" s="2" t="s">
        <v>452</v>
      </c>
      <c r="E218" s="2" t="s">
        <v>411</v>
      </c>
      <c r="F218" s="21" t="n">
        <v>45735.3380816667</v>
      </c>
      <c r="G218" s="21" t="n">
        <v>45735.3610538889</v>
      </c>
      <c r="H218" s="10" t="n">
        <v>0.551333333333333</v>
      </c>
      <c r="I218" s="15" t="n">
        <v>45734</v>
      </c>
      <c r="J218" s="2" t="s">
        <v>629</v>
      </c>
    </row>
    <row r="219" customFormat="false" ht="15" hidden="false" customHeight="false" outlineLevel="0" collapsed="false">
      <c r="A219" s="2" t="s">
        <v>545</v>
      </c>
      <c r="B219" s="2" t="s">
        <v>106</v>
      </c>
      <c r="C219" s="4" t="n">
        <v>1</v>
      </c>
      <c r="D219" s="2" t="s">
        <v>437</v>
      </c>
      <c r="E219" s="2" t="s">
        <v>375</v>
      </c>
      <c r="F219" s="21" t="n">
        <v>45721.3484166667</v>
      </c>
      <c r="G219" s="21" t="n">
        <v>45721.4937118056</v>
      </c>
      <c r="H219" s="10" t="n">
        <v>3.48708333333333</v>
      </c>
      <c r="I219" s="15" t="n">
        <v>45733</v>
      </c>
      <c r="J219" s="2" t="s">
        <v>629</v>
      </c>
    </row>
    <row r="220" customFormat="false" ht="15" hidden="false" customHeight="false" outlineLevel="0" collapsed="false">
      <c r="A220" s="2" t="s">
        <v>545</v>
      </c>
      <c r="B220" s="2" t="s">
        <v>106</v>
      </c>
      <c r="C220" s="4" t="n">
        <v>2</v>
      </c>
      <c r="D220" s="2" t="s">
        <v>386</v>
      </c>
      <c r="E220" s="2" t="s">
        <v>383</v>
      </c>
      <c r="F220" s="21" t="n">
        <v>45723.6667222222</v>
      </c>
      <c r="G220" s="21" t="n">
        <v>45726.3500555556</v>
      </c>
      <c r="H220" s="10" t="n">
        <v>1.4</v>
      </c>
      <c r="I220" s="15" t="n">
        <v>45733</v>
      </c>
      <c r="J220" s="2" t="s">
        <v>629</v>
      </c>
    </row>
    <row r="221" customFormat="false" ht="15" hidden="false" customHeight="false" outlineLevel="0" collapsed="false">
      <c r="A221" s="2" t="s">
        <v>545</v>
      </c>
      <c r="B221" s="2" t="s">
        <v>106</v>
      </c>
      <c r="C221" s="4" t="n">
        <v>3</v>
      </c>
      <c r="D221" s="2" t="s">
        <v>390</v>
      </c>
      <c r="E221" s="2" t="s">
        <v>387</v>
      </c>
      <c r="F221" s="21" t="n">
        <v>45728.5972777778</v>
      </c>
      <c r="G221" s="21" t="n">
        <v>45729.6333888889</v>
      </c>
      <c r="H221" s="10" t="n">
        <v>8.86666666666667</v>
      </c>
      <c r="I221" s="15" t="n">
        <v>45733</v>
      </c>
      <c r="J221" s="2" t="s">
        <v>629</v>
      </c>
    </row>
    <row r="222" customFormat="false" ht="15" hidden="false" customHeight="false" outlineLevel="0" collapsed="false">
      <c r="A222" s="2" t="s">
        <v>545</v>
      </c>
      <c r="B222" s="2" t="s">
        <v>106</v>
      </c>
      <c r="C222" s="4" t="n">
        <v>4</v>
      </c>
      <c r="D222" s="2" t="s">
        <v>443</v>
      </c>
      <c r="E222" s="2" t="s">
        <v>395</v>
      </c>
      <c r="F222" s="21" t="n">
        <v>45729.6749166667</v>
      </c>
      <c r="G222" s="21" t="n">
        <v>45730.3645</v>
      </c>
      <c r="H222" s="10" t="n">
        <v>1.55</v>
      </c>
      <c r="I222" s="15" t="n">
        <v>45733</v>
      </c>
      <c r="J222" s="2" t="s">
        <v>629</v>
      </c>
    </row>
    <row r="223" customFormat="false" ht="15" hidden="false" customHeight="false" outlineLevel="0" collapsed="false">
      <c r="A223" s="2" t="s">
        <v>545</v>
      </c>
      <c r="B223" s="2" t="s">
        <v>106</v>
      </c>
      <c r="C223" s="4" t="n">
        <v>5</v>
      </c>
      <c r="D223" s="2" t="s">
        <v>444</v>
      </c>
      <c r="E223" s="2" t="s">
        <v>399</v>
      </c>
      <c r="F223" s="21" t="n">
        <v>45730.55602</v>
      </c>
      <c r="G223" s="21" t="n">
        <v>45730.6515894445</v>
      </c>
      <c r="H223" s="10" t="n">
        <v>2.29366666666667</v>
      </c>
      <c r="I223" s="15" t="n">
        <v>45733</v>
      </c>
      <c r="J223" s="2" t="s">
        <v>629</v>
      </c>
    </row>
    <row r="224" customFormat="false" ht="15" hidden="false" customHeight="false" outlineLevel="0" collapsed="false">
      <c r="A224" s="2" t="s">
        <v>545</v>
      </c>
      <c r="B224" s="2" t="s">
        <v>106</v>
      </c>
      <c r="C224" s="4" t="n">
        <v>6</v>
      </c>
      <c r="D224" s="2" t="s">
        <v>445</v>
      </c>
      <c r="E224" s="2" t="s">
        <v>402</v>
      </c>
      <c r="F224" s="21" t="n">
        <v>45730.6515894445</v>
      </c>
      <c r="G224" s="21" t="n">
        <v>45730.6836380556</v>
      </c>
      <c r="H224" s="10" t="n">
        <v>0.769166666666667</v>
      </c>
      <c r="I224" s="15" t="n">
        <v>45733</v>
      </c>
      <c r="J224" s="2" t="s">
        <v>629</v>
      </c>
    </row>
    <row r="225" customFormat="false" ht="15" hidden="false" customHeight="false" outlineLevel="0" collapsed="false">
      <c r="A225" s="2" t="s">
        <v>545</v>
      </c>
      <c r="B225" s="2" t="s">
        <v>106</v>
      </c>
      <c r="C225" s="4" t="n">
        <v>7</v>
      </c>
      <c r="D225" s="2" t="s">
        <v>447</v>
      </c>
      <c r="E225" s="2" t="s">
        <v>421</v>
      </c>
      <c r="F225" s="21" t="n">
        <v>45730.6836380556</v>
      </c>
      <c r="G225" s="21" t="n">
        <v>45733.3398880556</v>
      </c>
      <c r="H225" s="10" t="n">
        <v>0.75</v>
      </c>
      <c r="I225" s="15" t="n">
        <v>45733</v>
      </c>
      <c r="J225" s="2" t="s">
        <v>629</v>
      </c>
    </row>
    <row r="226" customFormat="false" ht="15" hidden="false" customHeight="false" outlineLevel="0" collapsed="false">
      <c r="A226" s="2" t="s">
        <v>545</v>
      </c>
      <c r="B226" s="2" t="s">
        <v>106</v>
      </c>
      <c r="C226" s="4" t="n">
        <v>8</v>
      </c>
      <c r="D226" s="2" t="s">
        <v>449</v>
      </c>
      <c r="E226" s="2" t="s">
        <v>423</v>
      </c>
      <c r="F226" s="21" t="n">
        <v>45733.3398880556</v>
      </c>
      <c r="G226" s="21" t="n">
        <v>45733.3538463889</v>
      </c>
      <c r="H226" s="10" t="n">
        <v>0.335</v>
      </c>
      <c r="I226" s="15" t="n">
        <v>45733</v>
      </c>
      <c r="J226" s="2" t="s">
        <v>629</v>
      </c>
    </row>
    <row r="227" customFormat="false" ht="15" hidden="false" customHeight="false" outlineLevel="0" collapsed="false">
      <c r="A227" s="2" t="s">
        <v>545</v>
      </c>
      <c r="B227" s="2" t="s">
        <v>106</v>
      </c>
      <c r="C227" s="4" t="n">
        <v>9</v>
      </c>
      <c r="D227" s="2" t="s">
        <v>450</v>
      </c>
      <c r="E227" s="2" t="s">
        <v>406</v>
      </c>
      <c r="F227" s="21" t="n">
        <v>45734.6959011111</v>
      </c>
      <c r="G227" s="21" t="n">
        <v>45735.4709011111</v>
      </c>
      <c r="H227" s="10" t="n">
        <v>3.6</v>
      </c>
      <c r="I227" s="15" t="n">
        <v>45733</v>
      </c>
      <c r="J227" s="2" t="s">
        <v>629</v>
      </c>
    </row>
    <row r="228" customFormat="false" ht="15" hidden="false" customHeight="false" outlineLevel="0" collapsed="false">
      <c r="A228" s="2" t="s">
        <v>545</v>
      </c>
      <c r="B228" s="2" t="s">
        <v>106</v>
      </c>
      <c r="C228" s="4" t="n">
        <v>10</v>
      </c>
      <c r="D228" s="2" t="s">
        <v>451</v>
      </c>
      <c r="E228" s="2" t="s">
        <v>408</v>
      </c>
      <c r="F228" s="21" t="n">
        <v>45735.4709011111</v>
      </c>
      <c r="G228" s="21" t="n">
        <v>45735.4845122222</v>
      </c>
      <c r="H228" s="10" t="n">
        <v>0.326666666666667</v>
      </c>
      <c r="I228" s="15" t="n">
        <v>45733</v>
      </c>
      <c r="J228" s="2" t="s">
        <v>629</v>
      </c>
    </row>
    <row r="229" customFormat="false" ht="15" hidden="false" customHeight="false" outlineLevel="0" collapsed="false">
      <c r="A229" s="2" t="s">
        <v>545</v>
      </c>
      <c r="B229" s="2" t="s">
        <v>106</v>
      </c>
      <c r="C229" s="4" t="n">
        <v>11</v>
      </c>
      <c r="D229" s="2" t="s">
        <v>452</v>
      </c>
      <c r="E229" s="2" t="s">
        <v>411</v>
      </c>
      <c r="F229" s="21" t="n">
        <v>45735.4845122222</v>
      </c>
      <c r="G229" s="21" t="n">
        <v>45735.544165</v>
      </c>
      <c r="H229" s="10" t="n">
        <v>0.431666666666667</v>
      </c>
      <c r="I229" s="15" t="n">
        <v>45733</v>
      </c>
      <c r="J229" s="2" t="s">
        <v>629</v>
      </c>
    </row>
    <row r="230" customFormat="false" ht="15" hidden="false" customHeight="false" outlineLevel="0" collapsed="false">
      <c r="A230" s="2" t="s">
        <v>547</v>
      </c>
      <c r="B230" s="2" t="s">
        <v>119</v>
      </c>
      <c r="C230" s="4" t="n">
        <v>1</v>
      </c>
      <c r="D230" s="2" t="s">
        <v>437</v>
      </c>
      <c r="E230" s="2" t="s">
        <v>375</v>
      </c>
      <c r="F230" s="21" t="n">
        <v>45721.4937118056</v>
      </c>
      <c r="G230" s="21" t="n">
        <v>45722.4128784722</v>
      </c>
      <c r="H230" s="10" t="n">
        <v>6.06</v>
      </c>
      <c r="I230" s="15" t="n">
        <v>45734</v>
      </c>
      <c r="J230" s="2" t="s">
        <v>629</v>
      </c>
    </row>
    <row r="231" customFormat="false" ht="15" hidden="false" customHeight="false" outlineLevel="0" collapsed="false">
      <c r="A231" s="2" t="s">
        <v>547</v>
      </c>
      <c r="B231" s="2" t="s">
        <v>119</v>
      </c>
      <c r="C231" s="4" t="n">
        <v>2</v>
      </c>
      <c r="D231" s="2" t="s">
        <v>386</v>
      </c>
      <c r="E231" s="2" t="s">
        <v>383</v>
      </c>
      <c r="F231" s="21" t="n">
        <v>45726.3500555556</v>
      </c>
      <c r="G231" s="21" t="n">
        <v>45726.3972777778</v>
      </c>
      <c r="H231" s="10" t="n">
        <v>1.13333333333333</v>
      </c>
      <c r="I231" s="15" t="n">
        <v>45734</v>
      </c>
      <c r="J231" s="2" t="s">
        <v>629</v>
      </c>
    </row>
    <row r="232" customFormat="false" ht="15" hidden="false" customHeight="false" outlineLevel="0" collapsed="false">
      <c r="A232" s="2" t="s">
        <v>547</v>
      </c>
      <c r="B232" s="2" t="s">
        <v>119</v>
      </c>
      <c r="C232" s="4" t="n">
        <v>3</v>
      </c>
      <c r="D232" s="2" t="s">
        <v>390</v>
      </c>
      <c r="E232" s="2" t="s">
        <v>387</v>
      </c>
      <c r="F232" s="21" t="n">
        <v>45729.6333888889</v>
      </c>
      <c r="G232" s="21" t="n">
        <v>45733.5722777778</v>
      </c>
      <c r="H232" s="10" t="n">
        <v>14.5333333333333</v>
      </c>
      <c r="I232" s="15" t="n">
        <v>45734</v>
      </c>
      <c r="J232" s="2" t="s">
        <v>629</v>
      </c>
    </row>
    <row r="233" customFormat="false" ht="15" hidden="false" customHeight="false" outlineLevel="0" collapsed="false">
      <c r="A233" s="2" t="s">
        <v>547</v>
      </c>
      <c r="B233" s="2" t="s">
        <v>119</v>
      </c>
      <c r="C233" s="4" t="n">
        <v>4</v>
      </c>
      <c r="D233" s="2" t="s">
        <v>443</v>
      </c>
      <c r="E233" s="2" t="s">
        <v>395</v>
      </c>
      <c r="F233" s="21" t="n">
        <v>45733.5722777778</v>
      </c>
      <c r="G233" s="21" t="n">
        <v>45733.6785277778</v>
      </c>
      <c r="H233" s="10" t="n">
        <v>2.55</v>
      </c>
      <c r="I233" s="15" t="n">
        <v>45734</v>
      </c>
      <c r="J233" s="2" t="s">
        <v>629</v>
      </c>
    </row>
    <row r="234" customFormat="false" ht="15" hidden="false" customHeight="false" outlineLevel="0" collapsed="false">
      <c r="A234" s="2" t="s">
        <v>547</v>
      </c>
      <c r="B234" s="2" t="s">
        <v>119</v>
      </c>
      <c r="C234" s="4" t="n">
        <v>5</v>
      </c>
      <c r="D234" s="2" t="s">
        <v>444</v>
      </c>
      <c r="E234" s="2" t="s">
        <v>399</v>
      </c>
      <c r="F234" s="21" t="n">
        <v>45733.6785277778</v>
      </c>
      <c r="G234" s="21" t="n">
        <v>45734.48625</v>
      </c>
      <c r="H234" s="10" t="n">
        <v>4.38533333333333</v>
      </c>
      <c r="I234" s="15" t="n">
        <v>45734</v>
      </c>
      <c r="J234" s="2" t="s">
        <v>629</v>
      </c>
    </row>
    <row r="235" customFormat="false" ht="15" hidden="false" customHeight="false" outlineLevel="0" collapsed="false">
      <c r="A235" s="2" t="s">
        <v>547</v>
      </c>
      <c r="B235" s="2" t="s">
        <v>119</v>
      </c>
      <c r="C235" s="4" t="n">
        <v>6</v>
      </c>
      <c r="D235" s="2" t="s">
        <v>445</v>
      </c>
      <c r="E235" s="2" t="s">
        <v>402</v>
      </c>
      <c r="F235" s="21" t="n">
        <v>45734.48625</v>
      </c>
      <c r="G235" s="21" t="n">
        <v>45734.5819444444</v>
      </c>
      <c r="H235" s="10" t="n">
        <v>1.29666666666667</v>
      </c>
      <c r="I235" s="15" t="n">
        <v>45734</v>
      </c>
      <c r="J235" s="2" t="s">
        <v>629</v>
      </c>
    </row>
    <row r="236" customFormat="false" ht="15" hidden="false" customHeight="false" outlineLevel="0" collapsed="false">
      <c r="A236" s="2" t="s">
        <v>547</v>
      </c>
      <c r="B236" s="2" t="s">
        <v>119</v>
      </c>
      <c r="C236" s="4" t="n">
        <v>7</v>
      </c>
      <c r="D236" s="2" t="s">
        <v>447</v>
      </c>
      <c r="E236" s="2" t="s">
        <v>421</v>
      </c>
      <c r="F236" s="21" t="n">
        <v>45734.5819444444</v>
      </c>
      <c r="G236" s="21" t="n">
        <v>45734.6131944444</v>
      </c>
      <c r="H236" s="10" t="n">
        <v>0.75</v>
      </c>
      <c r="I236" s="15" t="n">
        <v>45734</v>
      </c>
      <c r="J236" s="2" t="s">
        <v>629</v>
      </c>
    </row>
    <row r="237" customFormat="false" ht="15" hidden="false" customHeight="false" outlineLevel="0" collapsed="false">
      <c r="A237" s="2" t="s">
        <v>547</v>
      </c>
      <c r="B237" s="2" t="s">
        <v>119</v>
      </c>
      <c r="C237" s="4" t="n">
        <v>8</v>
      </c>
      <c r="D237" s="2" t="s">
        <v>449</v>
      </c>
      <c r="E237" s="2" t="s">
        <v>423</v>
      </c>
      <c r="F237" s="21" t="n">
        <v>45734.6131944444</v>
      </c>
      <c r="G237" s="21" t="n">
        <v>45734.6351388889</v>
      </c>
      <c r="H237" s="10" t="n">
        <v>0.526666666666667</v>
      </c>
      <c r="I237" s="15" t="n">
        <v>45734</v>
      </c>
      <c r="J237" s="2" t="s">
        <v>629</v>
      </c>
    </row>
    <row r="238" customFormat="false" ht="15" hidden="false" customHeight="false" outlineLevel="0" collapsed="false">
      <c r="A238" s="2" t="s">
        <v>547</v>
      </c>
      <c r="B238" s="2" t="s">
        <v>119</v>
      </c>
      <c r="C238" s="4" t="n">
        <v>9</v>
      </c>
      <c r="D238" s="2" t="s">
        <v>450</v>
      </c>
      <c r="E238" s="2" t="s">
        <v>406</v>
      </c>
      <c r="F238" s="21" t="n">
        <v>45735.4709011111</v>
      </c>
      <c r="G238" s="21" t="n">
        <v>45735.7042344444</v>
      </c>
      <c r="H238" s="10" t="n">
        <v>4.6</v>
      </c>
      <c r="I238" s="15" t="n">
        <v>45734</v>
      </c>
      <c r="J238" s="2" t="s">
        <v>629</v>
      </c>
    </row>
    <row r="239" customFormat="false" ht="15" hidden="false" customHeight="false" outlineLevel="0" collapsed="false">
      <c r="A239" s="2" t="s">
        <v>547</v>
      </c>
      <c r="B239" s="2" t="s">
        <v>119</v>
      </c>
      <c r="C239" s="4" t="n">
        <v>10</v>
      </c>
      <c r="D239" s="2" t="s">
        <v>451</v>
      </c>
      <c r="E239" s="2" t="s">
        <v>408</v>
      </c>
      <c r="F239" s="21" t="n">
        <v>45735.7042344444</v>
      </c>
      <c r="G239" s="21" t="n">
        <v>45736.3545816667</v>
      </c>
      <c r="H239" s="10" t="n">
        <v>0.608333333333333</v>
      </c>
      <c r="I239" s="15" t="n">
        <v>45734</v>
      </c>
      <c r="J239" s="2" t="s">
        <v>629</v>
      </c>
    </row>
    <row r="240" customFormat="false" ht="15" hidden="false" customHeight="false" outlineLevel="0" collapsed="false">
      <c r="A240" s="2" t="s">
        <v>547</v>
      </c>
      <c r="B240" s="2" t="s">
        <v>119</v>
      </c>
      <c r="C240" s="4" t="n">
        <v>11</v>
      </c>
      <c r="D240" s="2" t="s">
        <v>452</v>
      </c>
      <c r="E240" s="2" t="s">
        <v>411</v>
      </c>
      <c r="F240" s="21" t="n">
        <v>45736.3545816667</v>
      </c>
      <c r="G240" s="21" t="n">
        <v>45736.3884011111</v>
      </c>
      <c r="H240" s="10" t="n">
        <v>0.811666666666667</v>
      </c>
      <c r="I240" s="15" t="n">
        <v>45734</v>
      </c>
      <c r="J240" s="2" t="s">
        <v>629</v>
      </c>
    </row>
    <row r="241" customFormat="false" ht="15" hidden="false" customHeight="false" outlineLevel="0" collapsed="false">
      <c r="A241" s="2" t="s">
        <v>542</v>
      </c>
      <c r="B241" s="2" t="s">
        <v>83</v>
      </c>
      <c r="C241" s="4" t="n">
        <v>1</v>
      </c>
      <c r="D241" s="2" t="s">
        <v>437</v>
      </c>
      <c r="E241" s="2" t="s">
        <v>375</v>
      </c>
      <c r="F241" s="21" t="n">
        <v>45733.3333333333</v>
      </c>
      <c r="G241" s="21" t="n">
        <v>45733.6916944445</v>
      </c>
      <c r="H241" s="10" t="n">
        <v>7.60066666666667</v>
      </c>
      <c r="I241" s="15" t="n">
        <v>45750</v>
      </c>
      <c r="J241" s="2" t="s">
        <v>629</v>
      </c>
    </row>
    <row r="242" customFormat="false" ht="15" hidden="false" customHeight="false" outlineLevel="0" collapsed="false">
      <c r="A242" s="2" t="s">
        <v>542</v>
      </c>
      <c r="B242" s="2" t="s">
        <v>83</v>
      </c>
      <c r="C242" s="4" t="n">
        <v>2</v>
      </c>
      <c r="D242" s="2" t="s">
        <v>441</v>
      </c>
      <c r="E242" s="2" t="s">
        <v>380</v>
      </c>
      <c r="F242" s="21" t="n">
        <v>45733.6916944445</v>
      </c>
      <c r="G242" s="21" t="n">
        <v>45735.4278055556</v>
      </c>
      <c r="H242" s="10" t="n">
        <v>10.6666666666667</v>
      </c>
      <c r="I242" s="15" t="n">
        <v>45750</v>
      </c>
      <c r="J242" s="2" t="s">
        <v>629</v>
      </c>
    </row>
    <row r="243" customFormat="false" ht="15" hidden="false" customHeight="false" outlineLevel="0" collapsed="false">
      <c r="A243" s="2" t="s">
        <v>542</v>
      </c>
      <c r="B243" s="2" t="s">
        <v>83</v>
      </c>
      <c r="C243" s="4" t="n">
        <v>3</v>
      </c>
      <c r="D243" s="2" t="s">
        <v>386</v>
      </c>
      <c r="E243" s="2" t="s">
        <v>383</v>
      </c>
      <c r="F243" s="21" t="n">
        <v>45735.4278055556</v>
      </c>
      <c r="G243" s="21" t="n">
        <v>45737.4591944445</v>
      </c>
      <c r="H243" s="10" t="n">
        <v>16.7533333333333</v>
      </c>
      <c r="I243" s="15" t="n">
        <v>45750</v>
      </c>
      <c r="J243" s="2" t="s">
        <v>629</v>
      </c>
    </row>
    <row r="244" customFormat="false" ht="15" hidden="false" customHeight="false" outlineLevel="0" collapsed="false">
      <c r="A244" s="2" t="s">
        <v>542</v>
      </c>
      <c r="B244" s="2" t="s">
        <v>83</v>
      </c>
      <c r="C244" s="4" t="n">
        <v>4</v>
      </c>
      <c r="D244" s="2" t="s">
        <v>390</v>
      </c>
      <c r="E244" s="2" t="s">
        <v>387</v>
      </c>
      <c r="F244" s="21" t="n">
        <v>45737.4591944445</v>
      </c>
      <c r="G244" s="21" t="n">
        <v>45741.3841944444</v>
      </c>
      <c r="H244" s="10" t="n">
        <v>14.2</v>
      </c>
      <c r="I244" s="15" t="n">
        <v>45750</v>
      </c>
      <c r="J244" s="2" t="s">
        <v>629</v>
      </c>
    </row>
    <row r="245" customFormat="false" ht="15" hidden="false" customHeight="false" outlineLevel="0" collapsed="false">
      <c r="A245" s="2" t="s">
        <v>542</v>
      </c>
      <c r="B245" s="2" t="s">
        <v>83</v>
      </c>
      <c r="C245" s="4" t="n">
        <v>5</v>
      </c>
      <c r="D245" s="2" t="s">
        <v>442</v>
      </c>
      <c r="E245" s="2" t="s">
        <v>391</v>
      </c>
      <c r="F245" s="21" t="n">
        <v>45741.3841944444</v>
      </c>
      <c r="G245" s="21" t="n">
        <v>45743.38475</v>
      </c>
      <c r="H245" s="10" t="n">
        <v>16.0133333333333</v>
      </c>
      <c r="I245" s="15" t="n">
        <v>45750</v>
      </c>
      <c r="J245" s="2" t="s">
        <v>629</v>
      </c>
    </row>
    <row r="246" customFormat="false" ht="15" hidden="false" customHeight="false" outlineLevel="0" collapsed="false">
      <c r="A246" s="2" t="s">
        <v>542</v>
      </c>
      <c r="B246" s="2" t="s">
        <v>83</v>
      </c>
      <c r="C246" s="4" t="n">
        <v>6</v>
      </c>
      <c r="D246" s="2" t="s">
        <v>443</v>
      </c>
      <c r="E246" s="2" t="s">
        <v>395</v>
      </c>
      <c r="F246" s="21" t="n">
        <v>45743.38475</v>
      </c>
      <c r="G246" s="21" t="n">
        <v>45744.4680833333</v>
      </c>
      <c r="H246" s="10" t="n">
        <v>10</v>
      </c>
      <c r="I246" s="15" t="n">
        <v>45750</v>
      </c>
      <c r="J246" s="2" t="s">
        <v>629</v>
      </c>
    </row>
    <row r="247" customFormat="false" ht="15" hidden="false" customHeight="false" outlineLevel="0" collapsed="false">
      <c r="A247" s="2" t="s">
        <v>542</v>
      </c>
      <c r="B247" s="2" t="s">
        <v>83</v>
      </c>
      <c r="C247" s="4" t="n">
        <v>7</v>
      </c>
      <c r="D247" s="2" t="s">
        <v>444</v>
      </c>
      <c r="E247" s="2" t="s">
        <v>399</v>
      </c>
      <c r="F247" s="21" t="n">
        <v>45744.4680833333</v>
      </c>
      <c r="G247" s="21" t="n">
        <v>45747.4102833333</v>
      </c>
      <c r="H247" s="10" t="n">
        <v>6.6128</v>
      </c>
      <c r="I247" s="15" t="n">
        <v>45750</v>
      </c>
      <c r="J247" s="2" t="s">
        <v>629</v>
      </c>
    </row>
    <row r="248" customFormat="false" ht="15" hidden="false" customHeight="false" outlineLevel="0" collapsed="false">
      <c r="A248" s="2" t="s">
        <v>542</v>
      </c>
      <c r="B248" s="2" t="s">
        <v>83</v>
      </c>
      <c r="C248" s="4" t="n">
        <v>8</v>
      </c>
      <c r="D248" s="2" t="s">
        <v>445</v>
      </c>
      <c r="E248" s="2" t="s">
        <v>402</v>
      </c>
      <c r="F248" s="21" t="n">
        <v>45747.4102833333</v>
      </c>
      <c r="G248" s="21" t="n">
        <v>45747.4937833333</v>
      </c>
      <c r="H248" s="10" t="n">
        <v>2.004</v>
      </c>
      <c r="I248" s="15" t="n">
        <v>45750</v>
      </c>
      <c r="J248" s="2" t="s">
        <v>629</v>
      </c>
    </row>
    <row r="249" customFormat="false" ht="15" hidden="false" customHeight="false" outlineLevel="0" collapsed="false">
      <c r="A249" s="2" t="s">
        <v>542</v>
      </c>
      <c r="B249" s="2" t="s">
        <v>83</v>
      </c>
      <c r="C249" s="4" t="n">
        <v>9</v>
      </c>
      <c r="D249" s="2" t="s">
        <v>447</v>
      </c>
      <c r="E249" s="2" t="s">
        <v>421</v>
      </c>
      <c r="F249" s="21" t="n">
        <v>45747.4937833333</v>
      </c>
      <c r="G249" s="21" t="n">
        <v>45747.59795</v>
      </c>
      <c r="H249" s="10" t="n">
        <v>1.5</v>
      </c>
      <c r="I249" s="15" t="n">
        <v>45750</v>
      </c>
      <c r="J249" s="2" t="s">
        <v>629</v>
      </c>
    </row>
    <row r="250" customFormat="false" ht="15" hidden="false" customHeight="false" outlineLevel="0" collapsed="false">
      <c r="A250" s="2" t="s">
        <v>542</v>
      </c>
      <c r="B250" s="2" t="s">
        <v>83</v>
      </c>
      <c r="C250" s="4" t="n">
        <v>10</v>
      </c>
      <c r="D250" s="2" t="s">
        <v>449</v>
      </c>
      <c r="E250" s="2" t="s">
        <v>423</v>
      </c>
      <c r="F250" s="21" t="n">
        <v>45747.59795</v>
      </c>
      <c r="G250" s="21" t="n">
        <v>45747.6314777778</v>
      </c>
      <c r="H250" s="10" t="n">
        <v>0.804666666666667</v>
      </c>
      <c r="I250" s="15" t="n">
        <v>45750</v>
      </c>
      <c r="J250" s="2" t="s">
        <v>629</v>
      </c>
    </row>
    <row r="251" customFormat="false" ht="15" hidden="false" customHeight="false" outlineLevel="0" collapsed="false">
      <c r="A251" s="2" t="s">
        <v>542</v>
      </c>
      <c r="B251" s="2" t="s">
        <v>83</v>
      </c>
      <c r="C251" s="4" t="n">
        <v>11</v>
      </c>
      <c r="D251" s="2" t="s">
        <v>450</v>
      </c>
      <c r="E251" s="2" t="s">
        <v>406</v>
      </c>
      <c r="F251" s="21" t="n">
        <v>45747.6314777778</v>
      </c>
      <c r="G251" s="21" t="n">
        <v>45749.4502277778</v>
      </c>
      <c r="H251" s="10" t="n">
        <v>12.65</v>
      </c>
      <c r="I251" s="15" t="n">
        <v>45750</v>
      </c>
      <c r="J251" s="2" t="s">
        <v>629</v>
      </c>
    </row>
    <row r="252" customFormat="false" ht="15" hidden="false" customHeight="false" outlineLevel="0" collapsed="false">
      <c r="A252" s="2" t="s">
        <v>542</v>
      </c>
      <c r="B252" s="2" t="s">
        <v>83</v>
      </c>
      <c r="C252" s="4" t="n">
        <v>12</v>
      </c>
      <c r="D252" s="2" t="s">
        <v>451</v>
      </c>
      <c r="E252" s="2" t="s">
        <v>408</v>
      </c>
      <c r="F252" s="21" t="n">
        <v>45749.4502277778</v>
      </c>
      <c r="G252" s="21" t="n">
        <v>45749.4851722222</v>
      </c>
      <c r="H252" s="10" t="n">
        <v>0.838666666666667</v>
      </c>
      <c r="I252" s="15" t="n">
        <v>45750</v>
      </c>
      <c r="J252" s="2" t="s">
        <v>629</v>
      </c>
    </row>
    <row r="253" customFormat="false" ht="15" hidden="false" customHeight="false" outlineLevel="0" collapsed="false">
      <c r="A253" s="2" t="s">
        <v>542</v>
      </c>
      <c r="B253" s="2" t="s">
        <v>83</v>
      </c>
      <c r="C253" s="4" t="n">
        <v>13</v>
      </c>
      <c r="D253" s="2" t="s">
        <v>452</v>
      </c>
      <c r="E253" s="2" t="s">
        <v>411</v>
      </c>
      <c r="F253" s="21" t="n">
        <v>45749.4851722222</v>
      </c>
      <c r="G253" s="21" t="n">
        <v>45749.5737833333</v>
      </c>
      <c r="H253" s="10" t="n">
        <v>1.12666666666667</v>
      </c>
      <c r="I253" s="15" t="n">
        <v>45750</v>
      </c>
      <c r="J253" s="2" t="s">
        <v>629</v>
      </c>
    </row>
    <row r="254" customFormat="false" ht="15" hidden="false" customHeight="false" outlineLevel="0" collapsed="false">
      <c r="A254" s="2" t="s">
        <v>544</v>
      </c>
      <c r="B254" s="2" t="s">
        <v>96</v>
      </c>
      <c r="C254" s="4" t="n">
        <v>1</v>
      </c>
      <c r="D254" s="2" t="s">
        <v>437</v>
      </c>
      <c r="E254" s="2" t="s">
        <v>375</v>
      </c>
      <c r="F254" s="21" t="n">
        <v>45733.6916944445</v>
      </c>
      <c r="G254" s="21" t="n">
        <v>45734.6408784722</v>
      </c>
      <c r="H254" s="10" t="n">
        <v>6.78041666666667</v>
      </c>
      <c r="I254" s="15" t="n">
        <v>45748</v>
      </c>
      <c r="J254" s="2" t="s">
        <v>629</v>
      </c>
    </row>
    <row r="255" customFormat="false" ht="15" hidden="false" customHeight="false" outlineLevel="0" collapsed="false">
      <c r="A255" s="2" t="s">
        <v>544</v>
      </c>
      <c r="B255" s="2" t="s">
        <v>96</v>
      </c>
      <c r="C255" s="4" t="n">
        <v>2</v>
      </c>
      <c r="D255" s="2" t="s">
        <v>441</v>
      </c>
      <c r="E255" s="2" t="s">
        <v>380</v>
      </c>
      <c r="F255" s="21" t="n">
        <v>45735.4278055556</v>
      </c>
      <c r="G255" s="21" t="n">
        <v>45735.4638888889</v>
      </c>
      <c r="H255" s="10" t="n">
        <v>0.866</v>
      </c>
      <c r="I255" s="15" t="n">
        <v>45748</v>
      </c>
      <c r="J255" s="2" t="s">
        <v>629</v>
      </c>
    </row>
    <row r="256" customFormat="false" ht="15" hidden="false" customHeight="false" outlineLevel="0" collapsed="false">
      <c r="A256" s="2" t="s">
        <v>544</v>
      </c>
      <c r="B256" s="2" t="s">
        <v>96</v>
      </c>
      <c r="C256" s="4" t="n">
        <v>3</v>
      </c>
      <c r="D256" s="2" t="s">
        <v>386</v>
      </c>
      <c r="E256" s="2" t="s">
        <v>383</v>
      </c>
      <c r="F256" s="21" t="n">
        <v>45737.4591944445</v>
      </c>
      <c r="G256" s="21" t="n">
        <v>45740.4585</v>
      </c>
      <c r="H256" s="10" t="n">
        <v>7.98333333333333</v>
      </c>
      <c r="I256" s="15" t="n">
        <v>45748</v>
      </c>
      <c r="J256" s="2" t="s">
        <v>629</v>
      </c>
    </row>
    <row r="257" customFormat="false" ht="15" hidden="false" customHeight="false" outlineLevel="0" collapsed="false">
      <c r="A257" s="2" t="s">
        <v>544</v>
      </c>
      <c r="B257" s="2" t="s">
        <v>96</v>
      </c>
      <c r="C257" s="4" t="n">
        <v>4</v>
      </c>
      <c r="D257" s="2" t="s">
        <v>390</v>
      </c>
      <c r="E257" s="2" t="s">
        <v>387</v>
      </c>
      <c r="F257" s="21" t="n">
        <v>45741.3841944444</v>
      </c>
      <c r="G257" s="21" t="n">
        <v>45742.7036388889</v>
      </c>
      <c r="H257" s="10" t="n">
        <v>14.6666666666667</v>
      </c>
      <c r="I257" s="15" t="n">
        <v>45748</v>
      </c>
      <c r="J257" s="2" t="s">
        <v>629</v>
      </c>
    </row>
    <row r="258" customFormat="false" ht="15" hidden="false" customHeight="false" outlineLevel="0" collapsed="false">
      <c r="A258" s="2" t="s">
        <v>544</v>
      </c>
      <c r="B258" s="2" t="s">
        <v>96</v>
      </c>
      <c r="C258" s="4" t="n">
        <v>5</v>
      </c>
      <c r="D258" s="2" t="s">
        <v>442</v>
      </c>
      <c r="E258" s="2" t="s">
        <v>391</v>
      </c>
      <c r="F258" s="21" t="n">
        <v>45743.38475</v>
      </c>
      <c r="G258" s="21" t="n">
        <v>45743.4189166667</v>
      </c>
      <c r="H258" s="10" t="n">
        <v>0.82</v>
      </c>
      <c r="I258" s="15" t="n">
        <v>45748</v>
      </c>
      <c r="J258" s="2" t="s">
        <v>629</v>
      </c>
    </row>
    <row r="259" customFormat="false" ht="15" hidden="false" customHeight="false" outlineLevel="0" collapsed="false">
      <c r="A259" s="2" t="s">
        <v>544</v>
      </c>
      <c r="B259" s="2" t="s">
        <v>96</v>
      </c>
      <c r="C259" s="4" t="n">
        <v>6</v>
      </c>
      <c r="D259" s="2" t="s">
        <v>443</v>
      </c>
      <c r="E259" s="2" t="s">
        <v>395</v>
      </c>
      <c r="F259" s="21" t="n">
        <v>45744.4680833333</v>
      </c>
      <c r="G259" s="21" t="n">
        <v>45744.67225</v>
      </c>
      <c r="H259" s="10" t="n">
        <v>3.9</v>
      </c>
      <c r="I259" s="15" t="n">
        <v>45748</v>
      </c>
      <c r="J259" s="2" t="s">
        <v>629</v>
      </c>
    </row>
    <row r="260" customFormat="false" ht="15" hidden="false" customHeight="false" outlineLevel="0" collapsed="false">
      <c r="A260" s="2" t="s">
        <v>544</v>
      </c>
      <c r="B260" s="2" t="s">
        <v>96</v>
      </c>
      <c r="C260" s="4" t="n">
        <v>7</v>
      </c>
      <c r="D260" s="2" t="s">
        <v>444</v>
      </c>
      <c r="E260" s="2" t="s">
        <v>399</v>
      </c>
      <c r="F260" s="21" t="n">
        <v>45747.4102833333</v>
      </c>
      <c r="G260" s="21" t="n">
        <v>45747.5877127778</v>
      </c>
      <c r="H260" s="10" t="n">
        <v>3.25830666666667</v>
      </c>
      <c r="I260" s="15" t="n">
        <v>45748</v>
      </c>
      <c r="J260" s="2" t="s">
        <v>629</v>
      </c>
    </row>
    <row r="261" customFormat="false" ht="15" hidden="false" customHeight="false" outlineLevel="0" collapsed="false">
      <c r="A261" s="2" t="s">
        <v>544</v>
      </c>
      <c r="B261" s="2" t="s">
        <v>96</v>
      </c>
      <c r="C261" s="4" t="n">
        <v>8</v>
      </c>
      <c r="D261" s="2" t="s">
        <v>445</v>
      </c>
      <c r="E261" s="2" t="s">
        <v>402</v>
      </c>
      <c r="F261" s="21" t="n">
        <v>45747.5877127778</v>
      </c>
      <c r="G261" s="21" t="n">
        <v>45747.6317266667</v>
      </c>
      <c r="H261" s="10" t="n">
        <v>1.05633333333333</v>
      </c>
      <c r="I261" s="15" t="n">
        <v>45748</v>
      </c>
      <c r="J261" s="2" t="s">
        <v>629</v>
      </c>
    </row>
    <row r="262" customFormat="false" ht="15" hidden="false" customHeight="false" outlineLevel="0" collapsed="false">
      <c r="A262" s="2" t="s">
        <v>544</v>
      </c>
      <c r="B262" s="2" t="s">
        <v>96</v>
      </c>
      <c r="C262" s="4" t="n">
        <v>9</v>
      </c>
      <c r="D262" s="2" t="s">
        <v>447</v>
      </c>
      <c r="E262" s="2" t="s">
        <v>421</v>
      </c>
      <c r="F262" s="21" t="n">
        <v>45747.6317266667</v>
      </c>
      <c r="G262" s="21" t="n">
        <v>45747.6629766667</v>
      </c>
      <c r="H262" s="10" t="n">
        <v>0.75</v>
      </c>
      <c r="I262" s="15" t="n">
        <v>45748</v>
      </c>
      <c r="J262" s="2" t="s">
        <v>629</v>
      </c>
    </row>
    <row r="263" customFormat="false" ht="15" hidden="false" customHeight="false" outlineLevel="0" collapsed="false">
      <c r="A263" s="2" t="s">
        <v>544</v>
      </c>
      <c r="B263" s="2" t="s">
        <v>96</v>
      </c>
      <c r="C263" s="4" t="n">
        <v>10</v>
      </c>
      <c r="D263" s="2" t="s">
        <v>449</v>
      </c>
      <c r="E263" s="2" t="s">
        <v>423</v>
      </c>
      <c r="F263" s="21" t="n">
        <v>45747.6629766667</v>
      </c>
      <c r="G263" s="21" t="n">
        <v>45747.6808794444</v>
      </c>
      <c r="H263" s="10" t="n">
        <v>0.429666666666667</v>
      </c>
      <c r="I263" s="15" t="n">
        <v>45748</v>
      </c>
      <c r="J263" s="2" t="s">
        <v>629</v>
      </c>
    </row>
    <row r="264" customFormat="false" ht="15" hidden="false" customHeight="false" outlineLevel="0" collapsed="false">
      <c r="A264" s="2" t="s">
        <v>544</v>
      </c>
      <c r="B264" s="2" t="s">
        <v>96</v>
      </c>
      <c r="C264" s="4" t="n">
        <v>11</v>
      </c>
      <c r="D264" s="2" t="s">
        <v>450</v>
      </c>
      <c r="E264" s="2" t="s">
        <v>406</v>
      </c>
      <c r="F264" s="21" t="n">
        <v>45749.4502277778</v>
      </c>
      <c r="G264" s="21" t="n">
        <v>45750.3580402778</v>
      </c>
      <c r="H264" s="10" t="n">
        <v>5.7875</v>
      </c>
      <c r="I264" s="15" t="n">
        <v>45748</v>
      </c>
      <c r="J264" s="2" t="s">
        <v>629</v>
      </c>
    </row>
    <row r="265" customFormat="false" ht="15" hidden="false" customHeight="false" outlineLevel="0" collapsed="false">
      <c r="A265" s="2" t="s">
        <v>544</v>
      </c>
      <c r="B265" s="2" t="s">
        <v>96</v>
      </c>
      <c r="C265" s="4" t="n">
        <v>12</v>
      </c>
      <c r="D265" s="2" t="s">
        <v>451</v>
      </c>
      <c r="E265" s="2" t="s">
        <v>408</v>
      </c>
      <c r="F265" s="21" t="n">
        <v>45750.3580402778</v>
      </c>
      <c r="G265" s="21" t="n">
        <v>45750.3772694444</v>
      </c>
      <c r="H265" s="10" t="n">
        <v>0.4615</v>
      </c>
      <c r="I265" s="15" t="n">
        <v>45748</v>
      </c>
      <c r="J265" s="2" t="s">
        <v>629</v>
      </c>
    </row>
    <row r="266" customFormat="false" ht="15" hidden="false" customHeight="false" outlineLevel="0" collapsed="false">
      <c r="A266" s="2" t="s">
        <v>544</v>
      </c>
      <c r="B266" s="2" t="s">
        <v>96</v>
      </c>
      <c r="C266" s="4" t="n">
        <v>13</v>
      </c>
      <c r="D266" s="2" t="s">
        <v>452</v>
      </c>
      <c r="E266" s="2" t="s">
        <v>411</v>
      </c>
      <c r="F266" s="21" t="n">
        <v>45750.3772694444</v>
      </c>
      <c r="G266" s="21" t="n">
        <v>45750.4029638889</v>
      </c>
      <c r="H266" s="10" t="n">
        <v>0.616666666666667</v>
      </c>
      <c r="I266" s="15" t="n">
        <v>45748</v>
      </c>
      <c r="J266" s="2" t="s">
        <v>629</v>
      </c>
    </row>
    <row r="267" customFormat="false" ht="15" hidden="false" customHeight="false" outlineLevel="0" collapsed="false">
      <c r="A267" s="2" t="s">
        <v>546</v>
      </c>
      <c r="B267" s="2" t="s">
        <v>108</v>
      </c>
      <c r="C267" s="4" t="n">
        <v>1</v>
      </c>
      <c r="D267" s="2" t="s">
        <v>437</v>
      </c>
      <c r="E267" s="2" t="s">
        <v>375</v>
      </c>
      <c r="F267" s="21" t="n">
        <v>45734.6408784722</v>
      </c>
      <c r="G267" s="21" t="n">
        <v>45735.5511840278</v>
      </c>
      <c r="H267" s="10" t="n">
        <v>5.84733333333333</v>
      </c>
      <c r="I267" s="15" t="n">
        <v>45747</v>
      </c>
      <c r="J267" s="2" t="s">
        <v>629</v>
      </c>
    </row>
    <row r="268" customFormat="false" ht="15" hidden="false" customHeight="false" outlineLevel="0" collapsed="false">
      <c r="A268" s="2" t="s">
        <v>546</v>
      </c>
      <c r="B268" s="2" t="s">
        <v>108</v>
      </c>
      <c r="C268" s="4" t="n">
        <v>2</v>
      </c>
      <c r="D268" s="2" t="s">
        <v>386</v>
      </c>
      <c r="E268" s="2" t="s">
        <v>383</v>
      </c>
      <c r="F268" s="21" t="n">
        <v>45740.4585</v>
      </c>
      <c r="G268" s="21" t="n">
        <v>45740.6196111111</v>
      </c>
      <c r="H268" s="10" t="n">
        <v>2.86666666666667</v>
      </c>
      <c r="I268" s="15" t="n">
        <v>45747</v>
      </c>
      <c r="J268" s="2" t="s">
        <v>629</v>
      </c>
    </row>
    <row r="269" customFormat="false" ht="15" hidden="false" customHeight="false" outlineLevel="0" collapsed="false">
      <c r="A269" s="2" t="s">
        <v>546</v>
      </c>
      <c r="B269" s="2" t="s">
        <v>108</v>
      </c>
      <c r="C269" s="4" t="n">
        <v>3</v>
      </c>
      <c r="D269" s="2" t="s">
        <v>390</v>
      </c>
      <c r="E269" s="2" t="s">
        <v>387</v>
      </c>
      <c r="F269" s="21" t="n">
        <v>45742.7036388889</v>
      </c>
      <c r="G269" s="21" t="n">
        <v>45744.6661388889</v>
      </c>
      <c r="H269" s="10" t="n">
        <v>15.1</v>
      </c>
      <c r="I269" s="15" t="n">
        <v>45747</v>
      </c>
      <c r="J269" s="2" t="s">
        <v>629</v>
      </c>
    </row>
    <row r="270" customFormat="false" ht="15" hidden="false" customHeight="false" outlineLevel="0" collapsed="false">
      <c r="A270" s="2" t="s">
        <v>546</v>
      </c>
      <c r="B270" s="2" t="s">
        <v>108</v>
      </c>
      <c r="C270" s="4" t="n">
        <v>4</v>
      </c>
      <c r="D270" s="2" t="s">
        <v>443</v>
      </c>
      <c r="E270" s="2" t="s">
        <v>395</v>
      </c>
      <c r="F270" s="21" t="n">
        <v>45744.67225</v>
      </c>
      <c r="G270" s="21" t="n">
        <v>45747.4055833333</v>
      </c>
      <c r="H270" s="10" t="n">
        <v>2.6</v>
      </c>
      <c r="I270" s="15" t="n">
        <v>45747</v>
      </c>
      <c r="J270" s="2" t="s">
        <v>629</v>
      </c>
    </row>
    <row r="271" customFormat="false" ht="15" hidden="false" customHeight="false" outlineLevel="0" collapsed="false">
      <c r="A271" s="2" t="s">
        <v>546</v>
      </c>
      <c r="B271" s="2" t="s">
        <v>108</v>
      </c>
      <c r="C271" s="4" t="n">
        <v>5</v>
      </c>
      <c r="D271" s="2" t="s">
        <v>444</v>
      </c>
      <c r="E271" s="2" t="s">
        <v>399</v>
      </c>
      <c r="F271" s="21" t="n">
        <v>45747.5877127778</v>
      </c>
      <c r="G271" s="21" t="n">
        <v>45748.3732461111</v>
      </c>
      <c r="H271" s="10" t="n">
        <v>3.8528</v>
      </c>
      <c r="I271" s="15" t="n">
        <v>45747</v>
      </c>
      <c r="J271" s="2" t="s">
        <v>629</v>
      </c>
    </row>
    <row r="272" customFormat="false" ht="15" hidden="false" customHeight="false" outlineLevel="0" collapsed="false">
      <c r="A272" s="2" t="s">
        <v>546</v>
      </c>
      <c r="B272" s="2" t="s">
        <v>108</v>
      </c>
      <c r="C272" s="4" t="n">
        <v>6</v>
      </c>
      <c r="D272" s="2" t="s">
        <v>445</v>
      </c>
      <c r="E272" s="2" t="s">
        <v>402</v>
      </c>
      <c r="F272" s="21" t="n">
        <v>45748.3732461111</v>
      </c>
      <c r="G272" s="21" t="n">
        <v>45748.4100377778</v>
      </c>
      <c r="H272" s="10" t="n">
        <v>0.883</v>
      </c>
      <c r="I272" s="15" t="n">
        <v>45747</v>
      </c>
      <c r="J272" s="2" t="s">
        <v>629</v>
      </c>
    </row>
    <row r="273" customFormat="false" ht="15" hidden="false" customHeight="false" outlineLevel="0" collapsed="false">
      <c r="A273" s="2" t="s">
        <v>546</v>
      </c>
      <c r="B273" s="2" t="s">
        <v>108</v>
      </c>
      <c r="C273" s="4" t="n">
        <v>7</v>
      </c>
      <c r="D273" s="2" t="s">
        <v>447</v>
      </c>
      <c r="E273" s="2" t="s">
        <v>421</v>
      </c>
      <c r="F273" s="21" t="n">
        <v>45748.4100377778</v>
      </c>
      <c r="G273" s="21" t="n">
        <v>45748.4412877778</v>
      </c>
      <c r="H273" s="10" t="n">
        <v>0.75</v>
      </c>
      <c r="I273" s="15" t="n">
        <v>45747</v>
      </c>
      <c r="J273" s="2" t="s">
        <v>629</v>
      </c>
    </row>
    <row r="274" customFormat="false" ht="15" hidden="false" customHeight="false" outlineLevel="0" collapsed="false">
      <c r="A274" s="2" t="s">
        <v>546</v>
      </c>
      <c r="B274" s="2" t="s">
        <v>108</v>
      </c>
      <c r="C274" s="4" t="n">
        <v>8</v>
      </c>
      <c r="D274" s="2" t="s">
        <v>449</v>
      </c>
      <c r="E274" s="2" t="s">
        <v>423</v>
      </c>
      <c r="F274" s="21" t="n">
        <v>45748.4412877778</v>
      </c>
      <c r="G274" s="21" t="n">
        <v>45748.4569266667</v>
      </c>
      <c r="H274" s="10" t="n">
        <v>0.375333333333333</v>
      </c>
      <c r="I274" s="15" t="n">
        <v>45747</v>
      </c>
      <c r="J274" s="2" t="s">
        <v>629</v>
      </c>
    </row>
    <row r="275" customFormat="false" ht="15" hidden="false" customHeight="false" outlineLevel="0" collapsed="false">
      <c r="A275" s="2" t="s">
        <v>546</v>
      </c>
      <c r="B275" s="2" t="s">
        <v>108</v>
      </c>
      <c r="C275" s="4" t="n">
        <v>9</v>
      </c>
      <c r="D275" s="2" t="s">
        <v>450</v>
      </c>
      <c r="E275" s="2" t="s">
        <v>406</v>
      </c>
      <c r="F275" s="21" t="n">
        <v>45750.3580402778</v>
      </c>
      <c r="G275" s="21" t="n">
        <v>45750.6382486111</v>
      </c>
      <c r="H275" s="10" t="n">
        <v>5.725</v>
      </c>
      <c r="I275" s="15" t="n">
        <v>45747</v>
      </c>
      <c r="J275" s="2" t="s">
        <v>629</v>
      </c>
    </row>
    <row r="276" customFormat="false" ht="15" hidden="false" customHeight="false" outlineLevel="0" collapsed="false">
      <c r="A276" s="2" t="s">
        <v>546</v>
      </c>
      <c r="B276" s="2" t="s">
        <v>108</v>
      </c>
      <c r="C276" s="4" t="n">
        <v>10</v>
      </c>
      <c r="D276" s="2" t="s">
        <v>451</v>
      </c>
      <c r="E276" s="2" t="s">
        <v>408</v>
      </c>
      <c r="F276" s="21" t="n">
        <v>45750.6382486111</v>
      </c>
      <c r="G276" s="21" t="n">
        <v>45750.6543041667</v>
      </c>
      <c r="H276" s="10" t="n">
        <v>0.385333333333333</v>
      </c>
      <c r="I276" s="15" t="n">
        <v>45747</v>
      </c>
      <c r="J276" s="2" t="s">
        <v>629</v>
      </c>
    </row>
    <row r="277" customFormat="false" ht="15" hidden="false" customHeight="false" outlineLevel="0" collapsed="false">
      <c r="A277" s="2" t="s">
        <v>546</v>
      </c>
      <c r="B277" s="2" t="s">
        <v>108</v>
      </c>
      <c r="C277" s="4" t="n">
        <v>11</v>
      </c>
      <c r="D277" s="2" t="s">
        <v>452</v>
      </c>
      <c r="E277" s="2" t="s">
        <v>411</v>
      </c>
      <c r="F277" s="21" t="n">
        <v>45750.6543041667</v>
      </c>
      <c r="G277" s="21" t="n">
        <v>45750.6756097222</v>
      </c>
      <c r="H277" s="10" t="n">
        <v>0.511333333333333</v>
      </c>
      <c r="I277" s="15" t="n">
        <v>45747</v>
      </c>
      <c r="J277" s="2" t="s">
        <v>629</v>
      </c>
    </row>
    <row r="278" customFormat="false" ht="15" hidden="false" customHeight="false" outlineLevel="0" collapsed="false">
      <c r="A278" s="2" t="s">
        <v>548</v>
      </c>
      <c r="B278" s="2" t="s">
        <v>121</v>
      </c>
      <c r="C278" s="4" t="n">
        <v>1</v>
      </c>
      <c r="D278" s="2" t="s">
        <v>437</v>
      </c>
      <c r="E278" s="2" t="s">
        <v>375</v>
      </c>
      <c r="F278" s="21" t="n">
        <v>45735.5511840278</v>
      </c>
      <c r="G278" s="21" t="n">
        <v>45736.4311840278</v>
      </c>
      <c r="H278" s="10" t="n">
        <v>6.12</v>
      </c>
      <c r="I278" s="15" t="n">
        <v>45748</v>
      </c>
      <c r="J278" s="2" t="s">
        <v>629</v>
      </c>
    </row>
    <row r="279" customFormat="false" ht="15" hidden="false" customHeight="false" outlineLevel="0" collapsed="false">
      <c r="A279" s="2" t="s">
        <v>548</v>
      </c>
      <c r="B279" s="2" t="s">
        <v>121</v>
      </c>
      <c r="C279" s="4" t="n">
        <v>2</v>
      </c>
      <c r="D279" s="2" t="s">
        <v>441</v>
      </c>
      <c r="E279" s="2" t="s">
        <v>380</v>
      </c>
      <c r="F279" s="21" t="n">
        <v>45736.4311840278</v>
      </c>
      <c r="G279" s="21" t="n">
        <v>45736.7025729167</v>
      </c>
      <c r="H279" s="10" t="n">
        <v>5.51333333333333</v>
      </c>
      <c r="I279" s="15" t="n">
        <v>45748</v>
      </c>
      <c r="J279" s="2" t="s">
        <v>629</v>
      </c>
    </row>
    <row r="280" customFormat="false" ht="15" hidden="false" customHeight="false" outlineLevel="0" collapsed="false">
      <c r="A280" s="2" t="s">
        <v>548</v>
      </c>
      <c r="B280" s="2" t="s">
        <v>121</v>
      </c>
      <c r="C280" s="4" t="n">
        <v>3</v>
      </c>
      <c r="D280" s="2" t="s">
        <v>386</v>
      </c>
      <c r="E280" s="2" t="s">
        <v>383</v>
      </c>
      <c r="F280" s="21" t="n">
        <v>45740.6196111111</v>
      </c>
      <c r="G280" s="21" t="n">
        <v>45741.6737777778</v>
      </c>
      <c r="H280" s="10" t="n">
        <v>9.3</v>
      </c>
      <c r="I280" s="15" t="n">
        <v>45748</v>
      </c>
      <c r="J280" s="2" t="s">
        <v>629</v>
      </c>
    </row>
    <row r="281" customFormat="false" ht="15" hidden="false" customHeight="false" outlineLevel="0" collapsed="false">
      <c r="A281" s="2" t="s">
        <v>548</v>
      </c>
      <c r="B281" s="2" t="s">
        <v>121</v>
      </c>
      <c r="C281" s="4" t="n">
        <v>4</v>
      </c>
      <c r="D281" s="2" t="s">
        <v>390</v>
      </c>
      <c r="E281" s="2" t="s">
        <v>387</v>
      </c>
      <c r="F281" s="21" t="n">
        <v>45744.6661388889</v>
      </c>
      <c r="G281" s="21" t="n">
        <v>45748.5980833333</v>
      </c>
      <c r="H281" s="10" t="n">
        <v>14.3666666666667</v>
      </c>
      <c r="I281" s="15" t="n">
        <v>45748</v>
      </c>
      <c r="J281" s="2" t="s">
        <v>629</v>
      </c>
    </row>
    <row r="282" customFormat="false" ht="15" hidden="false" customHeight="false" outlineLevel="0" collapsed="false">
      <c r="A282" s="2" t="s">
        <v>548</v>
      </c>
      <c r="B282" s="2" t="s">
        <v>121</v>
      </c>
      <c r="C282" s="4" t="n">
        <v>5</v>
      </c>
      <c r="D282" s="2" t="s">
        <v>443</v>
      </c>
      <c r="E282" s="2" t="s">
        <v>395</v>
      </c>
      <c r="F282" s="21" t="n">
        <v>45748.5980833333</v>
      </c>
      <c r="G282" s="21" t="n">
        <v>45749.4855833333</v>
      </c>
      <c r="H282" s="10" t="n">
        <v>6.3</v>
      </c>
      <c r="I282" s="15" t="n">
        <v>45748</v>
      </c>
      <c r="J282" s="2" t="s">
        <v>629</v>
      </c>
    </row>
    <row r="283" customFormat="false" ht="15" hidden="false" customHeight="false" outlineLevel="0" collapsed="false">
      <c r="A283" s="2" t="s">
        <v>548</v>
      </c>
      <c r="B283" s="2" t="s">
        <v>121</v>
      </c>
      <c r="C283" s="4" t="n">
        <v>6</v>
      </c>
      <c r="D283" s="2" t="s">
        <v>444</v>
      </c>
      <c r="E283" s="2" t="s">
        <v>399</v>
      </c>
      <c r="F283" s="21" t="n">
        <v>45749.4855833333</v>
      </c>
      <c r="G283" s="21" t="n">
        <v>45749.7013833333</v>
      </c>
      <c r="H283" s="10" t="n">
        <v>4.1792</v>
      </c>
      <c r="I283" s="15" t="n">
        <v>45748</v>
      </c>
      <c r="J283" s="2" t="s">
        <v>629</v>
      </c>
    </row>
    <row r="284" customFormat="false" ht="15" hidden="false" customHeight="false" outlineLevel="0" collapsed="false">
      <c r="A284" s="2" t="s">
        <v>548</v>
      </c>
      <c r="B284" s="2" t="s">
        <v>121</v>
      </c>
      <c r="C284" s="4" t="n">
        <v>7</v>
      </c>
      <c r="D284" s="2" t="s">
        <v>445</v>
      </c>
      <c r="E284" s="2" t="s">
        <v>402</v>
      </c>
      <c r="F284" s="21" t="n">
        <v>45749.7013833333</v>
      </c>
      <c r="G284" s="21" t="n">
        <v>45750.3804111111</v>
      </c>
      <c r="H284" s="10" t="n">
        <v>1.29666666666667</v>
      </c>
      <c r="I284" s="15" t="n">
        <v>45748</v>
      </c>
      <c r="J284" s="2" t="s">
        <v>629</v>
      </c>
    </row>
    <row r="285" customFormat="false" ht="15" hidden="false" customHeight="false" outlineLevel="0" collapsed="false">
      <c r="A285" s="2" t="s">
        <v>548</v>
      </c>
      <c r="B285" s="2" t="s">
        <v>121</v>
      </c>
      <c r="C285" s="4" t="n">
        <v>8</v>
      </c>
      <c r="D285" s="2" t="s">
        <v>447</v>
      </c>
      <c r="E285" s="2" t="s">
        <v>421</v>
      </c>
      <c r="F285" s="21" t="n">
        <v>45750.3804111111</v>
      </c>
      <c r="G285" s="21" t="n">
        <v>45750.4116611111</v>
      </c>
      <c r="H285" s="10" t="n">
        <v>0.75</v>
      </c>
      <c r="I285" s="15" t="n">
        <v>45748</v>
      </c>
      <c r="J285" s="2" t="s">
        <v>629</v>
      </c>
    </row>
    <row r="286" customFormat="false" ht="15" hidden="false" customHeight="false" outlineLevel="0" collapsed="false">
      <c r="A286" s="2" t="s">
        <v>548</v>
      </c>
      <c r="B286" s="2" t="s">
        <v>121</v>
      </c>
      <c r="C286" s="4" t="n">
        <v>9</v>
      </c>
      <c r="D286" s="2" t="s">
        <v>449</v>
      </c>
      <c r="E286" s="2" t="s">
        <v>423</v>
      </c>
      <c r="F286" s="21" t="n">
        <v>45750.4116611111</v>
      </c>
      <c r="G286" s="21" t="n">
        <v>45750.4336055556</v>
      </c>
      <c r="H286" s="10" t="n">
        <v>0.526666666666667</v>
      </c>
      <c r="I286" s="15" t="n">
        <v>45748</v>
      </c>
      <c r="J286" s="2" t="s">
        <v>629</v>
      </c>
    </row>
    <row r="287" customFormat="false" ht="15" hidden="false" customHeight="false" outlineLevel="0" collapsed="false">
      <c r="A287" s="2" t="s">
        <v>548</v>
      </c>
      <c r="B287" s="2" t="s">
        <v>121</v>
      </c>
      <c r="C287" s="4" t="n">
        <v>10</v>
      </c>
      <c r="D287" s="2" t="s">
        <v>450</v>
      </c>
      <c r="E287" s="2" t="s">
        <v>406</v>
      </c>
      <c r="F287" s="21" t="n">
        <v>45750.6382486111</v>
      </c>
      <c r="G287" s="21" t="n">
        <v>45754.3611652778</v>
      </c>
      <c r="H287" s="10" t="n">
        <v>10.35</v>
      </c>
      <c r="I287" s="15" t="n">
        <v>45748</v>
      </c>
      <c r="J287" s="2" t="s">
        <v>629</v>
      </c>
    </row>
    <row r="288" customFormat="false" ht="15" hidden="false" customHeight="false" outlineLevel="0" collapsed="false">
      <c r="A288" s="2" t="s">
        <v>548</v>
      </c>
      <c r="B288" s="2" t="s">
        <v>121</v>
      </c>
      <c r="C288" s="4" t="n">
        <v>11</v>
      </c>
      <c r="D288" s="2" t="s">
        <v>451</v>
      </c>
      <c r="E288" s="2" t="s">
        <v>408</v>
      </c>
      <c r="F288" s="21" t="n">
        <v>45754.3611652778</v>
      </c>
      <c r="G288" s="21" t="n">
        <v>45754.3865125</v>
      </c>
      <c r="H288" s="10" t="n">
        <v>0.608333333333333</v>
      </c>
      <c r="I288" s="15" t="n">
        <v>45748</v>
      </c>
      <c r="J288" s="2" t="s">
        <v>629</v>
      </c>
    </row>
    <row r="289" customFormat="false" ht="15" hidden="false" customHeight="false" outlineLevel="0" collapsed="false">
      <c r="A289" s="2" t="s">
        <v>548</v>
      </c>
      <c r="B289" s="2" t="s">
        <v>121</v>
      </c>
      <c r="C289" s="4" t="n">
        <v>12</v>
      </c>
      <c r="D289" s="2" t="s">
        <v>452</v>
      </c>
      <c r="E289" s="2" t="s">
        <v>411</v>
      </c>
      <c r="F289" s="21" t="n">
        <v>45754.3865125</v>
      </c>
      <c r="G289" s="21" t="n">
        <v>45754.4203319444</v>
      </c>
      <c r="H289" s="10" t="n">
        <v>0.811666666666667</v>
      </c>
      <c r="I289" s="15" t="n">
        <v>45748</v>
      </c>
      <c r="J289" s="2" t="s">
        <v>629</v>
      </c>
    </row>
    <row r="290" customFormat="false" ht="15" hidden="false" customHeight="false" outlineLevel="0" collapsed="false">
      <c r="A290" s="2" t="s">
        <v>549</v>
      </c>
      <c r="B290" s="2" t="s">
        <v>80</v>
      </c>
      <c r="C290" s="4" t="n">
        <v>1</v>
      </c>
      <c r="D290" s="2" t="s">
        <v>437</v>
      </c>
      <c r="E290" s="2" t="s">
        <v>375</v>
      </c>
      <c r="F290" s="21" t="n">
        <v>45750.3333333333</v>
      </c>
      <c r="G290" s="21" t="n">
        <v>45750.6746111111</v>
      </c>
      <c r="H290" s="10" t="n">
        <v>7.19066666666667</v>
      </c>
      <c r="I290" s="15" t="n">
        <v>45767</v>
      </c>
      <c r="J290" s="2" t="s">
        <v>629</v>
      </c>
    </row>
    <row r="291" customFormat="false" ht="15" hidden="false" customHeight="false" outlineLevel="0" collapsed="false">
      <c r="A291" s="2" t="s">
        <v>549</v>
      </c>
      <c r="B291" s="2" t="s">
        <v>80</v>
      </c>
      <c r="C291" s="4" t="n">
        <v>2</v>
      </c>
      <c r="D291" s="2" t="s">
        <v>441</v>
      </c>
      <c r="E291" s="2" t="s">
        <v>380</v>
      </c>
      <c r="F291" s="21" t="n">
        <v>45750.6746111111</v>
      </c>
      <c r="G291" s="21" t="n">
        <v>45754.3400555556</v>
      </c>
      <c r="H291" s="10" t="n">
        <v>8.97066666666667</v>
      </c>
      <c r="I291" s="15" t="n">
        <v>45767</v>
      </c>
      <c r="J291" s="2" t="s">
        <v>629</v>
      </c>
    </row>
    <row r="292" customFormat="false" ht="15" hidden="false" customHeight="false" outlineLevel="0" collapsed="false">
      <c r="A292" s="2" t="s">
        <v>549</v>
      </c>
      <c r="B292" s="2" t="s">
        <v>80</v>
      </c>
      <c r="C292" s="4" t="n">
        <v>3</v>
      </c>
      <c r="D292" s="2" t="s">
        <v>386</v>
      </c>
      <c r="E292" s="2" t="s">
        <v>383</v>
      </c>
      <c r="F292" s="21" t="n">
        <v>45754.3400555556</v>
      </c>
      <c r="G292" s="21" t="n">
        <v>45755.5889444445</v>
      </c>
      <c r="H292" s="10" t="n">
        <v>12.9733333333333</v>
      </c>
      <c r="I292" s="15" t="n">
        <v>45767</v>
      </c>
      <c r="J292" s="2" t="s">
        <v>629</v>
      </c>
    </row>
    <row r="293" customFormat="false" ht="15" hidden="false" customHeight="false" outlineLevel="0" collapsed="false">
      <c r="A293" s="2" t="s">
        <v>549</v>
      </c>
      <c r="B293" s="2" t="s">
        <v>80</v>
      </c>
      <c r="C293" s="4" t="n">
        <v>4</v>
      </c>
      <c r="D293" s="2" t="s">
        <v>390</v>
      </c>
      <c r="E293" s="2" t="s">
        <v>387</v>
      </c>
      <c r="F293" s="21" t="n">
        <v>45755.5889444445</v>
      </c>
      <c r="G293" s="21" t="n">
        <v>45757.3972777778</v>
      </c>
      <c r="H293" s="10" t="n">
        <v>12.4</v>
      </c>
      <c r="I293" s="15" t="n">
        <v>45767</v>
      </c>
      <c r="J293" s="2" t="s">
        <v>629</v>
      </c>
    </row>
    <row r="294" customFormat="false" ht="15" hidden="false" customHeight="false" outlineLevel="0" collapsed="false">
      <c r="A294" s="2" t="s">
        <v>549</v>
      </c>
      <c r="B294" s="2" t="s">
        <v>80</v>
      </c>
      <c r="C294" s="4" t="n">
        <v>5</v>
      </c>
      <c r="D294" s="2" t="s">
        <v>442</v>
      </c>
      <c r="E294" s="2" t="s">
        <v>391</v>
      </c>
      <c r="F294" s="21" t="n">
        <v>45757.3972777778</v>
      </c>
      <c r="G294" s="21" t="n">
        <v>45761.3978333333</v>
      </c>
      <c r="H294" s="10" t="n">
        <v>16.0133333333333</v>
      </c>
      <c r="I294" s="15" t="n">
        <v>45767</v>
      </c>
      <c r="J294" s="2" t="s">
        <v>629</v>
      </c>
    </row>
    <row r="295" customFormat="false" ht="15" hidden="false" customHeight="false" outlineLevel="0" collapsed="false">
      <c r="A295" s="2" t="s">
        <v>549</v>
      </c>
      <c r="B295" s="2" t="s">
        <v>80</v>
      </c>
      <c r="C295" s="4" t="n">
        <v>6</v>
      </c>
      <c r="D295" s="2" t="s">
        <v>443</v>
      </c>
      <c r="E295" s="2" t="s">
        <v>395</v>
      </c>
      <c r="F295" s="21" t="n">
        <v>45761.3978333333</v>
      </c>
      <c r="G295" s="21" t="n">
        <v>45762.4186666667</v>
      </c>
      <c r="H295" s="10" t="n">
        <v>8.5</v>
      </c>
      <c r="I295" s="15" t="n">
        <v>45767</v>
      </c>
      <c r="J295" s="2" t="s">
        <v>629</v>
      </c>
    </row>
    <row r="296" customFormat="false" ht="15" hidden="false" customHeight="false" outlineLevel="0" collapsed="false">
      <c r="A296" s="2" t="s">
        <v>549</v>
      </c>
      <c r="B296" s="2" t="s">
        <v>80</v>
      </c>
      <c r="C296" s="4" t="n">
        <v>7</v>
      </c>
      <c r="D296" s="2" t="s">
        <v>444</v>
      </c>
      <c r="E296" s="2" t="s">
        <v>399</v>
      </c>
      <c r="F296" s="21" t="n">
        <v>45762.4186666667</v>
      </c>
      <c r="G296" s="21" t="n">
        <v>45763.3413733333</v>
      </c>
      <c r="H296" s="10" t="n">
        <v>6.14496</v>
      </c>
      <c r="I296" s="15" t="n">
        <v>45767</v>
      </c>
      <c r="J296" s="2" t="s">
        <v>629</v>
      </c>
    </row>
    <row r="297" customFormat="false" ht="15" hidden="false" customHeight="false" outlineLevel="0" collapsed="false">
      <c r="A297" s="2" t="s">
        <v>549</v>
      </c>
      <c r="B297" s="2" t="s">
        <v>80</v>
      </c>
      <c r="C297" s="4" t="n">
        <v>8</v>
      </c>
      <c r="D297" s="2" t="s">
        <v>445</v>
      </c>
      <c r="E297" s="2" t="s">
        <v>402</v>
      </c>
      <c r="F297" s="21" t="n">
        <v>45763.3413733333</v>
      </c>
      <c r="G297" s="21" t="n">
        <v>45763.4248733333</v>
      </c>
      <c r="H297" s="10" t="n">
        <v>2.004</v>
      </c>
      <c r="I297" s="15" t="n">
        <v>45767</v>
      </c>
      <c r="J297" s="2" t="s">
        <v>629</v>
      </c>
    </row>
    <row r="298" customFormat="false" ht="15" hidden="false" customHeight="false" outlineLevel="0" collapsed="false">
      <c r="A298" s="2" t="s">
        <v>549</v>
      </c>
      <c r="B298" s="2" t="s">
        <v>80</v>
      </c>
      <c r="C298" s="4" t="n">
        <v>9</v>
      </c>
      <c r="D298" s="2" t="s">
        <v>447</v>
      </c>
      <c r="E298" s="2" t="s">
        <v>421</v>
      </c>
      <c r="F298" s="21" t="n">
        <v>45763.4248733333</v>
      </c>
      <c r="G298" s="21" t="n">
        <v>45763.4873733333</v>
      </c>
      <c r="H298" s="10" t="n">
        <v>1.5</v>
      </c>
      <c r="I298" s="15" t="n">
        <v>45767</v>
      </c>
      <c r="J298" s="2" t="s">
        <v>629</v>
      </c>
    </row>
    <row r="299" customFormat="false" ht="15" hidden="false" customHeight="false" outlineLevel="0" collapsed="false">
      <c r="A299" s="2" t="s">
        <v>549</v>
      </c>
      <c r="B299" s="2" t="s">
        <v>80</v>
      </c>
      <c r="C299" s="4" t="n">
        <v>10</v>
      </c>
      <c r="D299" s="2" t="s">
        <v>449</v>
      </c>
      <c r="E299" s="2" t="s">
        <v>423</v>
      </c>
      <c r="F299" s="21" t="n">
        <v>45763.4873733333</v>
      </c>
      <c r="G299" s="21" t="n">
        <v>45763.5625677778</v>
      </c>
      <c r="H299" s="10" t="n">
        <v>0.804666666666667</v>
      </c>
      <c r="I299" s="15" t="n">
        <v>45767</v>
      </c>
      <c r="J299" s="2" t="s">
        <v>629</v>
      </c>
    </row>
    <row r="300" customFormat="false" ht="15" hidden="false" customHeight="false" outlineLevel="0" collapsed="false">
      <c r="A300" s="2" t="s">
        <v>549</v>
      </c>
      <c r="B300" s="2" t="s">
        <v>80</v>
      </c>
      <c r="C300" s="4" t="n">
        <v>11</v>
      </c>
      <c r="D300" s="2" t="s">
        <v>450</v>
      </c>
      <c r="E300" s="2" t="s">
        <v>406</v>
      </c>
      <c r="F300" s="21" t="n">
        <v>45763.5625677778</v>
      </c>
      <c r="G300" s="21" t="n">
        <v>45765.3625677778</v>
      </c>
      <c r="H300" s="10" t="n">
        <v>12.2</v>
      </c>
      <c r="I300" s="15" t="n">
        <v>45767</v>
      </c>
      <c r="J300" s="2" t="s">
        <v>629</v>
      </c>
    </row>
    <row r="301" customFormat="false" ht="15" hidden="false" customHeight="false" outlineLevel="0" collapsed="false">
      <c r="A301" s="2" t="s">
        <v>549</v>
      </c>
      <c r="B301" s="2" t="s">
        <v>80</v>
      </c>
      <c r="C301" s="4" t="n">
        <v>12</v>
      </c>
      <c r="D301" s="2" t="s">
        <v>451</v>
      </c>
      <c r="E301" s="2" t="s">
        <v>408</v>
      </c>
      <c r="F301" s="21" t="n">
        <v>45765.3625677778</v>
      </c>
      <c r="G301" s="21" t="n">
        <v>45765.3975122222</v>
      </c>
      <c r="H301" s="10" t="n">
        <v>0.838666666666667</v>
      </c>
      <c r="I301" s="15" t="n">
        <v>45767</v>
      </c>
      <c r="J301" s="2" t="s">
        <v>629</v>
      </c>
    </row>
    <row r="302" customFormat="false" ht="15" hidden="false" customHeight="false" outlineLevel="0" collapsed="false">
      <c r="A302" s="2" t="s">
        <v>549</v>
      </c>
      <c r="B302" s="2" t="s">
        <v>80</v>
      </c>
      <c r="C302" s="4" t="n">
        <v>13</v>
      </c>
      <c r="D302" s="2" t="s">
        <v>452</v>
      </c>
      <c r="E302" s="2" t="s">
        <v>411</v>
      </c>
      <c r="F302" s="21" t="n">
        <v>45765.3975122222</v>
      </c>
      <c r="G302" s="21" t="n">
        <v>45765.4444566667</v>
      </c>
      <c r="H302" s="10" t="n">
        <v>1.12666666666667</v>
      </c>
      <c r="I302" s="15" t="n">
        <v>45767</v>
      </c>
      <c r="J302" s="2" t="s">
        <v>629</v>
      </c>
    </row>
    <row r="303" customFormat="false" ht="15" hidden="false" customHeight="false" outlineLevel="0" collapsed="false">
      <c r="A303" s="2" t="s">
        <v>551</v>
      </c>
      <c r="B303" s="2" t="s">
        <v>94</v>
      </c>
      <c r="C303" s="4" t="n">
        <v>1</v>
      </c>
      <c r="D303" s="2" t="s">
        <v>437</v>
      </c>
      <c r="E303" s="2" t="s">
        <v>375</v>
      </c>
      <c r="F303" s="21" t="n">
        <v>45750.6746111111</v>
      </c>
      <c r="G303" s="21" t="n">
        <v>45754.3484166667</v>
      </c>
      <c r="H303" s="10" t="n">
        <v>9.17133333333333</v>
      </c>
      <c r="I303" s="15" t="n">
        <v>45765</v>
      </c>
      <c r="J303" s="2" t="s">
        <v>629</v>
      </c>
    </row>
    <row r="304" customFormat="false" ht="15" hidden="false" customHeight="false" outlineLevel="0" collapsed="false">
      <c r="A304" s="2" t="s">
        <v>551</v>
      </c>
      <c r="B304" s="2" t="s">
        <v>94</v>
      </c>
      <c r="C304" s="4" t="n">
        <v>2</v>
      </c>
      <c r="D304" s="2" t="s">
        <v>441</v>
      </c>
      <c r="E304" s="2" t="s">
        <v>380</v>
      </c>
      <c r="F304" s="21" t="n">
        <v>45754.3484166667</v>
      </c>
      <c r="G304" s="21" t="n">
        <v>45754.3788888889</v>
      </c>
      <c r="H304" s="10" t="n">
        <v>0.731333333333333</v>
      </c>
      <c r="I304" s="15" t="n">
        <v>45765</v>
      </c>
      <c r="J304" s="2" t="s">
        <v>629</v>
      </c>
    </row>
    <row r="305" customFormat="false" ht="15" hidden="false" customHeight="false" outlineLevel="0" collapsed="false">
      <c r="A305" s="2" t="s">
        <v>551</v>
      </c>
      <c r="B305" s="2" t="s">
        <v>94</v>
      </c>
      <c r="C305" s="4" t="n">
        <v>3</v>
      </c>
      <c r="D305" s="2" t="s">
        <v>386</v>
      </c>
      <c r="E305" s="2" t="s">
        <v>383</v>
      </c>
      <c r="F305" s="21" t="n">
        <v>45755.5889444445</v>
      </c>
      <c r="G305" s="21" t="n">
        <v>45756.6667222222</v>
      </c>
      <c r="H305" s="10" t="n">
        <v>9.86666666666667</v>
      </c>
      <c r="I305" s="15" t="n">
        <v>45765</v>
      </c>
      <c r="J305" s="2" t="s">
        <v>629</v>
      </c>
    </row>
    <row r="306" customFormat="false" ht="15" hidden="false" customHeight="false" outlineLevel="0" collapsed="false">
      <c r="A306" s="2" t="s">
        <v>551</v>
      </c>
      <c r="B306" s="2" t="s">
        <v>94</v>
      </c>
      <c r="C306" s="4" t="n">
        <v>4</v>
      </c>
      <c r="D306" s="2" t="s">
        <v>390</v>
      </c>
      <c r="E306" s="2" t="s">
        <v>387</v>
      </c>
      <c r="F306" s="21" t="n">
        <v>45757.3972777778</v>
      </c>
      <c r="G306" s="21" t="n">
        <v>45761.5972777778</v>
      </c>
      <c r="H306" s="10" t="n">
        <v>19.8</v>
      </c>
      <c r="I306" s="15" t="n">
        <v>45765</v>
      </c>
      <c r="J306" s="2" t="s">
        <v>629</v>
      </c>
    </row>
    <row r="307" customFormat="false" ht="15" hidden="false" customHeight="false" outlineLevel="0" collapsed="false">
      <c r="A307" s="2" t="s">
        <v>551</v>
      </c>
      <c r="B307" s="2" t="s">
        <v>94</v>
      </c>
      <c r="C307" s="4" t="n">
        <v>5</v>
      </c>
      <c r="D307" s="2" t="s">
        <v>443</v>
      </c>
      <c r="E307" s="2" t="s">
        <v>395</v>
      </c>
      <c r="F307" s="21" t="n">
        <v>45762.4186666667</v>
      </c>
      <c r="G307" s="21" t="n">
        <v>45762.6749166667</v>
      </c>
      <c r="H307" s="10" t="n">
        <v>5.15</v>
      </c>
      <c r="I307" s="15" t="n">
        <v>45765</v>
      </c>
      <c r="J307" s="2" t="s">
        <v>629</v>
      </c>
    </row>
    <row r="308" customFormat="false" ht="15" hidden="false" customHeight="false" outlineLevel="0" collapsed="false">
      <c r="A308" s="2" t="s">
        <v>551</v>
      </c>
      <c r="B308" s="2" t="s">
        <v>94</v>
      </c>
      <c r="C308" s="4" t="n">
        <v>6</v>
      </c>
      <c r="D308" s="2" t="s">
        <v>444</v>
      </c>
      <c r="E308" s="2" t="s">
        <v>399</v>
      </c>
      <c r="F308" s="21" t="n">
        <v>45763.3413733333</v>
      </c>
      <c r="G308" s="21" t="n">
        <v>45763.55602</v>
      </c>
      <c r="H308" s="10" t="n">
        <v>4.15152</v>
      </c>
      <c r="I308" s="15" t="n">
        <v>45765</v>
      </c>
      <c r="J308" s="2" t="s">
        <v>629</v>
      </c>
    </row>
    <row r="309" customFormat="false" ht="15" hidden="false" customHeight="false" outlineLevel="0" collapsed="false">
      <c r="A309" s="2" t="s">
        <v>551</v>
      </c>
      <c r="B309" s="2" t="s">
        <v>94</v>
      </c>
      <c r="C309" s="4" t="n">
        <v>7</v>
      </c>
      <c r="D309" s="2" t="s">
        <v>445</v>
      </c>
      <c r="E309" s="2" t="s">
        <v>402</v>
      </c>
      <c r="F309" s="21" t="n">
        <v>45763.55602</v>
      </c>
      <c r="G309" s="21" t="n">
        <v>45763.5966866667</v>
      </c>
      <c r="H309" s="10" t="n">
        <v>0.976</v>
      </c>
      <c r="I309" s="15" t="n">
        <v>45765</v>
      </c>
      <c r="J309" s="2" t="s">
        <v>629</v>
      </c>
    </row>
    <row r="310" customFormat="false" ht="15" hidden="false" customHeight="false" outlineLevel="0" collapsed="false">
      <c r="A310" s="2" t="s">
        <v>551</v>
      </c>
      <c r="B310" s="2" t="s">
        <v>94</v>
      </c>
      <c r="C310" s="4" t="n">
        <v>8</v>
      </c>
      <c r="D310" s="2" t="s">
        <v>447</v>
      </c>
      <c r="E310" s="2" t="s">
        <v>421</v>
      </c>
      <c r="F310" s="21" t="n">
        <v>45763.5966866667</v>
      </c>
      <c r="G310" s="21" t="n">
        <v>45763.6279366667</v>
      </c>
      <c r="H310" s="10" t="n">
        <v>0.75</v>
      </c>
      <c r="I310" s="15" t="n">
        <v>45765</v>
      </c>
      <c r="J310" s="2" t="s">
        <v>629</v>
      </c>
    </row>
    <row r="311" customFormat="false" ht="15" hidden="false" customHeight="false" outlineLevel="0" collapsed="false">
      <c r="A311" s="2" t="s">
        <v>551</v>
      </c>
      <c r="B311" s="2" t="s">
        <v>94</v>
      </c>
      <c r="C311" s="4" t="n">
        <v>9</v>
      </c>
      <c r="D311" s="2" t="s">
        <v>449</v>
      </c>
      <c r="E311" s="2" t="s">
        <v>423</v>
      </c>
      <c r="F311" s="21" t="n">
        <v>45763.6279366667</v>
      </c>
      <c r="G311" s="21" t="n">
        <v>45763.6444505556</v>
      </c>
      <c r="H311" s="10" t="n">
        <v>0.396333333333333</v>
      </c>
      <c r="I311" s="15" t="n">
        <v>45765</v>
      </c>
      <c r="J311" s="2" t="s">
        <v>629</v>
      </c>
    </row>
    <row r="312" customFormat="false" ht="15" hidden="false" customHeight="false" outlineLevel="0" collapsed="false">
      <c r="A312" s="2" t="s">
        <v>551</v>
      </c>
      <c r="B312" s="2" t="s">
        <v>94</v>
      </c>
      <c r="C312" s="4" t="n">
        <v>10</v>
      </c>
      <c r="D312" s="2" t="s">
        <v>450</v>
      </c>
      <c r="E312" s="2" t="s">
        <v>406</v>
      </c>
      <c r="F312" s="21" t="n">
        <v>45765.3625677778</v>
      </c>
      <c r="G312" s="21" t="n">
        <v>45765.6959011111</v>
      </c>
      <c r="H312" s="10" t="n">
        <v>7</v>
      </c>
      <c r="I312" s="15" t="n">
        <v>45765</v>
      </c>
      <c r="J312" s="2" t="s">
        <v>629</v>
      </c>
    </row>
    <row r="313" customFormat="false" ht="15" hidden="false" customHeight="false" outlineLevel="0" collapsed="false">
      <c r="A313" s="2" t="s">
        <v>551</v>
      </c>
      <c r="B313" s="2" t="s">
        <v>94</v>
      </c>
      <c r="C313" s="4" t="n">
        <v>11</v>
      </c>
      <c r="D313" s="2" t="s">
        <v>451</v>
      </c>
      <c r="E313" s="2" t="s">
        <v>408</v>
      </c>
      <c r="F313" s="21" t="n">
        <v>45765.6959011111</v>
      </c>
      <c r="G313" s="21" t="n">
        <v>45768.3380816667</v>
      </c>
      <c r="H313" s="10" t="n">
        <v>0.412333333333333</v>
      </c>
      <c r="I313" s="15" t="n">
        <v>45765</v>
      </c>
      <c r="J313" s="2" t="s">
        <v>629</v>
      </c>
    </row>
    <row r="314" customFormat="false" ht="15" hidden="false" customHeight="false" outlineLevel="0" collapsed="false">
      <c r="A314" s="2" t="s">
        <v>551</v>
      </c>
      <c r="B314" s="2" t="s">
        <v>94</v>
      </c>
      <c r="C314" s="4" t="n">
        <v>12</v>
      </c>
      <c r="D314" s="2" t="s">
        <v>452</v>
      </c>
      <c r="E314" s="2" t="s">
        <v>411</v>
      </c>
      <c r="F314" s="21" t="n">
        <v>45768.3380816667</v>
      </c>
      <c r="G314" s="21" t="n">
        <v>45768.3610538889</v>
      </c>
      <c r="H314" s="10" t="n">
        <v>0.551333333333333</v>
      </c>
      <c r="I314" s="15" t="n">
        <v>45765</v>
      </c>
      <c r="J314" s="2" t="s">
        <v>629</v>
      </c>
    </row>
    <row r="315" customFormat="false" ht="15" hidden="false" customHeight="false" outlineLevel="0" collapsed="false">
      <c r="A315" s="2" t="s">
        <v>553</v>
      </c>
      <c r="B315" s="2" t="s">
        <v>106</v>
      </c>
      <c r="C315" s="4" t="n">
        <v>1</v>
      </c>
      <c r="D315" s="2" t="s">
        <v>437</v>
      </c>
      <c r="E315" s="2" t="s">
        <v>375</v>
      </c>
      <c r="F315" s="21" t="n">
        <v>45754.3484166667</v>
      </c>
      <c r="G315" s="21" t="n">
        <v>45754.4937118056</v>
      </c>
      <c r="H315" s="10" t="n">
        <v>3.48708333333333</v>
      </c>
      <c r="I315" s="15" t="n">
        <v>45764</v>
      </c>
      <c r="J315" s="2" t="s">
        <v>629</v>
      </c>
    </row>
    <row r="316" customFormat="false" ht="15" hidden="false" customHeight="false" outlineLevel="0" collapsed="false">
      <c r="A316" s="2" t="s">
        <v>553</v>
      </c>
      <c r="B316" s="2" t="s">
        <v>106</v>
      </c>
      <c r="C316" s="4" t="n">
        <v>2</v>
      </c>
      <c r="D316" s="2" t="s">
        <v>386</v>
      </c>
      <c r="E316" s="2" t="s">
        <v>383</v>
      </c>
      <c r="F316" s="21" t="n">
        <v>45756.6667222222</v>
      </c>
      <c r="G316" s="21" t="n">
        <v>45757.3500555556</v>
      </c>
      <c r="H316" s="10" t="n">
        <v>1.4</v>
      </c>
      <c r="I316" s="15" t="n">
        <v>45764</v>
      </c>
      <c r="J316" s="2" t="s">
        <v>629</v>
      </c>
    </row>
    <row r="317" customFormat="false" ht="15" hidden="false" customHeight="false" outlineLevel="0" collapsed="false">
      <c r="A317" s="2" t="s">
        <v>553</v>
      </c>
      <c r="B317" s="2" t="s">
        <v>106</v>
      </c>
      <c r="C317" s="4" t="n">
        <v>3</v>
      </c>
      <c r="D317" s="2" t="s">
        <v>390</v>
      </c>
      <c r="E317" s="2" t="s">
        <v>387</v>
      </c>
      <c r="F317" s="21" t="n">
        <v>45761.5972777778</v>
      </c>
      <c r="G317" s="21" t="n">
        <v>45762.6333888889</v>
      </c>
      <c r="H317" s="10" t="n">
        <v>8.86666666666667</v>
      </c>
      <c r="I317" s="15" t="n">
        <v>45764</v>
      </c>
      <c r="J317" s="2" t="s">
        <v>629</v>
      </c>
    </row>
    <row r="318" customFormat="false" ht="15" hidden="false" customHeight="false" outlineLevel="0" collapsed="false">
      <c r="A318" s="2" t="s">
        <v>553</v>
      </c>
      <c r="B318" s="2" t="s">
        <v>106</v>
      </c>
      <c r="C318" s="4" t="n">
        <v>4</v>
      </c>
      <c r="D318" s="2" t="s">
        <v>443</v>
      </c>
      <c r="E318" s="2" t="s">
        <v>395</v>
      </c>
      <c r="F318" s="21" t="n">
        <v>45762.6749166667</v>
      </c>
      <c r="G318" s="21" t="n">
        <v>45763.3645</v>
      </c>
      <c r="H318" s="10" t="n">
        <v>1.55</v>
      </c>
      <c r="I318" s="15" t="n">
        <v>45764</v>
      </c>
      <c r="J318" s="2" t="s">
        <v>629</v>
      </c>
    </row>
    <row r="319" customFormat="false" ht="15" hidden="false" customHeight="false" outlineLevel="0" collapsed="false">
      <c r="A319" s="2" t="s">
        <v>553</v>
      </c>
      <c r="B319" s="2" t="s">
        <v>106</v>
      </c>
      <c r="C319" s="4" t="n">
        <v>5</v>
      </c>
      <c r="D319" s="2" t="s">
        <v>444</v>
      </c>
      <c r="E319" s="2" t="s">
        <v>399</v>
      </c>
      <c r="F319" s="21" t="n">
        <v>45763.55602</v>
      </c>
      <c r="G319" s="21" t="n">
        <v>45763.6515894445</v>
      </c>
      <c r="H319" s="10" t="n">
        <v>2.29366666666667</v>
      </c>
      <c r="I319" s="15" t="n">
        <v>45764</v>
      </c>
      <c r="J319" s="2" t="s">
        <v>629</v>
      </c>
    </row>
    <row r="320" customFormat="false" ht="15" hidden="false" customHeight="false" outlineLevel="0" collapsed="false">
      <c r="A320" s="2" t="s">
        <v>553</v>
      </c>
      <c r="B320" s="2" t="s">
        <v>106</v>
      </c>
      <c r="C320" s="4" t="n">
        <v>6</v>
      </c>
      <c r="D320" s="2" t="s">
        <v>445</v>
      </c>
      <c r="E320" s="2" t="s">
        <v>402</v>
      </c>
      <c r="F320" s="21" t="n">
        <v>45763.6515894445</v>
      </c>
      <c r="G320" s="21" t="n">
        <v>45763.6836380556</v>
      </c>
      <c r="H320" s="10" t="n">
        <v>0.769166666666667</v>
      </c>
      <c r="I320" s="15" t="n">
        <v>45764</v>
      </c>
      <c r="J320" s="2" t="s">
        <v>629</v>
      </c>
    </row>
    <row r="321" customFormat="false" ht="15" hidden="false" customHeight="false" outlineLevel="0" collapsed="false">
      <c r="A321" s="2" t="s">
        <v>553</v>
      </c>
      <c r="B321" s="2" t="s">
        <v>106</v>
      </c>
      <c r="C321" s="4" t="n">
        <v>7</v>
      </c>
      <c r="D321" s="2" t="s">
        <v>447</v>
      </c>
      <c r="E321" s="2" t="s">
        <v>421</v>
      </c>
      <c r="F321" s="21" t="n">
        <v>45763.6836380556</v>
      </c>
      <c r="G321" s="21" t="n">
        <v>45764.3398880556</v>
      </c>
      <c r="H321" s="10" t="n">
        <v>0.75</v>
      </c>
      <c r="I321" s="15" t="n">
        <v>45764</v>
      </c>
      <c r="J321" s="2" t="s">
        <v>629</v>
      </c>
    </row>
    <row r="322" customFormat="false" ht="15" hidden="false" customHeight="false" outlineLevel="0" collapsed="false">
      <c r="A322" s="2" t="s">
        <v>553</v>
      </c>
      <c r="B322" s="2" t="s">
        <v>106</v>
      </c>
      <c r="C322" s="4" t="n">
        <v>8</v>
      </c>
      <c r="D322" s="2" t="s">
        <v>449</v>
      </c>
      <c r="E322" s="2" t="s">
        <v>423</v>
      </c>
      <c r="F322" s="21" t="n">
        <v>45764.3398880556</v>
      </c>
      <c r="G322" s="21" t="n">
        <v>45764.3538463889</v>
      </c>
      <c r="H322" s="10" t="n">
        <v>0.335</v>
      </c>
      <c r="I322" s="15" t="n">
        <v>45764</v>
      </c>
      <c r="J322" s="2" t="s">
        <v>629</v>
      </c>
    </row>
    <row r="323" customFormat="false" ht="15" hidden="false" customHeight="false" outlineLevel="0" collapsed="false">
      <c r="A323" s="2" t="s">
        <v>553</v>
      </c>
      <c r="B323" s="2" t="s">
        <v>106</v>
      </c>
      <c r="C323" s="4" t="n">
        <v>9</v>
      </c>
      <c r="D323" s="2" t="s">
        <v>450</v>
      </c>
      <c r="E323" s="2" t="s">
        <v>406</v>
      </c>
      <c r="F323" s="21" t="n">
        <v>45765.6959011111</v>
      </c>
      <c r="G323" s="21" t="n">
        <v>45768.4709011111</v>
      </c>
      <c r="H323" s="10" t="n">
        <v>3.6</v>
      </c>
      <c r="I323" s="15" t="n">
        <v>45764</v>
      </c>
      <c r="J323" s="2" t="s">
        <v>629</v>
      </c>
    </row>
    <row r="324" customFormat="false" ht="15" hidden="false" customHeight="false" outlineLevel="0" collapsed="false">
      <c r="A324" s="2" t="s">
        <v>553</v>
      </c>
      <c r="B324" s="2" t="s">
        <v>106</v>
      </c>
      <c r="C324" s="4" t="n">
        <v>10</v>
      </c>
      <c r="D324" s="2" t="s">
        <v>451</v>
      </c>
      <c r="E324" s="2" t="s">
        <v>408</v>
      </c>
      <c r="F324" s="21" t="n">
        <v>45768.4709011111</v>
      </c>
      <c r="G324" s="21" t="n">
        <v>45768.4845122222</v>
      </c>
      <c r="H324" s="10" t="n">
        <v>0.326666666666667</v>
      </c>
      <c r="I324" s="15" t="n">
        <v>45764</v>
      </c>
      <c r="J324" s="2" t="s">
        <v>629</v>
      </c>
    </row>
    <row r="325" customFormat="false" ht="15" hidden="false" customHeight="false" outlineLevel="0" collapsed="false">
      <c r="A325" s="2" t="s">
        <v>553</v>
      </c>
      <c r="B325" s="2" t="s">
        <v>106</v>
      </c>
      <c r="C325" s="4" t="n">
        <v>11</v>
      </c>
      <c r="D325" s="2" t="s">
        <v>452</v>
      </c>
      <c r="E325" s="2" t="s">
        <v>411</v>
      </c>
      <c r="F325" s="21" t="n">
        <v>45768.4845122222</v>
      </c>
      <c r="G325" s="21" t="n">
        <v>45768.544165</v>
      </c>
      <c r="H325" s="10" t="n">
        <v>0.431666666666667</v>
      </c>
      <c r="I325" s="15" t="n">
        <v>45764</v>
      </c>
      <c r="J325" s="2" t="s">
        <v>629</v>
      </c>
    </row>
    <row r="326" customFormat="false" ht="15" hidden="false" customHeight="false" outlineLevel="0" collapsed="false">
      <c r="A326" s="2" t="s">
        <v>555</v>
      </c>
      <c r="B326" s="2" t="s">
        <v>119</v>
      </c>
      <c r="C326" s="4" t="n">
        <v>1</v>
      </c>
      <c r="D326" s="2" t="s">
        <v>437</v>
      </c>
      <c r="E326" s="2" t="s">
        <v>375</v>
      </c>
      <c r="F326" s="21" t="n">
        <v>45754.4937118056</v>
      </c>
      <c r="G326" s="21" t="n">
        <v>45755.4128784722</v>
      </c>
      <c r="H326" s="10" t="n">
        <v>6.06</v>
      </c>
      <c r="I326" s="15" t="n">
        <v>45765</v>
      </c>
      <c r="J326" s="2" t="s">
        <v>629</v>
      </c>
    </row>
    <row r="327" customFormat="false" ht="15" hidden="false" customHeight="false" outlineLevel="0" collapsed="false">
      <c r="A327" s="2" t="s">
        <v>555</v>
      </c>
      <c r="B327" s="2" t="s">
        <v>119</v>
      </c>
      <c r="C327" s="4" t="n">
        <v>2</v>
      </c>
      <c r="D327" s="2" t="s">
        <v>386</v>
      </c>
      <c r="E327" s="2" t="s">
        <v>383</v>
      </c>
      <c r="F327" s="21" t="n">
        <v>45757.3500555556</v>
      </c>
      <c r="G327" s="21" t="n">
        <v>45757.3972777778</v>
      </c>
      <c r="H327" s="10" t="n">
        <v>1.13333333333333</v>
      </c>
      <c r="I327" s="15" t="n">
        <v>45765</v>
      </c>
      <c r="J327" s="2" t="s">
        <v>629</v>
      </c>
    </row>
    <row r="328" customFormat="false" ht="15" hidden="false" customHeight="false" outlineLevel="0" collapsed="false">
      <c r="A328" s="2" t="s">
        <v>555</v>
      </c>
      <c r="B328" s="2" t="s">
        <v>119</v>
      </c>
      <c r="C328" s="4" t="n">
        <v>3</v>
      </c>
      <c r="D328" s="2" t="s">
        <v>390</v>
      </c>
      <c r="E328" s="2" t="s">
        <v>387</v>
      </c>
      <c r="F328" s="21" t="n">
        <v>45762.6333888889</v>
      </c>
      <c r="G328" s="21" t="n">
        <v>45764.5722777778</v>
      </c>
      <c r="H328" s="10" t="n">
        <v>14.5333333333333</v>
      </c>
      <c r="I328" s="15" t="n">
        <v>45765</v>
      </c>
      <c r="J328" s="2" t="s">
        <v>629</v>
      </c>
    </row>
    <row r="329" customFormat="false" ht="15" hidden="false" customHeight="false" outlineLevel="0" collapsed="false">
      <c r="A329" s="2" t="s">
        <v>555</v>
      </c>
      <c r="B329" s="2" t="s">
        <v>119</v>
      </c>
      <c r="C329" s="4" t="n">
        <v>4</v>
      </c>
      <c r="D329" s="2" t="s">
        <v>443</v>
      </c>
      <c r="E329" s="2" t="s">
        <v>395</v>
      </c>
      <c r="F329" s="21" t="n">
        <v>45764.5722777778</v>
      </c>
      <c r="G329" s="21" t="n">
        <v>45764.6785277778</v>
      </c>
      <c r="H329" s="10" t="n">
        <v>2.55</v>
      </c>
      <c r="I329" s="15" t="n">
        <v>45765</v>
      </c>
      <c r="J329" s="2" t="s">
        <v>629</v>
      </c>
    </row>
    <row r="330" customFormat="false" ht="15" hidden="false" customHeight="false" outlineLevel="0" collapsed="false">
      <c r="A330" s="2" t="s">
        <v>555</v>
      </c>
      <c r="B330" s="2" t="s">
        <v>119</v>
      </c>
      <c r="C330" s="4" t="n">
        <v>5</v>
      </c>
      <c r="D330" s="2" t="s">
        <v>444</v>
      </c>
      <c r="E330" s="2" t="s">
        <v>399</v>
      </c>
      <c r="F330" s="21" t="n">
        <v>45764.6785277778</v>
      </c>
      <c r="G330" s="21" t="n">
        <v>45765.48625</v>
      </c>
      <c r="H330" s="10" t="n">
        <v>4.38533333333333</v>
      </c>
      <c r="I330" s="15" t="n">
        <v>45765</v>
      </c>
      <c r="J330" s="2" t="s">
        <v>629</v>
      </c>
    </row>
    <row r="331" customFormat="false" ht="15" hidden="false" customHeight="false" outlineLevel="0" collapsed="false">
      <c r="A331" s="2" t="s">
        <v>555</v>
      </c>
      <c r="B331" s="2" t="s">
        <v>119</v>
      </c>
      <c r="C331" s="4" t="n">
        <v>6</v>
      </c>
      <c r="D331" s="2" t="s">
        <v>445</v>
      </c>
      <c r="E331" s="2" t="s">
        <v>402</v>
      </c>
      <c r="F331" s="21" t="n">
        <v>45765.48625</v>
      </c>
      <c r="G331" s="21" t="n">
        <v>45765.5819444444</v>
      </c>
      <c r="H331" s="10" t="n">
        <v>1.29666666666667</v>
      </c>
      <c r="I331" s="15" t="n">
        <v>45765</v>
      </c>
      <c r="J331" s="2" t="s">
        <v>629</v>
      </c>
    </row>
    <row r="332" customFormat="false" ht="15" hidden="false" customHeight="false" outlineLevel="0" collapsed="false">
      <c r="A332" s="2" t="s">
        <v>555</v>
      </c>
      <c r="B332" s="2" t="s">
        <v>119</v>
      </c>
      <c r="C332" s="4" t="n">
        <v>7</v>
      </c>
      <c r="D332" s="2" t="s">
        <v>447</v>
      </c>
      <c r="E332" s="2" t="s">
        <v>421</v>
      </c>
      <c r="F332" s="21" t="n">
        <v>45765.5819444444</v>
      </c>
      <c r="G332" s="21" t="n">
        <v>45765.6131944444</v>
      </c>
      <c r="H332" s="10" t="n">
        <v>0.75</v>
      </c>
      <c r="I332" s="15" t="n">
        <v>45765</v>
      </c>
      <c r="J332" s="2" t="s">
        <v>629</v>
      </c>
    </row>
    <row r="333" customFormat="false" ht="15" hidden="false" customHeight="false" outlineLevel="0" collapsed="false">
      <c r="A333" s="2" t="s">
        <v>555</v>
      </c>
      <c r="B333" s="2" t="s">
        <v>119</v>
      </c>
      <c r="C333" s="4" t="n">
        <v>8</v>
      </c>
      <c r="D333" s="2" t="s">
        <v>449</v>
      </c>
      <c r="E333" s="2" t="s">
        <v>423</v>
      </c>
      <c r="F333" s="21" t="n">
        <v>45765.6131944444</v>
      </c>
      <c r="G333" s="21" t="n">
        <v>45765.6351388889</v>
      </c>
      <c r="H333" s="10" t="n">
        <v>0.526666666666667</v>
      </c>
      <c r="I333" s="15" t="n">
        <v>45765</v>
      </c>
      <c r="J333" s="2" t="s">
        <v>629</v>
      </c>
    </row>
    <row r="334" customFormat="false" ht="15" hidden="false" customHeight="false" outlineLevel="0" collapsed="false">
      <c r="A334" s="2" t="s">
        <v>555</v>
      </c>
      <c r="B334" s="2" t="s">
        <v>119</v>
      </c>
      <c r="C334" s="4" t="n">
        <v>9</v>
      </c>
      <c r="D334" s="2" t="s">
        <v>450</v>
      </c>
      <c r="E334" s="2" t="s">
        <v>406</v>
      </c>
      <c r="F334" s="21" t="n">
        <v>45768.4709011111</v>
      </c>
      <c r="G334" s="21" t="n">
        <v>45768.7042344444</v>
      </c>
      <c r="H334" s="10" t="n">
        <v>4.6</v>
      </c>
      <c r="I334" s="15" t="n">
        <v>45765</v>
      </c>
      <c r="J334" s="2" t="s">
        <v>629</v>
      </c>
    </row>
    <row r="335" customFormat="false" ht="15" hidden="false" customHeight="false" outlineLevel="0" collapsed="false">
      <c r="A335" s="2" t="s">
        <v>555</v>
      </c>
      <c r="B335" s="2" t="s">
        <v>119</v>
      </c>
      <c r="C335" s="4" t="n">
        <v>10</v>
      </c>
      <c r="D335" s="2" t="s">
        <v>451</v>
      </c>
      <c r="E335" s="2" t="s">
        <v>408</v>
      </c>
      <c r="F335" s="21" t="n">
        <v>45768.7042344444</v>
      </c>
      <c r="G335" s="21" t="n">
        <v>45769.3545816667</v>
      </c>
      <c r="H335" s="10" t="n">
        <v>0.608333333333333</v>
      </c>
      <c r="I335" s="15" t="n">
        <v>45765</v>
      </c>
      <c r="J335" s="2" t="s">
        <v>629</v>
      </c>
    </row>
    <row r="336" customFormat="false" ht="15" hidden="false" customHeight="false" outlineLevel="0" collapsed="false">
      <c r="A336" s="2" t="s">
        <v>555</v>
      </c>
      <c r="B336" s="2" t="s">
        <v>119</v>
      </c>
      <c r="C336" s="4" t="n">
        <v>11</v>
      </c>
      <c r="D336" s="2" t="s">
        <v>452</v>
      </c>
      <c r="E336" s="2" t="s">
        <v>411</v>
      </c>
      <c r="F336" s="21" t="n">
        <v>45769.3545816667</v>
      </c>
      <c r="G336" s="21" t="n">
        <v>45769.3884011111</v>
      </c>
      <c r="H336" s="10" t="n">
        <v>0.811666666666667</v>
      </c>
      <c r="I336" s="15" t="n">
        <v>45765</v>
      </c>
      <c r="J336" s="2" t="s">
        <v>629</v>
      </c>
    </row>
    <row r="337" customFormat="false" ht="15" hidden="false" customHeight="false" outlineLevel="0" collapsed="false">
      <c r="A337" s="2" t="s">
        <v>550</v>
      </c>
      <c r="B337" s="2" t="s">
        <v>83</v>
      </c>
      <c r="C337" s="4" t="n">
        <v>1</v>
      </c>
      <c r="D337" s="2" t="s">
        <v>437</v>
      </c>
      <c r="E337" s="2" t="s">
        <v>375</v>
      </c>
      <c r="F337" s="21" t="n">
        <v>45763.3333333333</v>
      </c>
      <c r="G337" s="21" t="n">
        <v>45763.6916944445</v>
      </c>
      <c r="H337" s="10" t="n">
        <v>7.60066666666667</v>
      </c>
      <c r="I337" s="15" t="n">
        <v>45781</v>
      </c>
      <c r="J337" s="2" t="s">
        <v>629</v>
      </c>
    </row>
    <row r="338" customFormat="false" ht="15" hidden="false" customHeight="false" outlineLevel="0" collapsed="false">
      <c r="A338" s="2" t="s">
        <v>550</v>
      </c>
      <c r="B338" s="2" t="s">
        <v>83</v>
      </c>
      <c r="C338" s="4" t="n">
        <v>2</v>
      </c>
      <c r="D338" s="2" t="s">
        <v>441</v>
      </c>
      <c r="E338" s="2" t="s">
        <v>380</v>
      </c>
      <c r="F338" s="21" t="n">
        <v>45763.6916944445</v>
      </c>
      <c r="G338" s="21" t="n">
        <v>45765.4278055556</v>
      </c>
      <c r="H338" s="10" t="n">
        <v>10.6666666666667</v>
      </c>
      <c r="I338" s="15" t="n">
        <v>45781</v>
      </c>
      <c r="J338" s="2" t="s">
        <v>629</v>
      </c>
    </row>
    <row r="339" customFormat="false" ht="15" hidden="false" customHeight="false" outlineLevel="0" collapsed="false">
      <c r="A339" s="2" t="s">
        <v>550</v>
      </c>
      <c r="B339" s="2" t="s">
        <v>83</v>
      </c>
      <c r="C339" s="4" t="n">
        <v>3</v>
      </c>
      <c r="D339" s="2" t="s">
        <v>386</v>
      </c>
      <c r="E339" s="2" t="s">
        <v>383</v>
      </c>
      <c r="F339" s="21" t="n">
        <v>45765.4278055556</v>
      </c>
      <c r="G339" s="21" t="n">
        <v>45769.4591944445</v>
      </c>
      <c r="H339" s="10" t="n">
        <v>16.7533333333333</v>
      </c>
      <c r="I339" s="15" t="n">
        <v>45781</v>
      </c>
      <c r="J339" s="2" t="s">
        <v>629</v>
      </c>
    </row>
    <row r="340" customFormat="false" ht="15" hidden="false" customHeight="false" outlineLevel="0" collapsed="false">
      <c r="A340" s="2" t="s">
        <v>550</v>
      </c>
      <c r="B340" s="2" t="s">
        <v>83</v>
      </c>
      <c r="C340" s="4" t="n">
        <v>4</v>
      </c>
      <c r="D340" s="2" t="s">
        <v>390</v>
      </c>
      <c r="E340" s="2" t="s">
        <v>387</v>
      </c>
      <c r="F340" s="21" t="n">
        <v>45769.4591944445</v>
      </c>
      <c r="G340" s="21" t="n">
        <v>45771.3841944444</v>
      </c>
      <c r="H340" s="10" t="n">
        <v>14.2</v>
      </c>
      <c r="I340" s="15" t="n">
        <v>45781</v>
      </c>
      <c r="J340" s="2" t="s">
        <v>629</v>
      </c>
    </row>
    <row r="341" customFormat="false" ht="15" hidden="false" customHeight="false" outlineLevel="0" collapsed="false">
      <c r="A341" s="2" t="s">
        <v>550</v>
      </c>
      <c r="B341" s="2" t="s">
        <v>83</v>
      </c>
      <c r="C341" s="4" t="n">
        <v>5</v>
      </c>
      <c r="D341" s="2" t="s">
        <v>442</v>
      </c>
      <c r="E341" s="2" t="s">
        <v>391</v>
      </c>
      <c r="F341" s="21" t="n">
        <v>45771.3841944444</v>
      </c>
      <c r="G341" s="21" t="n">
        <v>45775.38475</v>
      </c>
      <c r="H341" s="10" t="n">
        <v>16.0133333333333</v>
      </c>
      <c r="I341" s="15" t="n">
        <v>45781</v>
      </c>
      <c r="J341" s="2" t="s">
        <v>629</v>
      </c>
    </row>
    <row r="342" customFormat="false" ht="15" hidden="false" customHeight="false" outlineLevel="0" collapsed="false">
      <c r="A342" s="2" t="s">
        <v>550</v>
      </c>
      <c r="B342" s="2" t="s">
        <v>83</v>
      </c>
      <c r="C342" s="4" t="n">
        <v>6</v>
      </c>
      <c r="D342" s="2" t="s">
        <v>443</v>
      </c>
      <c r="E342" s="2" t="s">
        <v>395</v>
      </c>
      <c r="F342" s="21" t="n">
        <v>45775.38475</v>
      </c>
      <c r="G342" s="21" t="n">
        <v>45776.4680833333</v>
      </c>
      <c r="H342" s="10" t="n">
        <v>10</v>
      </c>
      <c r="I342" s="15" t="n">
        <v>45781</v>
      </c>
      <c r="J342" s="2" t="s">
        <v>629</v>
      </c>
    </row>
    <row r="343" customFormat="false" ht="15" hidden="false" customHeight="false" outlineLevel="0" collapsed="false">
      <c r="A343" s="2" t="s">
        <v>550</v>
      </c>
      <c r="B343" s="2" t="s">
        <v>83</v>
      </c>
      <c r="C343" s="4" t="n">
        <v>7</v>
      </c>
      <c r="D343" s="2" t="s">
        <v>444</v>
      </c>
      <c r="E343" s="2" t="s">
        <v>399</v>
      </c>
      <c r="F343" s="21" t="n">
        <v>45776.4680833333</v>
      </c>
      <c r="G343" s="21" t="n">
        <v>45777.4102833333</v>
      </c>
      <c r="H343" s="10" t="n">
        <v>6.6128</v>
      </c>
      <c r="I343" s="15" t="n">
        <v>45781</v>
      </c>
      <c r="J343" s="2" t="s">
        <v>629</v>
      </c>
    </row>
    <row r="344" customFormat="false" ht="15" hidden="false" customHeight="false" outlineLevel="0" collapsed="false">
      <c r="A344" s="2" t="s">
        <v>550</v>
      </c>
      <c r="B344" s="2" t="s">
        <v>83</v>
      </c>
      <c r="C344" s="4" t="n">
        <v>8</v>
      </c>
      <c r="D344" s="2" t="s">
        <v>445</v>
      </c>
      <c r="E344" s="2" t="s">
        <v>402</v>
      </c>
      <c r="F344" s="21" t="n">
        <v>45777.4102833333</v>
      </c>
      <c r="G344" s="21" t="n">
        <v>45777.4937833333</v>
      </c>
      <c r="H344" s="10" t="n">
        <v>2.004</v>
      </c>
      <c r="I344" s="15" t="n">
        <v>45781</v>
      </c>
      <c r="J344" s="2" t="s">
        <v>629</v>
      </c>
    </row>
    <row r="345" customFormat="false" ht="15" hidden="false" customHeight="false" outlineLevel="0" collapsed="false">
      <c r="A345" s="2" t="s">
        <v>550</v>
      </c>
      <c r="B345" s="2" t="s">
        <v>83</v>
      </c>
      <c r="C345" s="4" t="n">
        <v>9</v>
      </c>
      <c r="D345" s="2" t="s">
        <v>447</v>
      </c>
      <c r="E345" s="2" t="s">
        <v>421</v>
      </c>
      <c r="F345" s="21" t="n">
        <v>45777.4937833333</v>
      </c>
      <c r="G345" s="21" t="n">
        <v>45777.59795</v>
      </c>
      <c r="H345" s="10" t="n">
        <v>1.5</v>
      </c>
      <c r="I345" s="15" t="n">
        <v>45781</v>
      </c>
      <c r="J345" s="2" t="s">
        <v>629</v>
      </c>
    </row>
    <row r="346" customFormat="false" ht="15" hidden="false" customHeight="false" outlineLevel="0" collapsed="false">
      <c r="A346" s="2" t="s">
        <v>550</v>
      </c>
      <c r="B346" s="2" t="s">
        <v>83</v>
      </c>
      <c r="C346" s="4" t="n">
        <v>10</v>
      </c>
      <c r="D346" s="2" t="s">
        <v>449</v>
      </c>
      <c r="E346" s="2" t="s">
        <v>423</v>
      </c>
      <c r="F346" s="21" t="n">
        <v>45777.59795</v>
      </c>
      <c r="G346" s="21" t="n">
        <v>45777.6314777778</v>
      </c>
      <c r="H346" s="10" t="n">
        <v>0.804666666666667</v>
      </c>
      <c r="I346" s="15" t="n">
        <v>45781</v>
      </c>
      <c r="J346" s="2" t="s">
        <v>629</v>
      </c>
    </row>
    <row r="347" customFormat="false" ht="15" hidden="false" customHeight="false" outlineLevel="0" collapsed="false">
      <c r="A347" s="2" t="s">
        <v>550</v>
      </c>
      <c r="B347" s="2" t="s">
        <v>83</v>
      </c>
      <c r="C347" s="4" t="n">
        <v>11</v>
      </c>
      <c r="D347" s="2" t="s">
        <v>450</v>
      </c>
      <c r="E347" s="2" t="s">
        <v>406</v>
      </c>
      <c r="F347" s="21" t="n">
        <v>45777.6314777778</v>
      </c>
      <c r="G347" s="21" t="n">
        <v>45779.4502277778</v>
      </c>
      <c r="H347" s="10" t="n">
        <v>12.65</v>
      </c>
      <c r="I347" s="15" t="n">
        <v>45781</v>
      </c>
      <c r="J347" s="2" t="s">
        <v>629</v>
      </c>
    </row>
    <row r="348" customFormat="false" ht="15" hidden="false" customHeight="false" outlineLevel="0" collapsed="false">
      <c r="A348" s="2" t="s">
        <v>550</v>
      </c>
      <c r="B348" s="2" t="s">
        <v>83</v>
      </c>
      <c r="C348" s="4" t="n">
        <v>12</v>
      </c>
      <c r="D348" s="2" t="s">
        <v>451</v>
      </c>
      <c r="E348" s="2" t="s">
        <v>408</v>
      </c>
      <c r="F348" s="21" t="n">
        <v>45779.4502277778</v>
      </c>
      <c r="G348" s="21" t="n">
        <v>45779.4851722222</v>
      </c>
      <c r="H348" s="10" t="n">
        <v>0.838666666666667</v>
      </c>
      <c r="I348" s="15" t="n">
        <v>45781</v>
      </c>
      <c r="J348" s="2" t="s">
        <v>629</v>
      </c>
    </row>
    <row r="349" customFormat="false" ht="15" hidden="false" customHeight="false" outlineLevel="0" collapsed="false">
      <c r="A349" s="2" t="s">
        <v>550</v>
      </c>
      <c r="B349" s="2" t="s">
        <v>83</v>
      </c>
      <c r="C349" s="4" t="n">
        <v>13</v>
      </c>
      <c r="D349" s="2" t="s">
        <v>452</v>
      </c>
      <c r="E349" s="2" t="s">
        <v>411</v>
      </c>
      <c r="F349" s="21" t="n">
        <v>45779.4851722222</v>
      </c>
      <c r="G349" s="21" t="n">
        <v>45779.5737833333</v>
      </c>
      <c r="H349" s="10" t="n">
        <v>1.12666666666667</v>
      </c>
      <c r="I349" s="15" t="n">
        <v>45781</v>
      </c>
      <c r="J349" s="2" t="s">
        <v>629</v>
      </c>
    </row>
    <row r="350" customFormat="false" ht="15" hidden="false" customHeight="false" outlineLevel="0" collapsed="false">
      <c r="A350" s="2" t="s">
        <v>552</v>
      </c>
      <c r="B350" s="2" t="s">
        <v>96</v>
      </c>
      <c r="C350" s="4" t="n">
        <v>1</v>
      </c>
      <c r="D350" s="2" t="s">
        <v>437</v>
      </c>
      <c r="E350" s="2" t="s">
        <v>375</v>
      </c>
      <c r="F350" s="21" t="n">
        <v>45763.6916944445</v>
      </c>
      <c r="G350" s="21" t="n">
        <v>45764.6408784722</v>
      </c>
      <c r="H350" s="10" t="n">
        <v>6.78041666666667</v>
      </c>
      <c r="I350" s="15" t="n">
        <v>45779</v>
      </c>
      <c r="J350" s="2" t="s">
        <v>629</v>
      </c>
    </row>
    <row r="351" customFormat="false" ht="15" hidden="false" customHeight="false" outlineLevel="0" collapsed="false">
      <c r="A351" s="2" t="s">
        <v>552</v>
      </c>
      <c r="B351" s="2" t="s">
        <v>96</v>
      </c>
      <c r="C351" s="4" t="n">
        <v>2</v>
      </c>
      <c r="D351" s="2" t="s">
        <v>441</v>
      </c>
      <c r="E351" s="2" t="s">
        <v>380</v>
      </c>
      <c r="F351" s="21" t="n">
        <v>45765.4278055556</v>
      </c>
      <c r="G351" s="21" t="n">
        <v>45765.4638888889</v>
      </c>
      <c r="H351" s="10" t="n">
        <v>0.866</v>
      </c>
      <c r="I351" s="15" t="n">
        <v>45779</v>
      </c>
      <c r="J351" s="2" t="s">
        <v>629</v>
      </c>
    </row>
    <row r="352" customFormat="false" ht="15" hidden="false" customHeight="false" outlineLevel="0" collapsed="false">
      <c r="A352" s="2" t="s">
        <v>552</v>
      </c>
      <c r="B352" s="2" t="s">
        <v>96</v>
      </c>
      <c r="C352" s="4" t="n">
        <v>3</v>
      </c>
      <c r="D352" s="2" t="s">
        <v>386</v>
      </c>
      <c r="E352" s="2" t="s">
        <v>383</v>
      </c>
      <c r="F352" s="21" t="n">
        <v>45769.4591944445</v>
      </c>
      <c r="G352" s="21" t="n">
        <v>45770.4585</v>
      </c>
      <c r="H352" s="10" t="n">
        <v>7.98333333333333</v>
      </c>
      <c r="I352" s="15" t="n">
        <v>45779</v>
      </c>
      <c r="J352" s="2" t="s">
        <v>629</v>
      </c>
    </row>
    <row r="353" customFormat="false" ht="15" hidden="false" customHeight="false" outlineLevel="0" collapsed="false">
      <c r="A353" s="2" t="s">
        <v>552</v>
      </c>
      <c r="B353" s="2" t="s">
        <v>96</v>
      </c>
      <c r="C353" s="4" t="n">
        <v>4</v>
      </c>
      <c r="D353" s="2" t="s">
        <v>390</v>
      </c>
      <c r="E353" s="2" t="s">
        <v>387</v>
      </c>
      <c r="F353" s="21" t="n">
        <v>45771.3841944444</v>
      </c>
      <c r="G353" s="21" t="n">
        <v>45772.7036388889</v>
      </c>
      <c r="H353" s="10" t="n">
        <v>14.6666666666667</v>
      </c>
      <c r="I353" s="15" t="n">
        <v>45779</v>
      </c>
      <c r="J353" s="2" t="s">
        <v>629</v>
      </c>
    </row>
    <row r="354" customFormat="false" ht="15" hidden="false" customHeight="false" outlineLevel="0" collapsed="false">
      <c r="A354" s="2" t="s">
        <v>552</v>
      </c>
      <c r="B354" s="2" t="s">
        <v>96</v>
      </c>
      <c r="C354" s="4" t="n">
        <v>5</v>
      </c>
      <c r="D354" s="2" t="s">
        <v>442</v>
      </c>
      <c r="E354" s="2" t="s">
        <v>391</v>
      </c>
      <c r="F354" s="21" t="n">
        <v>45775.38475</v>
      </c>
      <c r="G354" s="21" t="n">
        <v>45775.4189166667</v>
      </c>
      <c r="H354" s="10" t="n">
        <v>0.82</v>
      </c>
      <c r="I354" s="15" t="n">
        <v>45779</v>
      </c>
      <c r="J354" s="2" t="s">
        <v>629</v>
      </c>
    </row>
    <row r="355" customFormat="false" ht="15" hidden="false" customHeight="false" outlineLevel="0" collapsed="false">
      <c r="A355" s="2" t="s">
        <v>552</v>
      </c>
      <c r="B355" s="2" t="s">
        <v>96</v>
      </c>
      <c r="C355" s="4" t="n">
        <v>6</v>
      </c>
      <c r="D355" s="2" t="s">
        <v>443</v>
      </c>
      <c r="E355" s="2" t="s">
        <v>395</v>
      </c>
      <c r="F355" s="21" t="n">
        <v>45776.4680833333</v>
      </c>
      <c r="G355" s="21" t="n">
        <v>45776.67225</v>
      </c>
      <c r="H355" s="10" t="n">
        <v>3.9</v>
      </c>
      <c r="I355" s="15" t="n">
        <v>45779</v>
      </c>
      <c r="J355" s="2" t="s">
        <v>629</v>
      </c>
    </row>
    <row r="356" customFormat="false" ht="15" hidden="false" customHeight="false" outlineLevel="0" collapsed="false">
      <c r="A356" s="2" t="s">
        <v>552</v>
      </c>
      <c r="B356" s="2" t="s">
        <v>96</v>
      </c>
      <c r="C356" s="4" t="n">
        <v>7</v>
      </c>
      <c r="D356" s="2" t="s">
        <v>444</v>
      </c>
      <c r="E356" s="2" t="s">
        <v>399</v>
      </c>
      <c r="F356" s="21" t="n">
        <v>45777.4102833333</v>
      </c>
      <c r="G356" s="21" t="n">
        <v>45777.5877127778</v>
      </c>
      <c r="H356" s="10" t="n">
        <v>3.25830666666667</v>
      </c>
      <c r="I356" s="15" t="n">
        <v>45779</v>
      </c>
      <c r="J356" s="2" t="s">
        <v>629</v>
      </c>
    </row>
    <row r="357" customFormat="false" ht="15" hidden="false" customHeight="false" outlineLevel="0" collapsed="false">
      <c r="A357" s="2" t="s">
        <v>552</v>
      </c>
      <c r="B357" s="2" t="s">
        <v>96</v>
      </c>
      <c r="C357" s="4" t="n">
        <v>8</v>
      </c>
      <c r="D357" s="2" t="s">
        <v>445</v>
      </c>
      <c r="E357" s="2" t="s">
        <v>402</v>
      </c>
      <c r="F357" s="21" t="n">
        <v>45777.5877127778</v>
      </c>
      <c r="G357" s="21" t="n">
        <v>45777.6317266667</v>
      </c>
      <c r="H357" s="10" t="n">
        <v>1.05633333333333</v>
      </c>
      <c r="I357" s="15" t="n">
        <v>45779</v>
      </c>
      <c r="J357" s="2" t="s">
        <v>629</v>
      </c>
    </row>
    <row r="358" customFormat="false" ht="15" hidden="false" customHeight="false" outlineLevel="0" collapsed="false">
      <c r="A358" s="2" t="s">
        <v>552</v>
      </c>
      <c r="B358" s="2" t="s">
        <v>96</v>
      </c>
      <c r="C358" s="4" t="n">
        <v>9</v>
      </c>
      <c r="D358" s="2" t="s">
        <v>447</v>
      </c>
      <c r="E358" s="2" t="s">
        <v>421</v>
      </c>
      <c r="F358" s="21" t="n">
        <v>45777.6317266667</v>
      </c>
      <c r="G358" s="21" t="n">
        <v>45777.6629766667</v>
      </c>
      <c r="H358" s="10" t="n">
        <v>0.75</v>
      </c>
      <c r="I358" s="15" t="n">
        <v>45779</v>
      </c>
      <c r="J358" s="2" t="s">
        <v>629</v>
      </c>
    </row>
    <row r="359" customFormat="false" ht="15" hidden="false" customHeight="false" outlineLevel="0" collapsed="false">
      <c r="A359" s="2" t="s">
        <v>552</v>
      </c>
      <c r="B359" s="2" t="s">
        <v>96</v>
      </c>
      <c r="C359" s="4" t="n">
        <v>10</v>
      </c>
      <c r="D359" s="2" t="s">
        <v>449</v>
      </c>
      <c r="E359" s="2" t="s">
        <v>423</v>
      </c>
      <c r="F359" s="21" t="n">
        <v>45777.6629766667</v>
      </c>
      <c r="G359" s="21" t="n">
        <v>45777.6808794444</v>
      </c>
      <c r="H359" s="10" t="n">
        <v>0.429666666666667</v>
      </c>
      <c r="I359" s="15" t="n">
        <v>45779</v>
      </c>
      <c r="J359" s="2" t="s">
        <v>629</v>
      </c>
    </row>
    <row r="360" customFormat="false" ht="15" hidden="false" customHeight="false" outlineLevel="0" collapsed="false">
      <c r="A360" s="2" t="s">
        <v>552</v>
      </c>
      <c r="B360" s="2" t="s">
        <v>96</v>
      </c>
      <c r="C360" s="4" t="n">
        <v>11</v>
      </c>
      <c r="D360" s="2" t="s">
        <v>450</v>
      </c>
      <c r="E360" s="2" t="s">
        <v>406</v>
      </c>
      <c r="F360" s="21" t="n">
        <v>45779.4502277778</v>
      </c>
      <c r="G360" s="21" t="n">
        <v>45782.3580402778</v>
      </c>
      <c r="H360" s="10" t="n">
        <v>5.7875</v>
      </c>
      <c r="I360" s="15" t="n">
        <v>45779</v>
      </c>
      <c r="J360" s="2" t="s">
        <v>629</v>
      </c>
    </row>
    <row r="361" customFormat="false" ht="15" hidden="false" customHeight="false" outlineLevel="0" collapsed="false">
      <c r="A361" s="2" t="s">
        <v>552</v>
      </c>
      <c r="B361" s="2" t="s">
        <v>96</v>
      </c>
      <c r="C361" s="4" t="n">
        <v>12</v>
      </c>
      <c r="D361" s="2" t="s">
        <v>451</v>
      </c>
      <c r="E361" s="2" t="s">
        <v>408</v>
      </c>
      <c r="F361" s="21" t="n">
        <v>45782.3580402778</v>
      </c>
      <c r="G361" s="21" t="n">
        <v>45782.3772694444</v>
      </c>
      <c r="H361" s="10" t="n">
        <v>0.4615</v>
      </c>
      <c r="I361" s="15" t="n">
        <v>45779</v>
      </c>
      <c r="J361" s="2" t="s">
        <v>629</v>
      </c>
    </row>
    <row r="362" customFormat="false" ht="15" hidden="false" customHeight="false" outlineLevel="0" collapsed="false">
      <c r="A362" s="2" t="s">
        <v>552</v>
      </c>
      <c r="B362" s="2" t="s">
        <v>96</v>
      </c>
      <c r="C362" s="4" t="n">
        <v>13</v>
      </c>
      <c r="D362" s="2" t="s">
        <v>452</v>
      </c>
      <c r="E362" s="2" t="s">
        <v>411</v>
      </c>
      <c r="F362" s="21" t="n">
        <v>45782.3772694444</v>
      </c>
      <c r="G362" s="21" t="n">
        <v>45782.4029638889</v>
      </c>
      <c r="H362" s="10" t="n">
        <v>0.616666666666667</v>
      </c>
      <c r="I362" s="15" t="n">
        <v>45779</v>
      </c>
      <c r="J362" s="2" t="s">
        <v>629</v>
      </c>
    </row>
    <row r="363" customFormat="false" ht="15" hidden="false" customHeight="false" outlineLevel="0" collapsed="false">
      <c r="A363" s="2" t="s">
        <v>554</v>
      </c>
      <c r="B363" s="2" t="s">
        <v>108</v>
      </c>
      <c r="C363" s="4" t="n">
        <v>1</v>
      </c>
      <c r="D363" s="2" t="s">
        <v>437</v>
      </c>
      <c r="E363" s="2" t="s">
        <v>375</v>
      </c>
      <c r="F363" s="21" t="n">
        <v>45764.6408784722</v>
      </c>
      <c r="G363" s="21" t="n">
        <v>45765.5511840278</v>
      </c>
      <c r="H363" s="10" t="n">
        <v>5.84733333333333</v>
      </c>
      <c r="I363" s="15" t="n">
        <v>45778</v>
      </c>
      <c r="J363" s="2" t="s">
        <v>629</v>
      </c>
    </row>
    <row r="364" customFormat="false" ht="15" hidden="false" customHeight="false" outlineLevel="0" collapsed="false">
      <c r="A364" s="2" t="s">
        <v>554</v>
      </c>
      <c r="B364" s="2" t="s">
        <v>108</v>
      </c>
      <c r="C364" s="4" t="n">
        <v>2</v>
      </c>
      <c r="D364" s="2" t="s">
        <v>386</v>
      </c>
      <c r="E364" s="2" t="s">
        <v>383</v>
      </c>
      <c r="F364" s="21" t="n">
        <v>45770.4585</v>
      </c>
      <c r="G364" s="21" t="n">
        <v>45770.6196111111</v>
      </c>
      <c r="H364" s="10" t="n">
        <v>2.86666666666667</v>
      </c>
      <c r="I364" s="15" t="n">
        <v>45778</v>
      </c>
      <c r="J364" s="2" t="s">
        <v>629</v>
      </c>
    </row>
    <row r="365" customFormat="false" ht="15" hidden="false" customHeight="false" outlineLevel="0" collapsed="false">
      <c r="A365" s="2" t="s">
        <v>554</v>
      </c>
      <c r="B365" s="2" t="s">
        <v>108</v>
      </c>
      <c r="C365" s="4" t="n">
        <v>3</v>
      </c>
      <c r="D365" s="2" t="s">
        <v>390</v>
      </c>
      <c r="E365" s="2" t="s">
        <v>387</v>
      </c>
      <c r="F365" s="21" t="n">
        <v>45772.7036388889</v>
      </c>
      <c r="G365" s="21" t="n">
        <v>45776.6661388889</v>
      </c>
      <c r="H365" s="10" t="n">
        <v>15.1</v>
      </c>
      <c r="I365" s="15" t="n">
        <v>45778</v>
      </c>
      <c r="J365" s="2" t="s">
        <v>629</v>
      </c>
    </row>
    <row r="366" customFormat="false" ht="15" hidden="false" customHeight="false" outlineLevel="0" collapsed="false">
      <c r="A366" s="2" t="s">
        <v>554</v>
      </c>
      <c r="B366" s="2" t="s">
        <v>108</v>
      </c>
      <c r="C366" s="4" t="n">
        <v>4</v>
      </c>
      <c r="D366" s="2" t="s">
        <v>443</v>
      </c>
      <c r="E366" s="2" t="s">
        <v>395</v>
      </c>
      <c r="F366" s="21" t="n">
        <v>45776.67225</v>
      </c>
      <c r="G366" s="21" t="n">
        <v>45777.4055833333</v>
      </c>
      <c r="H366" s="10" t="n">
        <v>2.6</v>
      </c>
      <c r="I366" s="15" t="n">
        <v>45778</v>
      </c>
      <c r="J366" s="2" t="s">
        <v>629</v>
      </c>
    </row>
    <row r="367" customFormat="false" ht="15" hidden="false" customHeight="false" outlineLevel="0" collapsed="false">
      <c r="A367" s="2" t="s">
        <v>554</v>
      </c>
      <c r="B367" s="2" t="s">
        <v>108</v>
      </c>
      <c r="C367" s="4" t="n">
        <v>5</v>
      </c>
      <c r="D367" s="2" t="s">
        <v>444</v>
      </c>
      <c r="E367" s="2" t="s">
        <v>399</v>
      </c>
      <c r="F367" s="21" t="n">
        <v>45777.5877127778</v>
      </c>
      <c r="G367" s="21" t="n">
        <v>45778.3732461111</v>
      </c>
      <c r="H367" s="10" t="n">
        <v>3.8528</v>
      </c>
      <c r="I367" s="15" t="n">
        <v>45778</v>
      </c>
      <c r="J367" s="2" t="s">
        <v>629</v>
      </c>
    </row>
    <row r="368" customFormat="false" ht="15" hidden="false" customHeight="false" outlineLevel="0" collapsed="false">
      <c r="A368" s="2" t="s">
        <v>554</v>
      </c>
      <c r="B368" s="2" t="s">
        <v>108</v>
      </c>
      <c r="C368" s="4" t="n">
        <v>6</v>
      </c>
      <c r="D368" s="2" t="s">
        <v>445</v>
      </c>
      <c r="E368" s="2" t="s">
        <v>402</v>
      </c>
      <c r="F368" s="21" t="n">
        <v>45778.3732461111</v>
      </c>
      <c r="G368" s="21" t="n">
        <v>45778.4100377778</v>
      </c>
      <c r="H368" s="10" t="n">
        <v>0.883</v>
      </c>
      <c r="I368" s="15" t="n">
        <v>45778</v>
      </c>
      <c r="J368" s="2" t="s">
        <v>629</v>
      </c>
    </row>
    <row r="369" customFormat="false" ht="15" hidden="false" customHeight="false" outlineLevel="0" collapsed="false">
      <c r="A369" s="2" t="s">
        <v>554</v>
      </c>
      <c r="B369" s="2" t="s">
        <v>108</v>
      </c>
      <c r="C369" s="4" t="n">
        <v>7</v>
      </c>
      <c r="D369" s="2" t="s">
        <v>447</v>
      </c>
      <c r="E369" s="2" t="s">
        <v>421</v>
      </c>
      <c r="F369" s="21" t="n">
        <v>45778.4100377778</v>
      </c>
      <c r="G369" s="21" t="n">
        <v>45778.4412877778</v>
      </c>
      <c r="H369" s="10" t="n">
        <v>0.75</v>
      </c>
      <c r="I369" s="15" t="n">
        <v>45778</v>
      </c>
      <c r="J369" s="2" t="s">
        <v>629</v>
      </c>
    </row>
    <row r="370" customFormat="false" ht="15" hidden="false" customHeight="false" outlineLevel="0" collapsed="false">
      <c r="A370" s="2" t="s">
        <v>554</v>
      </c>
      <c r="B370" s="2" t="s">
        <v>108</v>
      </c>
      <c r="C370" s="4" t="n">
        <v>8</v>
      </c>
      <c r="D370" s="2" t="s">
        <v>449</v>
      </c>
      <c r="E370" s="2" t="s">
        <v>423</v>
      </c>
      <c r="F370" s="21" t="n">
        <v>45778.4412877778</v>
      </c>
      <c r="G370" s="21" t="n">
        <v>45778.4569266667</v>
      </c>
      <c r="H370" s="10" t="n">
        <v>0.375333333333333</v>
      </c>
      <c r="I370" s="15" t="n">
        <v>45778</v>
      </c>
      <c r="J370" s="2" t="s">
        <v>629</v>
      </c>
    </row>
    <row r="371" customFormat="false" ht="15" hidden="false" customHeight="false" outlineLevel="0" collapsed="false">
      <c r="A371" s="2" t="s">
        <v>554</v>
      </c>
      <c r="B371" s="2" t="s">
        <v>108</v>
      </c>
      <c r="C371" s="4" t="n">
        <v>9</v>
      </c>
      <c r="D371" s="2" t="s">
        <v>450</v>
      </c>
      <c r="E371" s="2" t="s">
        <v>406</v>
      </c>
      <c r="F371" s="21" t="n">
        <v>45782.3580402778</v>
      </c>
      <c r="G371" s="21" t="n">
        <v>45782.6382486111</v>
      </c>
      <c r="H371" s="10" t="n">
        <v>5.725</v>
      </c>
      <c r="I371" s="15" t="n">
        <v>45778</v>
      </c>
      <c r="J371" s="2" t="s">
        <v>629</v>
      </c>
    </row>
    <row r="372" customFormat="false" ht="15" hidden="false" customHeight="false" outlineLevel="0" collapsed="false">
      <c r="A372" s="2" t="s">
        <v>554</v>
      </c>
      <c r="B372" s="2" t="s">
        <v>108</v>
      </c>
      <c r="C372" s="4" t="n">
        <v>10</v>
      </c>
      <c r="D372" s="2" t="s">
        <v>451</v>
      </c>
      <c r="E372" s="2" t="s">
        <v>408</v>
      </c>
      <c r="F372" s="21" t="n">
        <v>45782.6382486111</v>
      </c>
      <c r="G372" s="21" t="n">
        <v>45782.6543041667</v>
      </c>
      <c r="H372" s="10" t="n">
        <v>0.385333333333333</v>
      </c>
      <c r="I372" s="15" t="n">
        <v>45778</v>
      </c>
      <c r="J372" s="2" t="s">
        <v>629</v>
      </c>
    </row>
    <row r="373" customFormat="false" ht="15" hidden="false" customHeight="false" outlineLevel="0" collapsed="false">
      <c r="A373" s="2" t="s">
        <v>554</v>
      </c>
      <c r="B373" s="2" t="s">
        <v>108</v>
      </c>
      <c r="C373" s="4" t="n">
        <v>11</v>
      </c>
      <c r="D373" s="2" t="s">
        <v>452</v>
      </c>
      <c r="E373" s="2" t="s">
        <v>411</v>
      </c>
      <c r="F373" s="21" t="n">
        <v>45782.6543041667</v>
      </c>
      <c r="G373" s="21" t="n">
        <v>45782.6756097222</v>
      </c>
      <c r="H373" s="10" t="n">
        <v>0.511333333333333</v>
      </c>
      <c r="I373" s="15" t="n">
        <v>45778</v>
      </c>
      <c r="J373" s="2" t="s">
        <v>629</v>
      </c>
    </row>
    <row r="374" customFormat="false" ht="15" hidden="false" customHeight="false" outlineLevel="0" collapsed="false">
      <c r="A374" s="2" t="s">
        <v>556</v>
      </c>
      <c r="B374" s="2" t="s">
        <v>121</v>
      </c>
      <c r="C374" s="4" t="n">
        <v>1</v>
      </c>
      <c r="D374" s="2" t="s">
        <v>437</v>
      </c>
      <c r="E374" s="2" t="s">
        <v>375</v>
      </c>
      <c r="F374" s="21" t="n">
        <v>45765.5511840278</v>
      </c>
      <c r="G374" s="21" t="n">
        <v>45768.4311840278</v>
      </c>
      <c r="H374" s="10" t="n">
        <v>6.12</v>
      </c>
      <c r="I374" s="15" t="n">
        <v>45779</v>
      </c>
      <c r="J374" s="2" t="s">
        <v>629</v>
      </c>
    </row>
    <row r="375" customFormat="false" ht="15" hidden="false" customHeight="false" outlineLevel="0" collapsed="false">
      <c r="A375" s="2" t="s">
        <v>556</v>
      </c>
      <c r="B375" s="2" t="s">
        <v>121</v>
      </c>
      <c r="C375" s="4" t="n">
        <v>2</v>
      </c>
      <c r="D375" s="2" t="s">
        <v>441</v>
      </c>
      <c r="E375" s="2" t="s">
        <v>380</v>
      </c>
      <c r="F375" s="21" t="n">
        <v>45768.4311840278</v>
      </c>
      <c r="G375" s="21" t="n">
        <v>45768.7025729167</v>
      </c>
      <c r="H375" s="10" t="n">
        <v>5.51333333333333</v>
      </c>
      <c r="I375" s="15" t="n">
        <v>45779</v>
      </c>
      <c r="J375" s="2" t="s">
        <v>629</v>
      </c>
    </row>
    <row r="376" customFormat="false" ht="15" hidden="false" customHeight="false" outlineLevel="0" collapsed="false">
      <c r="A376" s="2" t="s">
        <v>556</v>
      </c>
      <c r="B376" s="2" t="s">
        <v>121</v>
      </c>
      <c r="C376" s="4" t="n">
        <v>3</v>
      </c>
      <c r="D376" s="2" t="s">
        <v>386</v>
      </c>
      <c r="E376" s="2" t="s">
        <v>383</v>
      </c>
      <c r="F376" s="21" t="n">
        <v>45770.6196111111</v>
      </c>
      <c r="G376" s="21" t="n">
        <v>45771.6737777778</v>
      </c>
      <c r="H376" s="10" t="n">
        <v>9.3</v>
      </c>
      <c r="I376" s="15" t="n">
        <v>45779</v>
      </c>
      <c r="J376" s="2" t="s">
        <v>629</v>
      </c>
    </row>
    <row r="377" customFormat="false" ht="15" hidden="false" customHeight="false" outlineLevel="0" collapsed="false">
      <c r="A377" s="2" t="s">
        <v>556</v>
      </c>
      <c r="B377" s="2" t="s">
        <v>121</v>
      </c>
      <c r="C377" s="4" t="n">
        <v>4</v>
      </c>
      <c r="D377" s="2" t="s">
        <v>390</v>
      </c>
      <c r="E377" s="2" t="s">
        <v>387</v>
      </c>
      <c r="F377" s="21" t="n">
        <v>45776.6661388889</v>
      </c>
      <c r="G377" s="21" t="n">
        <v>45778.5980833333</v>
      </c>
      <c r="H377" s="10" t="n">
        <v>14.3666666666667</v>
      </c>
      <c r="I377" s="15" t="n">
        <v>45779</v>
      </c>
      <c r="J377" s="2" t="s">
        <v>629</v>
      </c>
    </row>
    <row r="378" customFormat="false" ht="15" hidden="false" customHeight="false" outlineLevel="0" collapsed="false">
      <c r="A378" s="2" t="s">
        <v>556</v>
      </c>
      <c r="B378" s="2" t="s">
        <v>121</v>
      </c>
      <c r="C378" s="4" t="n">
        <v>5</v>
      </c>
      <c r="D378" s="2" t="s">
        <v>443</v>
      </c>
      <c r="E378" s="2" t="s">
        <v>395</v>
      </c>
      <c r="F378" s="21" t="n">
        <v>45778.5980833333</v>
      </c>
      <c r="G378" s="21" t="n">
        <v>45779.4855833333</v>
      </c>
      <c r="H378" s="10" t="n">
        <v>6.3</v>
      </c>
      <c r="I378" s="15" t="n">
        <v>45779</v>
      </c>
      <c r="J378" s="2" t="s">
        <v>629</v>
      </c>
    </row>
    <row r="379" customFormat="false" ht="15" hidden="false" customHeight="false" outlineLevel="0" collapsed="false">
      <c r="A379" s="2" t="s">
        <v>556</v>
      </c>
      <c r="B379" s="2" t="s">
        <v>121</v>
      </c>
      <c r="C379" s="4" t="n">
        <v>6</v>
      </c>
      <c r="D379" s="2" t="s">
        <v>444</v>
      </c>
      <c r="E379" s="2" t="s">
        <v>399</v>
      </c>
      <c r="F379" s="21" t="n">
        <v>45779.4855833333</v>
      </c>
      <c r="G379" s="21" t="n">
        <v>45779.7013833333</v>
      </c>
      <c r="H379" s="10" t="n">
        <v>4.1792</v>
      </c>
      <c r="I379" s="15" t="n">
        <v>45779</v>
      </c>
      <c r="J379" s="2" t="s">
        <v>629</v>
      </c>
    </row>
    <row r="380" customFormat="false" ht="15" hidden="false" customHeight="false" outlineLevel="0" collapsed="false">
      <c r="A380" s="2" t="s">
        <v>556</v>
      </c>
      <c r="B380" s="2" t="s">
        <v>121</v>
      </c>
      <c r="C380" s="4" t="n">
        <v>7</v>
      </c>
      <c r="D380" s="2" t="s">
        <v>445</v>
      </c>
      <c r="E380" s="2" t="s">
        <v>402</v>
      </c>
      <c r="F380" s="21" t="n">
        <v>45779.7013833333</v>
      </c>
      <c r="G380" s="21" t="n">
        <v>45782.3804111111</v>
      </c>
      <c r="H380" s="10" t="n">
        <v>1.29666666666667</v>
      </c>
      <c r="I380" s="15" t="n">
        <v>45779</v>
      </c>
      <c r="J380" s="2" t="s">
        <v>629</v>
      </c>
    </row>
    <row r="381" customFormat="false" ht="15" hidden="false" customHeight="false" outlineLevel="0" collapsed="false">
      <c r="A381" s="2" t="s">
        <v>556</v>
      </c>
      <c r="B381" s="2" t="s">
        <v>121</v>
      </c>
      <c r="C381" s="4" t="n">
        <v>8</v>
      </c>
      <c r="D381" s="2" t="s">
        <v>447</v>
      </c>
      <c r="E381" s="2" t="s">
        <v>421</v>
      </c>
      <c r="F381" s="21" t="n">
        <v>45782.3804111111</v>
      </c>
      <c r="G381" s="21" t="n">
        <v>45782.4116611111</v>
      </c>
      <c r="H381" s="10" t="n">
        <v>0.75</v>
      </c>
      <c r="I381" s="15" t="n">
        <v>45779</v>
      </c>
      <c r="J381" s="2" t="s">
        <v>629</v>
      </c>
    </row>
    <row r="382" customFormat="false" ht="15" hidden="false" customHeight="false" outlineLevel="0" collapsed="false">
      <c r="A382" s="2" t="s">
        <v>556</v>
      </c>
      <c r="B382" s="2" t="s">
        <v>121</v>
      </c>
      <c r="C382" s="4" t="n">
        <v>9</v>
      </c>
      <c r="D382" s="2" t="s">
        <v>449</v>
      </c>
      <c r="E382" s="2" t="s">
        <v>423</v>
      </c>
      <c r="F382" s="21" t="n">
        <v>45782.4116611111</v>
      </c>
      <c r="G382" s="21" t="n">
        <v>45782.4336055556</v>
      </c>
      <c r="H382" s="10" t="n">
        <v>0.526666666666667</v>
      </c>
      <c r="I382" s="15" t="n">
        <v>45779</v>
      </c>
      <c r="J382" s="2" t="s">
        <v>629</v>
      </c>
    </row>
    <row r="383" customFormat="false" ht="15" hidden="false" customHeight="false" outlineLevel="0" collapsed="false">
      <c r="A383" s="2" t="s">
        <v>556</v>
      </c>
      <c r="B383" s="2" t="s">
        <v>121</v>
      </c>
      <c r="C383" s="4" t="n">
        <v>10</v>
      </c>
      <c r="D383" s="2" t="s">
        <v>450</v>
      </c>
      <c r="E383" s="2" t="s">
        <v>406</v>
      </c>
      <c r="F383" s="21" t="n">
        <v>45782.6382486111</v>
      </c>
      <c r="G383" s="21" t="n">
        <v>45784.3611652778</v>
      </c>
      <c r="H383" s="10" t="n">
        <v>10.35</v>
      </c>
      <c r="I383" s="15" t="n">
        <v>45779</v>
      </c>
      <c r="J383" s="2" t="s">
        <v>629</v>
      </c>
    </row>
    <row r="384" customFormat="false" ht="15" hidden="false" customHeight="false" outlineLevel="0" collapsed="false">
      <c r="A384" s="2" t="s">
        <v>556</v>
      </c>
      <c r="B384" s="2" t="s">
        <v>121</v>
      </c>
      <c r="C384" s="4" t="n">
        <v>11</v>
      </c>
      <c r="D384" s="2" t="s">
        <v>451</v>
      </c>
      <c r="E384" s="2" t="s">
        <v>408</v>
      </c>
      <c r="F384" s="21" t="n">
        <v>45784.3611652778</v>
      </c>
      <c r="G384" s="21" t="n">
        <v>45784.3865125</v>
      </c>
      <c r="H384" s="10" t="n">
        <v>0.608333333333333</v>
      </c>
      <c r="I384" s="15" t="n">
        <v>45779</v>
      </c>
      <c r="J384" s="2" t="s">
        <v>629</v>
      </c>
    </row>
    <row r="385" customFormat="false" ht="15" hidden="false" customHeight="false" outlineLevel="0" collapsed="false">
      <c r="A385" s="2" t="s">
        <v>556</v>
      </c>
      <c r="B385" s="2" t="s">
        <v>121</v>
      </c>
      <c r="C385" s="4" t="n">
        <v>12</v>
      </c>
      <c r="D385" s="2" t="s">
        <v>452</v>
      </c>
      <c r="E385" s="2" t="s">
        <v>411</v>
      </c>
      <c r="F385" s="21" t="n">
        <v>45784.3865125</v>
      </c>
      <c r="G385" s="21" t="n">
        <v>45784.4203319444</v>
      </c>
      <c r="H385" s="10" t="n">
        <v>0.811666666666667</v>
      </c>
      <c r="I385" s="15" t="n">
        <v>45779</v>
      </c>
      <c r="J385" s="2" t="s">
        <v>629</v>
      </c>
    </row>
    <row r="386" customFormat="false" ht="15" hidden="false" customHeight="false" outlineLevel="0" collapsed="false">
      <c r="A386" s="2" t="s">
        <v>557</v>
      </c>
      <c r="B386" s="2" t="s">
        <v>80</v>
      </c>
      <c r="C386" s="4" t="n">
        <v>1</v>
      </c>
      <c r="D386" s="2" t="s">
        <v>437</v>
      </c>
      <c r="E386" s="2" t="s">
        <v>375</v>
      </c>
      <c r="F386" s="21" t="n">
        <v>45782.3333333333</v>
      </c>
      <c r="G386" s="21" t="n">
        <v>45782.6746111111</v>
      </c>
      <c r="H386" s="10" t="n">
        <v>7.19066666666667</v>
      </c>
      <c r="I386" s="15" t="n">
        <v>45797</v>
      </c>
      <c r="J386" s="2" t="s">
        <v>629</v>
      </c>
    </row>
    <row r="387" customFormat="false" ht="15" hidden="false" customHeight="false" outlineLevel="0" collapsed="false">
      <c r="A387" s="2" t="s">
        <v>557</v>
      </c>
      <c r="B387" s="2" t="s">
        <v>80</v>
      </c>
      <c r="C387" s="4" t="n">
        <v>2</v>
      </c>
      <c r="D387" s="2" t="s">
        <v>441</v>
      </c>
      <c r="E387" s="2" t="s">
        <v>380</v>
      </c>
      <c r="F387" s="21" t="n">
        <v>45782.6746111111</v>
      </c>
      <c r="G387" s="21" t="n">
        <v>45784.3400555556</v>
      </c>
      <c r="H387" s="10" t="n">
        <v>8.97066666666667</v>
      </c>
      <c r="I387" s="15" t="n">
        <v>45797</v>
      </c>
      <c r="J387" s="2" t="s">
        <v>629</v>
      </c>
    </row>
    <row r="388" customFormat="false" ht="15" hidden="false" customHeight="false" outlineLevel="0" collapsed="false">
      <c r="A388" s="2" t="s">
        <v>557</v>
      </c>
      <c r="B388" s="2" t="s">
        <v>80</v>
      </c>
      <c r="C388" s="4" t="n">
        <v>3</v>
      </c>
      <c r="D388" s="2" t="s">
        <v>386</v>
      </c>
      <c r="E388" s="2" t="s">
        <v>383</v>
      </c>
      <c r="F388" s="21" t="n">
        <v>45784.3400555556</v>
      </c>
      <c r="G388" s="21" t="n">
        <v>45785.5889444445</v>
      </c>
      <c r="H388" s="10" t="n">
        <v>12.9733333333333</v>
      </c>
      <c r="I388" s="15" t="n">
        <v>45797</v>
      </c>
      <c r="J388" s="2" t="s">
        <v>629</v>
      </c>
    </row>
    <row r="389" customFormat="false" ht="15" hidden="false" customHeight="false" outlineLevel="0" collapsed="false">
      <c r="A389" s="2" t="s">
        <v>557</v>
      </c>
      <c r="B389" s="2" t="s">
        <v>80</v>
      </c>
      <c r="C389" s="4" t="n">
        <v>4</v>
      </c>
      <c r="D389" s="2" t="s">
        <v>390</v>
      </c>
      <c r="E389" s="2" t="s">
        <v>387</v>
      </c>
      <c r="F389" s="21" t="n">
        <v>45785.5889444445</v>
      </c>
      <c r="G389" s="21" t="n">
        <v>45789.3972777778</v>
      </c>
      <c r="H389" s="10" t="n">
        <v>12.4</v>
      </c>
      <c r="I389" s="15" t="n">
        <v>45797</v>
      </c>
      <c r="J389" s="2" t="s">
        <v>629</v>
      </c>
    </row>
    <row r="390" customFormat="false" ht="15" hidden="false" customHeight="false" outlineLevel="0" collapsed="false">
      <c r="A390" s="2" t="s">
        <v>557</v>
      </c>
      <c r="B390" s="2" t="s">
        <v>80</v>
      </c>
      <c r="C390" s="4" t="n">
        <v>5</v>
      </c>
      <c r="D390" s="2" t="s">
        <v>442</v>
      </c>
      <c r="E390" s="2" t="s">
        <v>391</v>
      </c>
      <c r="F390" s="21" t="n">
        <v>45789.3972777778</v>
      </c>
      <c r="G390" s="21" t="n">
        <v>45791.3978333333</v>
      </c>
      <c r="H390" s="10" t="n">
        <v>16.0133333333333</v>
      </c>
      <c r="I390" s="15" t="n">
        <v>45797</v>
      </c>
      <c r="J390" s="2" t="s">
        <v>629</v>
      </c>
    </row>
    <row r="391" customFormat="false" ht="15" hidden="false" customHeight="false" outlineLevel="0" collapsed="false">
      <c r="A391" s="2" t="s">
        <v>557</v>
      </c>
      <c r="B391" s="2" t="s">
        <v>80</v>
      </c>
      <c r="C391" s="4" t="n">
        <v>6</v>
      </c>
      <c r="D391" s="2" t="s">
        <v>443</v>
      </c>
      <c r="E391" s="2" t="s">
        <v>395</v>
      </c>
      <c r="F391" s="21" t="n">
        <v>45791.3978333333</v>
      </c>
      <c r="G391" s="21" t="n">
        <v>45792.4186666667</v>
      </c>
      <c r="H391" s="10" t="n">
        <v>8.5</v>
      </c>
      <c r="I391" s="15" t="n">
        <v>45797</v>
      </c>
      <c r="J391" s="2" t="s">
        <v>629</v>
      </c>
    </row>
    <row r="392" customFormat="false" ht="15" hidden="false" customHeight="false" outlineLevel="0" collapsed="false">
      <c r="A392" s="2" t="s">
        <v>557</v>
      </c>
      <c r="B392" s="2" t="s">
        <v>80</v>
      </c>
      <c r="C392" s="4" t="n">
        <v>7</v>
      </c>
      <c r="D392" s="2" t="s">
        <v>444</v>
      </c>
      <c r="E392" s="2" t="s">
        <v>399</v>
      </c>
      <c r="F392" s="21" t="n">
        <v>45792.4186666667</v>
      </c>
      <c r="G392" s="21" t="n">
        <v>45793.3413733333</v>
      </c>
      <c r="H392" s="10" t="n">
        <v>6.14496</v>
      </c>
      <c r="I392" s="15" t="n">
        <v>45797</v>
      </c>
      <c r="J392" s="2" t="s">
        <v>629</v>
      </c>
    </row>
    <row r="393" customFormat="false" ht="15" hidden="false" customHeight="false" outlineLevel="0" collapsed="false">
      <c r="A393" s="2" t="s">
        <v>557</v>
      </c>
      <c r="B393" s="2" t="s">
        <v>80</v>
      </c>
      <c r="C393" s="4" t="n">
        <v>8</v>
      </c>
      <c r="D393" s="2" t="s">
        <v>445</v>
      </c>
      <c r="E393" s="2" t="s">
        <v>402</v>
      </c>
      <c r="F393" s="21" t="n">
        <v>45793.3413733333</v>
      </c>
      <c r="G393" s="21" t="n">
        <v>45793.4248733333</v>
      </c>
      <c r="H393" s="10" t="n">
        <v>2.004</v>
      </c>
      <c r="I393" s="15" t="n">
        <v>45797</v>
      </c>
      <c r="J393" s="2" t="s">
        <v>629</v>
      </c>
    </row>
    <row r="394" customFormat="false" ht="15" hidden="false" customHeight="false" outlineLevel="0" collapsed="false">
      <c r="A394" s="2" t="s">
        <v>557</v>
      </c>
      <c r="B394" s="2" t="s">
        <v>80</v>
      </c>
      <c r="C394" s="4" t="n">
        <v>9</v>
      </c>
      <c r="D394" s="2" t="s">
        <v>447</v>
      </c>
      <c r="E394" s="2" t="s">
        <v>421</v>
      </c>
      <c r="F394" s="21" t="n">
        <v>45793.4248733333</v>
      </c>
      <c r="G394" s="21" t="n">
        <v>45793.4873733333</v>
      </c>
      <c r="H394" s="10" t="n">
        <v>1.5</v>
      </c>
      <c r="I394" s="15" t="n">
        <v>45797</v>
      </c>
      <c r="J394" s="2" t="s">
        <v>629</v>
      </c>
    </row>
    <row r="395" customFormat="false" ht="15" hidden="false" customHeight="false" outlineLevel="0" collapsed="false">
      <c r="A395" s="2" t="s">
        <v>557</v>
      </c>
      <c r="B395" s="2" t="s">
        <v>80</v>
      </c>
      <c r="C395" s="4" t="n">
        <v>10</v>
      </c>
      <c r="D395" s="2" t="s">
        <v>449</v>
      </c>
      <c r="E395" s="2" t="s">
        <v>423</v>
      </c>
      <c r="F395" s="21" t="n">
        <v>45793.4873733333</v>
      </c>
      <c r="G395" s="21" t="n">
        <v>45793.5625677778</v>
      </c>
      <c r="H395" s="10" t="n">
        <v>0.804666666666667</v>
      </c>
      <c r="I395" s="15" t="n">
        <v>45797</v>
      </c>
      <c r="J395" s="2" t="s">
        <v>629</v>
      </c>
    </row>
    <row r="396" customFormat="false" ht="15" hidden="false" customHeight="false" outlineLevel="0" collapsed="false">
      <c r="A396" s="2" t="s">
        <v>557</v>
      </c>
      <c r="B396" s="2" t="s">
        <v>80</v>
      </c>
      <c r="C396" s="4" t="n">
        <v>11</v>
      </c>
      <c r="D396" s="2" t="s">
        <v>450</v>
      </c>
      <c r="E396" s="2" t="s">
        <v>406</v>
      </c>
      <c r="F396" s="21" t="n">
        <v>45793.5625677778</v>
      </c>
      <c r="G396" s="21" t="n">
        <v>45797.3625677778</v>
      </c>
      <c r="H396" s="10" t="n">
        <v>12.2</v>
      </c>
      <c r="I396" s="15" t="n">
        <v>45797</v>
      </c>
      <c r="J396" s="2" t="s">
        <v>629</v>
      </c>
    </row>
    <row r="397" customFormat="false" ht="15" hidden="false" customHeight="false" outlineLevel="0" collapsed="false">
      <c r="A397" s="2" t="s">
        <v>557</v>
      </c>
      <c r="B397" s="2" t="s">
        <v>80</v>
      </c>
      <c r="C397" s="4" t="n">
        <v>12</v>
      </c>
      <c r="D397" s="2" t="s">
        <v>451</v>
      </c>
      <c r="E397" s="2" t="s">
        <v>408</v>
      </c>
      <c r="F397" s="21" t="n">
        <v>45797.3625677778</v>
      </c>
      <c r="G397" s="21" t="n">
        <v>45797.3975122222</v>
      </c>
      <c r="H397" s="10" t="n">
        <v>0.838666666666667</v>
      </c>
      <c r="I397" s="15" t="n">
        <v>45797</v>
      </c>
      <c r="J397" s="2" t="s">
        <v>629</v>
      </c>
    </row>
    <row r="398" customFormat="false" ht="15" hidden="false" customHeight="false" outlineLevel="0" collapsed="false">
      <c r="A398" s="2" t="s">
        <v>557</v>
      </c>
      <c r="B398" s="2" t="s">
        <v>80</v>
      </c>
      <c r="C398" s="4" t="n">
        <v>13</v>
      </c>
      <c r="D398" s="2" t="s">
        <v>452</v>
      </c>
      <c r="E398" s="2" t="s">
        <v>411</v>
      </c>
      <c r="F398" s="21" t="n">
        <v>45797.3975122222</v>
      </c>
      <c r="G398" s="21" t="n">
        <v>45797.4444566667</v>
      </c>
      <c r="H398" s="10" t="n">
        <v>1.12666666666667</v>
      </c>
      <c r="I398" s="15" t="n">
        <v>45797</v>
      </c>
      <c r="J398" s="2" t="s">
        <v>629</v>
      </c>
    </row>
    <row r="399" customFormat="false" ht="15" hidden="false" customHeight="false" outlineLevel="0" collapsed="false">
      <c r="A399" s="2" t="s">
        <v>559</v>
      </c>
      <c r="B399" s="2" t="s">
        <v>94</v>
      </c>
      <c r="C399" s="4" t="n">
        <v>1</v>
      </c>
      <c r="D399" s="2" t="s">
        <v>437</v>
      </c>
      <c r="E399" s="2" t="s">
        <v>375</v>
      </c>
      <c r="F399" s="21" t="n">
        <v>45782.6746111111</v>
      </c>
      <c r="G399" s="21" t="n">
        <v>45784.3484166667</v>
      </c>
      <c r="H399" s="10" t="n">
        <v>9.17133333333333</v>
      </c>
      <c r="I399" s="15" t="n">
        <v>45795</v>
      </c>
      <c r="J399" s="2" t="s">
        <v>629</v>
      </c>
    </row>
    <row r="400" customFormat="false" ht="15" hidden="false" customHeight="false" outlineLevel="0" collapsed="false">
      <c r="A400" s="2" t="s">
        <v>559</v>
      </c>
      <c r="B400" s="2" t="s">
        <v>94</v>
      </c>
      <c r="C400" s="4" t="n">
        <v>2</v>
      </c>
      <c r="D400" s="2" t="s">
        <v>441</v>
      </c>
      <c r="E400" s="2" t="s">
        <v>380</v>
      </c>
      <c r="F400" s="21" t="n">
        <v>45784.3484166667</v>
      </c>
      <c r="G400" s="21" t="n">
        <v>45784.3788888889</v>
      </c>
      <c r="H400" s="10" t="n">
        <v>0.731333333333333</v>
      </c>
      <c r="I400" s="15" t="n">
        <v>45795</v>
      </c>
      <c r="J400" s="2" t="s">
        <v>629</v>
      </c>
    </row>
    <row r="401" customFormat="false" ht="15" hidden="false" customHeight="false" outlineLevel="0" collapsed="false">
      <c r="A401" s="2" t="s">
        <v>559</v>
      </c>
      <c r="B401" s="2" t="s">
        <v>94</v>
      </c>
      <c r="C401" s="4" t="n">
        <v>3</v>
      </c>
      <c r="D401" s="2" t="s">
        <v>386</v>
      </c>
      <c r="E401" s="2" t="s">
        <v>383</v>
      </c>
      <c r="F401" s="21" t="n">
        <v>45785.5889444445</v>
      </c>
      <c r="G401" s="21" t="n">
        <v>45786.6667222222</v>
      </c>
      <c r="H401" s="10" t="n">
        <v>9.86666666666667</v>
      </c>
      <c r="I401" s="15" t="n">
        <v>45795</v>
      </c>
      <c r="J401" s="2" t="s">
        <v>629</v>
      </c>
    </row>
    <row r="402" customFormat="false" ht="15" hidden="false" customHeight="false" outlineLevel="0" collapsed="false">
      <c r="A402" s="2" t="s">
        <v>559</v>
      </c>
      <c r="B402" s="2" t="s">
        <v>94</v>
      </c>
      <c r="C402" s="4" t="n">
        <v>4</v>
      </c>
      <c r="D402" s="2" t="s">
        <v>390</v>
      </c>
      <c r="E402" s="2" t="s">
        <v>387</v>
      </c>
      <c r="F402" s="21" t="n">
        <v>45789.3972777778</v>
      </c>
      <c r="G402" s="21" t="n">
        <v>45791.5972777778</v>
      </c>
      <c r="H402" s="10" t="n">
        <v>19.8</v>
      </c>
      <c r="I402" s="15" t="n">
        <v>45795</v>
      </c>
      <c r="J402" s="2" t="s">
        <v>629</v>
      </c>
    </row>
    <row r="403" customFormat="false" ht="15" hidden="false" customHeight="false" outlineLevel="0" collapsed="false">
      <c r="A403" s="2" t="s">
        <v>559</v>
      </c>
      <c r="B403" s="2" t="s">
        <v>94</v>
      </c>
      <c r="C403" s="4" t="n">
        <v>5</v>
      </c>
      <c r="D403" s="2" t="s">
        <v>443</v>
      </c>
      <c r="E403" s="2" t="s">
        <v>395</v>
      </c>
      <c r="F403" s="21" t="n">
        <v>45792.4186666667</v>
      </c>
      <c r="G403" s="21" t="n">
        <v>45792.6749166667</v>
      </c>
      <c r="H403" s="10" t="n">
        <v>5.15</v>
      </c>
      <c r="I403" s="15" t="n">
        <v>45795</v>
      </c>
      <c r="J403" s="2" t="s">
        <v>629</v>
      </c>
    </row>
    <row r="404" customFormat="false" ht="15" hidden="false" customHeight="false" outlineLevel="0" collapsed="false">
      <c r="A404" s="2" t="s">
        <v>559</v>
      </c>
      <c r="B404" s="2" t="s">
        <v>94</v>
      </c>
      <c r="C404" s="4" t="n">
        <v>6</v>
      </c>
      <c r="D404" s="2" t="s">
        <v>444</v>
      </c>
      <c r="E404" s="2" t="s">
        <v>399</v>
      </c>
      <c r="F404" s="21" t="n">
        <v>45793.3413733333</v>
      </c>
      <c r="G404" s="21" t="n">
        <v>45793.55602</v>
      </c>
      <c r="H404" s="10" t="n">
        <v>4.15152</v>
      </c>
      <c r="I404" s="15" t="n">
        <v>45795</v>
      </c>
      <c r="J404" s="2" t="s">
        <v>629</v>
      </c>
    </row>
    <row r="405" customFormat="false" ht="15" hidden="false" customHeight="false" outlineLevel="0" collapsed="false">
      <c r="A405" s="2" t="s">
        <v>559</v>
      </c>
      <c r="B405" s="2" t="s">
        <v>94</v>
      </c>
      <c r="C405" s="4" t="n">
        <v>7</v>
      </c>
      <c r="D405" s="2" t="s">
        <v>445</v>
      </c>
      <c r="E405" s="2" t="s">
        <v>402</v>
      </c>
      <c r="F405" s="21" t="n">
        <v>45793.55602</v>
      </c>
      <c r="G405" s="21" t="n">
        <v>45793.5966866667</v>
      </c>
      <c r="H405" s="10" t="n">
        <v>0.976</v>
      </c>
      <c r="I405" s="15" t="n">
        <v>45795</v>
      </c>
      <c r="J405" s="2" t="s">
        <v>629</v>
      </c>
    </row>
    <row r="406" customFormat="false" ht="15" hidden="false" customHeight="false" outlineLevel="0" collapsed="false">
      <c r="A406" s="2" t="s">
        <v>559</v>
      </c>
      <c r="B406" s="2" t="s">
        <v>94</v>
      </c>
      <c r="C406" s="4" t="n">
        <v>8</v>
      </c>
      <c r="D406" s="2" t="s">
        <v>447</v>
      </c>
      <c r="E406" s="2" t="s">
        <v>421</v>
      </c>
      <c r="F406" s="21" t="n">
        <v>45793.5966866667</v>
      </c>
      <c r="G406" s="21" t="n">
        <v>45793.6279366667</v>
      </c>
      <c r="H406" s="10" t="n">
        <v>0.75</v>
      </c>
      <c r="I406" s="15" t="n">
        <v>45795</v>
      </c>
      <c r="J406" s="2" t="s">
        <v>629</v>
      </c>
    </row>
    <row r="407" customFormat="false" ht="15" hidden="false" customHeight="false" outlineLevel="0" collapsed="false">
      <c r="A407" s="2" t="s">
        <v>559</v>
      </c>
      <c r="B407" s="2" t="s">
        <v>94</v>
      </c>
      <c r="C407" s="4" t="n">
        <v>9</v>
      </c>
      <c r="D407" s="2" t="s">
        <v>449</v>
      </c>
      <c r="E407" s="2" t="s">
        <v>423</v>
      </c>
      <c r="F407" s="21" t="n">
        <v>45793.6279366667</v>
      </c>
      <c r="G407" s="21" t="n">
        <v>45793.6444505556</v>
      </c>
      <c r="H407" s="10" t="n">
        <v>0.396333333333333</v>
      </c>
      <c r="I407" s="15" t="n">
        <v>45795</v>
      </c>
      <c r="J407" s="2" t="s">
        <v>629</v>
      </c>
    </row>
    <row r="408" customFormat="false" ht="15" hidden="false" customHeight="false" outlineLevel="0" collapsed="false">
      <c r="A408" s="2" t="s">
        <v>559</v>
      </c>
      <c r="B408" s="2" t="s">
        <v>94</v>
      </c>
      <c r="C408" s="4" t="n">
        <v>10</v>
      </c>
      <c r="D408" s="2" t="s">
        <v>450</v>
      </c>
      <c r="E408" s="2" t="s">
        <v>406</v>
      </c>
      <c r="F408" s="21" t="n">
        <v>45797.3625677778</v>
      </c>
      <c r="G408" s="21" t="n">
        <v>45797.6959011111</v>
      </c>
      <c r="H408" s="10" t="n">
        <v>7</v>
      </c>
      <c r="I408" s="15" t="n">
        <v>45795</v>
      </c>
      <c r="J408" s="2" t="s">
        <v>629</v>
      </c>
    </row>
    <row r="409" customFormat="false" ht="15" hidden="false" customHeight="false" outlineLevel="0" collapsed="false">
      <c r="A409" s="2" t="s">
        <v>559</v>
      </c>
      <c r="B409" s="2" t="s">
        <v>94</v>
      </c>
      <c r="C409" s="4" t="n">
        <v>11</v>
      </c>
      <c r="D409" s="2" t="s">
        <v>451</v>
      </c>
      <c r="E409" s="2" t="s">
        <v>408</v>
      </c>
      <c r="F409" s="21" t="n">
        <v>45797.6959011111</v>
      </c>
      <c r="G409" s="21" t="n">
        <v>45798.3380816667</v>
      </c>
      <c r="H409" s="10" t="n">
        <v>0.412333333333333</v>
      </c>
      <c r="I409" s="15" t="n">
        <v>45795</v>
      </c>
      <c r="J409" s="2" t="s">
        <v>629</v>
      </c>
    </row>
    <row r="410" customFormat="false" ht="15" hidden="false" customHeight="false" outlineLevel="0" collapsed="false">
      <c r="A410" s="2" t="s">
        <v>559</v>
      </c>
      <c r="B410" s="2" t="s">
        <v>94</v>
      </c>
      <c r="C410" s="4" t="n">
        <v>12</v>
      </c>
      <c r="D410" s="2" t="s">
        <v>452</v>
      </c>
      <c r="E410" s="2" t="s">
        <v>411</v>
      </c>
      <c r="F410" s="21" t="n">
        <v>45798.3380816667</v>
      </c>
      <c r="G410" s="21" t="n">
        <v>45798.3610538889</v>
      </c>
      <c r="H410" s="10" t="n">
        <v>0.551333333333333</v>
      </c>
      <c r="I410" s="15" t="n">
        <v>45795</v>
      </c>
      <c r="J410" s="2" t="s">
        <v>629</v>
      </c>
    </row>
    <row r="411" customFormat="false" ht="15" hidden="false" customHeight="false" outlineLevel="0" collapsed="false">
      <c r="A411" s="2" t="s">
        <v>561</v>
      </c>
      <c r="B411" s="2" t="s">
        <v>106</v>
      </c>
      <c r="C411" s="4" t="n">
        <v>1</v>
      </c>
      <c r="D411" s="2" t="s">
        <v>437</v>
      </c>
      <c r="E411" s="2" t="s">
        <v>375</v>
      </c>
      <c r="F411" s="21" t="n">
        <v>45784.3484166667</v>
      </c>
      <c r="G411" s="21" t="n">
        <v>45784.4937118056</v>
      </c>
      <c r="H411" s="10" t="n">
        <v>3.48708333333333</v>
      </c>
      <c r="I411" s="15" t="n">
        <v>45794</v>
      </c>
      <c r="J411" s="2" t="s">
        <v>629</v>
      </c>
    </row>
    <row r="412" customFormat="false" ht="15" hidden="false" customHeight="false" outlineLevel="0" collapsed="false">
      <c r="A412" s="2" t="s">
        <v>561</v>
      </c>
      <c r="B412" s="2" t="s">
        <v>106</v>
      </c>
      <c r="C412" s="4" t="n">
        <v>2</v>
      </c>
      <c r="D412" s="2" t="s">
        <v>386</v>
      </c>
      <c r="E412" s="2" t="s">
        <v>383</v>
      </c>
      <c r="F412" s="21" t="n">
        <v>45786.6667222222</v>
      </c>
      <c r="G412" s="21" t="n">
        <v>45789.3500555556</v>
      </c>
      <c r="H412" s="10" t="n">
        <v>1.4</v>
      </c>
      <c r="I412" s="15" t="n">
        <v>45794</v>
      </c>
      <c r="J412" s="2" t="s">
        <v>629</v>
      </c>
    </row>
    <row r="413" customFormat="false" ht="15" hidden="false" customHeight="false" outlineLevel="0" collapsed="false">
      <c r="A413" s="2" t="s">
        <v>561</v>
      </c>
      <c r="B413" s="2" t="s">
        <v>106</v>
      </c>
      <c r="C413" s="4" t="n">
        <v>3</v>
      </c>
      <c r="D413" s="2" t="s">
        <v>390</v>
      </c>
      <c r="E413" s="2" t="s">
        <v>387</v>
      </c>
      <c r="F413" s="21" t="n">
        <v>45791.5972777778</v>
      </c>
      <c r="G413" s="21" t="n">
        <v>45792.6333888889</v>
      </c>
      <c r="H413" s="10" t="n">
        <v>8.86666666666667</v>
      </c>
      <c r="I413" s="15" t="n">
        <v>45794</v>
      </c>
      <c r="J413" s="2" t="s">
        <v>629</v>
      </c>
    </row>
    <row r="414" customFormat="false" ht="15" hidden="false" customHeight="false" outlineLevel="0" collapsed="false">
      <c r="A414" s="2" t="s">
        <v>561</v>
      </c>
      <c r="B414" s="2" t="s">
        <v>106</v>
      </c>
      <c r="C414" s="4" t="n">
        <v>4</v>
      </c>
      <c r="D414" s="2" t="s">
        <v>443</v>
      </c>
      <c r="E414" s="2" t="s">
        <v>395</v>
      </c>
      <c r="F414" s="21" t="n">
        <v>45792.6749166667</v>
      </c>
      <c r="G414" s="21" t="n">
        <v>45793.3645</v>
      </c>
      <c r="H414" s="10" t="n">
        <v>1.55</v>
      </c>
      <c r="I414" s="15" t="n">
        <v>45794</v>
      </c>
      <c r="J414" s="2" t="s">
        <v>629</v>
      </c>
    </row>
    <row r="415" customFormat="false" ht="15" hidden="false" customHeight="false" outlineLevel="0" collapsed="false">
      <c r="A415" s="2" t="s">
        <v>561</v>
      </c>
      <c r="B415" s="2" t="s">
        <v>106</v>
      </c>
      <c r="C415" s="4" t="n">
        <v>5</v>
      </c>
      <c r="D415" s="2" t="s">
        <v>444</v>
      </c>
      <c r="E415" s="2" t="s">
        <v>399</v>
      </c>
      <c r="F415" s="21" t="n">
        <v>45793.55602</v>
      </c>
      <c r="G415" s="21" t="n">
        <v>45793.6515894445</v>
      </c>
      <c r="H415" s="10" t="n">
        <v>2.29366666666667</v>
      </c>
      <c r="I415" s="15" t="n">
        <v>45794</v>
      </c>
      <c r="J415" s="2" t="s">
        <v>629</v>
      </c>
    </row>
    <row r="416" customFormat="false" ht="15" hidden="false" customHeight="false" outlineLevel="0" collapsed="false">
      <c r="A416" s="2" t="s">
        <v>561</v>
      </c>
      <c r="B416" s="2" t="s">
        <v>106</v>
      </c>
      <c r="C416" s="4" t="n">
        <v>6</v>
      </c>
      <c r="D416" s="2" t="s">
        <v>445</v>
      </c>
      <c r="E416" s="2" t="s">
        <v>402</v>
      </c>
      <c r="F416" s="21" t="n">
        <v>45793.6515894445</v>
      </c>
      <c r="G416" s="21" t="n">
        <v>45793.6836380556</v>
      </c>
      <c r="H416" s="10" t="n">
        <v>0.769166666666667</v>
      </c>
      <c r="I416" s="15" t="n">
        <v>45794</v>
      </c>
      <c r="J416" s="2" t="s">
        <v>629</v>
      </c>
    </row>
    <row r="417" customFormat="false" ht="15" hidden="false" customHeight="false" outlineLevel="0" collapsed="false">
      <c r="A417" s="2" t="s">
        <v>561</v>
      </c>
      <c r="B417" s="2" t="s">
        <v>106</v>
      </c>
      <c r="C417" s="4" t="n">
        <v>7</v>
      </c>
      <c r="D417" s="2" t="s">
        <v>447</v>
      </c>
      <c r="E417" s="2" t="s">
        <v>421</v>
      </c>
      <c r="F417" s="21" t="n">
        <v>45793.6836380556</v>
      </c>
      <c r="G417" s="21" t="n">
        <v>45796.3398880556</v>
      </c>
      <c r="H417" s="10" t="n">
        <v>0.75</v>
      </c>
      <c r="I417" s="15" t="n">
        <v>45794</v>
      </c>
      <c r="J417" s="2" t="s">
        <v>629</v>
      </c>
    </row>
    <row r="418" customFormat="false" ht="15" hidden="false" customHeight="false" outlineLevel="0" collapsed="false">
      <c r="A418" s="2" t="s">
        <v>561</v>
      </c>
      <c r="B418" s="2" t="s">
        <v>106</v>
      </c>
      <c r="C418" s="4" t="n">
        <v>8</v>
      </c>
      <c r="D418" s="2" t="s">
        <v>449</v>
      </c>
      <c r="E418" s="2" t="s">
        <v>423</v>
      </c>
      <c r="F418" s="21" t="n">
        <v>45796.3398880556</v>
      </c>
      <c r="G418" s="21" t="n">
        <v>45796.3538463889</v>
      </c>
      <c r="H418" s="10" t="n">
        <v>0.335</v>
      </c>
      <c r="I418" s="15" t="n">
        <v>45794</v>
      </c>
      <c r="J418" s="2" t="s">
        <v>629</v>
      </c>
    </row>
    <row r="419" customFormat="false" ht="15" hidden="false" customHeight="false" outlineLevel="0" collapsed="false">
      <c r="A419" s="2" t="s">
        <v>561</v>
      </c>
      <c r="B419" s="2" t="s">
        <v>106</v>
      </c>
      <c r="C419" s="4" t="n">
        <v>9</v>
      </c>
      <c r="D419" s="2" t="s">
        <v>450</v>
      </c>
      <c r="E419" s="2" t="s">
        <v>406</v>
      </c>
      <c r="F419" s="21" t="n">
        <v>45797.6959011111</v>
      </c>
      <c r="G419" s="21" t="n">
        <v>45798.4709011111</v>
      </c>
      <c r="H419" s="10" t="n">
        <v>3.6</v>
      </c>
      <c r="I419" s="15" t="n">
        <v>45794</v>
      </c>
      <c r="J419" s="2" t="s">
        <v>629</v>
      </c>
    </row>
    <row r="420" customFormat="false" ht="15" hidden="false" customHeight="false" outlineLevel="0" collapsed="false">
      <c r="A420" s="2" t="s">
        <v>561</v>
      </c>
      <c r="B420" s="2" t="s">
        <v>106</v>
      </c>
      <c r="C420" s="4" t="n">
        <v>10</v>
      </c>
      <c r="D420" s="2" t="s">
        <v>451</v>
      </c>
      <c r="E420" s="2" t="s">
        <v>408</v>
      </c>
      <c r="F420" s="21" t="n">
        <v>45798.4709011111</v>
      </c>
      <c r="G420" s="21" t="n">
        <v>45798.4845122222</v>
      </c>
      <c r="H420" s="10" t="n">
        <v>0.326666666666667</v>
      </c>
      <c r="I420" s="15" t="n">
        <v>45794</v>
      </c>
      <c r="J420" s="2" t="s">
        <v>629</v>
      </c>
    </row>
    <row r="421" customFormat="false" ht="15" hidden="false" customHeight="false" outlineLevel="0" collapsed="false">
      <c r="A421" s="2" t="s">
        <v>561</v>
      </c>
      <c r="B421" s="2" t="s">
        <v>106</v>
      </c>
      <c r="C421" s="4" t="n">
        <v>11</v>
      </c>
      <c r="D421" s="2" t="s">
        <v>452</v>
      </c>
      <c r="E421" s="2" t="s">
        <v>411</v>
      </c>
      <c r="F421" s="21" t="n">
        <v>45798.4845122222</v>
      </c>
      <c r="G421" s="21" t="n">
        <v>45798.544165</v>
      </c>
      <c r="H421" s="10" t="n">
        <v>0.431666666666667</v>
      </c>
      <c r="I421" s="15" t="n">
        <v>45794</v>
      </c>
      <c r="J421" s="2" t="s">
        <v>629</v>
      </c>
    </row>
    <row r="422" customFormat="false" ht="15" hidden="false" customHeight="false" outlineLevel="0" collapsed="false">
      <c r="A422" s="2" t="s">
        <v>563</v>
      </c>
      <c r="B422" s="2" t="s">
        <v>119</v>
      </c>
      <c r="C422" s="4" t="n">
        <v>1</v>
      </c>
      <c r="D422" s="2" t="s">
        <v>437</v>
      </c>
      <c r="E422" s="2" t="s">
        <v>375</v>
      </c>
      <c r="F422" s="21" t="n">
        <v>45784.4937118056</v>
      </c>
      <c r="G422" s="21" t="n">
        <v>45785.4128784722</v>
      </c>
      <c r="H422" s="10" t="n">
        <v>6.06</v>
      </c>
      <c r="I422" s="15" t="n">
        <v>45795</v>
      </c>
      <c r="J422" s="2" t="s">
        <v>629</v>
      </c>
    </row>
    <row r="423" customFormat="false" ht="15" hidden="false" customHeight="false" outlineLevel="0" collapsed="false">
      <c r="A423" s="2" t="s">
        <v>563</v>
      </c>
      <c r="B423" s="2" t="s">
        <v>119</v>
      </c>
      <c r="C423" s="4" t="n">
        <v>2</v>
      </c>
      <c r="D423" s="2" t="s">
        <v>386</v>
      </c>
      <c r="E423" s="2" t="s">
        <v>383</v>
      </c>
      <c r="F423" s="21" t="n">
        <v>45789.3500555556</v>
      </c>
      <c r="G423" s="21" t="n">
        <v>45789.3972777778</v>
      </c>
      <c r="H423" s="10" t="n">
        <v>1.13333333333333</v>
      </c>
      <c r="I423" s="15" t="n">
        <v>45795</v>
      </c>
      <c r="J423" s="2" t="s">
        <v>629</v>
      </c>
    </row>
    <row r="424" customFormat="false" ht="15" hidden="false" customHeight="false" outlineLevel="0" collapsed="false">
      <c r="A424" s="2" t="s">
        <v>563</v>
      </c>
      <c r="B424" s="2" t="s">
        <v>119</v>
      </c>
      <c r="C424" s="4" t="n">
        <v>3</v>
      </c>
      <c r="D424" s="2" t="s">
        <v>390</v>
      </c>
      <c r="E424" s="2" t="s">
        <v>387</v>
      </c>
      <c r="F424" s="21" t="n">
        <v>45792.6333888889</v>
      </c>
      <c r="G424" s="21" t="n">
        <v>45796.5722777778</v>
      </c>
      <c r="H424" s="10" t="n">
        <v>14.5333333333333</v>
      </c>
      <c r="I424" s="15" t="n">
        <v>45795</v>
      </c>
      <c r="J424" s="2" t="s">
        <v>629</v>
      </c>
    </row>
    <row r="425" customFormat="false" ht="15" hidden="false" customHeight="false" outlineLevel="0" collapsed="false">
      <c r="A425" s="2" t="s">
        <v>563</v>
      </c>
      <c r="B425" s="2" t="s">
        <v>119</v>
      </c>
      <c r="C425" s="4" t="n">
        <v>4</v>
      </c>
      <c r="D425" s="2" t="s">
        <v>443</v>
      </c>
      <c r="E425" s="2" t="s">
        <v>395</v>
      </c>
      <c r="F425" s="21" t="n">
        <v>45796.5722777778</v>
      </c>
      <c r="G425" s="21" t="n">
        <v>45796.6785277778</v>
      </c>
      <c r="H425" s="10" t="n">
        <v>2.55</v>
      </c>
      <c r="I425" s="15" t="n">
        <v>45795</v>
      </c>
      <c r="J425" s="2" t="s">
        <v>629</v>
      </c>
    </row>
    <row r="426" customFormat="false" ht="15" hidden="false" customHeight="false" outlineLevel="0" collapsed="false">
      <c r="A426" s="2" t="s">
        <v>563</v>
      </c>
      <c r="B426" s="2" t="s">
        <v>119</v>
      </c>
      <c r="C426" s="4" t="n">
        <v>5</v>
      </c>
      <c r="D426" s="2" t="s">
        <v>444</v>
      </c>
      <c r="E426" s="2" t="s">
        <v>399</v>
      </c>
      <c r="F426" s="21" t="n">
        <v>45796.6785277778</v>
      </c>
      <c r="G426" s="21" t="n">
        <v>45797.48625</v>
      </c>
      <c r="H426" s="10" t="n">
        <v>4.38533333333333</v>
      </c>
      <c r="I426" s="15" t="n">
        <v>45795</v>
      </c>
      <c r="J426" s="2" t="s">
        <v>629</v>
      </c>
    </row>
    <row r="427" customFormat="false" ht="15" hidden="false" customHeight="false" outlineLevel="0" collapsed="false">
      <c r="A427" s="2" t="s">
        <v>563</v>
      </c>
      <c r="B427" s="2" t="s">
        <v>119</v>
      </c>
      <c r="C427" s="4" t="n">
        <v>6</v>
      </c>
      <c r="D427" s="2" t="s">
        <v>445</v>
      </c>
      <c r="E427" s="2" t="s">
        <v>402</v>
      </c>
      <c r="F427" s="21" t="n">
        <v>45797.48625</v>
      </c>
      <c r="G427" s="21" t="n">
        <v>45797.5819444444</v>
      </c>
      <c r="H427" s="10" t="n">
        <v>1.29666666666667</v>
      </c>
      <c r="I427" s="15" t="n">
        <v>45795</v>
      </c>
      <c r="J427" s="2" t="s">
        <v>629</v>
      </c>
    </row>
    <row r="428" customFormat="false" ht="15" hidden="false" customHeight="false" outlineLevel="0" collapsed="false">
      <c r="A428" s="2" t="s">
        <v>563</v>
      </c>
      <c r="B428" s="2" t="s">
        <v>119</v>
      </c>
      <c r="C428" s="4" t="n">
        <v>7</v>
      </c>
      <c r="D428" s="2" t="s">
        <v>447</v>
      </c>
      <c r="E428" s="2" t="s">
        <v>421</v>
      </c>
      <c r="F428" s="21" t="n">
        <v>45797.5819444444</v>
      </c>
      <c r="G428" s="21" t="n">
        <v>45797.6131944444</v>
      </c>
      <c r="H428" s="10" t="n">
        <v>0.75</v>
      </c>
      <c r="I428" s="15" t="n">
        <v>45795</v>
      </c>
      <c r="J428" s="2" t="s">
        <v>629</v>
      </c>
    </row>
    <row r="429" customFormat="false" ht="15" hidden="false" customHeight="false" outlineLevel="0" collapsed="false">
      <c r="A429" s="2" t="s">
        <v>563</v>
      </c>
      <c r="B429" s="2" t="s">
        <v>119</v>
      </c>
      <c r="C429" s="4" t="n">
        <v>8</v>
      </c>
      <c r="D429" s="2" t="s">
        <v>449</v>
      </c>
      <c r="E429" s="2" t="s">
        <v>423</v>
      </c>
      <c r="F429" s="21" t="n">
        <v>45797.6131944444</v>
      </c>
      <c r="G429" s="21" t="n">
        <v>45797.6351388889</v>
      </c>
      <c r="H429" s="10" t="n">
        <v>0.526666666666667</v>
      </c>
      <c r="I429" s="15" t="n">
        <v>45795</v>
      </c>
      <c r="J429" s="2" t="s">
        <v>629</v>
      </c>
    </row>
    <row r="430" customFormat="false" ht="15" hidden="false" customHeight="false" outlineLevel="0" collapsed="false">
      <c r="A430" s="2" t="s">
        <v>563</v>
      </c>
      <c r="B430" s="2" t="s">
        <v>119</v>
      </c>
      <c r="C430" s="4" t="n">
        <v>9</v>
      </c>
      <c r="D430" s="2" t="s">
        <v>450</v>
      </c>
      <c r="E430" s="2" t="s">
        <v>406</v>
      </c>
      <c r="F430" s="21" t="n">
        <v>45798.4709011111</v>
      </c>
      <c r="G430" s="21" t="n">
        <v>45798.7042344444</v>
      </c>
      <c r="H430" s="10" t="n">
        <v>4.6</v>
      </c>
      <c r="I430" s="15" t="n">
        <v>45795</v>
      </c>
      <c r="J430" s="2" t="s">
        <v>629</v>
      </c>
    </row>
    <row r="431" customFormat="false" ht="15" hidden="false" customHeight="false" outlineLevel="0" collapsed="false">
      <c r="A431" s="2" t="s">
        <v>563</v>
      </c>
      <c r="B431" s="2" t="s">
        <v>119</v>
      </c>
      <c r="C431" s="4" t="n">
        <v>10</v>
      </c>
      <c r="D431" s="2" t="s">
        <v>451</v>
      </c>
      <c r="E431" s="2" t="s">
        <v>408</v>
      </c>
      <c r="F431" s="21" t="n">
        <v>45798.7042344444</v>
      </c>
      <c r="G431" s="21" t="n">
        <v>45799.3545816667</v>
      </c>
      <c r="H431" s="10" t="n">
        <v>0.608333333333333</v>
      </c>
      <c r="I431" s="15" t="n">
        <v>45795</v>
      </c>
      <c r="J431" s="2" t="s">
        <v>629</v>
      </c>
    </row>
    <row r="432" customFormat="false" ht="15" hidden="false" customHeight="false" outlineLevel="0" collapsed="false">
      <c r="A432" s="2" t="s">
        <v>563</v>
      </c>
      <c r="B432" s="2" t="s">
        <v>119</v>
      </c>
      <c r="C432" s="4" t="n">
        <v>11</v>
      </c>
      <c r="D432" s="2" t="s">
        <v>452</v>
      </c>
      <c r="E432" s="2" t="s">
        <v>411</v>
      </c>
      <c r="F432" s="21" t="n">
        <v>45799.3545816667</v>
      </c>
      <c r="G432" s="21" t="n">
        <v>45799.3884011111</v>
      </c>
      <c r="H432" s="10" t="n">
        <v>0.811666666666667</v>
      </c>
      <c r="I432" s="15" t="n">
        <v>45795</v>
      </c>
      <c r="J432" s="2" t="s">
        <v>629</v>
      </c>
    </row>
    <row r="433" customFormat="false" ht="15" hidden="false" customHeight="false" outlineLevel="0" collapsed="false">
      <c r="A433" s="2" t="s">
        <v>558</v>
      </c>
      <c r="B433" s="2" t="s">
        <v>83</v>
      </c>
      <c r="C433" s="4" t="n">
        <v>1</v>
      </c>
      <c r="D433" s="2" t="s">
        <v>437</v>
      </c>
      <c r="E433" s="2" t="s">
        <v>375</v>
      </c>
      <c r="F433" s="21" t="n">
        <v>45793.3333333333</v>
      </c>
      <c r="G433" s="21" t="n">
        <v>45793.6916944445</v>
      </c>
      <c r="H433" s="10" t="n">
        <v>7.60066666666667</v>
      </c>
      <c r="I433" s="15" t="n">
        <v>45811</v>
      </c>
      <c r="J433" s="2" t="s">
        <v>629</v>
      </c>
    </row>
    <row r="434" customFormat="false" ht="15" hidden="false" customHeight="false" outlineLevel="0" collapsed="false">
      <c r="A434" s="2" t="s">
        <v>558</v>
      </c>
      <c r="B434" s="2" t="s">
        <v>83</v>
      </c>
      <c r="C434" s="4" t="n">
        <v>2</v>
      </c>
      <c r="D434" s="2" t="s">
        <v>441</v>
      </c>
      <c r="E434" s="2" t="s">
        <v>380</v>
      </c>
      <c r="F434" s="21" t="n">
        <v>45793.6916944445</v>
      </c>
      <c r="G434" s="21" t="n">
        <v>45797.4278055556</v>
      </c>
      <c r="H434" s="10" t="n">
        <v>10.6666666666667</v>
      </c>
      <c r="I434" s="15" t="n">
        <v>45811</v>
      </c>
      <c r="J434" s="2" t="s">
        <v>629</v>
      </c>
    </row>
    <row r="435" customFormat="false" ht="15" hidden="false" customHeight="false" outlineLevel="0" collapsed="false">
      <c r="A435" s="2" t="s">
        <v>558</v>
      </c>
      <c r="B435" s="2" t="s">
        <v>83</v>
      </c>
      <c r="C435" s="4" t="n">
        <v>3</v>
      </c>
      <c r="D435" s="2" t="s">
        <v>386</v>
      </c>
      <c r="E435" s="2" t="s">
        <v>383</v>
      </c>
      <c r="F435" s="21" t="n">
        <v>45797.4278055556</v>
      </c>
      <c r="G435" s="21" t="n">
        <v>45799.4591944445</v>
      </c>
      <c r="H435" s="10" t="n">
        <v>16.7533333333333</v>
      </c>
      <c r="I435" s="15" t="n">
        <v>45811</v>
      </c>
      <c r="J435" s="2" t="s">
        <v>629</v>
      </c>
    </row>
    <row r="436" customFormat="false" ht="15" hidden="false" customHeight="false" outlineLevel="0" collapsed="false">
      <c r="A436" s="2" t="s">
        <v>558</v>
      </c>
      <c r="B436" s="2" t="s">
        <v>83</v>
      </c>
      <c r="C436" s="4" t="n">
        <v>4</v>
      </c>
      <c r="D436" s="2" t="s">
        <v>390</v>
      </c>
      <c r="E436" s="2" t="s">
        <v>387</v>
      </c>
      <c r="F436" s="21" t="n">
        <v>45799.4591944445</v>
      </c>
      <c r="G436" s="21" t="n">
        <v>45803.3841944444</v>
      </c>
      <c r="H436" s="10" t="n">
        <v>14.2</v>
      </c>
      <c r="I436" s="15" t="n">
        <v>45811</v>
      </c>
      <c r="J436" s="2" t="s">
        <v>629</v>
      </c>
    </row>
    <row r="437" customFormat="false" ht="15" hidden="false" customHeight="false" outlineLevel="0" collapsed="false">
      <c r="A437" s="2" t="s">
        <v>558</v>
      </c>
      <c r="B437" s="2" t="s">
        <v>83</v>
      </c>
      <c r="C437" s="4" t="n">
        <v>5</v>
      </c>
      <c r="D437" s="2" t="s">
        <v>442</v>
      </c>
      <c r="E437" s="2" t="s">
        <v>391</v>
      </c>
      <c r="F437" s="21" t="n">
        <v>45803.3841944444</v>
      </c>
      <c r="G437" s="21" t="n">
        <v>45805.38475</v>
      </c>
      <c r="H437" s="10" t="n">
        <v>16.0133333333333</v>
      </c>
      <c r="I437" s="15" t="n">
        <v>45811</v>
      </c>
      <c r="J437" s="2" t="s">
        <v>629</v>
      </c>
    </row>
    <row r="438" customFormat="false" ht="15" hidden="false" customHeight="false" outlineLevel="0" collapsed="false">
      <c r="A438" s="2" t="s">
        <v>558</v>
      </c>
      <c r="B438" s="2" t="s">
        <v>83</v>
      </c>
      <c r="C438" s="4" t="n">
        <v>6</v>
      </c>
      <c r="D438" s="2" t="s">
        <v>443</v>
      </c>
      <c r="E438" s="2" t="s">
        <v>395</v>
      </c>
      <c r="F438" s="21" t="n">
        <v>45805.38475</v>
      </c>
      <c r="G438" s="21" t="n">
        <v>45806.4680833333</v>
      </c>
      <c r="H438" s="10" t="n">
        <v>10</v>
      </c>
      <c r="I438" s="15" t="n">
        <v>45811</v>
      </c>
      <c r="J438" s="2" t="s">
        <v>629</v>
      </c>
    </row>
    <row r="439" customFormat="false" ht="15" hidden="false" customHeight="false" outlineLevel="0" collapsed="false">
      <c r="A439" s="2" t="s">
        <v>558</v>
      </c>
      <c r="B439" s="2" t="s">
        <v>83</v>
      </c>
      <c r="C439" s="4" t="n">
        <v>7</v>
      </c>
      <c r="D439" s="2" t="s">
        <v>444</v>
      </c>
      <c r="E439" s="2" t="s">
        <v>399</v>
      </c>
      <c r="F439" s="21" t="n">
        <v>45806.4680833333</v>
      </c>
      <c r="G439" s="21" t="n">
        <v>45807.4102833333</v>
      </c>
      <c r="H439" s="10" t="n">
        <v>6.6128</v>
      </c>
      <c r="I439" s="15" t="n">
        <v>45811</v>
      </c>
      <c r="J439" s="2" t="s">
        <v>629</v>
      </c>
    </row>
    <row r="440" customFormat="false" ht="15" hidden="false" customHeight="false" outlineLevel="0" collapsed="false">
      <c r="A440" s="2" t="s">
        <v>558</v>
      </c>
      <c r="B440" s="2" t="s">
        <v>83</v>
      </c>
      <c r="C440" s="4" t="n">
        <v>8</v>
      </c>
      <c r="D440" s="2" t="s">
        <v>445</v>
      </c>
      <c r="E440" s="2" t="s">
        <v>402</v>
      </c>
      <c r="F440" s="21" t="n">
        <v>45807.4102833333</v>
      </c>
      <c r="G440" s="21" t="n">
        <v>45807.4937833333</v>
      </c>
      <c r="H440" s="10" t="n">
        <v>2.004</v>
      </c>
      <c r="I440" s="15" t="n">
        <v>45811</v>
      </c>
      <c r="J440" s="2" t="s">
        <v>629</v>
      </c>
    </row>
    <row r="441" customFormat="false" ht="15" hidden="false" customHeight="false" outlineLevel="0" collapsed="false">
      <c r="A441" s="2" t="s">
        <v>558</v>
      </c>
      <c r="B441" s="2" t="s">
        <v>83</v>
      </c>
      <c r="C441" s="4" t="n">
        <v>9</v>
      </c>
      <c r="D441" s="2" t="s">
        <v>447</v>
      </c>
      <c r="E441" s="2" t="s">
        <v>421</v>
      </c>
      <c r="F441" s="21" t="n">
        <v>45807.4937833333</v>
      </c>
      <c r="G441" s="21" t="n">
        <v>45807.59795</v>
      </c>
      <c r="H441" s="10" t="n">
        <v>1.5</v>
      </c>
      <c r="I441" s="15" t="n">
        <v>45811</v>
      </c>
      <c r="J441" s="2" t="s">
        <v>629</v>
      </c>
    </row>
    <row r="442" customFormat="false" ht="15" hidden="false" customHeight="false" outlineLevel="0" collapsed="false">
      <c r="A442" s="2" t="s">
        <v>558</v>
      </c>
      <c r="B442" s="2" t="s">
        <v>83</v>
      </c>
      <c r="C442" s="4" t="n">
        <v>10</v>
      </c>
      <c r="D442" s="2" t="s">
        <v>449</v>
      </c>
      <c r="E442" s="2" t="s">
        <v>423</v>
      </c>
      <c r="F442" s="21" t="n">
        <v>45807.59795</v>
      </c>
      <c r="G442" s="21" t="n">
        <v>45807.6314777778</v>
      </c>
      <c r="H442" s="10" t="n">
        <v>0.804666666666667</v>
      </c>
      <c r="I442" s="15" t="n">
        <v>45811</v>
      </c>
      <c r="J442" s="2" t="s">
        <v>629</v>
      </c>
    </row>
    <row r="443" customFormat="false" ht="15" hidden="false" customHeight="false" outlineLevel="0" collapsed="false">
      <c r="A443" s="2" t="s">
        <v>558</v>
      </c>
      <c r="B443" s="2" t="s">
        <v>83</v>
      </c>
      <c r="C443" s="4" t="n">
        <v>11</v>
      </c>
      <c r="D443" s="2" t="s">
        <v>450</v>
      </c>
      <c r="E443" s="2" t="s">
        <v>406</v>
      </c>
      <c r="F443" s="21" t="n">
        <v>45807.6314777778</v>
      </c>
      <c r="G443" s="21" t="n">
        <v>45811.4502277778</v>
      </c>
      <c r="H443" s="10" t="n">
        <v>12.65</v>
      </c>
      <c r="I443" s="15" t="n">
        <v>45811</v>
      </c>
      <c r="J443" s="2" t="s">
        <v>629</v>
      </c>
    </row>
    <row r="444" customFormat="false" ht="15" hidden="false" customHeight="false" outlineLevel="0" collapsed="false">
      <c r="A444" s="2" t="s">
        <v>558</v>
      </c>
      <c r="B444" s="2" t="s">
        <v>83</v>
      </c>
      <c r="C444" s="4" t="n">
        <v>12</v>
      </c>
      <c r="D444" s="2" t="s">
        <v>451</v>
      </c>
      <c r="E444" s="2" t="s">
        <v>408</v>
      </c>
      <c r="F444" s="21" t="n">
        <v>45811.4502277778</v>
      </c>
      <c r="G444" s="21" t="n">
        <v>45811.4851722222</v>
      </c>
      <c r="H444" s="10" t="n">
        <v>0.838666666666667</v>
      </c>
      <c r="I444" s="15" t="n">
        <v>45811</v>
      </c>
      <c r="J444" s="2" t="s">
        <v>629</v>
      </c>
    </row>
    <row r="445" customFormat="false" ht="15" hidden="false" customHeight="false" outlineLevel="0" collapsed="false">
      <c r="A445" s="2" t="s">
        <v>558</v>
      </c>
      <c r="B445" s="2" t="s">
        <v>83</v>
      </c>
      <c r="C445" s="4" t="n">
        <v>13</v>
      </c>
      <c r="D445" s="2" t="s">
        <v>452</v>
      </c>
      <c r="E445" s="2" t="s">
        <v>411</v>
      </c>
      <c r="F445" s="21" t="n">
        <v>45811.4851722222</v>
      </c>
      <c r="G445" s="21" t="n">
        <v>45811.5737833333</v>
      </c>
      <c r="H445" s="10" t="n">
        <v>1.12666666666667</v>
      </c>
      <c r="I445" s="15" t="n">
        <v>45811</v>
      </c>
      <c r="J445" s="2" t="s">
        <v>629</v>
      </c>
    </row>
    <row r="446" customFormat="false" ht="15" hidden="false" customHeight="false" outlineLevel="0" collapsed="false">
      <c r="A446" s="2" t="s">
        <v>560</v>
      </c>
      <c r="B446" s="2" t="s">
        <v>96</v>
      </c>
      <c r="C446" s="4" t="n">
        <v>1</v>
      </c>
      <c r="D446" s="2" t="s">
        <v>437</v>
      </c>
      <c r="E446" s="2" t="s">
        <v>375</v>
      </c>
      <c r="F446" s="21" t="n">
        <v>45793.6916944445</v>
      </c>
      <c r="G446" s="21" t="n">
        <v>45796.6408784722</v>
      </c>
      <c r="H446" s="10" t="n">
        <v>6.78041666666667</v>
      </c>
      <c r="I446" s="15" t="n">
        <v>45809</v>
      </c>
      <c r="J446" s="2" t="s">
        <v>629</v>
      </c>
    </row>
    <row r="447" customFormat="false" ht="15" hidden="false" customHeight="false" outlineLevel="0" collapsed="false">
      <c r="A447" s="2" t="s">
        <v>560</v>
      </c>
      <c r="B447" s="2" t="s">
        <v>96</v>
      </c>
      <c r="C447" s="4" t="n">
        <v>2</v>
      </c>
      <c r="D447" s="2" t="s">
        <v>441</v>
      </c>
      <c r="E447" s="2" t="s">
        <v>380</v>
      </c>
      <c r="F447" s="21" t="n">
        <v>45797.4278055556</v>
      </c>
      <c r="G447" s="21" t="n">
        <v>45797.4638888889</v>
      </c>
      <c r="H447" s="10" t="n">
        <v>0.866</v>
      </c>
      <c r="I447" s="15" t="n">
        <v>45809</v>
      </c>
      <c r="J447" s="2" t="s">
        <v>629</v>
      </c>
    </row>
    <row r="448" customFormat="false" ht="15" hidden="false" customHeight="false" outlineLevel="0" collapsed="false">
      <c r="A448" s="2" t="s">
        <v>560</v>
      </c>
      <c r="B448" s="2" t="s">
        <v>96</v>
      </c>
      <c r="C448" s="4" t="n">
        <v>3</v>
      </c>
      <c r="D448" s="2" t="s">
        <v>386</v>
      </c>
      <c r="E448" s="2" t="s">
        <v>383</v>
      </c>
      <c r="F448" s="21" t="n">
        <v>45799.4591944445</v>
      </c>
      <c r="G448" s="21" t="n">
        <v>45800.4585</v>
      </c>
      <c r="H448" s="10" t="n">
        <v>7.98333333333333</v>
      </c>
      <c r="I448" s="15" t="n">
        <v>45809</v>
      </c>
      <c r="J448" s="2" t="s">
        <v>629</v>
      </c>
    </row>
    <row r="449" customFormat="false" ht="15" hidden="false" customHeight="false" outlineLevel="0" collapsed="false">
      <c r="A449" s="2" t="s">
        <v>560</v>
      </c>
      <c r="B449" s="2" t="s">
        <v>96</v>
      </c>
      <c r="C449" s="4" t="n">
        <v>4</v>
      </c>
      <c r="D449" s="2" t="s">
        <v>390</v>
      </c>
      <c r="E449" s="2" t="s">
        <v>387</v>
      </c>
      <c r="F449" s="21" t="n">
        <v>45803.3841944444</v>
      </c>
      <c r="G449" s="21" t="n">
        <v>45804.7036388889</v>
      </c>
      <c r="H449" s="10" t="n">
        <v>14.6666666666667</v>
      </c>
      <c r="I449" s="15" t="n">
        <v>45809</v>
      </c>
      <c r="J449" s="2" t="s">
        <v>629</v>
      </c>
    </row>
    <row r="450" customFormat="false" ht="15" hidden="false" customHeight="false" outlineLevel="0" collapsed="false">
      <c r="A450" s="2" t="s">
        <v>560</v>
      </c>
      <c r="B450" s="2" t="s">
        <v>96</v>
      </c>
      <c r="C450" s="4" t="n">
        <v>5</v>
      </c>
      <c r="D450" s="2" t="s">
        <v>442</v>
      </c>
      <c r="E450" s="2" t="s">
        <v>391</v>
      </c>
      <c r="F450" s="21" t="n">
        <v>45805.38475</v>
      </c>
      <c r="G450" s="21" t="n">
        <v>45805.4189166667</v>
      </c>
      <c r="H450" s="10" t="n">
        <v>0.82</v>
      </c>
      <c r="I450" s="15" t="n">
        <v>45809</v>
      </c>
      <c r="J450" s="2" t="s">
        <v>629</v>
      </c>
    </row>
    <row r="451" customFormat="false" ht="15" hidden="false" customHeight="false" outlineLevel="0" collapsed="false">
      <c r="A451" s="2" t="s">
        <v>560</v>
      </c>
      <c r="B451" s="2" t="s">
        <v>96</v>
      </c>
      <c r="C451" s="4" t="n">
        <v>6</v>
      </c>
      <c r="D451" s="2" t="s">
        <v>443</v>
      </c>
      <c r="E451" s="2" t="s">
        <v>395</v>
      </c>
      <c r="F451" s="21" t="n">
        <v>45806.4680833333</v>
      </c>
      <c r="G451" s="21" t="n">
        <v>45806.67225</v>
      </c>
      <c r="H451" s="10" t="n">
        <v>3.9</v>
      </c>
      <c r="I451" s="15" t="n">
        <v>45809</v>
      </c>
      <c r="J451" s="2" t="s">
        <v>629</v>
      </c>
    </row>
    <row r="452" customFormat="false" ht="15" hidden="false" customHeight="false" outlineLevel="0" collapsed="false">
      <c r="A452" s="2" t="s">
        <v>560</v>
      </c>
      <c r="B452" s="2" t="s">
        <v>96</v>
      </c>
      <c r="C452" s="4" t="n">
        <v>7</v>
      </c>
      <c r="D452" s="2" t="s">
        <v>444</v>
      </c>
      <c r="E452" s="2" t="s">
        <v>399</v>
      </c>
      <c r="F452" s="21" t="n">
        <v>45807.4102833333</v>
      </c>
      <c r="G452" s="21" t="n">
        <v>45807.5877127778</v>
      </c>
      <c r="H452" s="10" t="n">
        <v>3.25830666666667</v>
      </c>
      <c r="I452" s="15" t="n">
        <v>45809</v>
      </c>
      <c r="J452" s="2" t="s">
        <v>629</v>
      </c>
    </row>
    <row r="453" customFormat="false" ht="15" hidden="false" customHeight="false" outlineLevel="0" collapsed="false">
      <c r="A453" s="2" t="s">
        <v>560</v>
      </c>
      <c r="B453" s="2" t="s">
        <v>96</v>
      </c>
      <c r="C453" s="4" t="n">
        <v>8</v>
      </c>
      <c r="D453" s="2" t="s">
        <v>445</v>
      </c>
      <c r="E453" s="2" t="s">
        <v>402</v>
      </c>
      <c r="F453" s="21" t="n">
        <v>45807.5877127778</v>
      </c>
      <c r="G453" s="21" t="n">
        <v>45807.6317266667</v>
      </c>
      <c r="H453" s="10" t="n">
        <v>1.05633333333333</v>
      </c>
      <c r="I453" s="15" t="n">
        <v>45809</v>
      </c>
      <c r="J453" s="2" t="s">
        <v>629</v>
      </c>
    </row>
    <row r="454" customFormat="false" ht="15" hidden="false" customHeight="false" outlineLevel="0" collapsed="false">
      <c r="A454" s="2" t="s">
        <v>560</v>
      </c>
      <c r="B454" s="2" t="s">
        <v>96</v>
      </c>
      <c r="C454" s="4" t="n">
        <v>9</v>
      </c>
      <c r="D454" s="2" t="s">
        <v>447</v>
      </c>
      <c r="E454" s="2" t="s">
        <v>421</v>
      </c>
      <c r="F454" s="21" t="n">
        <v>45807.6317266667</v>
      </c>
      <c r="G454" s="21" t="n">
        <v>45807.6629766667</v>
      </c>
      <c r="H454" s="10" t="n">
        <v>0.75</v>
      </c>
      <c r="I454" s="15" t="n">
        <v>45809</v>
      </c>
      <c r="J454" s="2" t="s">
        <v>629</v>
      </c>
    </row>
    <row r="455" customFormat="false" ht="15" hidden="false" customHeight="false" outlineLevel="0" collapsed="false">
      <c r="A455" s="2" t="s">
        <v>560</v>
      </c>
      <c r="B455" s="2" t="s">
        <v>96</v>
      </c>
      <c r="C455" s="4" t="n">
        <v>10</v>
      </c>
      <c r="D455" s="2" t="s">
        <v>449</v>
      </c>
      <c r="E455" s="2" t="s">
        <v>423</v>
      </c>
      <c r="F455" s="21" t="n">
        <v>45807.6629766667</v>
      </c>
      <c r="G455" s="21" t="n">
        <v>45807.6808794444</v>
      </c>
      <c r="H455" s="10" t="n">
        <v>0.429666666666667</v>
      </c>
      <c r="I455" s="15" t="n">
        <v>45809</v>
      </c>
      <c r="J455" s="2" t="s">
        <v>629</v>
      </c>
    </row>
    <row r="456" customFormat="false" ht="15" hidden="false" customHeight="false" outlineLevel="0" collapsed="false">
      <c r="A456" s="2" t="s">
        <v>560</v>
      </c>
      <c r="B456" s="2" t="s">
        <v>96</v>
      </c>
      <c r="C456" s="4" t="n">
        <v>11</v>
      </c>
      <c r="D456" s="2" t="s">
        <v>450</v>
      </c>
      <c r="E456" s="2" t="s">
        <v>406</v>
      </c>
      <c r="F456" s="21" t="n">
        <v>45811.4502277778</v>
      </c>
      <c r="G456" s="21" t="n">
        <v>45812.3580402778</v>
      </c>
      <c r="H456" s="10" t="n">
        <v>5.7875</v>
      </c>
      <c r="I456" s="15" t="n">
        <v>45809</v>
      </c>
      <c r="J456" s="2" t="s">
        <v>629</v>
      </c>
    </row>
    <row r="457" customFormat="false" ht="15" hidden="false" customHeight="false" outlineLevel="0" collapsed="false">
      <c r="A457" s="2" t="s">
        <v>560</v>
      </c>
      <c r="B457" s="2" t="s">
        <v>96</v>
      </c>
      <c r="C457" s="4" t="n">
        <v>12</v>
      </c>
      <c r="D457" s="2" t="s">
        <v>451</v>
      </c>
      <c r="E457" s="2" t="s">
        <v>408</v>
      </c>
      <c r="F457" s="21" t="n">
        <v>45812.3580402778</v>
      </c>
      <c r="G457" s="21" t="n">
        <v>45812.3772694444</v>
      </c>
      <c r="H457" s="10" t="n">
        <v>0.4615</v>
      </c>
      <c r="I457" s="15" t="n">
        <v>45809</v>
      </c>
      <c r="J457" s="2" t="s">
        <v>629</v>
      </c>
    </row>
    <row r="458" customFormat="false" ht="15" hidden="false" customHeight="false" outlineLevel="0" collapsed="false">
      <c r="A458" s="2" t="s">
        <v>560</v>
      </c>
      <c r="B458" s="2" t="s">
        <v>96</v>
      </c>
      <c r="C458" s="4" t="n">
        <v>13</v>
      </c>
      <c r="D458" s="2" t="s">
        <v>452</v>
      </c>
      <c r="E458" s="2" t="s">
        <v>411</v>
      </c>
      <c r="F458" s="21" t="n">
        <v>45812.3772694444</v>
      </c>
      <c r="G458" s="21" t="n">
        <v>45812.4029638889</v>
      </c>
      <c r="H458" s="10" t="n">
        <v>0.616666666666667</v>
      </c>
      <c r="I458" s="15" t="n">
        <v>45809</v>
      </c>
      <c r="J458" s="2" t="s">
        <v>629</v>
      </c>
    </row>
    <row r="459" customFormat="false" ht="15" hidden="false" customHeight="false" outlineLevel="0" collapsed="false">
      <c r="A459" s="2" t="s">
        <v>562</v>
      </c>
      <c r="B459" s="2" t="s">
        <v>108</v>
      </c>
      <c r="C459" s="4" t="n">
        <v>1</v>
      </c>
      <c r="D459" s="2" t="s">
        <v>437</v>
      </c>
      <c r="E459" s="2" t="s">
        <v>375</v>
      </c>
      <c r="F459" s="21" t="n">
        <v>45796.6408784722</v>
      </c>
      <c r="G459" s="21" t="n">
        <v>45797.5511840278</v>
      </c>
      <c r="H459" s="10" t="n">
        <v>5.84733333333333</v>
      </c>
      <c r="I459" s="15" t="n">
        <v>45808</v>
      </c>
      <c r="J459" s="2" t="s">
        <v>629</v>
      </c>
    </row>
    <row r="460" customFormat="false" ht="15" hidden="false" customHeight="false" outlineLevel="0" collapsed="false">
      <c r="A460" s="2" t="s">
        <v>562</v>
      </c>
      <c r="B460" s="2" t="s">
        <v>108</v>
      </c>
      <c r="C460" s="4" t="n">
        <v>2</v>
      </c>
      <c r="D460" s="2" t="s">
        <v>386</v>
      </c>
      <c r="E460" s="2" t="s">
        <v>383</v>
      </c>
      <c r="F460" s="21" t="n">
        <v>45800.4585</v>
      </c>
      <c r="G460" s="21" t="n">
        <v>45800.6196111111</v>
      </c>
      <c r="H460" s="10" t="n">
        <v>2.86666666666667</v>
      </c>
      <c r="I460" s="15" t="n">
        <v>45808</v>
      </c>
      <c r="J460" s="2" t="s">
        <v>629</v>
      </c>
    </row>
    <row r="461" customFormat="false" ht="15" hidden="false" customHeight="false" outlineLevel="0" collapsed="false">
      <c r="A461" s="2" t="s">
        <v>562</v>
      </c>
      <c r="B461" s="2" t="s">
        <v>108</v>
      </c>
      <c r="C461" s="4" t="n">
        <v>3</v>
      </c>
      <c r="D461" s="2" t="s">
        <v>390</v>
      </c>
      <c r="E461" s="2" t="s">
        <v>387</v>
      </c>
      <c r="F461" s="21" t="n">
        <v>45804.7036388889</v>
      </c>
      <c r="G461" s="21" t="n">
        <v>45806.6661388889</v>
      </c>
      <c r="H461" s="10" t="n">
        <v>15.1</v>
      </c>
      <c r="I461" s="15" t="n">
        <v>45808</v>
      </c>
      <c r="J461" s="2" t="s">
        <v>629</v>
      </c>
    </row>
    <row r="462" customFormat="false" ht="15" hidden="false" customHeight="false" outlineLevel="0" collapsed="false">
      <c r="A462" s="2" t="s">
        <v>562</v>
      </c>
      <c r="B462" s="2" t="s">
        <v>108</v>
      </c>
      <c r="C462" s="4" t="n">
        <v>4</v>
      </c>
      <c r="D462" s="2" t="s">
        <v>443</v>
      </c>
      <c r="E462" s="2" t="s">
        <v>395</v>
      </c>
      <c r="F462" s="21" t="n">
        <v>45806.67225</v>
      </c>
      <c r="G462" s="21" t="n">
        <v>45807.4055833333</v>
      </c>
      <c r="H462" s="10" t="n">
        <v>2.6</v>
      </c>
      <c r="I462" s="15" t="n">
        <v>45808</v>
      </c>
      <c r="J462" s="2" t="s">
        <v>629</v>
      </c>
    </row>
    <row r="463" customFormat="false" ht="15" hidden="false" customHeight="false" outlineLevel="0" collapsed="false">
      <c r="A463" s="2" t="s">
        <v>562</v>
      </c>
      <c r="B463" s="2" t="s">
        <v>108</v>
      </c>
      <c r="C463" s="4" t="n">
        <v>5</v>
      </c>
      <c r="D463" s="2" t="s">
        <v>444</v>
      </c>
      <c r="E463" s="2" t="s">
        <v>399</v>
      </c>
      <c r="F463" s="21" t="n">
        <v>45807.5877127778</v>
      </c>
      <c r="G463" s="21" t="n">
        <v>45810.3732461111</v>
      </c>
      <c r="H463" s="10" t="n">
        <v>3.8528</v>
      </c>
      <c r="I463" s="15" t="n">
        <v>45808</v>
      </c>
      <c r="J463" s="2" t="s">
        <v>629</v>
      </c>
    </row>
    <row r="464" customFormat="false" ht="15" hidden="false" customHeight="false" outlineLevel="0" collapsed="false">
      <c r="A464" s="2" t="s">
        <v>562</v>
      </c>
      <c r="B464" s="2" t="s">
        <v>108</v>
      </c>
      <c r="C464" s="4" t="n">
        <v>6</v>
      </c>
      <c r="D464" s="2" t="s">
        <v>445</v>
      </c>
      <c r="E464" s="2" t="s">
        <v>402</v>
      </c>
      <c r="F464" s="21" t="n">
        <v>45810.3732461111</v>
      </c>
      <c r="G464" s="21" t="n">
        <v>45810.4100377778</v>
      </c>
      <c r="H464" s="10" t="n">
        <v>0.883</v>
      </c>
      <c r="I464" s="15" t="n">
        <v>45808</v>
      </c>
      <c r="J464" s="2" t="s">
        <v>629</v>
      </c>
    </row>
    <row r="465" customFormat="false" ht="15" hidden="false" customHeight="false" outlineLevel="0" collapsed="false">
      <c r="A465" s="2" t="s">
        <v>562</v>
      </c>
      <c r="B465" s="2" t="s">
        <v>108</v>
      </c>
      <c r="C465" s="4" t="n">
        <v>7</v>
      </c>
      <c r="D465" s="2" t="s">
        <v>447</v>
      </c>
      <c r="E465" s="2" t="s">
        <v>421</v>
      </c>
      <c r="F465" s="21" t="n">
        <v>45810.4100377778</v>
      </c>
      <c r="G465" s="21" t="n">
        <v>45810.4412877778</v>
      </c>
      <c r="H465" s="10" t="n">
        <v>0.75</v>
      </c>
      <c r="I465" s="15" t="n">
        <v>45808</v>
      </c>
      <c r="J465" s="2" t="s">
        <v>629</v>
      </c>
    </row>
    <row r="466" customFormat="false" ht="15" hidden="false" customHeight="false" outlineLevel="0" collapsed="false">
      <c r="A466" s="2" t="s">
        <v>562</v>
      </c>
      <c r="B466" s="2" t="s">
        <v>108</v>
      </c>
      <c r="C466" s="4" t="n">
        <v>8</v>
      </c>
      <c r="D466" s="2" t="s">
        <v>449</v>
      </c>
      <c r="E466" s="2" t="s">
        <v>423</v>
      </c>
      <c r="F466" s="21" t="n">
        <v>45810.4412877778</v>
      </c>
      <c r="G466" s="21" t="n">
        <v>45810.4569266667</v>
      </c>
      <c r="H466" s="10" t="n">
        <v>0.375333333333333</v>
      </c>
      <c r="I466" s="15" t="n">
        <v>45808</v>
      </c>
      <c r="J466" s="2" t="s">
        <v>629</v>
      </c>
    </row>
    <row r="467" customFormat="false" ht="15" hidden="false" customHeight="false" outlineLevel="0" collapsed="false">
      <c r="A467" s="2" t="s">
        <v>562</v>
      </c>
      <c r="B467" s="2" t="s">
        <v>108</v>
      </c>
      <c r="C467" s="4" t="n">
        <v>9</v>
      </c>
      <c r="D467" s="2" t="s">
        <v>450</v>
      </c>
      <c r="E467" s="2" t="s">
        <v>406</v>
      </c>
      <c r="F467" s="21" t="n">
        <v>45812.3580402778</v>
      </c>
      <c r="G467" s="21" t="n">
        <v>45812.6382486111</v>
      </c>
      <c r="H467" s="10" t="n">
        <v>5.725</v>
      </c>
      <c r="I467" s="15" t="n">
        <v>45808</v>
      </c>
      <c r="J467" s="2" t="s">
        <v>629</v>
      </c>
    </row>
    <row r="468" customFormat="false" ht="15" hidden="false" customHeight="false" outlineLevel="0" collapsed="false">
      <c r="A468" s="2" t="s">
        <v>562</v>
      </c>
      <c r="B468" s="2" t="s">
        <v>108</v>
      </c>
      <c r="C468" s="4" t="n">
        <v>10</v>
      </c>
      <c r="D468" s="2" t="s">
        <v>451</v>
      </c>
      <c r="E468" s="2" t="s">
        <v>408</v>
      </c>
      <c r="F468" s="21" t="n">
        <v>45812.6382486111</v>
      </c>
      <c r="G468" s="21" t="n">
        <v>45812.6543041667</v>
      </c>
      <c r="H468" s="10" t="n">
        <v>0.385333333333333</v>
      </c>
      <c r="I468" s="15" t="n">
        <v>45808</v>
      </c>
      <c r="J468" s="2" t="s">
        <v>629</v>
      </c>
    </row>
    <row r="469" customFormat="false" ht="15" hidden="false" customHeight="false" outlineLevel="0" collapsed="false">
      <c r="A469" s="2" t="s">
        <v>562</v>
      </c>
      <c r="B469" s="2" t="s">
        <v>108</v>
      </c>
      <c r="C469" s="4" t="n">
        <v>11</v>
      </c>
      <c r="D469" s="2" t="s">
        <v>452</v>
      </c>
      <c r="E469" s="2" t="s">
        <v>411</v>
      </c>
      <c r="F469" s="21" t="n">
        <v>45812.6543041667</v>
      </c>
      <c r="G469" s="21" t="n">
        <v>45812.6756097222</v>
      </c>
      <c r="H469" s="10" t="n">
        <v>0.511333333333333</v>
      </c>
      <c r="I469" s="15" t="n">
        <v>45808</v>
      </c>
      <c r="J469" s="2" t="s">
        <v>629</v>
      </c>
    </row>
    <row r="470" customFormat="false" ht="15" hidden="false" customHeight="false" outlineLevel="0" collapsed="false">
      <c r="A470" s="2" t="s">
        <v>564</v>
      </c>
      <c r="B470" s="2" t="s">
        <v>121</v>
      </c>
      <c r="C470" s="4" t="n">
        <v>1</v>
      </c>
      <c r="D470" s="2" t="s">
        <v>437</v>
      </c>
      <c r="E470" s="2" t="s">
        <v>375</v>
      </c>
      <c r="F470" s="21" t="n">
        <v>45797.5511840278</v>
      </c>
      <c r="G470" s="21" t="n">
        <v>45798.4311840278</v>
      </c>
      <c r="H470" s="10" t="n">
        <v>6.12</v>
      </c>
      <c r="I470" s="15" t="n">
        <v>45809</v>
      </c>
      <c r="J470" s="2" t="s">
        <v>629</v>
      </c>
    </row>
    <row r="471" customFormat="false" ht="15" hidden="false" customHeight="false" outlineLevel="0" collapsed="false">
      <c r="A471" s="2" t="s">
        <v>564</v>
      </c>
      <c r="B471" s="2" t="s">
        <v>121</v>
      </c>
      <c r="C471" s="4" t="n">
        <v>2</v>
      </c>
      <c r="D471" s="2" t="s">
        <v>441</v>
      </c>
      <c r="E471" s="2" t="s">
        <v>380</v>
      </c>
      <c r="F471" s="21" t="n">
        <v>45798.4311840278</v>
      </c>
      <c r="G471" s="21" t="n">
        <v>45798.7025729167</v>
      </c>
      <c r="H471" s="10" t="n">
        <v>5.51333333333333</v>
      </c>
      <c r="I471" s="15" t="n">
        <v>45809</v>
      </c>
      <c r="J471" s="2" t="s">
        <v>629</v>
      </c>
    </row>
    <row r="472" customFormat="false" ht="15" hidden="false" customHeight="false" outlineLevel="0" collapsed="false">
      <c r="A472" s="2" t="s">
        <v>564</v>
      </c>
      <c r="B472" s="2" t="s">
        <v>121</v>
      </c>
      <c r="C472" s="4" t="n">
        <v>3</v>
      </c>
      <c r="D472" s="2" t="s">
        <v>386</v>
      </c>
      <c r="E472" s="2" t="s">
        <v>383</v>
      </c>
      <c r="F472" s="21" t="n">
        <v>45800.6196111111</v>
      </c>
      <c r="G472" s="21" t="n">
        <v>45803.6737777778</v>
      </c>
      <c r="H472" s="10" t="n">
        <v>9.3</v>
      </c>
      <c r="I472" s="15" t="n">
        <v>45809</v>
      </c>
      <c r="J472" s="2" t="s">
        <v>629</v>
      </c>
    </row>
    <row r="473" customFormat="false" ht="15" hidden="false" customHeight="false" outlineLevel="0" collapsed="false">
      <c r="A473" s="2" t="s">
        <v>564</v>
      </c>
      <c r="B473" s="2" t="s">
        <v>121</v>
      </c>
      <c r="C473" s="4" t="n">
        <v>4</v>
      </c>
      <c r="D473" s="2" t="s">
        <v>390</v>
      </c>
      <c r="E473" s="2" t="s">
        <v>387</v>
      </c>
      <c r="F473" s="21" t="n">
        <v>45806.6661388889</v>
      </c>
      <c r="G473" s="21" t="n">
        <v>45810.5980833333</v>
      </c>
      <c r="H473" s="10" t="n">
        <v>14.3666666666667</v>
      </c>
      <c r="I473" s="15" t="n">
        <v>45809</v>
      </c>
      <c r="J473" s="2" t="s">
        <v>629</v>
      </c>
    </row>
    <row r="474" customFormat="false" ht="15" hidden="false" customHeight="false" outlineLevel="0" collapsed="false">
      <c r="A474" s="2" t="s">
        <v>564</v>
      </c>
      <c r="B474" s="2" t="s">
        <v>121</v>
      </c>
      <c r="C474" s="4" t="n">
        <v>5</v>
      </c>
      <c r="D474" s="2" t="s">
        <v>443</v>
      </c>
      <c r="E474" s="2" t="s">
        <v>395</v>
      </c>
      <c r="F474" s="21" t="n">
        <v>45810.5980833333</v>
      </c>
      <c r="G474" s="21" t="n">
        <v>45811.4855833333</v>
      </c>
      <c r="H474" s="10" t="n">
        <v>6.3</v>
      </c>
      <c r="I474" s="15" t="n">
        <v>45809</v>
      </c>
      <c r="J474" s="2" t="s">
        <v>629</v>
      </c>
    </row>
    <row r="475" customFormat="false" ht="15" hidden="false" customHeight="false" outlineLevel="0" collapsed="false">
      <c r="A475" s="2" t="s">
        <v>564</v>
      </c>
      <c r="B475" s="2" t="s">
        <v>121</v>
      </c>
      <c r="C475" s="4" t="n">
        <v>6</v>
      </c>
      <c r="D475" s="2" t="s">
        <v>444</v>
      </c>
      <c r="E475" s="2" t="s">
        <v>399</v>
      </c>
      <c r="F475" s="21" t="n">
        <v>45811.4855833333</v>
      </c>
      <c r="G475" s="21" t="n">
        <v>45811.7013833333</v>
      </c>
      <c r="H475" s="10" t="n">
        <v>4.1792</v>
      </c>
      <c r="I475" s="15" t="n">
        <v>45809</v>
      </c>
      <c r="J475" s="2" t="s">
        <v>629</v>
      </c>
    </row>
    <row r="476" customFormat="false" ht="15" hidden="false" customHeight="false" outlineLevel="0" collapsed="false">
      <c r="A476" s="2" t="s">
        <v>564</v>
      </c>
      <c r="B476" s="2" t="s">
        <v>121</v>
      </c>
      <c r="C476" s="4" t="n">
        <v>7</v>
      </c>
      <c r="D476" s="2" t="s">
        <v>445</v>
      </c>
      <c r="E476" s="2" t="s">
        <v>402</v>
      </c>
      <c r="F476" s="21" t="n">
        <v>45811.7013833333</v>
      </c>
      <c r="G476" s="21" t="n">
        <v>45812.3804111111</v>
      </c>
      <c r="H476" s="10" t="n">
        <v>1.29666666666667</v>
      </c>
      <c r="I476" s="15" t="n">
        <v>45809</v>
      </c>
      <c r="J476" s="2" t="s">
        <v>629</v>
      </c>
    </row>
    <row r="477" customFormat="false" ht="15" hidden="false" customHeight="false" outlineLevel="0" collapsed="false">
      <c r="A477" s="2" t="s">
        <v>564</v>
      </c>
      <c r="B477" s="2" t="s">
        <v>121</v>
      </c>
      <c r="C477" s="4" t="n">
        <v>8</v>
      </c>
      <c r="D477" s="2" t="s">
        <v>447</v>
      </c>
      <c r="E477" s="2" t="s">
        <v>421</v>
      </c>
      <c r="F477" s="21" t="n">
        <v>45812.3804111111</v>
      </c>
      <c r="G477" s="21" t="n">
        <v>45812.4116611111</v>
      </c>
      <c r="H477" s="10" t="n">
        <v>0.75</v>
      </c>
      <c r="I477" s="15" t="n">
        <v>45809</v>
      </c>
      <c r="J477" s="2" t="s">
        <v>629</v>
      </c>
    </row>
    <row r="478" customFormat="false" ht="15" hidden="false" customHeight="false" outlineLevel="0" collapsed="false">
      <c r="A478" s="2" t="s">
        <v>564</v>
      </c>
      <c r="B478" s="2" t="s">
        <v>121</v>
      </c>
      <c r="C478" s="4" t="n">
        <v>9</v>
      </c>
      <c r="D478" s="2" t="s">
        <v>449</v>
      </c>
      <c r="E478" s="2" t="s">
        <v>423</v>
      </c>
      <c r="F478" s="21" t="n">
        <v>45812.4116611111</v>
      </c>
      <c r="G478" s="21" t="n">
        <v>45812.4336055556</v>
      </c>
      <c r="H478" s="10" t="n">
        <v>0.526666666666667</v>
      </c>
      <c r="I478" s="15" t="n">
        <v>45809</v>
      </c>
      <c r="J478" s="2" t="s">
        <v>629</v>
      </c>
    </row>
    <row r="479" customFormat="false" ht="15" hidden="false" customHeight="false" outlineLevel="0" collapsed="false">
      <c r="A479" s="2" t="s">
        <v>564</v>
      </c>
      <c r="B479" s="2" t="s">
        <v>121</v>
      </c>
      <c r="C479" s="4" t="n">
        <v>10</v>
      </c>
      <c r="D479" s="2" t="s">
        <v>450</v>
      </c>
      <c r="E479" s="2" t="s">
        <v>406</v>
      </c>
      <c r="F479" s="21" t="n">
        <v>45812.6382486111</v>
      </c>
      <c r="G479" s="21" t="n">
        <v>45814.3611652778</v>
      </c>
      <c r="H479" s="10" t="n">
        <v>10.35</v>
      </c>
      <c r="I479" s="15" t="n">
        <v>45809</v>
      </c>
      <c r="J479" s="2" t="s">
        <v>629</v>
      </c>
    </row>
    <row r="480" customFormat="false" ht="15" hidden="false" customHeight="false" outlineLevel="0" collapsed="false">
      <c r="A480" s="2" t="s">
        <v>564</v>
      </c>
      <c r="B480" s="2" t="s">
        <v>121</v>
      </c>
      <c r="C480" s="4" t="n">
        <v>11</v>
      </c>
      <c r="D480" s="2" t="s">
        <v>451</v>
      </c>
      <c r="E480" s="2" t="s">
        <v>408</v>
      </c>
      <c r="F480" s="21" t="n">
        <v>45814.3611652778</v>
      </c>
      <c r="G480" s="21" t="n">
        <v>45814.3865125</v>
      </c>
      <c r="H480" s="10" t="n">
        <v>0.608333333333333</v>
      </c>
      <c r="I480" s="15" t="n">
        <v>45809</v>
      </c>
      <c r="J480" s="2" t="s">
        <v>629</v>
      </c>
    </row>
    <row r="481" customFormat="false" ht="15" hidden="false" customHeight="false" outlineLevel="0" collapsed="false">
      <c r="A481" s="2" t="s">
        <v>564</v>
      </c>
      <c r="B481" s="2" t="s">
        <v>121</v>
      </c>
      <c r="C481" s="4" t="n">
        <v>12</v>
      </c>
      <c r="D481" s="2" t="s">
        <v>452</v>
      </c>
      <c r="E481" s="2" t="s">
        <v>411</v>
      </c>
      <c r="F481" s="21" t="n">
        <v>45814.3865125</v>
      </c>
      <c r="G481" s="21" t="n">
        <v>45814.4203319444</v>
      </c>
      <c r="H481" s="10" t="n">
        <v>0.811666666666667</v>
      </c>
      <c r="I481" s="15" t="n">
        <v>45809</v>
      </c>
      <c r="J481" s="2" t="s">
        <v>629</v>
      </c>
    </row>
    <row r="482" customFormat="false" ht="15" hidden="false" customHeight="false" outlineLevel="0" collapsed="false">
      <c r="A482" s="2" t="s">
        <v>565</v>
      </c>
      <c r="B482" s="2" t="s">
        <v>80</v>
      </c>
      <c r="C482" s="4" t="n">
        <v>1</v>
      </c>
      <c r="D482" s="2" t="s">
        <v>437</v>
      </c>
      <c r="E482" s="2" t="s">
        <v>375</v>
      </c>
      <c r="F482" s="21" t="n">
        <v>45811.3333333333</v>
      </c>
      <c r="G482" s="21" t="n">
        <v>45811.6986527778</v>
      </c>
      <c r="H482" s="10" t="n">
        <v>7.76766666666667</v>
      </c>
      <c r="I482" s="15" t="n">
        <v>45828</v>
      </c>
      <c r="J482" s="2" t="s">
        <v>629</v>
      </c>
    </row>
    <row r="483" customFormat="false" ht="15" hidden="false" customHeight="false" outlineLevel="0" collapsed="false">
      <c r="A483" s="2" t="s">
        <v>565</v>
      </c>
      <c r="B483" s="2" t="s">
        <v>80</v>
      </c>
      <c r="C483" s="4" t="n">
        <v>2</v>
      </c>
      <c r="D483" s="2" t="s">
        <v>441</v>
      </c>
      <c r="E483" s="2" t="s">
        <v>380</v>
      </c>
      <c r="F483" s="21" t="n">
        <v>45811.6986527778</v>
      </c>
      <c r="G483" s="21" t="n">
        <v>45813.3943194444</v>
      </c>
      <c r="H483" s="10" t="n">
        <v>9.696</v>
      </c>
      <c r="I483" s="15" t="n">
        <v>45828</v>
      </c>
      <c r="J483" s="2" t="s">
        <v>629</v>
      </c>
    </row>
    <row r="484" customFormat="false" ht="15" hidden="false" customHeight="false" outlineLevel="0" collapsed="false">
      <c r="A484" s="2" t="s">
        <v>565</v>
      </c>
      <c r="B484" s="2" t="s">
        <v>80</v>
      </c>
      <c r="C484" s="4" t="n">
        <v>3</v>
      </c>
      <c r="D484" s="2" t="s">
        <v>386</v>
      </c>
      <c r="E484" s="2" t="s">
        <v>383</v>
      </c>
      <c r="F484" s="21" t="n">
        <v>45813.3943194444</v>
      </c>
      <c r="G484" s="21" t="n">
        <v>45814.6870972222</v>
      </c>
      <c r="H484" s="10" t="n">
        <v>14.0266666666667</v>
      </c>
      <c r="I484" s="15" t="n">
        <v>45828</v>
      </c>
      <c r="J484" s="2" t="s">
        <v>629</v>
      </c>
    </row>
    <row r="485" customFormat="false" ht="15" hidden="false" customHeight="false" outlineLevel="0" collapsed="false">
      <c r="A485" s="2" t="s">
        <v>565</v>
      </c>
      <c r="B485" s="2" t="s">
        <v>80</v>
      </c>
      <c r="C485" s="4" t="n">
        <v>4</v>
      </c>
      <c r="D485" s="2" t="s">
        <v>390</v>
      </c>
      <c r="E485" s="2" t="s">
        <v>387</v>
      </c>
      <c r="F485" s="21" t="n">
        <v>45814.6870972222</v>
      </c>
      <c r="G485" s="21" t="n">
        <v>45818.5787638889</v>
      </c>
      <c r="H485" s="10" t="n">
        <v>13.4</v>
      </c>
      <c r="I485" s="15" t="n">
        <v>45828</v>
      </c>
      <c r="J485" s="2" t="s">
        <v>629</v>
      </c>
    </row>
    <row r="486" customFormat="false" ht="15" hidden="false" customHeight="false" outlineLevel="0" collapsed="false">
      <c r="A486" s="2" t="s">
        <v>565</v>
      </c>
      <c r="B486" s="2" t="s">
        <v>80</v>
      </c>
      <c r="C486" s="4" t="n">
        <v>5</v>
      </c>
      <c r="D486" s="2" t="s">
        <v>442</v>
      </c>
      <c r="E486" s="2" t="s">
        <v>391</v>
      </c>
      <c r="F486" s="21" t="n">
        <v>45818.5787638889</v>
      </c>
      <c r="G486" s="21" t="n">
        <v>45820.6337638889</v>
      </c>
      <c r="H486" s="10" t="n">
        <v>17.32</v>
      </c>
      <c r="I486" s="15" t="n">
        <v>45828</v>
      </c>
      <c r="J486" s="2" t="s">
        <v>629</v>
      </c>
    </row>
    <row r="487" customFormat="false" ht="15" hidden="false" customHeight="false" outlineLevel="0" collapsed="false">
      <c r="A487" s="2" t="s">
        <v>565</v>
      </c>
      <c r="B487" s="2" t="s">
        <v>80</v>
      </c>
      <c r="C487" s="4" t="n">
        <v>6</v>
      </c>
      <c r="D487" s="2" t="s">
        <v>443</v>
      </c>
      <c r="E487" s="2" t="s">
        <v>395</v>
      </c>
      <c r="F487" s="21" t="n">
        <v>45820.6337638889</v>
      </c>
      <c r="G487" s="21" t="n">
        <v>45821.6837638889</v>
      </c>
      <c r="H487" s="10" t="n">
        <v>9.2</v>
      </c>
      <c r="I487" s="15" t="n">
        <v>45828</v>
      </c>
      <c r="J487" s="2" t="s">
        <v>629</v>
      </c>
    </row>
    <row r="488" customFormat="false" ht="15" hidden="false" customHeight="false" outlineLevel="0" collapsed="false">
      <c r="A488" s="2" t="s">
        <v>565</v>
      </c>
      <c r="B488" s="2" t="s">
        <v>80</v>
      </c>
      <c r="C488" s="4" t="n">
        <v>7</v>
      </c>
      <c r="D488" s="2" t="s">
        <v>444</v>
      </c>
      <c r="E488" s="2" t="s">
        <v>399</v>
      </c>
      <c r="F488" s="21" t="n">
        <v>45821.6837638889</v>
      </c>
      <c r="G488" s="21" t="n">
        <v>45824.6271127778</v>
      </c>
      <c r="H488" s="10" t="n">
        <v>6.64037333333333</v>
      </c>
      <c r="I488" s="15" t="n">
        <v>45828</v>
      </c>
      <c r="J488" s="2" t="s">
        <v>629</v>
      </c>
    </row>
    <row r="489" customFormat="false" ht="15" hidden="false" customHeight="false" outlineLevel="0" collapsed="false">
      <c r="A489" s="2" t="s">
        <v>565</v>
      </c>
      <c r="B489" s="2" t="s">
        <v>80</v>
      </c>
      <c r="C489" s="4" t="n">
        <v>8</v>
      </c>
      <c r="D489" s="2" t="s">
        <v>445</v>
      </c>
      <c r="E489" s="2" t="s">
        <v>402</v>
      </c>
      <c r="F489" s="21" t="n">
        <v>45824.6271127778</v>
      </c>
      <c r="G489" s="21" t="n">
        <v>45825.3411822222</v>
      </c>
      <c r="H489" s="10" t="n">
        <v>2.13766666666667</v>
      </c>
      <c r="I489" s="15" t="n">
        <v>45828</v>
      </c>
      <c r="J489" s="2" t="s">
        <v>629</v>
      </c>
    </row>
    <row r="490" customFormat="false" ht="15" hidden="false" customHeight="false" outlineLevel="0" collapsed="false">
      <c r="A490" s="2" t="s">
        <v>565</v>
      </c>
      <c r="B490" s="2" t="s">
        <v>80</v>
      </c>
      <c r="C490" s="4" t="n">
        <v>9</v>
      </c>
      <c r="D490" s="2" t="s">
        <v>447</v>
      </c>
      <c r="E490" s="2" t="s">
        <v>421</v>
      </c>
      <c r="F490" s="21" t="n">
        <v>45825.3411822222</v>
      </c>
      <c r="G490" s="21" t="n">
        <v>45825.4036822222</v>
      </c>
      <c r="H490" s="10" t="n">
        <v>1.5</v>
      </c>
      <c r="I490" s="15" t="n">
        <v>45828</v>
      </c>
      <c r="J490" s="2" t="s">
        <v>629</v>
      </c>
    </row>
    <row r="491" customFormat="false" ht="15" hidden="false" customHeight="false" outlineLevel="0" collapsed="false">
      <c r="A491" s="2" t="s">
        <v>565</v>
      </c>
      <c r="B491" s="2" t="s">
        <v>80</v>
      </c>
      <c r="C491" s="4" t="n">
        <v>10</v>
      </c>
      <c r="D491" s="2" t="s">
        <v>449</v>
      </c>
      <c r="E491" s="2" t="s">
        <v>423</v>
      </c>
      <c r="F491" s="21" t="n">
        <v>45825.4036822222</v>
      </c>
      <c r="G491" s="21" t="n">
        <v>45825.4390780556</v>
      </c>
      <c r="H491" s="10" t="n">
        <v>0.8495</v>
      </c>
      <c r="I491" s="15" t="n">
        <v>45828</v>
      </c>
      <c r="J491" s="2" t="s">
        <v>629</v>
      </c>
    </row>
    <row r="492" customFormat="false" ht="15" hidden="false" customHeight="false" outlineLevel="0" collapsed="false">
      <c r="A492" s="2" t="s">
        <v>565</v>
      </c>
      <c r="B492" s="2" t="s">
        <v>80</v>
      </c>
      <c r="C492" s="4" t="n">
        <v>11</v>
      </c>
      <c r="D492" s="2" t="s">
        <v>450</v>
      </c>
      <c r="E492" s="2" t="s">
        <v>406</v>
      </c>
      <c r="F492" s="21" t="n">
        <v>45825.4390780556</v>
      </c>
      <c r="G492" s="21" t="n">
        <v>45826.6974113889</v>
      </c>
      <c r="H492" s="10" t="n">
        <v>13.2</v>
      </c>
      <c r="I492" s="15" t="n">
        <v>45828</v>
      </c>
      <c r="J492" s="2" t="s">
        <v>629</v>
      </c>
    </row>
    <row r="493" customFormat="false" ht="15" hidden="false" customHeight="false" outlineLevel="0" collapsed="false">
      <c r="A493" s="2" t="s">
        <v>565</v>
      </c>
      <c r="B493" s="2" t="s">
        <v>80</v>
      </c>
      <c r="C493" s="4" t="n">
        <v>12</v>
      </c>
      <c r="D493" s="2" t="s">
        <v>451</v>
      </c>
      <c r="E493" s="2" t="s">
        <v>408</v>
      </c>
      <c r="F493" s="21" t="n">
        <v>45826.6974113889</v>
      </c>
      <c r="G493" s="21" t="n">
        <v>45827.3600363889</v>
      </c>
      <c r="H493" s="10" t="n">
        <v>0.903</v>
      </c>
      <c r="I493" s="15" t="n">
        <v>45828</v>
      </c>
      <c r="J493" s="2" t="s">
        <v>629</v>
      </c>
    </row>
    <row r="494" customFormat="false" ht="15" hidden="false" customHeight="false" outlineLevel="0" collapsed="false">
      <c r="A494" s="2" t="s">
        <v>565</v>
      </c>
      <c r="B494" s="2" t="s">
        <v>80</v>
      </c>
      <c r="C494" s="4" t="n">
        <v>13</v>
      </c>
      <c r="D494" s="2" t="s">
        <v>452</v>
      </c>
      <c r="E494" s="2" t="s">
        <v>411</v>
      </c>
      <c r="F494" s="21" t="n">
        <v>45827.3600363889</v>
      </c>
      <c r="G494" s="21" t="n">
        <v>45827.4106613889</v>
      </c>
      <c r="H494" s="10" t="n">
        <v>1.215</v>
      </c>
      <c r="I494" s="15" t="n">
        <v>45828</v>
      </c>
      <c r="J494" s="2" t="s">
        <v>629</v>
      </c>
    </row>
    <row r="495" customFormat="false" ht="15" hidden="false" customHeight="false" outlineLevel="0" collapsed="false">
      <c r="A495" s="2" t="s">
        <v>567</v>
      </c>
      <c r="B495" s="2" t="s">
        <v>94</v>
      </c>
      <c r="C495" s="4" t="n">
        <v>1</v>
      </c>
      <c r="D495" s="2" t="s">
        <v>437</v>
      </c>
      <c r="E495" s="2" t="s">
        <v>375</v>
      </c>
      <c r="F495" s="21" t="n">
        <v>45811.6986527778</v>
      </c>
      <c r="G495" s="21" t="n">
        <v>45813.4979861111</v>
      </c>
      <c r="H495" s="10" t="n">
        <v>12.184</v>
      </c>
      <c r="I495" s="15" t="n">
        <v>45826</v>
      </c>
      <c r="J495" s="2" t="s">
        <v>629</v>
      </c>
    </row>
    <row r="496" customFormat="false" ht="15" hidden="false" customHeight="false" outlineLevel="0" collapsed="false">
      <c r="A496" s="2" t="s">
        <v>567</v>
      </c>
      <c r="B496" s="2" t="s">
        <v>94</v>
      </c>
      <c r="C496" s="4" t="n">
        <v>2</v>
      </c>
      <c r="D496" s="2" t="s">
        <v>441</v>
      </c>
      <c r="E496" s="2" t="s">
        <v>380</v>
      </c>
      <c r="F496" s="21" t="n">
        <v>45813.4979861111</v>
      </c>
      <c r="G496" s="21" t="n">
        <v>45813.5784305556</v>
      </c>
      <c r="H496" s="10" t="n">
        <v>0.930666666666667</v>
      </c>
      <c r="I496" s="15" t="n">
        <v>45826</v>
      </c>
      <c r="J496" s="2" t="s">
        <v>629</v>
      </c>
    </row>
    <row r="497" customFormat="false" ht="15" hidden="false" customHeight="false" outlineLevel="0" collapsed="false">
      <c r="A497" s="2" t="s">
        <v>567</v>
      </c>
      <c r="B497" s="2" t="s">
        <v>94</v>
      </c>
      <c r="C497" s="4" t="n">
        <v>3</v>
      </c>
      <c r="D497" s="2" t="s">
        <v>386</v>
      </c>
      <c r="E497" s="2" t="s">
        <v>383</v>
      </c>
      <c r="F497" s="21" t="n">
        <v>45814.6870972222</v>
      </c>
      <c r="G497" s="21" t="n">
        <v>45818.5662638889</v>
      </c>
      <c r="H497" s="10" t="n">
        <v>13.1</v>
      </c>
      <c r="I497" s="15" t="n">
        <v>45826</v>
      </c>
      <c r="J497" s="2" t="s">
        <v>629</v>
      </c>
    </row>
    <row r="498" customFormat="false" ht="15" hidden="false" customHeight="false" outlineLevel="0" collapsed="false">
      <c r="A498" s="2" t="s">
        <v>567</v>
      </c>
      <c r="B498" s="2" t="s">
        <v>94</v>
      </c>
      <c r="C498" s="4" t="n">
        <v>4</v>
      </c>
      <c r="D498" s="2" t="s">
        <v>390</v>
      </c>
      <c r="E498" s="2" t="s">
        <v>387</v>
      </c>
      <c r="F498" s="21" t="n">
        <v>45818.5787638889</v>
      </c>
      <c r="G498" s="21" t="n">
        <v>45821.6759861111</v>
      </c>
      <c r="H498" s="10" t="n">
        <v>26.3333333333333</v>
      </c>
      <c r="I498" s="15" t="n">
        <v>45826</v>
      </c>
      <c r="J498" s="2" t="s">
        <v>629</v>
      </c>
    </row>
    <row r="499" customFormat="false" ht="15" hidden="false" customHeight="false" outlineLevel="0" collapsed="false">
      <c r="A499" s="2" t="s">
        <v>567</v>
      </c>
      <c r="B499" s="2" t="s">
        <v>94</v>
      </c>
      <c r="C499" s="4" t="n">
        <v>5</v>
      </c>
      <c r="D499" s="2" t="s">
        <v>443</v>
      </c>
      <c r="E499" s="2" t="s">
        <v>395</v>
      </c>
      <c r="F499" s="21" t="n">
        <v>45821.6837638889</v>
      </c>
      <c r="G499" s="21" t="n">
        <v>45824.6358472222</v>
      </c>
      <c r="H499" s="10" t="n">
        <v>6.85</v>
      </c>
      <c r="I499" s="15" t="n">
        <v>45826</v>
      </c>
      <c r="J499" s="2" t="s">
        <v>629</v>
      </c>
    </row>
    <row r="500" customFormat="false" ht="15" hidden="false" customHeight="false" outlineLevel="0" collapsed="false">
      <c r="A500" s="2" t="s">
        <v>567</v>
      </c>
      <c r="B500" s="2" t="s">
        <v>94</v>
      </c>
      <c r="C500" s="4" t="n">
        <v>6</v>
      </c>
      <c r="D500" s="2" t="s">
        <v>444</v>
      </c>
      <c r="E500" s="2" t="s">
        <v>399</v>
      </c>
      <c r="F500" s="21" t="n">
        <v>45824.6358472222</v>
      </c>
      <c r="G500" s="21" t="n">
        <v>45825.4900983333</v>
      </c>
      <c r="H500" s="10" t="n">
        <v>5.50202666666667</v>
      </c>
      <c r="I500" s="15" t="n">
        <v>45826</v>
      </c>
      <c r="J500" s="2" t="s">
        <v>629</v>
      </c>
    </row>
    <row r="501" customFormat="false" ht="15" hidden="false" customHeight="false" outlineLevel="0" collapsed="false">
      <c r="A501" s="2" t="s">
        <v>567</v>
      </c>
      <c r="B501" s="2" t="s">
        <v>94</v>
      </c>
      <c r="C501" s="4" t="n">
        <v>7</v>
      </c>
      <c r="D501" s="2" t="s">
        <v>445</v>
      </c>
      <c r="E501" s="2" t="s">
        <v>402</v>
      </c>
      <c r="F501" s="21" t="n">
        <v>45825.4900983333</v>
      </c>
      <c r="G501" s="21" t="n">
        <v>45825.5832094444</v>
      </c>
      <c r="H501" s="10" t="n">
        <v>1.23466666666667</v>
      </c>
      <c r="I501" s="15" t="n">
        <v>45826</v>
      </c>
      <c r="J501" s="2" t="s">
        <v>629</v>
      </c>
    </row>
    <row r="502" customFormat="false" ht="15" hidden="false" customHeight="false" outlineLevel="0" collapsed="false">
      <c r="A502" s="2" t="s">
        <v>567</v>
      </c>
      <c r="B502" s="2" t="s">
        <v>94</v>
      </c>
      <c r="C502" s="4" t="n">
        <v>8</v>
      </c>
      <c r="D502" s="2" t="s">
        <v>447</v>
      </c>
      <c r="E502" s="2" t="s">
        <v>421</v>
      </c>
      <c r="F502" s="21" t="n">
        <v>45825.5832094444</v>
      </c>
      <c r="G502" s="21" t="n">
        <v>45825.6144594444</v>
      </c>
      <c r="H502" s="10" t="n">
        <v>0.75</v>
      </c>
      <c r="I502" s="15" t="n">
        <v>45826</v>
      </c>
      <c r="J502" s="2" t="s">
        <v>629</v>
      </c>
    </row>
    <row r="503" customFormat="false" ht="15" hidden="false" customHeight="false" outlineLevel="0" collapsed="false">
      <c r="A503" s="2" t="s">
        <v>567</v>
      </c>
      <c r="B503" s="2" t="s">
        <v>94</v>
      </c>
      <c r="C503" s="4" t="n">
        <v>9</v>
      </c>
      <c r="D503" s="2" t="s">
        <v>449</v>
      </c>
      <c r="E503" s="2" t="s">
        <v>423</v>
      </c>
      <c r="F503" s="21" t="n">
        <v>45825.6144594444</v>
      </c>
      <c r="G503" s="21" t="n">
        <v>45825.6346261111</v>
      </c>
      <c r="H503" s="10" t="n">
        <v>0.484</v>
      </c>
      <c r="I503" s="15" t="n">
        <v>45826</v>
      </c>
      <c r="J503" s="2" t="s">
        <v>629</v>
      </c>
    </row>
    <row r="504" customFormat="false" ht="15" hidden="false" customHeight="false" outlineLevel="0" collapsed="false">
      <c r="A504" s="2" t="s">
        <v>567</v>
      </c>
      <c r="B504" s="2" t="s">
        <v>94</v>
      </c>
      <c r="C504" s="4" t="n">
        <v>10</v>
      </c>
      <c r="D504" s="2" t="s">
        <v>450</v>
      </c>
      <c r="E504" s="2" t="s">
        <v>406</v>
      </c>
      <c r="F504" s="21" t="n">
        <v>45826.6974113889</v>
      </c>
      <c r="G504" s="21" t="n">
        <v>45828.3765780556</v>
      </c>
      <c r="H504" s="10" t="n">
        <v>9.3</v>
      </c>
      <c r="I504" s="15" t="n">
        <v>45826</v>
      </c>
      <c r="J504" s="2" t="s">
        <v>629</v>
      </c>
    </row>
    <row r="505" customFormat="false" ht="15" hidden="false" customHeight="false" outlineLevel="0" collapsed="false">
      <c r="A505" s="2" t="s">
        <v>567</v>
      </c>
      <c r="B505" s="2" t="s">
        <v>94</v>
      </c>
      <c r="C505" s="4" t="n">
        <v>11</v>
      </c>
      <c r="D505" s="2" t="s">
        <v>451</v>
      </c>
      <c r="E505" s="2" t="s">
        <v>408</v>
      </c>
      <c r="F505" s="21" t="n">
        <v>45828.3765780556</v>
      </c>
      <c r="G505" s="21" t="n">
        <v>45828.3990225</v>
      </c>
      <c r="H505" s="10" t="n">
        <v>0.538666666666667</v>
      </c>
      <c r="I505" s="15" t="n">
        <v>45826</v>
      </c>
      <c r="J505" s="2" t="s">
        <v>629</v>
      </c>
    </row>
    <row r="506" customFormat="false" ht="15" hidden="false" customHeight="false" outlineLevel="0" collapsed="false">
      <c r="A506" s="2" t="s">
        <v>567</v>
      </c>
      <c r="B506" s="2" t="s">
        <v>94</v>
      </c>
      <c r="C506" s="4" t="n">
        <v>12</v>
      </c>
      <c r="D506" s="2" t="s">
        <v>452</v>
      </c>
      <c r="E506" s="2" t="s">
        <v>411</v>
      </c>
      <c r="F506" s="21" t="n">
        <v>45828.3990225</v>
      </c>
      <c r="G506" s="21" t="n">
        <v>45828.4291891667</v>
      </c>
      <c r="H506" s="10" t="n">
        <v>0.724</v>
      </c>
      <c r="I506" s="15" t="n">
        <v>45826</v>
      </c>
      <c r="J506" s="2" t="s">
        <v>629</v>
      </c>
    </row>
    <row r="507" customFormat="false" ht="15" hidden="false" customHeight="false" outlineLevel="0" collapsed="false">
      <c r="A507" s="2" t="s">
        <v>569</v>
      </c>
      <c r="B507" s="2" t="s">
        <v>106</v>
      </c>
      <c r="C507" s="4" t="n">
        <v>1</v>
      </c>
      <c r="D507" s="2" t="s">
        <v>437</v>
      </c>
      <c r="E507" s="2" t="s">
        <v>375</v>
      </c>
      <c r="F507" s="21" t="n">
        <v>45813.4979861111</v>
      </c>
      <c r="G507" s="21" t="n">
        <v>45814.3378958333</v>
      </c>
      <c r="H507" s="10" t="n">
        <v>4.15783333333333</v>
      </c>
      <c r="I507" s="15" t="n">
        <v>45825</v>
      </c>
      <c r="J507" s="2" t="s">
        <v>629</v>
      </c>
    </row>
    <row r="508" customFormat="false" ht="15" hidden="false" customHeight="false" outlineLevel="0" collapsed="false">
      <c r="A508" s="2" t="s">
        <v>569</v>
      </c>
      <c r="B508" s="2" t="s">
        <v>106</v>
      </c>
      <c r="C508" s="4" t="n">
        <v>2</v>
      </c>
      <c r="D508" s="2" t="s">
        <v>386</v>
      </c>
      <c r="E508" s="2" t="s">
        <v>383</v>
      </c>
      <c r="F508" s="21" t="n">
        <v>45818.5662638889</v>
      </c>
      <c r="G508" s="21" t="n">
        <v>45818.634875</v>
      </c>
      <c r="H508" s="10" t="n">
        <v>1.64666666666667</v>
      </c>
      <c r="I508" s="15" t="n">
        <v>45825</v>
      </c>
      <c r="J508" s="2" t="s">
        <v>629</v>
      </c>
    </row>
    <row r="509" customFormat="false" ht="15" hidden="false" customHeight="false" outlineLevel="0" collapsed="false">
      <c r="A509" s="2" t="s">
        <v>569</v>
      </c>
      <c r="B509" s="2" t="s">
        <v>106</v>
      </c>
      <c r="C509" s="4" t="n">
        <v>3</v>
      </c>
      <c r="D509" s="2" t="s">
        <v>390</v>
      </c>
      <c r="E509" s="2" t="s">
        <v>387</v>
      </c>
      <c r="F509" s="21" t="n">
        <v>45821.6759861111</v>
      </c>
      <c r="G509" s="21" t="n">
        <v>45825.4093194444</v>
      </c>
      <c r="H509" s="10" t="n">
        <v>10.6</v>
      </c>
      <c r="I509" s="15" t="n">
        <v>45825</v>
      </c>
      <c r="J509" s="2" t="s">
        <v>629</v>
      </c>
    </row>
    <row r="510" customFormat="false" ht="15" hidden="false" customHeight="false" outlineLevel="0" collapsed="false">
      <c r="A510" s="2" t="s">
        <v>569</v>
      </c>
      <c r="B510" s="2" t="s">
        <v>106</v>
      </c>
      <c r="C510" s="4" t="n">
        <v>4</v>
      </c>
      <c r="D510" s="2" t="s">
        <v>443</v>
      </c>
      <c r="E510" s="2" t="s">
        <v>395</v>
      </c>
      <c r="F510" s="21" t="n">
        <v>45825.4093194444</v>
      </c>
      <c r="G510" s="21" t="n">
        <v>45825.4864027778</v>
      </c>
      <c r="H510" s="10" t="n">
        <v>1.85</v>
      </c>
      <c r="I510" s="15" t="n">
        <v>45825</v>
      </c>
      <c r="J510" s="2" t="s">
        <v>629</v>
      </c>
    </row>
    <row r="511" customFormat="false" ht="15" hidden="false" customHeight="false" outlineLevel="0" collapsed="false">
      <c r="A511" s="2" t="s">
        <v>569</v>
      </c>
      <c r="B511" s="2" t="s">
        <v>106</v>
      </c>
      <c r="C511" s="4" t="n">
        <v>5</v>
      </c>
      <c r="D511" s="2" t="s">
        <v>444</v>
      </c>
      <c r="E511" s="2" t="s">
        <v>399</v>
      </c>
      <c r="F511" s="21" t="n">
        <v>45825.4900983333</v>
      </c>
      <c r="G511" s="21" t="n">
        <v>45825.645615</v>
      </c>
      <c r="H511" s="10" t="n">
        <v>2.7324</v>
      </c>
      <c r="I511" s="15" t="n">
        <v>45825</v>
      </c>
      <c r="J511" s="2" t="s">
        <v>629</v>
      </c>
    </row>
    <row r="512" customFormat="false" ht="15" hidden="false" customHeight="false" outlineLevel="0" collapsed="false">
      <c r="A512" s="2" t="s">
        <v>569</v>
      </c>
      <c r="B512" s="2" t="s">
        <v>106</v>
      </c>
      <c r="C512" s="4" t="n">
        <v>6</v>
      </c>
      <c r="D512" s="2" t="s">
        <v>445</v>
      </c>
      <c r="E512" s="2" t="s">
        <v>402</v>
      </c>
      <c r="F512" s="21" t="n">
        <v>45825.645615</v>
      </c>
      <c r="G512" s="21" t="n">
        <v>45825.6824066667</v>
      </c>
      <c r="H512" s="10" t="n">
        <v>0.883</v>
      </c>
      <c r="I512" s="15" t="n">
        <v>45825</v>
      </c>
      <c r="J512" s="2" t="s">
        <v>629</v>
      </c>
    </row>
    <row r="513" customFormat="false" ht="15" hidden="false" customHeight="false" outlineLevel="0" collapsed="false">
      <c r="A513" s="2" t="s">
        <v>569</v>
      </c>
      <c r="B513" s="2" t="s">
        <v>106</v>
      </c>
      <c r="C513" s="4" t="n">
        <v>7</v>
      </c>
      <c r="D513" s="2" t="s">
        <v>447</v>
      </c>
      <c r="E513" s="2" t="s">
        <v>421</v>
      </c>
      <c r="F513" s="21" t="n">
        <v>45825.6824066667</v>
      </c>
      <c r="G513" s="21" t="n">
        <v>45826.3386566667</v>
      </c>
      <c r="H513" s="10" t="n">
        <v>0.75</v>
      </c>
      <c r="I513" s="15" t="n">
        <v>45825</v>
      </c>
      <c r="J513" s="2" t="s">
        <v>629</v>
      </c>
    </row>
    <row r="514" customFormat="false" ht="15" hidden="false" customHeight="false" outlineLevel="0" collapsed="false">
      <c r="A514" s="2" t="s">
        <v>569</v>
      </c>
      <c r="B514" s="2" t="s">
        <v>106</v>
      </c>
      <c r="C514" s="4" t="n">
        <v>8</v>
      </c>
      <c r="D514" s="2" t="s">
        <v>449</v>
      </c>
      <c r="E514" s="2" t="s">
        <v>423</v>
      </c>
      <c r="F514" s="21" t="n">
        <v>45826.3386566667</v>
      </c>
      <c r="G514" s="21" t="n">
        <v>45826.3542955556</v>
      </c>
      <c r="H514" s="10" t="n">
        <v>0.375333333333333</v>
      </c>
      <c r="I514" s="15" t="n">
        <v>45825</v>
      </c>
      <c r="J514" s="2" t="s">
        <v>629</v>
      </c>
    </row>
    <row r="515" customFormat="false" ht="15" hidden="false" customHeight="false" outlineLevel="0" collapsed="false">
      <c r="A515" s="2" t="s">
        <v>569</v>
      </c>
      <c r="B515" s="2" t="s">
        <v>106</v>
      </c>
      <c r="C515" s="4" t="n">
        <v>9</v>
      </c>
      <c r="D515" s="2" t="s">
        <v>450</v>
      </c>
      <c r="E515" s="2" t="s">
        <v>406</v>
      </c>
      <c r="F515" s="21" t="n">
        <v>45828.3765780556</v>
      </c>
      <c r="G515" s="21" t="n">
        <v>45828.5974113889</v>
      </c>
      <c r="H515" s="10" t="n">
        <v>4.3</v>
      </c>
      <c r="I515" s="15" t="n">
        <v>45825</v>
      </c>
      <c r="J515" s="2" t="s">
        <v>629</v>
      </c>
    </row>
    <row r="516" customFormat="false" ht="15" hidden="false" customHeight="false" outlineLevel="0" collapsed="false">
      <c r="A516" s="2" t="s">
        <v>569</v>
      </c>
      <c r="B516" s="2" t="s">
        <v>106</v>
      </c>
      <c r="C516" s="4" t="n">
        <v>10</v>
      </c>
      <c r="D516" s="2" t="s">
        <v>451</v>
      </c>
      <c r="E516" s="2" t="s">
        <v>408</v>
      </c>
      <c r="F516" s="21" t="n">
        <v>45828.5974113889</v>
      </c>
      <c r="G516" s="21" t="n">
        <v>45828.6134669444</v>
      </c>
      <c r="H516" s="10" t="n">
        <v>0.385333333333333</v>
      </c>
      <c r="I516" s="15" t="n">
        <v>45825</v>
      </c>
      <c r="J516" s="2" t="s">
        <v>629</v>
      </c>
    </row>
    <row r="517" customFormat="false" ht="15" hidden="false" customHeight="false" outlineLevel="0" collapsed="false">
      <c r="A517" s="2" t="s">
        <v>569</v>
      </c>
      <c r="B517" s="2" t="s">
        <v>106</v>
      </c>
      <c r="C517" s="4" t="n">
        <v>11</v>
      </c>
      <c r="D517" s="2" t="s">
        <v>452</v>
      </c>
      <c r="E517" s="2" t="s">
        <v>411</v>
      </c>
      <c r="F517" s="21" t="n">
        <v>45828.6134669444</v>
      </c>
      <c r="G517" s="21" t="n">
        <v>45828.6347725</v>
      </c>
      <c r="H517" s="10" t="n">
        <v>0.511333333333333</v>
      </c>
      <c r="I517" s="15" t="n">
        <v>45825</v>
      </c>
      <c r="J517" s="2" t="s">
        <v>629</v>
      </c>
    </row>
    <row r="518" customFormat="false" ht="15" hidden="false" customHeight="false" outlineLevel="0" collapsed="false">
      <c r="A518" s="2" t="s">
        <v>571</v>
      </c>
      <c r="B518" s="2" t="s">
        <v>119</v>
      </c>
      <c r="C518" s="4" t="n">
        <v>1</v>
      </c>
      <c r="D518" s="2" t="s">
        <v>437</v>
      </c>
      <c r="E518" s="2" t="s">
        <v>375</v>
      </c>
      <c r="F518" s="21" t="n">
        <v>45814.3378958333</v>
      </c>
      <c r="G518" s="21" t="n">
        <v>45814.6870069444</v>
      </c>
      <c r="H518" s="10" t="n">
        <v>7.37866666666667</v>
      </c>
      <c r="I518" s="15" t="n">
        <v>45828</v>
      </c>
      <c r="J518" s="2" t="s">
        <v>629</v>
      </c>
    </row>
    <row r="519" customFormat="false" ht="15" hidden="false" customHeight="false" outlineLevel="0" collapsed="false">
      <c r="A519" s="2" t="s">
        <v>571</v>
      </c>
      <c r="B519" s="2" t="s">
        <v>119</v>
      </c>
      <c r="C519" s="4" t="n">
        <v>2</v>
      </c>
      <c r="D519" s="2" t="s">
        <v>386</v>
      </c>
      <c r="E519" s="2" t="s">
        <v>383</v>
      </c>
      <c r="F519" s="21" t="n">
        <v>45818.634875</v>
      </c>
      <c r="G519" s="21" t="n">
        <v>45818.6970972222</v>
      </c>
      <c r="H519" s="10" t="n">
        <v>1.49333333333333</v>
      </c>
      <c r="I519" s="15" t="n">
        <v>45828</v>
      </c>
      <c r="J519" s="2" t="s">
        <v>629</v>
      </c>
    </row>
    <row r="520" customFormat="false" ht="15" hidden="false" customHeight="false" outlineLevel="0" collapsed="false">
      <c r="A520" s="2" t="s">
        <v>571</v>
      </c>
      <c r="B520" s="2" t="s">
        <v>119</v>
      </c>
      <c r="C520" s="4" t="n">
        <v>3</v>
      </c>
      <c r="D520" s="2" t="s">
        <v>390</v>
      </c>
      <c r="E520" s="2" t="s">
        <v>387</v>
      </c>
      <c r="F520" s="21" t="n">
        <v>45825.4093194444</v>
      </c>
      <c r="G520" s="21" t="n">
        <v>45827.4759861111</v>
      </c>
      <c r="H520" s="10" t="n">
        <v>17.6</v>
      </c>
      <c r="I520" s="15" t="n">
        <v>45828</v>
      </c>
      <c r="J520" s="2" t="s">
        <v>629</v>
      </c>
    </row>
    <row r="521" customFormat="false" ht="15" hidden="false" customHeight="false" outlineLevel="0" collapsed="false">
      <c r="A521" s="2" t="s">
        <v>571</v>
      </c>
      <c r="B521" s="2" t="s">
        <v>119</v>
      </c>
      <c r="C521" s="4" t="n">
        <v>4</v>
      </c>
      <c r="D521" s="2" t="s">
        <v>443</v>
      </c>
      <c r="E521" s="2" t="s">
        <v>395</v>
      </c>
      <c r="F521" s="21" t="n">
        <v>45827.4759861111</v>
      </c>
      <c r="G521" s="21" t="n">
        <v>45827.6468194445</v>
      </c>
      <c r="H521" s="10" t="n">
        <v>3.1</v>
      </c>
      <c r="I521" s="15" t="n">
        <v>45828</v>
      </c>
      <c r="J521" s="2" t="s">
        <v>629</v>
      </c>
    </row>
    <row r="522" customFormat="false" ht="15" hidden="false" customHeight="false" outlineLevel="0" collapsed="false">
      <c r="A522" s="2" t="s">
        <v>571</v>
      </c>
      <c r="B522" s="2" t="s">
        <v>119</v>
      </c>
      <c r="C522" s="4" t="n">
        <v>5</v>
      </c>
      <c r="D522" s="2" t="s">
        <v>444</v>
      </c>
      <c r="E522" s="2" t="s">
        <v>399</v>
      </c>
      <c r="F522" s="21" t="n">
        <v>45827.6468194445</v>
      </c>
      <c r="G522" s="21" t="n">
        <v>45828.4944194445</v>
      </c>
      <c r="H522" s="10" t="n">
        <v>5.3424</v>
      </c>
      <c r="I522" s="15" t="n">
        <v>45828</v>
      </c>
      <c r="J522" s="2" t="s">
        <v>629</v>
      </c>
    </row>
    <row r="523" customFormat="false" ht="15" hidden="false" customHeight="false" outlineLevel="0" collapsed="false">
      <c r="A523" s="2" t="s">
        <v>571</v>
      </c>
      <c r="B523" s="2" t="s">
        <v>119</v>
      </c>
      <c r="C523" s="4" t="n">
        <v>6</v>
      </c>
      <c r="D523" s="2" t="s">
        <v>445</v>
      </c>
      <c r="E523" s="2" t="s">
        <v>402</v>
      </c>
      <c r="F523" s="21" t="n">
        <v>45828.4944194445</v>
      </c>
      <c r="G523" s="21" t="n">
        <v>45828.6075861111</v>
      </c>
      <c r="H523" s="10" t="n">
        <v>1.716</v>
      </c>
      <c r="I523" s="15" t="n">
        <v>45828</v>
      </c>
      <c r="J523" s="2" t="s">
        <v>629</v>
      </c>
    </row>
    <row r="524" customFormat="false" ht="15" hidden="false" customHeight="false" outlineLevel="0" collapsed="false">
      <c r="A524" s="2" t="s">
        <v>571</v>
      </c>
      <c r="B524" s="2" t="s">
        <v>119</v>
      </c>
      <c r="C524" s="4" t="n">
        <v>7</v>
      </c>
      <c r="D524" s="2" t="s">
        <v>447</v>
      </c>
      <c r="E524" s="2" t="s">
        <v>421</v>
      </c>
      <c r="F524" s="21" t="n">
        <v>45828.6075861111</v>
      </c>
      <c r="G524" s="21" t="n">
        <v>45828.6700861111</v>
      </c>
      <c r="H524" s="10" t="n">
        <v>1.5</v>
      </c>
      <c r="I524" s="15" t="n">
        <v>45828</v>
      </c>
      <c r="J524" s="2" t="s">
        <v>629</v>
      </c>
    </row>
    <row r="525" customFormat="false" ht="15" hidden="false" customHeight="false" outlineLevel="0" collapsed="false">
      <c r="A525" s="2" t="s">
        <v>571</v>
      </c>
      <c r="B525" s="2" t="s">
        <v>119</v>
      </c>
      <c r="C525" s="4" t="n">
        <v>8</v>
      </c>
      <c r="D525" s="2" t="s">
        <v>449</v>
      </c>
      <c r="E525" s="2" t="s">
        <v>423</v>
      </c>
      <c r="F525" s="21" t="n">
        <v>45828.6700861111</v>
      </c>
      <c r="G525" s="21" t="n">
        <v>45828.7008638889</v>
      </c>
      <c r="H525" s="10" t="n">
        <v>0.738666666666667</v>
      </c>
      <c r="I525" s="15" t="n">
        <v>45828</v>
      </c>
      <c r="J525" s="2" t="s">
        <v>629</v>
      </c>
    </row>
    <row r="526" customFormat="false" ht="15" hidden="false" customHeight="false" outlineLevel="0" collapsed="false">
      <c r="A526" s="2" t="s">
        <v>571</v>
      </c>
      <c r="B526" s="2" t="s">
        <v>119</v>
      </c>
      <c r="C526" s="4" t="n">
        <v>9</v>
      </c>
      <c r="D526" s="2" t="s">
        <v>450</v>
      </c>
      <c r="E526" s="2" t="s">
        <v>406</v>
      </c>
      <c r="F526" s="21" t="n">
        <v>45828.7008638889</v>
      </c>
      <c r="G526" s="21" t="n">
        <v>45831.6008638889</v>
      </c>
      <c r="H526" s="10" t="n">
        <v>5.6</v>
      </c>
      <c r="I526" s="15" t="n">
        <v>45828</v>
      </c>
      <c r="J526" s="2" t="s">
        <v>629</v>
      </c>
    </row>
    <row r="527" customFormat="false" ht="15" hidden="false" customHeight="false" outlineLevel="0" collapsed="false">
      <c r="A527" s="2" t="s">
        <v>571</v>
      </c>
      <c r="B527" s="2" t="s">
        <v>119</v>
      </c>
      <c r="C527" s="4" t="n">
        <v>10</v>
      </c>
      <c r="D527" s="2" t="s">
        <v>451</v>
      </c>
      <c r="E527" s="2" t="s">
        <v>408</v>
      </c>
      <c r="F527" s="21" t="n">
        <v>45831.6008638889</v>
      </c>
      <c r="G527" s="21" t="n">
        <v>45831.6323916667</v>
      </c>
      <c r="H527" s="10" t="n">
        <v>0.756666666666667</v>
      </c>
      <c r="I527" s="15" t="n">
        <v>45828</v>
      </c>
      <c r="J527" s="2" t="s">
        <v>629</v>
      </c>
    </row>
    <row r="528" customFormat="false" ht="15" hidden="false" customHeight="false" outlineLevel="0" collapsed="false">
      <c r="A528" s="2" t="s">
        <v>571</v>
      </c>
      <c r="B528" s="2" t="s">
        <v>119</v>
      </c>
      <c r="C528" s="4" t="n">
        <v>11</v>
      </c>
      <c r="D528" s="2" t="s">
        <v>452</v>
      </c>
      <c r="E528" s="2" t="s">
        <v>411</v>
      </c>
      <c r="F528" s="21" t="n">
        <v>45831.6323916667</v>
      </c>
      <c r="G528" s="21" t="n">
        <v>45831.6740861111</v>
      </c>
      <c r="H528" s="10" t="n">
        <v>1.00066666666667</v>
      </c>
      <c r="I528" s="15" t="n">
        <v>45828</v>
      </c>
      <c r="J528" s="2" t="s">
        <v>629</v>
      </c>
    </row>
    <row r="529" customFormat="false" ht="15" hidden="false" customHeight="false" outlineLevel="0" collapsed="false">
      <c r="A529" s="2" t="s">
        <v>566</v>
      </c>
      <c r="B529" s="2" t="s">
        <v>83</v>
      </c>
      <c r="C529" s="4" t="n">
        <v>1</v>
      </c>
      <c r="D529" s="2" t="s">
        <v>437</v>
      </c>
      <c r="E529" s="2" t="s">
        <v>375</v>
      </c>
      <c r="F529" s="21" t="n">
        <v>45824.3333333333</v>
      </c>
      <c r="G529" s="21" t="n">
        <v>45825.367625</v>
      </c>
      <c r="H529" s="10" t="n">
        <v>8.823</v>
      </c>
      <c r="I529" s="15" t="n">
        <v>45842</v>
      </c>
      <c r="J529" s="2" t="s">
        <v>629</v>
      </c>
    </row>
    <row r="530" customFormat="false" ht="15" hidden="false" customHeight="false" outlineLevel="0" collapsed="false">
      <c r="A530" s="2" t="s">
        <v>566</v>
      </c>
      <c r="B530" s="2" t="s">
        <v>83</v>
      </c>
      <c r="C530" s="4" t="n">
        <v>2</v>
      </c>
      <c r="D530" s="2" t="s">
        <v>441</v>
      </c>
      <c r="E530" s="2" t="s">
        <v>380</v>
      </c>
      <c r="F530" s="21" t="n">
        <v>45825.367625</v>
      </c>
      <c r="G530" s="21" t="n">
        <v>45826.592625</v>
      </c>
      <c r="H530" s="10" t="n">
        <v>12.4</v>
      </c>
      <c r="I530" s="15" t="n">
        <v>45842</v>
      </c>
      <c r="J530" s="2" t="s">
        <v>629</v>
      </c>
    </row>
    <row r="531" customFormat="false" ht="15" hidden="false" customHeight="false" outlineLevel="0" collapsed="false">
      <c r="A531" s="2" t="s">
        <v>566</v>
      </c>
      <c r="B531" s="2" t="s">
        <v>83</v>
      </c>
      <c r="C531" s="4" t="n">
        <v>3</v>
      </c>
      <c r="D531" s="2" t="s">
        <v>386</v>
      </c>
      <c r="E531" s="2" t="s">
        <v>383</v>
      </c>
      <c r="F531" s="21" t="n">
        <v>45826.592625</v>
      </c>
      <c r="G531" s="21" t="n">
        <v>45831.3630416667</v>
      </c>
      <c r="H531" s="10" t="n">
        <v>19.49</v>
      </c>
      <c r="I531" s="15" t="n">
        <v>45842</v>
      </c>
      <c r="J531" s="2" t="s">
        <v>629</v>
      </c>
    </row>
    <row r="532" customFormat="false" ht="15" hidden="false" customHeight="false" outlineLevel="0" collapsed="false">
      <c r="A532" s="2" t="s">
        <v>566</v>
      </c>
      <c r="B532" s="2" t="s">
        <v>83</v>
      </c>
      <c r="C532" s="4" t="n">
        <v>4</v>
      </c>
      <c r="D532" s="2" t="s">
        <v>390</v>
      </c>
      <c r="E532" s="2" t="s">
        <v>387</v>
      </c>
      <c r="F532" s="21" t="n">
        <v>45831.3630416667</v>
      </c>
      <c r="G532" s="21" t="n">
        <v>45833.383875</v>
      </c>
      <c r="H532" s="10" t="n">
        <v>16.5</v>
      </c>
      <c r="I532" s="15" t="n">
        <v>45842</v>
      </c>
      <c r="J532" s="2" t="s">
        <v>629</v>
      </c>
    </row>
    <row r="533" customFormat="false" ht="15" hidden="false" customHeight="false" outlineLevel="0" collapsed="false">
      <c r="A533" s="2" t="s">
        <v>566</v>
      </c>
      <c r="B533" s="2" t="s">
        <v>83</v>
      </c>
      <c r="C533" s="4" t="n">
        <v>5</v>
      </c>
      <c r="D533" s="2" t="s">
        <v>442</v>
      </c>
      <c r="E533" s="2" t="s">
        <v>391</v>
      </c>
      <c r="F533" s="21" t="n">
        <v>45833.383875</v>
      </c>
      <c r="G533" s="21" t="n">
        <v>45835.4933194445</v>
      </c>
      <c r="H533" s="10" t="n">
        <v>18.6266666666667</v>
      </c>
      <c r="I533" s="15" t="n">
        <v>45842</v>
      </c>
      <c r="J533" s="2" t="s">
        <v>629</v>
      </c>
    </row>
    <row r="534" customFormat="false" ht="15" hidden="false" customHeight="false" outlineLevel="0" collapsed="false">
      <c r="A534" s="2" t="s">
        <v>566</v>
      </c>
      <c r="B534" s="2" t="s">
        <v>83</v>
      </c>
      <c r="C534" s="4" t="n">
        <v>6</v>
      </c>
      <c r="D534" s="2" t="s">
        <v>443</v>
      </c>
      <c r="E534" s="2" t="s">
        <v>395</v>
      </c>
      <c r="F534" s="21" t="n">
        <v>45835.4933194445</v>
      </c>
      <c r="G534" s="21" t="n">
        <v>45838.6870694444</v>
      </c>
      <c r="H534" s="10" t="n">
        <v>11.65</v>
      </c>
      <c r="I534" s="15" t="n">
        <v>45842</v>
      </c>
      <c r="J534" s="2" t="s">
        <v>629</v>
      </c>
    </row>
    <row r="535" customFormat="false" ht="15" hidden="false" customHeight="false" outlineLevel="0" collapsed="false">
      <c r="A535" s="2" t="s">
        <v>566</v>
      </c>
      <c r="B535" s="2" t="s">
        <v>83</v>
      </c>
      <c r="C535" s="4" t="n">
        <v>7</v>
      </c>
      <c r="D535" s="2" t="s">
        <v>444</v>
      </c>
      <c r="E535" s="2" t="s">
        <v>399</v>
      </c>
      <c r="F535" s="21" t="n">
        <v>45838.6870694444</v>
      </c>
      <c r="G535" s="21" t="n">
        <v>45839.6738027778</v>
      </c>
      <c r="H535" s="10" t="n">
        <v>7.6816</v>
      </c>
      <c r="I535" s="15" t="n">
        <v>45842</v>
      </c>
      <c r="J535" s="2" t="s">
        <v>629</v>
      </c>
    </row>
    <row r="536" customFormat="false" ht="15" hidden="false" customHeight="false" outlineLevel="0" collapsed="false">
      <c r="A536" s="2" t="s">
        <v>566</v>
      </c>
      <c r="B536" s="2" t="s">
        <v>83</v>
      </c>
      <c r="C536" s="4" t="n">
        <v>8</v>
      </c>
      <c r="D536" s="2" t="s">
        <v>445</v>
      </c>
      <c r="E536" s="2" t="s">
        <v>402</v>
      </c>
      <c r="F536" s="21" t="n">
        <v>45839.6738027778</v>
      </c>
      <c r="G536" s="21" t="n">
        <v>45840.3934416667</v>
      </c>
      <c r="H536" s="10" t="n">
        <v>2.27133333333333</v>
      </c>
      <c r="I536" s="15" t="n">
        <v>45842</v>
      </c>
      <c r="J536" s="2" t="s">
        <v>629</v>
      </c>
    </row>
    <row r="537" customFormat="false" ht="15" hidden="false" customHeight="false" outlineLevel="0" collapsed="false">
      <c r="A537" s="2" t="s">
        <v>566</v>
      </c>
      <c r="B537" s="2" t="s">
        <v>83</v>
      </c>
      <c r="C537" s="4" t="n">
        <v>9</v>
      </c>
      <c r="D537" s="2" t="s">
        <v>447</v>
      </c>
      <c r="E537" s="2" t="s">
        <v>421</v>
      </c>
      <c r="F537" s="21" t="n">
        <v>45840.3934416667</v>
      </c>
      <c r="G537" s="21" t="n">
        <v>45840.4559416667</v>
      </c>
      <c r="H537" s="10" t="n">
        <v>1.5</v>
      </c>
      <c r="I537" s="15" t="n">
        <v>45842</v>
      </c>
      <c r="J537" s="2" t="s">
        <v>629</v>
      </c>
    </row>
    <row r="538" customFormat="false" ht="15" hidden="false" customHeight="false" outlineLevel="0" collapsed="false">
      <c r="A538" s="2" t="s">
        <v>566</v>
      </c>
      <c r="B538" s="2" t="s">
        <v>83</v>
      </c>
      <c r="C538" s="4" t="n">
        <v>10</v>
      </c>
      <c r="D538" s="2" t="s">
        <v>449</v>
      </c>
      <c r="E538" s="2" t="s">
        <v>423</v>
      </c>
      <c r="F538" s="21" t="n">
        <v>45840.4559416667</v>
      </c>
      <c r="G538" s="21" t="n">
        <v>45840.4932055556</v>
      </c>
      <c r="H538" s="10" t="n">
        <v>0.894333333333333</v>
      </c>
      <c r="I538" s="15" t="n">
        <v>45842</v>
      </c>
      <c r="J538" s="2" t="s">
        <v>629</v>
      </c>
    </row>
    <row r="539" customFormat="false" ht="15" hidden="false" customHeight="false" outlineLevel="0" collapsed="false">
      <c r="A539" s="2" t="s">
        <v>566</v>
      </c>
      <c r="B539" s="2" t="s">
        <v>83</v>
      </c>
      <c r="C539" s="4" t="n">
        <v>11</v>
      </c>
      <c r="D539" s="2" t="s">
        <v>450</v>
      </c>
      <c r="E539" s="2" t="s">
        <v>406</v>
      </c>
      <c r="F539" s="21" t="n">
        <v>45840.4932055556</v>
      </c>
      <c r="G539" s="21" t="n">
        <v>45842.4400805556</v>
      </c>
      <c r="H539" s="10" t="n">
        <v>14.725</v>
      </c>
      <c r="I539" s="15" t="n">
        <v>45842</v>
      </c>
      <c r="J539" s="2" t="s">
        <v>629</v>
      </c>
    </row>
    <row r="540" customFormat="false" ht="15" hidden="false" customHeight="false" outlineLevel="0" collapsed="false">
      <c r="A540" s="2" t="s">
        <v>566</v>
      </c>
      <c r="B540" s="2" t="s">
        <v>83</v>
      </c>
      <c r="C540" s="4" t="n">
        <v>12</v>
      </c>
      <c r="D540" s="2" t="s">
        <v>451</v>
      </c>
      <c r="E540" s="2" t="s">
        <v>408</v>
      </c>
      <c r="F540" s="21" t="n">
        <v>45842.4400805556</v>
      </c>
      <c r="G540" s="21" t="n">
        <v>45842.4803861111</v>
      </c>
      <c r="H540" s="10" t="n">
        <v>0.967333333333333</v>
      </c>
      <c r="I540" s="15" t="n">
        <v>45842</v>
      </c>
      <c r="J540" s="2" t="s">
        <v>629</v>
      </c>
    </row>
    <row r="541" customFormat="false" ht="15" hidden="false" customHeight="false" outlineLevel="0" collapsed="false">
      <c r="A541" s="2" t="s">
        <v>566</v>
      </c>
      <c r="B541" s="2" t="s">
        <v>83</v>
      </c>
      <c r="C541" s="4" t="n">
        <v>13</v>
      </c>
      <c r="D541" s="2" t="s">
        <v>452</v>
      </c>
      <c r="E541" s="2" t="s">
        <v>411</v>
      </c>
      <c r="F541" s="21" t="n">
        <v>45842.4803861111</v>
      </c>
      <c r="G541" s="21" t="n">
        <v>45842.5763583333</v>
      </c>
      <c r="H541" s="10" t="n">
        <v>1.30333333333333</v>
      </c>
      <c r="I541" s="15" t="n">
        <v>45842</v>
      </c>
      <c r="J541" s="2" t="s">
        <v>629</v>
      </c>
    </row>
    <row r="542" customFormat="false" ht="15" hidden="false" customHeight="false" outlineLevel="0" collapsed="false">
      <c r="A542" s="2" t="s">
        <v>568</v>
      </c>
      <c r="B542" s="2" t="s">
        <v>96</v>
      </c>
      <c r="C542" s="4" t="n">
        <v>1</v>
      </c>
      <c r="D542" s="2" t="s">
        <v>437</v>
      </c>
      <c r="E542" s="2" t="s">
        <v>375</v>
      </c>
      <c r="F542" s="21" t="n">
        <v>45825.367625</v>
      </c>
      <c r="G542" s="21" t="n">
        <v>45826.356375</v>
      </c>
      <c r="H542" s="10" t="n">
        <v>7.73</v>
      </c>
      <c r="I542" s="15" t="n">
        <v>45840</v>
      </c>
      <c r="J542" s="2" t="s">
        <v>629</v>
      </c>
    </row>
    <row r="543" customFormat="false" ht="15" hidden="false" customHeight="false" outlineLevel="0" collapsed="false">
      <c r="A543" s="2" t="s">
        <v>568</v>
      </c>
      <c r="B543" s="2" t="s">
        <v>96</v>
      </c>
      <c r="C543" s="4" t="n">
        <v>2</v>
      </c>
      <c r="D543" s="2" t="s">
        <v>441</v>
      </c>
      <c r="E543" s="2" t="s">
        <v>380</v>
      </c>
      <c r="F543" s="21" t="n">
        <v>45826.592625</v>
      </c>
      <c r="G543" s="21" t="n">
        <v>45826.6330694445</v>
      </c>
      <c r="H543" s="10" t="n">
        <v>0.970666666666667</v>
      </c>
      <c r="I543" s="15" t="n">
        <v>45840</v>
      </c>
      <c r="J543" s="2" t="s">
        <v>629</v>
      </c>
    </row>
    <row r="544" customFormat="false" ht="15" hidden="false" customHeight="false" outlineLevel="0" collapsed="false">
      <c r="A544" s="2" t="s">
        <v>568</v>
      </c>
      <c r="B544" s="2" t="s">
        <v>96</v>
      </c>
      <c r="C544" s="4" t="n">
        <v>3</v>
      </c>
      <c r="D544" s="2" t="s">
        <v>386</v>
      </c>
      <c r="E544" s="2" t="s">
        <v>383</v>
      </c>
      <c r="F544" s="21" t="n">
        <v>45831.3630416667</v>
      </c>
      <c r="G544" s="21" t="n">
        <v>45832.408875</v>
      </c>
      <c r="H544" s="10" t="n">
        <v>9.1</v>
      </c>
      <c r="I544" s="15" t="n">
        <v>45840</v>
      </c>
      <c r="J544" s="2" t="s">
        <v>629</v>
      </c>
    </row>
    <row r="545" customFormat="false" ht="15" hidden="false" customHeight="false" outlineLevel="0" collapsed="false">
      <c r="A545" s="2" t="s">
        <v>568</v>
      </c>
      <c r="B545" s="2" t="s">
        <v>96</v>
      </c>
      <c r="C545" s="4" t="n">
        <v>4</v>
      </c>
      <c r="D545" s="2" t="s">
        <v>390</v>
      </c>
      <c r="E545" s="2" t="s">
        <v>387</v>
      </c>
      <c r="F545" s="21" t="n">
        <v>45833.383875</v>
      </c>
      <c r="G545" s="21" t="n">
        <v>45835.4144305556</v>
      </c>
      <c r="H545" s="10" t="n">
        <v>16.7333333333333</v>
      </c>
      <c r="I545" s="15" t="n">
        <v>45840</v>
      </c>
      <c r="J545" s="2" t="s">
        <v>629</v>
      </c>
    </row>
    <row r="546" customFormat="false" ht="15" hidden="false" customHeight="false" outlineLevel="0" collapsed="false">
      <c r="A546" s="2" t="s">
        <v>568</v>
      </c>
      <c r="B546" s="2" t="s">
        <v>96</v>
      </c>
      <c r="C546" s="4" t="n">
        <v>5</v>
      </c>
      <c r="D546" s="2" t="s">
        <v>442</v>
      </c>
      <c r="E546" s="2" t="s">
        <v>391</v>
      </c>
      <c r="F546" s="21" t="n">
        <v>45835.4933194445</v>
      </c>
      <c r="G546" s="21" t="n">
        <v>45835.5730416667</v>
      </c>
      <c r="H546" s="10" t="n">
        <v>0.913333333333333</v>
      </c>
      <c r="I546" s="15" t="n">
        <v>45840</v>
      </c>
      <c r="J546" s="2" t="s">
        <v>629</v>
      </c>
    </row>
    <row r="547" customFormat="false" ht="15" hidden="false" customHeight="false" outlineLevel="0" collapsed="false">
      <c r="A547" s="2" t="s">
        <v>568</v>
      </c>
      <c r="B547" s="2" t="s">
        <v>96</v>
      </c>
      <c r="C547" s="4" t="n">
        <v>6</v>
      </c>
      <c r="D547" s="2" t="s">
        <v>443</v>
      </c>
      <c r="E547" s="2" t="s">
        <v>395</v>
      </c>
      <c r="F547" s="21" t="n">
        <v>45838.6870694444</v>
      </c>
      <c r="G547" s="21" t="n">
        <v>45839.4974861111</v>
      </c>
      <c r="H547" s="10" t="n">
        <v>4.45</v>
      </c>
      <c r="I547" s="15" t="n">
        <v>45840</v>
      </c>
      <c r="J547" s="2" t="s">
        <v>629</v>
      </c>
    </row>
    <row r="548" customFormat="false" ht="15" hidden="false" customHeight="false" outlineLevel="0" collapsed="false">
      <c r="A548" s="2" t="s">
        <v>568</v>
      </c>
      <c r="B548" s="2" t="s">
        <v>96</v>
      </c>
      <c r="C548" s="4" t="n">
        <v>7</v>
      </c>
      <c r="D548" s="2" t="s">
        <v>444</v>
      </c>
      <c r="E548" s="2" t="s">
        <v>399</v>
      </c>
      <c r="F548" s="21" t="n">
        <v>45839.6738027778</v>
      </c>
      <c r="G548" s="21" t="n">
        <v>45840.453365</v>
      </c>
      <c r="H548" s="10" t="n">
        <v>3.70949333333333</v>
      </c>
      <c r="I548" s="15" t="n">
        <v>45840</v>
      </c>
      <c r="J548" s="2" t="s">
        <v>629</v>
      </c>
    </row>
    <row r="549" customFormat="false" ht="15" hidden="false" customHeight="false" outlineLevel="0" collapsed="false">
      <c r="A549" s="2" t="s">
        <v>568</v>
      </c>
      <c r="B549" s="2" t="s">
        <v>96</v>
      </c>
      <c r="C549" s="4" t="n">
        <v>8</v>
      </c>
      <c r="D549" s="2" t="s">
        <v>445</v>
      </c>
      <c r="E549" s="2" t="s">
        <v>402</v>
      </c>
      <c r="F549" s="21" t="n">
        <v>45840.453365</v>
      </c>
      <c r="G549" s="21" t="n">
        <v>45840.5441427778</v>
      </c>
      <c r="H549" s="10" t="n">
        <v>1.17866666666667</v>
      </c>
      <c r="I549" s="15" t="n">
        <v>45840</v>
      </c>
      <c r="J549" s="2" t="s">
        <v>629</v>
      </c>
    </row>
    <row r="550" customFormat="false" ht="15" hidden="false" customHeight="false" outlineLevel="0" collapsed="false">
      <c r="A550" s="2" t="s">
        <v>568</v>
      </c>
      <c r="B550" s="2" t="s">
        <v>96</v>
      </c>
      <c r="C550" s="4" t="n">
        <v>9</v>
      </c>
      <c r="D550" s="2" t="s">
        <v>447</v>
      </c>
      <c r="E550" s="2" t="s">
        <v>421</v>
      </c>
      <c r="F550" s="21" t="n">
        <v>45840.5441427778</v>
      </c>
      <c r="G550" s="21" t="n">
        <v>45840.5753927778</v>
      </c>
      <c r="H550" s="10" t="n">
        <v>0.75</v>
      </c>
      <c r="I550" s="15" t="n">
        <v>45840</v>
      </c>
      <c r="J550" s="2" t="s">
        <v>629</v>
      </c>
    </row>
    <row r="551" customFormat="false" ht="15" hidden="false" customHeight="false" outlineLevel="0" collapsed="false">
      <c r="A551" s="2" t="s">
        <v>568</v>
      </c>
      <c r="B551" s="2" t="s">
        <v>96</v>
      </c>
      <c r="C551" s="4" t="n">
        <v>10</v>
      </c>
      <c r="D551" s="2" t="s">
        <v>449</v>
      </c>
      <c r="E551" s="2" t="s">
        <v>423</v>
      </c>
      <c r="F551" s="21" t="n">
        <v>45840.5753927778</v>
      </c>
      <c r="G551" s="21" t="n">
        <v>45840.5950594444</v>
      </c>
      <c r="H551" s="10" t="n">
        <v>0.472</v>
      </c>
      <c r="I551" s="15" t="n">
        <v>45840</v>
      </c>
      <c r="J551" s="2" t="s">
        <v>629</v>
      </c>
    </row>
    <row r="552" customFormat="false" ht="15" hidden="false" customHeight="false" outlineLevel="0" collapsed="false">
      <c r="A552" s="2" t="s">
        <v>568</v>
      </c>
      <c r="B552" s="2" t="s">
        <v>96</v>
      </c>
      <c r="C552" s="4" t="n">
        <v>11</v>
      </c>
      <c r="D552" s="2" t="s">
        <v>450</v>
      </c>
      <c r="E552" s="2" t="s">
        <v>406</v>
      </c>
      <c r="F552" s="21" t="n">
        <v>45842.4400805556</v>
      </c>
      <c r="G552" s="21" t="n">
        <v>45845.3817472222</v>
      </c>
      <c r="H552" s="10" t="n">
        <v>6.6</v>
      </c>
      <c r="I552" s="15" t="n">
        <v>45840</v>
      </c>
      <c r="J552" s="2" t="s">
        <v>629</v>
      </c>
    </row>
    <row r="553" customFormat="false" ht="15" hidden="false" customHeight="false" outlineLevel="0" collapsed="false">
      <c r="A553" s="2" t="s">
        <v>568</v>
      </c>
      <c r="B553" s="2" t="s">
        <v>96</v>
      </c>
      <c r="C553" s="4" t="n">
        <v>12</v>
      </c>
      <c r="D553" s="2" t="s">
        <v>451</v>
      </c>
      <c r="E553" s="2" t="s">
        <v>408</v>
      </c>
      <c r="F553" s="21" t="n">
        <v>45845.3817472222</v>
      </c>
      <c r="G553" s="21" t="n">
        <v>45845.403525</v>
      </c>
      <c r="H553" s="10" t="n">
        <v>0.522666666666667</v>
      </c>
      <c r="I553" s="15" t="n">
        <v>45840</v>
      </c>
      <c r="J553" s="2" t="s">
        <v>629</v>
      </c>
    </row>
    <row r="554" customFormat="false" ht="15" hidden="false" customHeight="false" outlineLevel="0" collapsed="false">
      <c r="A554" s="2" t="s">
        <v>568</v>
      </c>
      <c r="B554" s="2" t="s">
        <v>96</v>
      </c>
      <c r="C554" s="4" t="n">
        <v>13</v>
      </c>
      <c r="D554" s="2" t="s">
        <v>452</v>
      </c>
      <c r="E554" s="2" t="s">
        <v>411</v>
      </c>
      <c r="F554" s="21" t="n">
        <v>45845.403525</v>
      </c>
      <c r="G554" s="21" t="n">
        <v>45845.4326916667</v>
      </c>
      <c r="H554" s="10" t="n">
        <v>0.7</v>
      </c>
      <c r="I554" s="15" t="n">
        <v>45840</v>
      </c>
      <c r="J554" s="2" t="s">
        <v>629</v>
      </c>
    </row>
    <row r="555" customFormat="false" ht="15" hidden="false" customHeight="false" outlineLevel="0" collapsed="false">
      <c r="A555" s="2" t="s">
        <v>570</v>
      </c>
      <c r="B555" s="2" t="s">
        <v>108</v>
      </c>
      <c r="C555" s="4" t="n">
        <v>1</v>
      </c>
      <c r="D555" s="2" t="s">
        <v>437</v>
      </c>
      <c r="E555" s="2" t="s">
        <v>375</v>
      </c>
      <c r="F555" s="21" t="n">
        <v>45826.356375</v>
      </c>
      <c r="G555" s="21" t="n">
        <v>45826.6813611111</v>
      </c>
      <c r="H555" s="10" t="n">
        <v>6.79966666666667</v>
      </c>
      <c r="I555" s="15" t="n">
        <v>45839</v>
      </c>
      <c r="J555" s="2" t="s">
        <v>629</v>
      </c>
    </row>
    <row r="556" customFormat="false" ht="15" hidden="false" customHeight="false" outlineLevel="0" collapsed="false">
      <c r="A556" s="2" t="s">
        <v>570</v>
      </c>
      <c r="B556" s="2" t="s">
        <v>108</v>
      </c>
      <c r="C556" s="4" t="n">
        <v>2</v>
      </c>
      <c r="D556" s="2" t="s">
        <v>386</v>
      </c>
      <c r="E556" s="2" t="s">
        <v>383</v>
      </c>
      <c r="F556" s="21" t="n">
        <v>45832.408875</v>
      </c>
      <c r="G556" s="21" t="n">
        <v>45832.5887361111</v>
      </c>
      <c r="H556" s="10" t="n">
        <v>3.31666666666667</v>
      </c>
      <c r="I556" s="15" t="n">
        <v>45839</v>
      </c>
      <c r="J556" s="2" t="s">
        <v>629</v>
      </c>
    </row>
    <row r="557" customFormat="false" ht="15" hidden="false" customHeight="false" outlineLevel="0" collapsed="false">
      <c r="A557" s="2" t="s">
        <v>570</v>
      </c>
      <c r="B557" s="2" t="s">
        <v>108</v>
      </c>
      <c r="C557" s="4" t="n">
        <v>3</v>
      </c>
      <c r="D557" s="2" t="s">
        <v>390</v>
      </c>
      <c r="E557" s="2" t="s">
        <v>387</v>
      </c>
      <c r="F557" s="21" t="n">
        <v>45835.4144305556</v>
      </c>
      <c r="G557" s="21" t="n">
        <v>45839.4804027778</v>
      </c>
      <c r="H557" s="10" t="n">
        <v>17.5833333333333</v>
      </c>
      <c r="I557" s="15" t="n">
        <v>45839</v>
      </c>
      <c r="J557" s="2" t="s">
        <v>629</v>
      </c>
    </row>
    <row r="558" customFormat="false" ht="15" hidden="false" customHeight="false" outlineLevel="0" collapsed="false">
      <c r="A558" s="2" t="s">
        <v>570</v>
      </c>
      <c r="B558" s="2" t="s">
        <v>108</v>
      </c>
      <c r="C558" s="4" t="n">
        <v>4</v>
      </c>
      <c r="D558" s="2" t="s">
        <v>443</v>
      </c>
      <c r="E558" s="2" t="s">
        <v>395</v>
      </c>
      <c r="F558" s="21" t="n">
        <v>45839.4974861111</v>
      </c>
      <c r="G558" s="21" t="n">
        <v>45839.6651944445</v>
      </c>
      <c r="H558" s="10" t="n">
        <v>3.025</v>
      </c>
      <c r="I558" s="15" t="n">
        <v>45839</v>
      </c>
      <c r="J558" s="2" t="s">
        <v>629</v>
      </c>
    </row>
    <row r="559" customFormat="false" ht="15" hidden="false" customHeight="false" outlineLevel="0" collapsed="false">
      <c r="A559" s="2" t="s">
        <v>570</v>
      </c>
      <c r="B559" s="2" t="s">
        <v>108</v>
      </c>
      <c r="C559" s="4" t="n">
        <v>5</v>
      </c>
      <c r="D559" s="2" t="s">
        <v>444</v>
      </c>
      <c r="E559" s="2" t="s">
        <v>399</v>
      </c>
      <c r="F559" s="21" t="n">
        <v>45840.453365</v>
      </c>
      <c r="G559" s="21" t="n">
        <v>45840.6816261111</v>
      </c>
      <c r="H559" s="10" t="n">
        <v>4.47826666666667</v>
      </c>
      <c r="I559" s="15" t="n">
        <v>45839</v>
      </c>
      <c r="J559" s="2" t="s">
        <v>629</v>
      </c>
    </row>
    <row r="560" customFormat="false" ht="15" hidden="false" customHeight="false" outlineLevel="0" collapsed="false">
      <c r="A560" s="2" t="s">
        <v>570</v>
      </c>
      <c r="B560" s="2" t="s">
        <v>108</v>
      </c>
      <c r="C560" s="4" t="n">
        <v>6</v>
      </c>
      <c r="D560" s="2" t="s">
        <v>445</v>
      </c>
      <c r="E560" s="2" t="s">
        <v>402</v>
      </c>
      <c r="F560" s="21" t="n">
        <v>45840.6816261111</v>
      </c>
      <c r="G560" s="21" t="n">
        <v>45841.3481608333</v>
      </c>
      <c r="H560" s="10" t="n">
        <v>0.996833333333333</v>
      </c>
      <c r="I560" s="15" t="n">
        <v>45839</v>
      </c>
      <c r="J560" s="2" t="s">
        <v>629</v>
      </c>
    </row>
    <row r="561" customFormat="false" ht="15" hidden="false" customHeight="false" outlineLevel="0" collapsed="false">
      <c r="A561" s="2" t="s">
        <v>570</v>
      </c>
      <c r="B561" s="2" t="s">
        <v>108</v>
      </c>
      <c r="C561" s="4" t="n">
        <v>7</v>
      </c>
      <c r="D561" s="2" t="s">
        <v>447</v>
      </c>
      <c r="E561" s="2" t="s">
        <v>421</v>
      </c>
      <c r="F561" s="21" t="n">
        <v>45841.3481608333</v>
      </c>
      <c r="G561" s="21" t="n">
        <v>45841.3794108333</v>
      </c>
      <c r="H561" s="10" t="n">
        <v>0.75</v>
      </c>
      <c r="I561" s="15" t="n">
        <v>45839</v>
      </c>
      <c r="J561" s="2" t="s">
        <v>629</v>
      </c>
    </row>
    <row r="562" customFormat="false" ht="15" hidden="false" customHeight="false" outlineLevel="0" collapsed="false">
      <c r="A562" s="2" t="s">
        <v>570</v>
      </c>
      <c r="B562" s="2" t="s">
        <v>108</v>
      </c>
      <c r="C562" s="4" t="n">
        <v>8</v>
      </c>
      <c r="D562" s="2" t="s">
        <v>449</v>
      </c>
      <c r="E562" s="2" t="s">
        <v>423</v>
      </c>
      <c r="F562" s="21" t="n">
        <v>45841.3794108333</v>
      </c>
      <c r="G562" s="21" t="n">
        <v>45841.3967302778</v>
      </c>
      <c r="H562" s="10" t="n">
        <v>0.415666666666667</v>
      </c>
      <c r="I562" s="15" t="n">
        <v>45839</v>
      </c>
      <c r="J562" s="2" t="s">
        <v>629</v>
      </c>
    </row>
    <row r="563" customFormat="false" ht="15" hidden="false" customHeight="false" outlineLevel="0" collapsed="false">
      <c r="A563" s="2" t="s">
        <v>570</v>
      </c>
      <c r="B563" s="2" t="s">
        <v>108</v>
      </c>
      <c r="C563" s="4" t="n">
        <v>9</v>
      </c>
      <c r="D563" s="2" t="s">
        <v>450</v>
      </c>
      <c r="E563" s="2" t="s">
        <v>406</v>
      </c>
      <c r="F563" s="21" t="n">
        <v>45845.3817472222</v>
      </c>
      <c r="G563" s="21" t="n">
        <v>45845.7010180556</v>
      </c>
      <c r="H563" s="10" t="n">
        <v>6.6625</v>
      </c>
      <c r="I563" s="15" t="n">
        <v>45839</v>
      </c>
      <c r="J563" s="2" t="s">
        <v>629</v>
      </c>
    </row>
    <row r="564" customFormat="false" ht="15" hidden="false" customHeight="false" outlineLevel="0" collapsed="false">
      <c r="A564" s="2" t="s">
        <v>570</v>
      </c>
      <c r="B564" s="2" t="s">
        <v>108</v>
      </c>
      <c r="C564" s="4" t="n">
        <v>10</v>
      </c>
      <c r="D564" s="2" t="s">
        <v>451</v>
      </c>
      <c r="E564" s="2" t="s">
        <v>408</v>
      </c>
      <c r="F564" s="21" t="n">
        <v>45845.7010180556</v>
      </c>
      <c r="G564" s="21" t="n">
        <v>45846.3445180556</v>
      </c>
      <c r="H564" s="10" t="n">
        <v>0.444</v>
      </c>
      <c r="I564" s="15" t="n">
        <v>45839</v>
      </c>
      <c r="J564" s="2" t="s">
        <v>629</v>
      </c>
    </row>
    <row r="565" customFormat="false" ht="15" hidden="false" customHeight="false" outlineLevel="0" collapsed="false">
      <c r="A565" s="2" t="s">
        <v>570</v>
      </c>
      <c r="B565" s="2" t="s">
        <v>108</v>
      </c>
      <c r="C565" s="4" t="n">
        <v>11</v>
      </c>
      <c r="D565" s="2" t="s">
        <v>452</v>
      </c>
      <c r="E565" s="2" t="s">
        <v>411</v>
      </c>
      <c r="F565" s="21" t="n">
        <v>45846.3445180556</v>
      </c>
      <c r="G565" s="21" t="n">
        <v>45846.3691430556</v>
      </c>
      <c r="H565" s="10" t="n">
        <v>0.591</v>
      </c>
      <c r="I565" s="15" t="n">
        <v>45839</v>
      </c>
      <c r="J565" s="2" t="s">
        <v>629</v>
      </c>
    </row>
    <row r="566" customFormat="false" ht="15" hidden="false" customHeight="false" outlineLevel="0" collapsed="false">
      <c r="A566" s="2" t="s">
        <v>572</v>
      </c>
      <c r="B566" s="2" t="s">
        <v>121</v>
      </c>
      <c r="C566" s="4" t="n">
        <v>1</v>
      </c>
      <c r="D566" s="2" t="s">
        <v>437</v>
      </c>
      <c r="E566" s="2" t="s">
        <v>375</v>
      </c>
      <c r="F566" s="21" t="n">
        <v>45826.6813611111</v>
      </c>
      <c r="G566" s="21" t="n">
        <v>45827.6584722222</v>
      </c>
      <c r="H566" s="10" t="n">
        <v>7.45066666666667</v>
      </c>
      <c r="I566" s="15" t="n">
        <v>45842</v>
      </c>
      <c r="J566" s="2" t="s">
        <v>629</v>
      </c>
    </row>
    <row r="567" customFormat="false" ht="15" hidden="false" customHeight="false" outlineLevel="0" collapsed="false">
      <c r="A567" s="2" t="s">
        <v>572</v>
      </c>
      <c r="B567" s="2" t="s">
        <v>121</v>
      </c>
      <c r="C567" s="4" t="n">
        <v>2</v>
      </c>
      <c r="D567" s="2" t="s">
        <v>441</v>
      </c>
      <c r="E567" s="2" t="s">
        <v>380</v>
      </c>
      <c r="F567" s="21" t="n">
        <v>45827.6584722222</v>
      </c>
      <c r="G567" s="21" t="n">
        <v>45828.60525</v>
      </c>
      <c r="H567" s="10" t="n">
        <v>6.72266666666667</v>
      </c>
      <c r="I567" s="15" t="n">
        <v>45842</v>
      </c>
      <c r="J567" s="2" t="s">
        <v>629</v>
      </c>
    </row>
    <row r="568" customFormat="false" ht="15" hidden="false" customHeight="false" outlineLevel="0" collapsed="false">
      <c r="A568" s="2" t="s">
        <v>572</v>
      </c>
      <c r="B568" s="2" t="s">
        <v>121</v>
      </c>
      <c r="C568" s="4" t="n">
        <v>3</v>
      </c>
      <c r="D568" s="2" t="s">
        <v>386</v>
      </c>
      <c r="E568" s="2" t="s">
        <v>383</v>
      </c>
      <c r="F568" s="21" t="n">
        <v>45832.5887361111</v>
      </c>
      <c r="G568" s="21" t="n">
        <v>45834.3509583333</v>
      </c>
      <c r="H568" s="10" t="n">
        <v>11.2933333333333</v>
      </c>
      <c r="I568" s="15" t="n">
        <v>45842</v>
      </c>
      <c r="J568" s="2" t="s">
        <v>629</v>
      </c>
    </row>
    <row r="569" customFormat="false" ht="15" hidden="false" customHeight="false" outlineLevel="0" collapsed="false">
      <c r="A569" s="2" t="s">
        <v>572</v>
      </c>
      <c r="B569" s="2" t="s">
        <v>121</v>
      </c>
      <c r="C569" s="4" t="n">
        <v>4</v>
      </c>
      <c r="D569" s="2" t="s">
        <v>390</v>
      </c>
      <c r="E569" s="2" t="s">
        <v>387</v>
      </c>
      <c r="F569" s="21" t="n">
        <v>45839.4804027778</v>
      </c>
      <c r="G569" s="21" t="n">
        <v>45841.5804027778</v>
      </c>
      <c r="H569" s="10" t="n">
        <v>17.4</v>
      </c>
      <c r="I569" s="15" t="n">
        <v>45842</v>
      </c>
      <c r="J569" s="2" t="s">
        <v>629</v>
      </c>
    </row>
    <row r="570" customFormat="false" ht="15" hidden="false" customHeight="false" outlineLevel="0" collapsed="false">
      <c r="A570" s="2" t="s">
        <v>572</v>
      </c>
      <c r="B570" s="2" t="s">
        <v>121</v>
      </c>
      <c r="C570" s="4" t="n">
        <v>5</v>
      </c>
      <c r="D570" s="2" t="s">
        <v>443</v>
      </c>
      <c r="E570" s="2" t="s">
        <v>395</v>
      </c>
      <c r="F570" s="21" t="n">
        <v>45841.5804027778</v>
      </c>
      <c r="G570" s="21" t="n">
        <v>45842.5637361111</v>
      </c>
      <c r="H570" s="10" t="n">
        <v>7.6</v>
      </c>
      <c r="I570" s="15" t="n">
        <v>45842</v>
      </c>
      <c r="J570" s="2" t="s">
        <v>629</v>
      </c>
    </row>
    <row r="571" customFormat="false" ht="15" hidden="false" customHeight="false" outlineLevel="0" collapsed="false">
      <c r="A571" s="2" t="s">
        <v>572</v>
      </c>
      <c r="B571" s="2" t="s">
        <v>121</v>
      </c>
      <c r="C571" s="4" t="n">
        <v>6</v>
      </c>
      <c r="D571" s="2" t="s">
        <v>444</v>
      </c>
      <c r="E571" s="2" t="s">
        <v>399</v>
      </c>
      <c r="F571" s="21" t="n">
        <v>45842.5637361111</v>
      </c>
      <c r="G571" s="21" t="n">
        <v>45845.4010294445</v>
      </c>
      <c r="H571" s="10" t="n">
        <v>5.09504</v>
      </c>
      <c r="I571" s="15" t="n">
        <v>45842</v>
      </c>
      <c r="J571" s="2" t="s">
        <v>629</v>
      </c>
    </row>
    <row r="572" customFormat="false" ht="15" hidden="false" customHeight="false" outlineLevel="0" collapsed="false">
      <c r="A572" s="2" t="s">
        <v>572</v>
      </c>
      <c r="B572" s="2" t="s">
        <v>121</v>
      </c>
      <c r="C572" s="4" t="n">
        <v>7</v>
      </c>
      <c r="D572" s="2" t="s">
        <v>445</v>
      </c>
      <c r="E572" s="2" t="s">
        <v>402</v>
      </c>
      <c r="F572" s="21" t="n">
        <v>45845.4010294445</v>
      </c>
      <c r="G572" s="21" t="n">
        <v>45845.4725294444</v>
      </c>
      <c r="H572" s="10" t="n">
        <v>1.716</v>
      </c>
      <c r="I572" s="15" t="n">
        <v>45842</v>
      </c>
      <c r="J572" s="2" t="s">
        <v>629</v>
      </c>
    </row>
    <row r="573" customFormat="false" ht="15" hidden="false" customHeight="false" outlineLevel="0" collapsed="false">
      <c r="A573" s="2" t="s">
        <v>572</v>
      </c>
      <c r="B573" s="2" t="s">
        <v>121</v>
      </c>
      <c r="C573" s="4" t="n">
        <v>8</v>
      </c>
      <c r="D573" s="2" t="s">
        <v>447</v>
      </c>
      <c r="E573" s="2" t="s">
        <v>421</v>
      </c>
      <c r="F573" s="21" t="n">
        <v>45845.4725294444</v>
      </c>
      <c r="G573" s="21" t="n">
        <v>45845.5766961111</v>
      </c>
      <c r="H573" s="10" t="n">
        <v>1.5</v>
      </c>
      <c r="I573" s="15" t="n">
        <v>45842</v>
      </c>
      <c r="J573" s="2" t="s">
        <v>629</v>
      </c>
    </row>
    <row r="574" customFormat="false" ht="15" hidden="false" customHeight="false" outlineLevel="0" collapsed="false">
      <c r="A574" s="2" t="s">
        <v>572</v>
      </c>
      <c r="B574" s="2" t="s">
        <v>121</v>
      </c>
      <c r="C574" s="4" t="n">
        <v>9</v>
      </c>
      <c r="D574" s="2" t="s">
        <v>449</v>
      </c>
      <c r="E574" s="2" t="s">
        <v>423</v>
      </c>
      <c r="F574" s="21" t="n">
        <v>45845.5766961111</v>
      </c>
      <c r="G574" s="21" t="n">
        <v>45845.6074738889</v>
      </c>
      <c r="H574" s="10" t="n">
        <v>0.738666666666667</v>
      </c>
      <c r="I574" s="15" t="n">
        <v>45842</v>
      </c>
      <c r="J574" s="2" t="s">
        <v>629</v>
      </c>
    </row>
    <row r="575" customFormat="false" ht="15" hidden="false" customHeight="false" outlineLevel="0" collapsed="false">
      <c r="A575" s="2" t="s">
        <v>572</v>
      </c>
      <c r="B575" s="2" t="s">
        <v>121</v>
      </c>
      <c r="C575" s="4" t="n">
        <v>10</v>
      </c>
      <c r="D575" s="2" t="s">
        <v>450</v>
      </c>
      <c r="E575" s="2" t="s">
        <v>406</v>
      </c>
      <c r="F575" s="21" t="n">
        <v>45845.7010180556</v>
      </c>
      <c r="G575" s="21" t="n">
        <v>45847.5551847222</v>
      </c>
      <c r="H575" s="10" t="n">
        <v>12.5</v>
      </c>
      <c r="I575" s="15" t="n">
        <v>45842</v>
      </c>
      <c r="J575" s="2" t="s">
        <v>629</v>
      </c>
    </row>
    <row r="576" customFormat="false" ht="15" hidden="false" customHeight="false" outlineLevel="0" collapsed="false">
      <c r="A576" s="2" t="s">
        <v>572</v>
      </c>
      <c r="B576" s="2" t="s">
        <v>121</v>
      </c>
      <c r="C576" s="4" t="n">
        <v>11</v>
      </c>
      <c r="D576" s="2" t="s">
        <v>451</v>
      </c>
      <c r="E576" s="2" t="s">
        <v>408</v>
      </c>
      <c r="F576" s="21" t="n">
        <v>45847.5551847222</v>
      </c>
      <c r="G576" s="21" t="n">
        <v>45847.5867125</v>
      </c>
      <c r="H576" s="10" t="n">
        <v>0.756666666666667</v>
      </c>
      <c r="I576" s="15" t="n">
        <v>45842</v>
      </c>
      <c r="J576" s="2" t="s">
        <v>629</v>
      </c>
    </row>
    <row r="577" customFormat="false" ht="15" hidden="false" customHeight="false" outlineLevel="0" collapsed="false">
      <c r="A577" s="2" t="s">
        <v>572</v>
      </c>
      <c r="B577" s="2" t="s">
        <v>121</v>
      </c>
      <c r="C577" s="4" t="n">
        <v>12</v>
      </c>
      <c r="D577" s="2" t="s">
        <v>452</v>
      </c>
      <c r="E577" s="2" t="s">
        <v>411</v>
      </c>
      <c r="F577" s="21" t="n">
        <v>45847.5867125</v>
      </c>
      <c r="G577" s="21" t="n">
        <v>45847.6284069444</v>
      </c>
      <c r="H577" s="10" t="n">
        <v>1.00066666666667</v>
      </c>
      <c r="I577" s="15" t="n">
        <v>45842</v>
      </c>
      <c r="J577" s="2" t="s">
        <v>629</v>
      </c>
    </row>
    <row r="578" customFormat="false" ht="15" hidden="false" customHeight="false" outlineLevel="0" collapsed="false">
      <c r="A578" s="2" t="s">
        <v>573</v>
      </c>
      <c r="B578" s="2" t="s">
        <v>80</v>
      </c>
      <c r="C578" s="4" t="n">
        <v>1</v>
      </c>
      <c r="D578" s="2" t="s">
        <v>437</v>
      </c>
      <c r="E578" s="2" t="s">
        <v>375</v>
      </c>
      <c r="F578" s="21" t="n">
        <v>45841.3333333333</v>
      </c>
      <c r="G578" s="21" t="n">
        <v>45841.6986527778</v>
      </c>
      <c r="H578" s="10" t="n">
        <v>7.76766666666667</v>
      </c>
      <c r="I578" s="15" t="n">
        <v>45858</v>
      </c>
      <c r="J578" s="2" t="s">
        <v>629</v>
      </c>
    </row>
    <row r="579" customFormat="false" ht="15" hidden="false" customHeight="false" outlineLevel="0" collapsed="false">
      <c r="A579" s="2" t="s">
        <v>573</v>
      </c>
      <c r="B579" s="2" t="s">
        <v>80</v>
      </c>
      <c r="C579" s="4" t="n">
        <v>2</v>
      </c>
      <c r="D579" s="2" t="s">
        <v>441</v>
      </c>
      <c r="E579" s="2" t="s">
        <v>380</v>
      </c>
      <c r="F579" s="21" t="n">
        <v>45841.6986527778</v>
      </c>
      <c r="G579" s="21" t="n">
        <v>45845.3943194444</v>
      </c>
      <c r="H579" s="10" t="n">
        <v>9.696</v>
      </c>
      <c r="I579" s="15" t="n">
        <v>45858</v>
      </c>
      <c r="J579" s="2" t="s">
        <v>629</v>
      </c>
    </row>
    <row r="580" customFormat="false" ht="15" hidden="false" customHeight="false" outlineLevel="0" collapsed="false">
      <c r="A580" s="2" t="s">
        <v>573</v>
      </c>
      <c r="B580" s="2" t="s">
        <v>80</v>
      </c>
      <c r="C580" s="4" t="n">
        <v>3</v>
      </c>
      <c r="D580" s="2" t="s">
        <v>386</v>
      </c>
      <c r="E580" s="2" t="s">
        <v>383</v>
      </c>
      <c r="F580" s="21" t="n">
        <v>45845.3943194444</v>
      </c>
      <c r="G580" s="21" t="n">
        <v>45846.6870972222</v>
      </c>
      <c r="H580" s="10" t="n">
        <v>14.0266666666667</v>
      </c>
      <c r="I580" s="15" t="n">
        <v>45858</v>
      </c>
      <c r="J580" s="2" t="s">
        <v>629</v>
      </c>
    </row>
    <row r="581" customFormat="false" ht="15" hidden="false" customHeight="false" outlineLevel="0" collapsed="false">
      <c r="A581" s="2" t="s">
        <v>573</v>
      </c>
      <c r="B581" s="2" t="s">
        <v>80</v>
      </c>
      <c r="C581" s="4" t="n">
        <v>4</v>
      </c>
      <c r="D581" s="2" t="s">
        <v>390</v>
      </c>
      <c r="E581" s="2" t="s">
        <v>387</v>
      </c>
      <c r="F581" s="21" t="n">
        <v>45846.6870972222</v>
      </c>
      <c r="G581" s="21" t="n">
        <v>45848.5787638889</v>
      </c>
      <c r="H581" s="10" t="n">
        <v>13.4</v>
      </c>
      <c r="I581" s="15" t="n">
        <v>45858</v>
      </c>
      <c r="J581" s="2" t="s">
        <v>629</v>
      </c>
    </row>
    <row r="582" customFormat="false" ht="15" hidden="false" customHeight="false" outlineLevel="0" collapsed="false">
      <c r="A582" s="2" t="s">
        <v>573</v>
      </c>
      <c r="B582" s="2" t="s">
        <v>80</v>
      </c>
      <c r="C582" s="4" t="n">
        <v>5</v>
      </c>
      <c r="D582" s="2" t="s">
        <v>442</v>
      </c>
      <c r="E582" s="2" t="s">
        <v>391</v>
      </c>
      <c r="F582" s="21" t="n">
        <v>45848.5787638889</v>
      </c>
      <c r="G582" s="21" t="n">
        <v>45852.6337638889</v>
      </c>
      <c r="H582" s="10" t="n">
        <v>17.32</v>
      </c>
      <c r="I582" s="15" t="n">
        <v>45858</v>
      </c>
      <c r="J582" s="2" t="s">
        <v>629</v>
      </c>
    </row>
    <row r="583" customFormat="false" ht="15" hidden="false" customHeight="false" outlineLevel="0" collapsed="false">
      <c r="A583" s="2" t="s">
        <v>573</v>
      </c>
      <c r="B583" s="2" t="s">
        <v>80</v>
      </c>
      <c r="C583" s="4" t="n">
        <v>6</v>
      </c>
      <c r="D583" s="2" t="s">
        <v>443</v>
      </c>
      <c r="E583" s="2" t="s">
        <v>395</v>
      </c>
      <c r="F583" s="21" t="n">
        <v>45852.6337638889</v>
      </c>
      <c r="G583" s="21" t="n">
        <v>45853.6837638889</v>
      </c>
      <c r="H583" s="10" t="n">
        <v>9.2</v>
      </c>
      <c r="I583" s="15" t="n">
        <v>45858</v>
      </c>
      <c r="J583" s="2" t="s">
        <v>629</v>
      </c>
    </row>
    <row r="584" customFormat="false" ht="15" hidden="false" customHeight="false" outlineLevel="0" collapsed="false">
      <c r="A584" s="2" t="s">
        <v>573</v>
      </c>
      <c r="B584" s="2" t="s">
        <v>80</v>
      </c>
      <c r="C584" s="4" t="n">
        <v>7</v>
      </c>
      <c r="D584" s="2" t="s">
        <v>444</v>
      </c>
      <c r="E584" s="2" t="s">
        <v>399</v>
      </c>
      <c r="F584" s="21" t="n">
        <v>45853.6837638889</v>
      </c>
      <c r="G584" s="21" t="n">
        <v>45854.6271127778</v>
      </c>
      <c r="H584" s="10" t="n">
        <v>6.64037333333333</v>
      </c>
      <c r="I584" s="15" t="n">
        <v>45858</v>
      </c>
      <c r="J584" s="2" t="s">
        <v>629</v>
      </c>
    </row>
    <row r="585" customFormat="false" ht="15" hidden="false" customHeight="false" outlineLevel="0" collapsed="false">
      <c r="A585" s="2" t="s">
        <v>573</v>
      </c>
      <c r="B585" s="2" t="s">
        <v>80</v>
      </c>
      <c r="C585" s="4" t="n">
        <v>8</v>
      </c>
      <c r="D585" s="2" t="s">
        <v>445</v>
      </c>
      <c r="E585" s="2" t="s">
        <v>402</v>
      </c>
      <c r="F585" s="21" t="n">
        <v>45854.6271127778</v>
      </c>
      <c r="G585" s="21" t="n">
        <v>45855.3411822222</v>
      </c>
      <c r="H585" s="10" t="n">
        <v>2.13766666666667</v>
      </c>
      <c r="I585" s="15" t="n">
        <v>45858</v>
      </c>
      <c r="J585" s="2" t="s">
        <v>629</v>
      </c>
    </row>
    <row r="586" customFormat="false" ht="15" hidden="false" customHeight="false" outlineLevel="0" collapsed="false">
      <c r="A586" s="2" t="s">
        <v>573</v>
      </c>
      <c r="B586" s="2" t="s">
        <v>80</v>
      </c>
      <c r="C586" s="4" t="n">
        <v>9</v>
      </c>
      <c r="D586" s="2" t="s">
        <v>447</v>
      </c>
      <c r="E586" s="2" t="s">
        <v>421</v>
      </c>
      <c r="F586" s="21" t="n">
        <v>45855.3411822222</v>
      </c>
      <c r="G586" s="21" t="n">
        <v>45855.4036822222</v>
      </c>
      <c r="H586" s="10" t="n">
        <v>1.5</v>
      </c>
      <c r="I586" s="15" t="n">
        <v>45858</v>
      </c>
      <c r="J586" s="2" t="s">
        <v>629</v>
      </c>
    </row>
    <row r="587" customFormat="false" ht="15" hidden="false" customHeight="false" outlineLevel="0" collapsed="false">
      <c r="A587" s="2" t="s">
        <v>573</v>
      </c>
      <c r="B587" s="2" t="s">
        <v>80</v>
      </c>
      <c r="C587" s="4" t="n">
        <v>10</v>
      </c>
      <c r="D587" s="2" t="s">
        <v>449</v>
      </c>
      <c r="E587" s="2" t="s">
        <v>423</v>
      </c>
      <c r="F587" s="21" t="n">
        <v>45855.4036822222</v>
      </c>
      <c r="G587" s="21" t="n">
        <v>45855.4390780556</v>
      </c>
      <c r="H587" s="10" t="n">
        <v>0.8495</v>
      </c>
      <c r="I587" s="15" t="n">
        <v>45858</v>
      </c>
      <c r="J587" s="2" t="s">
        <v>629</v>
      </c>
    </row>
    <row r="588" customFormat="false" ht="15" hidden="false" customHeight="false" outlineLevel="0" collapsed="false">
      <c r="A588" s="2" t="s">
        <v>573</v>
      </c>
      <c r="B588" s="2" t="s">
        <v>80</v>
      </c>
      <c r="C588" s="4" t="n">
        <v>11</v>
      </c>
      <c r="D588" s="2" t="s">
        <v>450</v>
      </c>
      <c r="E588" s="2" t="s">
        <v>406</v>
      </c>
      <c r="F588" s="21" t="n">
        <v>45855.4390780556</v>
      </c>
      <c r="G588" s="21" t="n">
        <v>45856.6974113889</v>
      </c>
      <c r="H588" s="10" t="n">
        <v>13.2</v>
      </c>
      <c r="I588" s="15" t="n">
        <v>45858</v>
      </c>
      <c r="J588" s="2" t="s">
        <v>629</v>
      </c>
    </row>
    <row r="589" customFormat="false" ht="15" hidden="false" customHeight="false" outlineLevel="0" collapsed="false">
      <c r="A589" s="2" t="s">
        <v>573</v>
      </c>
      <c r="B589" s="2" t="s">
        <v>80</v>
      </c>
      <c r="C589" s="4" t="n">
        <v>12</v>
      </c>
      <c r="D589" s="2" t="s">
        <v>451</v>
      </c>
      <c r="E589" s="2" t="s">
        <v>408</v>
      </c>
      <c r="F589" s="21" t="n">
        <v>45856.6974113889</v>
      </c>
      <c r="G589" s="21" t="n">
        <v>45859.3600363889</v>
      </c>
      <c r="H589" s="10" t="n">
        <v>0.903</v>
      </c>
      <c r="I589" s="15" t="n">
        <v>45858</v>
      </c>
      <c r="J589" s="2" t="s">
        <v>629</v>
      </c>
    </row>
    <row r="590" customFormat="false" ht="15" hidden="false" customHeight="false" outlineLevel="0" collapsed="false">
      <c r="A590" s="2" t="s">
        <v>573</v>
      </c>
      <c r="B590" s="2" t="s">
        <v>80</v>
      </c>
      <c r="C590" s="4" t="n">
        <v>13</v>
      </c>
      <c r="D590" s="2" t="s">
        <v>452</v>
      </c>
      <c r="E590" s="2" t="s">
        <v>411</v>
      </c>
      <c r="F590" s="21" t="n">
        <v>45859.3600363889</v>
      </c>
      <c r="G590" s="21" t="n">
        <v>45859.4106613889</v>
      </c>
      <c r="H590" s="10" t="n">
        <v>1.215</v>
      </c>
      <c r="I590" s="15" t="n">
        <v>45858</v>
      </c>
      <c r="J590" s="2" t="s">
        <v>629</v>
      </c>
    </row>
    <row r="591" customFormat="false" ht="15" hidden="false" customHeight="false" outlineLevel="0" collapsed="false">
      <c r="A591" s="2" t="s">
        <v>575</v>
      </c>
      <c r="B591" s="2" t="s">
        <v>94</v>
      </c>
      <c r="C591" s="4" t="n">
        <v>1</v>
      </c>
      <c r="D591" s="2" t="s">
        <v>437</v>
      </c>
      <c r="E591" s="2" t="s">
        <v>375</v>
      </c>
      <c r="F591" s="21" t="n">
        <v>45841.6986527778</v>
      </c>
      <c r="G591" s="21" t="n">
        <v>45845.4979861111</v>
      </c>
      <c r="H591" s="10" t="n">
        <v>12.184</v>
      </c>
      <c r="I591" s="15" t="n">
        <v>45856</v>
      </c>
      <c r="J591" s="2" t="s">
        <v>629</v>
      </c>
    </row>
    <row r="592" customFormat="false" ht="15" hidden="false" customHeight="false" outlineLevel="0" collapsed="false">
      <c r="A592" s="2" t="s">
        <v>575</v>
      </c>
      <c r="B592" s="2" t="s">
        <v>94</v>
      </c>
      <c r="C592" s="4" t="n">
        <v>2</v>
      </c>
      <c r="D592" s="2" t="s">
        <v>441</v>
      </c>
      <c r="E592" s="2" t="s">
        <v>380</v>
      </c>
      <c r="F592" s="21" t="n">
        <v>45845.4979861111</v>
      </c>
      <c r="G592" s="21" t="n">
        <v>45845.5784305556</v>
      </c>
      <c r="H592" s="10" t="n">
        <v>0.930666666666667</v>
      </c>
      <c r="I592" s="15" t="n">
        <v>45856</v>
      </c>
      <c r="J592" s="2" t="s">
        <v>629</v>
      </c>
    </row>
    <row r="593" customFormat="false" ht="15" hidden="false" customHeight="false" outlineLevel="0" collapsed="false">
      <c r="A593" s="2" t="s">
        <v>575</v>
      </c>
      <c r="B593" s="2" t="s">
        <v>94</v>
      </c>
      <c r="C593" s="4" t="n">
        <v>3</v>
      </c>
      <c r="D593" s="2" t="s">
        <v>386</v>
      </c>
      <c r="E593" s="2" t="s">
        <v>383</v>
      </c>
      <c r="F593" s="21" t="n">
        <v>45846.6870972222</v>
      </c>
      <c r="G593" s="21" t="n">
        <v>45848.5662638889</v>
      </c>
      <c r="H593" s="10" t="n">
        <v>13.1</v>
      </c>
      <c r="I593" s="15" t="n">
        <v>45856</v>
      </c>
      <c r="J593" s="2" t="s">
        <v>629</v>
      </c>
    </row>
    <row r="594" customFormat="false" ht="15" hidden="false" customHeight="false" outlineLevel="0" collapsed="false">
      <c r="A594" s="2" t="s">
        <v>575</v>
      </c>
      <c r="B594" s="2" t="s">
        <v>94</v>
      </c>
      <c r="C594" s="4" t="n">
        <v>4</v>
      </c>
      <c r="D594" s="2" t="s">
        <v>390</v>
      </c>
      <c r="E594" s="2" t="s">
        <v>387</v>
      </c>
      <c r="F594" s="21" t="n">
        <v>45848.5787638889</v>
      </c>
      <c r="G594" s="21" t="n">
        <v>45853.6759861111</v>
      </c>
      <c r="H594" s="10" t="n">
        <v>26.3333333333333</v>
      </c>
      <c r="I594" s="15" t="n">
        <v>45856</v>
      </c>
      <c r="J594" s="2" t="s">
        <v>629</v>
      </c>
    </row>
    <row r="595" customFormat="false" ht="15" hidden="false" customHeight="false" outlineLevel="0" collapsed="false">
      <c r="A595" s="2" t="s">
        <v>575</v>
      </c>
      <c r="B595" s="2" t="s">
        <v>94</v>
      </c>
      <c r="C595" s="4" t="n">
        <v>5</v>
      </c>
      <c r="D595" s="2" t="s">
        <v>443</v>
      </c>
      <c r="E595" s="2" t="s">
        <v>395</v>
      </c>
      <c r="F595" s="21" t="n">
        <v>45853.6837638889</v>
      </c>
      <c r="G595" s="21" t="n">
        <v>45854.6358472222</v>
      </c>
      <c r="H595" s="10" t="n">
        <v>6.85</v>
      </c>
      <c r="I595" s="15" t="n">
        <v>45856</v>
      </c>
      <c r="J595" s="2" t="s">
        <v>629</v>
      </c>
    </row>
    <row r="596" customFormat="false" ht="15" hidden="false" customHeight="false" outlineLevel="0" collapsed="false">
      <c r="A596" s="2" t="s">
        <v>575</v>
      </c>
      <c r="B596" s="2" t="s">
        <v>94</v>
      </c>
      <c r="C596" s="4" t="n">
        <v>6</v>
      </c>
      <c r="D596" s="2" t="s">
        <v>444</v>
      </c>
      <c r="E596" s="2" t="s">
        <v>399</v>
      </c>
      <c r="F596" s="21" t="n">
        <v>45854.6358472222</v>
      </c>
      <c r="G596" s="21" t="n">
        <v>45855.4900983333</v>
      </c>
      <c r="H596" s="10" t="n">
        <v>5.50202666666667</v>
      </c>
      <c r="I596" s="15" t="n">
        <v>45856</v>
      </c>
      <c r="J596" s="2" t="s">
        <v>629</v>
      </c>
    </row>
    <row r="597" customFormat="false" ht="15" hidden="false" customHeight="false" outlineLevel="0" collapsed="false">
      <c r="A597" s="2" t="s">
        <v>575</v>
      </c>
      <c r="B597" s="2" t="s">
        <v>94</v>
      </c>
      <c r="C597" s="4" t="n">
        <v>7</v>
      </c>
      <c r="D597" s="2" t="s">
        <v>445</v>
      </c>
      <c r="E597" s="2" t="s">
        <v>402</v>
      </c>
      <c r="F597" s="21" t="n">
        <v>45855.4900983333</v>
      </c>
      <c r="G597" s="21" t="n">
        <v>45855.5832094444</v>
      </c>
      <c r="H597" s="10" t="n">
        <v>1.23466666666667</v>
      </c>
      <c r="I597" s="15" t="n">
        <v>45856</v>
      </c>
      <c r="J597" s="2" t="s">
        <v>629</v>
      </c>
    </row>
    <row r="598" customFormat="false" ht="15" hidden="false" customHeight="false" outlineLevel="0" collapsed="false">
      <c r="A598" s="2" t="s">
        <v>575</v>
      </c>
      <c r="B598" s="2" t="s">
        <v>94</v>
      </c>
      <c r="C598" s="4" t="n">
        <v>8</v>
      </c>
      <c r="D598" s="2" t="s">
        <v>447</v>
      </c>
      <c r="E598" s="2" t="s">
        <v>421</v>
      </c>
      <c r="F598" s="21" t="n">
        <v>45855.5832094444</v>
      </c>
      <c r="G598" s="21" t="n">
        <v>45855.6144594444</v>
      </c>
      <c r="H598" s="10" t="n">
        <v>0.75</v>
      </c>
      <c r="I598" s="15" t="n">
        <v>45856</v>
      </c>
      <c r="J598" s="2" t="s">
        <v>629</v>
      </c>
    </row>
    <row r="599" customFormat="false" ht="15" hidden="false" customHeight="false" outlineLevel="0" collapsed="false">
      <c r="A599" s="2" t="s">
        <v>575</v>
      </c>
      <c r="B599" s="2" t="s">
        <v>94</v>
      </c>
      <c r="C599" s="4" t="n">
        <v>9</v>
      </c>
      <c r="D599" s="2" t="s">
        <v>449</v>
      </c>
      <c r="E599" s="2" t="s">
        <v>423</v>
      </c>
      <c r="F599" s="21" t="n">
        <v>45855.6144594444</v>
      </c>
      <c r="G599" s="21" t="n">
        <v>45855.6346261111</v>
      </c>
      <c r="H599" s="10" t="n">
        <v>0.484</v>
      </c>
      <c r="I599" s="15" t="n">
        <v>45856</v>
      </c>
      <c r="J599" s="2" t="s">
        <v>629</v>
      </c>
    </row>
    <row r="600" customFormat="false" ht="15" hidden="false" customHeight="false" outlineLevel="0" collapsed="false">
      <c r="A600" s="2" t="s">
        <v>575</v>
      </c>
      <c r="B600" s="2" t="s">
        <v>94</v>
      </c>
      <c r="C600" s="4" t="n">
        <v>10</v>
      </c>
      <c r="D600" s="2" t="s">
        <v>450</v>
      </c>
      <c r="E600" s="2" t="s">
        <v>406</v>
      </c>
      <c r="F600" s="21" t="n">
        <v>45856.6974113889</v>
      </c>
      <c r="G600" s="21" t="n">
        <v>45860.3765780556</v>
      </c>
      <c r="H600" s="10" t="n">
        <v>9.3</v>
      </c>
      <c r="I600" s="15" t="n">
        <v>45856</v>
      </c>
      <c r="J600" s="2" t="s">
        <v>629</v>
      </c>
    </row>
    <row r="601" customFormat="false" ht="15" hidden="false" customHeight="false" outlineLevel="0" collapsed="false">
      <c r="A601" s="2" t="s">
        <v>575</v>
      </c>
      <c r="B601" s="2" t="s">
        <v>94</v>
      </c>
      <c r="C601" s="4" t="n">
        <v>11</v>
      </c>
      <c r="D601" s="2" t="s">
        <v>451</v>
      </c>
      <c r="E601" s="2" t="s">
        <v>408</v>
      </c>
      <c r="F601" s="21" t="n">
        <v>45860.3765780556</v>
      </c>
      <c r="G601" s="21" t="n">
        <v>45860.3990225</v>
      </c>
      <c r="H601" s="10" t="n">
        <v>0.538666666666667</v>
      </c>
      <c r="I601" s="15" t="n">
        <v>45856</v>
      </c>
      <c r="J601" s="2" t="s">
        <v>629</v>
      </c>
    </row>
    <row r="602" customFormat="false" ht="15" hidden="false" customHeight="false" outlineLevel="0" collapsed="false">
      <c r="A602" s="2" t="s">
        <v>575</v>
      </c>
      <c r="B602" s="2" t="s">
        <v>94</v>
      </c>
      <c r="C602" s="4" t="n">
        <v>12</v>
      </c>
      <c r="D602" s="2" t="s">
        <v>452</v>
      </c>
      <c r="E602" s="2" t="s">
        <v>411</v>
      </c>
      <c r="F602" s="21" t="n">
        <v>45860.3990225</v>
      </c>
      <c r="G602" s="21" t="n">
        <v>45860.4291891667</v>
      </c>
      <c r="H602" s="10" t="n">
        <v>0.724</v>
      </c>
      <c r="I602" s="15" t="n">
        <v>45856</v>
      </c>
      <c r="J602" s="2" t="s">
        <v>629</v>
      </c>
    </row>
    <row r="603" customFormat="false" ht="15" hidden="false" customHeight="false" outlineLevel="0" collapsed="false">
      <c r="A603" s="2" t="s">
        <v>577</v>
      </c>
      <c r="B603" s="2" t="s">
        <v>106</v>
      </c>
      <c r="C603" s="4" t="n">
        <v>1</v>
      </c>
      <c r="D603" s="2" t="s">
        <v>437</v>
      </c>
      <c r="E603" s="2" t="s">
        <v>375</v>
      </c>
      <c r="F603" s="21" t="n">
        <v>45845.4979861111</v>
      </c>
      <c r="G603" s="21" t="n">
        <v>45846.3378958333</v>
      </c>
      <c r="H603" s="10" t="n">
        <v>4.15783333333333</v>
      </c>
      <c r="I603" s="15" t="n">
        <v>45855</v>
      </c>
      <c r="J603" s="2" t="s">
        <v>629</v>
      </c>
    </row>
    <row r="604" customFormat="false" ht="15" hidden="false" customHeight="false" outlineLevel="0" collapsed="false">
      <c r="A604" s="2" t="s">
        <v>577</v>
      </c>
      <c r="B604" s="2" t="s">
        <v>106</v>
      </c>
      <c r="C604" s="4" t="n">
        <v>2</v>
      </c>
      <c r="D604" s="2" t="s">
        <v>386</v>
      </c>
      <c r="E604" s="2" t="s">
        <v>383</v>
      </c>
      <c r="F604" s="21" t="n">
        <v>45848.5662638889</v>
      </c>
      <c r="G604" s="21" t="n">
        <v>45848.634875</v>
      </c>
      <c r="H604" s="10" t="n">
        <v>1.64666666666667</v>
      </c>
      <c r="I604" s="15" t="n">
        <v>45855</v>
      </c>
      <c r="J604" s="2" t="s">
        <v>629</v>
      </c>
    </row>
    <row r="605" customFormat="false" ht="15" hidden="false" customHeight="false" outlineLevel="0" collapsed="false">
      <c r="A605" s="2" t="s">
        <v>577</v>
      </c>
      <c r="B605" s="2" t="s">
        <v>106</v>
      </c>
      <c r="C605" s="4" t="n">
        <v>3</v>
      </c>
      <c r="D605" s="2" t="s">
        <v>390</v>
      </c>
      <c r="E605" s="2" t="s">
        <v>387</v>
      </c>
      <c r="F605" s="21" t="n">
        <v>45853.6759861111</v>
      </c>
      <c r="G605" s="21" t="n">
        <v>45855.4093194444</v>
      </c>
      <c r="H605" s="10" t="n">
        <v>10.6</v>
      </c>
      <c r="I605" s="15" t="n">
        <v>45855</v>
      </c>
      <c r="J605" s="2" t="s">
        <v>629</v>
      </c>
    </row>
    <row r="606" customFormat="false" ht="15" hidden="false" customHeight="false" outlineLevel="0" collapsed="false">
      <c r="A606" s="2" t="s">
        <v>577</v>
      </c>
      <c r="B606" s="2" t="s">
        <v>106</v>
      </c>
      <c r="C606" s="4" t="n">
        <v>4</v>
      </c>
      <c r="D606" s="2" t="s">
        <v>443</v>
      </c>
      <c r="E606" s="2" t="s">
        <v>395</v>
      </c>
      <c r="F606" s="21" t="n">
        <v>45855.4093194444</v>
      </c>
      <c r="G606" s="21" t="n">
        <v>45855.4864027778</v>
      </c>
      <c r="H606" s="10" t="n">
        <v>1.85</v>
      </c>
      <c r="I606" s="15" t="n">
        <v>45855</v>
      </c>
      <c r="J606" s="2" t="s">
        <v>629</v>
      </c>
    </row>
    <row r="607" customFormat="false" ht="15" hidden="false" customHeight="false" outlineLevel="0" collapsed="false">
      <c r="A607" s="2" t="s">
        <v>577</v>
      </c>
      <c r="B607" s="2" t="s">
        <v>106</v>
      </c>
      <c r="C607" s="4" t="n">
        <v>5</v>
      </c>
      <c r="D607" s="2" t="s">
        <v>444</v>
      </c>
      <c r="E607" s="2" t="s">
        <v>399</v>
      </c>
      <c r="F607" s="21" t="n">
        <v>45855.4900983333</v>
      </c>
      <c r="G607" s="21" t="n">
        <v>45855.645615</v>
      </c>
      <c r="H607" s="10" t="n">
        <v>2.7324</v>
      </c>
      <c r="I607" s="15" t="n">
        <v>45855</v>
      </c>
      <c r="J607" s="2" t="s">
        <v>629</v>
      </c>
    </row>
    <row r="608" customFormat="false" ht="15" hidden="false" customHeight="false" outlineLevel="0" collapsed="false">
      <c r="A608" s="2" t="s">
        <v>577</v>
      </c>
      <c r="B608" s="2" t="s">
        <v>106</v>
      </c>
      <c r="C608" s="4" t="n">
        <v>6</v>
      </c>
      <c r="D608" s="2" t="s">
        <v>445</v>
      </c>
      <c r="E608" s="2" t="s">
        <v>402</v>
      </c>
      <c r="F608" s="21" t="n">
        <v>45855.645615</v>
      </c>
      <c r="G608" s="21" t="n">
        <v>45855.6824066667</v>
      </c>
      <c r="H608" s="10" t="n">
        <v>0.883</v>
      </c>
      <c r="I608" s="15" t="n">
        <v>45855</v>
      </c>
      <c r="J608" s="2" t="s">
        <v>629</v>
      </c>
    </row>
    <row r="609" customFormat="false" ht="15" hidden="false" customHeight="false" outlineLevel="0" collapsed="false">
      <c r="A609" s="2" t="s">
        <v>577</v>
      </c>
      <c r="B609" s="2" t="s">
        <v>106</v>
      </c>
      <c r="C609" s="4" t="n">
        <v>7</v>
      </c>
      <c r="D609" s="2" t="s">
        <v>447</v>
      </c>
      <c r="E609" s="2" t="s">
        <v>421</v>
      </c>
      <c r="F609" s="21" t="n">
        <v>45855.6824066667</v>
      </c>
      <c r="G609" s="21" t="n">
        <v>45856.3386566667</v>
      </c>
      <c r="H609" s="10" t="n">
        <v>0.75</v>
      </c>
      <c r="I609" s="15" t="n">
        <v>45855</v>
      </c>
      <c r="J609" s="2" t="s">
        <v>629</v>
      </c>
    </row>
    <row r="610" customFormat="false" ht="15" hidden="false" customHeight="false" outlineLevel="0" collapsed="false">
      <c r="A610" s="2" t="s">
        <v>577</v>
      </c>
      <c r="B610" s="2" t="s">
        <v>106</v>
      </c>
      <c r="C610" s="4" t="n">
        <v>8</v>
      </c>
      <c r="D610" s="2" t="s">
        <v>449</v>
      </c>
      <c r="E610" s="2" t="s">
        <v>423</v>
      </c>
      <c r="F610" s="21" t="n">
        <v>45856.3386566667</v>
      </c>
      <c r="G610" s="21" t="n">
        <v>45856.3542955556</v>
      </c>
      <c r="H610" s="10" t="n">
        <v>0.375333333333333</v>
      </c>
      <c r="I610" s="15" t="n">
        <v>45855</v>
      </c>
      <c r="J610" s="2" t="s">
        <v>629</v>
      </c>
    </row>
    <row r="611" customFormat="false" ht="15" hidden="false" customHeight="false" outlineLevel="0" collapsed="false">
      <c r="A611" s="2" t="s">
        <v>577</v>
      </c>
      <c r="B611" s="2" t="s">
        <v>106</v>
      </c>
      <c r="C611" s="4" t="n">
        <v>9</v>
      </c>
      <c r="D611" s="2" t="s">
        <v>450</v>
      </c>
      <c r="E611" s="2" t="s">
        <v>406</v>
      </c>
      <c r="F611" s="21" t="n">
        <v>45860.3765780556</v>
      </c>
      <c r="G611" s="21" t="n">
        <v>45860.5974113889</v>
      </c>
      <c r="H611" s="10" t="n">
        <v>4.3</v>
      </c>
      <c r="I611" s="15" t="n">
        <v>45855</v>
      </c>
      <c r="J611" s="2" t="s">
        <v>629</v>
      </c>
    </row>
    <row r="612" customFormat="false" ht="15" hidden="false" customHeight="false" outlineLevel="0" collapsed="false">
      <c r="A612" s="2" t="s">
        <v>577</v>
      </c>
      <c r="B612" s="2" t="s">
        <v>106</v>
      </c>
      <c r="C612" s="4" t="n">
        <v>10</v>
      </c>
      <c r="D612" s="2" t="s">
        <v>451</v>
      </c>
      <c r="E612" s="2" t="s">
        <v>408</v>
      </c>
      <c r="F612" s="21" t="n">
        <v>45860.5974113889</v>
      </c>
      <c r="G612" s="21" t="n">
        <v>45860.6134669444</v>
      </c>
      <c r="H612" s="10" t="n">
        <v>0.385333333333333</v>
      </c>
      <c r="I612" s="15" t="n">
        <v>45855</v>
      </c>
      <c r="J612" s="2" t="s">
        <v>629</v>
      </c>
    </row>
    <row r="613" customFormat="false" ht="15" hidden="false" customHeight="false" outlineLevel="0" collapsed="false">
      <c r="A613" s="2" t="s">
        <v>577</v>
      </c>
      <c r="B613" s="2" t="s">
        <v>106</v>
      </c>
      <c r="C613" s="4" t="n">
        <v>11</v>
      </c>
      <c r="D613" s="2" t="s">
        <v>452</v>
      </c>
      <c r="E613" s="2" t="s">
        <v>411</v>
      </c>
      <c r="F613" s="21" t="n">
        <v>45860.6134669444</v>
      </c>
      <c r="G613" s="21" t="n">
        <v>45860.6347725</v>
      </c>
      <c r="H613" s="10" t="n">
        <v>0.511333333333333</v>
      </c>
      <c r="I613" s="15" t="n">
        <v>45855</v>
      </c>
      <c r="J613" s="2" t="s">
        <v>629</v>
      </c>
    </row>
    <row r="614" customFormat="false" ht="15" hidden="false" customHeight="false" outlineLevel="0" collapsed="false">
      <c r="A614" s="2" t="s">
        <v>579</v>
      </c>
      <c r="B614" s="2" t="s">
        <v>119</v>
      </c>
      <c r="C614" s="4" t="n">
        <v>1</v>
      </c>
      <c r="D614" s="2" t="s">
        <v>437</v>
      </c>
      <c r="E614" s="2" t="s">
        <v>375</v>
      </c>
      <c r="F614" s="21" t="n">
        <v>45846.3378958333</v>
      </c>
      <c r="G614" s="21" t="n">
        <v>45846.6623125</v>
      </c>
      <c r="H614" s="10" t="n">
        <v>6.786</v>
      </c>
      <c r="I614" s="15" t="n">
        <v>45856</v>
      </c>
      <c r="J614" s="2" t="s">
        <v>629</v>
      </c>
    </row>
    <row r="615" customFormat="false" ht="15" hidden="false" customHeight="false" outlineLevel="0" collapsed="false">
      <c r="A615" s="2" t="s">
        <v>579</v>
      </c>
      <c r="B615" s="2" t="s">
        <v>119</v>
      </c>
      <c r="C615" s="4" t="n">
        <v>2</v>
      </c>
      <c r="D615" s="2" t="s">
        <v>386</v>
      </c>
      <c r="E615" s="2" t="s">
        <v>383</v>
      </c>
      <c r="F615" s="21" t="n">
        <v>45848.634875</v>
      </c>
      <c r="G615" s="21" t="n">
        <v>45848.6930694445</v>
      </c>
      <c r="H615" s="10" t="n">
        <v>1.39666666666667</v>
      </c>
      <c r="I615" s="15" t="n">
        <v>45856</v>
      </c>
      <c r="J615" s="2" t="s">
        <v>629</v>
      </c>
    </row>
    <row r="616" customFormat="false" ht="15" hidden="false" customHeight="false" outlineLevel="0" collapsed="false">
      <c r="A616" s="2" t="s">
        <v>579</v>
      </c>
      <c r="B616" s="2" t="s">
        <v>119</v>
      </c>
      <c r="C616" s="4" t="n">
        <v>3</v>
      </c>
      <c r="D616" s="2" t="s">
        <v>390</v>
      </c>
      <c r="E616" s="2" t="s">
        <v>387</v>
      </c>
      <c r="F616" s="21" t="n">
        <v>45855.4093194444</v>
      </c>
      <c r="G616" s="21" t="n">
        <v>45859.4162638889</v>
      </c>
      <c r="H616" s="10" t="n">
        <v>16.1666666666667</v>
      </c>
      <c r="I616" s="15" t="n">
        <v>45856</v>
      </c>
      <c r="J616" s="2" t="s">
        <v>629</v>
      </c>
    </row>
    <row r="617" customFormat="false" ht="15" hidden="false" customHeight="false" outlineLevel="0" collapsed="false">
      <c r="A617" s="2" t="s">
        <v>579</v>
      </c>
      <c r="B617" s="2" t="s">
        <v>119</v>
      </c>
      <c r="C617" s="4" t="n">
        <v>4</v>
      </c>
      <c r="D617" s="2" t="s">
        <v>443</v>
      </c>
      <c r="E617" s="2" t="s">
        <v>395</v>
      </c>
      <c r="F617" s="21" t="n">
        <v>45859.4162638889</v>
      </c>
      <c r="G617" s="21" t="n">
        <v>45859.5766805556</v>
      </c>
      <c r="H617" s="10" t="n">
        <v>2.85</v>
      </c>
      <c r="I617" s="15" t="n">
        <v>45856</v>
      </c>
      <c r="J617" s="2" t="s">
        <v>629</v>
      </c>
    </row>
    <row r="618" customFormat="false" ht="15" hidden="false" customHeight="false" outlineLevel="0" collapsed="false">
      <c r="A618" s="2" t="s">
        <v>579</v>
      </c>
      <c r="B618" s="2" t="s">
        <v>119</v>
      </c>
      <c r="C618" s="4" t="n">
        <v>5</v>
      </c>
      <c r="D618" s="2" t="s">
        <v>444</v>
      </c>
      <c r="E618" s="2" t="s">
        <v>399</v>
      </c>
      <c r="F618" s="21" t="n">
        <v>45859.5766805556</v>
      </c>
      <c r="G618" s="21" t="n">
        <v>45860.406425</v>
      </c>
      <c r="H618" s="10" t="n">
        <v>4.91386666666667</v>
      </c>
      <c r="I618" s="15" t="n">
        <v>45856</v>
      </c>
      <c r="J618" s="2" t="s">
        <v>629</v>
      </c>
    </row>
    <row r="619" customFormat="false" ht="15" hidden="false" customHeight="false" outlineLevel="0" collapsed="false">
      <c r="A619" s="2" t="s">
        <v>579</v>
      </c>
      <c r="B619" s="2" t="s">
        <v>119</v>
      </c>
      <c r="C619" s="4" t="n">
        <v>6</v>
      </c>
      <c r="D619" s="2" t="s">
        <v>445</v>
      </c>
      <c r="E619" s="2" t="s">
        <v>402</v>
      </c>
      <c r="F619" s="21" t="n">
        <v>45860.406425</v>
      </c>
      <c r="G619" s="21" t="n">
        <v>45860.4733555556</v>
      </c>
      <c r="H619" s="10" t="n">
        <v>1.60633333333333</v>
      </c>
      <c r="I619" s="15" t="n">
        <v>45856</v>
      </c>
      <c r="J619" s="2" t="s">
        <v>629</v>
      </c>
    </row>
    <row r="620" customFormat="false" ht="15" hidden="false" customHeight="false" outlineLevel="0" collapsed="false">
      <c r="A620" s="2" t="s">
        <v>579</v>
      </c>
      <c r="B620" s="2" t="s">
        <v>119</v>
      </c>
      <c r="C620" s="4" t="n">
        <v>7</v>
      </c>
      <c r="D620" s="2" t="s">
        <v>447</v>
      </c>
      <c r="E620" s="2" t="s">
        <v>421</v>
      </c>
      <c r="F620" s="21" t="n">
        <v>45860.4733555556</v>
      </c>
      <c r="G620" s="21" t="n">
        <v>45860.5775222222</v>
      </c>
      <c r="H620" s="10" t="n">
        <v>1.5</v>
      </c>
      <c r="I620" s="15" t="n">
        <v>45856</v>
      </c>
      <c r="J620" s="2" t="s">
        <v>629</v>
      </c>
    </row>
    <row r="621" customFormat="false" ht="15" hidden="false" customHeight="false" outlineLevel="0" collapsed="false">
      <c r="A621" s="2" t="s">
        <v>579</v>
      </c>
      <c r="B621" s="2" t="s">
        <v>119</v>
      </c>
      <c r="C621" s="4" t="n">
        <v>8</v>
      </c>
      <c r="D621" s="2" t="s">
        <v>449</v>
      </c>
      <c r="E621" s="2" t="s">
        <v>423</v>
      </c>
      <c r="F621" s="21" t="n">
        <v>45860.5775222222</v>
      </c>
      <c r="G621" s="21" t="n">
        <v>45860.6066611111</v>
      </c>
      <c r="H621" s="10" t="n">
        <v>0.699333333333333</v>
      </c>
      <c r="I621" s="15" t="n">
        <v>45856</v>
      </c>
      <c r="J621" s="2" t="s">
        <v>629</v>
      </c>
    </row>
    <row r="622" customFormat="false" ht="15" hidden="false" customHeight="false" outlineLevel="0" collapsed="false">
      <c r="A622" s="2" t="s">
        <v>579</v>
      </c>
      <c r="B622" s="2" t="s">
        <v>119</v>
      </c>
      <c r="C622" s="4" t="n">
        <v>9</v>
      </c>
      <c r="D622" s="2" t="s">
        <v>450</v>
      </c>
      <c r="E622" s="2" t="s">
        <v>406</v>
      </c>
      <c r="F622" s="21" t="n">
        <v>45860.6066611111</v>
      </c>
      <c r="G622" s="21" t="n">
        <v>45861.4462444444</v>
      </c>
      <c r="H622" s="10" t="n">
        <v>5.15</v>
      </c>
      <c r="I622" s="15" t="n">
        <v>45856</v>
      </c>
      <c r="J622" s="2" t="s">
        <v>629</v>
      </c>
    </row>
    <row r="623" customFormat="false" ht="15" hidden="false" customHeight="false" outlineLevel="0" collapsed="false">
      <c r="A623" s="2" t="s">
        <v>579</v>
      </c>
      <c r="B623" s="2" t="s">
        <v>119</v>
      </c>
      <c r="C623" s="4" t="n">
        <v>10</v>
      </c>
      <c r="D623" s="2" t="s">
        <v>451</v>
      </c>
      <c r="E623" s="2" t="s">
        <v>408</v>
      </c>
      <c r="F623" s="21" t="n">
        <v>45861.4462444444</v>
      </c>
      <c r="G623" s="21" t="n">
        <v>45861.4753763889</v>
      </c>
      <c r="H623" s="10" t="n">
        <v>0.699166666666667</v>
      </c>
      <c r="I623" s="15" t="n">
        <v>45856</v>
      </c>
      <c r="J623" s="2" t="s">
        <v>629</v>
      </c>
    </row>
    <row r="624" customFormat="false" ht="15" hidden="false" customHeight="false" outlineLevel="0" collapsed="false">
      <c r="A624" s="2" t="s">
        <v>579</v>
      </c>
      <c r="B624" s="2" t="s">
        <v>119</v>
      </c>
      <c r="C624" s="4" t="n">
        <v>11</v>
      </c>
      <c r="D624" s="2" t="s">
        <v>452</v>
      </c>
      <c r="E624" s="2" t="s">
        <v>411</v>
      </c>
      <c r="F624" s="21" t="n">
        <v>45861.4753763889</v>
      </c>
      <c r="G624" s="21" t="n">
        <v>45861.5554944444</v>
      </c>
      <c r="H624" s="10" t="n">
        <v>0.922833333333333</v>
      </c>
      <c r="I624" s="15" t="n">
        <v>45856</v>
      </c>
      <c r="J624" s="2" t="s">
        <v>629</v>
      </c>
    </row>
    <row r="625" customFormat="false" ht="15" hidden="false" customHeight="false" outlineLevel="0" collapsed="false">
      <c r="A625" s="2" t="s">
        <v>574</v>
      </c>
      <c r="B625" s="2" t="s">
        <v>83</v>
      </c>
      <c r="C625" s="4" t="n">
        <v>1</v>
      </c>
      <c r="D625" s="2" t="s">
        <v>437</v>
      </c>
      <c r="E625" s="2" t="s">
        <v>375</v>
      </c>
      <c r="F625" s="21" t="n">
        <v>45854.3333333333</v>
      </c>
      <c r="G625" s="21" t="n">
        <v>45855.367625</v>
      </c>
      <c r="H625" s="10" t="n">
        <v>8.823</v>
      </c>
      <c r="I625" s="15" t="n">
        <v>45872</v>
      </c>
      <c r="J625" s="2" t="s">
        <v>629</v>
      </c>
    </row>
    <row r="626" customFormat="false" ht="15" hidden="false" customHeight="false" outlineLevel="0" collapsed="false">
      <c r="A626" s="2" t="s">
        <v>574</v>
      </c>
      <c r="B626" s="2" t="s">
        <v>83</v>
      </c>
      <c r="C626" s="4" t="n">
        <v>2</v>
      </c>
      <c r="D626" s="2" t="s">
        <v>441</v>
      </c>
      <c r="E626" s="2" t="s">
        <v>380</v>
      </c>
      <c r="F626" s="21" t="n">
        <v>45855.367625</v>
      </c>
      <c r="G626" s="21" t="n">
        <v>45856.592625</v>
      </c>
      <c r="H626" s="10" t="n">
        <v>12.4</v>
      </c>
      <c r="I626" s="15" t="n">
        <v>45872</v>
      </c>
      <c r="J626" s="2" t="s">
        <v>629</v>
      </c>
    </row>
    <row r="627" customFormat="false" ht="15" hidden="false" customHeight="false" outlineLevel="0" collapsed="false">
      <c r="A627" s="2" t="s">
        <v>574</v>
      </c>
      <c r="B627" s="2" t="s">
        <v>83</v>
      </c>
      <c r="C627" s="4" t="n">
        <v>3</v>
      </c>
      <c r="D627" s="2" t="s">
        <v>386</v>
      </c>
      <c r="E627" s="2" t="s">
        <v>383</v>
      </c>
      <c r="F627" s="21" t="n">
        <v>45856.592625</v>
      </c>
      <c r="G627" s="21" t="n">
        <v>45861.3630416667</v>
      </c>
      <c r="H627" s="10" t="n">
        <v>19.49</v>
      </c>
      <c r="I627" s="15" t="n">
        <v>45872</v>
      </c>
      <c r="J627" s="2" t="s">
        <v>629</v>
      </c>
    </row>
    <row r="628" customFormat="false" ht="15" hidden="false" customHeight="false" outlineLevel="0" collapsed="false">
      <c r="A628" s="2" t="s">
        <v>574</v>
      </c>
      <c r="B628" s="2" t="s">
        <v>83</v>
      </c>
      <c r="C628" s="4" t="n">
        <v>4</v>
      </c>
      <c r="D628" s="2" t="s">
        <v>390</v>
      </c>
      <c r="E628" s="2" t="s">
        <v>387</v>
      </c>
      <c r="F628" s="21" t="n">
        <v>45861.3630416667</v>
      </c>
      <c r="G628" s="21" t="n">
        <v>45863.383875</v>
      </c>
      <c r="H628" s="10" t="n">
        <v>16.5</v>
      </c>
      <c r="I628" s="15" t="n">
        <v>45872</v>
      </c>
      <c r="J628" s="2" t="s">
        <v>629</v>
      </c>
    </row>
    <row r="629" customFormat="false" ht="15" hidden="false" customHeight="false" outlineLevel="0" collapsed="false">
      <c r="A629" s="2" t="s">
        <v>574</v>
      </c>
      <c r="B629" s="2" t="s">
        <v>83</v>
      </c>
      <c r="C629" s="4" t="n">
        <v>5</v>
      </c>
      <c r="D629" s="2" t="s">
        <v>442</v>
      </c>
      <c r="E629" s="2" t="s">
        <v>391</v>
      </c>
      <c r="F629" s="21" t="n">
        <v>45863.383875</v>
      </c>
      <c r="G629" s="21" t="n">
        <v>45867.4933194445</v>
      </c>
      <c r="H629" s="10" t="n">
        <v>18.6266666666667</v>
      </c>
      <c r="I629" s="15" t="n">
        <v>45872</v>
      </c>
      <c r="J629" s="2" t="s">
        <v>629</v>
      </c>
    </row>
    <row r="630" customFormat="false" ht="15" hidden="false" customHeight="false" outlineLevel="0" collapsed="false">
      <c r="A630" s="2" t="s">
        <v>574</v>
      </c>
      <c r="B630" s="2" t="s">
        <v>83</v>
      </c>
      <c r="C630" s="4" t="n">
        <v>6</v>
      </c>
      <c r="D630" s="2" t="s">
        <v>443</v>
      </c>
      <c r="E630" s="2" t="s">
        <v>395</v>
      </c>
      <c r="F630" s="21" t="n">
        <v>45867.4933194445</v>
      </c>
      <c r="G630" s="21" t="n">
        <v>45868.6870694444</v>
      </c>
      <c r="H630" s="10" t="n">
        <v>11.65</v>
      </c>
      <c r="I630" s="15" t="n">
        <v>45872</v>
      </c>
      <c r="J630" s="2" t="s">
        <v>629</v>
      </c>
    </row>
    <row r="631" customFormat="false" ht="15" hidden="false" customHeight="false" outlineLevel="0" collapsed="false">
      <c r="A631" s="2" t="s">
        <v>574</v>
      </c>
      <c r="B631" s="2" t="s">
        <v>83</v>
      </c>
      <c r="C631" s="4" t="n">
        <v>7</v>
      </c>
      <c r="D631" s="2" t="s">
        <v>444</v>
      </c>
      <c r="E631" s="2" t="s">
        <v>399</v>
      </c>
      <c r="F631" s="21" t="n">
        <v>45868.6870694444</v>
      </c>
      <c r="G631" s="21" t="n">
        <v>45869.6738027778</v>
      </c>
      <c r="H631" s="10" t="n">
        <v>7.6816</v>
      </c>
      <c r="I631" s="15" t="n">
        <v>45872</v>
      </c>
      <c r="J631" s="2" t="s">
        <v>629</v>
      </c>
    </row>
    <row r="632" customFormat="false" ht="15" hidden="false" customHeight="false" outlineLevel="0" collapsed="false">
      <c r="A632" s="2" t="s">
        <v>574</v>
      </c>
      <c r="B632" s="2" t="s">
        <v>83</v>
      </c>
      <c r="C632" s="4" t="n">
        <v>8</v>
      </c>
      <c r="D632" s="2" t="s">
        <v>445</v>
      </c>
      <c r="E632" s="2" t="s">
        <v>402</v>
      </c>
      <c r="F632" s="21" t="n">
        <v>45869.6738027778</v>
      </c>
      <c r="G632" s="21" t="n">
        <v>45870.3934416667</v>
      </c>
      <c r="H632" s="10" t="n">
        <v>2.27133333333333</v>
      </c>
      <c r="I632" s="15" t="n">
        <v>45872</v>
      </c>
      <c r="J632" s="2" t="s">
        <v>629</v>
      </c>
    </row>
    <row r="633" customFormat="false" ht="15" hidden="false" customHeight="false" outlineLevel="0" collapsed="false">
      <c r="A633" s="2" t="s">
        <v>574</v>
      </c>
      <c r="B633" s="2" t="s">
        <v>83</v>
      </c>
      <c r="C633" s="4" t="n">
        <v>9</v>
      </c>
      <c r="D633" s="2" t="s">
        <v>447</v>
      </c>
      <c r="E633" s="2" t="s">
        <v>421</v>
      </c>
      <c r="F633" s="21" t="n">
        <v>45870.3934416667</v>
      </c>
      <c r="G633" s="21" t="n">
        <v>45870.4559416667</v>
      </c>
      <c r="H633" s="10" t="n">
        <v>1.5</v>
      </c>
      <c r="I633" s="15" t="n">
        <v>45872</v>
      </c>
      <c r="J633" s="2" t="s">
        <v>629</v>
      </c>
    </row>
    <row r="634" customFormat="false" ht="15" hidden="false" customHeight="false" outlineLevel="0" collapsed="false">
      <c r="A634" s="2" t="s">
        <v>574</v>
      </c>
      <c r="B634" s="2" t="s">
        <v>83</v>
      </c>
      <c r="C634" s="4" t="n">
        <v>10</v>
      </c>
      <c r="D634" s="2" t="s">
        <v>449</v>
      </c>
      <c r="E634" s="2" t="s">
        <v>423</v>
      </c>
      <c r="F634" s="21" t="n">
        <v>45870.4559416667</v>
      </c>
      <c r="G634" s="21" t="n">
        <v>45870.4932055556</v>
      </c>
      <c r="H634" s="10" t="n">
        <v>0.894333333333333</v>
      </c>
      <c r="I634" s="15" t="n">
        <v>45872</v>
      </c>
      <c r="J634" s="2" t="s">
        <v>629</v>
      </c>
    </row>
    <row r="635" customFormat="false" ht="15" hidden="false" customHeight="false" outlineLevel="0" collapsed="false">
      <c r="A635" s="2" t="s">
        <v>574</v>
      </c>
      <c r="B635" s="2" t="s">
        <v>83</v>
      </c>
      <c r="C635" s="4" t="n">
        <v>11</v>
      </c>
      <c r="D635" s="2" t="s">
        <v>450</v>
      </c>
      <c r="E635" s="2" t="s">
        <v>406</v>
      </c>
      <c r="F635" s="21" t="n">
        <v>45870.4932055556</v>
      </c>
      <c r="G635" s="21" t="n">
        <v>45874.4400805556</v>
      </c>
      <c r="H635" s="10" t="n">
        <v>14.725</v>
      </c>
      <c r="I635" s="15" t="n">
        <v>45872</v>
      </c>
      <c r="J635" s="2" t="s">
        <v>629</v>
      </c>
    </row>
    <row r="636" customFormat="false" ht="15" hidden="false" customHeight="false" outlineLevel="0" collapsed="false">
      <c r="A636" s="2" t="s">
        <v>574</v>
      </c>
      <c r="B636" s="2" t="s">
        <v>83</v>
      </c>
      <c r="C636" s="4" t="n">
        <v>12</v>
      </c>
      <c r="D636" s="2" t="s">
        <v>451</v>
      </c>
      <c r="E636" s="2" t="s">
        <v>408</v>
      </c>
      <c r="F636" s="21" t="n">
        <v>45874.4400805556</v>
      </c>
      <c r="G636" s="21" t="n">
        <v>45874.4803861111</v>
      </c>
      <c r="H636" s="10" t="n">
        <v>0.967333333333333</v>
      </c>
      <c r="I636" s="15" t="n">
        <v>45872</v>
      </c>
      <c r="J636" s="2" t="s">
        <v>629</v>
      </c>
    </row>
    <row r="637" customFormat="false" ht="15" hidden="false" customHeight="false" outlineLevel="0" collapsed="false">
      <c r="A637" s="2" t="s">
        <v>574</v>
      </c>
      <c r="B637" s="2" t="s">
        <v>83</v>
      </c>
      <c r="C637" s="4" t="n">
        <v>13</v>
      </c>
      <c r="D637" s="2" t="s">
        <v>452</v>
      </c>
      <c r="E637" s="2" t="s">
        <v>411</v>
      </c>
      <c r="F637" s="21" t="n">
        <v>45874.4803861111</v>
      </c>
      <c r="G637" s="21" t="n">
        <v>45874.5763583333</v>
      </c>
      <c r="H637" s="10" t="n">
        <v>1.30333333333333</v>
      </c>
      <c r="I637" s="15" t="n">
        <v>45872</v>
      </c>
      <c r="J637" s="2" t="s">
        <v>629</v>
      </c>
    </row>
    <row r="638" customFormat="false" ht="15" hidden="false" customHeight="false" outlineLevel="0" collapsed="false">
      <c r="A638" s="2" t="s">
        <v>576</v>
      </c>
      <c r="B638" s="2" t="s">
        <v>96</v>
      </c>
      <c r="C638" s="4" t="n">
        <v>1</v>
      </c>
      <c r="D638" s="2" t="s">
        <v>437</v>
      </c>
      <c r="E638" s="2" t="s">
        <v>375</v>
      </c>
      <c r="F638" s="21" t="n">
        <v>45855.367625</v>
      </c>
      <c r="G638" s="21" t="n">
        <v>45856.356375</v>
      </c>
      <c r="H638" s="10" t="n">
        <v>7.73</v>
      </c>
      <c r="I638" s="15" t="n">
        <v>45870</v>
      </c>
      <c r="J638" s="2" t="s">
        <v>629</v>
      </c>
    </row>
    <row r="639" customFormat="false" ht="15" hidden="false" customHeight="false" outlineLevel="0" collapsed="false">
      <c r="A639" s="2" t="s">
        <v>576</v>
      </c>
      <c r="B639" s="2" t="s">
        <v>96</v>
      </c>
      <c r="C639" s="4" t="n">
        <v>2</v>
      </c>
      <c r="D639" s="2" t="s">
        <v>441</v>
      </c>
      <c r="E639" s="2" t="s">
        <v>380</v>
      </c>
      <c r="F639" s="21" t="n">
        <v>45856.592625</v>
      </c>
      <c r="G639" s="21" t="n">
        <v>45856.6330694445</v>
      </c>
      <c r="H639" s="10" t="n">
        <v>0.970666666666667</v>
      </c>
      <c r="I639" s="15" t="n">
        <v>45870</v>
      </c>
      <c r="J639" s="2" t="s">
        <v>629</v>
      </c>
    </row>
    <row r="640" customFormat="false" ht="15" hidden="false" customHeight="false" outlineLevel="0" collapsed="false">
      <c r="A640" s="2" t="s">
        <v>576</v>
      </c>
      <c r="B640" s="2" t="s">
        <v>96</v>
      </c>
      <c r="C640" s="4" t="n">
        <v>3</v>
      </c>
      <c r="D640" s="2" t="s">
        <v>386</v>
      </c>
      <c r="E640" s="2" t="s">
        <v>383</v>
      </c>
      <c r="F640" s="21" t="n">
        <v>45861.3630416667</v>
      </c>
      <c r="G640" s="21" t="n">
        <v>45862.408875</v>
      </c>
      <c r="H640" s="10" t="n">
        <v>9.1</v>
      </c>
      <c r="I640" s="15" t="n">
        <v>45870</v>
      </c>
      <c r="J640" s="2" t="s">
        <v>629</v>
      </c>
    </row>
    <row r="641" customFormat="false" ht="15" hidden="false" customHeight="false" outlineLevel="0" collapsed="false">
      <c r="A641" s="2" t="s">
        <v>576</v>
      </c>
      <c r="B641" s="2" t="s">
        <v>96</v>
      </c>
      <c r="C641" s="4" t="n">
        <v>4</v>
      </c>
      <c r="D641" s="2" t="s">
        <v>390</v>
      </c>
      <c r="E641" s="2" t="s">
        <v>387</v>
      </c>
      <c r="F641" s="21" t="n">
        <v>45863.383875</v>
      </c>
      <c r="G641" s="21" t="n">
        <v>45867.4144305556</v>
      </c>
      <c r="H641" s="10" t="n">
        <v>16.7333333333333</v>
      </c>
      <c r="I641" s="15" t="n">
        <v>45870</v>
      </c>
      <c r="J641" s="2" t="s">
        <v>629</v>
      </c>
    </row>
    <row r="642" customFormat="false" ht="15" hidden="false" customHeight="false" outlineLevel="0" collapsed="false">
      <c r="A642" s="2" t="s">
        <v>576</v>
      </c>
      <c r="B642" s="2" t="s">
        <v>96</v>
      </c>
      <c r="C642" s="4" t="n">
        <v>5</v>
      </c>
      <c r="D642" s="2" t="s">
        <v>442</v>
      </c>
      <c r="E642" s="2" t="s">
        <v>391</v>
      </c>
      <c r="F642" s="21" t="n">
        <v>45867.4933194445</v>
      </c>
      <c r="G642" s="21" t="n">
        <v>45867.5730416667</v>
      </c>
      <c r="H642" s="10" t="n">
        <v>0.913333333333333</v>
      </c>
      <c r="I642" s="15" t="n">
        <v>45870</v>
      </c>
      <c r="J642" s="2" t="s">
        <v>629</v>
      </c>
    </row>
    <row r="643" customFormat="false" ht="15" hidden="false" customHeight="false" outlineLevel="0" collapsed="false">
      <c r="A643" s="2" t="s">
        <v>576</v>
      </c>
      <c r="B643" s="2" t="s">
        <v>96</v>
      </c>
      <c r="C643" s="4" t="n">
        <v>6</v>
      </c>
      <c r="D643" s="2" t="s">
        <v>443</v>
      </c>
      <c r="E643" s="2" t="s">
        <v>395</v>
      </c>
      <c r="F643" s="21" t="n">
        <v>45868.6870694444</v>
      </c>
      <c r="G643" s="21" t="n">
        <v>45869.4974861111</v>
      </c>
      <c r="H643" s="10" t="n">
        <v>4.45</v>
      </c>
      <c r="I643" s="15" t="n">
        <v>45870</v>
      </c>
      <c r="J643" s="2" t="s">
        <v>629</v>
      </c>
    </row>
    <row r="644" customFormat="false" ht="15" hidden="false" customHeight="false" outlineLevel="0" collapsed="false">
      <c r="A644" s="2" t="s">
        <v>576</v>
      </c>
      <c r="B644" s="2" t="s">
        <v>96</v>
      </c>
      <c r="C644" s="4" t="n">
        <v>7</v>
      </c>
      <c r="D644" s="2" t="s">
        <v>444</v>
      </c>
      <c r="E644" s="2" t="s">
        <v>399</v>
      </c>
      <c r="F644" s="21" t="n">
        <v>45869.6738027778</v>
      </c>
      <c r="G644" s="21" t="n">
        <v>45870.453365</v>
      </c>
      <c r="H644" s="10" t="n">
        <v>3.70949333333333</v>
      </c>
      <c r="I644" s="15" t="n">
        <v>45870</v>
      </c>
      <c r="J644" s="2" t="s">
        <v>629</v>
      </c>
    </row>
    <row r="645" customFormat="false" ht="15" hidden="false" customHeight="false" outlineLevel="0" collapsed="false">
      <c r="A645" s="2" t="s">
        <v>576</v>
      </c>
      <c r="B645" s="2" t="s">
        <v>96</v>
      </c>
      <c r="C645" s="4" t="n">
        <v>8</v>
      </c>
      <c r="D645" s="2" t="s">
        <v>445</v>
      </c>
      <c r="E645" s="2" t="s">
        <v>402</v>
      </c>
      <c r="F645" s="21" t="n">
        <v>45870.453365</v>
      </c>
      <c r="G645" s="21" t="n">
        <v>45870.5441427778</v>
      </c>
      <c r="H645" s="10" t="n">
        <v>1.17866666666667</v>
      </c>
      <c r="I645" s="15" t="n">
        <v>45870</v>
      </c>
      <c r="J645" s="2" t="s">
        <v>629</v>
      </c>
    </row>
    <row r="646" customFormat="false" ht="15" hidden="false" customHeight="false" outlineLevel="0" collapsed="false">
      <c r="A646" s="2" t="s">
        <v>576</v>
      </c>
      <c r="B646" s="2" t="s">
        <v>96</v>
      </c>
      <c r="C646" s="4" t="n">
        <v>9</v>
      </c>
      <c r="D646" s="2" t="s">
        <v>447</v>
      </c>
      <c r="E646" s="2" t="s">
        <v>421</v>
      </c>
      <c r="F646" s="21" t="n">
        <v>45870.5441427778</v>
      </c>
      <c r="G646" s="21" t="n">
        <v>45870.5753927778</v>
      </c>
      <c r="H646" s="10" t="n">
        <v>0.75</v>
      </c>
      <c r="I646" s="15" t="n">
        <v>45870</v>
      </c>
      <c r="J646" s="2" t="s">
        <v>629</v>
      </c>
    </row>
    <row r="647" customFormat="false" ht="15" hidden="false" customHeight="false" outlineLevel="0" collapsed="false">
      <c r="A647" s="2" t="s">
        <v>576</v>
      </c>
      <c r="B647" s="2" t="s">
        <v>96</v>
      </c>
      <c r="C647" s="4" t="n">
        <v>10</v>
      </c>
      <c r="D647" s="2" t="s">
        <v>449</v>
      </c>
      <c r="E647" s="2" t="s">
        <v>423</v>
      </c>
      <c r="F647" s="21" t="n">
        <v>45870.5753927778</v>
      </c>
      <c r="G647" s="21" t="n">
        <v>45870.5950594444</v>
      </c>
      <c r="H647" s="10" t="n">
        <v>0.472</v>
      </c>
      <c r="I647" s="15" t="n">
        <v>45870</v>
      </c>
      <c r="J647" s="2" t="s">
        <v>629</v>
      </c>
    </row>
    <row r="648" customFormat="false" ht="15" hidden="false" customHeight="false" outlineLevel="0" collapsed="false">
      <c r="A648" s="2" t="s">
        <v>576</v>
      </c>
      <c r="B648" s="2" t="s">
        <v>96</v>
      </c>
      <c r="C648" s="4" t="n">
        <v>11</v>
      </c>
      <c r="D648" s="2" t="s">
        <v>450</v>
      </c>
      <c r="E648" s="2" t="s">
        <v>406</v>
      </c>
      <c r="F648" s="21" t="n">
        <v>45874.4400805556</v>
      </c>
      <c r="G648" s="21" t="n">
        <v>45875.3817472222</v>
      </c>
      <c r="H648" s="10" t="n">
        <v>6.6</v>
      </c>
      <c r="I648" s="15" t="n">
        <v>45870</v>
      </c>
      <c r="J648" s="2" t="s">
        <v>629</v>
      </c>
    </row>
    <row r="649" customFormat="false" ht="15" hidden="false" customHeight="false" outlineLevel="0" collapsed="false">
      <c r="A649" s="2" t="s">
        <v>576</v>
      </c>
      <c r="B649" s="2" t="s">
        <v>96</v>
      </c>
      <c r="C649" s="4" t="n">
        <v>12</v>
      </c>
      <c r="D649" s="2" t="s">
        <v>451</v>
      </c>
      <c r="E649" s="2" t="s">
        <v>408</v>
      </c>
      <c r="F649" s="21" t="n">
        <v>45875.3817472222</v>
      </c>
      <c r="G649" s="21" t="n">
        <v>45875.403525</v>
      </c>
      <c r="H649" s="10" t="n">
        <v>0.522666666666667</v>
      </c>
      <c r="I649" s="15" t="n">
        <v>45870</v>
      </c>
      <c r="J649" s="2" t="s">
        <v>629</v>
      </c>
    </row>
    <row r="650" customFormat="false" ht="15" hidden="false" customHeight="false" outlineLevel="0" collapsed="false">
      <c r="A650" s="2" t="s">
        <v>576</v>
      </c>
      <c r="B650" s="2" t="s">
        <v>96</v>
      </c>
      <c r="C650" s="4" t="n">
        <v>13</v>
      </c>
      <c r="D650" s="2" t="s">
        <v>452</v>
      </c>
      <c r="E650" s="2" t="s">
        <v>411</v>
      </c>
      <c r="F650" s="21" t="n">
        <v>45875.403525</v>
      </c>
      <c r="G650" s="21" t="n">
        <v>45875.4326916667</v>
      </c>
      <c r="H650" s="10" t="n">
        <v>0.7</v>
      </c>
      <c r="I650" s="15" t="n">
        <v>45870</v>
      </c>
      <c r="J650" s="2" t="s">
        <v>629</v>
      </c>
    </row>
    <row r="651" customFormat="false" ht="15" hidden="false" customHeight="false" outlineLevel="0" collapsed="false">
      <c r="A651" s="2" t="s">
        <v>578</v>
      </c>
      <c r="B651" s="2" t="s">
        <v>108</v>
      </c>
      <c r="C651" s="4" t="n">
        <v>1</v>
      </c>
      <c r="D651" s="2" t="s">
        <v>437</v>
      </c>
      <c r="E651" s="2" t="s">
        <v>375</v>
      </c>
      <c r="F651" s="21" t="n">
        <v>45856.356375</v>
      </c>
      <c r="G651" s="21" t="n">
        <v>45856.6813611111</v>
      </c>
      <c r="H651" s="10" t="n">
        <v>6.79966666666667</v>
      </c>
      <c r="I651" s="15" t="n">
        <v>45869</v>
      </c>
      <c r="J651" s="2" t="s">
        <v>629</v>
      </c>
    </row>
    <row r="652" customFormat="false" ht="15" hidden="false" customHeight="false" outlineLevel="0" collapsed="false">
      <c r="A652" s="2" t="s">
        <v>578</v>
      </c>
      <c r="B652" s="2" t="s">
        <v>108</v>
      </c>
      <c r="C652" s="4" t="n">
        <v>2</v>
      </c>
      <c r="D652" s="2" t="s">
        <v>386</v>
      </c>
      <c r="E652" s="2" t="s">
        <v>383</v>
      </c>
      <c r="F652" s="21" t="n">
        <v>45862.408875</v>
      </c>
      <c r="G652" s="21" t="n">
        <v>45862.5887361111</v>
      </c>
      <c r="H652" s="10" t="n">
        <v>3.31666666666667</v>
      </c>
      <c r="I652" s="15" t="n">
        <v>45869</v>
      </c>
      <c r="J652" s="2" t="s">
        <v>629</v>
      </c>
    </row>
    <row r="653" customFormat="false" ht="15" hidden="false" customHeight="false" outlineLevel="0" collapsed="false">
      <c r="A653" s="2" t="s">
        <v>578</v>
      </c>
      <c r="B653" s="2" t="s">
        <v>108</v>
      </c>
      <c r="C653" s="4" t="n">
        <v>3</v>
      </c>
      <c r="D653" s="2" t="s">
        <v>390</v>
      </c>
      <c r="E653" s="2" t="s">
        <v>387</v>
      </c>
      <c r="F653" s="21" t="n">
        <v>45867.4144305556</v>
      </c>
      <c r="G653" s="21" t="n">
        <v>45869.4804027778</v>
      </c>
      <c r="H653" s="10" t="n">
        <v>17.5833333333333</v>
      </c>
      <c r="I653" s="15" t="n">
        <v>45869</v>
      </c>
      <c r="J653" s="2" t="s">
        <v>629</v>
      </c>
    </row>
    <row r="654" customFormat="false" ht="15" hidden="false" customHeight="false" outlineLevel="0" collapsed="false">
      <c r="A654" s="2" t="s">
        <v>578</v>
      </c>
      <c r="B654" s="2" t="s">
        <v>108</v>
      </c>
      <c r="C654" s="4" t="n">
        <v>4</v>
      </c>
      <c r="D654" s="2" t="s">
        <v>443</v>
      </c>
      <c r="E654" s="2" t="s">
        <v>395</v>
      </c>
      <c r="F654" s="21" t="n">
        <v>45869.4974861111</v>
      </c>
      <c r="G654" s="21" t="n">
        <v>45869.6651944445</v>
      </c>
      <c r="H654" s="10" t="n">
        <v>3.025</v>
      </c>
      <c r="I654" s="15" t="n">
        <v>45869</v>
      </c>
      <c r="J654" s="2" t="s">
        <v>629</v>
      </c>
    </row>
    <row r="655" customFormat="false" ht="15" hidden="false" customHeight="false" outlineLevel="0" collapsed="false">
      <c r="A655" s="2" t="s">
        <v>578</v>
      </c>
      <c r="B655" s="2" t="s">
        <v>108</v>
      </c>
      <c r="C655" s="4" t="n">
        <v>5</v>
      </c>
      <c r="D655" s="2" t="s">
        <v>444</v>
      </c>
      <c r="E655" s="2" t="s">
        <v>399</v>
      </c>
      <c r="F655" s="21" t="n">
        <v>45870.453365</v>
      </c>
      <c r="G655" s="21" t="n">
        <v>45870.6816261111</v>
      </c>
      <c r="H655" s="10" t="n">
        <v>4.47826666666667</v>
      </c>
      <c r="I655" s="15" t="n">
        <v>45869</v>
      </c>
      <c r="J655" s="2" t="s">
        <v>629</v>
      </c>
    </row>
    <row r="656" customFormat="false" ht="15" hidden="false" customHeight="false" outlineLevel="0" collapsed="false">
      <c r="A656" s="2" t="s">
        <v>578</v>
      </c>
      <c r="B656" s="2" t="s">
        <v>108</v>
      </c>
      <c r="C656" s="4" t="n">
        <v>6</v>
      </c>
      <c r="D656" s="2" t="s">
        <v>445</v>
      </c>
      <c r="E656" s="2" t="s">
        <v>402</v>
      </c>
      <c r="F656" s="21" t="n">
        <v>45870.6816261111</v>
      </c>
      <c r="G656" s="21" t="n">
        <v>45873.3481608333</v>
      </c>
      <c r="H656" s="10" t="n">
        <v>0.996833333333333</v>
      </c>
      <c r="I656" s="15" t="n">
        <v>45869</v>
      </c>
      <c r="J656" s="2" t="s">
        <v>629</v>
      </c>
    </row>
    <row r="657" customFormat="false" ht="15" hidden="false" customHeight="false" outlineLevel="0" collapsed="false">
      <c r="A657" s="2" t="s">
        <v>578</v>
      </c>
      <c r="B657" s="2" t="s">
        <v>108</v>
      </c>
      <c r="C657" s="4" t="n">
        <v>7</v>
      </c>
      <c r="D657" s="2" t="s">
        <v>447</v>
      </c>
      <c r="E657" s="2" t="s">
        <v>421</v>
      </c>
      <c r="F657" s="21" t="n">
        <v>45873.3481608333</v>
      </c>
      <c r="G657" s="21" t="n">
        <v>45873.3794108333</v>
      </c>
      <c r="H657" s="10" t="n">
        <v>0.75</v>
      </c>
      <c r="I657" s="15" t="n">
        <v>45869</v>
      </c>
      <c r="J657" s="2" t="s">
        <v>629</v>
      </c>
    </row>
    <row r="658" customFormat="false" ht="15" hidden="false" customHeight="false" outlineLevel="0" collapsed="false">
      <c r="A658" s="2" t="s">
        <v>578</v>
      </c>
      <c r="B658" s="2" t="s">
        <v>108</v>
      </c>
      <c r="C658" s="4" t="n">
        <v>8</v>
      </c>
      <c r="D658" s="2" t="s">
        <v>449</v>
      </c>
      <c r="E658" s="2" t="s">
        <v>423</v>
      </c>
      <c r="F658" s="21" t="n">
        <v>45873.3794108333</v>
      </c>
      <c r="G658" s="21" t="n">
        <v>45873.3967302778</v>
      </c>
      <c r="H658" s="10" t="n">
        <v>0.415666666666667</v>
      </c>
      <c r="I658" s="15" t="n">
        <v>45869</v>
      </c>
      <c r="J658" s="2" t="s">
        <v>629</v>
      </c>
    </row>
    <row r="659" customFormat="false" ht="15" hidden="false" customHeight="false" outlineLevel="0" collapsed="false">
      <c r="A659" s="2" t="s">
        <v>578</v>
      </c>
      <c r="B659" s="2" t="s">
        <v>108</v>
      </c>
      <c r="C659" s="4" t="n">
        <v>9</v>
      </c>
      <c r="D659" s="2" t="s">
        <v>450</v>
      </c>
      <c r="E659" s="2" t="s">
        <v>406</v>
      </c>
      <c r="F659" s="21" t="n">
        <v>45875.3817472222</v>
      </c>
      <c r="G659" s="21" t="n">
        <v>45875.7010180556</v>
      </c>
      <c r="H659" s="10" t="n">
        <v>6.6625</v>
      </c>
      <c r="I659" s="15" t="n">
        <v>45869</v>
      </c>
      <c r="J659" s="2" t="s">
        <v>629</v>
      </c>
    </row>
    <row r="660" customFormat="false" ht="15" hidden="false" customHeight="false" outlineLevel="0" collapsed="false">
      <c r="A660" s="2" t="s">
        <v>578</v>
      </c>
      <c r="B660" s="2" t="s">
        <v>108</v>
      </c>
      <c r="C660" s="4" t="n">
        <v>10</v>
      </c>
      <c r="D660" s="2" t="s">
        <v>451</v>
      </c>
      <c r="E660" s="2" t="s">
        <v>408</v>
      </c>
      <c r="F660" s="21" t="n">
        <v>45875.7010180556</v>
      </c>
      <c r="G660" s="21" t="n">
        <v>45876.3445180556</v>
      </c>
      <c r="H660" s="10" t="n">
        <v>0.444</v>
      </c>
      <c r="I660" s="15" t="n">
        <v>45869</v>
      </c>
      <c r="J660" s="2" t="s">
        <v>629</v>
      </c>
    </row>
    <row r="661" customFormat="false" ht="15" hidden="false" customHeight="false" outlineLevel="0" collapsed="false">
      <c r="A661" s="2" t="s">
        <v>578</v>
      </c>
      <c r="B661" s="2" t="s">
        <v>108</v>
      </c>
      <c r="C661" s="4" t="n">
        <v>11</v>
      </c>
      <c r="D661" s="2" t="s">
        <v>452</v>
      </c>
      <c r="E661" s="2" t="s">
        <v>411</v>
      </c>
      <c r="F661" s="21" t="n">
        <v>45876.3445180556</v>
      </c>
      <c r="G661" s="21" t="n">
        <v>45876.3691430556</v>
      </c>
      <c r="H661" s="10" t="n">
        <v>0.591</v>
      </c>
      <c r="I661" s="15" t="n">
        <v>45869</v>
      </c>
      <c r="J661" s="2" t="s">
        <v>629</v>
      </c>
    </row>
    <row r="662" customFormat="false" ht="15" hidden="false" customHeight="false" outlineLevel="0" collapsed="false">
      <c r="A662" s="2" t="s">
        <v>580</v>
      </c>
      <c r="B662" s="2" t="s">
        <v>121</v>
      </c>
      <c r="C662" s="4" t="n">
        <v>1</v>
      </c>
      <c r="D662" s="2" t="s">
        <v>437</v>
      </c>
      <c r="E662" s="2" t="s">
        <v>375</v>
      </c>
      <c r="F662" s="21" t="n">
        <v>45856.6813611111</v>
      </c>
      <c r="G662" s="21" t="n">
        <v>45859.6584722222</v>
      </c>
      <c r="H662" s="10" t="n">
        <v>7.45066666666667</v>
      </c>
      <c r="I662" s="15" t="n">
        <v>45872</v>
      </c>
      <c r="J662" s="2" t="s">
        <v>629</v>
      </c>
    </row>
    <row r="663" customFormat="false" ht="15" hidden="false" customHeight="false" outlineLevel="0" collapsed="false">
      <c r="A663" s="2" t="s">
        <v>580</v>
      </c>
      <c r="B663" s="2" t="s">
        <v>121</v>
      </c>
      <c r="C663" s="4" t="n">
        <v>2</v>
      </c>
      <c r="D663" s="2" t="s">
        <v>441</v>
      </c>
      <c r="E663" s="2" t="s">
        <v>380</v>
      </c>
      <c r="F663" s="21" t="n">
        <v>45859.6584722222</v>
      </c>
      <c r="G663" s="21" t="n">
        <v>45860.60525</v>
      </c>
      <c r="H663" s="10" t="n">
        <v>6.72266666666667</v>
      </c>
      <c r="I663" s="15" t="n">
        <v>45872</v>
      </c>
      <c r="J663" s="2" t="s">
        <v>629</v>
      </c>
    </row>
    <row r="664" customFormat="false" ht="15" hidden="false" customHeight="false" outlineLevel="0" collapsed="false">
      <c r="A664" s="2" t="s">
        <v>580</v>
      </c>
      <c r="B664" s="2" t="s">
        <v>121</v>
      </c>
      <c r="C664" s="4" t="n">
        <v>3</v>
      </c>
      <c r="D664" s="2" t="s">
        <v>386</v>
      </c>
      <c r="E664" s="2" t="s">
        <v>383</v>
      </c>
      <c r="F664" s="21" t="n">
        <v>45862.5887361111</v>
      </c>
      <c r="G664" s="21" t="n">
        <v>45866.3509583333</v>
      </c>
      <c r="H664" s="10" t="n">
        <v>11.2933333333333</v>
      </c>
      <c r="I664" s="15" t="n">
        <v>45872</v>
      </c>
      <c r="J664" s="2" t="s">
        <v>629</v>
      </c>
    </row>
    <row r="665" customFormat="false" ht="15" hidden="false" customHeight="false" outlineLevel="0" collapsed="false">
      <c r="A665" s="2" t="s">
        <v>580</v>
      </c>
      <c r="B665" s="2" t="s">
        <v>121</v>
      </c>
      <c r="C665" s="4" t="n">
        <v>4</v>
      </c>
      <c r="D665" s="2" t="s">
        <v>390</v>
      </c>
      <c r="E665" s="2" t="s">
        <v>387</v>
      </c>
      <c r="F665" s="21" t="n">
        <v>45869.4804027778</v>
      </c>
      <c r="G665" s="21" t="n">
        <v>45873.5804027778</v>
      </c>
      <c r="H665" s="10" t="n">
        <v>17.4</v>
      </c>
      <c r="I665" s="15" t="n">
        <v>45872</v>
      </c>
      <c r="J665" s="2" t="s">
        <v>629</v>
      </c>
    </row>
    <row r="666" customFormat="false" ht="15" hidden="false" customHeight="false" outlineLevel="0" collapsed="false">
      <c r="A666" s="2" t="s">
        <v>580</v>
      </c>
      <c r="B666" s="2" t="s">
        <v>121</v>
      </c>
      <c r="C666" s="4" t="n">
        <v>5</v>
      </c>
      <c r="D666" s="2" t="s">
        <v>443</v>
      </c>
      <c r="E666" s="2" t="s">
        <v>395</v>
      </c>
      <c r="F666" s="21" t="n">
        <v>45873.5804027778</v>
      </c>
      <c r="G666" s="21" t="n">
        <v>45874.5637361111</v>
      </c>
      <c r="H666" s="10" t="n">
        <v>7.6</v>
      </c>
      <c r="I666" s="15" t="n">
        <v>45872</v>
      </c>
      <c r="J666" s="2" t="s">
        <v>629</v>
      </c>
    </row>
    <row r="667" customFormat="false" ht="15" hidden="false" customHeight="false" outlineLevel="0" collapsed="false">
      <c r="A667" s="2" t="s">
        <v>580</v>
      </c>
      <c r="B667" s="2" t="s">
        <v>121</v>
      </c>
      <c r="C667" s="4" t="n">
        <v>6</v>
      </c>
      <c r="D667" s="2" t="s">
        <v>444</v>
      </c>
      <c r="E667" s="2" t="s">
        <v>399</v>
      </c>
      <c r="F667" s="21" t="n">
        <v>45874.5637361111</v>
      </c>
      <c r="G667" s="21" t="n">
        <v>45875.4010294445</v>
      </c>
      <c r="H667" s="10" t="n">
        <v>5.09504</v>
      </c>
      <c r="I667" s="15" t="n">
        <v>45872</v>
      </c>
      <c r="J667" s="2" t="s">
        <v>629</v>
      </c>
    </row>
    <row r="668" customFormat="false" ht="15" hidden="false" customHeight="false" outlineLevel="0" collapsed="false">
      <c r="A668" s="2" t="s">
        <v>580</v>
      </c>
      <c r="B668" s="2" t="s">
        <v>121</v>
      </c>
      <c r="C668" s="4" t="n">
        <v>7</v>
      </c>
      <c r="D668" s="2" t="s">
        <v>445</v>
      </c>
      <c r="E668" s="2" t="s">
        <v>402</v>
      </c>
      <c r="F668" s="21" t="n">
        <v>45875.4010294445</v>
      </c>
      <c r="G668" s="21" t="n">
        <v>45875.4725294444</v>
      </c>
      <c r="H668" s="10" t="n">
        <v>1.716</v>
      </c>
      <c r="I668" s="15" t="n">
        <v>45872</v>
      </c>
      <c r="J668" s="2" t="s">
        <v>629</v>
      </c>
    </row>
    <row r="669" customFormat="false" ht="15" hidden="false" customHeight="false" outlineLevel="0" collapsed="false">
      <c r="A669" s="2" t="s">
        <v>580</v>
      </c>
      <c r="B669" s="2" t="s">
        <v>121</v>
      </c>
      <c r="C669" s="4" t="n">
        <v>8</v>
      </c>
      <c r="D669" s="2" t="s">
        <v>447</v>
      </c>
      <c r="E669" s="2" t="s">
        <v>421</v>
      </c>
      <c r="F669" s="21" t="n">
        <v>45875.4725294444</v>
      </c>
      <c r="G669" s="21" t="n">
        <v>45875.5766961111</v>
      </c>
      <c r="H669" s="10" t="n">
        <v>1.5</v>
      </c>
      <c r="I669" s="15" t="n">
        <v>45872</v>
      </c>
      <c r="J669" s="2" t="s">
        <v>629</v>
      </c>
    </row>
    <row r="670" customFormat="false" ht="15" hidden="false" customHeight="false" outlineLevel="0" collapsed="false">
      <c r="A670" s="2" t="s">
        <v>580</v>
      </c>
      <c r="B670" s="2" t="s">
        <v>121</v>
      </c>
      <c r="C670" s="4" t="n">
        <v>9</v>
      </c>
      <c r="D670" s="2" t="s">
        <v>449</v>
      </c>
      <c r="E670" s="2" t="s">
        <v>423</v>
      </c>
      <c r="F670" s="21" t="n">
        <v>45875.5766961111</v>
      </c>
      <c r="G670" s="21" t="n">
        <v>45875.6074738889</v>
      </c>
      <c r="H670" s="10" t="n">
        <v>0.738666666666667</v>
      </c>
      <c r="I670" s="15" t="n">
        <v>45872</v>
      </c>
      <c r="J670" s="2" t="s">
        <v>629</v>
      </c>
    </row>
    <row r="671" customFormat="false" ht="15" hidden="false" customHeight="false" outlineLevel="0" collapsed="false">
      <c r="A671" s="2" t="s">
        <v>580</v>
      </c>
      <c r="B671" s="2" t="s">
        <v>121</v>
      </c>
      <c r="C671" s="4" t="n">
        <v>10</v>
      </c>
      <c r="D671" s="2" t="s">
        <v>450</v>
      </c>
      <c r="E671" s="2" t="s">
        <v>406</v>
      </c>
      <c r="F671" s="21" t="n">
        <v>45875.7010180556</v>
      </c>
      <c r="G671" s="21" t="n">
        <v>45877.5551847222</v>
      </c>
      <c r="H671" s="10" t="n">
        <v>12.5</v>
      </c>
      <c r="I671" s="15" t="n">
        <v>45872</v>
      </c>
      <c r="J671" s="2" t="s">
        <v>629</v>
      </c>
    </row>
    <row r="672" customFormat="false" ht="15" hidden="false" customHeight="false" outlineLevel="0" collapsed="false">
      <c r="A672" s="2" t="s">
        <v>580</v>
      </c>
      <c r="B672" s="2" t="s">
        <v>121</v>
      </c>
      <c r="C672" s="4" t="n">
        <v>11</v>
      </c>
      <c r="D672" s="2" t="s">
        <v>451</v>
      </c>
      <c r="E672" s="2" t="s">
        <v>408</v>
      </c>
      <c r="F672" s="21" t="n">
        <v>45877.5551847222</v>
      </c>
      <c r="G672" s="21" t="n">
        <v>45877.5867125</v>
      </c>
      <c r="H672" s="10" t="n">
        <v>0.756666666666667</v>
      </c>
      <c r="I672" s="15" t="n">
        <v>45872</v>
      </c>
      <c r="J672" s="2" t="s">
        <v>629</v>
      </c>
    </row>
    <row r="673" customFormat="false" ht="15" hidden="false" customHeight="false" outlineLevel="0" collapsed="false">
      <c r="A673" s="2" t="s">
        <v>580</v>
      </c>
      <c r="B673" s="2" t="s">
        <v>121</v>
      </c>
      <c r="C673" s="4" t="n">
        <v>12</v>
      </c>
      <c r="D673" s="2" t="s">
        <v>452</v>
      </c>
      <c r="E673" s="2" t="s">
        <v>411</v>
      </c>
      <c r="F673" s="21" t="n">
        <v>45877.5867125</v>
      </c>
      <c r="G673" s="21" t="n">
        <v>45877.6284069444</v>
      </c>
      <c r="H673" s="10" t="n">
        <v>1.00066666666667</v>
      </c>
      <c r="I673" s="15" t="n">
        <v>45872</v>
      </c>
      <c r="J673" s="2" t="s">
        <v>629</v>
      </c>
    </row>
    <row r="674" customFormat="false" ht="15" hidden="false" customHeight="false" outlineLevel="0" collapsed="false">
      <c r="A674" s="2" t="s">
        <v>581</v>
      </c>
      <c r="B674" s="2" t="s">
        <v>80</v>
      </c>
      <c r="C674" s="4" t="n">
        <v>1</v>
      </c>
      <c r="D674" s="2" t="s">
        <v>437</v>
      </c>
      <c r="E674" s="2" t="s">
        <v>375</v>
      </c>
      <c r="F674" s="21" t="n">
        <v>45873.3333333333</v>
      </c>
      <c r="G674" s="21" t="n">
        <v>45873.6986527778</v>
      </c>
      <c r="H674" s="10" t="n">
        <v>7.76766666666667</v>
      </c>
      <c r="I674" s="15" t="n">
        <v>45889</v>
      </c>
      <c r="J674" s="2" t="s">
        <v>629</v>
      </c>
    </row>
    <row r="675" customFormat="false" ht="15" hidden="false" customHeight="false" outlineLevel="0" collapsed="false">
      <c r="A675" s="2" t="s">
        <v>581</v>
      </c>
      <c r="B675" s="2" t="s">
        <v>80</v>
      </c>
      <c r="C675" s="4" t="n">
        <v>2</v>
      </c>
      <c r="D675" s="2" t="s">
        <v>441</v>
      </c>
      <c r="E675" s="2" t="s">
        <v>380</v>
      </c>
      <c r="F675" s="21" t="n">
        <v>45873.6986527778</v>
      </c>
      <c r="G675" s="21" t="n">
        <v>45875.3943194444</v>
      </c>
      <c r="H675" s="10" t="n">
        <v>9.696</v>
      </c>
      <c r="I675" s="15" t="n">
        <v>45889</v>
      </c>
      <c r="J675" s="2" t="s">
        <v>629</v>
      </c>
    </row>
    <row r="676" customFormat="false" ht="15" hidden="false" customHeight="false" outlineLevel="0" collapsed="false">
      <c r="A676" s="2" t="s">
        <v>581</v>
      </c>
      <c r="B676" s="2" t="s">
        <v>80</v>
      </c>
      <c r="C676" s="4" t="n">
        <v>3</v>
      </c>
      <c r="D676" s="2" t="s">
        <v>386</v>
      </c>
      <c r="E676" s="2" t="s">
        <v>383</v>
      </c>
      <c r="F676" s="21" t="n">
        <v>45875.3943194444</v>
      </c>
      <c r="G676" s="21" t="n">
        <v>45876.6870972222</v>
      </c>
      <c r="H676" s="10" t="n">
        <v>14.0266666666667</v>
      </c>
      <c r="I676" s="15" t="n">
        <v>45889</v>
      </c>
      <c r="J676" s="2" t="s">
        <v>629</v>
      </c>
    </row>
    <row r="677" customFormat="false" ht="15" hidden="false" customHeight="false" outlineLevel="0" collapsed="false">
      <c r="A677" s="2" t="s">
        <v>581</v>
      </c>
      <c r="B677" s="2" t="s">
        <v>80</v>
      </c>
      <c r="C677" s="4" t="n">
        <v>4</v>
      </c>
      <c r="D677" s="2" t="s">
        <v>390</v>
      </c>
      <c r="E677" s="2" t="s">
        <v>387</v>
      </c>
      <c r="F677" s="21" t="n">
        <v>45876.6870972222</v>
      </c>
      <c r="G677" s="21" t="n">
        <v>45880.5787638889</v>
      </c>
      <c r="H677" s="10" t="n">
        <v>13.4</v>
      </c>
      <c r="I677" s="15" t="n">
        <v>45889</v>
      </c>
      <c r="J677" s="2" t="s">
        <v>629</v>
      </c>
    </row>
    <row r="678" customFormat="false" ht="15" hidden="false" customHeight="false" outlineLevel="0" collapsed="false">
      <c r="A678" s="2" t="s">
        <v>581</v>
      </c>
      <c r="B678" s="2" t="s">
        <v>80</v>
      </c>
      <c r="C678" s="4" t="n">
        <v>5</v>
      </c>
      <c r="D678" s="2" t="s">
        <v>442</v>
      </c>
      <c r="E678" s="2" t="s">
        <v>391</v>
      </c>
      <c r="F678" s="21" t="n">
        <v>45880.5787638889</v>
      </c>
      <c r="G678" s="21" t="n">
        <v>45882.6337638889</v>
      </c>
      <c r="H678" s="10" t="n">
        <v>17.32</v>
      </c>
      <c r="I678" s="15" t="n">
        <v>45889</v>
      </c>
      <c r="J678" s="2" t="s">
        <v>629</v>
      </c>
    </row>
    <row r="679" customFormat="false" ht="15" hidden="false" customHeight="false" outlineLevel="0" collapsed="false">
      <c r="A679" s="2" t="s">
        <v>581</v>
      </c>
      <c r="B679" s="2" t="s">
        <v>80</v>
      </c>
      <c r="C679" s="4" t="n">
        <v>6</v>
      </c>
      <c r="D679" s="2" t="s">
        <v>443</v>
      </c>
      <c r="E679" s="2" t="s">
        <v>395</v>
      </c>
      <c r="F679" s="21" t="n">
        <v>45882.6337638889</v>
      </c>
      <c r="G679" s="21" t="n">
        <v>45883.6837638889</v>
      </c>
      <c r="H679" s="10" t="n">
        <v>9.2</v>
      </c>
      <c r="I679" s="15" t="n">
        <v>45889</v>
      </c>
      <c r="J679" s="2" t="s">
        <v>629</v>
      </c>
    </row>
    <row r="680" customFormat="false" ht="15" hidden="false" customHeight="false" outlineLevel="0" collapsed="false">
      <c r="A680" s="2" t="s">
        <v>581</v>
      </c>
      <c r="B680" s="2" t="s">
        <v>80</v>
      </c>
      <c r="C680" s="4" t="n">
        <v>7</v>
      </c>
      <c r="D680" s="2" t="s">
        <v>444</v>
      </c>
      <c r="E680" s="2" t="s">
        <v>399</v>
      </c>
      <c r="F680" s="21" t="n">
        <v>45883.6837638889</v>
      </c>
      <c r="G680" s="21" t="n">
        <v>45884.6271127778</v>
      </c>
      <c r="H680" s="10" t="n">
        <v>6.64037333333333</v>
      </c>
      <c r="I680" s="15" t="n">
        <v>45889</v>
      </c>
      <c r="J680" s="2" t="s">
        <v>629</v>
      </c>
    </row>
    <row r="681" customFormat="false" ht="15" hidden="false" customHeight="false" outlineLevel="0" collapsed="false">
      <c r="A681" s="2" t="s">
        <v>581</v>
      </c>
      <c r="B681" s="2" t="s">
        <v>80</v>
      </c>
      <c r="C681" s="4" t="n">
        <v>8</v>
      </c>
      <c r="D681" s="2" t="s">
        <v>445</v>
      </c>
      <c r="E681" s="2" t="s">
        <v>402</v>
      </c>
      <c r="F681" s="21" t="n">
        <v>45884.6271127778</v>
      </c>
      <c r="G681" s="21" t="n">
        <v>45887.3411822222</v>
      </c>
      <c r="H681" s="10" t="n">
        <v>2.13766666666667</v>
      </c>
      <c r="I681" s="15" t="n">
        <v>45889</v>
      </c>
      <c r="J681" s="2" t="s">
        <v>629</v>
      </c>
    </row>
    <row r="682" customFormat="false" ht="15" hidden="false" customHeight="false" outlineLevel="0" collapsed="false">
      <c r="A682" s="2" t="s">
        <v>581</v>
      </c>
      <c r="B682" s="2" t="s">
        <v>80</v>
      </c>
      <c r="C682" s="4" t="n">
        <v>9</v>
      </c>
      <c r="D682" s="2" t="s">
        <v>447</v>
      </c>
      <c r="E682" s="2" t="s">
        <v>421</v>
      </c>
      <c r="F682" s="21" t="n">
        <v>45887.3411822222</v>
      </c>
      <c r="G682" s="21" t="n">
        <v>45887.4036822222</v>
      </c>
      <c r="H682" s="10" t="n">
        <v>1.5</v>
      </c>
      <c r="I682" s="15" t="n">
        <v>45889</v>
      </c>
      <c r="J682" s="2" t="s">
        <v>629</v>
      </c>
    </row>
    <row r="683" customFormat="false" ht="15" hidden="false" customHeight="false" outlineLevel="0" collapsed="false">
      <c r="A683" s="2" t="s">
        <v>581</v>
      </c>
      <c r="B683" s="2" t="s">
        <v>80</v>
      </c>
      <c r="C683" s="4" t="n">
        <v>10</v>
      </c>
      <c r="D683" s="2" t="s">
        <v>449</v>
      </c>
      <c r="E683" s="2" t="s">
        <v>423</v>
      </c>
      <c r="F683" s="21" t="n">
        <v>45887.4036822222</v>
      </c>
      <c r="G683" s="21" t="n">
        <v>45887.4390780556</v>
      </c>
      <c r="H683" s="10" t="n">
        <v>0.8495</v>
      </c>
      <c r="I683" s="15" t="n">
        <v>45889</v>
      </c>
      <c r="J683" s="2" t="s">
        <v>629</v>
      </c>
    </row>
    <row r="684" customFormat="false" ht="15" hidden="false" customHeight="false" outlineLevel="0" collapsed="false">
      <c r="A684" s="2" t="s">
        <v>581</v>
      </c>
      <c r="B684" s="2" t="s">
        <v>80</v>
      </c>
      <c r="C684" s="4" t="n">
        <v>11</v>
      </c>
      <c r="D684" s="2" t="s">
        <v>450</v>
      </c>
      <c r="E684" s="2" t="s">
        <v>406</v>
      </c>
      <c r="F684" s="21" t="n">
        <v>45887.4390780556</v>
      </c>
      <c r="G684" s="21" t="n">
        <v>45888.6974113889</v>
      </c>
      <c r="H684" s="10" t="n">
        <v>13.2</v>
      </c>
      <c r="I684" s="15" t="n">
        <v>45889</v>
      </c>
      <c r="J684" s="2" t="s">
        <v>629</v>
      </c>
    </row>
    <row r="685" customFormat="false" ht="15" hidden="false" customHeight="false" outlineLevel="0" collapsed="false">
      <c r="A685" s="2" t="s">
        <v>581</v>
      </c>
      <c r="B685" s="2" t="s">
        <v>80</v>
      </c>
      <c r="C685" s="4" t="n">
        <v>12</v>
      </c>
      <c r="D685" s="2" t="s">
        <v>451</v>
      </c>
      <c r="E685" s="2" t="s">
        <v>408</v>
      </c>
      <c r="F685" s="21" t="n">
        <v>45888.6974113889</v>
      </c>
      <c r="G685" s="21" t="n">
        <v>45889.3600363889</v>
      </c>
      <c r="H685" s="10" t="n">
        <v>0.903</v>
      </c>
      <c r="I685" s="15" t="n">
        <v>45889</v>
      </c>
      <c r="J685" s="2" t="s">
        <v>629</v>
      </c>
    </row>
    <row r="686" customFormat="false" ht="15" hidden="false" customHeight="false" outlineLevel="0" collapsed="false">
      <c r="A686" s="2" t="s">
        <v>581</v>
      </c>
      <c r="B686" s="2" t="s">
        <v>80</v>
      </c>
      <c r="C686" s="4" t="n">
        <v>13</v>
      </c>
      <c r="D686" s="2" t="s">
        <v>452</v>
      </c>
      <c r="E686" s="2" t="s">
        <v>411</v>
      </c>
      <c r="F686" s="21" t="n">
        <v>45889.3600363889</v>
      </c>
      <c r="G686" s="21" t="n">
        <v>45889.4106613889</v>
      </c>
      <c r="H686" s="10" t="n">
        <v>1.215</v>
      </c>
      <c r="I686" s="15" t="n">
        <v>45889</v>
      </c>
      <c r="J686" s="2" t="s">
        <v>629</v>
      </c>
    </row>
    <row r="687" customFormat="false" ht="15" hidden="false" customHeight="false" outlineLevel="0" collapsed="false">
      <c r="A687" s="2" t="s">
        <v>583</v>
      </c>
      <c r="B687" s="2" t="s">
        <v>94</v>
      </c>
      <c r="C687" s="4" t="n">
        <v>1</v>
      </c>
      <c r="D687" s="2" t="s">
        <v>437</v>
      </c>
      <c r="E687" s="2" t="s">
        <v>375</v>
      </c>
      <c r="F687" s="21" t="n">
        <v>45873.6986527778</v>
      </c>
      <c r="G687" s="21" t="n">
        <v>45875.4979861111</v>
      </c>
      <c r="H687" s="10" t="n">
        <v>12.184</v>
      </c>
      <c r="I687" s="15" t="n">
        <v>45887</v>
      </c>
      <c r="J687" s="2" t="s">
        <v>629</v>
      </c>
    </row>
    <row r="688" customFormat="false" ht="15" hidden="false" customHeight="false" outlineLevel="0" collapsed="false">
      <c r="A688" s="2" t="s">
        <v>583</v>
      </c>
      <c r="B688" s="2" t="s">
        <v>94</v>
      </c>
      <c r="C688" s="4" t="n">
        <v>2</v>
      </c>
      <c r="D688" s="2" t="s">
        <v>441</v>
      </c>
      <c r="E688" s="2" t="s">
        <v>380</v>
      </c>
      <c r="F688" s="21" t="n">
        <v>45875.4979861111</v>
      </c>
      <c r="G688" s="21" t="n">
        <v>45875.5784305556</v>
      </c>
      <c r="H688" s="10" t="n">
        <v>0.930666666666667</v>
      </c>
      <c r="I688" s="15" t="n">
        <v>45887</v>
      </c>
      <c r="J688" s="2" t="s">
        <v>629</v>
      </c>
    </row>
    <row r="689" customFormat="false" ht="15" hidden="false" customHeight="false" outlineLevel="0" collapsed="false">
      <c r="A689" s="2" t="s">
        <v>583</v>
      </c>
      <c r="B689" s="2" t="s">
        <v>94</v>
      </c>
      <c r="C689" s="4" t="n">
        <v>3</v>
      </c>
      <c r="D689" s="2" t="s">
        <v>386</v>
      </c>
      <c r="E689" s="2" t="s">
        <v>383</v>
      </c>
      <c r="F689" s="21" t="n">
        <v>45876.6870972222</v>
      </c>
      <c r="G689" s="21" t="n">
        <v>45880.5662638889</v>
      </c>
      <c r="H689" s="10" t="n">
        <v>13.1</v>
      </c>
      <c r="I689" s="15" t="n">
        <v>45887</v>
      </c>
      <c r="J689" s="2" t="s">
        <v>629</v>
      </c>
    </row>
    <row r="690" customFormat="false" ht="15" hidden="false" customHeight="false" outlineLevel="0" collapsed="false">
      <c r="A690" s="2" t="s">
        <v>583</v>
      </c>
      <c r="B690" s="2" t="s">
        <v>94</v>
      </c>
      <c r="C690" s="4" t="n">
        <v>4</v>
      </c>
      <c r="D690" s="2" t="s">
        <v>390</v>
      </c>
      <c r="E690" s="2" t="s">
        <v>387</v>
      </c>
      <c r="F690" s="21" t="n">
        <v>45880.5787638889</v>
      </c>
      <c r="G690" s="21" t="n">
        <v>45883.6759861111</v>
      </c>
      <c r="H690" s="10" t="n">
        <v>26.3333333333333</v>
      </c>
      <c r="I690" s="15" t="n">
        <v>45887</v>
      </c>
      <c r="J690" s="2" t="s">
        <v>629</v>
      </c>
    </row>
    <row r="691" customFormat="false" ht="15" hidden="false" customHeight="false" outlineLevel="0" collapsed="false">
      <c r="A691" s="2" t="s">
        <v>583</v>
      </c>
      <c r="B691" s="2" t="s">
        <v>94</v>
      </c>
      <c r="C691" s="4" t="n">
        <v>5</v>
      </c>
      <c r="D691" s="2" t="s">
        <v>443</v>
      </c>
      <c r="E691" s="2" t="s">
        <v>395</v>
      </c>
      <c r="F691" s="21" t="n">
        <v>45883.6837638889</v>
      </c>
      <c r="G691" s="21" t="n">
        <v>45884.6358472222</v>
      </c>
      <c r="H691" s="10" t="n">
        <v>6.85</v>
      </c>
      <c r="I691" s="15" t="n">
        <v>45887</v>
      </c>
      <c r="J691" s="2" t="s">
        <v>629</v>
      </c>
    </row>
    <row r="692" customFormat="false" ht="15" hidden="false" customHeight="false" outlineLevel="0" collapsed="false">
      <c r="A692" s="2" t="s">
        <v>583</v>
      </c>
      <c r="B692" s="2" t="s">
        <v>94</v>
      </c>
      <c r="C692" s="4" t="n">
        <v>6</v>
      </c>
      <c r="D692" s="2" t="s">
        <v>444</v>
      </c>
      <c r="E692" s="2" t="s">
        <v>399</v>
      </c>
      <c r="F692" s="21" t="n">
        <v>45884.6358472222</v>
      </c>
      <c r="G692" s="21" t="n">
        <v>45887.4900983333</v>
      </c>
      <c r="H692" s="10" t="n">
        <v>5.50202666666667</v>
      </c>
      <c r="I692" s="15" t="n">
        <v>45887</v>
      </c>
      <c r="J692" s="2" t="s">
        <v>629</v>
      </c>
    </row>
    <row r="693" customFormat="false" ht="15" hidden="false" customHeight="false" outlineLevel="0" collapsed="false">
      <c r="A693" s="2" t="s">
        <v>583</v>
      </c>
      <c r="B693" s="2" t="s">
        <v>94</v>
      </c>
      <c r="C693" s="4" t="n">
        <v>7</v>
      </c>
      <c r="D693" s="2" t="s">
        <v>445</v>
      </c>
      <c r="E693" s="2" t="s">
        <v>402</v>
      </c>
      <c r="F693" s="21" t="n">
        <v>45887.4900983333</v>
      </c>
      <c r="G693" s="21" t="n">
        <v>45887.5832094444</v>
      </c>
      <c r="H693" s="10" t="n">
        <v>1.23466666666667</v>
      </c>
      <c r="I693" s="15" t="n">
        <v>45887</v>
      </c>
      <c r="J693" s="2" t="s">
        <v>629</v>
      </c>
    </row>
    <row r="694" customFormat="false" ht="15" hidden="false" customHeight="false" outlineLevel="0" collapsed="false">
      <c r="A694" s="2" t="s">
        <v>583</v>
      </c>
      <c r="B694" s="2" t="s">
        <v>94</v>
      </c>
      <c r="C694" s="4" t="n">
        <v>8</v>
      </c>
      <c r="D694" s="2" t="s">
        <v>447</v>
      </c>
      <c r="E694" s="2" t="s">
        <v>421</v>
      </c>
      <c r="F694" s="21" t="n">
        <v>45887.5832094444</v>
      </c>
      <c r="G694" s="21" t="n">
        <v>45887.6144594444</v>
      </c>
      <c r="H694" s="10" t="n">
        <v>0.75</v>
      </c>
      <c r="I694" s="15" t="n">
        <v>45887</v>
      </c>
      <c r="J694" s="2" t="s">
        <v>629</v>
      </c>
    </row>
    <row r="695" customFormat="false" ht="15" hidden="false" customHeight="false" outlineLevel="0" collapsed="false">
      <c r="A695" s="2" t="s">
        <v>583</v>
      </c>
      <c r="B695" s="2" t="s">
        <v>94</v>
      </c>
      <c r="C695" s="4" t="n">
        <v>9</v>
      </c>
      <c r="D695" s="2" t="s">
        <v>449</v>
      </c>
      <c r="E695" s="2" t="s">
        <v>423</v>
      </c>
      <c r="F695" s="21" t="n">
        <v>45887.6144594444</v>
      </c>
      <c r="G695" s="21" t="n">
        <v>45887.6346261111</v>
      </c>
      <c r="H695" s="10" t="n">
        <v>0.484</v>
      </c>
      <c r="I695" s="15" t="n">
        <v>45887</v>
      </c>
      <c r="J695" s="2" t="s">
        <v>629</v>
      </c>
    </row>
    <row r="696" customFormat="false" ht="15" hidden="false" customHeight="false" outlineLevel="0" collapsed="false">
      <c r="A696" s="2" t="s">
        <v>583</v>
      </c>
      <c r="B696" s="2" t="s">
        <v>94</v>
      </c>
      <c r="C696" s="4" t="n">
        <v>10</v>
      </c>
      <c r="D696" s="2" t="s">
        <v>450</v>
      </c>
      <c r="E696" s="2" t="s">
        <v>406</v>
      </c>
      <c r="F696" s="21" t="n">
        <v>45888.6974113889</v>
      </c>
      <c r="G696" s="21" t="n">
        <v>45890.3765780556</v>
      </c>
      <c r="H696" s="10" t="n">
        <v>9.3</v>
      </c>
      <c r="I696" s="15" t="n">
        <v>45887</v>
      </c>
      <c r="J696" s="2" t="s">
        <v>629</v>
      </c>
    </row>
    <row r="697" customFormat="false" ht="15" hidden="false" customHeight="false" outlineLevel="0" collapsed="false">
      <c r="A697" s="2" t="s">
        <v>583</v>
      </c>
      <c r="B697" s="2" t="s">
        <v>94</v>
      </c>
      <c r="C697" s="4" t="n">
        <v>11</v>
      </c>
      <c r="D697" s="2" t="s">
        <v>451</v>
      </c>
      <c r="E697" s="2" t="s">
        <v>408</v>
      </c>
      <c r="F697" s="21" t="n">
        <v>45890.3765780556</v>
      </c>
      <c r="G697" s="21" t="n">
        <v>45890.3990225</v>
      </c>
      <c r="H697" s="10" t="n">
        <v>0.538666666666667</v>
      </c>
      <c r="I697" s="15" t="n">
        <v>45887</v>
      </c>
      <c r="J697" s="2" t="s">
        <v>629</v>
      </c>
    </row>
    <row r="698" customFormat="false" ht="15" hidden="false" customHeight="false" outlineLevel="0" collapsed="false">
      <c r="A698" s="2" t="s">
        <v>583</v>
      </c>
      <c r="B698" s="2" t="s">
        <v>94</v>
      </c>
      <c r="C698" s="4" t="n">
        <v>12</v>
      </c>
      <c r="D698" s="2" t="s">
        <v>452</v>
      </c>
      <c r="E698" s="2" t="s">
        <v>411</v>
      </c>
      <c r="F698" s="21" t="n">
        <v>45890.3990225</v>
      </c>
      <c r="G698" s="21" t="n">
        <v>45890.4291891667</v>
      </c>
      <c r="H698" s="10" t="n">
        <v>0.724</v>
      </c>
      <c r="I698" s="15" t="n">
        <v>45887</v>
      </c>
      <c r="J698" s="2" t="s">
        <v>629</v>
      </c>
    </row>
    <row r="699" customFormat="false" ht="15" hidden="false" customHeight="false" outlineLevel="0" collapsed="false">
      <c r="A699" s="2" t="s">
        <v>585</v>
      </c>
      <c r="B699" s="2" t="s">
        <v>106</v>
      </c>
      <c r="C699" s="4" t="n">
        <v>1</v>
      </c>
      <c r="D699" s="2" t="s">
        <v>437</v>
      </c>
      <c r="E699" s="2" t="s">
        <v>375</v>
      </c>
      <c r="F699" s="21" t="n">
        <v>45875.4979861111</v>
      </c>
      <c r="G699" s="21" t="n">
        <v>45876.3378958333</v>
      </c>
      <c r="H699" s="10" t="n">
        <v>4.15783333333333</v>
      </c>
      <c r="I699" s="15" t="n">
        <v>45886</v>
      </c>
      <c r="J699" s="2" t="s">
        <v>629</v>
      </c>
    </row>
    <row r="700" customFormat="false" ht="15" hidden="false" customHeight="false" outlineLevel="0" collapsed="false">
      <c r="A700" s="2" t="s">
        <v>585</v>
      </c>
      <c r="B700" s="2" t="s">
        <v>106</v>
      </c>
      <c r="C700" s="4" t="n">
        <v>2</v>
      </c>
      <c r="D700" s="2" t="s">
        <v>386</v>
      </c>
      <c r="E700" s="2" t="s">
        <v>383</v>
      </c>
      <c r="F700" s="21" t="n">
        <v>45880.5662638889</v>
      </c>
      <c r="G700" s="21" t="n">
        <v>45880.634875</v>
      </c>
      <c r="H700" s="10" t="n">
        <v>1.64666666666667</v>
      </c>
      <c r="I700" s="15" t="n">
        <v>45886</v>
      </c>
      <c r="J700" s="2" t="s">
        <v>629</v>
      </c>
    </row>
    <row r="701" customFormat="false" ht="15" hidden="false" customHeight="false" outlineLevel="0" collapsed="false">
      <c r="A701" s="2" t="s">
        <v>585</v>
      </c>
      <c r="B701" s="2" t="s">
        <v>106</v>
      </c>
      <c r="C701" s="4" t="n">
        <v>3</v>
      </c>
      <c r="D701" s="2" t="s">
        <v>390</v>
      </c>
      <c r="E701" s="2" t="s">
        <v>387</v>
      </c>
      <c r="F701" s="21" t="n">
        <v>45883.6759861111</v>
      </c>
      <c r="G701" s="21" t="n">
        <v>45887.4093194444</v>
      </c>
      <c r="H701" s="10" t="n">
        <v>10.6</v>
      </c>
      <c r="I701" s="15" t="n">
        <v>45886</v>
      </c>
      <c r="J701" s="2" t="s">
        <v>629</v>
      </c>
    </row>
    <row r="702" customFormat="false" ht="15" hidden="false" customHeight="false" outlineLevel="0" collapsed="false">
      <c r="A702" s="2" t="s">
        <v>585</v>
      </c>
      <c r="B702" s="2" t="s">
        <v>106</v>
      </c>
      <c r="C702" s="4" t="n">
        <v>4</v>
      </c>
      <c r="D702" s="2" t="s">
        <v>443</v>
      </c>
      <c r="E702" s="2" t="s">
        <v>395</v>
      </c>
      <c r="F702" s="21" t="n">
        <v>45887.4093194444</v>
      </c>
      <c r="G702" s="21" t="n">
        <v>45887.4864027778</v>
      </c>
      <c r="H702" s="10" t="n">
        <v>1.85</v>
      </c>
      <c r="I702" s="15" t="n">
        <v>45886</v>
      </c>
      <c r="J702" s="2" t="s">
        <v>629</v>
      </c>
    </row>
    <row r="703" customFormat="false" ht="15" hidden="false" customHeight="false" outlineLevel="0" collapsed="false">
      <c r="A703" s="2" t="s">
        <v>585</v>
      </c>
      <c r="B703" s="2" t="s">
        <v>106</v>
      </c>
      <c r="C703" s="4" t="n">
        <v>5</v>
      </c>
      <c r="D703" s="2" t="s">
        <v>444</v>
      </c>
      <c r="E703" s="2" t="s">
        <v>399</v>
      </c>
      <c r="F703" s="21" t="n">
        <v>45887.4900983333</v>
      </c>
      <c r="G703" s="21" t="n">
        <v>45887.645615</v>
      </c>
      <c r="H703" s="10" t="n">
        <v>2.7324</v>
      </c>
      <c r="I703" s="15" t="n">
        <v>45886</v>
      </c>
      <c r="J703" s="2" t="s">
        <v>629</v>
      </c>
    </row>
    <row r="704" customFormat="false" ht="15" hidden="false" customHeight="false" outlineLevel="0" collapsed="false">
      <c r="A704" s="2" t="s">
        <v>585</v>
      </c>
      <c r="B704" s="2" t="s">
        <v>106</v>
      </c>
      <c r="C704" s="4" t="n">
        <v>6</v>
      </c>
      <c r="D704" s="2" t="s">
        <v>445</v>
      </c>
      <c r="E704" s="2" t="s">
        <v>402</v>
      </c>
      <c r="F704" s="21" t="n">
        <v>45887.645615</v>
      </c>
      <c r="G704" s="21" t="n">
        <v>45887.6824066667</v>
      </c>
      <c r="H704" s="10" t="n">
        <v>0.883</v>
      </c>
      <c r="I704" s="15" t="n">
        <v>45886</v>
      </c>
      <c r="J704" s="2" t="s">
        <v>629</v>
      </c>
    </row>
    <row r="705" customFormat="false" ht="15" hidden="false" customHeight="false" outlineLevel="0" collapsed="false">
      <c r="A705" s="2" t="s">
        <v>585</v>
      </c>
      <c r="B705" s="2" t="s">
        <v>106</v>
      </c>
      <c r="C705" s="4" t="n">
        <v>7</v>
      </c>
      <c r="D705" s="2" t="s">
        <v>447</v>
      </c>
      <c r="E705" s="2" t="s">
        <v>421</v>
      </c>
      <c r="F705" s="21" t="n">
        <v>45887.6824066667</v>
      </c>
      <c r="G705" s="21" t="n">
        <v>45888.3386566667</v>
      </c>
      <c r="H705" s="10" t="n">
        <v>0.75</v>
      </c>
      <c r="I705" s="15" t="n">
        <v>45886</v>
      </c>
      <c r="J705" s="2" t="s">
        <v>629</v>
      </c>
    </row>
    <row r="706" customFormat="false" ht="15" hidden="false" customHeight="false" outlineLevel="0" collapsed="false">
      <c r="A706" s="2" t="s">
        <v>585</v>
      </c>
      <c r="B706" s="2" t="s">
        <v>106</v>
      </c>
      <c r="C706" s="4" t="n">
        <v>8</v>
      </c>
      <c r="D706" s="2" t="s">
        <v>449</v>
      </c>
      <c r="E706" s="2" t="s">
        <v>423</v>
      </c>
      <c r="F706" s="21" t="n">
        <v>45888.3386566667</v>
      </c>
      <c r="G706" s="21" t="n">
        <v>45888.3542955556</v>
      </c>
      <c r="H706" s="10" t="n">
        <v>0.375333333333333</v>
      </c>
      <c r="I706" s="15" t="n">
        <v>45886</v>
      </c>
      <c r="J706" s="2" t="s">
        <v>629</v>
      </c>
    </row>
    <row r="707" customFormat="false" ht="15" hidden="false" customHeight="false" outlineLevel="0" collapsed="false">
      <c r="A707" s="2" t="s">
        <v>585</v>
      </c>
      <c r="B707" s="2" t="s">
        <v>106</v>
      </c>
      <c r="C707" s="4" t="n">
        <v>9</v>
      </c>
      <c r="D707" s="2" t="s">
        <v>450</v>
      </c>
      <c r="E707" s="2" t="s">
        <v>406</v>
      </c>
      <c r="F707" s="21" t="n">
        <v>45890.3765780556</v>
      </c>
      <c r="G707" s="21" t="n">
        <v>45890.5974113889</v>
      </c>
      <c r="H707" s="10" t="n">
        <v>4.3</v>
      </c>
      <c r="I707" s="15" t="n">
        <v>45886</v>
      </c>
      <c r="J707" s="2" t="s">
        <v>629</v>
      </c>
    </row>
    <row r="708" customFormat="false" ht="15" hidden="false" customHeight="false" outlineLevel="0" collapsed="false">
      <c r="A708" s="2" t="s">
        <v>585</v>
      </c>
      <c r="B708" s="2" t="s">
        <v>106</v>
      </c>
      <c r="C708" s="4" t="n">
        <v>10</v>
      </c>
      <c r="D708" s="2" t="s">
        <v>451</v>
      </c>
      <c r="E708" s="2" t="s">
        <v>408</v>
      </c>
      <c r="F708" s="21" t="n">
        <v>45890.5974113889</v>
      </c>
      <c r="G708" s="21" t="n">
        <v>45890.6134669444</v>
      </c>
      <c r="H708" s="10" t="n">
        <v>0.385333333333333</v>
      </c>
      <c r="I708" s="15" t="n">
        <v>45886</v>
      </c>
      <c r="J708" s="2" t="s">
        <v>629</v>
      </c>
    </row>
    <row r="709" customFormat="false" ht="15" hidden="false" customHeight="false" outlineLevel="0" collapsed="false">
      <c r="A709" s="2" t="s">
        <v>585</v>
      </c>
      <c r="B709" s="2" t="s">
        <v>106</v>
      </c>
      <c r="C709" s="4" t="n">
        <v>11</v>
      </c>
      <c r="D709" s="2" t="s">
        <v>452</v>
      </c>
      <c r="E709" s="2" t="s">
        <v>411</v>
      </c>
      <c r="F709" s="21" t="n">
        <v>45890.6134669444</v>
      </c>
      <c r="G709" s="21" t="n">
        <v>45890.6347725</v>
      </c>
      <c r="H709" s="10" t="n">
        <v>0.511333333333333</v>
      </c>
      <c r="I709" s="15" t="n">
        <v>45886</v>
      </c>
      <c r="J709" s="2" t="s">
        <v>629</v>
      </c>
    </row>
    <row r="710" customFormat="false" ht="15" hidden="false" customHeight="false" outlineLevel="0" collapsed="false">
      <c r="A710" s="2" t="s">
        <v>587</v>
      </c>
      <c r="B710" s="2" t="s">
        <v>119</v>
      </c>
      <c r="C710" s="4" t="n">
        <v>1</v>
      </c>
      <c r="D710" s="2" t="s">
        <v>437</v>
      </c>
      <c r="E710" s="2" t="s">
        <v>375</v>
      </c>
      <c r="F710" s="21" t="n">
        <v>45876.3378958333</v>
      </c>
      <c r="G710" s="21" t="n">
        <v>45876.6623125</v>
      </c>
      <c r="H710" s="10" t="n">
        <v>6.786</v>
      </c>
      <c r="I710" s="15" t="n">
        <v>45887</v>
      </c>
      <c r="J710" s="2" t="s">
        <v>629</v>
      </c>
    </row>
    <row r="711" customFormat="false" ht="15" hidden="false" customHeight="false" outlineLevel="0" collapsed="false">
      <c r="A711" s="2" t="s">
        <v>587</v>
      </c>
      <c r="B711" s="2" t="s">
        <v>119</v>
      </c>
      <c r="C711" s="4" t="n">
        <v>2</v>
      </c>
      <c r="D711" s="2" t="s">
        <v>386</v>
      </c>
      <c r="E711" s="2" t="s">
        <v>383</v>
      </c>
      <c r="F711" s="21" t="n">
        <v>45880.634875</v>
      </c>
      <c r="G711" s="21" t="n">
        <v>45880.6930694445</v>
      </c>
      <c r="H711" s="10" t="n">
        <v>1.39666666666667</v>
      </c>
      <c r="I711" s="15" t="n">
        <v>45887</v>
      </c>
      <c r="J711" s="2" t="s">
        <v>629</v>
      </c>
    </row>
    <row r="712" customFormat="false" ht="15" hidden="false" customHeight="false" outlineLevel="0" collapsed="false">
      <c r="A712" s="2" t="s">
        <v>587</v>
      </c>
      <c r="B712" s="2" t="s">
        <v>119</v>
      </c>
      <c r="C712" s="4" t="n">
        <v>3</v>
      </c>
      <c r="D712" s="2" t="s">
        <v>390</v>
      </c>
      <c r="E712" s="2" t="s">
        <v>387</v>
      </c>
      <c r="F712" s="21" t="n">
        <v>45887.4093194444</v>
      </c>
      <c r="G712" s="21" t="n">
        <v>45889.4162638889</v>
      </c>
      <c r="H712" s="10" t="n">
        <v>16.1666666666667</v>
      </c>
      <c r="I712" s="15" t="n">
        <v>45887</v>
      </c>
      <c r="J712" s="2" t="s">
        <v>629</v>
      </c>
    </row>
    <row r="713" customFormat="false" ht="15" hidden="false" customHeight="false" outlineLevel="0" collapsed="false">
      <c r="A713" s="2" t="s">
        <v>587</v>
      </c>
      <c r="B713" s="2" t="s">
        <v>119</v>
      </c>
      <c r="C713" s="4" t="n">
        <v>4</v>
      </c>
      <c r="D713" s="2" t="s">
        <v>443</v>
      </c>
      <c r="E713" s="2" t="s">
        <v>395</v>
      </c>
      <c r="F713" s="21" t="n">
        <v>45889.4162638889</v>
      </c>
      <c r="G713" s="21" t="n">
        <v>45889.5766805556</v>
      </c>
      <c r="H713" s="10" t="n">
        <v>2.85</v>
      </c>
      <c r="I713" s="15" t="n">
        <v>45887</v>
      </c>
      <c r="J713" s="2" t="s">
        <v>629</v>
      </c>
    </row>
    <row r="714" customFormat="false" ht="15" hidden="false" customHeight="false" outlineLevel="0" collapsed="false">
      <c r="A714" s="2" t="s">
        <v>587</v>
      </c>
      <c r="B714" s="2" t="s">
        <v>119</v>
      </c>
      <c r="C714" s="4" t="n">
        <v>5</v>
      </c>
      <c r="D714" s="2" t="s">
        <v>444</v>
      </c>
      <c r="E714" s="2" t="s">
        <v>399</v>
      </c>
      <c r="F714" s="21" t="n">
        <v>45889.5766805556</v>
      </c>
      <c r="G714" s="21" t="n">
        <v>45890.406425</v>
      </c>
      <c r="H714" s="10" t="n">
        <v>4.91386666666667</v>
      </c>
      <c r="I714" s="15" t="n">
        <v>45887</v>
      </c>
      <c r="J714" s="2" t="s">
        <v>629</v>
      </c>
    </row>
    <row r="715" customFormat="false" ht="15" hidden="false" customHeight="false" outlineLevel="0" collapsed="false">
      <c r="A715" s="2" t="s">
        <v>587</v>
      </c>
      <c r="B715" s="2" t="s">
        <v>119</v>
      </c>
      <c r="C715" s="4" t="n">
        <v>6</v>
      </c>
      <c r="D715" s="2" t="s">
        <v>445</v>
      </c>
      <c r="E715" s="2" t="s">
        <v>402</v>
      </c>
      <c r="F715" s="21" t="n">
        <v>45890.406425</v>
      </c>
      <c r="G715" s="21" t="n">
        <v>45890.4733555556</v>
      </c>
      <c r="H715" s="10" t="n">
        <v>1.60633333333333</v>
      </c>
      <c r="I715" s="15" t="n">
        <v>45887</v>
      </c>
      <c r="J715" s="2" t="s">
        <v>629</v>
      </c>
    </row>
    <row r="716" customFormat="false" ht="15" hidden="false" customHeight="false" outlineLevel="0" collapsed="false">
      <c r="A716" s="2" t="s">
        <v>587</v>
      </c>
      <c r="B716" s="2" t="s">
        <v>119</v>
      </c>
      <c r="C716" s="4" t="n">
        <v>7</v>
      </c>
      <c r="D716" s="2" t="s">
        <v>447</v>
      </c>
      <c r="E716" s="2" t="s">
        <v>421</v>
      </c>
      <c r="F716" s="21" t="n">
        <v>45890.4733555556</v>
      </c>
      <c r="G716" s="21" t="n">
        <v>45890.5775222222</v>
      </c>
      <c r="H716" s="10" t="n">
        <v>1.5</v>
      </c>
      <c r="I716" s="15" t="n">
        <v>45887</v>
      </c>
      <c r="J716" s="2" t="s">
        <v>629</v>
      </c>
    </row>
    <row r="717" customFormat="false" ht="15" hidden="false" customHeight="false" outlineLevel="0" collapsed="false">
      <c r="A717" s="2" t="s">
        <v>587</v>
      </c>
      <c r="B717" s="2" t="s">
        <v>119</v>
      </c>
      <c r="C717" s="4" t="n">
        <v>8</v>
      </c>
      <c r="D717" s="2" t="s">
        <v>449</v>
      </c>
      <c r="E717" s="2" t="s">
        <v>423</v>
      </c>
      <c r="F717" s="21" t="n">
        <v>45890.5775222222</v>
      </c>
      <c r="G717" s="21" t="n">
        <v>45890.6066611111</v>
      </c>
      <c r="H717" s="10" t="n">
        <v>0.699333333333333</v>
      </c>
      <c r="I717" s="15" t="n">
        <v>45887</v>
      </c>
      <c r="J717" s="2" t="s">
        <v>629</v>
      </c>
    </row>
    <row r="718" customFormat="false" ht="15" hidden="false" customHeight="false" outlineLevel="0" collapsed="false">
      <c r="A718" s="2" t="s">
        <v>587</v>
      </c>
      <c r="B718" s="2" t="s">
        <v>119</v>
      </c>
      <c r="C718" s="4" t="n">
        <v>9</v>
      </c>
      <c r="D718" s="2" t="s">
        <v>450</v>
      </c>
      <c r="E718" s="2" t="s">
        <v>406</v>
      </c>
      <c r="F718" s="21" t="n">
        <v>45890.6066611111</v>
      </c>
      <c r="G718" s="21" t="n">
        <v>45891.4462444444</v>
      </c>
      <c r="H718" s="10" t="n">
        <v>5.15</v>
      </c>
      <c r="I718" s="15" t="n">
        <v>45887</v>
      </c>
      <c r="J718" s="2" t="s">
        <v>629</v>
      </c>
    </row>
    <row r="719" customFormat="false" ht="15" hidden="false" customHeight="false" outlineLevel="0" collapsed="false">
      <c r="A719" s="2" t="s">
        <v>587</v>
      </c>
      <c r="B719" s="2" t="s">
        <v>119</v>
      </c>
      <c r="C719" s="4" t="n">
        <v>10</v>
      </c>
      <c r="D719" s="2" t="s">
        <v>451</v>
      </c>
      <c r="E719" s="2" t="s">
        <v>408</v>
      </c>
      <c r="F719" s="21" t="n">
        <v>45891.4462444444</v>
      </c>
      <c r="G719" s="21" t="n">
        <v>45891.4753763889</v>
      </c>
      <c r="H719" s="10" t="n">
        <v>0.699166666666667</v>
      </c>
      <c r="I719" s="15" t="n">
        <v>45887</v>
      </c>
      <c r="J719" s="2" t="s">
        <v>629</v>
      </c>
    </row>
    <row r="720" customFormat="false" ht="15" hidden="false" customHeight="false" outlineLevel="0" collapsed="false">
      <c r="A720" s="2" t="s">
        <v>587</v>
      </c>
      <c r="B720" s="2" t="s">
        <v>119</v>
      </c>
      <c r="C720" s="4" t="n">
        <v>11</v>
      </c>
      <c r="D720" s="2" t="s">
        <v>452</v>
      </c>
      <c r="E720" s="2" t="s">
        <v>411</v>
      </c>
      <c r="F720" s="21" t="n">
        <v>45891.4753763889</v>
      </c>
      <c r="G720" s="21" t="n">
        <v>45891.5554944444</v>
      </c>
      <c r="H720" s="10" t="n">
        <v>0.922833333333333</v>
      </c>
      <c r="I720" s="15" t="n">
        <v>45887</v>
      </c>
      <c r="J720" s="2" t="s">
        <v>629</v>
      </c>
    </row>
    <row r="721" customFormat="false" ht="15" hidden="false" customHeight="false" outlineLevel="0" collapsed="false">
      <c r="A721" s="2" t="s">
        <v>582</v>
      </c>
      <c r="B721" s="2" t="s">
        <v>83</v>
      </c>
      <c r="C721" s="4" t="n">
        <v>1</v>
      </c>
      <c r="D721" s="2" t="s">
        <v>437</v>
      </c>
      <c r="E721" s="2" t="s">
        <v>375</v>
      </c>
      <c r="F721" s="21" t="n">
        <v>45887.3333333333</v>
      </c>
      <c r="G721" s="21" t="n">
        <v>45888.367625</v>
      </c>
      <c r="H721" s="10" t="n">
        <v>8.823</v>
      </c>
      <c r="I721" s="15" t="n">
        <v>45903</v>
      </c>
      <c r="J721" s="2" t="s">
        <v>629</v>
      </c>
    </row>
    <row r="722" customFormat="false" ht="15" hidden="false" customHeight="false" outlineLevel="0" collapsed="false">
      <c r="A722" s="2" t="s">
        <v>582</v>
      </c>
      <c r="B722" s="2" t="s">
        <v>83</v>
      </c>
      <c r="C722" s="4" t="n">
        <v>2</v>
      </c>
      <c r="D722" s="2" t="s">
        <v>441</v>
      </c>
      <c r="E722" s="2" t="s">
        <v>380</v>
      </c>
      <c r="F722" s="21" t="n">
        <v>45888.367625</v>
      </c>
      <c r="G722" s="21" t="n">
        <v>45889.592625</v>
      </c>
      <c r="H722" s="10" t="n">
        <v>12.4</v>
      </c>
      <c r="I722" s="15" t="n">
        <v>45903</v>
      </c>
      <c r="J722" s="2" t="s">
        <v>629</v>
      </c>
    </row>
    <row r="723" customFormat="false" ht="15" hidden="false" customHeight="false" outlineLevel="0" collapsed="false">
      <c r="A723" s="2" t="s">
        <v>582</v>
      </c>
      <c r="B723" s="2" t="s">
        <v>83</v>
      </c>
      <c r="C723" s="4" t="n">
        <v>3</v>
      </c>
      <c r="D723" s="2" t="s">
        <v>386</v>
      </c>
      <c r="E723" s="2" t="s">
        <v>383</v>
      </c>
      <c r="F723" s="21" t="n">
        <v>45889.592625</v>
      </c>
      <c r="G723" s="21" t="n">
        <v>45894.3630416667</v>
      </c>
      <c r="H723" s="10" t="n">
        <v>19.49</v>
      </c>
      <c r="I723" s="15" t="n">
        <v>45903</v>
      </c>
      <c r="J723" s="2" t="s">
        <v>629</v>
      </c>
    </row>
    <row r="724" customFormat="false" ht="15" hidden="false" customHeight="false" outlineLevel="0" collapsed="false">
      <c r="A724" s="2" t="s">
        <v>582</v>
      </c>
      <c r="B724" s="2" t="s">
        <v>83</v>
      </c>
      <c r="C724" s="4" t="n">
        <v>4</v>
      </c>
      <c r="D724" s="2" t="s">
        <v>390</v>
      </c>
      <c r="E724" s="2" t="s">
        <v>387</v>
      </c>
      <c r="F724" s="21" t="n">
        <v>45894.3630416667</v>
      </c>
      <c r="G724" s="21" t="n">
        <v>45896.383875</v>
      </c>
      <c r="H724" s="10" t="n">
        <v>16.5</v>
      </c>
      <c r="I724" s="15" t="n">
        <v>45903</v>
      </c>
      <c r="J724" s="2" t="s">
        <v>629</v>
      </c>
    </row>
    <row r="725" customFormat="false" ht="15" hidden="false" customHeight="false" outlineLevel="0" collapsed="false">
      <c r="A725" s="2" t="s">
        <v>582</v>
      </c>
      <c r="B725" s="2" t="s">
        <v>83</v>
      </c>
      <c r="C725" s="4" t="n">
        <v>5</v>
      </c>
      <c r="D725" s="2" t="s">
        <v>442</v>
      </c>
      <c r="E725" s="2" t="s">
        <v>391</v>
      </c>
      <c r="F725" s="21" t="n">
        <v>45896.383875</v>
      </c>
      <c r="G725" s="21" t="n">
        <v>45898.4933194445</v>
      </c>
      <c r="H725" s="10" t="n">
        <v>18.6266666666667</v>
      </c>
      <c r="I725" s="15" t="n">
        <v>45903</v>
      </c>
      <c r="J725" s="2" t="s">
        <v>629</v>
      </c>
    </row>
    <row r="726" customFormat="false" ht="15" hidden="false" customHeight="false" outlineLevel="0" collapsed="false">
      <c r="A726" s="2" t="s">
        <v>582</v>
      </c>
      <c r="B726" s="2" t="s">
        <v>83</v>
      </c>
      <c r="C726" s="4" t="n">
        <v>6</v>
      </c>
      <c r="D726" s="2" t="s">
        <v>443</v>
      </c>
      <c r="E726" s="2" t="s">
        <v>395</v>
      </c>
      <c r="F726" s="21" t="n">
        <v>45898.4933194445</v>
      </c>
      <c r="G726" s="21" t="n">
        <v>45901.6870694444</v>
      </c>
      <c r="H726" s="10" t="n">
        <v>11.65</v>
      </c>
      <c r="I726" s="15" t="n">
        <v>45903</v>
      </c>
      <c r="J726" s="2" t="s">
        <v>629</v>
      </c>
    </row>
    <row r="727" customFormat="false" ht="15" hidden="false" customHeight="false" outlineLevel="0" collapsed="false">
      <c r="A727" s="2" t="s">
        <v>582</v>
      </c>
      <c r="B727" s="2" t="s">
        <v>83</v>
      </c>
      <c r="C727" s="4" t="n">
        <v>7</v>
      </c>
      <c r="D727" s="2" t="s">
        <v>444</v>
      </c>
      <c r="E727" s="2" t="s">
        <v>399</v>
      </c>
      <c r="F727" s="21" t="n">
        <v>45901.6870694444</v>
      </c>
      <c r="G727" s="21" t="n">
        <v>45902.6738027778</v>
      </c>
      <c r="H727" s="10" t="n">
        <v>7.6816</v>
      </c>
      <c r="I727" s="15" t="n">
        <v>45903</v>
      </c>
      <c r="J727" s="2" t="s">
        <v>629</v>
      </c>
    </row>
    <row r="728" customFormat="false" ht="15" hidden="false" customHeight="false" outlineLevel="0" collapsed="false">
      <c r="A728" s="2" t="s">
        <v>582</v>
      </c>
      <c r="B728" s="2" t="s">
        <v>83</v>
      </c>
      <c r="C728" s="4" t="n">
        <v>8</v>
      </c>
      <c r="D728" s="2" t="s">
        <v>445</v>
      </c>
      <c r="E728" s="2" t="s">
        <v>402</v>
      </c>
      <c r="F728" s="21" t="n">
        <v>45902.6738027778</v>
      </c>
      <c r="G728" s="21" t="n">
        <v>45903.3934416667</v>
      </c>
      <c r="H728" s="10" t="n">
        <v>2.27133333333333</v>
      </c>
      <c r="I728" s="15" t="n">
        <v>45903</v>
      </c>
      <c r="J728" s="2" t="s">
        <v>629</v>
      </c>
    </row>
    <row r="729" customFormat="false" ht="15" hidden="false" customHeight="false" outlineLevel="0" collapsed="false">
      <c r="A729" s="2" t="s">
        <v>582</v>
      </c>
      <c r="B729" s="2" t="s">
        <v>83</v>
      </c>
      <c r="C729" s="4" t="n">
        <v>9</v>
      </c>
      <c r="D729" s="2" t="s">
        <v>447</v>
      </c>
      <c r="E729" s="2" t="s">
        <v>421</v>
      </c>
      <c r="F729" s="21" t="n">
        <v>45903.3934416667</v>
      </c>
      <c r="G729" s="21" t="n">
        <v>45903.4559416667</v>
      </c>
      <c r="H729" s="10" t="n">
        <v>1.5</v>
      </c>
      <c r="I729" s="15" t="n">
        <v>45903</v>
      </c>
      <c r="J729" s="2" t="s">
        <v>629</v>
      </c>
    </row>
    <row r="730" customFormat="false" ht="15" hidden="false" customHeight="false" outlineLevel="0" collapsed="false">
      <c r="A730" s="2" t="s">
        <v>582</v>
      </c>
      <c r="B730" s="2" t="s">
        <v>83</v>
      </c>
      <c r="C730" s="4" t="n">
        <v>10</v>
      </c>
      <c r="D730" s="2" t="s">
        <v>449</v>
      </c>
      <c r="E730" s="2" t="s">
        <v>423</v>
      </c>
      <c r="F730" s="21" t="n">
        <v>45903.4559416667</v>
      </c>
      <c r="G730" s="21" t="n">
        <v>45903.4932055556</v>
      </c>
      <c r="H730" s="10" t="n">
        <v>0.894333333333333</v>
      </c>
      <c r="I730" s="15" t="n">
        <v>45903</v>
      </c>
      <c r="J730" s="2" t="s">
        <v>629</v>
      </c>
    </row>
    <row r="731" customFormat="false" ht="15" hidden="false" customHeight="false" outlineLevel="0" collapsed="false">
      <c r="A731" s="2" t="s">
        <v>582</v>
      </c>
      <c r="B731" s="2" t="s">
        <v>83</v>
      </c>
      <c r="C731" s="4" t="n">
        <v>11</v>
      </c>
      <c r="D731" s="2" t="s">
        <v>450</v>
      </c>
      <c r="E731" s="2" t="s">
        <v>406</v>
      </c>
      <c r="F731" s="21" t="n">
        <v>45903.4932055556</v>
      </c>
      <c r="G731" s="21" t="n">
        <v>45905.4400805556</v>
      </c>
      <c r="H731" s="10" t="n">
        <v>14.725</v>
      </c>
      <c r="I731" s="15" t="n">
        <v>45903</v>
      </c>
      <c r="J731" s="2" t="s">
        <v>629</v>
      </c>
    </row>
    <row r="732" customFormat="false" ht="15" hidden="false" customHeight="false" outlineLevel="0" collapsed="false">
      <c r="A732" s="2" t="s">
        <v>582</v>
      </c>
      <c r="B732" s="2" t="s">
        <v>83</v>
      </c>
      <c r="C732" s="4" t="n">
        <v>12</v>
      </c>
      <c r="D732" s="2" t="s">
        <v>451</v>
      </c>
      <c r="E732" s="2" t="s">
        <v>408</v>
      </c>
      <c r="F732" s="21" t="n">
        <v>45905.4400805556</v>
      </c>
      <c r="G732" s="21" t="n">
        <v>45905.4803861111</v>
      </c>
      <c r="H732" s="10" t="n">
        <v>0.967333333333333</v>
      </c>
      <c r="I732" s="15" t="n">
        <v>45903</v>
      </c>
      <c r="J732" s="2" t="s">
        <v>629</v>
      </c>
    </row>
    <row r="733" customFormat="false" ht="15" hidden="false" customHeight="false" outlineLevel="0" collapsed="false">
      <c r="A733" s="2" t="s">
        <v>582</v>
      </c>
      <c r="B733" s="2" t="s">
        <v>83</v>
      </c>
      <c r="C733" s="4" t="n">
        <v>13</v>
      </c>
      <c r="D733" s="2" t="s">
        <v>452</v>
      </c>
      <c r="E733" s="2" t="s">
        <v>411</v>
      </c>
      <c r="F733" s="21" t="n">
        <v>45905.4803861111</v>
      </c>
      <c r="G733" s="21" t="n">
        <v>45905.5763583333</v>
      </c>
      <c r="H733" s="10" t="n">
        <v>1.30333333333333</v>
      </c>
      <c r="I733" s="15" t="n">
        <v>45903</v>
      </c>
      <c r="J733" s="2" t="s">
        <v>629</v>
      </c>
    </row>
    <row r="734" customFormat="false" ht="15" hidden="false" customHeight="false" outlineLevel="0" collapsed="false">
      <c r="A734" s="2" t="s">
        <v>584</v>
      </c>
      <c r="B734" s="2" t="s">
        <v>96</v>
      </c>
      <c r="C734" s="4" t="n">
        <v>1</v>
      </c>
      <c r="D734" s="2" t="s">
        <v>437</v>
      </c>
      <c r="E734" s="2" t="s">
        <v>375</v>
      </c>
      <c r="F734" s="21" t="n">
        <v>45888.367625</v>
      </c>
      <c r="G734" s="21" t="n">
        <v>45889.356375</v>
      </c>
      <c r="H734" s="10" t="n">
        <v>7.73</v>
      </c>
      <c r="I734" s="15" t="n">
        <v>45901</v>
      </c>
      <c r="J734" s="2" t="s">
        <v>629</v>
      </c>
    </row>
    <row r="735" customFormat="false" ht="15" hidden="false" customHeight="false" outlineLevel="0" collapsed="false">
      <c r="A735" s="2" t="s">
        <v>584</v>
      </c>
      <c r="B735" s="2" t="s">
        <v>96</v>
      </c>
      <c r="C735" s="4" t="n">
        <v>2</v>
      </c>
      <c r="D735" s="2" t="s">
        <v>441</v>
      </c>
      <c r="E735" s="2" t="s">
        <v>380</v>
      </c>
      <c r="F735" s="21" t="n">
        <v>45889.592625</v>
      </c>
      <c r="G735" s="21" t="n">
        <v>45889.6330694445</v>
      </c>
      <c r="H735" s="10" t="n">
        <v>0.970666666666667</v>
      </c>
      <c r="I735" s="15" t="n">
        <v>45901</v>
      </c>
      <c r="J735" s="2" t="s">
        <v>629</v>
      </c>
    </row>
    <row r="736" customFormat="false" ht="15" hidden="false" customHeight="false" outlineLevel="0" collapsed="false">
      <c r="A736" s="2" t="s">
        <v>584</v>
      </c>
      <c r="B736" s="2" t="s">
        <v>96</v>
      </c>
      <c r="C736" s="4" t="n">
        <v>3</v>
      </c>
      <c r="D736" s="2" t="s">
        <v>386</v>
      </c>
      <c r="E736" s="2" t="s">
        <v>383</v>
      </c>
      <c r="F736" s="21" t="n">
        <v>45894.3630416667</v>
      </c>
      <c r="G736" s="21" t="n">
        <v>45895.408875</v>
      </c>
      <c r="H736" s="10" t="n">
        <v>9.1</v>
      </c>
      <c r="I736" s="15" t="n">
        <v>45901</v>
      </c>
      <c r="J736" s="2" t="s">
        <v>629</v>
      </c>
    </row>
    <row r="737" customFormat="false" ht="15" hidden="false" customHeight="false" outlineLevel="0" collapsed="false">
      <c r="A737" s="2" t="s">
        <v>584</v>
      </c>
      <c r="B737" s="2" t="s">
        <v>96</v>
      </c>
      <c r="C737" s="4" t="n">
        <v>4</v>
      </c>
      <c r="D737" s="2" t="s">
        <v>390</v>
      </c>
      <c r="E737" s="2" t="s">
        <v>387</v>
      </c>
      <c r="F737" s="21" t="n">
        <v>45896.383875</v>
      </c>
      <c r="G737" s="21" t="n">
        <v>45898.4144305556</v>
      </c>
      <c r="H737" s="10" t="n">
        <v>16.7333333333333</v>
      </c>
      <c r="I737" s="15" t="n">
        <v>45901</v>
      </c>
      <c r="J737" s="2" t="s">
        <v>629</v>
      </c>
    </row>
    <row r="738" customFormat="false" ht="15" hidden="false" customHeight="false" outlineLevel="0" collapsed="false">
      <c r="A738" s="2" t="s">
        <v>584</v>
      </c>
      <c r="B738" s="2" t="s">
        <v>96</v>
      </c>
      <c r="C738" s="4" t="n">
        <v>5</v>
      </c>
      <c r="D738" s="2" t="s">
        <v>442</v>
      </c>
      <c r="E738" s="2" t="s">
        <v>391</v>
      </c>
      <c r="F738" s="21" t="n">
        <v>45898.4933194445</v>
      </c>
      <c r="G738" s="21" t="n">
        <v>45898.5730416667</v>
      </c>
      <c r="H738" s="10" t="n">
        <v>0.913333333333333</v>
      </c>
      <c r="I738" s="15" t="n">
        <v>45901</v>
      </c>
      <c r="J738" s="2" t="s">
        <v>629</v>
      </c>
    </row>
    <row r="739" customFormat="false" ht="15" hidden="false" customHeight="false" outlineLevel="0" collapsed="false">
      <c r="A739" s="2" t="s">
        <v>584</v>
      </c>
      <c r="B739" s="2" t="s">
        <v>96</v>
      </c>
      <c r="C739" s="4" t="n">
        <v>6</v>
      </c>
      <c r="D739" s="2" t="s">
        <v>443</v>
      </c>
      <c r="E739" s="2" t="s">
        <v>395</v>
      </c>
      <c r="F739" s="21" t="n">
        <v>45901.6870694444</v>
      </c>
      <c r="G739" s="21" t="n">
        <v>45902.4974861111</v>
      </c>
      <c r="H739" s="10" t="n">
        <v>4.45</v>
      </c>
      <c r="I739" s="15" t="n">
        <v>45901</v>
      </c>
      <c r="J739" s="2" t="s">
        <v>629</v>
      </c>
    </row>
    <row r="740" customFormat="false" ht="15" hidden="false" customHeight="false" outlineLevel="0" collapsed="false">
      <c r="A740" s="2" t="s">
        <v>584</v>
      </c>
      <c r="B740" s="2" t="s">
        <v>96</v>
      </c>
      <c r="C740" s="4" t="n">
        <v>7</v>
      </c>
      <c r="D740" s="2" t="s">
        <v>444</v>
      </c>
      <c r="E740" s="2" t="s">
        <v>399</v>
      </c>
      <c r="F740" s="21" t="n">
        <v>45902.6738027778</v>
      </c>
      <c r="G740" s="21" t="n">
        <v>45903.453365</v>
      </c>
      <c r="H740" s="10" t="n">
        <v>3.70949333333333</v>
      </c>
      <c r="I740" s="15" t="n">
        <v>45901</v>
      </c>
      <c r="J740" s="2" t="s">
        <v>629</v>
      </c>
    </row>
    <row r="741" customFormat="false" ht="15" hidden="false" customHeight="false" outlineLevel="0" collapsed="false">
      <c r="A741" s="2" t="s">
        <v>584</v>
      </c>
      <c r="B741" s="2" t="s">
        <v>96</v>
      </c>
      <c r="C741" s="4" t="n">
        <v>8</v>
      </c>
      <c r="D741" s="2" t="s">
        <v>445</v>
      </c>
      <c r="E741" s="2" t="s">
        <v>402</v>
      </c>
      <c r="F741" s="21" t="n">
        <v>45903.453365</v>
      </c>
      <c r="G741" s="21" t="n">
        <v>45903.5441427778</v>
      </c>
      <c r="H741" s="10" t="n">
        <v>1.17866666666667</v>
      </c>
      <c r="I741" s="15" t="n">
        <v>45901</v>
      </c>
      <c r="J741" s="2" t="s">
        <v>629</v>
      </c>
    </row>
    <row r="742" customFormat="false" ht="15" hidden="false" customHeight="false" outlineLevel="0" collapsed="false">
      <c r="A742" s="2" t="s">
        <v>584</v>
      </c>
      <c r="B742" s="2" t="s">
        <v>96</v>
      </c>
      <c r="C742" s="4" t="n">
        <v>9</v>
      </c>
      <c r="D742" s="2" t="s">
        <v>447</v>
      </c>
      <c r="E742" s="2" t="s">
        <v>421</v>
      </c>
      <c r="F742" s="21" t="n">
        <v>45903.5441427778</v>
      </c>
      <c r="G742" s="21" t="n">
        <v>45903.5753927778</v>
      </c>
      <c r="H742" s="10" t="n">
        <v>0.75</v>
      </c>
      <c r="I742" s="15" t="n">
        <v>45901</v>
      </c>
      <c r="J742" s="2" t="s">
        <v>629</v>
      </c>
    </row>
    <row r="743" customFormat="false" ht="15" hidden="false" customHeight="false" outlineLevel="0" collapsed="false">
      <c r="A743" s="2" t="s">
        <v>584</v>
      </c>
      <c r="B743" s="2" t="s">
        <v>96</v>
      </c>
      <c r="C743" s="4" t="n">
        <v>10</v>
      </c>
      <c r="D743" s="2" t="s">
        <v>449</v>
      </c>
      <c r="E743" s="2" t="s">
        <v>423</v>
      </c>
      <c r="F743" s="21" t="n">
        <v>45903.5753927778</v>
      </c>
      <c r="G743" s="21" t="n">
        <v>45903.5950594444</v>
      </c>
      <c r="H743" s="10" t="n">
        <v>0.472</v>
      </c>
      <c r="I743" s="15" t="n">
        <v>45901</v>
      </c>
      <c r="J743" s="2" t="s">
        <v>629</v>
      </c>
    </row>
    <row r="744" customFormat="false" ht="15" hidden="false" customHeight="false" outlineLevel="0" collapsed="false">
      <c r="A744" s="2" t="s">
        <v>584</v>
      </c>
      <c r="B744" s="2" t="s">
        <v>96</v>
      </c>
      <c r="C744" s="4" t="n">
        <v>11</v>
      </c>
      <c r="D744" s="2" t="s">
        <v>450</v>
      </c>
      <c r="E744" s="2" t="s">
        <v>406</v>
      </c>
      <c r="F744" s="21" t="n">
        <v>45905.4400805556</v>
      </c>
      <c r="G744" s="21" t="n">
        <v>45908.3817472222</v>
      </c>
      <c r="H744" s="10" t="n">
        <v>6.6</v>
      </c>
      <c r="I744" s="15" t="n">
        <v>45901</v>
      </c>
      <c r="J744" s="2" t="s">
        <v>629</v>
      </c>
    </row>
    <row r="745" customFormat="false" ht="15" hidden="false" customHeight="false" outlineLevel="0" collapsed="false">
      <c r="A745" s="2" t="s">
        <v>584</v>
      </c>
      <c r="B745" s="2" t="s">
        <v>96</v>
      </c>
      <c r="C745" s="4" t="n">
        <v>12</v>
      </c>
      <c r="D745" s="2" t="s">
        <v>451</v>
      </c>
      <c r="E745" s="2" t="s">
        <v>408</v>
      </c>
      <c r="F745" s="21" t="n">
        <v>45908.3817472222</v>
      </c>
      <c r="G745" s="21" t="n">
        <v>45908.403525</v>
      </c>
      <c r="H745" s="10" t="n">
        <v>0.522666666666667</v>
      </c>
      <c r="I745" s="15" t="n">
        <v>45901</v>
      </c>
      <c r="J745" s="2" t="s">
        <v>629</v>
      </c>
    </row>
    <row r="746" customFormat="false" ht="15" hidden="false" customHeight="false" outlineLevel="0" collapsed="false">
      <c r="A746" s="2" t="s">
        <v>584</v>
      </c>
      <c r="B746" s="2" t="s">
        <v>96</v>
      </c>
      <c r="C746" s="4" t="n">
        <v>13</v>
      </c>
      <c r="D746" s="2" t="s">
        <v>452</v>
      </c>
      <c r="E746" s="2" t="s">
        <v>411</v>
      </c>
      <c r="F746" s="21" t="n">
        <v>45908.403525</v>
      </c>
      <c r="G746" s="21" t="n">
        <v>45908.4326916667</v>
      </c>
      <c r="H746" s="10" t="n">
        <v>0.7</v>
      </c>
      <c r="I746" s="15" t="n">
        <v>45901</v>
      </c>
      <c r="J746" s="2" t="s">
        <v>629</v>
      </c>
    </row>
    <row r="747" customFormat="false" ht="15" hidden="false" customHeight="false" outlineLevel="0" collapsed="false">
      <c r="A747" s="2" t="s">
        <v>586</v>
      </c>
      <c r="B747" s="2" t="s">
        <v>108</v>
      </c>
      <c r="C747" s="4" t="n">
        <v>1</v>
      </c>
      <c r="D747" s="2" t="s">
        <v>437</v>
      </c>
      <c r="E747" s="2" t="s">
        <v>375</v>
      </c>
      <c r="F747" s="21" t="n">
        <v>45889.356375</v>
      </c>
      <c r="G747" s="21" t="n">
        <v>45889.6813611111</v>
      </c>
      <c r="H747" s="10" t="n">
        <v>6.79966666666667</v>
      </c>
      <c r="I747" s="15" t="n">
        <v>45900</v>
      </c>
      <c r="J747" s="2" t="s">
        <v>629</v>
      </c>
    </row>
    <row r="748" customFormat="false" ht="15" hidden="false" customHeight="false" outlineLevel="0" collapsed="false">
      <c r="A748" s="2" t="s">
        <v>586</v>
      </c>
      <c r="B748" s="2" t="s">
        <v>108</v>
      </c>
      <c r="C748" s="4" t="n">
        <v>2</v>
      </c>
      <c r="D748" s="2" t="s">
        <v>386</v>
      </c>
      <c r="E748" s="2" t="s">
        <v>383</v>
      </c>
      <c r="F748" s="21" t="n">
        <v>45895.408875</v>
      </c>
      <c r="G748" s="21" t="n">
        <v>45895.5887361111</v>
      </c>
      <c r="H748" s="10" t="n">
        <v>3.31666666666667</v>
      </c>
      <c r="I748" s="15" t="n">
        <v>45900</v>
      </c>
      <c r="J748" s="2" t="s">
        <v>629</v>
      </c>
    </row>
    <row r="749" customFormat="false" ht="15" hidden="false" customHeight="false" outlineLevel="0" collapsed="false">
      <c r="A749" s="2" t="s">
        <v>586</v>
      </c>
      <c r="B749" s="2" t="s">
        <v>108</v>
      </c>
      <c r="C749" s="4" t="n">
        <v>3</v>
      </c>
      <c r="D749" s="2" t="s">
        <v>390</v>
      </c>
      <c r="E749" s="2" t="s">
        <v>387</v>
      </c>
      <c r="F749" s="21" t="n">
        <v>45898.4144305556</v>
      </c>
      <c r="G749" s="21" t="n">
        <v>45902.4804027778</v>
      </c>
      <c r="H749" s="10" t="n">
        <v>17.5833333333333</v>
      </c>
      <c r="I749" s="15" t="n">
        <v>45900</v>
      </c>
      <c r="J749" s="2" t="s">
        <v>629</v>
      </c>
    </row>
    <row r="750" customFormat="false" ht="15" hidden="false" customHeight="false" outlineLevel="0" collapsed="false">
      <c r="A750" s="2" t="s">
        <v>586</v>
      </c>
      <c r="B750" s="2" t="s">
        <v>108</v>
      </c>
      <c r="C750" s="4" t="n">
        <v>4</v>
      </c>
      <c r="D750" s="2" t="s">
        <v>443</v>
      </c>
      <c r="E750" s="2" t="s">
        <v>395</v>
      </c>
      <c r="F750" s="21" t="n">
        <v>45902.4974861111</v>
      </c>
      <c r="G750" s="21" t="n">
        <v>45902.6651944445</v>
      </c>
      <c r="H750" s="10" t="n">
        <v>3.025</v>
      </c>
      <c r="I750" s="15" t="n">
        <v>45900</v>
      </c>
      <c r="J750" s="2" t="s">
        <v>629</v>
      </c>
    </row>
    <row r="751" customFormat="false" ht="15" hidden="false" customHeight="false" outlineLevel="0" collapsed="false">
      <c r="A751" s="2" t="s">
        <v>586</v>
      </c>
      <c r="B751" s="2" t="s">
        <v>108</v>
      </c>
      <c r="C751" s="4" t="n">
        <v>5</v>
      </c>
      <c r="D751" s="2" t="s">
        <v>444</v>
      </c>
      <c r="E751" s="2" t="s">
        <v>399</v>
      </c>
      <c r="F751" s="21" t="n">
        <v>45903.453365</v>
      </c>
      <c r="G751" s="21" t="n">
        <v>45903.6816261111</v>
      </c>
      <c r="H751" s="10" t="n">
        <v>4.47826666666667</v>
      </c>
      <c r="I751" s="15" t="n">
        <v>45900</v>
      </c>
      <c r="J751" s="2" t="s">
        <v>629</v>
      </c>
    </row>
    <row r="752" customFormat="false" ht="15" hidden="false" customHeight="false" outlineLevel="0" collapsed="false">
      <c r="A752" s="2" t="s">
        <v>586</v>
      </c>
      <c r="B752" s="2" t="s">
        <v>108</v>
      </c>
      <c r="C752" s="4" t="n">
        <v>6</v>
      </c>
      <c r="D752" s="2" t="s">
        <v>445</v>
      </c>
      <c r="E752" s="2" t="s">
        <v>402</v>
      </c>
      <c r="F752" s="21" t="n">
        <v>45903.6816261111</v>
      </c>
      <c r="G752" s="21" t="n">
        <v>45904.3481608333</v>
      </c>
      <c r="H752" s="10" t="n">
        <v>0.996833333333333</v>
      </c>
      <c r="I752" s="15" t="n">
        <v>45900</v>
      </c>
      <c r="J752" s="2" t="s">
        <v>629</v>
      </c>
    </row>
    <row r="753" customFormat="false" ht="15" hidden="false" customHeight="false" outlineLevel="0" collapsed="false">
      <c r="A753" s="2" t="s">
        <v>586</v>
      </c>
      <c r="B753" s="2" t="s">
        <v>108</v>
      </c>
      <c r="C753" s="4" t="n">
        <v>7</v>
      </c>
      <c r="D753" s="2" t="s">
        <v>447</v>
      </c>
      <c r="E753" s="2" t="s">
        <v>421</v>
      </c>
      <c r="F753" s="21" t="n">
        <v>45904.3481608333</v>
      </c>
      <c r="G753" s="21" t="n">
        <v>45904.3794108333</v>
      </c>
      <c r="H753" s="10" t="n">
        <v>0.75</v>
      </c>
      <c r="I753" s="15" t="n">
        <v>45900</v>
      </c>
      <c r="J753" s="2" t="s">
        <v>629</v>
      </c>
    </row>
    <row r="754" customFormat="false" ht="15" hidden="false" customHeight="false" outlineLevel="0" collapsed="false">
      <c r="A754" s="2" t="s">
        <v>586</v>
      </c>
      <c r="B754" s="2" t="s">
        <v>108</v>
      </c>
      <c r="C754" s="4" t="n">
        <v>8</v>
      </c>
      <c r="D754" s="2" t="s">
        <v>449</v>
      </c>
      <c r="E754" s="2" t="s">
        <v>423</v>
      </c>
      <c r="F754" s="21" t="n">
        <v>45904.3794108333</v>
      </c>
      <c r="G754" s="21" t="n">
        <v>45904.3967302778</v>
      </c>
      <c r="H754" s="10" t="n">
        <v>0.415666666666667</v>
      </c>
      <c r="I754" s="15" t="n">
        <v>45900</v>
      </c>
      <c r="J754" s="2" t="s">
        <v>629</v>
      </c>
    </row>
    <row r="755" customFormat="false" ht="15" hidden="false" customHeight="false" outlineLevel="0" collapsed="false">
      <c r="A755" s="2" t="s">
        <v>586</v>
      </c>
      <c r="B755" s="2" t="s">
        <v>108</v>
      </c>
      <c r="C755" s="4" t="n">
        <v>9</v>
      </c>
      <c r="D755" s="2" t="s">
        <v>450</v>
      </c>
      <c r="E755" s="2" t="s">
        <v>406</v>
      </c>
      <c r="F755" s="21" t="n">
        <v>45908.3817472222</v>
      </c>
      <c r="G755" s="21" t="n">
        <v>45908.7010180556</v>
      </c>
      <c r="H755" s="10" t="n">
        <v>6.6625</v>
      </c>
      <c r="I755" s="15" t="n">
        <v>45900</v>
      </c>
      <c r="J755" s="2" t="s">
        <v>629</v>
      </c>
    </row>
    <row r="756" customFormat="false" ht="15" hidden="false" customHeight="false" outlineLevel="0" collapsed="false">
      <c r="A756" s="2" t="s">
        <v>586</v>
      </c>
      <c r="B756" s="2" t="s">
        <v>108</v>
      </c>
      <c r="C756" s="4" t="n">
        <v>10</v>
      </c>
      <c r="D756" s="2" t="s">
        <v>451</v>
      </c>
      <c r="E756" s="2" t="s">
        <v>408</v>
      </c>
      <c r="F756" s="21" t="n">
        <v>45908.7010180556</v>
      </c>
      <c r="G756" s="21" t="n">
        <v>45909.3445180556</v>
      </c>
      <c r="H756" s="10" t="n">
        <v>0.444</v>
      </c>
      <c r="I756" s="15" t="n">
        <v>45900</v>
      </c>
      <c r="J756" s="2" t="s">
        <v>629</v>
      </c>
    </row>
    <row r="757" customFormat="false" ht="15" hidden="false" customHeight="false" outlineLevel="0" collapsed="false">
      <c r="A757" s="2" t="s">
        <v>586</v>
      </c>
      <c r="B757" s="2" t="s">
        <v>108</v>
      </c>
      <c r="C757" s="4" t="n">
        <v>11</v>
      </c>
      <c r="D757" s="2" t="s">
        <v>452</v>
      </c>
      <c r="E757" s="2" t="s">
        <v>411</v>
      </c>
      <c r="F757" s="21" t="n">
        <v>45909.3445180556</v>
      </c>
      <c r="G757" s="21" t="n">
        <v>45909.3691430556</v>
      </c>
      <c r="H757" s="10" t="n">
        <v>0.591</v>
      </c>
      <c r="I757" s="15" t="n">
        <v>45900</v>
      </c>
      <c r="J757" s="2" t="s">
        <v>629</v>
      </c>
    </row>
    <row r="758" customFormat="false" ht="15" hidden="false" customHeight="false" outlineLevel="0" collapsed="false">
      <c r="A758" s="2" t="s">
        <v>588</v>
      </c>
      <c r="B758" s="2" t="s">
        <v>121</v>
      </c>
      <c r="C758" s="4" t="n">
        <v>1</v>
      </c>
      <c r="D758" s="2" t="s">
        <v>437</v>
      </c>
      <c r="E758" s="2" t="s">
        <v>375</v>
      </c>
      <c r="F758" s="21" t="n">
        <v>45889.6813611111</v>
      </c>
      <c r="G758" s="21" t="n">
        <v>45890.6584722222</v>
      </c>
      <c r="H758" s="10" t="n">
        <v>7.45066666666667</v>
      </c>
      <c r="I758" s="15" t="n">
        <v>45903</v>
      </c>
      <c r="J758" s="2" t="s">
        <v>629</v>
      </c>
    </row>
    <row r="759" customFormat="false" ht="15" hidden="false" customHeight="false" outlineLevel="0" collapsed="false">
      <c r="A759" s="2" t="s">
        <v>588</v>
      </c>
      <c r="B759" s="2" t="s">
        <v>121</v>
      </c>
      <c r="C759" s="4" t="n">
        <v>2</v>
      </c>
      <c r="D759" s="2" t="s">
        <v>441</v>
      </c>
      <c r="E759" s="2" t="s">
        <v>380</v>
      </c>
      <c r="F759" s="21" t="n">
        <v>45890.6584722222</v>
      </c>
      <c r="G759" s="21" t="n">
        <v>45891.60525</v>
      </c>
      <c r="H759" s="10" t="n">
        <v>6.72266666666667</v>
      </c>
      <c r="I759" s="15" t="n">
        <v>45903</v>
      </c>
      <c r="J759" s="2" t="s">
        <v>629</v>
      </c>
    </row>
    <row r="760" customFormat="false" ht="15" hidden="false" customHeight="false" outlineLevel="0" collapsed="false">
      <c r="A760" s="2" t="s">
        <v>588</v>
      </c>
      <c r="B760" s="2" t="s">
        <v>121</v>
      </c>
      <c r="C760" s="4" t="n">
        <v>3</v>
      </c>
      <c r="D760" s="2" t="s">
        <v>386</v>
      </c>
      <c r="E760" s="2" t="s">
        <v>383</v>
      </c>
      <c r="F760" s="21" t="n">
        <v>45895.5887361111</v>
      </c>
      <c r="G760" s="21" t="n">
        <v>45897.3509583333</v>
      </c>
      <c r="H760" s="10" t="n">
        <v>11.2933333333333</v>
      </c>
      <c r="I760" s="15" t="n">
        <v>45903</v>
      </c>
      <c r="J760" s="2" t="s">
        <v>629</v>
      </c>
    </row>
    <row r="761" customFormat="false" ht="15" hidden="false" customHeight="false" outlineLevel="0" collapsed="false">
      <c r="A761" s="2" t="s">
        <v>588</v>
      </c>
      <c r="B761" s="2" t="s">
        <v>121</v>
      </c>
      <c r="C761" s="4" t="n">
        <v>4</v>
      </c>
      <c r="D761" s="2" t="s">
        <v>390</v>
      </c>
      <c r="E761" s="2" t="s">
        <v>387</v>
      </c>
      <c r="F761" s="21" t="n">
        <v>45902.4804027778</v>
      </c>
      <c r="G761" s="21" t="n">
        <v>45904.5804027778</v>
      </c>
      <c r="H761" s="10" t="n">
        <v>17.4</v>
      </c>
      <c r="I761" s="15" t="n">
        <v>45903</v>
      </c>
      <c r="J761" s="2" t="s">
        <v>629</v>
      </c>
    </row>
    <row r="762" customFormat="false" ht="15" hidden="false" customHeight="false" outlineLevel="0" collapsed="false">
      <c r="A762" s="2" t="s">
        <v>588</v>
      </c>
      <c r="B762" s="2" t="s">
        <v>121</v>
      </c>
      <c r="C762" s="4" t="n">
        <v>5</v>
      </c>
      <c r="D762" s="2" t="s">
        <v>443</v>
      </c>
      <c r="E762" s="2" t="s">
        <v>395</v>
      </c>
      <c r="F762" s="21" t="n">
        <v>45904.5804027778</v>
      </c>
      <c r="G762" s="21" t="n">
        <v>45905.5637361111</v>
      </c>
      <c r="H762" s="10" t="n">
        <v>7.6</v>
      </c>
      <c r="I762" s="15" t="n">
        <v>45903</v>
      </c>
      <c r="J762" s="2" t="s">
        <v>629</v>
      </c>
    </row>
    <row r="763" customFormat="false" ht="15" hidden="false" customHeight="false" outlineLevel="0" collapsed="false">
      <c r="A763" s="2" t="s">
        <v>588</v>
      </c>
      <c r="B763" s="2" t="s">
        <v>121</v>
      </c>
      <c r="C763" s="4" t="n">
        <v>6</v>
      </c>
      <c r="D763" s="2" t="s">
        <v>444</v>
      </c>
      <c r="E763" s="2" t="s">
        <v>399</v>
      </c>
      <c r="F763" s="21" t="n">
        <v>45905.5637361111</v>
      </c>
      <c r="G763" s="21" t="n">
        <v>45908.4010294445</v>
      </c>
      <c r="H763" s="10" t="n">
        <v>5.09504</v>
      </c>
      <c r="I763" s="15" t="n">
        <v>45903</v>
      </c>
      <c r="J763" s="2" t="s">
        <v>629</v>
      </c>
    </row>
    <row r="764" customFormat="false" ht="15" hidden="false" customHeight="false" outlineLevel="0" collapsed="false">
      <c r="A764" s="2" t="s">
        <v>588</v>
      </c>
      <c r="B764" s="2" t="s">
        <v>121</v>
      </c>
      <c r="C764" s="4" t="n">
        <v>7</v>
      </c>
      <c r="D764" s="2" t="s">
        <v>445</v>
      </c>
      <c r="E764" s="2" t="s">
        <v>402</v>
      </c>
      <c r="F764" s="21" t="n">
        <v>45908.4010294445</v>
      </c>
      <c r="G764" s="21" t="n">
        <v>45908.4725294444</v>
      </c>
      <c r="H764" s="10" t="n">
        <v>1.716</v>
      </c>
      <c r="I764" s="15" t="n">
        <v>45903</v>
      </c>
      <c r="J764" s="2" t="s">
        <v>629</v>
      </c>
    </row>
    <row r="765" customFormat="false" ht="15" hidden="false" customHeight="false" outlineLevel="0" collapsed="false">
      <c r="A765" s="2" t="s">
        <v>588</v>
      </c>
      <c r="B765" s="2" t="s">
        <v>121</v>
      </c>
      <c r="C765" s="4" t="n">
        <v>8</v>
      </c>
      <c r="D765" s="2" t="s">
        <v>447</v>
      </c>
      <c r="E765" s="2" t="s">
        <v>421</v>
      </c>
      <c r="F765" s="21" t="n">
        <v>45908.4725294444</v>
      </c>
      <c r="G765" s="21" t="n">
        <v>45908.5766961111</v>
      </c>
      <c r="H765" s="10" t="n">
        <v>1.5</v>
      </c>
      <c r="I765" s="15" t="n">
        <v>45903</v>
      </c>
      <c r="J765" s="2" t="s">
        <v>629</v>
      </c>
    </row>
    <row r="766" customFormat="false" ht="15" hidden="false" customHeight="false" outlineLevel="0" collapsed="false">
      <c r="A766" s="2" t="s">
        <v>588</v>
      </c>
      <c r="B766" s="2" t="s">
        <v>121</v>
      </c>
      <c r="C766" s="4" t="n">
        <v>9</v>
      </c>
      <c r="D766" s="2" t="s">
        <v>449</v>
      </c>
      <c r="E766" s="2" t="s">
        <v>423</v>
      </c>
      <c r="F766" s="21" t="n">
        <v>45908.5766961111</v>
      </c>
      <c r="G766" s="21" t="n">
        <v>45908.6074738889</v>
      </c>
      <c r="H766" s="10" t="n">
        <v>0.738666666666667</v>
      </c>
      <c r="I766" s="15" t="n">
        <v>45903</v>
      </c>
      <c r="J766" s="2" t="s">
        <v>629</v>
      </c>
    </row>
    <row r="767" customFormat="false" ht="15" hidden="false" customHeight="false" outlineLevel="0" collapsed="false">
      <c r="A767" s="2" t="s">
        <v>588</v>
      </c>
      <c r="B767" s="2" t="s">
        <v>121</v>
      </c>
      <c r="C767" s="4" t="n">
        <v>10</v>
      </c>
      <c r="D767" s="2" t="s">
        <v>450</v>
      </c>
      <c r="E767" s="2" t="s">
        <v>406</v>
      </c>
      <c r="F767" s="21" t="n">
        <v>45908.7010180556</v>
      </c>
      <c r="G767" s="21" t="n">
        <v>45910.5551847222</v>
      </c>
      <c r="H767" s="10" t="n">
        <v>12.5</v>
      </c>
      <c r="I767" s="15" t="n">
        <v>45903</v>
      </c>
      <c r="J767" s="2" t="s">
        <v>629</v>
      </c>
    </row>
    <row r="768" customFormat="false" ht="15" hidden="false" customHeight="false" outlineLevel="0" collapsed="false">
      <c r="A768" s="2" t="s">
        <v>588</v>
      </c>
      <c r="B768" s="2" t="s">
        <v>121</v>
      </c>
      <c r="C768" s="4" t="n">
        <v>11</v>
      </c>
      <c r="D768" s="2" t="s">
        <v>451</v>
      </c>
      <c r="E768" s="2" t="s">
        <v>408</v>
      </c>
      <c r="F768" s="21" t="n">
        <v>45910.5551847222</v>
      </c>
      <c r="G768" s="21" t="n">
        <v>45910.5867125</v>
      </c>
      <c r="H768" s="10" t="n">
        <v>0.756666666666667</v>
      </c>
      <c r="I768" s="15" t="n">
        <v>45903</v>
      </c>
      <c r="J768" s="2" t="s">
        <v>629</v>
      </c>
    </row>
    <row r="769" customFormat="false" ht="15" hidden="false" customHeight="false" outlineLevel="0" collapsed="false">
      <c r="A769" s="2" t="s">
        <v>588</v>
      </c>
      <c r="B769" s="2" t="s">
        <v>121</v>
      </c>
      <c r="C769" s="4" t="n">
        <v>12</v>
      </c>
      <c r="D769" s="2" t="s">
        <v>452</v>
      </c>
      <c r="E769" s="2" t="s">
        <v>411</v>
      </c>
      <c r="F769" s="21" t="n">
        <v>45910.5867125</v>
      </c>
      <c r="G769" s="21" t="n">
        <v>45910.6284069444</v>
      </c>
      <c r="H769" s="10" t="n">
        <v>1.00066666666667</v>
      </c>
      <c r="I769" s="15" t="n">
        <v>45903</v>
      </c>
      <c r="J769" s="2" t="s">
        <v>629</v>
      </c>
    </row>
    <row r="770" customFormat="false" ht="15" hidden="false" customHeight="false" outlineLevel="0" collapsed="false">
      <c r="A770" s="2" t="s">
        <v>589</v>
      </c>
      <c r="B770" s="2" t="s">
        <v>80</v>
      </c>
      <c r="C770" s="4" t="n">
        <v>1</v>
      </c>
      <c r="D770" s="2" t="s">
        <v>437</v>
      </c>
      <c r="E770" s="2" t="s">
        <v>375</v>
      </c>
      <c r="F770" s="21" t="n">
        <v>45903.3333333333</v>
      </c>
      <c r="G770" s="21" t="n">
        <v>45903.6746111111</v>
      </c>
      <c r="H770" s="10" t="n">
        <v>7.19066666666667</v>
      </c>
      <c r="I770" s="15" t="n">
        <v>45920</v>
      </c>
      <c r="J770" s="2" t="s">
        <v>629</v>
      </c>
    </row>
    <row r="771" customFormat="false" ht="15" hidden="false" customHeight="false" outlineLevel="0" collapsed="false">
      <c r="A771" s="2" t="s">
        <v>589</v>
      </c>
      <c r="B771" s="2" t="s">
        <v>80</v>
      </c>
      <c r="C771" s="4" t="n">
        <v>2</v>
      </c>
      <c r="D771" s="2" t="s">
        <v>441</v>
      </c>
      <c r="E771" s="2" t="s">
        <v>380</v>
      </c>
      <c r="F771" s="21" t="n">
        <v>45903.6746111111</v>
      </c>
      <c r="G771" s="21" t="n">
        <v>45905.3400555556</v>
      </c>
      <c r="H771" s="10" t="n">
        <v>8.97066666666667</v>
      </c>
      <c r="I771" s="15" t="n">
        <v>45920</v>
      </c>
      <c r="J771" s="2" t="s">
        <v>629</v>
      </c>
    </row>
    <row r="772" customFormat="false" ht="15" hidden="false" customHeight="false" outlineLevel="0" collapsed="false">
      <c r="A772" s="2" t="s">
        <v>589</v>
      </c>
      <c r="B772" s="2" t="s">
        <v>80</v>
      </c>
      <c r="C772" s="4" t="n">
        <v>3</v>
      </c>
      <c r="D772" s="2" t="s">
        <v>386</v>
      </c>
      <c r="E772" s="2" t="s">
        <v>383</v>
      </c>
      <c r="F772" s="21" t="n">
        <v>45905.3400555556</v>
      </c>
      <c r="G772" s="21" t="n">
        <v>45908.5889444445</v>
      </c>
      <c r="H772" s="10" t="n">
        <v>12.9733333333333</v>
      </c>
      <c r="I772" s="15" t="n">
        <v>45920</v>
      </c>
      <c r="J772" s="2" t="s">
        <v>629</v>
      </c>
    </row>
    <row r="773" customFormat="false" ht="15" hidden="false" customHeight="false" outlineLevel="0" collapsed="false">
      <c r="A773" s="2" t="s">
        <v>589</v>
      </c>
      <c r="B773" s="2" t="s">
        <v>80</v>
      </c>
      <c r="C773" s="4" t="n">
        <v>4</v>
      </c>
      <c r="D773" s="2" t="s">
        <v>390</v>
      </c>
      <c r="E773" s="2" t="s">
        <v>387</v>
      </c>
      <c r="F773" s="21" t="n">
        <v>45908.5889444445</v>
      </c>
      <c r="G773" s="21" t="n">
        <v>45910.3972777778</v>
      </c>
      <c r="H773" s="10" t="n">
        <v>12.4</v>
      </c>
      <c r="I773" s="15" t="n">
        <v>45920</v>
      </c>
      <c r="J773" s="2" t="s">
        <v>629</v>
      </c>
    </row>
    <row r="774" customFormat="false" ht="15" hidden="false" customHeight="false" outlineLevel="0" collapsed="false">
      <c r="A774" s="2" t="s">
        <v>589</v>
      </c>
      <c r="B774" s="2" t="s">
        <v>80</v>
      </c>
      <c r="C774" s="4" t="n">
        <v>5</v>
      </c>
      <c r="D774" s="2" t="s">
        <v>442</v>
      </c>
      <c r="E774" s="2" t="s">
        <v>391</v>
      </c>
      <c r="F774" s="21" t="n">
        <v>45910.3972777778</v>
      </c>
      <c r="G774" s="21" t="n">
        <v>45912.3978333333</v>
      </c>
      <c r="H774" s="10" t="n">
        <v>16.0133333333333</v>
      </c>
      <c r="I774" s="15" t="n">
        <v>45920</v>
      </c>
      <c r="J774" s="2" t="s">
        <v>629</v>
      </c>
    </row>
    <row r="775" customFormat="false" ht="15" hidden="false" customHeight="false" outlineLevel="0" collapsed="false">
      <c r="A775" s="2" t="s">
        <v>589</v>
      </c>
      <c r="B775" s="2" t="s">
        <v>80</v>
      </c>
      <c r="C775" s="4" t="n">
        <v>6</v>
      </c>
      <c r="D775" s="2" t="s">
        <v>443</v>
      </c>
      <c r="E775" s="2" t="s">
        <v>395</v>
      </c>
      <c r="F775" s="21" t="n">
        <v>45912.3978333333</v>
      </c>
      <c r="G775" s="21" t="n">
        <v>45915.4186666667</v>
      </c>
      <c r="H775" s="10" t="n">
        <v>8.5</v>
      </c>
      <c r="I775" s="15" t="n">
        <v>45920</v>
      </c>
      <c r="J775" s="2" t="s">
        <v>629</v>
      </c>
    </row>
    <row r="776" customFormat="false" ht="15" hidden="false" customHeight="false" outlineLevel="0" collapsed="false">
      <c r="A776" s="2" t="s">
        <v>589</v>
      </c>
      <c r="B776" s="2" t="s">
        <v>80</v>
      </c>
      <c r="C776" s="4" t="n">
        <v>7</v>
      </c>
      <c r="D776" s="2" t="s">
        <v>444</v>
      </c>
      <c r="E776" s="2" t="s">
        <v>399</v>
      </c>
      <c r="F776" s="21" t="n">
        <v>45915.4186666667</v>
      </c>
      <c r="G776" s="21" t="n">
        <v>45916.3413733333</v>
      </c>
      <c r="H776" s="10" t="n">
        <v>6.14496</v>
      </c>
      <c r="I776" s="15" t="n">
        <v>45920</v>
      </c>
      <c r="J776" s="2" t="s">
        <v>629</v>
      </c>
    </row>
    <row r="777" customFormat="false" ht="15" hidden="false" customHeight="false" outlineLevel="0" collapsed="false">
      <c r="A777" s="2" t="s">
        <v>589</v>
      </c>
      <c r="B777" s="2" t="s">
        <v>80</v>
      </c>
      <c r="C777" s="4" t="n">
        <v>8</v>
      </c>
      <c r="D777" s="2" t="s">
        <v>445</v>
      </c>
      <c r="E777" s="2" t="s">
        <v>402</v>
      </c>
      <c r="F777" s="21" t="n">
        <v>45916.3413733333</v>
      </c>
      <c r="G777" s="21" t="n">
        <v>45916.4248733333</v>
      </c>
      <c r="H777" s="10" t="n">
        <v>2.004</v>
      </c>
      <c r="I777" s="15" t="n">
        <v>45920</v>
      </c>
      <c r="J777" s="2" t="s">
        <v>629</v>
      </c>
    </row>
    <row r="778" customFormat="false" ht="15" hidden="false" customHeight="false" outlineLevel="0" collapsed="false">
      <c r="A778" s="2" t="s">
        <v>589</v>
      </c>
      <c r="B778" s="2" t="s">
        <v>80</v>
      </c>
      <c r="C778" s="4" t="n">
        <v>9</v>
      </c>
      <c r="D778" s="2" t="s">
        <v>447</v>
      </c>
      <c r="E778" s="2" t="s">
        <v>421</v>
      </c>
      <c r="F778" s="21" t="n">
        <v>45916.4248733333</v>
      </c>
      <c r="G778" s="21" t="n">
        <v>45916.4873733333</v>
      </c>
      <c r="H778" s="10" t="n">
        <v>1.5</v>
      </c>
      <c r="I778" s="15" t="n">
        <v>45920</v>
      </c>
      <c r="J778" s="2" t="s">
        <v>629</v>
      </c>
    </row>
    <row r="779" customFormat="false" ht="15" hidden="false" customHeight="false" outlineLevel="0" collapsed="false">
      <c r="A779" s="2" t="s">
        <v>589</v>
      </c>
      <c r="B779" s="2" t="s">
        <v>80</v>
      </c>
      <c r="C779" s="4" t="n">
        <v>10</v>
      </c>
      <c r="D779" s="2" t="s">
        <v>449</v>
      </c>
      <c r="E779" s="2" t="s">
        <v>423</v>
      </c>
      <c r="F779" s="21" t="n">
        <v>45916.4873733333</v>
      </c>
      <c r="G779" s="21" t="n">
        <v>45916.5625677778</v>
      </c>
      <c r="H779" s="10" t="n">
        <v>0.804666666666667</v>
      </c>
      <c r="I779" s="15" t="n">
        <v>45920</v>
      </c>
      <c r="J779" s="2" t="s">
        <v>629</v>
      </c>
    </row>
    <row r="780" customFormat="false" ht="15" hidden="false" customHeight="false" outlineLevel="0" collapsed="false">
      <c r="A780" s="2" t="s">
        <v>589</v>
      </c>
      <c r="B780" s="2" t="s">
        <v>80</v>
      </c>
      <c r="C780" s="4" t="n">
        <v>11</v>
      </c>
      <c r="D780" s="2" t="s">
        <v>450</v>
      </c>
      <c r="E780" s="2" t="s">
        <v>406</v>
      </c>
      <c r="F780" s="21" t="n">
        <v>45916.5625677778</v>
      </c>
      <c r="G780" s="21" t="n">
        <v>45918.3625677778</v>
      </c>
      <c r="H780" s="10" t="n">
        <v>12.2</v>
      </c>
      <c r="I780" s="15" t="n">
        <v>45920</v>
      </c>
      <c r="J780" s="2" t="s">
        <v>629</v>
      </c>
    </row>
    <row r="781" customFormat="false" ht="15" hidden="false" customHeight="false" outlineLevel="0" collapsed="false">
      <c r="A781" s="2" t="s">
        <v>589</v>
      </c>
      <c r="B781" s="2" t="s">
        <v>80</v>
      </c>
      <c r="C781" s="4" t="n">
        <v>12</v>
      </c>
      <c r="D781" s="2" t="s">
        <v>451</v>
      </c>
      <c r="E781" s="2" t="s">
        <v>408</v>
      </c>
      <c r="F781" s="21" t="n">
        <v>45918.3625677778</v>
      </c>
      <c r="G781" s="21" t="n">
        <v>45918.3975122222</v>
      </c>
      <c r="H781" s="10" t="n">
        <v>0.838666666666667</v>
      </c>
      <c r="I781" s="15" t="n">
        <v>45920</v>
      </c>
      <c r="J781" s="2" t="s">
        <v>629</v>
      </c>
    </row>
    <row r="782" customFormat="false" ht="15" hidden="false" customHeight="false" outlineLevel="0" collapsed="false">
      <c r="A782" s="2" t="s">
        <v>589</v>
      </c>
      <c r="B782" s="2" t="s">
        <v>80</v>
      </c>
      <c r="C782" s="4" t="n">
        <v>13</v>
      </c>
      <c r="D782" s="2" t="s">
        <v>452</v>
      </c>
      <c r="E782" s="2" t="s">
        <v>411</v>
      </c>
      <c r="F782" s="21" t="n">
        <v>45918.3975122222</v>
      </c>
      <c r="G782" s="21" t="n">
        <v>45918.4444566667</v>
      </c>
      <c r="H782" s="10" t="n">
        <v>1.12666666666667</v>
      </c>
      <c r="I782" s="15" t="n">
        <v>45920</v>
      </c>
      <c r="J782" s="2" t="s">
        <v>629</v>
      </c>
    </row>
    <row r="783" customFormat="false" ht="15" hidden="false" customHeight="false" outlineLevel="0" collapsed="false">
      <c r="A783" s="2" t="s">
        <v>591</v>
      </c>
      <c r="B783" s="2" t="s">
        <v>94</v>
      </c>
      <c r="C783" s="4" t="n">
        <v>1</v>
      </c>
      <c r="D783" s="2" t="s">
        <v>437</v>
      </c>
      <c r="E783" s="2" t="s">
        <v>375</v>
      </c>
      <c r="F783" s="21" t="n">
        <v>45903.6746111111</v>
      </c>
      <c r="G783" s="21" t="n">
        <v>45905.3484166667</v>
      </c>
      <c r="H783" s="10" t="n">
        <v>9.17133333333333</v>
      </c>
      <c r="I783" s="15" t="n">
        <v>45918</v>
      </c>
      <c r="J783" s="2" t="s">
        <v>629</v>
      </c>
    </row>
    <row r="784" customFormat="false" ht="15" hidden="false" customHeight="false" outlineLevel="0" collapsed="false">
      <c r="A784" s="2" t="s">
        <v>591</v>
      </c>
      <c r="B784" s="2" t="s">
        <v>94</v>
      </c>
      <c r="C784" s="4" t="n">
        <v>2</v>
      </c>
      <c r="D784" s="2" t="s">
        <v>441</v>
      </c>
      <c r="E784" s="2" t="s">
        <v>380</v>
      </c>
      <c r="F784" s="21" t="n">
        <v>45905.3484166667</v>
      </c>
      <c r="G784" s="21" t="n">
        <v>45905.3788888889</v>
      </c>
      <c r="H784" s="10" t="n">
        <v>0.731333333333333</v>
      </c>
      <c r="I784" s="15" t="n">
        <v>45918</v>
      </c>
      <c r="J784" s="2" t="s">
        <v>629</v>
      </c>
    </row>
    <row r="785" customFormat="false" ht="15" hidden="false" customHeight="false" outlineLevel="0" collapsed="false">
      <c r="A785" s="2" t="s">
        <v>591</v>
      </c>
      <c r="B785" s="2" t="s">
        <v>94</v>
      </c>
      <c r="C785" s="4" t="n">
        <v>3</v>
      </c>
      <c r="D785" s="2" t="s">
        <v>386</v>
      </c>
      <c r="E785" s="2" t="s">
        <v>383</v>
      </c>
      <c r="F785" s="21" t="n">
        <v>45908.5889444445</v>
      </c>
      <c r="G785" s="21" t="n">
        <v>45909.6667222222</v>
      </c>
      <c r="H785" s="10" t="n">
        <v>9.86666666666667</v>
      </c>
      <c r="I785" s="15" t="n">
        <v>45918</v>
      </c>
      <c r="J785" s="2" t="s">
        <v>629</v>
      </c>
    </row>
    <row r="786" customFormat="false" ht="15" hidden="false" customHeight="false" outlineLevel="0" collapsed="false">
      <c r="A786" s="2" t="s">
        <v>591</v>
      </c>
      <c r="B786" s="2" t="s">
        <v>94</v>
      </c>
      <c r="C786" s="4" t="n">
        <v>4</v>
      </c>
      <c r="D786" s="2" t="s">
        <v>390</v>
      </c>
      <c r="E786" s="2" t="s">
        <v>387</v>
      </c>
      <c r="F786" s="21" t="n">
        <v>45910.3972777778</v>
      </c>
      <c r="G786" s="21" t="n">
        <v>45912.5972777778</v>
      </c>
      <c r="H786" s="10" t="n">
        <v>19.8</v>
      </c>
      <c r="I786" s="15" t="n">
        <v>45918</v>
      </c>
      <c r="J786" s="2" t="s">
        <v>629</v>
      </c>
    </row>
    <row r="787" customFormat="false" ht="15" hidden="false" customHeight="false" outlineLevel="0" collapsed="false">
      <c r="A787" s="2" t="s">
        <v>591</v>
      </c>
      <c r="B787" s="2" t="s">
        <v>94</v>
      </c>
      <c r="C787" s="4" t="n">
        <v>5</v>
      </c>
      <c r="D787" s="2" t="s">
        <v>443</v>
      </c>
      <c r="E787" s="2" t="s">
        <v>395</v>
      </c>
      <c r="F787" s="21" t="n">
        <v>45915.4186666667</v>
      </c>
      <c r="G787" s="21" t="n">
        <v>45915.6749166667</v>
      </c>
      <c r="H787" s="10" t="n">
        <v>5.15</v>
      </c>
      <c r="I787" s="15" t="n">
        <v>45918</v>
      </c>
      <c r="J787" s="2" t="s">
        <v>629</v>
      </c>
    </row>
    <row r="788" customFormat="false" ht="15" hidden="false" customHeight="false" outlineLevel="0" collapsed="false">
      <c r="A788" s="2" t="s">
        <v>591</v>
      </c>
      <c r="B788" s="2" t="s">
        <v>94</v>
      </c>
      <c r="C788" s="4" t="n">
        <v>6</v>
      </c>
      <c r="D788" s="2" t="s">
        <v>444</v>
      </c>
      <c r="E788" s="2" t="s">
        <v>399</v>
      </c>
      <c r="F788" s="21" t="n">
        <v>45916.3413733333</v>
      </c>
      <c r="G788" s="21" t="n">
        <v>45916.55602</v>
      </c>
      <c r="H788" s="10" t="n">
        <v>4.15152</v>
      </c>
      <c r="I788" s="15" t="n">
        <v>45918</v>
      </c>
      <c r="J788" s="2" t="s">
        <v>629</v>
      </c>
    </row>
    <row r="789" customFormat="false" ht="15" hidden="false" customHeight="false" outlineLevel="0" collapsed="false">
      <c r="A789" s="2" t="s">
        <v>591</v>
      </c>
      <c r="B789" s="2" t="s">
        <v>94</v>
      </c>
      <c r="C789" s="4" t="n">
        <v>7</v>
      </c>
      <c r="D789" s="2" t="s">
        <v>445</v>
      </c>
      <c r="E789" s="2" t="s">
        <v>402</v>
      </c>
      <c r="F789" s="21" t="n">
        <v>45916.55602</v>
      </c>
      <c r="G789" s="21" t="n">
        <v>45916.5966866667</v>
      </c>
      <c r="H789" s="10" t="n">
        <v>0.976</v>
      </c>
      <c r="I789" s="15" t="n">
        <v>45918</v>
      </c>
      <c r="J789" s="2" t="s">
        <v>629</v>
      </c>
    </row>
    <row r="790" customFormat="false" ht="15" hidden="false" customHeight="false" outlineLevel="0" collapsed="false">
      <c r="A790" s="2" t="s">
        <v>591</v>
      </c>
      <c r="B790" s="2" t="s">
        <v>94</v>
      </c>
      <c r="C790" s="4" t="n">
        <v>8</v>
      </c>
      <c r="D790" s="2" t="s">
        <v>447</v>
      </c>
      <c r="E790" s="2" t="s">
        <v>421</v>
      </c>
      <c r="F790" s="21" t="n">
        <v>45916.5966866667</v>
      </c>
      <c r="G790" s="21" t="n">
        <v>45916.6279366667</v>
      </c>
      <c r="H790" s="10" t="n">
        <v>0.75</v>
      </c>
      <c r="I790" s="15" t="n">
        <v>45918</v>
      </c>
      <c r="J790" s="2" t="s">
        <v>629</v>
      </c>
    </row>
    <row r="791" customFormat="false" ht="15" hidden="false" customHeight="false" outlineLevel="0" collapsed="false">
      <c r="A791" s="2" t="s">
        <v>591</v>
      </c>
      <c r="B791" s="2" t="s">
        <v>94</v>
      </c>
      <c r="C791" s="4" t="n">
        <v>9</v>
      </c>
      <c r="D791" s="2" t="s">
        <v>449</v>
      </c>
      <c r="E791" s="2" t="s">
        <v>423</v>
      </c>
      <c r="F791" s="21" t="n">
        <v>45916.6279366667</v>
      </c>
      <c r="G791" s="21" t="n">
        <v>45916.6444505556</v>
      </c>
      <c r="H791" s="10" t="n">
        <v>0.396333333333333</v>
      </c>
      <c r="I791" s="15" t="n">
        <v>45918</v>
      </c>
      <c r="J791" s="2" t="s">
        <v>629</v>
      </c>
    </row>
    <row r="792" customFormat="false" ht="15" hidden="false" customHeight="false" outlineLevel="0" collapsed="false">
      <c r="A792" s="2" t="s">
        <v>591</v>
      </c>
      <c r="B792" s="2" t="s">
        <v>94</v>
      </c>
      <c r="C792" s="4" t="n">
        <v>10</v>
      </c>
      <c r="D792" s="2" t="s">
        <v>450</v>
      </c>
      <c r="E792" s="2" t="s">
        <v>406</v>
      </c>
      <c r="F792" s="21" t="n">
        <v>45918.3625677778</v>
      </c>
      <c r="G792" s="21" t="n">
        <v>45918.6959011111</v>
      </c>
      <c r="H792" s="10" t="n">
        <v>7</v>
      </c>
      <c r="I792" s="15" t="n">
        <v>45918</v>
      </c>
      <c r="J792" s="2" t="s">
        <v>629</v>
      </c>
    </row>
    <row r="793" customFormat="false" ht="15" hidden="false" customHeight="false" outlineLevel="0" collapsed="false">
      <c r="A793" s="2" t="s">
        <v>591</v>
      </c>
      <c r="B793" s="2" t="s">
        <v>94</v>
      </c>
      <c r="C793" s="4" t="n">
        <v>11</v>
      </c>
      <c r="D793" s="2" t="s">
        <v>451</v>
      </c>
      <c r="E793" s="2" t="s">
        <v>408</v>
      </c>
      <c r="F793" s="21" t="n">
        <v>45918.6959011111</v>
      </c>
      <c r="G793" s="21" t="n">
        <v>45919.3380816667</v>
      </c>
      <c r="H793" s="10" t="n">
        <v>0.412333333333333</v>
      </c>
      <c r="I793" s="15" t="n">
        <v>45918</v>
      </c>
      <c r="J793" s="2" t="s">
        <v>629</v>
      </c>
    </row>
    <row r="794" customFormat="false" ht="15" hidden="false" customHeight="false" outlineLevel="0" collapsed="false">
      <c r="A794" s="2" t="s">
        <v>591</v>
      </c>
      <c r="B794" s="2" t="s">
        <v>94</v>
      </c>
      <c r="C794" s="4" t="n">
        <v>12</v>
      </c>
      <c r="D794" s="2" t="s">
        <v>452</v>
      </c>
      <c r="E794" s="2" t="s">
        <v>411</v>
      </c>
      <c r="F794" s="21" t="n">
        <v>45919.3380816667</v>
      </c>
      <c r="G794" s="21" t="n">
        <v>45919.3610538889</v>
      </c>
      <c r="H794" s="10" t="n">
        <v>0.551333333333333</v>
      </c>
      <c r="I794" s="15" t="n">
        <v>45918</v>
      </c>
      <c r="J794" s="2" t="s">
        <v>629</v>
      </c>
    </row>
    <row r="795" customFormat="false" ht="15" hidden="false" customHeight="false" outlineLevel="0" collapsed="false">
      <c r="A795" s="2" t="s">
        <v>593</v>
      </c>
      <c r="B795" s="2" t="s">
        <v>106</v>
      </c>
      <c r="C795" s="4" t="n">
        <v>1</v>
      </c>
      <c r="D795" s="2" t="s">
        <v>437</v>
      </c>
      <c r="E795" s="2" t="s">
        <v>375</v>
      </c>
      <c r="F795" s="21" t="n">
        <v>45905.3484166667</v>
      </c>
      <c r="G795" s="21" t="n">
        <v>45905.4937118056</v>
      </c>
      <c r="H795" s="10" t="n">
        <v>3.48708333333333</v>
      </c>
      <c r="I795" s="15" t="n">
        <v>45917</v>
      </c>
      <c r="J795" s="2" t="s">
        <v>629</v>
      </c>
    </row>
    <row r="796" customFormat="false" ht="15" hidden="false" customHeight="false" outlineLevel="0" collapsed="false">
      <c r="A796" s="2" t="s">
        <v>593</v>
      </c>
      <c r="B796" s="2" t="s">
        <v>106</v>
      </c>
      <c r="C796" s="4" t="n">
        <v>2</v>
      </c>
      <c r="D796" s="2" t="s">
        <v>386</v>
      </c>
      <c r="E796" s="2" t="s">
        <v>383</v>
      </c>
      <c r="F796" s="21" t="n">
        <v>45909.6667222222</v>
      </c>
      <c r="G796" s="21" t="n">
        <v>45910.3500555556</v>
      </c>
      <c r="H796" s="10" t="n">
        <v>1.4</v>
      </c>
      <c r="I796" s="15" t="n">
        <v>45917</v>
      </c>
      <c r="J796" s="2" t="s">
        <v>629</v>
      </c>
    </row>
    <row r="797" customFormat="false" ht="15" hidden="false" customHeight="false" outlineLevel="0" collapsed="false">
      <c r="A797" s="2" t="s">
        <v>593</v>
      </c>
      <c r="B797" s="2" t="s">
        <v>106</v>
      </c>
      <c r="C797" s="4" t="n">
        <v>3</v>
      </c>
      <c r="D797" s="2" t="s">
        <v>390</v>
      </c>
      <c r="E797" s="2" t="s">
        <v>387</v>
      </c>
      <c r="F797" s="21" t="n">
        <v>45912.5972777778</v>
      </c>
      <c r="G797" s="21" t="n">
        <v>45915.6333888889</v>
      </c>
      <c r="H797" s="10" t="n">
        <v>8.86666666666667</v>
      </c>
      <c r="I797" s="15" t="n">
        <v>45917</v>
      </c>
      <c r="J797" s="2" t="s">
        <v>629</v>
      </c>
    </row>
    <row r="798" customFormat="false" ht="15" hidden="false" customHeight="false" outlineLevel="0" collapsed="false">
      <c r="A798" s="2" t="s">
        <v>593</v>
      </c>
      <c r="B798" s="2" t="s">
        <v>106</v>
      </c>
      <c r="C798" s="4" t="n">
        <v>4</v>
      </c>
      <c r="D798" s="2" t="s">
        <v>443</v>
      </c>
      <c r="E798" s="2" t="s">
        <v>395</v>
      </c>
      <c r="F798" s="21" t="n">
        <v>45915.6749166667</v>
      </c>
      <c r="G798" s="21" t="n">
        <v>45916.3645</v>
      </c>
      <c r="H798" s="10" t="n">
        <v>1.55</v>
      </c>
      <c r="I798" s="15" t="n">
        <v>45917</v>
      </c>
      <c r="J798" s="2" t="s">
        <v>629</v>
      </c>
    </row>
    <row r="799" customFormat="false" ht="15" hidden="false" customHeight="false" outlineLevel="0" collapsed="false">
      <c r="A799" s="2" t="s">
        <v>593</v>
      </c>
      <c r="B799" s="2" t="s">
        <v>106</v>
      </c>
      <c r="C799" s="4" t="n">
        <v>5</v>
      </c>
      <c r="D799" s="2" t="s">
        <v>444</v>
      </c>
      <c r="E799" s="2" t="s">
        <v>399</v>
      </c>
      <c r="F799" s="21" t="n">
        <v>45916.55602</v>
      </c>
      <c r="G799" s="21" t="n">
        <v>45916.6515894445</v>
      </c>
      <c r="H799" s="10" t="n">
        <v>2.29366666666667</v>
      </c>
      <c r="I799" s="15" t="n">
        <v>45917</v>
      </c>
      <c r="J799" s="2" t="s">
        <v>629</v>
      </c>
    </row>
    <row r="800" customFormat="false" ht="15" hidden="false" customHeight="false" outlineLevel="0" collapsed="false">
      <c r="A800" s="2" t="s">
        <v>593</v>
      </c>
      <c r="B800" s="2" t="s">
        <v>106</v>
      </c>
      <c r="C800" s="4" t="n">
        <v>6</v>
      </c>
      <c r="D800" s="2" t="s">
        <v>445</v>
      </c>
      <c r="E800" s="2" t="s">
        <v>402</v>
      </c>
      <c r="F800" s="21" t="n">
        <v>45916.6515894445</v>
      </c>
      <c r="G800" s="21" t="n">
        <v>45916.6836380556</v>
      </c>
      <c r="H800" s="10" t="n">
        <v>0.769166666666667</v>
      </c>
      <c r="I800" s="15" t="n">
        <v>45917</v>
      </c>
      <c r="J800" s="2" t="s">
        <v>629</v>
      </c>
    </row>
    <row r="801" customFormat="false" ht="15" hidden="false" customHeight="false" outlineLevel="0" collapsed="false">
      <c r="A801" s="2" t="s">
        <v>593</v>
      </c>
      <c r="B801" s="2" t="s">
        <v>106</v>
      </c>
      <c r="C801" s="4" t="n">
        <v>7</v>
      </c>
      <c r="D801" s="2" t="s">
        <v>447</v>
      </c>
      <c r="E801" s="2" t="s">
        <v>421</v>
      </c>
      <c r="F801" s="21" t="n">
        <v>45916.6836380556</v>
      </c>
      <c r="G801" s="21" t="n">
        <v>45917.3398880556</v>
      </c>
      <c r="H801" s="10" t="n">
        <v>0.75</v>
      </c>
      <c r="I801" s="15" t="n">
        <v>45917</v>
      </c>
      <c r="J801" s="2" t="s">
        <v>629</v>
      </c>
    </row>
    <row r="802" customFormat="false" ht="15" hidden="false" customHeight="false" outlineLevel="0" collapsed="false">
      <c r="A802" s="2" t="s">
        <v>593</v>
      </c>
      <c r="B802" s="2" t="s">
        <v>106</v>
      </c>
      <c r="C802" s="4" t="n">
        <v>8</v>
      </c>
      <c r="D802" s="2" t="s">
        <v>449</v>
      </c>
      <c r="E802" s="2" t="s">
        <v>423</v>
      </c>
      <c r="F802" s="21" t="n">
        <v>45917.3398880556</v>
      </c>
      <c r="G802" s="21" t="n">
        <v>45917.3538463889</v>
      </c>
      <c r="H802" s="10" t="n">
        <v>0.335</v>
      </c>
      <c r="I802" s="15" t="n">
        <v>45917</v>
      </c>
      <c r="J802" s="2" t="s">
        <v>629</v>
      </c>
    </row>
    <row r="803" customFormat="false" ht="15" hidden="false" customHeight="false" outlineLevel="0" collapsed="false">
      <c r="A803" s="2" t="s">
        <v>593</v>
      </c>
      <c r="B803" s="2" t="s">
        <v>106</v>
      </c>
      <c r="C803" s="4" t="n">
        <v>9</v>
      </c>
      <c r="D803" s="2" t="s">
        <v>450</v>
      </c>
      <c r="E803" s="2" t="s">
        <v>406</v>
      </c>
      <c r="F803" s="21" t="n">
        <v>45918.6959011111</v>
      </c>
      <c r="G803" s="21" t="n">
        <v>45919.4709011111</v>
      </c>
      <c r="H803" s="10" t="n">
        <v>3.6</v>
      </c>
      <c r="I803" s="15" t="n">
        <v>45917</v>
      </c>
      <c r="J803" s="2" t="s">
        <v>629</v>
      </c>
    </row>
    <row r="804" customFormat="false" ht="15" hidden="false" customHeight="false" outlineLevel="0" collapsed="false">
      <c r="A804" s="2" t="s">
        <v>593</v>
      </c>
      <c r="B804" s="2" t="s">
        <v>106</v>
      </c>
      <c r="C804" s="4" t="n">
        <v>10</v>
      </c>
      <c r="D804" s="2" t="s">
        <v>451</v>
      </c>
      <c r="E804" s="2" t="s">
        <v>408</v>
      </c>
      <c r="F804" s="21" t="n">
        <v>45919.4709011111</v>
      </c>
      <c r="G804" s="21" t="n">
        <v>45919.4845122222</v>
      </c>
      <c r="H804" s="10" t="n">
        <v>0.326666666666667</v>
      </c>
      <c r="I804" s="15" t="n">
        <v>45917</v>
      </c>
      <c r="J804" s="2" t="s">
        <v>629</v>
      </c>
    </row>
    <row r="805" customFormat="false" ht="15" hidden="false" customHeight="false" outlineLevel="0" collapsed="false">
      <c r="A805" s="2" t="s">
        <v>593</v>
      </c>
      <c r="B805" s="2" t="s">
        <v>106</v>
      </c>
      <c r="C805" s="4" t="n">
        <v>11</v>
      </c>
      <c r="D805" s="2" t="s">
        <v>452</v>
      </c>
      <c r="E805" s="2" t="s">
        <v>411</v>
      </c>
      <c r="F805" s="21" t="n">
        <v>45919.4845122222</v>
      </c>
      <c r="G805" s="21" t="n">
        <v>45919.544165</v>
      </c>
      <c r="H805" s="10" t="n">
        <v>0.431666666666667</v>
      </c>
      <c r="I805" s="15" t="n">
        <v>45917</v>
      </c>
      <c r="J805" s="2" t="s">
        <v>629</v>
      </c>
    </row>
    <row r="806" customFormat="false" ht="15" hidden="false" customHeight="false" outlineLevel="0" collapsed="false">
      <c r="A806" s="2" t="s">
        <v>595</v>
      </c>
      <c r="B806" s="2" t="s">
        <v>119</v>
      </c>
      <c r="C806" s="4" t="n">
        <v>1</v>
      </c>
      <c r="D806" s="2" t="s">
        <v>437</v>
      </c>
      <c r="E806" s="2" t="s">
        <v>375</v>
      </c>
      <c r="F806" s="21" t="n">
        <v>45905.4937118056</v>
      </c>
      <c r="G806" s="21" t="n">
        <v>45908.4128784722</v>
      </c>
      <c r="H806" s="10" t="n">
        <v>6.06</v>
      </c>
      <c r="I806" s="15" t="n">
        <v>45918</v>
      </c>
      <c r="J806" s="2" t="s">
        <v>629</v>
      </c>
    </row>
    <row r="807" customFormat="false" ht="15" hidden="false" customHeight="false" outlineLevel="0" collapsed="false">
      <c r="A807" s="2" t="s">
        <v>595</v>
      </c>
      <c r="B807" s="2" t="s">
        <v>119</v>
      </c>
      <c r="C807" s="4" t="n">
        <v>2</v>
      </c>
      <c r="D807" s="2" t="s">
        <v>386</v>
      </c>
      <c r="E807" s="2" t="s">
        <v>383</v>
      </c>
      <c r="F807" s="21" t="n">
        <v>45910.3500555556</v>
      </c>
      <c r="G807" s="21" t="n">
        <v>45910.3972777778</v>
      </c>
      <c r="H807" s="10" t="n">
        <v>1.13333333333333</v>
      </c>
      <c r="I807" s="15" t="n">
        <v>45918</v>
      </c>
      <c r="J807" s="2" t="s">
        <v>629</v>
      </c>
    </row>
    <row r="808" customFormat="false" ht="15" hidden="false" customHeight="false" outlineLevel="0" collapsed="false">
      <c r="A808" s="2" t="s">
        <v>595</v>
      </c>
      <c r="B808" s="2" t="s">
        <v>119</v>
      </c>
      <c r="C808" s="4" t="n">
        <v>3</v>
      </c>
      <c r="D808" s="2" t="s">
        <v>390</v>
      </c>
      <c r="E808" s="2" t="s">
        <v>387</v>
      </c>
      <c r="F808" s="21" t="n">
        <v>45915.6333888889</v>
      </c>
      <c r="G808" s="21" t="n">
        <v>45917.5722777778</v>
      </c>
      <c r="H808" s="10" t="n">
        <v>14.5333333333333</v>
      </c>
      <c r="I808" s="15" t="n">
        <v>45918</v>
      </c>
      <c r="J808" s="2" t="s">
        <v>629</v>
      </c>
    </row>
    <row r="809" customFormat="false" ht="15" hidden="false" customHeight="false" outlineLevel="0" collapsed="false">
      <c r="A809" s="2" t="s">
        <v>595</v>
      </c>
      <c r="B809" s="2" t="s">
        <v>119</v>
      </c>
      <c r="C809" s="4" t="n">
        <v>4</v>
      </c>
      <c r="D809" s="2" t="s">
        <v>443</v>
      </c>
      <c r="E809" s="2" t="s">
        <v>395</v>
      </c>
      <c r="F809" s="21" t="n">
        <v>45917.5722777778</v>
      </c>
      <c r="G809" s="21" t="n">
        <v>45917.6785277778</v>
      </c>
      <c r="H809" s="10" t="n">
        <v>2.55</v>
      </c>
      <c r="I809" s="15" t="n">
        <v>45918</v>
      </c>
      <c r="J809" s="2" t="s">
        <v>629</v>
      </c>
    </row>
    <row r="810" customFormat="false" ht="15" hidden="false" customHeight="false" outlineLevel="0" collapsed="false">
      <c r="A810" s="2" t="s">
        <v>595</v>
      </c>
      <c r="B810" s="2" t="s">
        <v>119</v>
      </c>
      <c r="C810" s="4" t="n">
        <v>5</v>
      </c>
      <c r="D810" s="2" t="s">
        <v>444</v>
      </c>
      <c r="E810" s="2" t="s">
        <v>399</v>
      </c>
      <c r="F810" s="21" t="n">
        <v>45917.6785277778</v>
      </c>
      <c r="G810" s="21" t="n">
        <v>45918.48625</v>
      </c>
      <c r="H810" s="10" t="n">
        <v>4.38533333333333</v>
      </c>
      <c r="I810" s="15" t="n">
        <v>45918</v>
      </c>
      <c r="J810" s="2" t="s">
        <v>629</v>
      </c>
    </row>
    <row r="811" customFormat="false" ht="15" hidden="false" customHeight="false" outlineLevel="0" collapsed="false">
      <c r="A811" s="2" t="s">
        <v>595</v>
      </c>
      <c r="B811" s="2" t="s">
        <v>119</v>
      </c>
      <c r="C811" s="4" t="n">
        <v>6</v>
      </c>
      <c r="D811" s="2" t="s">
        <v>445</v>
      </c>
      <c r="E811" s="2" t="s">
        <v>402</v>
      </c>
      <c r="F811" s="21" t="n">
        <v>45918.48625</v>
      </c>
      <c r="G811" s="21" t="n">
        <v>45918.5819444444</v>
      </c>
      <c r="H811" s="10" t="n">
        <v>1.29666666666667</v>
      </c>
      <c r="I811" s="15" t="n">
        <v>45918</v>
      </c>
      <c r="J811" s="2" t="s">
        <v>629</v>
      </c>
    </row>
    <row r="812" customFormat="false" ht="15" hidden="false" customHeight="false" outlineLevel="0" collapsed="false">
      <c r="A812" s="2" t="s">
        <v>595</v>
      </c>
      <c r="B812" s="2" t="s">
        <v>119</v>
      </c>
      <c r="C812" s="4" t="n">
        <v>7</v>
      </c>
      <c r="D812" s="2" t="s">
        <v>447</v>
      </c>
      <c r="E812" s="2" t="s">
        <v>421</v>
      </c>
      <c r="F812" s="21" t="n">
        <v>45918.5819444444</v>
      </c>
      <c r="G812" s="21" t="n">
        <v>45918.6131944444</v>
      </c>
      <c r="H812" s="10" t="n">
        <v>0.75</v>
      </c>
      <c r="I812" s="15" t="n">
        <v>45918</v>
      </c>
      <c r="J812" s="2" t="s">
        <v>629</v>
      </c>
    </row>
    <row r="813" customFormat="false" ht="15" hidden="false" customHeight="false" outlineLevel="0" collapsed="false">
      <c r="A813" s="2" t="s">
        <v>595</v>
      </c>
      <c r="B813" s="2" t="s">
        <v>119</v>
      </c>
      <c r="C813" s="4" t="n">
        <v>8</v>
      </c>
      <c r="D813" s="2" t="s">
        <v>449</v>
      </c>
      <c r="E813" s="2" t="s">
        <v>423</v>
      </c>
      <c r="F813" s="21" t="n">
        <v>45918.6131944444</v>
      </c>
      <c r="G813" s="21" t="n">
        <v>45918.6351388889</v>
      </c>
      <c r="H813" s="10" t="n">
        <v>0.526666666666667</v>
      </c>
      <c r="I813" s="15" t="n">
        <v>45918</v>
      </c>
      <c r="J813" s="2" t="s">
        <v>629</v>
      </c>
    </row>
    <row r="814" customFormat="false" ht="15" hidden="false" customHeight="false" outlineLevel="0" collapsed="false">
      <c r="A814" s="2" t="s">
        <v>595</v>
      </c>
      <c r="B814" s="2" t="s">
        <v>119</v>
      </c>
      <c r="C814" s="4" t="n">
        <v>9</v>
      </c>
      <c r="D814" s="2" t="s">
        <v>450</v>
      </c>
      <c r="E814" s="2" t="s">
        <v>406</v>
      </c>
      <c r="F814" s="21" t="n">
        <v>45919.4709011111</v>
      </c>
      <c r="G814" s="21" t="n">
        <v>45919.7042344444</v>
      </c>
      <c r="H814" s="10" t="n">
        <v>4.6</v>
      </c>
      <c r="I814" s="15" t="n">
        <v>45918</v>
      </c>
      <c r="J814" s="2" t="s">
        <v>629</v>
      </c>
    </row>
    <row r="815" customFormat="false" ht="15" hidden="false" customHeight="false" outlineLevel="0" collapsed="false">
      <c r="A815" s="2" t="s">
        <v>595</v>
      </c>
      <c r="B815" s="2" t="s">
        <v>119</v>
      </c>
      <c r="C815" s="4" t="n">
        <v>10</v>
      </c>
      <c r="D815" s="2" t="s">
        <v>451</v>
      </c>
      <c r="E815" s="2" t="s">
        <v>408</v>
      </c>
      <c r="F815" s="21" t="n">
        <v>45919.7042344444</v>
      </c>
      <c r="G815" s="21" t="n">
        <v>45922.3545816667</v>
      </c>
      <c r="H815" s="10" t="n">
        <v>0.608333333333333</v>
      </c>
      <c r="I815" s="15" t="n">
        <v>45918</v>
      </c>
      <c r="J815" s="2" t="s">
        <v>629</v>
      </c>
    </row>
    <row r="816" customFormat="false" ht="15" hidden="false" customHeight="false" outlineLevel="0" collapsed="false">
      <c r="A816" s="2" t="s">
        <v>595</v>
      </c>
      <c r="B816" s="2" t="s">
        <v>119</v>
      </c>
      <c r="C816" s="4" t="n">
        <v>11</v>
      </c>
      <c r="D816" s="2" t="s">
        <v>452</v>
      </c>
      <c r="E816" s="2" t="s">
        <v>411</v>
      </c>
      <c r="F816" s="21" t="n">
        <v>45922.3545816667</v>
      </c>
      <c r="G816" s="21" t="n">
        <v>45922.3884011111</v>
      </c>
      <c r="H816" s="10" t="n">
        <v>0.811666666666667</v>
      </c>
      <c r="I816" s="15" t="n">
        <v>45918</v>
      </c>
      <c r="J816" s="2" t="s">
        <v>629</v>
      </c>
    </row>
    <row r="817" customFormat="false" ht="15" hidden="false" customHeight="false" outlineLevel="0" collapsed="false">
      <c r="A817" s="2" t="s">
        <v>590</v>
      </c>
      <c r="B817" s="2" t="s">
        <v>83</v>
      </c>
      <c r="C817" s="4" t="n">
        <v>1</v>
      </c>
      <c r="D817" s="2" t="s">
        <v>437</v>
      </c>
      <c r="E817" s="2" t="s">
        <v>375</v>
      </c>
      <c r="F817" s="21" t="n">
        <v>45916.3333333333</v>
      </c>
      <c r="G817" s="21" t="n">
        <v>45916.6916944445</v>
      </c>
      <c r="H817" s="10" t="n">
        <v>7.60066666666667</v>
      </c>
      <c r="I817" s="15" t="n">
        <v>45934</v>
      </c>
      <c r="J817" s="2" t="s">
        <v>629</v>
      </c>
    </row>
    <row r="818" customFormat="false" ht="15" hidden="false" customHeight="false" outlineLevel="0" collapsed="false">
      <c r="A818" s="2" t="s">
        <v>590</v>
      </c>
      <c r="B818" s="2" t="s">
        <v>83</v>
      </c>
      <c r="C818" s="4" t="n">
        <v>2</v>
      </c>
      <c r="D818" s="2" t="s">
        <v>441</v>
      </c>
      <c r="E818" s="2" t="s">
        <v>380</v>
      </c>
      <c r="F818" s="21" t="n">
        <v>45916.6916944445</v>
      </c>
      <c r="G818" s="21" t="n">
        <v>45918.4278055556</v>
      </c>
      <c r="H818" s="10" t="n">
        <v>10.6666666666667</v>
      </c>
      <c r="I818" s="15" t="n">
        <v>45934</v>
      </c>
      <c r="J818" s="2" t="s">
        <v>629</v>
      </c>
    </row>
    <row r="819" customFormat="false" ht="15" hidden="false" customHeight="false" outlineLevel="0" collapsed="false">
      <c r="A819" s="2" t="s">
        <v>590</v>
      </c>
      <c r="B819" s="2" t="s">
        <v>83</v>
      </c>
      <c r="C819" s="4" t="n">
        <v>3</v>
      </c>
      <c r="D819" s="2" t="s">
        <v>386</v>
      </c>
      <c r="E819" s="2" t="s">
        <v>383</v>
      </c>
      <c r="F819" s="21" t="n">
        <v>45918.4278055556</v>
      </c>
      <c r="G819" s="21" t="n">
        <v>45922.4591944445</v>
      </c>
      <c r="H819" s="10" t="n">
        <v>16.7533333333333</v>
      </c>
      <c r="I819" s="15" t="n">
        <v>45934</v>
      </c>
      <c r="J819" s="2" t="s">
        <v>629</v>
      </c>
    </row>
    <row r="820" customFormat="false" ht="15" hidden="false" customHeight="false" outlineLevel="0" collapsed="false">
      <c r="A820" s="2" t="s">
        <v>590</v>
      </c>
      <c r="B820" s="2" t="s">
        <v>83</v>
      </c>
      <c r="C820" s="4" t="n">
        <v>4</v>
      </c>
      <c r="D820" s="2" t="s">
        <v>390</v>
      </c>
      <c r="E820" s="2" t="s">
        <v>387</v>
      </c>
      <c r="F820" s="21" t="n">
        <v>45922.4591944445</v>
      </c>
      <c r="G820" s="21" t="n">
        <v>45924.3841944444</v>
      </c>
      <c r="H820" s="10" t="n">
        <v>14.2</v>
      </c>
      <c r="I820" s="15" t="n">
        <v>45934</v>
      </c>
      <c r="J820" s="2" t="s">
        <v>629</v>
      </c>
    </row>
    <row r="821" customFormat="false" ht="15" hidden="false" customHeight="false" outlineLevel="0" collapsed="false">
      <c r="A821" s="2" t="s">
        <v>590</v>
      </c>
      <c r="B821" s="2" t="s">
        <v>83</v>
      </c>
      <c r="C821" s="4" t="n">
        <v>5</v>
      </c>
      <c r="D821" s="2" t="s">
        <v>442</v>
      </c>
      <c r="E821" s="2" t="s">
        <v>391</v>
      </c>
      <c r="F821" s="21" t="n">
        <v>45924.3841944444</v>
      </c>
      <c r="G821" s="21" t="n">
        <v>45926.38475</v>
      </c>
      <c r="H821" s="10" t="n">
        <v>16.0133333333333</v>
      </c>
      <c r="I821" s="15" t="n">
        <v>45934</v>
      </c>
      <c r="J821" s="2" t="s">
        <v>629</v>
      </c>
    </row>
    <row r="822" customFormat="false" ht="15" hidden="false" customHeight="false" outlineLevel="0" collapsed="false">
      <c r="A822" s="2" t="s">
        <v>590</v>
      </c>
      <c r="B822" s="2" t="s">
        <v>83</v>
      </c>
      <c r="C822" s="4" t="n">
        <v>6</v>
      </c>
      <c r="D822" s="2" t="s">
        <v>443</v>
      </c>
      <c r="E822" s="2" t="s">
        <v>395</v>
      </c>
      <c r="F822" s="21" t="n">
        <v>45926.38475</v>
      </c>
      <c r="G822" s="21" t="n">
        <v>45929.4680833333</v>
      </c>
      <c r="H822" s="10" t="n">
        <v>10</v>
      </c>
      <c r="I822" s="15" t="n">
        <v>45934</v>
      </c>
      <c r="J822" s="2" t="s">
        <v>629</v>
      </c>
    </row>
    <row r="823" customFormat="false" ht="15" hidden="false" customHeight="false" outlineLevel="0" collapsed="false">
      <c r="A823" s="2" t="s">
        <v>590</v>
      </c>
      <c r="B823" s="2" t="s">
        <v>83</v>
      </c>
      <c r="C823" s="4" t="n">
        <v>7</v>
      </c>
      <c r="D823" s="2" t="s">
        <v>444</v>
      </c>
      <c r="E823" s="2" t="s">
        <v>399</v>
      </c>
      <c r="F823" s="21" t="n">
        <v>45929.4680833333</v>
      </c>
      <c r="G823" s="21" t="n">
        <v>45930.4102833333</v>
      </c>
      <c r="H823" s="10" t="n">
        <v>6.6128</v>
      </c>
      <c r="I823" s="15" t="n">
        <v>45934</v>
      </c>
      <c r="J823" s="2" t="s">
        <v>629</v>
      </c>
    </row>
    <row r="824" customFormat="false" ht="15" hidden="false" customHeight="false" outlineLevel="0" collapsed="false">
      <c r="A824" s="2" t="s">
        <v>590</v>
      </c>
      <c r="B824" s="2" t="s">
        <v>83</v>
      </c>
      <c r="C824" s="4" t="n">
        <v>8</v>
      </c>
      <c r="D824" s="2" t="s">
        <v>445</v>
      </c>
      <c r="E824" s="2" t="s">
        <v>402</v>
      </c>
      <c r="F824" s="21" t="n">
        <v>45930.4102833333</v>
      </c>
      <c r="G824" s="21" t="n">
        <v>45930.4937833333</v>
      </c>
      <c r="H824" s="10" t="n">
        <v>2.004</v>
      </c>
      <c r="I824" s="15" t="n">
        <v>45934</v>
      </c>
      <c r="J824" s="2" t="s">
        <v>629</v>
      </c>
    </row>
    <row r="825" customFormat="false" ht="15" hidden="false" customHeight="false" outlineLevel="0" collapsed="false">
      <c r="A825" s="2" t="s">
        <v>590</v>
      </c>
      <c r="B825" s="2" t="s">
        <v>83</v>
      </c>
      <c r="C825" s="4" t="n">
        <v>9</v>
      </c>
      <c r="D825" s="2" t="s">
        <v>447</v>
      </c>
      <c r="E825" s="2" t="s">
        <v>421</v>
      </c>
      <c r="F825" s="21" t="n">
        <v>45930.4937833333</v>
      </c>
      <c r="G825" s="21" t="n">
        <v>45930.59795</v>
      </c>
      <c r="H825" s="10" t="n">
        <v>1.5</v>
      </c>
      <c r="I825" s="15" t="n">
        <v>45934</v>
      </c>
      <c r="J825" s="2" t="s">
        <v>629</v>
      </c>
    </row>
    <row r="826" customFormat="false" ht="15" hidden="false" customHeight="false" outlineLevel="0" collapsed="false">
      <c r="A826" s="2" t="s">
        <v>590</v>
      </c>
      <c r="B826" s="2" t="s">
        <v>83</v>
      </c>
      <c r="C826" s="4" t="n">
        <v>10</v>
      </c>
      <c r="D826" s="2" t="s">
        <v>449</v>
      </c>
      <c r="E826" s="2" t="s">
        <v>423</v>
      </c>
      <c r="F826" s="21" t="n">
        <v>45930.59795</v>
      </c>
      <c r="G826" s="21" t="n">
        <v>45930.6314777778</v>
      </c>
      <c r="H826" s="10" t="n">
        <v>0.804666666666667</v>
      </c>
      <c r="I826" s="15" t="n">
        <v>45934</v>
      </c>
      <c r="J826" s="2" t="s">
        <v>629</v>
      </c>
    </row>
    <row r="827" customFormat="false" ht="15" hidden="false" customHeight="false" outlineLevel="0" collapsed="false">
      <c r="A827" s="2" t="s">
        <v>590</v>
      </c>
      <c r="B827" s="2" t="s">
        <v>83</v>
      </c>
      <c r="C827" s="4" t="n">
        <v>11</v>
      </c>
      <c r="D827" s="2" t="s">
        <v>450</v>
      </c>
      <c r="E827" s="2" t="s">
        <v>406</v>
      </c>
      <c r="F827" s="21" t="n">
        <v>45930.6314777778</v>
      </c>
      <c r="G827" s="21" t="n">
        <v>45932.4502277778</v>
      </c>
      <c r="H827" s="10" t="n">
        <v>12.65</v>
      </c>
      <c r="I827" s="15" t="n">
        <v>45934</v>
      </c>
      <c r="J827" s="2" t="s">
        <v>629</v>
      </c>
    </row>
    <row r="828" customFormat="false" ht="15" hidden="false" customHeight="false" outlineLevel="0" collapsed="false">
      <c r="A828" s="2" t="s">
        <v>590</v>
      </c>
      <c r="B828" s="2" t="s">
        <v>83</v>
      </c>
      <c r="C828" s="4" t="n">
        <v>12</v>
      </c>
      <c r="D828" s="2" t="s">
        <v>451</v>
      </c>
      <c r="E828" s="2" t="s">
        <v>408</v>
      </c>
      <c r="F828" s="21" t="n">
        <v>45932.4502277778</v>
      </c>
      <c r="G828" s="21" t="n">
        <v>45932.4851722222</v>
      </c>
      <c r="H828" s="10" t="n">
        <v>0.838666666666667</v>
      </c>
      <c r="I828" s="15" t="n">
        <v>45934</v>
      </c>
      <c r="J828" s="2" t="s">
        <v>629</v>
      </c>
    </row>
    <row r="829" customFormat="false" ht="15" hidden="false" customHeight="false" outlineLevel="0" collapsed="false">
      <c r="A829" s="2" t="s">
        <v>590</v>
      </c>
      <c r="B829" s="2" t="s">
        <v>83</v>
      </c>
      <c r="C829" s="4" t="n">
        <v>13</v>
      </c>
      <c r="D829" s="2" t="s">
        <v>452</v>
      </c>
      <c r="E829" s="2" t="s">
        <v>411</v>
      </c>
      <c r="F829" s="21" t="n">
        <v>45932.4851722222</v>
      </c>
      <c r="G829" s="21" t="n">
        <v>45932.5737833333</v>
      </c>
      <c r="H829" s="10" t="n">
        <v>1.12666666666667</v>
      </c>
      <c r="I829" s="15" t="n">
        <v>45934</v>
      </c>
      <c r="J829" s="2" t="s">
        <v>629</v>
      </c>
    </row>
    <row r="830" customFormat="false" ht="15" hidden="false" customHeight="false" outlineLevel="0" collapsed="false">
      <c r="A830" s="2" t="s">
        <v>592</v>
      </c>
      <c r="B830" s="2" t="s">
        <v>96</v>
      </c>
      <c r="C830" s="4" t="n">
        <v>1</v>
      </c>
      <c r="D830" s="2" t="s">
        <v>437</v>
      </c>
      <c r="E830" s="2" t="s">
        <v>375</v>
      </c>
      <c r="F830" s="21" t="n">
        <v>45916.6916944445</v>
      </c>
      <c r="G830" s="21" t="n">
        <v>45917.6408784722</v>
      </c>
      <c r="H830" s="10" t="n">
        <v>6.78041666666667</v>
      </c>
      <c r="I830" s="15" t="n">
        <v>45932</v>
      </c>
      <c r="J830" s="2" t="s">
        <v>629</v>
      </c>
    </row>
    <row r="831" customFormat="false" ht="15" hidden="false" customHeight="false" outlineLevel="0" collapsed="false">
      <c r="A831" s="2" t="s">
        <v>592</v>
      </c>
      <c r="B831" s="2" t="s">
        <v>96</v>
      </c>
      <c r="C831" s="4" t="n">
        <v>2</v>
      </c>
      <c r="D831" s="2" t="s">
        <v>441</v>
      </c>
      <c r="E831" s="2" t="s">
        <v>380</v>
      </c>
      <c r="F831" s="21" t="n">
        <v>45918.4278055556</v>
      </c>
      <c r="G831" s="21" t="n">
        <v>45918.4638888889</v>
      </c>
      <c r="H831" s="10" t="n">
        <v>0.866</v>
      </c>
      <c r="I831" s="15" t="n">
        <v>45932</v>
      </c>
      <c r="J831" s="2" t="s">
        <v>629</v>
      </c>
    </row>
    <row r="832" customFormat="false" ht="15" hidden="false" customHeight="false" outlineLevel="0" collapsed="false">
      <c r="A832" s="2" t="s">
        <v>592</v>
      </c>
      <c r="B832" s="2" t="s">
        <v>96</v>
      </c>
      <c r="C832" s="4" t="n">
        <v>3</v>
      </c>
      <c r="D832" s="2" t="s">
        <v>386</v>
      </c>
      <c r="E832" s="2" t="s">
        <v>383</v>
      </c>
      <c r="F832" s="21" t="n">
        <v>45922.4591944445</v>
      </c>
      <c r="G832" s="21" t="n">
        <v>45923.4585</v>
      </c>
      <c r="H832" s="10" t="n">
        <v>7.98333333333333</v>
      </c>
      <c r="I832" s="15" t="n">
        <v>45932</v>
      </c>
      <c r="J832" s="2" t="s">
        <v>629</v>
      </c>
    </row>
    <row r="833" customFormat="false" ht="15" hidden="false" customHeight="false" outlineLevel="0" collapsed="false">
      <c r="A833" s="2" t="s">
        <v>592</v>
      </c>
      <c r="B833" s="2" t="s">
        <v>96</v>
      </c>
      <c r="C833" s="4" t="n">
        <v>4</v>
      </c>
      <c r="D833" s="2" t="s">
        <v>390</v>
      </c>
      <c r="E833" s="2" t="s">
        <v>387</v>
      </c>
      <c r="F833" s="21" t="n">
        <v>45924.3841944444</v>
      </c>
      <c r="G833" s="21" t="n">
        <v>45925.7036388889</v>
      </c>
      <c r="H833" s="10" t="n">
        <v>14.6666666666667</v>
      </c>
      <c r="I833" s="15" t="n">
        <v>45932</v>
      </c>
      <c r="J833" s="2" t="s">
        <v>629</v>
      </c>
    </row>
    <row r="834" customFormat="false" ht="15" hidden="false" customHeight="false" outlineLevel="0" collapsed="false">
      <c r="A834" s="2" t="s">
        <v>592</v>
      </c>
      <c r="B834" s="2" t="s">
        <v>96</v>
      </c>
      <c r="C834" s="4" t="n">
        <v>5</v>
      </c>
      <c r="D834" s="2" t="s">
        <v>442</v>
      </c>
      <c r="E834" s="2" t="s">
        <v>391</v>
      </c>
      <c r="F834" s="21" t="n">
        <v>45926.38475</v>
      </c>
      <c r="G834" s="21" t="n">
        <v>45926.4189166667</v>
      </c>
      <c r="H834" s="10" t="n">
        <v>0.82</v>
      </c>
      <c r="I834" s="15" t="n">
        <v>45932</v>
      </c>
      <c r="J834" s="2" t="s">
        <v>629</v>
      </c>
    </row>
    <row r="835" customFormat="false" ht="15" hidden="false" customHeight="false" outlineLevel="0" collapsed="false">
      <c r="A835" s="2" t="s">
        <v>592</v>
      </c>
      <c r="B835" s="2" t="s">
        <v>96</v>
      </c>
      <c r="C835" s="4" t="n">
        <v>6</v>
      </c>
      <c r="D835" s="2" t="s">
        <v>443</v>
      </c>
      <c r="E835" s="2" t="s">
        <v>395</v>
      </c>
      <c r="F835" s="21" t="n">
        <v>45929.4680833333</v>
      </c>
      <c r="G835" s="21" t="n">
        <v>45929.67225</v>
      </c>
      <c r="H835" s="10" t="n">
        <v>3.9</v>
      </c>
      <c r="I835" s="15" t="n">
        <v>45932</v>
      </c>
      <c r="J835" s="2" t="s">
        <v>629</v>
      </c>
    </row>
    <row r="836" customFormat="false" ht="15" hidden="false" customHeight="false" outlineLevel="0" collapsed="false">
      <c r="A836" s="2" t="s">
        <v>592</v>
      </c>
      <c r="B836" s="2" t="s">
        <v>96</v>
      </c>
      <c r="C836" s="4" t="n">
        <v>7</v>
      </c>
      <c r="D836" s="2" t="s">
        <v>444</v>
      </c>
      <c r="E836" s="2" t="s">
        <v>399</v>
      </c>
      <c r="F836" s="21" t="n">
        <v>45930.4102833333</v>
      </c>
      <c r="G836" s="21" t="n">
        <v>45930.5877127778</v>
      </c>
      <c r="H836" s="10" t="n">
        <v>3.25830666666667</v>
      </c>
      <c r="I836" s="15" t="n">
        <v>45932</v>
      </c>
      <c r="J836" s="2" t="s">
        <v>629</v>
      </c>
    </row>
    <row r="837" customFormat="false" ht="15" hidden="false" customHeight="false" outlineLevel="0" collapsed="false">
      <c r="A837" s="2" t="s">
        <v>592</v>
      </c>
      <c r="B837" s="2" t="s">
        <v>96</v>
      </c>
      <c r="C837" s="4" t="n">
        <v>8</v>
      </c>
      <c r="D837" s="2" t="s">
        <v>445</v>
      </c>
      <c r="E837" s="2" t="s">
        <v>402</v>
      </c>
      <c r="F837" s="21" t="n">
        <v>45930.5877127778</v>
      </c>
      <c r="G837" s="21" t="n">
        <v>45930.6317266667</v>
      </c>
      <c r="H837" s="10" t="n">
        <v>1.05633333333333</v>
      </c>
      <c r="I837" s="15" t="n">
        <v>45932</v>
      </c>
      <c r="J837" s="2" t="s">
        <v>629</v>
      </c>
    </row>
    <row r="838" customFormat="false" ht="15" hidden="false" customHeight="false" outlineLevel="0" collapsed="false">
      <c r="A838" s="2" t="s">
        <v>592</v>
      </c>
      <c r="B838" s="2" t="s">
        <v>96</v>
      </c>
      <c r="C838" s="4" t="n">
        <v>9</v>
      </c>
      <c r="D838" s="2" t="s">
        <v>447</v>
      </c>
      <c r="E838" s="2" t="s">
        <v>421</v>
      </c>
      <c r="F838" s="21" t="n">
        <v>45930.6317266667</v>
      </c>
      <c r="G838" s="21" t="n">
        <v>45930.6629766667</v>
      </c>
      <c r="H838" s="10" t="n">
        <v>0.75</v>
      </c>
      <c r="I838" s="15" t="n">
        <v>45932</v>
      </c>
      <c r="J838" s="2" t="s">
        <v>629</v>
      </c>
    </row>
    <row r="839" customFormat="false" ht="15" hidden="false" customHeight="false" outlineLevel="0" collapsed="false">
      <c r="A839" s="2" t="s">
        <v>592</v>
      </c>
      <c r="B839" s="2" t="s">
        <v>96</v>
      </c>
      <c r="C839" s="4" t="n">
        <v>10</v>
      </c>
      <c r="D839" s="2" t="s">
        <v>449</v>
      </c>
      <c r="E839" s="2" t="s">
        <v>423</v>
      </c>
      <c r="F839" s="21" t="n">
        <v>45930.6629766667</v>
      </c>
      <c r="G839" s="21" t="n">
        <v>45930.6808794444</v>
      </c>
      <c r="H839" s="10" t="n">
        <v>0.429666666666667</v>
      </c>
      <c r="I839" s="15" t="n">
        <v>45932</v>
      </c>
      <c r="J839" s="2" t="s">
        <v>629</v>
      </c>
    </row>
    <row r="840" customFormat="false" ht="15" hidden="false" customHeight="false" outlineLevel="0" collapsed="false">
      <c r="A840" s="2" t="s">
        <v>592</v>
      </c>
      <c r="B840" s="2" t="s">
        <v>96</v>
      </c>
      <c r="C840" s="4" t="n">
        <v>11</v>
      </c>
      <c r="D840" s="2" t="s">
        <v>450</v>
      </c>
      <c r="E840" s="2" t="s">
        <v>406</v>
      </c>
      <c r="F840" s="21" t="n">
        <v>45932.4502277778</v>
      </c>
      <c r="G840" s="21" t="n">
        <v>45933.3580402778</v>
      </c>
      <c r="H840" s="10" t="n">
        <v>5.7875</v>
      </c>
      <c r="I840" s="15" t="n">
        <v>45932</v>
      </c>
      <c r="J840" s="2" t="s">
        <v>629</v>
      </c>
    </row>
    <row r="841" customFormat="false" ht="15" hidden="false" customHeight="false" outlineLevel="0" collapsed="false">
      <c r="A841" s="2" t="s">
        <v>592</v>
      </c>
      <c r="B841" s="2" t="s">
        <v>96</v>
      </c>
      <c r="C841" s="4" t="n">
        <v>12</v>
      </c>
      <c r="D841" s="2" t="s">
        <v>451</v>
      </c>
      <c r="E841" s="2" t="s">
        <v>408</v>
      </c>
      <c r="F841" s="21" t="n">
        <v>45933.3580402778</v>
      </c>
      <c r="G841" s="21" t="n">
        <v>45933.3772694444</v>
      </c>
      <c r="H841" s="10" t="n">
        <v>0.4615</v>
      </c>
      <c r="I841" s="15" t="n">
        <v>45932</v>
      </c>
      <c r="J841" s="2" t="s">
        <v>629</v>
      </c>
    </row>
    <row r="842" customFormat="false" ht="15" hidden="false" customHeight="false" outlineLevel="0" collapsed="false">
      <c r="A842" s="2" t="s">
        <v>592</v>
      </c>
      <c r="B842" s="2" t="s">
        <v>96</v>
      </c>
      <c r="C842" s="4" t="n">
        <v>13</v>
      </c>
      <c r="D842" s="2" t="s">
        <v>452</v>
      </c>
      <c r="E842" s="2" t="s">
        <v>411</v>
      </c>
      <c r="F842" s="21" t="n">
        <v>45933.3772694444</v>
      </c>
      <c r="G842" s="21" t="n">
        <v>45933.4029638889</v>
      </c>
      <c r="H842" s="10" t="n">
        <v>0.616666666666667</v>
      </c>
      <c r="I842" s="15" t="n">
        <v>45932</v>
      </c>
      <c r="J842" s="2" t="s">
        <v>629</v>
      </c>
    </row>
    <row r="843" customFormat="false" ht="15" hidden="false" customHeight="false" outlineLevel="0" collapsed="false">
      <c r="A843" s="2" t="s">
        <v>594</v>
      </c>
      <c r="B843" s="2" t="s">
        <v>108</v>
      </c>
      <c r="C843" s="4" t="n">
        <v>1</v>
      </c>
      <c r="D843" s="2" t="s">
        <v>437</v>
      </c>
      <c r="E843" s="2" t="s">
        <v>375</v>
      </c>
      <c r="F843" s="21" t="n">
        <v>45917.6408784722</v>
      </c>
      <c r="G843" s="21" t="n">
        <v>45918.5511840278</v>
      </c>
      <c r="H843" s="10" t="n">
        <v>5.84733333333333</v>
      </c>
      <c r="I843" s="15" t="n">
        <v>45931</v>
      </c>
      <c r="J843" s="2" t="s">
        <v>629</v>
      </c>
    </row>
    <row r="844" customFormat="false" ht="15" hidden="false" customHeight="false" outlineLevel="0" collapsed="false">
      <c r="A844" s="2" t="s">
        <v>594</v>
      </c>
      <c r="B844" s="2" t="s">
        <v>108</v>
      </c>
      <c r="C844" s="4" t="n">
        <v>2</v>
      </c>
      <c r="D844" s="2" t="s">
        <v>386</v>
      </c>
      <c r="E844" s="2" t="s">
        <v>383</v>
      </c>
      <c r="F844" s="21" t="n">
        <v>45923.4585</v>
      </c>
      <c r="G844" s="21" t="n">
        <v>45923.6196111111</v>
      </c>
      <c r="H844" s="10" t="n">
        <v>2.86666666666667</v>
      </c>
      <c r="I844" s="15" t="n">
        <v>45931</v>
      </c>
      <c r="J844" s="2" t="s">
        <v>629</v>
      </c>
    </row>
    <row r="845" customFormat="false" ht="15" hidden="false" customHeight="false" outlineLevel="0" collapsed="false">
      <c r="A845" s="2" t="s">
        <v>594</v>
      </c>
      <c r="B845" s="2" t="s">
        <v>108</v>
      </c>
      <c r="C845" s="4" t="n">
        <v>3</v>
      </c>
      <c r="D845" s="2" t="s">
        <v>390</v>
      </c>
      <c r="E845" s="2" t="s">
        <v>387</v>
      </c>
      <c r="F845" s="21" t="n">
        <v>45925.7036388889</v>
      </c>
      <c r="G845" s="21" t="n">
        <v>45929.6661388889</v>
      </c>
      <c r="H845" s="10" t="n">
        <v>15.1</v>
      </c>
      <c r="I845" s="15" t="n">
        <v>45931</v>
      </c>
      <c r="J845" s="2" t="s">
        <v>629</v>
      </c>
    </row>
    <row r="846" customFormat="false" ht="15" hidden="false" customHeight="false" outlineLevel="0" collapsed="false">
      <c r="A846" s="2" t="s">
        <v>594</v>
      </c>
      <c r="B846" s="2" t="s">
        <v>108</v>
      </c>
      <c r="C846" s="4" t="n">
        <v>4</v>
      </c>
      <c r="D846" s="2" t="s">
        <v>443</v>
      </c>
      <c r="E846" s="2" t="s">
        <v>395</v>
      </c>
      <c r="F846" s="21" t="n">
        <v>45929.67225</v>
      </c>
      <c r="G846" s="21" t="n">
        <v>45930.4055833333</v>
      </c>
      <c r="H846" s="10" t="n">
        <v>2.6</v>
      </c>
      <c r="I846" s="15" t="n">
        <v>45931</v>
      </c>
      <c r="J846" s="2" t="s">
        <v>629</v>
      </c>
    </row>
    <row r="847" customFormat="false" ht="15" hidden="false" customHeight="false" outlineLevel="0" collapsed="false">
      <c r="A847" s="2" t="s">
        <v>594</v>
      </c>
      <c r="B847" s="2" t="s">
        <v>108</v>
      </c>
      <c r="C847" s="4" t="n">
        <v>5</v>
      </c>
      <c r="D847" s="2" t="s">
        <v>444</v>
      </c>
      <c r="E847" s="2" t="s">
        <v>399</v>
      </c>
      <c r="F847" s="21" t="n">
        <v>45930.5877127778</v>
      </c>
      <c r="G847" s="21" t="n">
        <v>45931.3732461111</v>
      </c>
      <c r="H847" s="10" t="n">
        <v>3.8528</v>
      </c>
      <c r="I847" s="15" t="n">
        <v>45931</v>
      </c>
      <c r="J847" s="2" t="s">
        <v>629</v>
      </c>
    </row>
    <row r="848" customFormat="false" ht="15" hidden="false" customHeight="false" outlineLevel="0" collapsed="false">
      <c r="A848" s="2" t="s">
        <v>594</v>
      </c>
      <c r="B848" s="2" t="s">
        <v>108</v>
      </c>
      <c r="C848" s="4" t="n">
        <v>6</v>
      </c>
      <c r="D848" s="2" t="s">
        <v>445</v>
      </c>
      <c r="E848" s="2" t="s">
        <v>402</v>
      </c>
      <c r="F848" s="21" t="n">
        <v>45931.3732461111</v>
      </c>
      <c r="G848" s="21" t="n">
        <v>45931.4100377778</v>
      </c>
      <c r="H848" s="10" t="n">
        <v>0.883</v>
      </c>
      <c r="I848" s="15" t="n">
        <v>45931</v>
      </c>
      <c r="J848" s="2" t="s">
        <v>629</v>
      </c>
    </row>
    <row r="849" customFormat="false" ht="15" hidden="false" customHeight="false" outlineLevel="0" collapsed="false">
      <c r="A849" s="2" t="s">
        <v>594</v>
      </c>
      <c r="B849" s="2" t="s">
        <v>108</v>
      </c>
      <c r="C849" s="4" t="n">
        <v>7</v>
      </c>
      <c r="D849" s="2" t="s">
        <v>447</v>
      </c>
      <c r="E849" s="2" t="s">
        <v>421</v>
      </c>
      <c r="F849" s="21" t="n">
        <v>45931.4100377778</v>
      </c>
      <c r="G849" s="21" t="n">
        <v>45931.4412877778</v>
      </c>
      <c r="H849" s="10" t="n">
        <v>0.75</v>
      </c>
      <c r="I849" s="15" t="n">
        <v>45931</v>
      </c>
      <c r="J849" s="2" t="s">
        <v>629</v>
      </c>
    </row>
    <row r="850" customFormat="false" ht="15" hidden="false" customHeight="false" outlineLevel="0" collapsed="false">
      <c r="A850" s="2" t="s">
        <v>594</v>
      </c>
      <c r="B850" s="2" t="s">
        <v>108</v>
      </c>
      <c r="C850" s="4" t="n">
        <v>8</v>
      </c>
      <c r="D850" s="2" t="s">
        <v>449</v>
      </c>
      <c r="E850" s="2" t="s">
        <v>423</v>
      </c>
      <c r="F850" s="21" t="n">
        <v>45931.4412877778</v>
      </c>
      <c r="G850" s="21" t="n">
        <v>45931.4569266667</v>
      </c>
      <c r="H850" s="10" t="n">
        <v>0.375333333333333</v>
      </c>
      <c r="I850" s="15" t="n">
        <v>45931</v>
      </c>
      <c r="J850" s="2" t="s">
        <v>629</v>
      </c>
    </row>
    <row r="851" customFormat="false" ht="15" hidden="false" customHeight="false" outlineLevel="0" collapsed="false">
      <c r="A851" s="2" t="s">
        <v>594</v>
      </c>
      <c r="B851" s="2" t="s">
        <v>108</v>
      </c>
      <c r="C851" s="4" t="n">
        <v>9</v>
      </c>
      <c r="D851" s="2" t="s">
        <v>450</v>
      </c>
      <c r="E851" s="2" t="s">
        <v>406</v>
      </c>
      <c r="F851" s="21" t="n">
        <v>45933.3580402778</v>
      </c>
      <c r="G851" s="21" t="n">
        <v>45933.6382486111</v>
      </c>
      <c r="H851" s="10" t="n">
        <v>5.725</v>
      </c>
      <c r="I851" s="15" t="n">
        <v>45931</v>
      </c>
      <c r="J851" s="2" t="s">
        <v>629</v>
      </c>
    </row>
    <row r="852" customFormat="false" ht="15" hidden="false" customHeight="false" outlineLevel="0" collapsed="false">
      <c r="A852" s="2" t="s">
        <v>594</v>
      </c>
      <c r="B852" s="2" t="s">
        <v>108</v>
      </c>
      <c r="C852" s="4" t="n">
        <v>10</v>
      </c>
      <c r="D852" s="2" t="s">
        <v>451</v>
      </c>
      <c r="E852" s="2" t="s">
        <v>408</v>
      </c>
      <c r="F852" s="21" t="n">
        <v>45933.6382486111</v>
      </c>
      <c r="G852" s="21" t="n">
        <v>45933.6543041667</v>
      </c>
      <c r="H852" s="10" t="n">
        <v>0.385333333333333</v>
      </c>
      <c r="I852" s="15" t="n">
        <v>45931</v>
      </c>
      <c r="J852" s="2" t="s">
        <v>629</v>
      </c>
    </row>
    <row r="853" customFormat="false" ht="15" hidden="false" customHeight="false" outlineLevel="0" collapsed="false">
      <c r="A853" s="2" t="s">
        <v>594</v>
      </c>
      <c r="B853" s="2" t="s">
        <v>108</v>
      </c>
      <c r="C853" s="4" t="n">
        <v>11</v>
      </c>
      <c r="D853" s="2" t="s">
        <v>452</v>
      </c>
      <c r="E853" s="2" t="s">
        <v>411</v>
      </c>
      <c r="F853" s="21" t="n">
        <v>45933.6543041667</v>
      </c>
      <c r="G853" s="21" t="n">
        <v>45933.6756097222</v>
      </c>
      <c r="H853" s="10" t="n">
        <v>0.511333333333333</v>
      </c>
      <c r="I853" s="15" t="n">
        <v>45931</v>
      </c>
      <c r="J853" s="2" t="s">
        <v>629</v>
      </c>
    </row>
    <row r="854" customFormat="false" ht="15" hidden="false" customHeight="false" outlineLevel="0" collapsed="false">
      <c r="A854" s="2" t="s">
        <v>596</v>
      </c>
      <c r="B854" s="2" t="s">
        <v>121</v>
      </c>
      <c r="C854" s="4" t="n">
        <v>1</v>
      </c>
      <c r="D854" s="2" t="s">
        <v>437</v>
      </c>
      <c r="E854" s="2" t="s">
        <v>375</v>
      </c>
      <c r="F854" s="21" t="n">
        <v>45918.5511840278</v>
      </c>
      <c r="G854" s="21" t="n">
        <v>45919.4311840278</v>
      </c>
      <c r="H854" s="10" t="n">
        <v>6.12</v>
      </c>
      <c r="I854" s="15" t="n">
        <v>45932</v>
      </c>
      <c r="J854" s="2" t="s">
        <v>629</v>
      </c>
    </row>
    <row r="855" customFormat="false" ht="15" hidden="false" customHeight="false" outlineLevel="0" collapsed="false">
      <c r="A855" s="2" t="s">
        <v>596</v>
      </c>
      <c r="B855" s="2" t="s">
        <v>121</v>
      </c>
      <c r="C855" s="4" t="n">
        <v>2</v>
      </c>
      <c r="D855" s="2" t="s">
        <v>441</v>
      </c>
      <c r="E855" s="2" t="s">
        <v>380</v>
      </c>
      <c r="F855" s="21" t="n">
        <v>45919.4311840278</v>
      </c>
      <c r="G855" s="21" t="n">
        <v>45919.7025729167</v>
      </c>
      <c r="H855" s="10" t="n">
        <v>5.51333333333333</v>
      </c>
      <c r="I855" s="15" t="n">
        <v>45932</v>
      </c>
      <c r="J855" s="2" t="s">
        <v>629</v>
      </c>
    </row>
    <row r="856" customFormat="false" ht="15" hidden="false" customHeight="false" outlineLevel="0" collapsed="false">
      <c r="A856" s="2" t="s">
        <v>596</v>
      </c>
      <c r="B856" s="2" t="s">
        <v>121</v>
      </c>
      <c r="C856" s="4" t="n">
        <v>3</v>
      </c>
      <c r="D856" s="2" t="s">
        <v>386</v>
      </c>
      <c r="E856" s="2" t="s">
        <v>383</v>
      </c>
      <c r="F856" s="21" t="n">
        <v>45923.6196111111</v>
      </c>
      <c r="G856" s="21" t="n">
        <v>45924.6737777778</v>
      </c>
      <c r="H856" s="10" t="n">
        <v>9.3</v>
      </c>
      <c r="I856" s="15" t="n">
        <v>45932</v>
      </c>
      <c r="J856" s="2" t="s">
        <v>629</v>
      </c>
    </row>
    <row r="857" customFormat="false" ht="15" hidden="false" customHeight="false" outlineLevel="0" collapsed="false">
      <c r="A857" s="2" t="s">
        <v>596</v>
      </c>
      <c r="B857" s="2" t="s">
        <v>121</v>
      </c>
      <c r="C857" s="4" t="n">
        <v>4</v>
      </c>
      <c r="D857" s="2" t="s">
        <v>390</v>
      </c>
      <c r="E857" s="2" t="s">
        <v>387</v>
      </c>
      <c r="F857" s="21" t="n">
        <v>45929.6661388889</v>
      </c>
      <c r="G857" s="21" t="n">
        <v>45931.5980833333</v>
      </c>
      <c r="H857" s="10" t="n">
        <v>14.3666666666667</v>
      </c>
      <c r="I857" s="15" t="n">
        <v>45932</v>
      </c>
      <c r="J857" s="2" t="s">
        <v>629</v>
      </c>
    </row>
    <row r="858" customFormat="false" ht="15" hidden="false" customHeight="false" outlineLevel="0" collapsed="false">
      <c r="A858" s="2" t="s">
        <v>596</v>
      </c>
      <c r="B858" s="2" t="s">
        <v>121</v>
      </c>
      <c r="C858" s="4" t="n">
        <v>5</v>
      </c>
      <c r="D858" s="2" t="s">
        <v>443</v>
      </c>
      <c r="E858" s="2" t="s">
        <v>395</v>
      </c>
      <c r="F858" s="21" t="n">
        <v>45931.5980833333</v>
      </c>
      <c r="G858" s="21" t="n">
        <v>45932.4855833333</v>
      </c>
      <c r="H858" s="10" t="n">
        <v>6.3</v>
      </c>
      <c r="I858" s="15" t="n">
        <v>45932</v>
      </c>
      <c r="J858" s="2" t="s">
        <v>629</v>
      </c>
    </row>
    <row r="859" customFormat="false" ht="15" hidden="false" customHeight="false" outlineLevel="0" collapsed="false">
      <c r="A859" s="2" t="s">
        <v>596</v>
      </c>
      <c r="B859" s="2" t="s">
        <v>121</v>
      </c>
      <c r="C859" s="4" t="n">
        <v>6</v>
      </c>
      <c r="D859" s="2" t="s">
        <v>444</v>
      </c>
      <c r="E859" s="2" t="s">
        <v>399</v>
      </c>
      <c r="F859" s="21" t="n">
        <v>45932.4855833333</v>
      </c>
      <c r="G859" s="21" t="n">
        <v>45932.7013833333</v>
      </c>
      <c r="H859" s="10" t="n">
        <v>4.1792</v>
      </c>
      <c r="I859" s="15" t="n">
        <v>45932</v>
      </c>
      <c r="J859" s="2" t="s">
        <v>629</v>
      </c>
    </row>
    <row r="860" customFormat="false" ht="15" hidden="false" customHeight="false" outlineLevel="0" collapsed="false">
      <c r="A860" s="2" t="s">
        <v>596</v>
      </c>
      <c r="B860" s="2" t="s">
        <v>121</v>
      </c>
      <c r="C860" s="4" t="n">
        <v>7</v>
      </c>
      <c r="D860" s="2" t="s">
        <v>445</v>
      </c>
      <c r="E860" s="2" t="s">
        <v>402</v>
      </c>
      <c r="F860" s="21" t="n">
        <v>45932.7013833333</v>
      </c>
      <c r="G860" s="21" t="n">
        <v>45933.3804111111</v>
      </c>
      <c r="H860" s="10" t="n">
        <v>1.29666666666667</v>
      </c>
      <c r="I860" s="15" t="n">
        <v>45932</v>
      </c>
      <c r="J860" s="2" t="s">
        <v>629</v>
      </c>
    </row>
    <row r="861" customFormat="false" ht="15" hidden="false" customHeight="false" outlineLevel="0" collapsed="false">
      <c r="A861" s="2" t="s">
        <v>596</v>
      </c>
      <c r="B861" s="2" t="s">
        <v>121</v>
      </c>
      <c r="C861" s="4" t="n">
        <v>8</v>
      </c>
      <c r="D861" s="2" t="s">
        <v>447</v>
      </c>
      <c r="E861" s="2" t="s">
        <v>421</v>
      </c>
      <c r="F861" s="21" t="n">
        <v>45933.3804111111</v>
      </c>
      <c r="G861" s="21" t="n">
        <v>45933.4116611111</v>
      </c>
      <c r="H861" s="10" t="n">
        <v>0.75</v>
      </c>
      <c r="I861" s="15" t="n">
        <v>45932</v>
      </c>
      <c r="J861" s="2" t="s">
        <v>629</v>
      </c>
    </row>
    <row r="862" customFormat="false" ht="15" hidden="false" customHeight="false" outlineLevel="0" collapsed="false">
      <c r="A862" s="2" t="s">
        <v>596</v>
      </c>
      <c r="B862" s="2" t="s">
        <v>121</v>
      </c>
      <c r="C862" s="4" t="n">
        <v>9</v>
      </c>
      <c r="D862" s="2" t="s">
        <v>449</v>
      </c>
      <c r="E862" s="2" t="s">
        <v>423</v>
      </c>
      <c r="F862" s="21" t="n">
        <v>45933.4116611111</v>
      </c>
      <c r="G862" s="21" t="n">
        <v>45933.4336055556</v>
      </c>
      <c r="H862" s="10" t="n">
        <v>0.526666666666667</v>
      </c>
      <c r="I862" s="15" t="n">
        <v>45932</v>
      </c>
      <c r="J862" s="2" t="s">
        <v>629</v>
      </c>
    </row>
    <row r="863" customFormat="false" ht="15" hidden="false" customHeight="false" outlineLevel="0" collapsed="false">
      <c r="A863" s="2" t="s">
        <v>596</v>
      </c>
      <c r="B863" s="2" t="s">
        <v>121</v>
      </c>
      <c r="C863" s="4" t="n">
        <v>10</v>
      </c>
      <c r="D863" s="2" t="s">
        <v>450</v>
      </c>
      <c r="E863" s="2" t="s">
        <v>406</v>
      </c>
      <c r="F863" s="21" t="n">
        <v>45933.6382486111</v>
      </c>
      <c r="G863" s="21" t="n">
        <v>45937.3611652778</v>
      </c>
      <c r="H863" s="10" t="n">
        <v>10.35</v>
      </c>
      <c r="I863" s="15" t="n">
        <v>45932</v>
      </c>
      <c r="J863" s="2" t="s">
        <v>629</v>
      </c>
    </row>
    <row r="864" customFormat="false" ht="15" hidden="false" customHeight="false" outlineLevel="0" collapsed="false">
      <c r="A864" s="2" t="s">
        <v>596</v>
      </c>
      <c r="B864" s="2" t="s">
        <v>121</v>
      </c>
      <c r="C864" s="4" t="n">
        <v>11</v>
      </c>
      <c r="D864" s="2" t="s">
        <v>451</v>
      </c>
      <c r="E864" s="2" t="s">
        <v>408</v>
      </c>
      <c r="F864" s="21" t="n">
        <v>45937.3611652778</v>
      </c>
      <c r="G864" s="21" t="n">
        <v>45937.3865125</v>
      </c>
      <c r="H864" s="10" t="n">
        <v>0.608333333333333</v>
      </c>
      <c r="I864" s="15" t="n">
        <v>45932</v>
      </c>
      <c r="J864" s="2" t="s">
        <v>629</v>
      </c>
    </row>
    <row r="865" customFormat="false" ht="15" hidden="false" customHeight="false" outlineLevel="0" collapsed="false">
      <c r="A865" s="2" t="s">
        <v>596</v>
      </c>
      <c r="B865" s="2" t="s">
        <v>121</v>
      </c>
      <c r="C865" s="4" t="n">
        <v>12</v>
      </c>
      <c r="D865" s="2" t="s">
        <v>452</v>
      </c>
      <c r="E865" s="2" t="s">
        <v>411</v>
      </c>
      <c r="F865" s="21" t="n">
        <v>45937.3865125</v>
      </c>
      <c r="G865" s="21" t="n">
        <v>45937.4203319444</v>
      </c>
      <c r="H865" s="10" t="n">
        <v>0.811666666666667</v>
      </c>
      <c r="I865" s="15" t="n">
        <v>45932</v>
      </c>
      <c r="J865" s="2" t="s">
        <v>629</v>
      </c>
    </row>
    <row r="866" customFormat="false" ht="15" hidden="false" customHeight="false" outlineLevel="0" collapsed="false">
      <c r="A866" s="2" t="s">
        <v>597</v>
      </c>
      <c r="B866" s="2" t="s">
        <v>80</v>
      </c>
      <c r="C866" s="4" t="n">
        <v>1</v>
      </c>
      <c r="D866" s="2" t="s">
        <v>437</v>
      </c>
      <c r="E866" s="2" t="s">
        <v>375</v>
      </c>
      <c r="F866" s="21" t="n">
        <v>45933.3333333333</v>
      </c>
      <c r="G866" s="21" t="n">
        <v>45933.6746111111</v>
      </c>
      <c r="H866" s="10" t="n">
        <v>7.19066666666667</v>
      </c>
      <c r="I866" s="15" t="n">
        <v>45950</v>
      </c>
      <c r="J866" s="2" t="s">
        <v>629</v>
      </c>
    </row>
    <row r="867" customFormat="false" ht="15" hidden="false" customHeight="false" outlineLevel="0" collapsed="false">
      <c r="A867" s="2" t="s">
        <v>597</v>
      </c>
      <c r="B867" s="2" t="s">
        <v>80</v>
      </c>
      <c r="C867" s="4" t="n">
        <v>2</v>
      </c>
      <c r="D867" s="2" t="s">
        <v>441</v>
      </c>
      <c r="E867" s="2" t="s">
        <v>380</v>
      </c>
      <c r="F867" s="21" t="n">
        <v>45933.6746111111</v>
      </c>
      <c r="G867" s="21" t="n">
        <v>45937.3400555556</v>
      </c>
      <c r="H867" s="10" t="n">
        <v>8.97066666666667</v>
      </c>
      <c r="I867" s="15" t="n">
        <v>45950</v>
      </c>
      <c r="J867" s="2" t="s">
        <v>629</v>
      </c>
    </row>
    <row r="868" customFormat="false" ht="15" hidden="false" customHeight="false" outlineLevel="0" collapsed="false">
      <c r="A868" s="2" t="s">
        <v>597</v>
      </c>
      <c r="B868" s="2" t="s">
        <v>80</v>
      </c>
      <c r="C868" s="4" t="n">
        <v>3</v>
      </c>
      <c r="D868" s="2" t="s">
        <v>386</v>
      </c>
      <c r="E868" s="2" t="s">
        <v>383</v>
      </c>
      <c r="F868" s="21" t="n">
        <v>45937.3400555556</v>
      </c>
      <c r="G868" s="21" t="n">
        <v>45938.5889444445</v>
      </c>
      <c r="H868" s="10" t="n">
        <v>12.9733333333333</v>
      </c>
      <c r="I868" s="15" t="n">
        <v>45950</v>
      </c>
      <c r="J868" s="2" t="s">
        <v>629</v>
      </c>
    </row>
    <row r="869" customFormat="false" ht="15" hidden="false" customHeight="false" outlineLevel="0" collapsed="false">
      <c r="A869" s="2" t="s">
        <v>597</v>
      </c>
      <c r="B869" s="2" t="s">
        <v>80</v>
      </c>
      <c r="C869" s="4" t="n">
        <v>4</v>
      </c>
      <c r="D869" s="2" t="s">
        <v>390</v>
      </c>
      <c r="E869" s="2" t="s">
        <v>387</v>
      </c>
      <c r="F869" s="21" t="n">
        <v>45938.5889444445</v>
      </c>
      <c r="G869" s="21" t="n">
        <v>45940.3972777778</v>
      </c>
      <c r="H869" s="10" t="n">
        <v>12.4</v>
      </c>
      <c r="I869" s="15" t="n">
        <v>45950</v>
      </c>
      <c r="J869" s="2" t="s">
        <v>629</v>
      </c>
    </row>
    <row r="870" customFormat="false" ht="15" hidden="false" customHeight="false" outlineLevel="0" collapsed="false">
      <c r="A870" s="2" t="s">
        <v>597</v>
      </c>
      <c r="B870" s="2" t="s">
        <v>80</v>
      </c>
      <c r="C870" s="4" t="n">
        <v>5</v>
      </c>
      <c r="D870" s="2" t="s">
        <v>442</v>
      </c>
      <c r="E870" s="2" t="s">
        <v>391</v>
      </c>
      <c r="F870" s="21" t="n">
        <v>45940.3972777778</v>
      </c>
      <c r="G870" s="21" t="n">
        <v>45944.3978333333</v>
      </c>
      <c r="H870" s="10" t="n">
        <v>16.0133333333333</v>
      </c>
      <c r="I870" s="15" t="n">
        <v>45950</v>
      </c>
      <c r="J870" s="2" t="s">
        <v>629</v>
      </c>
    </row>
    <row r="871" customFormat="false" ht="15" hidden="false" customHeight="false" outlineLevel="0" collapsed="false">
      <c r="A871" s="2" t="s">
        <v>597</v>
      </c>
      <c r="B871" s="2" t="s">
        <v>80</v>
      </c>
      <c r="C871" s="4" t="n">
        <v>6</v>
      </c>
      <c r="D871" s="2" t="s">
        <v>443</v>
      </c>
      <c r="E871" s="2" t="s">
        <v>395</v>
      </c>
      <c r="F871" s="21" t="n">
        <v>45944.3978333333</v>
      </c>
      <c r="G871" s="21" t="n">
        <v>45945.4186666667</v>
      </c>
      <c r="H871" s="10" t="n">
        <v>8.5</v>
      </c>
      <c r="I871" s="15" t="n">
        <v>45950</v>
      </c>
      <c r="J871" s="2" t="s">
        <v>629</v>
      </c>
    </row>
    <row r="872" customFormat="false" ht="15" hidden="false" customHeight="false" outlineLevel="0" collapsed="false">
      <c r="A872" s="2" t="s">
        <v>597</v>
      </c>
      <c r="B872" s="2" t="s">
        <v>80</v>
      </c>
      <c r="C872" s="4" t="n">
        <v>7</v>
      </c>
      <c r="D872" s="2" t="s">
        <v>444</v>
      </c>
      <c r="E872" s="2" t="s">
        <v>399</v>
      </c>
      <c r="F872" s="21" t="n">
        <v>45945.4186666667</v>
      </c>
      <c r="G872" s="21" t="n">
        <v>45946.3413733333</v>
      </c>
      <c r="H872" s="10" t="n">
        <v>6.14496</v>
      </c>
      <c r="I872" s="15" t="n">
        <v>45950</v>
      </c>
      <c r="J872" s="2" t="s">
        <v>629</v>
      </c>
    </row>
    <row r="873" customFormat="false" ht="15" hidden="false" customHeight="false" outlineLevel="0" collapsed="false">
      <c r="A873" s="2" t="s">
        <v>597</v>
      </c>
      <c r="B873" s="2" t="s">
        <v>80</v>
      </c>
      <c r="C873" s="4" t="n">
        <v>8</v>
      </c>
      <c r="D873" s="2" t="s">
        <v>445</v>
      </c>
      <c r="E873" s="2" t="s">
        <v>402</v>
      </c>
      <c r="F873" s="21" t="n">
        <v>45946.3413733333</v>
      </c>
      <c r="G873" s="21" t="n">
        <v>45946.4248733333</v>
      </c>
      <c r="H873" s="10" t="n">
        <v>2.004</v>
      </c>
      <c r="I873" s="15" t="n">
        <v>45950</v>
      </c>
      <c r="J873" s="2" t="s">
        <v>629</v>
      </c>
    </row>
    <row r="874" customFormat="false" ht="15" hidden="false" customHeight="false" outlineLevel="0" collapsed="false">
      <c r="A874" s="2" t="s">
        <v>597</v>
      </c>
      <c r="B874" s="2" t="s">
        <v>80</v>
      </c>
      <c r="C874" s="4" t="n">
        <v>9</v>
      </c>
      <c r="D874" s="2" t="s">
        <v>447</v>
      </c>
      <c r="E874" s="2" t="s">
        <v>421</v>
      </c>
      <c r="F874" s="21" t="n">
        <v>45946.4248733333</v>
      </c>
      <c r="G874" s="21" t="n">
        <v>45946.4873733333</v>
      </c>
      <c r="H874" s="10" t="n">
        <v>1.5</v>
      </c>
      <c r="I874" s="15" t="n">
        <v>45950</v>
      </c>
      <c r="J874" s="2" t="s">
        <v>629</v>
      </c>
    </row>
    <row r="875" customFormat="false" ht="15" hidden="false" customHeight="false" outlineLevel="0" collapsed="false">
      <c r="A875" s="2" t="s">
        <v>597</v>
      </c>
      <c r="B875" s="2" t="s">
        <v>80</v>
      </c>
      <c r="C875" s="4" t="n">
        <v>10</v>
      </c>
      <c r="D875" s="2" t="s">
        <v>449</v>
      </c>
      <c r="E875" s="2" t="s">
        <v>423</v>
      </c>
      <c r="F875" s="21" t="n">
        <v>45946.4873733333</v>
      </c>
      <c r="G875" s="21" t="n">
        <v>45946.5625677778</v>
      </c>
      <c r="H875" s="10" t="n">
        <v>0.804666666666667</v>
      </c>
      <c r="I875" s="15" t="n">
        <v>45950</v>
      </c>
      <c r="J875" s="2" t="s">
        <v>629</v>
      </c>
    </row>
    <row r="876" customFormat="false" ht="15" hidden="false" customHeight="false" outlineLevel="0" collapsed="false">
      <c r="A876" s="2" t="s">
        <v>597</v>
      </c>
      <c r="B876" s="2" t="s">
        <v>80</v>
      </c>
      <c r="C876" s="4" t="n">
        <v>11</v>
      </c>
      <c r="D876" s="2" t="s">
        <v>450</v>
      </c>
      <c r="E876" s="2" t="s">
        <v>406</v>
      </c>
      <c r="F876" s="21" t="n">
        <v>45946.5625677778</v>
      </c>
      <c r="G876" s="21" t="n">
        <v>45950.3625677778</v>
      </c>
      <c r="H876" s="10" t="n">
        <v>12.2</v>
      </c>
      <c r="I876" s="15" t="n">
        <v>45950</v>
      </c>
      <c r="J876" s="2" t="s">
        <v>629</v>
      </c>
    </row>
    <row r="877" customFormat="false" ht="15" hidden="false" customHeight="false" outlineLevel="0" collapsed="false">
      <c r="A877" s="2" t="s">
        <v>597</v>
      </c>
      <c r="B877" s="2" t="s">
        <v>80</v>
      </c>
      <c r="C877" s="4" t="n">
        <v>12</v>
      </c>
      <c r="D877" s="2" t="s">
        <v>451</v>
      </c>
      <c r="E877" s="2" t="s">
        <v>408</v>
      </c>
      <c r="F877" s="21" t="n">
        <v>45950.3625677778</v>
      </c>
      <c r="G877" s="21" t="n">
        <v>45950.3975122222</v>
      </c>
      <c r="H877" s="10" t="n">
        <v>0.838666666666667</v>
      </c>
      <c r="I877" s="15" t="n">
        <v>45950</v>
      </c>
      <c r="J877" s="2" t="s">
        <v>629</v>
      </c>
    </row>
    <row r="878" customFormat="false" ht="15" hidden="false" customHeight="false" outlineLevel="0" collapsed="false">
      <c r="A878" s="2" t="s">
        <v>597</v>
      </c>
      <c r="B878" s="2" t="s">
        <v>80</v>
      </c>
      <c r="C878" s="4" t="n">
        <v>13</v>
      </c>
      <c r="D878" s="2" t="s">
        <v>452</v>
      </c>
      <c r="E878" s="2" t="s">
        <v>411</v>
      </c>
      <c r="F878" s="21" t="n">
        <v>45950.3975122222</v>
      </c>
      <c r="G878" s="21" t="n">
        <v>45950.4444566667</v>
      </c>
      <c r="H878" s="10" t="n">
        <v>1.12666666666667</v>
      </c>
      <c r="I878" s="15" t="n">
        <v>45950</v>
      </c>
      <c r="J878" s="2" t="s">
        <v>629</v>
      </c>
    </row>
    <row r="879" customFormat="false" ht="15" hidden="false" customHeight="false" outlineLevel="0" collapsed="false">
      <c r="A879" s="2" t="s">
        <v>599</v>
      </c>
      <c r="B879" s="2" t="s">
        <v>94</v>
      </c>
      <c r="C879" s="4" t="n">
        <v>1</v>
      </c>
      <c r="D879" s="2" t="s">
        <v>437</v>
      </c>
      <c r="E879" s="2" t="s">
        <v>375</v>
      </c>
      <c r="F879" s="21" t="n">
        <v>45933.6746111111</v>
      </c>
      <c r="G879" s="21" t="n">
        <v>45937.3484166667</v>
      </c>
      <c r="H879" s="10" t="n">
        <v>9.17133333333333</v>
      </c>
      <c r="I879" s="15" t="n">
        <v>45948</v>
      </c>
      <c r="J879" s="2" t="s">
        <v>629</v>
      </c>
    </row>
    <row r="880" customFormat="false" ht="15" hidden="false" customHeight="false" outlineLevel="0" collapsed="false">
      <c r="A880" s="2" t="s">
        <v>599</v>
      </c>
      <c r="B880" s="2" t="s">
        <v>94</v>
      </c>
      <c r="C880" s="4" t="n">
        <v>2</v>
      </c>
      <c r="D880" s="2" t="s">
        <v>441</v>
      </c>
      <c r="E880" s="2" t="s">
        <v>380</v>
      </c>
      <c r="F880" s="21" t="n">
        <v>45937.3484166667</v>
      </c>
      <c r="G880" s="21" t="n">
        <v>45937.3788888889</v>
      </c>
      <c r="H880" s="10" t="n">
        <v>0.731333333333333</v>
      </c>
      <c r="I880" s="15" t="n">
        <v>45948</v>
      </c>
      <c r="J880" s="2" t="s">
        <v>629</v>
      </c>
    </row>
    <row r="881" customFormat="false" ht="15" hidden="false" customHeight="false" outlineLevel="0" collapsed="false">
      <c r="A881" s="2" t="s">
        <v>599</v>
      </c>
      <c r="B881" s="2" t="s">
        <v>94</v>
      </c>
      <c r="C881" s="4" t="n">
        <v>3</v>
      </c>
      <c r="D881" s="2" t="s">
        <v>386</v>
      </c>
      <c r="E881" s="2" t="s">
        <v>383</v>
      </c>
      <c r="F881" s="21" t="n">
        <v>45938.5889444445</v>
      </c>
      <c r="G881" s="21" t="n">
        <v>45939.6667222222</v>
      </c>
      <c r="H881" s="10" t="n">
        <v>9.86666666666667</v>
      </c>
      <c r="I881" s="15" t="n">
        <v>45948</v>
      </c>
      <c r="J881" s="2" t="s">
        <v>629</v>
      </c>
    </row>
    <row r="882" customFormat="false" ht="15" hidden="false" customHeight="false" outlineLevel="0" collapsed="false">
      <c r="A882" s="2" t="s">
        <v>599</v>
      </c>
      <c r="B882" s="2" t="s">
        <v>94</v>
      </c>
      <c r="C882" s="4" t="n">
        <v>4</v>
      </c>
      <c r="D882" s="2" t="s">
        <v>390</v>
      </c>
      <c r="E882" s="2" t="s">
        <v>387</v>
      </c>
      <c r="F882" s="21" t="n">
        <v>45940.3972777778</v>
      </c>
      <c r="G882" s="21" t="n">
        <v>45944.5972777778</v>
      </c>
      <c r="H882" s="10" t="n">
        <v>19.8</v>
      </c>
      <c r="I882" s="15" t="n">
        <v>45948</v>
      </c>
      <c r="J882" s="2" t="s">
        <v>629</v>
      </c>
    </row>
    <row r="883" customFormat="false" ht="15" hidden="false" customHeight="false" outlineLevel="0" collapsed="false">
      <c r="A883" s="2" t="s">
        <v>599</v>
      </c>
      <c r="B883" s="2" t="s">
        <v>94</v>
      </c>
      <c r="C883" s="4" t="n">
        <v>5</v>
      </c>
      <c r="D883" s="2" t="s">
        <v>443</v>
      </c>
      <c r="E883" s="2" t="s">
        <v>395</v>
      </c>
      <c r="F883" s="21" t="n">
        <v>45945.4186666667</v>
      </c>
      <c r="G883" s="21" t="n">
        <v>45945.6749166667</v>
      </c>
      <c r="H883" s="10" t="n">
        <v>5.15</v>
      </c>
      <c r="I883" s="15" t="n">
        <v>45948</v>
      </c>
      <c r="J883" s="2" t="s">
        <v>629</v>
      </c>
    </row>
    <row r="884" customFormat="false" ht="15" hidden="false" customHeight="false" outlineLevel="0" collapsed="false">
      <c r="A884" s="2" t="s">
        <v>599</v>
      </c>
      <c r="B884" s="2" t="s">
        <v>94</v>
      </c>
      <c r="C884" s="4" t="n">
        <v>6</v>
      </c>
      <c r="D884" s="2" t="s">
        <v>444</v>
      </c>
      <c r="E884" s="2" t="s">
        <v>399</v>
      </c>
      <c r="F884" s="21" t="n">
        <v>45946.3413733333</v>
      </c>
      <c r="G884" s="21" t="n">
        <v>45946.55602</v>
      </c>
      <c r="H884" s="10" t="n">
        <v>4.15152</v>
      </c>
      <c r="I884" s="15" t="n">
        <v>45948</v>
      </c>
      <c r="J884" s="2" t="s">
        <v>629</v>
      </c>
    </row>
    <row r="885" customFormat="false" ht="15" hidden="false" customHeight="false" outlineLevel="0" collapsed="false">
      <c r="A885" s="2" t="s">
        <v>599</v>
      </c>
      <c r="B885" s="2" t="s">
        <v>94</v>
      </c>
      <c r="C885" s="4" t="n">
        <v>7</v>
      </c>
      <c r="D885" s="2" t="s">
        <v>445</v>
      </c>
      <c r="E885" s="2" t="s">
        <v>402</v>
      </c>
      <c r="F885" s="21" t="n">
        <v>45946.55602</v>
      </c>
      <c r="G885" s="21" t="n">
        <v>45946.5966866667</v>
      </c>
      <c r="H885" s="10" t="n">
        <v>0.976</v>
      </c>
      <c r="I885" s="15" t="n">
        <v>45948</v>
      </c>
      <c r="J885" s="2" t="s">
        <v>629</v>
      </c>
    </row>
    <row r="886" customFormat="false" ht="15" hidden="false" customHeight="false" outlineLevel="0" collapsed="false">
      <c r="A886" s="2" t="s">
        <v>599</v>
      </c>
      <c r="B886" s="2" t="s">
        <v>94</v>
      </c>
      <c r="C886" s="4" t="n">
        <v>8</v>
      </c>
      <c r="D886" s="2" t="s">
        <v>447</v>
      </c>
      <c r="E886" s="2" t="s">
        <v>421</v>
      </c>
      <c r="F886" s="21" t="n">
        <v>45946.5966866667</v>
      </c>
      <c r="G886" s="21" t="n">
        <v>45946.6279366667</v>
      </c>
      <c r="H886" s="10" t="n">
        <v>0.75</v>
      </c>
      <c r="I886" s="15" t="n">
        <v>45948</v>
      </c>
      <c r="J886" s="2" t="s">
        <v>629</v>
      </c>
    </row>
    <row r="887" customFormat="false" ht="15" hidden="false" customHeight="false" outlineLevel="0" collapsed="false">
      <c r="A887" s="2" t="s">
        <v>599</v>
      </c>
      <c r="B887" s="2" t="s">
        <v>94</v>
      </c>
      <c r="C887" s="4" t="n">
        <v>9</v>
      </c>
      <c r="D887" s="2" t="s">
        <v>449</v>
      </c>
      <c r="E887" s="2" t="s">
        <v>423</v>
      </c>
      <c r="F887" s="21" t="n">
        <v>45946.6279366667</v>
      </c>
      <c r="G887" s="21" t="n">
        <v>45946.6444505556</v>
      </c>
      <c r="H887" s="10" t="n">
        <v>0.396333333333333</v>
      </c>
      <c r="I887" s="15" t="n">
        <v>45948</v>
      </c>
      <c r="J887" s="2" t="s">
        <v>629</v>
      </c>
    </row>
    <row r="888" customFormat="false" ht="15" hidden="false" customHeight="false" outlineLevel="0" collapsed="false">
      <c r="A888" s="2" t="s">
        <v>599</v>
      </c>
      <c r="B888" s="2" t="s">
        <v>94</v>
      </c>
      <c r="C888" s="4" t="n">
        <v>10</v>
      </c>
      <c r="D888" s="2" t="s">
        <v>450</v>
      </c>
      <c r="E888" s="2" t="s">
        <v>406</v>
      </c>
      <c r="F888" s="21" t="n">
        <v>45950.3625677778</v>
      </c>
      <c r="G888" s="21" t="n">
        <v>45950.6959011111</v>
      </c>
      <c r="H888" s="10" t="n">
        <v>7</v>
      </c>
      <c r="I888" s="15" t="n">
        <v>45948</v>
      </c>
      <c r="J888" s="2" t="s">
        <v>629</v>
      </c>
    </row>
    <row r="889" customFormat="false" ht="15" hidden="false" customHeight="false" outlineLevel="0" collapsed="false">
      <c r="A889" s="2" t="s">
        <v>599</v>
      </c>
      <c r="B889" s="2" t="s">
        <v>94</v>
      </c>
      <c r="C889" s="4" t="n">
        <v>11</v>
      </c>
      <c r="D889" s="2" t="s">
        <v>451</v>
      </c>
      <c r="E889" s="2" t="s">
        <v>408</v>
      </c>
      <c r="F889" s="21" t="n">
        <v>45950.6959011111</v>
      </c>
      <c r="G889" s="21" t="n">
        <v>45951.3380816667</v>
      </c>
      <c r="H889" s="10" t="n">
        <v>0.412333333333333</v>
      </c>
      <c r="I889" s="15" t="n">
        <v>45948</v>
      </c>
      <c r="J889" s="2" t="s">
        <v>629</v>
      </c>
    </row>
    <row r="890" customFormat="false" ht="15" hidden="false" customHeight="false" outlineLevel="0" collapsed="false">
      <c r="A890" s="2" t="s">
        <v>599</v>
      </c>
      <c r="B890" s="2" t="s">
        <v>94</v>
      </c>
      <c r="C890" s="4" t="n">
        <v>12</v>
      </c>
      <c r="D890" s="2" t="s">
        <v>452</v>
      </c>
      <c r="E890" s="2" t="s">
        <v>411</v>
      </c>
      <c r="F890" s="21" t="n">
        <v>45951.3380816667</v>
      </c>
      <c r="G890" s="21" t="n">
        <v>45951.3610538889</v>
      </c>
      <c r="H890" s="10" t="n">
        <v>0.551333333333333</v>
      </c>
      <c r="I890" s="15" t="n">
        <v>45948</v>
      </c>
      <c r="J890" s="2" t="s">
        <v>629</v>
      </c>
    </row>
    <row r="891" customFormat="false" ht="15" hidden="false" customHeight="false" outlineLevel="0" collapsed="false">
      <c r="A891" s="2" t="s">
        <v>601</v>
      </c>
      <c r="B891" s="2" t="s">
        <v>106</v>
      </c>
      <c r="C891" s="4" t="n">
        <v>1</v>
      </c>
      <c r="D891" s="2" t="s">
        <v>437</v>
      </c>
      <c r="E891" s="2" t="s">
        <v>375</v>
      </c>
      <c r="F891" s="21" t="n">
        <v>45937.3484166667</v>
      </c>
      <c r="G891" s="21" t="n">
        <v>45937.4937118056</v>
      </c>
      <c r="H891" s="10" t="n">
        <v>3.48708333333333</v>
      </c>
      <c r="I891" s="15" t="n">
        <v>45947</v>
      </c>
      <c r="J891" s="2" t="s">
        <v>629</v>
      </c>
    </row>
    <row r="892" customFormat="false" ht="15" hidden="false" customHeight="false" outlineLevel="0" collapsed="false">
      <c r="A892" s="2" t="s">
        <v>601</v>
      </c>
      <c r="B892" s="2" t="s">
        <v>106</v>
      </c>
      <c r="C892" s="4" t="n">
        <v>2</v>
      </c>
      <c r="D892" s="2" t="s">
        <v>386</v>
      </c>
      <c r="E892" s="2" t="s">
        <v>383</v>
      </c>
      <c r="F892" s="21" t="n">
        <v>45939.6667222222</v>
      </c>
      <c r="G892" s="21" t="n">
        <v>45940.3500555556</v>
      </c>
      <c r="H892" s="10" t="n">
        <v>1.4</v>
      </c>
      <c r="I892" s="15" t="n">
        <v>45947</v>
      </c>
      <c r="J892" s="2" t="s">
        <v>629</v>
      </c>
    </row>
    <row r="893" customFormat="false" ht="15" hidden="false" customHeight="false" outlineLevel="0" collapsed="false">
      <c r="A893" s="2" t="s">
        <v>601</v>
      </c>
      <c r="B893" s="2" t="s">
        <v>106</v>
      </c>
      <c r="C893" s="4" t="n">
        <v>3</v>
      </c>
      <c r="D893" s="2" t="s">
        <v>390</v>
      </c>
      <c r="E893" s="2" t="s">
        <v>387</v>
      </c>
      <c r="F893" s="21" t="n">
        <v>45944.5972777778</v>
      </c>
      <c r="G893" s="21" t="n">
        <v>45945.6333888889</v>
      </c>
      <c r="H893" s="10" t="n">
        <v>8.86666666666667</v>
      </c>
      <c r="I893" s="15" t="n">
        <v>45947</v>
      </c>
      <c r="J893" s="2" t="s">
        <v>629</v>
      </c>
    </row>
    <row r="894" customFormat="false" ht="15" hidden="false" customHeight="false" outlineLevel="0" collapsed="false">
      <c r="A894" s="2" t="s">
        <v>601</v>
      </c>
      <c r="B894" s="2" t="s">
        <v>106</v>
      </c>
      <c r="C894" s="4" t="n">
        <v>4</v>
      </c>
      <c r="D894" s="2" t="s">
        <v>443</v>
      </c>
      <c r="E894" s="2" t="s">
        <v>395</v>
      </c>
      <c r="F894" s="21" t="n">
        <v>45945.6749166667</v>
      </c>
      <c r="G894" s="21" t="n">
        <v>45946.3645</v>
      </c>
      <c r="H894" s="10" t="n">
        <v>1.55</v>
      </c>
      <c r="I894" s="15" t="n">
        <v>45947</v>
      </c>
      <c r="J894" s="2" t="s">
        <v>629</v>
      </c>
    </row>
    <row r="895" customFormat="false" ht="15" hidden="false" customHeight="false" outlineLevel="0" collapsed="false">
      <c r="A895" s="2" t="s">
        <v>601</v>
      </c>
      <c r="B895" s="2" t="s">
        <v>106</v>
      </c>
      <c r="C895" s="4" t="n">
        <v>5</v>
      </c>
      <c r="D895" s="2" t="s">
        <v>444</v>
      </c>
      <c r="E895" s="2" t="s">
        <v>399</v>
      </c>
      <c r="F895" s="21" t="n">
        <v>45946.55602</v>
      </c>
      <c r="G895" s="21" t="n">
        <v>45946.6515894445</v>
      </c>
      <c r="H895" s="10" t="n">
        <v>2.29366666666667</v>
      </c>
      <c r="I895" s="15" t="n">
        <v>45947</v>
      </c>
      <c r="J895" s="2" t="s">
        <v>629</v>
      </c>
    </row>
    <row r="896" customFormat="false" ht="15" hidden="false" customHeight="false" outlineLevel="0" collapsed="false">
      <c r="A896" s="2" t="s">
        <v>601</v>
      </c>
      <c r="B896" s="2" t="s">
        <v>106</v>
      </c>
      <c r="C896" s="4" t="n">
        <v>6</v>
      </c>
      <c r="D896" s="2" t="s">
        <v>445</v>
      </c>
      <c r="E896" s="2" t="s">
        <v>402</v>
      </c>
      <c r="F896" s="21" t="n">
        <v>45946.6515894445</v>
      </c>
      <c r="G896" s="21" t="n">
        <v>45946.6836380556</v>
      </c>
      <c r="H896" s="10" t="n">
        <v>0.769166666666667</v>
      </c>
      <c r="I896" s="15" t="n">
        <v>45947</v>
      </c>
      <c r="J896" s="2" t="s">
        <v>629</v>
      </c>
    </row>
    <row r="897" customFormat="false" ht="15" hidden="false" customHeight="false" outlineLevel="0" collapsed="false">
      <c r="A897" s="2" t="s">
        <v>601</v>
      </c>
      <c r="B897" s="2" t="s">
        <v>106</v>
      </c>
      <c r="C897" s="4" t="n">
        <v>7</v>
      </c>
      <c r="D897" s="2" t="s">
        <v>447</v>
      </c>
      <c r="E897" s="2" t="s">
        <v>421</v>
      </c>
      <c r="F897" s="21" t="n">
        <v>45946.6836380556</v>
      </c>
      <c r="G897" s="21" t="n">
        <v>45947.3398880556</v>
      </c>
      <c r="H897" s="10" t="n">
        <v>0.75</v>
      </c>
      <c r="I897" s="15" t="n">
        <v>45947</v>
      </c>
      <c r="J897" s="2" t="s">
        <v>629</v>
      </c>
    </row>
    <row r="898" customFormat="false" ht="15" hidden="false" customHeight="false" outlineLevel="0" collapsed="false">
      <c r="A898" s="2" t="s">
        <v>601</v>
      </c>
      <c r="B898" s="2" t="s">
        <v>106</v>
      </c>
      <c r="C898" s="4" t="n">
        <v>8</v>
      </c>
      <c r="D898" s="2" t="s">
        <v>449</v>
      </c>
      <c r="E898" s="2" t="s">
        <v>423</v>
      </c>
      <c r="F898" s="21" t="n">
        <v>45947.3398880556</v>
      </c>
      <c r="G898" s="21" t="n">
        <v>45947.3538463889</v>
      </c>
      <c r="H898" s="10" t="n">
        <v>0.335</v>
      </c>
      <c r="I898" s="15" t="n">
        <v>45947</v>
      </c>
      <c r="J898" s="2" t="s">
        <v>629</v>
      </c>
    </row>
    <row r="899" customFormat="false" ht="15" hidden="false" customHeight="false" outlineLevel="0" collapsed="false">
      <c r="A899" s="2" t="s">
        <v>601</v>
      </c>
      <c r="B899" s="2" t="s">
        <v>106</v>
      </c>
      <c r="C899" s="4" t="n">
        <v>9</v>
      </c>
      <c r="D899" s="2" t="s">
        <v>450</v>
      </c>
      <c r="E899" s="2" t="s">
        <v>406</v>
      </c>
      <c r="F899" s="21" t="n">
        <v>45950.6959011111</v>
      </c>
      <c r="G899" s="21" t="n">
        <v>45951.4709011111</v>
      </c>
      <c r="H899" s="10" t="n">
        <v>3.6</v>
      </c>
      <c r="I899" s="15" t="n">
        <v>45947</v>
      </c>
      <c r="J899" s="2" t="s">
        <v>629</v>
      </c>
    </row>
    <row r="900" customFormat="false" ht="15" hidden="false" customHeight="false" outlineLevel="0" collapsed="false">
      <c r="A900" s="2" t="s">
        <v>601</v>
      </c>
      <c r="B900" s="2" t="s">
        <v>106</v>
      </c>
      <c r="C900" s="4" t="n">
        <v>10</v>
      </c>
      <c r="D900" s="2" t="s">
        <v>451</v>
      </c>
      <c r="E900" s="2" t="s">
        <v>408</v>
      </c>
      <c r="F900" s="21" t="n">
        <v>45951.4709011111</v>
      </c>
      <c r="G900" s="21" t="n">
        <v>45951.4845122222</v>
      </c>
      <c r="H900" s="10" t="n">
        <v>0.326666666666667</v>
      </c>
      <c r="I900" s="15" t="n">
        <v>45947</v>
      </c>
      <c r="J900" s="2" t="s">
        <v>629</v>
      </c>
    </row>
    <row r="901" customFormat="false" ht="15" hidden="false" customHeight="false" outlineLevel="0" collapsed="false">
      <c r="A901" s="2" t="s">
        <v>601</v>
      </c>
      <c r="B901" s="2" t="s">
        <v>106</v>
      </c>
      <c r="C901" s="4" t="n">
        <v>11</v>
      </c>
      <c r="D901" s="2" t="s">
        <v>452</v>
      </c>
      <c r="E901" s="2" t="s">
        <v>411</v>
      </c>
      <c r="F901" s="21" t="n">
        <v>45951.4845122222</v>
      </c>
      <c r="G901" s="21" t="n">
        <v>45951.544165</v>
      </c>
      <c r="H901" s="10" t="n">
        <v>0.431666666666667</v>
      </c>
      <c r="I901" s="15" t="n">
        <v>45947</v>
      </c>
      <c r="J901" s="2" t="s">
        <v>629</v>
      </c>
    </row>
    <row r="902" customFormat="false" ht="15" hidden="false" customHeight="false" outlineLevel="0" collapsed="false">
      <c r="A902" s="2" t="s">
        <v>603</v>
      </c>
      <c r="B902" s="2" t="s">
        <v>119</v>
      </c>
      <c r="C902" s="4" t="n">
        <v>1</v>
      </c>
      <c r="D902" s="2" t="s">
        <v>437</v>
      </c>
      <c r="E902" s="2" t="s">
        <v>375</v>
      </c>
      <c r="F902" s="21" t="n">
        <v>45937.4937118056</v>
      </c>
      <c r="G902" s="21" t="n">
        <v>45938.4128784722</v>
      </c>
      <c r="H902" s="10" t="n">
        <v>6.06</v>
      </c>
      <c r="I902" s="15" t="n">
        <v>45948</v>
      </c>
      <c r="J902" s="2" t="s">
        <v>629</v>
      </c>
    </row>
    <row r="903" customFormat="false" ht="15" hidden="false" customHeight="false" outlineLevel="0" collapsed="false">
      <c r="A903" s="2" t="s">
        <v>603</v>
      </c>
      <c r="B903" s="2" t="s">
        <v>119</v>
      </c>
      <c r="C903" s="4" t="n">
        <v>2</v>
      </c>
      <c r="D903" s="2" t="s">
        <v>386</v>
      </c>
      <c r="E903" s="2" t="s">
        <v>383</v>
      </c>
      <c r="F903" s="21" t="n">
        <v>45940.3500555556</v>
      </c>
      <c r="G903" s="21" t="n">
        <v>45940.3972777778</v>
      </c>
      <c r="H903" s="10" t="n">
        <v>1.13333333333333</v>
      </c>
      <c r="I903" s="15" t="n">
        <v>45948</v>
      </c>
      <c r="J903" s="2" t="s">
        <v>629</v>
      </c>
    </row>
    <row r="904" customFormat="false" ht="15" hidden="false" customHeight="false" outlineLevel="0" collapsed="false">
      <c r="A904" s="2" t="s">
        <v>603</v>
      </c>
      <c r="B904" s="2" t="s">
        <v>119</v>
      </c>
      <c r="C904" s="4" t="n">
        <v>3</v>
      </c>
      <c r="D904" s="2" t="s">
        <v>390</v>
      </c>
      <c r="E904" s="2" t="s">
        <v>387</v>
      </c>
      <c r="F904" s="21" t="n">
        <v>45945.6333888889</v>
      </c>
      <c r="G904" s="21" t="n">
        <v>45947.5722777778</v>
      </c>
      <c r="H904" s="10" t="n">
        <v>14.5333333333333</v>
      </c>
      <c r="I904" s="15" t="n">
        <v>45948</v>
      </c>
      <c r="J904" s="2" t="s">
        <v>629</v>
      </c>
    </row>
    <row r="905" customFormat="false" ht="15" hidden="false" customHeight="false" outlineLevel="0" collapsed="false">
      <c r="A905" s="2" t="s">
        <v>603</v>
      </c>
      <c r="B905" s="2" t="s">
        <v>119</v>
      </c>
      <c r="C905" s="4" t="n">
        <v>4</v>
      </c>
      <c r="D905" s="2" t="s">
        <v>443</v>
      </c>
      <c r="E905" s="2" t="s">
        <v>395</v>
      </c>
      <c r="F905" s="21" t="n">
        <v>45947.5722777778</v>
      </c>
      <c r="G905" s="21" t="n">
        <v>45947.6785277778</v>
      </c>
      <c r="H905" s="10" t="n">
        <v>2.55</v>
      </c>
      <c r="I905" s="15" t="n">
        <v>45948</v>
      </c>
      <c r="J905" s="2" t="s">
        <v>629</v>
      </c>
    </row>
    <row r="906" customFormat="false" ht="15" hidden="false" customHeight="false" outlineLevel="0" collapsed="false">
      <c r="A906" s="2" t="s">
        <v>603</v>
      </c>
      <c r="B906" s="2" t="s">
        <v>119</v>
      </c>
      <c r="C906" s="4" t="n">
        <v>5</v>
      </c>
      <c r="D906" s="2" t="s">
        <v>444</v>
      </c>
      <c r="E906" s="2" t="s">
        <v>399</v>
      </c>
      <c r="F906" s="21" t="n">
        <v>45947.6785277778</v>
      </c>
      <c r="G906" s="21" t="n">
        <v>45950.48625</v>
      </c>
      <c r="H906" s="10" t="n">
        <v>4.38533333333333</v>
      </c>
      <c r="I906" s="15" t="n">
        <v>45948</v>
      </c>
      <c r="J906" s="2" t="s">
        <v>629</v>
      </c>
    </row>
    <row r="907" customFormat="false" ht="15" hidden="false" customHeight="false" outlineLevel="0" collapsed="false">
      <c r="A907" s="2" t="s">
        <v>603</v>
      </c>
      <c r="B907" s="2" t="s">
        <v>119</v>
      </c>
      <c r="C907" s="4" t="n">
        <v>6</v>
      </c>
      <c r="D907" s="2" t="s">
        <v>445</v>
      </c>
      <c r="E907" s="2" t="s">
        <v>402</v>
      </c>
      <c r="F907" s="21" t="n">
        <v>45950.48625</v>
      </c>
      <c r="G907" s="21" t="n">
        <v>45950.5819444444</v>
      </c>
      <c r="H907" s="10" t="n">
        <v>1.29666666666667</v>
      </c>
      <c r="I907" s="15" t="n">
        <v>45948</v>
      </c>
      <c r="J907" s="2" t="s">
        <v>629</v>
      </c>
    </row>
    <row r="908" customFormat="false" ht="15" hidden="false" customHeight="false" outlineLevel="0" collapsed="false">
      <c r="A908" s="2" t="s">
        <v>603</v>
      </c>
      <c r="B908" s="2" t="s">
        <v>119</v>
      </c>
      <c r="C908" s="4" t="n">
        <v>7</v>
      </c>
      <c r="D908" s="2" t="s">
        <v>447</v>
      </c>
      <c r="E908" s="2" t="s">
        <v>421</v>
      </c>
      <c r="F908" s="21" t="n">
        <v>45950.5819444444</v>
      </c>
      <c r="G908" s="21" t="n">
        <v>45950.6131944444</v>
      </c>
      <c r="H908" s="10" t="n">
        <v>0.75</v>
      </c>
      <c r="I908" s="15" t="n">
        <v>45948</v>
      </c>
      <c r="J908" s="2" t="s">
        <v>629</v>
      </c>
    </row>
    <row r="909" customFormat="false" ht="15" hidden="false" customHeight="false" outlineLevel="0" collapsed="false">
      <c r="A909" s="2" t="s">
        <v>603</v>
      </c>
      <c r="B909" s="2" t="s">
        <v>119</v>
      </c>
      <c r="C909" s="4" t="n">
        <v>8</v>
      </c>
      <c r="D909" s="2" t="s">
        <v>449</v>
      </c>
      <c r="E909" s="2" t="s">
        <v>423</v>
      </c>
      <c r="F909" s="21" t="n">
        <v>45950.6131944444</v>
      </c>
      <c r="G909" s="21" t="n">
        <v>45950.6351388889</v>
      </c>
      <c r="H909" s="10" t="n">
        <v>0.526666666666667</v>
      </c>
      <c r="I909" s="15" t="n">
        <v>45948</v>
      </c>
      <c r="J909" s="2" t="s">
        <v>629</v>
      </c>
    </row>
    <row r="910" customFormat="false" ht="15" hidden="false" customHeight="false" outlineLevel="0" collapsed="false">
      <c r="A910" s="2" t="s">
        <v>603</v>
      </c>
      <c r="B910" s="2" t="s">
        <v>119</v>
      </c>
      <c r="C910" s="4" t="n">
        <v>9</v>
      </c>
      <c r="D910" s="2" t="s">
        <v>450</v>
      </c>
      <c r="E910" s="2" t="s">
        <v>406</v>
      </c>
      <c r="F910" s="21" t="n">
        <v>45951.4709011111</v>
      </c>
      <c r="G910" s="21" t="n">
        <v>45951.7042344444</v>
      </c>
      <c r="H910" s="10" t="n">
        <v>4.6</v>
      </c>
      <c r="I910" s="15" t="n">
        <v>45948</v>
      </c>
      <c r="J910" s="2" t="s">
        <v>629</v>
      </c>
    </row>
    <row r="911" customFormat="false" ht="15" hidden="false" customHeight="false" outlineLevel="0" collapsed="false">
      <c r="A911" s="2" t="s">
        <v>603</v>
      </c>
      <c r="B911" s="2" t="s">
        <v>119</v>
      </c>
      <c r="C911" s="4" t="n">
        <v>10</v>
      </c>
      <c r="D911" s="2" t="s">
        <v>451</v>
      </c>
      <c r="E911" s="2" t="s">
        <v>408</v>
      </c>
      <c r="F911" s="21" t="n">
        <v>45951.7042344444</v>
      </c>
      <c r="G911" s="21" t="n">
        <v>45952.3545816667</v>
      </c>
      <c r="H911" s="10" t="n">
        <v>0.608333333333333</v>
      </c>
      <c r="I911" s="15" t="n">
        <v>45948</v>
      </c>
      <c r="J911" s="2" t="s">
        <v>629</v>
      </c>
    </row>
    <row r="912" customFormat="false" ht="15" hidden="false" customHeight="false" outlineLevel="0" collapsed="false">
      <c r="A912" s="2" t="s">
        <v>603</v>
      </c>
      <c r="B912" s="2" t="s">
        <v>119</v>
      </c>
      <c r="C912" s="4" t="n">
        <v>11</v>
      </c>
      <c r="D912" s="2" t="s">
        <v>452</v>
      </c>
      <c r="E912" s="2" t="s">
        <v>411</v>
      </c>
      <c r="F912" s="21" t="n">
        <v>45952.3545816667</v>
      </c>
      <c r="G912" s="21" t="n">
        <v>45952.3884011111</v>
      </c>
      <c r="H912" s="10" t="n">
        <v>0.811666666666667</v>
      </c>
      <c r="I912" s="15" t="n">
        <v>45948</v>
      </c>
      <c r="J912" s="2" t="s">
        <v>629</v>
      </c>
    </row>
    <row r="913" customFormat="false" ht="15" hidden="false" customHeight="false" outlineLevel="0" collapsed="false">
      <c r="A913" s="2" t="s">
        <v>598</v>
      </c>
      <c r="B913" s="2" t="s">
        <v>83</v>
      </c>
      <c r="C913" s="4" t="n">
        <v>1</v>
      </c>
      <c r="D913" s="2" t="s">
        <v>437</v>
      </c>
      <c r="E913" s="2" t="s">
        <v>375</v>
      </c>
      <c r="F913" s="21" t="n">
        <v>45946.3333333333</v>
      </c>
      <c r="G913" s="21" t="n">
        <v>45946.6916944445</v>
      </c>
      <c r="H913" s="10" t="n">
        <v>7.60066666666667</v>
      </c>
      <c r="I913" s="15" t="n">
        <v>45964</v>
      </c>
      <c r="J913" s="2" t="s">
        <v>629</v>
      </c>
    </row>
    <row r="914" customFormat="false" ht="15" hidden="false" customHeight="false" outlineLevel="0" collapsed="false">
      <c r="A914" s="2" t="s">
        <v>598</v>
      </c>
      <c r="B914" s="2" t="s">
        <v>83</v>
      </c>
      <c r="C914" s="4" t="n">
        <v>2</v>
      </c>
      <c r="D914" s="2" t="s">
        <v>441</v>
      </c>
      <c r="E914" s="2" t="s">
        <v>380</v>
      </c>
      <c r="F914" s="21" t="n">
        <v>45946.6916944445</v>
      </c>
      <c r="G914" s="21" t="n">
        <v>45950.4278055556</v>
      </c>
      <c r="H914" s="10" t="n">
        <v>10.6666666666667</v>
      </c>
      <c r="I914" s="15" t="n">
        <v>45964</v>
      </c>
      <c r="J914" s="2" t="s">
        <v>629</v>
      </c>
    </row>
    <row r="915" customFormat="false" ht="15" hidden="false" customHeight="false" outlineLevel="0" collapsed="false">
      <c r="A915" s="2" t="s">
        <v>598</v>
      </c>
      <c r="B915" s="2" t="s">
        <v>83</v>
      </c>
      <c r="C915" s="4" t="n">
        <v>3</v>
      </c>
      <c r="D915" s="2" t="s">
        <v>386</v>
      </c>
      <c r="E915" s="2" t="s">
        <v>383</v>
      </c>
      <c r="F915" s="21" t="n">
        <v>45950.4278055556</v>
      </c>
      <c r="G915" s="21" t="n">
        <v>45952.4591944445</v>
      </c>
      <c r="H915" s="10" t="n">
        <v>16.7533333333333</v>
      </c>
      <c r="I915" s="15" t="n">
        <v>45964</v>
      </c>
      <c r="J915" s="2" t="s">
        <v>629</v>
      </c>
    </row>
    <row r="916" customFormat="false" ht="15" hidden="false" customHeight="false" outlineLevel="0" collapsed="false">
      <c r="A916" s="2" t="s">
        <v>598</v>
      </c>
      <c r="B916" s="2" t="s">
        <v>83</v>
      </c>
      <c r="C916" s="4" t="n">
        <v>4</v>
      </c>
      <c r="D916" s="2" t="s">
        <v>390</v>
      </c>
      <c r="E916" s="2" t="s">
        <v>387</v>
      </c>
      <c r="F916" s="21" t="n">
        <v>45952.4591944445</v>
      </c>
      <c r="G916" s="21" t="n">
        <v>45954.3841944444</v>
      </c>
      <c r="H916" s="10" t="n">
        <v>14.2</v>
      </c>
      <c r="I916" s="15" t="n">
        <v>45964</v>
      </c>
      <c r="J916" s="2" t="s">
        <v>629</v>
      </c>
    </row>
    <row r="917" customFormat="false" ht="15" hidden="false" customHeight="false" outlineLevel="0" collapsed="false">
      <c r="A917" s="2" t="s">
        <v>598</v>
      </c>
      <c r="B917" s="2" t="s">
        <v>83</v>
      </c>
      <c r="C917" s="4" t="n">
        <v>5</v>
      </c>
      <c r="D917" s="2" t="s">
        <v>442</v>
      </c>
      <c r="E917" s="2" t="s">
        <v>391</v>
      </c>
      <c r="F917" s="21" t="n">
        <v>45954.3841944444</v>
      </c>
      <c r="G917" s="21" t="n">
        <v>45958.38475</v>
      </c>
      <c r="H917" s="10" t="n">
        <v>16.0133333333333</v>
      </c>
      <c r="I917" s="15" t="n">
        <v>45964</v>
      </c>
      <c r="J917" s="2" t="s">
        <v>629</v>
      </c>
    </row>
    <row r="918" customFormat="false" ht="15" hidden="false" customHeight="false" outlineLevel="0" collapsed="false">
      <c r="A918" s="2" t="s">
        <v>598</v>
      </c>
      <c r="B918" s="2" t="s">
        <v>83</v>
      </c>
      <c r="C918" s="4" t="n">
        <v>6</v>
      </c>
      <c r="D918" s="2" t="s">
        <v>443</v>
      </c>
      <c r="E918" s="2" t="s">
        <v>395</v>
      </c>
      <c r="F918" s="21" t="n">
        <v>45958.38475</v>
      </c>
      <c r="G918" s="21" t="n">
        <v>45959.4680833333</v>
      </c>
      <c r="H918" s="10" t="n">
        <v>10</v>
      </c>
      <c r="I918" s="15" t="n">
        <v>45964</v>
      </c>
      <c r="J918" s="2" t="s">
        <v>629</v>
      </c>
    </row>
    <row r="919" customFormat="false" ht="15" hidden="false" customHeight="false" outlineLevel="0" collapsed="false">
      <c r="A919" s="2" t="s">
        <v>598</v>
      </c>
      <c r="B919" s="2" t="s">
        <v>83</v>
      </c>
      <c r="C919" s="4" t="n">
        <v>7</v>
      </c>
      <c r="D919" s="2" t="s">
        <v>444</v>
      </c>
      <c r="E919" s="2" t="s">
        <v>399</v>
      </c>
      <c r="F919" s="21" t="n">
        <v>45959.4680833333</v>
      </c>
      <c r="G919" s="21" t="n">
        <v>45960.4102833333</v>
      </c>
      <c r="H919" s="10" t="n">
        <v>6.6128</v>
      </c>
      <c r="I919" s="15" t="n">
        <v>45964</v>
      </c>
      <c r="J919" s="2" t="s">
        <v>629</v>
      </c>
    </row>
    <row r="920" customFormat="false" ht="15" hidden="false" customHeight="false" outlineLevel="0" collapsed="false">
      <c r="A920" s="2" t="s">
        <v>598</v>
      </c>
      <c r="B920" s="2" t="s">
        <v>83</v>
      </c>
      <c r="C920" s="4" t="n">
        <v>8</v>
      </c>
      <c r="D920" s="2" t="s">
        <v>445</v>
      </c>
      <c r="E920" s="2" t="s">
        <v>402</v>
      </c>
      <c r="F920" s="21" t="n">
        <v>45960.4102833333</v>
      </c>
      <c r="G920" s="21" t="n">
        <v>45960.4937833333</v>
      </c>
      <c r="H920" s="10" t="n">
        <v>2.004</v>
      </c>
      <c r="I920" s="15" t="n">
        <v>45964</v>
      </c>
      <c r="J920" s="2" t="s">
        <v>629</v>
      </c>
    </row>
    <row r="921" customFormat="false" ht="15" hidden="false" customHeight="false" outlineLevel="0" collapsed="false">
      <c r="A921" s="2" t="s">
        <v>598</v>
      </c>
      <c r="B921" s="2" t="s">
        <v>83</v>
      </c>
      <c r="C921" s="4" t="n">
        <v>9</v>
      </c>
      <c r="D921" s="2" t="s">
        <v>447</v>
      </c>
      <c r="E921" s="2" t="s">
        <v>421</v>
      </c>
      <c r="F921" s="21" t="n">
        <v>45960.4937833333</v>
      </c>
      <c r="G921" s="21" t="n">
        <v>45960.59795</v>
      </c>
      <c r="H921" s="10" t="n">
        <v>1.5</v>
      </c>
      <c r="I921" s="15" t="n">
        <v>45964</v>
      </c>
      <c r="J921" s="2" t="s">
        <v>629</v>
      </c>
    </row>
    <row r="922" customFormat="false" ht="15" hidden="false" customHeight="false" outlineLevel="0" collapsed="false">
      <c r="A922" s="2" t="s">
        <v>598</v>
      </c>
      <c r="B922" s="2" t="s">
        <v>83</v>
      </c>
      <c r="C922" s="4" t="n">
        <v>10</v>
      </c>
      <c r="D922" s="2" t="s">
        <v>449</v>
      </c>
      <c r="E922" s="2" t="s">
        <v>423</v>
      </c>
      <c r="F922" s="21" t="n">
        <v>45960.59795</v>
      </c>
      <c r="G922" s="21" t="n">
        <v>45960.6314777778</v>
      </c>
      <c r="H922" s="10" t="n">
        <v>0.804666666666667</v>
      </c>
      <c r="I922" s="15" t="n">
        <v>45964</v>
      </c>
      <c r="J922" s="2" t="s">
        <v>629</v>
      </c>
    </row>
    <row r="923" customFormat="false" ht="15" hidden="false" customHeight="false" outlineLevel="0" collapsed="false">
      <c r="A923" s="2" t="s">
        <v>598</v>
      </c>
      <c r="B923" s="2" t="s">
        <v>83</v>
      </c>
      <c r="C923" s="4" t="n">
        <v>11</v>
      </c>
      <c r="D923" s="2" t="s">
        <v>450</v>
      </c>
      <c r="E923" s="2" t="s">
        <v>406</v>
      </c>
      <c r="F923" s="21" t="n">
        <v>45960.6314777778</v>
      </c>
      <c r="G923" s="21" t="n">
        <v>45964.4502277778</v>
      </c>
      <c r="H923" s="10" t="n">
        <v>12.65</v>
      </c>
      <c r="I923" s="15" t="n">
        <v>45964</v>
      </c>
      <c r="J923" s="2" t="s">
        <v>629</v>
      </c>
    </row>
    <row r="924" customFormat="false" ht="15" hidden="false" customHeight="false" outlineLevel="0" collapsed="false">
      <c r="A924" s="2" t="s">
        <v>598</v>
      </c>
      <c r="B924" s="2" t="s">
        <v>83</v>
      </c>
      <c r="C924" s="4" t="n">
        <v>12</v>
      </c>
      <c r="D924" s="2" t="s">
        <v>451</v>
      </c>
      <c r="E924" s="2" t="s">
        <v>408</v>
      </c>
      <c r="F924" s="21" t="n">
        <v>45964.4502277778</v>
      </c>
      <c r="G924" s="21" t="n">
        <v>45964.4851722222</v>
      </c>
      <c r="H924" s="10" t="n">
        <v>0.838666666666667</v>
      </c>
      <c r="I924" s="15" t="n">
        <v>45964</v>
      </c>
      <c r="J924" s="2" t="s">
        <v>629</v>
      </c>
    </row>
    <row r="925" customFormat="false" ht="15" hidden="false" customHeight="false" outlineLevel="0" collapsed="false">
      <c r="A925" s="2" t="s">
        <v>598</v>
      </c>
      <c r="B925" s="2" t="s">
        <v>83</v>
      </c>
      <c r="C925" s="4" t="n">
        <v>13</v>
      </c>
      <c r="D925" s="2" t="s">
        <v>452</v>
      </c>
      <c r="E925" s="2" t="s">
        <v>411</v>
      </c>
      <c r="F925" s="21" t="n">
        <v>45964.4851722222</v>
      </c>
      <c r="G925" s="21" t="n">
        <v>45964.5737833333</v>
      </c>
      <c r="H925" s="10" t="n">
        <v>1.12666666666667</v>
      </c>
      <c r="I925" s="15" t="n">
        <v>45964</v>
      </c>
      <c r="J925" s="2" t="s">
        <v>629</v>
      </c>
    </row>
    <row r="926" customFormat="false" ht="15" hidden="false" customHeight="false" outlineLevel="0" collapsed="false">
      <c r="A926" s="2" t="s">
        <v>600</v>
      </c>
      <c r="B926" s="2" t="s">
        <v>96</v>
      </c>
      <c r="C926" s="4" t="n">
        <v>1</v>
      </c>
      <c r="D926" s="2" t="s">
        <v>437</v>
      </c>
      <c r="E926" s="2" t="s">
        <v>375</v>
      </c>
      <c r="F926" s="21" t="n">
        <v>45946.6916944445</v>
      </c>
      <c r="G926" s="21" t="n">
        <v>45947.6408784722</v>
      </c>
      <c r="H926" s="10" t="n">
        <v>6.78041666666667</v>
      </c>
      <c r="I926" s="15" t="n">
        <v>45962</v>
      </c>
      <c r="J926" s="2" t="s">
        <v>629</v>
      </c>
    </row>
    <row r="927" customFormat="false" ht="15" hidden="false" customHeight="false" outlineLevel="0" collapsed="false">
      <c r="A927" s="2" t="s">
        <v>600</v>
      </c>
      <c r="B927" s="2" t="s">
        <v>96</v>
      </c>
      <c r="C927" s="4" t="n">
        <v>2</v>
      </c>
      <c r="D927" s="2" t="s">
        <v>441</v>
      </c>
      <c r="E927" s="2" t="s">
        <v>380</v>
      </c>
      <c r="F927" s="21" t="n">
        <v>45950.4278055556</v>
      </c>
      <c r="G927" s="21" t="n">
        <v>45950.4638888889</v>
      </c>
      <c r="H927" s="10" t="n">
        <v>0.866</v>
      </c>
      <c r="I927" s="15" t="n">
        <v>45962</v>
      </c>
      <c r="J927" s="2" t="s">
        <v>629</v>
      </c>
    </row>
    <row r="928" customFormat="false" ht="15" hidden="false" customHeight="false" outlineLevel="0" collapsed="false">
      <c r="A928" s="2" t="s">
        <v>600</v>
      </c>
      <c r="B928" s="2" t="s">
        <v>96</v>
      </c>
      <c r="C928" s="4" t="n">
        <v>3</v>
      </c>
      <c r="D928" s="2" t="s">
        <v>386</v>
      </c>
      <c r="E928" s="2" t="s">
        <v>383</v>
      </c>
      <c r="F928" s="21" t="n">
        <v>45952.4591944445</v>
      </c>
      <c r="G928" s="21" t="n">
        <v>45953.4585</v>
      </c>
      <c r="H928" s="10" t="n">
        <v>7.98333333333333</v>
      </c>
      <c r="I928" s="15" t="n">
        <v>45962</v>
      </c>
      <c r="J928" s="2" t="s">
        <v>629</v>
      </c>
    </row>
    <row r="929" customFormat="false" ht="15" hidden="false" customHeight="false" outlineLevel="0" collapsed="false">
      <c r="A929" s="2" t="s">
        <v>600</v>
      </c>
      <c r="B929" s="2" t="s">
        <v>96</v>
      </c>
      <c r="C929" s="4" t="n">
        <v>4</v>
      </c>
      <c r="D929" s="2" t="s">
        <v>390</v>
      </c>
      <c r="E929" s="2" t="s">
        <v>387</v>
      </c>
      <c r="F929" s="21" t="n">
        <v>45954.3841944444</v>
      </c>
      <c r="G929" s="21" t="n">
        <v>45957.7036388889</v>
      </c>
      <c r="H929" s="10" t="n">
        <v>14.6666666666667</v>
      </c>
      <c r="I929" s="15" t="n">
        <v>45962</v>
      </c>
      <c r="J929" s="2" t="s">
        <v>629</v>
      </c>
    </row>
    <row r="930" customFormat="false" ht="15" hidden="false" customHeight="false" outlineLevel="0" collapsed="false">
      <c r="A930" s="2" t="s">
        <v>600</v>
      </c>
      <c r="B930" s="2" t="s">
        <v>96</v>
      </c>
      <c r="C930" s="4" t="n">
        <v>5</v>
      </c>
      <c r="D930" s="2" t="s">
        <v>442</v>
      </c>
      <c r="E930" s="2" t="s">
        <v>391</v>
      </c>
      <c r="F930" s="21" t="n">
        <v>45958.38475</v>
      </c>
      <c r="G930" s="21" t="n">
        <v>45958.4189166667</v>
      </c>
      <c r="H930" s="10" t="n">
        <v>0.82</v>
      </c>
      <c r="I930" s="15" t="n">
        <v>45962</v>
      </c>
      <c r="J930" s="2" t="s">
        <v>629</v>
      </c>
    </row>
    <row r="931" customFormat="false" ht="15" hidden="false" customHeight="false" outlineLevel="0" collapsed="false">
      <c r="A931" s="2" t="s">
        <v>600</v>
      </c>
      <c r="B931" s="2" t="s">
        <v>96</v>
      </c>
      <c r="C931" s="4" t="n">
        <v>6</v>
      </c>
      <c r="D931" s="2" t="s">
        <v>443</v>
      </c>
      <c r="E931" s="2" t="s">
        <v>395</v>
      </c>
      <c r="F931" s="21" t="n">
        <v>45959.4680833333</v>
      </c>
      <c r="G931" s="21" t="n">
        <v>45959.67225</v>
      </c>
      <c r="H931" s="10" t="n">
        <v>3.9</v>
      </c>
      <c r="I931" s="15" t="n">
        <v>45962</v>
      </c>
      <c r="J931" s="2" t="s">
        <v>629</v>
      </c>
    </row>
    <row r="932" customFormat="false" ht="15" hidden="false" customHeight="false" outlineLevel="0" collapsed="false">
      <c r="A932" s="2" t="s">
        <v>600</v>
      </c>
      <c r="B932" s="2" t="s">
        <v>96</v>
      </c>
      <c r="C932" s="4" t="n">
        <v>7</v>
      </c>
      <c r="D932" s="2" t="s">
        <v>444</v>
      </c>
      <c r="E932" s="2" t="s">
        <v>399</v>
      </c>
      <c r="F932" s="21" t="n">
        <v>45960.4102833333</v>
      </c>
      <c r="G932" s="21" t="n">
        <v>45960.5877127778</v>
      </c>
      <c r="H932" s="10" t="n">
        <v>3.25830666666667</v>
      </c>
      <c r="I932" s="15" t="n">
        <v>45962</v>
      </c>
      <c r="J932" s="2" t="s">
        <v>629</v>
      </c>
    </row>
    <row r="933" customFormat="false" ht="15" hidden="false" customHeight="false" outlineLevel="0" collapsed="false">
      <c r="A933" s="2" t="s">
        <v>600</v>
      </c>
      <c r="B933" s="2" t="s">
        <v>96</v>
      </c>
      <c r="C933" s="4" t="n">
        <v>8</v>
      </c>
      <c r="D933" s="2" t="s">
        <v>445</v>
      </c>
      <c r="E933" s="2" t="s">
        <v>402</v>
      </c>
      <c r="F933" s="21" t="n">
        <v>45960.5877127778</v>
      </c>
      <c r="G933" s="21" t="n">
        <v>45960.6317266667</v>
      </c>
      <c r="H933" s="10" t="n">
        <v>1.05633333333333</v>
      </c>
      <c r="I933" s="15" t="n">
        <v>45962</v>
      </c>
      <c r="J933" s="2" t="s">
        <v>629</v>
      </c>
    </row>
    <row r="934" customFormat="false" ht="15" hidden="false" customHeight="false" outlineLevel="0" collapsed="false">
      <c r="A934" s="2" t="s">
        <v>600</v>
      </c>
      <c r="B934" s="2" t="s">
        <v>96</v>
      </c>
      <c r="C934" s="4" t="n">
        <v>9</v>
      </c>
      <c r="D934" s="2" t="s">
        <v>447</v>
      </c>
      <c r="E934" s="2" t="s">
        <v>421</v>
      </c>
      <c r="F934" s="21" t="n">
        <v>45960.6317266667</v>
      </c>
      <c r="G934" s="21" t="n">
        <v>45960.6629766667</v>
      </c>
      <c r="H934" s="10" t="n">
        <v>0.75</v>
      </c>
      <c r="I934" s="15" t="n">
        <v>45962</v>
      </c>
      <c r="J934" s="2" t="s">
        <v>629</v>
      </c>
    </row>
    <row r="935" customFormat="false" ht="15" hidden="false" customHeight="false" outlineLevel="0" collapsed="false">
      <c r="A935" s="2" t="s">
        <v>600</v>
      </c>
      <c r="B935" s="2" t="s">
        <v>96</v>
      </c>
      <c r="C935" s="4" t="n">
        <v>10</v>
      </c>
      <c r="D935" s="2" t="s">
        <v>449</v>
      </c>
      <c r="E935" s="2" t="s">
        <v>423</v>
      </c>
      <c r="F935" s="21" t="n">
        <v>45960.6629766667</v>
      </c>
      <c r="G935" s="21" t="n">
        <v>45960.6808794444</v>
      </c>
      <c r="H935" s="10" t="n">
        <v>0.429666666666667</v>
      </c>
      <c r="I935" s="15" t="n">
        <v>45962</v>
      </c>
      <c r="J935" s="2" t="s">
        <v>629</v>
      </c>
    </row>
    <row r="936" customFormat="false" ht="15" hidden="false" customHeight="false" outlineLevel="0" collapsed="false">
      <c r="A936" s="2" t="s">
        <v>600</v>
      </c>
      <c r="B936" s="2" t="s">
        <v>96</v>
      </c>
      <c r="C936" s="4" t="n">
        <v>11</v>
      </c>
      <c r="D936" s="2" t="s">
        <v>450</v>
      </c>
      <c r="E936" s="2" t="s">
        <v>406</v>
      </c>
      <c r="F936" s="21" t="n">
        <v>45964.4502277778</v>
      </c>
      <c r="G936" s="21" t="n">
        <v>45965.3580402778</v>
      </c>
      <c r="H936" s="10" t="n">
        <v>5.7875</v>
      </c>
      <c r="I936" s="15" t="n">
        <v>45962</v>
      </c>
      <c r="J936" s="2" t="s">
        <v>629</v>
      </c>
    </row>
    <row r="937" customFormat="false" ht="15" hidden="false" customHeight="false" outlineLevel="0" collapsed="false">
      <c r="A937" s="2" t="s">
        <v>600</v>
      </c>
      <c r="B937" s="2" t="s">
        <v>96</v>
      </c>
      <c r="C937" s="4" t="n">
        <v>12</v>
      </c>
      <c r="D937" s="2" t="s">
        <v>451</v>
      </c>
      <c r="E937" s="2" t="s">
        <v>408</v>
      </c>
      <c r="F937" s="21" t="n">
        <v>45965.3580402778</v>
      </c>
      <c r="G937" s="21" t="n">
        <v>45965.3772694444</v>
      </c>
      <c r="H937" s="10" t="n">
        <v>0.4615</v>
      </c>
      <c r="I937" s="15" t="n">
        <v>45962</v>
      </c>
      <c r="J937" s="2" t="s">
        <v>629</v>
      </c>
    </row>
    <row r="938" customFormat="false" ht="15" hidden="false" customHeight="false" outlineLevel="0" collapsed="false">
      <c r="A938" s="2" t="s">
        <v>600</v>
      </c>
      <c r="B938" s="2" t="s">
        <v>96</v>
      </c>
      <c r="C938" s="4" t="n">
        <v>13</v>
      </c>
      <c r="D938" s="2" t="s">
        <v>452</v>
      </c>
      <c r="E938" s="2" t="s">
        <v>411</v>
      </c>
      <c r="F938" s="21" t="n">
        <v>45965.3772694444</v>
      </c>
      <c r="G938" s="21" t="n">
        <v>45965.4029638889</v>
      </c>
      <c r="H938" s="10" t="n">
        <v>0.616666666666667</v>
      </c>
      <c r="I938" s="15" t="n">
        <v>45962</v>
      </c>
      <c r="J938" s="2" t="s">
        <v>629</v>
      </c>
    </row>
    <row r="939" customFormat="false" ht="15" hidden="false" customHeight="false" outlineLevel="0" collapsed="false">
      <c r="A939" s="2" t="s">
        <v>602</v>
      </c>
      <c r="B939" s="2" t="s">
        <v>108</v>
      </c>
      <c r="C939" s="4" t="n">
        <v>1</v>
      </c>
      <c r="D939" s="2" t="s">
        <v>437</v>
      </c>
      <c r="E939" s="2" t="s">
        <v>375</v>
      </c>
      <c r="F939" s="21" t="n">
        <v>45947.6408784722</v>
      </c>
      <c r="G939" s="21" t="n">
        <v>45950.5511840278</v>
      </c>
      <c r="H939" s="10" t="n">
        <v>5.84733333333333</v>
      </c>
      <c r="I939" s="15" t="n">
        <v>45961</v>
      </c>
      <c r="J939" s="2" t="s">
        <v>629</v>
      </c>
    </row>
    <row r="940" customFormat="false" ht="15" hidden="false" customHeight="false" outlineLevel="0" collapsed="false">
      <c r="A940" s="2" t="s">
        <v>602</v>
      </c>
      <c r="B940" s="2" t="s">
        <v>108</v>
      </c>
      <c r="C940" s="4" t="n">
        <v>2</v>
      </c>
      <c r="D940" s="2" t="s">
        <v>386</v>
      </c>
      <c r="E940" s="2" t="s">
        <v>383</v>
      </c>
      <c r="F940" s="21" t="n">
        <v>45953.4585</v>
      </c>
      <c r="G940" s="21" t="n">
        <v>45953.6196111111</v>
      </c>
      <c r="H940" s="10" t="n">
        <v>2.86666666666667</v>
      </c>
      <c r="I940" s="15" t="n">
        <v>45961</v>
      </c>
      <c r="J940" s="2" t="s">
        <v>629</v>
      </c>
    </row>
    <row r="941" customFormat="false" ht="15" hidden="false" customHeight="false" outlineLevel="0" collapsed="false">
      <c r="A941" s="2" t="s">
        <v>602</v>
      </c>
      <c r="B941" s="2" t="s">
        <v>108</v>
      </c>
      <c r="C941" s="4" t="n">
        <v>3</v>
      </c>
      <c r="D941" s="2" t="s">
        <v>390</v>
      </c>
      <c r="E941" s="2" t="s">
        <v>387</v>
      </c>
      <c r="F941" s="21" t="n">
        <v>45957.7036388889</v>
      </c>
      <c r="G941" s="21" t="n">
        <v>45959.6661388889</v>
      </c>
      <c r="H941" s="10" t="n">
        <v>15.1</v>
      </c>
      <c r="I941" s="15" t="n">
        <v>45961</v>
      </c>
      <c r="J941" s="2" t="s">
        <v>629</v>
      </c>
    </row>
    <row r="942" customFormat="false" ht="15" hidden="false" customHeight="false" outlineLevel="0" collapsed="false">
      <c r="A942" s="2" t="s">
        <v>602</v>
      </c>
      <c r="B942" s="2" t="s">
        <v>108</v>
      </c>
      <c r="C942" s="4" t="n">
        <v>4</v>
      </c>
      <c r="D942" s="2" t="s">
        <v>443</v>
      </c>
      <c r="E942" s="2" t="s">
        <v>395</v>
      </c>
      <c r="F942" s="21" t="n">
        <v>45959.67225</v>
      </c>
      <c r="G942" s="21" t="n">
        <v>45960.4055833333</v>
      </c>
      <c r="H942" s="10" t="n">
        <v>2.6</v>
      </c>
      <c r="I942" s="15" t="n">
        <v>45961</v>
      </c>
      <c r="J942" s="2" t="s">
        <v>629</v>
      </c>
    </row>
    <row r="943" customFormat="false" ht="15" hidden="false" customHeight="false" outlineLevel="0" collapsed="false">
      <c r="A943" s="2" t="s">
        <v>602</v>
      </c>
      <c r="B943" s="2" t="s">
        <v>108</v>
      </c>
      <c r="C943" s="4" t="n">
        <v>5</v>
      </c>
      <c r="D943" s="2" t="s">
        <v>444</v>
      </c>
      <c r="E943" s="2" t="s">
        <v>399</v>
      </c>
      <c r="F943" s="21" t="n">
        <v>45960.5877127778</v>
      </c>
      <c r="G943" s="21" t="n">
        <v>45961.3732461111</v>
      </c>
      <c r="H943" s="10" t="n">
        <v>3.8528</v>
      </c>
      <c r="I943" s="15" t="n">
        <v>45961</v>
      </c>
      <c r="J943" s="2" t="s">
        <v>629</v>
      </c>
    </row>
    <row r="944" customFormat="false" ht="15" hidden="false" customHeight="false" outlineLevel="0" collapsed="false">
      <c r="A944" s="2" t="s">
        <v>602</v>
      </c>
      <c r="B944" s="2" t="s">
        <v>108</v>
      </c>
      <c r="C944" s="4" t="n">
        <v>6</v>
      </c>
      <c r="D944" s="2" t="s">
        <v>445</v>
      </c>
      <c r="E944" s="2" t="s">
        <v>402</v>
      </c>
      <c r="F944" s="21" t="n">
        <v>45961.3732461111</v>
      </c>
      <c r="G944" s="21" t="n">
        <v>45961.4100377778</v>
      </c>
      <c r="H944" s="10" t="n">
        <v>0.883</v>
      </c>
      <c r="I944" s="15" t="n">
        <v>45961</v>
      </c>
      <c r="J944" s="2" t="s">
        <v>629</v>
      </c>
    </row>
    <row r="945" customFormat="false" ht="15" hidden="false" customHeight="false" outlineLevel="0" collapsed="false">
      <c r="A945" s="2" t="s">
        <v>602</v>
      </c>
      <c r="B945" s="2" t="s">
        <v>108</v>
      </c>
      <c r="C945" s="4" t="n">
        <v>7</v>
      </c>
      <c r="D945" s="2" t="s">
        <v>447</v>
      </c>
      <c r="E945" s="2" t="s">
        <v>421</v>
      </c>
      <c r="F945" s="21" t="n">
        <v>45961.4100377778</v>
      </c>
      <c r="G945" s="21" t="n">
        <v>45961.4412877778</v>
      </c>
      <c r="H945" s="10" t="n">
        <v>0.75</v>
      </c>
      <c r="I945" s="15" t="n">
        <v>45961</v>
      </c>
      <c r="J945" s="2" t="s">
        <v>629</v>
      </c>
    </row>
    <row r="946" customFormat="false" ht="15" hidden="false" customHeight="false" outlineLevel="0" collapsed="false">
      <c r="A946" s="2" t="s">
        <v>602</v>
      </c>
      <c r="B946" s="2" t="s">
        <v>108</v>
      </c>
      <c r="C946" s="4" t="n">
        <v>8</v>
      </c>
      <c r="D946" s="2" t="s">
        <v>449</v>
      </c>
      <c r="E946" s="2" t="s">
        <v>423</v>
      </c>
      <c r="F946" s="21" t="n">
        <v>45961.4412877778</v>
      </c>
      <c r="G946" s="21" t="n">
        <v>45961.4569266667</v>
      </c>
      <c r="H946" s="10" t="n">
        <v>0.375333333333333</v>
      </c>
      <c r="I946" s="15" t="n">
        <v>45961</v>
      </c>
      <c r="J946" s="2" t="s">
        <v>629</v>
      </c>
    </row>
    <row r="947" customFormat="false" ht="15" hidden="false" customHeight="false" outlineLevel="0" collapsed="false">
      <c r="A947" s="2" t="s">
        <v>602</v>
      </c>
      <c r="B947" s="2" t="s">
        <v>108</v>
      </c>
      <c r="C947" s="4" t="n">
        <v>9</v>
      </c>
      <c r="D947" s="2" t="s">
        <v>450</v>
      </c>
      <c r="E947" s="2" t="s">
        <v>406</v>
      </c>
      <c r="F947" s="21" t="n">
        <v>45965.3580402778</v>
      </c>
      <c r="G947" s="21" t="n">
        <v>45965.6382486111</v>
      </c>
      <c r="H947" s="10" t="n">
        <v>5.725</v>
      </c>
      <c r="I947" s="15" t="n">
        <v>45961</v>
      </c>
      <c r="J947" s="2" t="s">
        <v>629</v>
      </c>
    </row>
    <row r="948" customFormat="false" ht="15" hidden="false" customHeight="false" outlineLevel="0" collapsed="false">
      <c r="A948" s="2" t="s">
        <v>602</v>
      </c>
      <c r="B948" s="2" t="s">
        <v>108</v>
      </c>
      <c r="C948" s="4" t="n">
        <v>10</v>
      </c>
      <c r="D948" s="2" t="s">
        <v>451</v>
      </c>
      <c r="E948" s="2" t="s">
        <v>408</v>
      </c>
      <c r="F948" s="21" t="n">
        <v>45965.6382486111</v>
      </c>
      <c r="G948" s="21" t="n">
        <v>45965.6543041667</v>
      </c>
      <c r="H948" s="10" t="n">
        <v>0.385333333333333</v>
      </c>
      <c r="I948" s="15" t="n">
        <v>45961</v>
      </c>
      <c r="J948" s="2" t="s">
        <v>629</v>
      </c>
    </row>
    <row r="949" customFormat="false" ht="15" hidden="false" customHeight="false" outlineLevel="0" collapsed="false">
      <c r="A949" s="2" t="s">
        <v>602</v>
      </c>
      <c r="B949" s="2" t="s">
        <v>108</v>
      </c>
      <c r="C949" s="4" t="n">
        <v>11</v>
      </c>
      <c r="D949" s="2" t="s">
        <v>452</v>
      </c>
      <c r="E949" s="2" t="s">
        <v>411</v>
      </c>
      <c r="F949" s="21" t="n">
        <v>45965.6543041667</v>
      </c>
      <c r="G949" s="21" t="n">
        <v>45965.6756097222</v>
      </c>
      <c r="H949" s="10" t="n">
        <v>0.511333333333333</v>
      </c>
      <c r="I949" s="15" t="n">
        <v>45961</v>
      </c>
      <c r="J949" s="2" t="s">
        <v>629</v>
      </c>
    </row>
    <row r="950" customFormat="false" ht="15" hidden="false" customHeight="false" outlineLevel="0" collapsed="false">
      <c r="A950" s="2" t="s">
        <v>604</v>
      </c>
      <c r="B950" s="2" t="s">
        <v>121</v>
      </c>
      <c r="C950" s="4" t="n">
        <v>1</v>
      </c>
      <c r="D950" s="2" t="s">
        <v>437</v>
      </c>
      <c r="E950" s="2" t="s">
        <v>375</v>
      </c>
      <c r="F950" s="21" t="n">
        <v>45950.5511840278</v>
      </c>
      <c r="G950" s="21" t="n">
        <v>45951.4311840278</v>
      </c>
      <c r="H950" s="10" t="n">
        <v>6.12</v>
      </c>
      <c r="I950" s="15" t="n">
        <v>45962</v>
      </c>
      <c r="J950" s="2" t="s">
        <v>629</v>
      </c>
    </row>
    <row r="951" customFormat="false" ht="15" hidden="false" customHeight="false" outlineLevel="0" collapsed="false">
      <c r="A951" s="2" t="s">
        <v>604</v>
      </c>
      <c r="B951" s="2" t="s">
        <v>121</v>
      </c>
      <c r="C951" s="4" t="n">
        <v>2</v>
      </c>
      <c r="D951" s="2" t="s">
        <v>441</v>
      </c>
      <c r="E951" s="2" t="s">
        <v>380</v>
      </c>
      <c r="F951" s="21" t="n">
        <v>45951.4311840278</v>
      </c>
      <c r="G951" s="21" t="n">
        <v>45951.7025729167</v>
      </c>
      <c r="H951" s="10" t="n">
        <v>5.51333333333333</v>
      </c>
      <c r="I951" s="15" t="n">
        <v>45962</v>
      </c>
      <c r="J951" s="2" t="s">
        <v>629</v>
      </c>
    </row>
    <row r="952" customFormat="false" ht="15" hidden="false" customHeight="false" outlineLevel="0" collapsed="false">
      <c r="A952" s="2" t="s">
        <v>604</v>
      </c>
      <c r="B952" s="2" t="s">
        <v>121</v>
      </c>
      <c r="C952" s="4" t="n">
        <v>3</v>
      </c>
      <c r="D952" s="2" t="s">
        <v>386</v>
      </c>
      <c r="E952" s="2" t="s">
        <v>383</v>
      </c>
      <c r="F952" s="21" t="n">
        <v>45953.6196111111</v>
      </c>
      <c r="G952" s="21" t="n">
        <v>45954.6737777778</v>
      </c>
      <c r="H952" s="10" t="n">
        <v>9.3</v>
      </c>
      <c r="I952" s="15" t="n">
        <v>45962</v>
      </c>
      <c r="J952" s="2" t="s">
        <v>629</v>
      </c>
    </row>
    <row r="953" customFormat="false" ht="15" hidden="false" customHeight="false" outlineLevel="0" collapsed="false">
      <c r="A953" s="2" t="s">
        <v>604</v>
      </c>
      <c r="B953" s="2" t="s">
        <v>121</v>
      </c>
      <c r="C953" s="4" t="n">
        <v>4</v>
      </c>
      <c r="D953" s="2" t="s">
        <v>390</v>
      </c>
      <c r="E953" s="2" t="s">
        <v>387</v>
      </c>
      <c r="F953" s="21" t="n">
        <v>45959.6661388889</v>
      </c>
      <c r="G953" s="21" t="n">
        <v>45961.5980833333</v>
      </c>
      <c r="H953" s="10" t="n">
        <v>14.3666666666667</v>
      </c>
      <c r="I953" s="15" t="n">
        <v>45962</v>
      </c>
      <c r="J953" s="2" t="s">
        <v>629</v>
      </c>
    </row>
    <row r="954" customFormat="false" ht="15" hidden="false" customHeight="false" outlineLevel="0" collapsed="false">
      <c r="A954" s="2" t="s">
        <v>604</v>
      </c>
      <c r="B954" s="2" t="s">
        <v>121</v>
      </c>
      <c r="C954" s="4" t="n">
        <v>5</v>
      </c>
      <c r="D954" s="2" t="s">
        <v>443</v>
      </c>
      <c r="E954" s="2" t="s">
        <v>395</v>
      </c>
      <c r="F954" s="21" t="n">
        <v>45961.5980833333</v>
      </c>
      <c r="G954" s="21" t="n">
        <v>45964.4855833333</v>
      </c>
      <c r="H954" s="10" t="n">
        <v>6.3</v>
      </c>
      <c r="I954" s="15" t="n">
        <v>45962</v>
      </c>
      <c r="J954" s="2" t="s">
        <v>629</v>
      </c>
    </row>
    <row r="955" customFormat="false" ht="15" hidden="false" customHeight="false" outlineLevel="0" collapsed="false">
      <c r="A955" s="2" t="s">
        <v>604</v>
      </c>
      <c r="B955" s="2" t="s">
        <v>121</v>
      </c>
      <c r="C955" s="4" t="n">
        <v>6</v>
      </c>
      <c r="D955" s="2" t="s">
        <v>444</v>
      </c>
      <c r="E955" s="2" t="s">
        <v>399</v>
      </c>
      <c r="F955" s="21" t="n">
        <v>45964.4855833333</v>
      </c>
      <c r="G955" s="21" t="n">
        <v>45964.7013833333</v>
      </c>
      <c r="H955" s="10" t="n">
        <v>4.1792</v>
      </c>
      <c r="I955" s="15" t="n">
        <v>45962</v>
      </c>
      <c r="J955" s="2" t="s">
        <v>629</v>
      </c>
    </row>
    <row r="956" customFormat="false" ht="15" hidden="false" customHeight="false" outlineLevel="0" collapsed="false">
      <c r="A956" s="2" t="s">
        <v>604</v>
      </c>
      <c r="B956" s="2" t="s">
        <v>121</v>
      </c>
      <c r="C956" s="4" t="n">
        <v>7</v>
      </c>
      <c r="D956" s="2" t="s">
        <v>445</v>
      </c>
      <c r="E956" s="2" t="s">
        <v>402</v>
      </c>
      <c r="F956" s="21" t="n">
        <v>45964.7013833333</v>
      </c>
      <c r="G956" s="21" t="n">
        <v>45965.3804111111</v>
      </c>
      <c r="H956" s="10" t="n">
        <v>1.29666666666667</v>
      </c>
      <c r="I956" s="15" t="n">
        <v>45962</v>
      </c>
      <c r="J956" s="2" t="s">
        <v>629</v>
      </c>
    </row>
    <row r="957" customFormat="false" ht="15" hidden="false" customHeight="false" outlineLevel="0" collapsed="false">
      <c r="A957" s="2" t="s">
        <v>604</v>
      </c>
      <c r="B957" s="2" t="s">
        <v>121</v>
      </c>
      <c r="C957" s="4" t="n">
        <v>8</v>
      </c>
      <c r="D957" s="2" t="s">
        <v>447</v>
      </c>
      <c r="E957" s="2" t="s">
        <v>421</v>
      </c>
      <c r="F957" s="21" t="n">
        <v>45965.3804111111</v>
      </c>
      <c r="G957" s="21" t="n">
        <v>45965.4116611111</v>
      </c>
      <c r="H957" s="10" t="n">
        <v>0.75</v>
      </c>
      <c r="I957" s="15" t="n">
        <v>45962</v>
      </c>
      <c r="J957" s="2" t="s">
        <v>629</v>
      </c>
    </row>
    <row r="958" customFormat="false" ht="15" hidden="false" customHeight="false" outlineLevel="0" collapsed="false">
      <c r="A958" s="2" t="s">
        <v>604</v>
      </c>
      <c r="B958" s="2" t="s">
        <v>121</v>
      </c>
      <c r="C958" s="4" t="n">
        <v>9</v>
      </c>
      <c r="D958" s="2" t="s">
        <v>449</v>
      </c>
      <c r="E958" s="2" t="s">
        <v>423</v>
      </c>
      <c r="F958" s="21" t="n">
        <v>45965.4116611111</v>
      </c>
      <c r="G958" s="21" t="n">
        <v>45965.4336055556</v>
      </c>
      <c r="H958" s="10" t="n">
        <v>0.526666666666667</v>
      </c>
      <c r="I958" s="15" t="n">
        <v>45962</v>
      </c>
      <c r="J958" s="2" t="s">
        <v>629</v>
      </c>
    </row>
    <row r="959" customFormat="false" ht="15" hidden="false" customHeight="false" outlineLevel="0" collapsed="false">
      <c r="A959" s="2" t="s">
        <v>604</v>
      </c>
      <c r="B959" s="2" t="s">
        <v>121</v>
      </c>
      <c r="C959" s="4" t="n">
        <v>10</v>
      </c>
      <c r="D959" s="2" t="s">
        <v>450</v>
      </c>
      <c r="E959" s="2" t="s">
        <v>406</v>
      </c>
      <c r="F959" s="21" t="n">
        <v>45965.6382486111</v>
      </c>
      <c r="G959" s="21" t="n">
        <v>45967.3611652778</v>
      </c>
      <c r="H959" s="10" t="n">
        <v>10.35</v>
      </c>
      <c r="I959" s="15" t="n">
        <v>45962</v>
      </c>
      <c r="J959" s="2" t="s">
        <v>629</v>
      </c>
    </row>
    <row r="960" customFormat="false" ht="15" hidden="false" customHeight="false" outlineLevel="0" collapsed="false">
      <c r="A960" s="2" t="s">
        <v>604</v>
      </c>
      <c r="B960" s="2" t="s">
        <v>121</v>
      </c>
      <c r="C960" s="4" t="n">
        <v>11</v>
      </c>
      <c r="D960" s="2" t="s">
        <v>451</v>
      </c>
      <c r="E960" s="2" t="s">
        <v>408</v>
      </c>
      <c r="F960" s="21" t="n">
        <v>45967.3611652778</v>
      </c>
      <c r="G960" s="21" t="n">
        <v>45967.3865125</v>
      </c>
      <c r="H960" s="10" t="n">
        <v>0.608333333333333</v>
      </c>
      <c r="I960" s="15" t="n">
        <v>45962</v>
      </c>
      <c r="J960" s="2" t="s">
        <v>629</v>
      </c>
    </row>
    <row r="961" customFormat="false" ht="15" hidden="false" customHeight="false" outlineLevel="0" collapsed="false">
      <c r="A961" s="2" t="s">
        <v>604</v>
      </c>
      <c r="B961" s="2" t="s">
        <v>121</v>
      </c>
      <c r="C961" s="4" t="n">
        <v>12</v>
      </c>
      <c r="D961" s="2" t="s">
        <v>452</v>
      </c>
      <c r="E961" s="2" t="s">
        <v>411</v>
      </c>
      <c r="F961" s="21" t="n">
        <v>45967.3865125</v>
      </c>
      <c r="G961" s="21" t="n">
        <v>45967.4203319444</v>
      </c>
      <c r="H961" s="10" t="n">
        <v>0.811666666666667</v>
      </c>
      <c r="I961" s="15" t="n">
        <v>45962</v>
      </c>
      <c r="J961" s="2" t="s">
        <v>629</v>
      </c>
    </row>
    <row r="962" customFormat="false" ht="15" hidden="false" customHeight="false" outlineLevel="0" collapsed="false">
      <c r="A962" s="2" t="s">
        <v>605</v>
      </c>
      <c r="B962" s="2" t="s">
        <v>80</v>
      </c>
      <c r="C962" s="4" t="n">
        <v>1</v>
      </c>
      <c r="D962" s="2" t="s">
        <v>437</v>
      </c>
      <c r="E962" s="2" t="s">
        <v>375</v>
      </c>
      <c r="F962" s="21" t="n">
        <v>45964.3333333333</v>
      </c>
      <c r="G962" s="21" t="n">
        <v>45964.6505694444</v>
      </c>
      <c r="H962" s="10" t="n">
        <v>6.61366666666667</v>
      </c>
      <c r="I962" s="15" t="n">
        <v>45979</v>
      </c>
      <c r="J962" s="2" t="s">
        <v>629</v>
      </c>
    </row>
    <row r="963" customFormat="false" ht="15" hidden="false" customHeight="false" outlineLevel="0" collapsed="false">
      <c r="A963" s="2" t="s">
        <v>605</v>
      </c>
      <c r="B963" s="2" t="s">
        <v>80</v>
      </c>
      <c r="C963" s="4" t="n">
        <v>2</v>
      </c>
      <c r="D963" s="2" t="s">
        <v>441</v>
      </c>
      <c r="E963" s="2" t="s">
        <v>380</v>
      </c>
      <c r="F963" s="21" t="n">
        <v>45964.6505694444</v>
      </c>
      <c r="G963" s="21" t="n">
        <v>45965.6607916667</v>
      </c>
      <c r="H963" s="10" t="n">
        <v>8.24533333333333</v>
      </c>
      <c r="I963" s="15" t="n">
        <v>45979</v>
      </c>
      <c r="J963" s="2" t="s">
        <v>629</v>
      </c>
    </row>
    <row r="964" customFormat="false" ht="15" hidden="false" customHeight="false" outlineLevel="0" collapsed="false">
      <c r="A964" s="2" t="s">
        <v>605</v>
      </c>
      <c r="B964" s="2" t="s">
        <v>80</v>
      </c>
      <c r="C964" s="4" t="n">
        <v>3</v>
      </c>
      <c r="D964" s="2" t="s">
        <v>386</v>
      </c>
      <c r="E964" s="2" t="s">
        <v>383</v>
      </c>
      <c r="F964" s="21" t="n">
        <v>45965.6607916667</v>
      </c>
      <c r="G964" s="21" t="n">
        <v>45967.449125</v>
      </c>
      <c r="H964" s="10" t="n">
        <v>11.92</v>
      </c>
      <c r="I964" s="15" t="n">
        <v>45979</v>
      </c>
      <c r="J964" s="2" t="s">
        <v>629</v>
      </c>
    </row>
    <row r="965" customFormat="false" ht="15" hidden="false" customHeight="false" outlineLevel="0" collapsed="false">
      <c r="A965" s="2" t="s">
        <v>605</v>
      </c>
      <c r="B965" s="2" t="s">
        <v>80</v>
      </c>
      <c r="C965" s="4" t="n">
        <v>4</v>
      </c>
      <c r="D965" s="2" t="s">
        <v>390</v>
      </c>
      <c r="E965" s="2" t="s">
        <v>387</v>
      </c>
      <c r="F965" s="21" t="n">
        <v>45967.449125</v>
      </c>
      <c r="G965" s="21" t="n">
        <v>45968.6324583333</v>
      </c>
      <c r="H965" s="10" t="n">
        <v>11.4</v>
      </c>
      <c r="I965" s="15" t="n">
        <v>45979</v>
      </c>
      <c r="J965" s="2" t="s">
        <v>629</v>
      </c>
    </row>
    <row r="966" customFormat="false" ht="15" hidden="false" customHeight="false" outlineLevel="0" collapsed="false">
      <c r="A966" s="2" t="s">
        <v>605</v>
      </c>
      <c r="B966" s="2" t="s">
        <v>80</v>
      </c>
      <c r="C966" s="4" t="n">
        <v>5</v>
      </c>
      <c r="D966" s="2" t="s">
        <v>442</v>
      </c>
      <c r="E966" s="2" t="s">
        <v>391</v>
      </c>
      <c r="F966" s="21" t="n">
        <v>45968.6324583333</v>
      </c>
      <c r="G966" s="21" t="n">
        <v>45972.5785694444</v>
      </c>
      <c r="H966" s="10" t="n">
        <v>14.7066666666667</v>
      </c>
      <c r="I966" s="15" t="n">
        <v>45979</v>
      </c>
      <c r="J966" s="2" t="s">
        <v>629</v>
      </c>
    </row>
    <row r="967" customFormat="false" ht="15" hidden="false" customHeight="false" outlineLevel="0" collapsed="false">
      <c r="A967" s="2" t="s">
        <v>605</v>
      </c>
      <c r="B967" s="2" t="s">
        <v>80</v>
      </c>
      <c r="C967" s="4" t="n">
        <v>6</v>
      </c>
      <c r="D967" s="2" t="s">
        <v>443</v>
      </c>
      <c r="E967" s="2" t="s">
        <v>395</v>
      </c>
      <c r="F967" s="21" t="n">
        <v>45972.5785694444</v>
      </c>
      <c r="G967" s="21" t="n">
        <v>45973.5702361111</v>
      </c>
      <c r="H967" s="10" t="n">
        <v>7.8</v>
      </c>
      <c r="I967" s="15" t="n">
        <v>45979</v>
      </c>
      <c r="J967" s="2" t="s">
        <v>629</v>
      </c>
    </row>
    <row r="968" customFormat="false" ht="15" hidden="false" customHeight="false" outlineLevel="0" collapsed="false">
      <c r="A968" s="2" t="s">
        <v>605</v>
      </c>
      <c r="B968" s="2" t="s">
        <v>80</v>
      </c>
      <c r="C968" s="4" t="n">
        <v>7</v>
      </c>
      <c r="D968" s="2" t="s">
        <v>444</v>
      </c>
      <c r="E968" s="2" t="s">
        <v>399</v>
      </c>
      <c r="F968" s="21" t="n">
        <v>45973.5702361111</v>
      </c>
      <c r="G968" s="21" t="n">
        <v>45974.4306338889</v>
      </c>
      <c r="H968" s="10" t="n">
        <v>5.64954666666667</v>
      </c>
      <c r="I968" s="15" t="n">
        <v>45979</v>
      </c>
      <c r="J968" s="2" t="s">
        <v>629</v>
      </c>
    </row>
    <row r="969" customFormat="false" ht="15" hidden="false" customHeight="false" outlineLevel="0" collapsed="false">
      <c r="A969" s="2" t="s">
        <v>605</v>
      </c>
      <c r="B969" s="2" t="s">
        <v>80</v>
      </c>
      <c r="C969" s="4" t="n">
        <v>8</v>
      </c>
      <c r="D969" s="2" t="s">
        <v>445</v>
      </c>
      <c r="E969" s="2" t="s">
        <v>402</v>
      </c>
      <c r="F969" s="21" t="n">
        <v>45974.4306338889</v>
      </c>
      <c r="G969" s="21" t="n">
        <v>45974.5502311111</v>
      </c>
      <c r="H969" s="10" t="n">
        <v>1.87033333333333</v>
      </c>
      <c r="I969" s="15" t="n">
        <v>45979</v>
      </c>
      <c r="J969" s="2" t="s">
        <v>629</v>
      </c>
    </row>
    <row r="970" customFormat="false" ht="15" hidden="false" customHeight="false" outlineLevel="0" collapsed="false">
      <c r="A970" s="2" t="s">
        <v>605</v>
      </c>
      <c r="B970" s="2" t="s">
        <v>80</v>
      </c>
      <c r="C970" s="4" t="n">
        <v>9</v>
      </c>
      <c r="D970" s="2" t="s">
        <v>447</v>
      </c>
      <c r="E970" s="2" t="s">
        <v>421</v>
      </c>
      <c r="F970" s="21" t="n">
        <v>45974.5502311111</v>
      </c>
      <c r="G970" s="21" t="n">
        <v>45974.6127311111</v>
      </c>
      <c r="H970" s="10" t="n">
        <v>1.5</v>
      </c>
      <c r="I970" s="15" t="n">
        <v>45979</v>
      </c>
      <c r="J970" s="2" t="s">
        <v>629</v>
      </c>
    </row>
    <row r="971" customFormat="false" ht="15" hidden="false" customHeight="false" outlineLevel="0" collapsed="false">
      <c r="A971" s="2" t="s">
        <v>605</v>
      </c>
      <c r="B971" s="2" t="s">
        <v>80</v>
      </c>
      <c r="C971" s="4" t="n">
        <v>10</v>
      </c>
      <c r="D971" s="2" t="s">
        <v>449</v>
      </c>
      <c r="E971" s="2" t="s">
        <v>423</v>
      </c>
      <c r="F971" s="21" t="n">
        <v>45974.6127311111</v>
      </c>
      <c r="G971" s="21" t="n">
        <v>45974.6443908333</v>
      </c>
      <c r="H971" s="10" t="n">
        <v>0.759833333333333</v>
      </c>
      <c r="I971" s="15" t="n">
        <v>45979</v>
      </c>
      <c r="J971" s="2" t="s">
        <v>629</v>
      </c>
    </row>
    <row r="972" customFormat="false" ht="15" hidden="false" customHeight="false" outlineLevel="0" collapsed="false">
      <c r="A972" s="2" t="s">
        <v>605</v>
      </c>
      <c r="B972" s="2" t="s">
        <v>80</v>
      </c>
      <c r="C972" s="4" t="n">
        <v>11</v>
      </c>
      <c r="D972" s="2" t="s">
        <v>450</v>
      </c>
      <c r="E972" s="2" t="s">
        <v>406</v>
      </c>
      <c r="F972" s="21" t="n">
        <v>45974.6443908333</v>
      </c>
      <c r="G972" s="21" t="n">
        <v>45978.4027241667</v>
      </c>
      <c r="H972" s="10" t="n">
        <v>11.2</v>
      </c>
      <c r="I972" s="15" t="n">
        <v>45979</v>
      </c>
      <c r="J972" s="2" t="s">
        <v>629</v>
      </c>
    </row>
    <row r="973" customFormat="false" ht="15" hidden="false" customHeight="false" outlineLevel="0" collapsed="false">
      <c r="A973" s="2" t="s">
        <v>605</v>
      </c>
      <c r="B973" s="2" t="s">
        <v>80</v>
      </c>
      <c r="C973" s="4" t="n">
        <v>12</v>
      </c>
      <c r="D973" s="2" t="s">
        <v>451</v>
      </c>
      <c r="E973" s="2" t="s">
        <v>408</v>
      </c>
      <c r="F973" s="21" t="n">
        <v>45978.4027241667</v>
      </c>
      <c r="G973" s="21" t="n">
        <v>45978.4349880556</v>
      </c>
      <c r="H973" s="10" t="n">
        <v>0.774333333333333</v>
      </c>
      <c r="I973" s="15" t="n">
        <v>45979</v>
      </c>
      <c r="J973" s="2" t="s">
        <v>629</v>
      </c>
    </row>
    <row r="974" customFormat="false" ht="15" hidden="false" customHeight="false" outlineLevel="0" collapsed="false">
      <c r="A974" s="2" t="s">
        <v>605</v>
      </c>
      <c r="B974" s="2" t="s">
        <v>80</v>
      </c>
      <c r="C974" s="4" t="n">
        <v>13</v>
      </c>
      <c r="D974" s="2" t="s">
        <v>452</v>
      </c>
      <c r="E974" s="2" t="s">
        <v>411</v>
      </c>
      <c r="F974" s="21" t="n">
        <v>45978.4349880556</v>
      </c>
      <c r="G974" s="21" t="n">
        <v>45978.4782519444</v>
      </c>
      <c r="H974" s="10" t="n">
        <v>1.03833333333333</v>
      </c>
      <c r="I974" s="15" t="n">
        <v>45979</v>
      </c>
      <c r="J974" s="2" t="s">
        <v>629</v>
      </c>
    </row>
    <row r="975" customFormat="false" ht="15" hidden="false" customHeight="false" outlineLevel="0" collapsed="false">
      <c r="A975" s="2" t="s">
        <v>607</v>
      </c>
      <c r="B975" s="2" t="s">
        <v>94</v>
      </c>
      <c r="C975" s="4" t="n">
        <v>1</v>
      </c>
      <c r="D975" s="2" t="s">
        <v>437</v>
      </c>
      <c r="E975" s="2" t="s">
        <v>375</v>
      </c>
      <c r="F975" s="21" t="n">
        <v>45964.6505694444</v>
      </c>
      <c r="G975" s="21" t="n">
        <v>45965.699375</v>
      </c>
      <c r="H975" s="10" t="n">
        <v>9.17133333333333</v>
      </c>
      <c r="I975" s="15" t="n">
        <v>45979</v>
      </c>
      <c r="J975" s="2" t="s">
        <v>629</v>
      </c>
    </row>
    <row r="976" customFormat="false" ht="15" hidden="false" customHeight="false" outlineLevel="0" collapsed="false">
      <c r="A976" s="2" t="s">
        <v>607</v>
      </c>
      <c r="B976" s="2" t="s">
        <v>94</v>
      </c>
      <c r="C976" s="4" t="n">
        <v>2</v>
      </c>
      <c r="D976" s="2" t="s">
        <v>441</v>
      </c>
      <c r="E976" s="2" t="s">
        <v>380</v>
      </c>
      <c r="F976" s="21" t="n">
        <v>45965.699375</v>
      </c>
      <c r="G976" s="21" t="n">
        <v>45966.3548472222</v>
      </c>
      <c r="H976" s="10" t="n">
        <v>0.731333333333333</v>
      </c>
      <c r="I976" s="15" t="n">
        <v>45979</v>
      </c>
      <c r="J976" s="2" t="s">
        <v>629</v>
      </c>
    </row>
    <row r="977" customFormat="false" ht="15" hidden="false" customHeight="false" outlineLevel="0" collapsed="false">
      <c r="A977" s="2" t="s">
        <v>607</v>
      </c>
      <c r="B977" s="2" t="s">
        <v>94</v>
      </c>
      <c r="C977" s="4" t="n">
        <v>3</v>
      </c>
      <c r="D977" s="2" t="s">
        <v>386</v>
      </c>
      <c r="E977" s="2" t="s">
        <v>383</v>
      </c>
      <c r="F977" s="21" t="n">
        <v>45967.449125</v>
      </c>
      <c r="G977" s="21" t="n">
        <v>45968.5685694445</v>
      </c>
      <c r="H977" s="10" t="n">
        <v>9.86666666666667</v>
      </c>
      <c r="I977" s="15" t="n">
        <v>45979</v>
      </c>
      <c r="J977" s="2" t="s">
        <v>629</v>
      </c>
    </row>
    <row r="978" customFormat="false" ht="15" hidden="false" customHeight="false" outlineLevel="0" collapsed="false">
      <c r="A978" s="2" t="s">
        <v>607</v>
      </c>
      <c r="B978" s="2" t="s">
        <v>94</v>
      </c>
      <c r="C978" s="4" t="n">
        <v>4</v>
      </c>
      <c r="D978" s="2" t="s">
        <v>390</v>
      </c>
      <c r="E978" s="2" t="s">
        <v>387</v>
      </c>
      <c r="F978" s="21" t="n">
        <v>45968.6324583333</v>
      </c>
      <c r="G978" s="21" t="n">
        <v>45973.4157916667</v>
      </c>
      <c r="H978" s="10" t="n">
        <v>19.8</v>
      </c>
      <c r="I978" s="15" t="n">
        <v>45979</v>
      </c>
      <c r="J978" s="2" t="s">
        <v>629</v>
      </c>
    </row>
    <row r="979" customFormat="false" ht="15" hidden="false" customHeight="false" outlineLevel="0" collapsed="false">
      <c r="A979" s="2" t="s">
        <v>607</v>
      </c>
      <c r="B979" s="2" t="s">
        <v>94</v>
      </c>
      <c r="C979" s="4" t="n">
        <v>5</v>
      </c>
      <c r="D979" s="2" t="s">
        <v>443</v>
      </c>
      <c r="E979" s="2" t="s">
        <v>395</v>
      </c>
      <c r="F979" s="21" t="n">
        <v>45973.5702361111</v>
      </c>
      <c r="G979" s="21" t="n">
        <v>45974.4098194445</v>
      </c>
      <c r="H979" s="10" t="n">
        <v>5.15</v>
      </c>
      <c r="I979" s="15" t="n">
        <v>45979</v>
      </c>
      <c r="J979" s="2" t="s">
        <v>629</v>
      </c>
    </row>
    <row r="980" customFormat="false" ht="15" hidden="false" customHeight="false" outlineLevel="0" collapsed="false">
      <c r="A980" s="2" t="s">
        <v>607</v>
      </c>
      <c r="B980" s="2" t="s">
        <v>94</v>
      </c>
      <c r="C980" s="4" t="n">
        <v>6</v>
      </c>
      <c r="D980" s="2" t="s">
        <v>444</v>
      </c>
      <c r="E980" s="2" t="s">
        <v>399</v>
      </c>
      <c r="F980" s="21" t="n">
        <v>45974.4306338889</v>
      </c>
      <c r="G980" s="21" t="n">
        <v>45974.6452805556</v>
      </c>
      <c r="H980" s="10" t="n">
        <v>4.15152</v>
      </c>
      <c r="I980" s="15" t="n">
        <v>45979</v>
      </c>
      <c r="J980" s="2" t="s">
        <v>629</v>
      </c>
    </row>
    <row r="981" customFormat="false" ht="15" hidden="false" customHeight="false" outlineLevel="0" collapsed="false">
      <c r="A981" s="2" t="s">
        <v>607</v>
      </c>
      <c r="B981" s="2" t="s">
        <v>94</v>
      </c>
      <c r="C981" s="4" t="n">
        <v>7</v>
      </c>
      <c r="D981" s="2" t="s">
        <v>445</v>
      </c>
      <c r="E981" s="2" t="s">
        <v>402</v>
      </c>
      <c r="F981" s="21" t="n">
        <v>45974.6452805556</v>
      </c>
      <c r="G981" s="21" t="n">
        <v>45974.6859472222</v>
      </c>
      <c r="H981" s="10" t="n">
        <v>0.976</v>
      </c>
      <c r="I981" s="15" t="n">
        <v>45979</v>
      </c>
      <c r="J981" s="2" t="s">
        <v>629</v>
      </c>
    </row>
    <row r="982" customFormat="false" ht="15" hidden="false" customHeight="false" outlineLevel="0" collapsed="false">
      <c r="A982" s="2" t="s">
        <v>607</v>
      </c>
      <c r="B982" s="2" t="s">
        <v>94</v>
      </c>
      <c r="C982" s="4" t="n">
        <v>8</v>
      </c>
      <c r="D982" s="2" t="s">
        <v>447</v>
      </c>
      <c r="E982" s="2" t="s">
        <v>421</v>
      </c>
      <c r="F982" s="21" t="n">
        <v>45974.6859472222</v>
      </c>
      <c r="G982" s="21" t="n">
        <v>45975.3421972222</v>
      </c>
      <c r="H982" s="10" t="n">
        <v>0.75</v>
      </c>
      <c r="I982" s="15" t="n">
        <v>45979</v>
      </c>
      <c r="J982" s="2" t="s">
        <v>629</v>
      </c>
    </row>
    <row r="983" customFormat="false" ht="15" hidden="false" customHeight="false" outlineLevel="0" collapsed="false">
      <c r="A983" s="2" t="s">
        <v>607</v>
      </c>
      <c r="B983" s="2" t="s">
        <v>94</v>
      </c>
      <c r="C983" s="4" t="n">
        <v>9</v>
      </c>
      <c r="D983" s="2" t="s">
        <v>449</v>
      </c>
      <c r="E983" s="2" t="s">
        <v>423</v>
      </c>
      <c r="F983" s="21" t="n">
        <v>45975.3421972222</v>
      </c>
      <c r="G983" s="21" t="n">
        <v>45975.3587111111</v>
      </c>
      <c r="H983" s="10" t="n">
        <v>0.396333333333333</v>
      </c>
      <c r="I983" s="15" t="n">
        <v>45979</v>
      </c>
      <c r="J983" s="2" t="s">
        <v>629</v>
      </c>
    </row>
    <row r="984" customFormat="false" ht="15" hidden="false" customHeight="false" outlineLevel="0" collapsed="false">
      <c r="A984" s="2" t="s">
        <v>607</v>
      </c>
      <c r="B984" s="2" t="s">
        <v>94</v>
      </c>
      <c r="C984" s="4" t="n">
        <v>10</v>
      </c>
      <c r="D984" s="2" t="s">
        <v>450</v>
      </c>
      <c r="E984" s="2" t="s">
        <v>406</v>
      </c>
      <c r="F984" s="21" t="n">
        <v>45978.4027241667</v>
      </c>
      <c r="G984" s="21" t="n">
        <v>45979.3610575</v>
      </c>
      <c r="H984" s="10" t="n">
        <v>7</v>
      </c>
      <c r="I984" s="15" t="n">
        <v>45979</v>
      </c>
      <c r="J984" s="2" t="s">
        <v>629</v>
      </c>
    </row>
    <row r="985" customFormat="false" ht="15" hidden="false" customHeight="false" outlineLevel="0" collapsed="false">
      <c r="A985" s="2" t="s">
        <v>607</v>
      </c>
      <c r="B985" s="2" t="s">
        <v>94</v>
      </c>
      <c r="C985" s="4" t="n">
        <v>11</v>
      </c>
      <c r="D985" s="2" t="s">
        <v>451</v>
      </c>
      <c r="E985" s="2" t="s">
        <v>408</v>
      </c>
      <c r="F985" s="21" t="n">
        <v>45979.3610575</v>
      </c>
      <c r="G985" s="21" t="n">
        <v>45979.3782380556</v>
      </c>
      <c r="H985" s="10" t="n">
        <v>0.412333333333333</v>
      </c>
      <c r="I985" s="15" t="n">
        <v>45979</v>
      </c>
      <c r="J985" s="2" t="s">
        <v>629</v>
      </c>
    </row>
    <row r="986" customFormat="false" ht="15" hidden="false" customHeight="false" outlineLevel="0" collapsed="false">
      <c r="A986" s="2" t="s">
        <v>607</v>
      </c>
      <c r="B986" s="2" t="s">
        <v>94</v>
      </c>
      <c r="C986" s="4" t="n">
        <v>12</v>
      </c>
      <c r="D986" s="2" t="s">
        <v>452</v>
      </c>
      <c r="E986" s="2" t="s">
        <v>411</v>
      </c>
      <c r="F986" s="21" t="n">
        <v>45979.3782380556</v>
      </c>
      <c r="G986" s="21" t="n">
        <v>45979.4012102778</v>
      </c>
      <c r="H986" s="10" t="n">
        <v>0.551333333333333</v>
      </c>
      <c r="I986" s="15" t="n">
        <v>45979</v>
      </c>
      <c r="J986" s="2" t="s">
        <v>629</v>
      </c>
    </row>
    <row r="987" customFormat="false" ht="15" hidden="false" customHeight="false" outlineLevel="0" collapsed="false">
      <c r="A987" s="2" t="s">
        <v>609</v>
      </c>
      <c r="B987" s="2" t="s">
        <v>106</v>
      </c>
      <c r="C987" s="4" t="n">
        <v>1</v>
      </c>
      <c r="D987" s="2" t="s">
        <v>437</v>
      </c>
      <c r="E987" s="2" t="s">
        <v>375</v>
      </c>
      <c r="F987" s="21" t="n">
        <v>45965.699375</v>
      </c>
      <c r="G987" s="21" t="n">
        <v>45966.4696701389</v>
      </c>
      <c r="H987" s="10" t="n">
        <v>3.48708333333333</v>
      </c>
      <c r="I987" s="15" t="n">
        <v>45978</v>
      </c>
      <c r="J987" s="2" t="s">
        <v>629</v>
      </c>
    </row>
    <row r="988" customFormat="false" ht="15" hidden="false" customHeight="false" outlineLevel="0" collapsed="false">
      <c r="A988" s="2" t="s">
        <v>609</v>
      </c>
      <c r="B988" s="2" t="s">
        <v>106</v>
      </c>
      <c r="C988" s="4" t="n">
        <v>2</v>
      </c>
      <c r="D988" s="2" t="s">
        <v>386</v>
      </c>
      <c r="E988" s="2" t="s">
        <v>383</v>
      </c>
      <c r="F988" s="21" t="n">
        <v>45968.5685694445</v>
      </c>
      <c r="G988" s="21" t="n">
        <v>45968.6269027778</v>
      </c>
      <c r="H988" s="10" t="n">
        <v>1.4</v>
      </c>
      <c r="I988" s="15" t="n">
        <v>45978</v>
      </c>
      <c r="J988" s="2" t="s">
        <v>629</v>
      </c>
    </row>
    <row r="989" customFormat="false" ht="15" hidden="false" customHeight="false" outlineLevel="0" collapsed="false">
      <c r="A989" s="2" t="s">
        <v>609</v>
      </c>
      <c r="B989" s="2" t="s">
        <v>106</v>
      </c>
      <c r="C989" s="4" t="n">
        <v>3</v>
      </c>
      <c r="D989" s="2" t="s">
        <v>390</v>
      </c>
      <c r="E989" s="2" t="s">
        <v>387</v>
      </c>
      <c r="F989" s="21" t="n">
        <v>45973.4157916667</v>
      </c>
      <c r="G989" s="21" t="n">
        <v>45974.4519027778</v>
      </c>
      <c r="H989" s="10" t="n">
        <v>8.86666666666667</v>
      </c>
      <c r="I989" s="15" t="n">
        <v>45978</v>
      </c>
      <c r="J989" s="2" t="s">
        <v>629</v>
      </c>
    </row>
    <row r="990" customFormat="false" ht="15" hidden="false" customHeight="false" outlineLevel="0" collapsed="false">
      <c r="A990" s="2" t="s">
        <v>609</v>
      </c>
      <c r="B990" s="2" t="s">
        <v>106</v>
      </c>
      <c r="C990" s="4" t="n">
        <v>4</v>
      </c>
      <c r="D990" s="2" t="s">
        <v>443</v>
      </c>
      <c r="E990" s="2" t="s">
        <v>395</v>
      </c>
      <c r="F990" s="21" t="n">
        <v>45974.4519027778</v>
      </c>
      <c r="G990" s="21" t="n">
        <v>45974.5581527778</v>
      </c>
      <c r="H990" s="10" t="n">
        <v>1.55</v>
      </c>
      <c r="I990" s="15" t="n">
        <v>45978</v>
      </c>
      <c r="J990" s="2" t="s">
        <v>629</v>
      </c>
    </row>
    <row r="991" customFormat="false" ht="15" hidden="false" customHeight="false" outlineLevel="0" collapsed="false">
      <c r="A991" s="2" t="s">
        <v>609</v>
      </c>
      <c r="B991" s="2" t="s">
        <v>106</v>
      </c>
      <c r="C991" s="4" t="n">
        <v>5</v>
      </c>
      <c r="D991" s="2" t="s">
        <v>444</v>
      </c>
      <c r="E991" s="2" t="s">
        <v>399</v>
      </c>
      <c r="F991" s="21" t="n">
        <v>45974.6452805556</v>
      </c>
      <c r="G991" s="21" t="n">
        <v>45975.36585</v>
      </c>
      <c r="H991" s="10" t="n">
        <v>2.29366666666667</v>
      </c>
      <c r="I991" s="15" t="n">
        <v>45978</v>
      </c>
      <c r="J991" s="2" t="s">
        <v>629</v>
      </c>
    </row>
    <row r="992" customFormat="false" ht="15" hidden="false" customHeight="false" outlineLevel="0" collapsed="false">
      <c r="A992" s="2" t="s">
        <v>609</v>
      </c>
      <c r="B992" s="2" t="s">
        <v>106</v>
      </c>
      <c r="C992" s="4" t="n">
        <v>6</v>
      </c>
      <c r="D992" s="2" t="s">
        <v>445</v>
      </c>
      <c r="E992" s="2" t="s">
        <v>402</v>
      </c>
      <c r="F992" s="21" t="n">
        <v>45975.36585</v>
      </c>
      <c r="G992" s="21" t="n">
        <v>45975.3978986111</v>
      </c>
      <c r="H992" s="10" t="n">
        <v>0.769166666666667</v>
      </c>
      <c r="I992" s="15" t="n">
        <v>45978</v>
      </c>
      <c r="J992" s="2" t="s">
        <v>629</v>
      </c>
    </row>
    <row r="993" customFormat="false" ht="15" hidden="false" customHeight="false" outlineLevel="0" collapsed="false">
      <c r="A993" s="2" t="s">
        <v>609</v>
      </c>
      <c r="B993" s="2" t="s">
        <v>106</v>
      </c>
      <c r="C993" s="4" t="n">
        <v>7</v>
      </c>
      <c r="D993" s="2" t="s">
        <v>447</v>
      </c>
      <c r="E993" s="2" t="s">
        <v>421</v>
      </c>
      <c r="F993" s="21" t="n">
        <v>45975.3978986111</v>
      </c>
      <c r="G993" s="21" t="n">
        <v>45975.4291486111</v>
      </c>
      <c r="H993" s="10" t="n">
        <v>0.75</v>
      </c>
      <c r="I993" s="15" t="n">
        <v>45978</v>
      </c>
      <c r="J993" s="2" t="s">
        <v>629</v>
      </c>
    </row>
    <row r="994" customFormat="false" ht="15" hidden="false" customHeight="false" outlineLevel="0" collapsed="false">
      <c r="A994" s="2" t="s">
        <v>609</v>
      </c>
      <c r="B994" s="2" t="s">
        <v>106</v>
      </c>
      <c r="C994" s="4" t="n">
        <v>8</v>
      </c>
      <c r="D994" s="2" t="s">
        <v>449</v>
      </c>
      <c r="E994" s="2" t="s">
        <v>423</v>
      </c>
      <c r="F994" s="21" t="n">
        <v>45975.4291486111</v>
      </c>
      <c r="G994" s="21" t="n">
        <v>45975.4431069445</v>
      </c>
      <c r="H994" s="10" t="n">
        <v>0.335</v>
      </c>
      <c r="I994" s="15" t="n">
        <v>45978</v>
      </c>
      <c r="J994" s="2" t="s">
        <v>629</v>
      </c>
    </row>
    <row r="995" customFormat="false" ht="15" hidden="false" customHeight="false" outlineLevel="0" collapsed="false">
      <c r="A995" s="2" t="s">
        <v>609</v>
      </c>
      <c r="B995" s="2" t="s">
        <v>106</v>
      </c>
      <c r="C995" s="4" t="n">
        <v>9</v>
      </c>
      <c r="D995" s="2" t="s">
        <v>450</v>
      </c>
      <c r="E995" s="2" t="s">
        <v>406</v>
      </c>
      <c r="F995" s="21" t="n">
        <v>45979.3610575</v>
      </c>
      <c r="G995" s="21" t="n">
        <v>45979.5527241667</v>
      </c>
      <c r="H995" s="10" t="n">
        <v>3.6</v>
      </c>
      <c r="I995" s="15" t="n">
        <v>45978</v>
      </c>
      <c r="J995" s="2" t="s">
        <v>629</v>
      </c>
    </row>
    <row r="996" customFormat="false" ht="15" hidden="false" customHeight="false" outlineLevel="0" collapsed="false">
      <c r="A996" s="2" t="s">
        <v>609</v>
      </c>
      <c r="B996" s="2" t="s">
        <v>106</v>
      </c>
      <c r="C996" s="4" t="n">
        <v>10</v>
      </c>
      <c r="D996" s="2" t="s">
        <v>451</v>
      </c>
      <c r="E996" s="2" t="s">
        <v>408</v>
      </c>
      <c r="F996" s="21" t="n">
        <v>45979.5527241667</v>
      </c>
      <c r="G996" s="21" t="n">
        <v>45979.5663352778</v>
      </c>
      <c r="H996" s="10" t="n">
        <v>0.326666666666667</v>
      </c>
      <c r="I996" s="15" t="n">
        <v>45978</v>
      </c>
      <c r="J996" s="2" t="s">
        <v>629</v>
      </c>
    </row>
    <row r="997" customFormat="false" ht="15" hidden="false" customHeight="false" outlineLevel="0" collapsed="false">
      <c r="A997" s="2" t="s">
        <v>609</v>
      </c>
      <c r="B997" s="2" t="s">
        <v>106</v>
      </c>
      <c r="C997" s="4" t="n">
        <v>11</v>
      </c>
      <c r="D997" s="2" t="s">
        <v>452</v>
      </c>
      <c r="E997" s="2" t="s">
        <v>411</v>
      </c>
      <c r="F997" s="21" t="n">
        <v>45979.5663352778</v>
      </c>
      <c r="G997" s="21" t="n">
        <v>45979.5843213889</v>
      </c>
      <c r="H997" s="10" t="n">
        <v>0.431666666666667</v>
      </c>
      <c r="I997" s="15" t="n">
        <v>45978</v>
      </c>
      <c r="J997" s="2" t="s">
        <v>629</v>
      </c>
    </row>
    <row r="998" customFormat="false" ht="15" hidden="false" customHeight="false" outlineLevel="0" collapsed="false">
      <c r="A998" s="2" t="s">
        <v>611</v>
      </c>
      <c r="B998" s="2" t="s">
        <v>119</v>
      </c>
      <c r="C998" s="4" t="n">
        <v>1</v>
      </c>
      <c r="D998" s="2" t="s">
        <v>437</v>
      </c>
      <c r="E998" s="2" t="s">
        <v>375</v>
      </c>
      <c r="F998" s="21" t="n">
        <v>45966.4696701389</v>
      </c>
      <c r="G998" s="21" t="n">
        <v>45967.3888368056</v>
      </c>
      <c r="H998" s="10" t="n">
        <v>6.06</v>
      </c>
      <c r="I998" s="15" t="n">
        <v>45979</v>
      </c>
      <c r="J998" s="2" t="s">
        <v>629</v>
      </c>
    </row>
    <row r="999" customFormat="false" ht="15" hidden="false" customHeight="false" outlineLevel="0" collapsed="false">
      <c r="A999" s="2" t="s">
        <v>611</v>
      </c>
      <c r="B999" s="2" t="s">
        <v>119</v>
      </c>
      <c r="C999" s="4" t="n">
        <v>2</v>
      </c>
      <c r="D999" s="2" t="s">
        <v>386</v>
      </c>
      <c r="E999" s="2" t="s">
        <v>383</v>
      </c>
      <c r="F999" s="21" t="n">
        <v>45968.6269027778</v>
      </c>
      <c r="G999" s="21" t="n">
        <v>45968.674125</v>
      </c>
      <c r="H999" s="10" t="n">
        <v>1.13333333333333</v>
      </c>
      <c r="I999" s="15" t="n">
        <v>45979</v>
      </c>
      <c r="J999" s="2" t="s">
        <v>629</v>
      </c>
    </row>
    <row r="1000" customFormat="false" ht="15" hidden="false" customHeight="false" outlineLevel="0" collapsed="false">
      <c r="A1000" s="2" t="s">
        <v>611</v>
      </c>
      <c r="B1000" s="2" t="s">
        <v>119</v>
      </c>
      <c r="C1000" s="4" t="n">
        <v>3</v>
      </c>
      <c r="D1000" s="2" t="s">
        <v>390</v>
      </c>
      <c r="E1000" s="2" t="s">
        <v>387</v>
      </c>
      <c r="F1000" s="21" t="n">
        <v>45974.4519027778</v>
      </c>
      <c r="G1000" s="21" t="n">
        <v>45978.3907916667</v>
      </c>
      <c r="H1000" s="10" t="n">
        <v>14.5333333333333</v>
      </c>
      <c r="I1000" s="15" t="n">
        <v>45979</v>
      </c>
      <c r="J1000" s="2" t="s">
        <v>629</v>
      </c>
    </row>
    <row r="1001" customFormat="false" ht="15" hidden="false" customHeight="false" outlineLevel="0" collapsed="false">
      <c r="A1001" s="2" t="s">
        <v>611</v>
      </c>
      <c r="B1001" s="2" t="s">
        <v>119</v>
      </c>
      <c r="C1001" s="4" t="n">
        <v>4</v>
      </c>
      <c r="D1001" s="2" t="s">
        <v>443</v>
      </c>
      <c r="E1001" s="2" t="s">
        <v>395</v>
      </c>
      <c r="F1001" s="21" t="n">
        <v>45978.3907916667</v>
      </c>
      <c r="G1001" s="21" t="n">
        <v>45978.4970416667</v>
      </c>
      <c r="H1001" s="10" t="n">
        <v>2.55</v>
      </c>
      <c r="I1001" s="15" t="n">
        <v>45979</v>
      </c>
      <c r="J1001" s="2" t="s">
        <v>629</v>
      </c>
    </row>
    <row r="1002" customFormat="false" ht="15" hidden="false" customHeight="false" outlineLevel="0" collapsed="false">
      <c r="A1002" s="2" t="s">
        <v>611</v>
      </c>
      <c r="B1002" s="2" t="s">
        <v>119</v>
      </c>
      <c r="C1002" s="4" t="n">
        <v>5</v>
      </c>
      <c r="D1002" s="2" t="s">
        <v>444</v>
      </c>
      <c r="E1002" s="2" t="s">
        <v>399</v>
      </c>
      <c r="F1002" s="21" t="n">
        <v>45978.4970416667</v>
      </c>
      <c r="G1002" s="21" t="n">
        <v>45979.3464305556</v>
      </c>
      <c r="H1002" s="10" t="n">
        <v>4.38533333333333</v>
      </c>
      <c r="I1002" s="15" t="n">
        <v>45979</v>
      </c>
      <c r="J1002" s="2" t="s">
        <v>629</v>
      </c>
    </row>
    <row r="1003" customFormat="false" ht="15" hidden="false" customHeight="false" outlineLevel="0" collapsed="false">
      <c r="A1003" s="2" t="s">
        <v>611</v>
      </c>
      <c r="B1003" s="2" t="s">
        <v>119</v>
      </c>
      <c r="C1003" s="4" t="n">
        <v>6</v>
      </c>
      <c r="D1003" s="2" t="s">
        <v>445</v>
      </c>
      <c r="E1003" s="2" t="s">
        <v>402</v>
      </c>
      <c r="F1003" s="21" t="n">
        <v>45979.3464305556</v>
      </c>
      <c r="G1003" s="21" t="n">
        <v>45979.4004583333</v>
      </c>
      <c r="H1003" s="10" t="n">
        <v>1.29666666666667</v>
      </c>
      <c r="I1003" s="15" t="n">
        <v>45979</v>
      </c>
      <c r="J1003" s="2" t="s">
        <v>629</v>
      </c>
    </row>
    <row r="1004" customFormat="false" ht="15" hidden="false" customHeight="false" outlineLevel="0" collapsed="false">
      <c r="A1004" s="2" t="s">
        <v>611</v>
      </c>
      <c r="B1004" s="2" t="s">
        <v>119</v>
      </c>
      <c r="C1004" s="4" t="n">
        <v>7</v>
      </c>
      <c r="D1004" s="2" t="s">
        <v>447</v>
      </c>
      <c r="E1004" s="2" t="s">
        <v>421</v>
      </c>
      <c r="F1004" s="21" t="n">
        <v>45979.4004583333</v>
      </c>
      <c r="G1004" s="21" t="n">
        <v>45979.4317083333</v>
      </c>
      <c r="H1004" s="10" t="n">
        <v>0.75</v>
      </c>
      <c r="I1004" s="15" t="n">
        <v>45979</v>
      </c>
      <c r="J1004" s="2" t="s">
        <v>629</v>
      </c>
    </row>
    <row r="1005" customFormat="false" ht="15" hidden="false" customHeight="false" outlineLevel="0" collapsed="false">
      <c r="A1005" s="2" t="s">
        <v>611</v>
      </c>
      <c r="B1005" s="2" t="s">
        <v>119</v>
      </c>
      <c r="C1005" s="4" t="n">
        <v>8</v>
      </c>
      <c r="D1005" s="2" t="s">
        <v>449</v>
      </c>
      <c r="E1005" s="2" t="s">
        <v>423</v>
      </c>
      <c r="F1005" s="21" t="n">
        <v>45979.4317083333</v>
      </c>
      <c r="G1005" s="21" t="n">
        <v>45979.4536527778</v>
      </c>
      <c r="H1005" s="10" t="n">
        <v>0.526666666666667</v>
      </c>
      <c r="I1005" s="15" t="n">
        <v>45979</v>
      </c>
      <c r="J1005" s="2" t="s">
        <v>629</v>
      </c>
    </row>
    <row r="1006" customFormat="false" ht="15" hidden="false" customHeight="false" outlineLevel="0" collapsed="false">
      <c r="A1006" s="2" t="s">
        <v>611</v>
      </c>
      <c r="B1006" s="2" t="s">
        <v>119</v>
      </c>
      <c r="C1006" s="4" t="n">
        <v>9</v>
      </c>
      <c r="D1006" s="2" t="s">
        <v>450</v>
      </c>
      <c r="E1006" s="2" t="s">
        <v>406</v>
      </c>
      <c r="F1006" s="21" t="n">
        <v>45979.5527241667</v>
      </c>
      <c r="G1006" s="21" t="n">
        <v>45980.3693908333</v>
      </c>
      <c r="H1006" s="10" t="n">
        <v>4.6</v>
      </c>
      <c r="I1006" s="15" t="n">
        <v>45979</v>
      </c>
      <c r="J1006" s="2" t="s">
        <v>629</v>
      </c>
    </row>
    <row r="1007" customFormat="false" ht="15" hidden="false" customHeight="false" outlineLevel="0" collapsed="false">
      <c r="A1007" s="2" t="s">
        <v>611</v>
      </c>
      <c r="B1007" s="2" t="s">
        <v>119</v>
      </c>
      <c r="C1007" s="4" t="n">
        <v>10</v>
      </c>
      <c r="D1007" s="2" t="s">
        <v>451</v>
      </c>
      <c r="E1007" s="2" t="s">
        <v>408</v>
      </c>
      <c r="F1007" s="21" t="n">
        <v>45980.3693908333</v>
      </c>
      <c r="G1007" s="21" t="n">
        <v>45980.3947380556</v>
      </c>
      <c r="H1007" s="10" t="n">
        <v>0.608333333333333</v>
      </c>
      <c r="I1007" s="15" t="n">
        <v>45979</v>
      </c>
      <c r="J1007" s="2" t="s">
        <v>629</v>
      </c>
    </row>
    <row r="1008" customFormat="false" ht="15" hidden="false" customHeight="false" outlineLevel="0" collapsed="false">
      <c r="A1008" s="2" t="s">
        <v>611</v>
      </c>
      <c r="B1008" s="2" t="s">
        <v>119</v>
      </c>
      <c r="C1008" s="4" t="n">
        <v>11</v>
      </c>
      <c r="D1008" s="2" t="s">
        <v>452</v>
      </c>
      <c r="E1008" s="2" t="s">
        <v>411</v>
      </c>
      <c r="F1008" s="21" t="n">
        <v>45980.3947380556</v>
      </c>
      <c r="G1008" s="21" t="n">
        <v>45980.4285575</v>
      </c>
      <c r="H1008" s="10" t="n">
        <v>0.811666666666667</v>
      </c>
      <c r="I1008" s="15" t="n">
        <v>45979</v>
      </c>
      <c r="J1008" s="2" t="s">
        <v>629</v>
      </c>
    </row>
    <row r="1009" customFormat="false" ht="15" hidden="false" customHeight="false" outlineLevel="0" collapsed="false">
      <c r="A1009" s="2" t="s">
        <v>606</v>
      </c>
      <c r="B1009" s="2" t="s">
        <v>83</v>
      </c>
      <c r="C1009" s="4" t="n">
        <v>1</v>
      </c>
      <c r="D1009" s="2" t="s">
        <v>437</v>
      </c>
      <c r="E1009" s="2" t="s">
        <v>375</v>
      </c>
      <c r="F1009" s="21" t="n">
        <v>45978.3333333333</v>
      </c>
      <c r="G1009" s="21" t="n">
        <v>45978.6916944445</v>
      </c>
      <c r="H1009" s="10" t="n">
        <v>7.60066666666667</v>
      </c>
      <c r="I1009" s="15" t="n">
        <v>45995</v>
      </c>
      <c r="J1009" s="2" t="s">
        <v>629</v>
      </c>
    </row>
    <row r="1010" customFormat="false" ht="15" hidden="false" customHeight="false" outlineLevel="0" collapsed="false">
      <c r="A1010" s="2" t="s">
        <v>606</v>
      </c>
      <c r="B1010" s="2" t="s">
        <v>83</v>
      </c>
      <c r="C1010" s="4" t="n">
        <v>2</v>
      </c>
      <c r="D1010" s="2" t="s">
        <v>441</v>
      </c>
      <c r="E1010" s="2" t="s">
        <v>380</v>
      </c>
      <c r="F1010" s="21" t="n">
        <v>45978.6916944445</v>
      </c>
      <c r="G1010" s="21" t="n">
        <v>45980.4278055556</v>
      </c>
      <c r="H1010" s="10" t="n">
        <v>10.6666666666667</v>
      </c>
      <c r="I1010" s="15" t="n">
        <v>45995</v>
      </c>
      <c r="J1010" s="2" t="s">
        <v>629</v>
      </c>
    </row>
    <row r="1011" customFormat="false" ht="15" hidden="false" customHeight="false" outlineLevel="0" collapsed="false">
      <c r="A1011" s="2" t="s">
        <v>606</v>
      </c>
      <c r="B1011" s="2" t="s">
        <v>83</v>
      </c>
      <c r="C1011" s="4" t="n">
        <v>3</v>
      </c>
      <c r="D1011" s="2" t="s">
        <v>386</v>
      </c>
      <c r="E1011" s="2" t="s">
        <v>383</v>
      </c>
      <c r="F1011" s="21" t="n">
        <v>45980.4278055556</v>
      </c>
      <c r="G1011" s="21" t="n">
        <v>45982.4591944445</v>
      </c>
      <c r="H1011" s="10" t="n">
        <v>16.7533333333333</v>
      </c>
      <c r="I1011" s="15" t="n">
        <v>45995</v>
      </c>
      <c r="J1011" s="2" t="s">
        <v>629</v>
      </c>
    </row>
    <row r="1012" customFormat="false" ht="15" hidden="false" customHeight="false" outlineLevel="0" collapsed="false">
      <c r="A1012" s="2" t="s">
        <v>606</v>
      </c>
      <c r="B1012" s="2" t="s">
        <v>83</v>
      </c>
      <c r="C1012" s="4" t="n">
        <v>4</v>
      </c>
      <c r="D1012" s="2" t="s">
        <v>390</v>
      </c>
      <c r="E1012" s="2" t="s">
        <v>387</v>
      </c>
      <c r="F1012" s="21" t="n">
        <v>45982.4591944445</v>
      </c>
      <c r="G1012" s="21" t="n">
        <v>45986.3841944444</v>
      </c>
      <c r="H1012" s="10" t="n">
        <v>14.2</v>
      </c>
      <c r="I1012" s="15" t="n">
        <v>45995</v>
      </c>
      <c r="J1012" s="2" t="s">
        <v>629</v>
      </c>
    </row>
    <row r="1013" customFormat="false" ht="15" hidden="false" customHeight="false" outlineLevel="0" collapsed="false">
      <c r="A1013" s="2" t="s">
        <v>606</v>
      </c>
      <c r="B1013" s="2" t="s">
        <v>83</v>
      </c>
      <c r="C1013" s="4" t="n">
        <v>5</v>
      </c>
      <c r="D1013" s="2" t="s">
        <v>442</v>
      </c>
      <c r="E1013" s="2" t="s">
        <v>391</v>
      </c>
      <c r="F1013" s="21" t="n">
        <v>45986.3841944444</v>
      </c>
      <c r="G1013" s="21" t="n">
        <v>45988.38475</v>
      </c>
      <c r="H1013" s="10" t="n">
        <v>16.0133333333333</v>
      </c>
      <c r="I1013" s="15" t="n">
        <v>45995</v>
      </c>
      <c r="J1013" s="2" t="s">
        <v>629</v>
      </c>
    </row>
    <row r="1014" customFormat="false" ht="15" hidden="false" customHeight="false" outlineLevel="0" collapsed="false">
      <c r="A1014" s="2" t="s">
        <v>606</v>
      </c>
      <c r="B1014" s="2" t="s">
        <v>83</v>
      </c>
      <c r="C1014" s="4" t="n">
        <v>6</v>
      </c>
      <c r="D1014" s="2" t="s">
        <v>443</v>
      </c>
      <c r="E1014" s="2" t="s">
        <v>395</v>
      </c>
      <c r="F1014" s="21" t="n">
        <v>45988.38475</v>
      </c>
      <c r="G1014" s="21" t="n">
        <v>45989.4680833333</v>
      </c>
      <c r="H1014" s="10" t="n">
        <v>10</v>
      </c>
      <c r="I1014" s="15" t="n">
        <v>45995</v>
      </c>
      <c r="J1014" s="2" t="s">
        <v>629</v>
      </c>
    </row>
    <row r="1015" customFormat="false" ht="15" hidden="false" customHeight="false" outlineLevel="0" collapsed="false">
      <c r="A1015" s="2" t="s">
        <v>606</v>
      </c>
      <c r="B1015" s="2" t="s">
        <v>83</v>
      </c>
      <c r="C1015" s="4" t="n">
        <v>7</v>
      </c>
      <c r="D1015" s="2" t="s">
        <v>444</v>
      </c>
      <c r="E1015" s="2" t="s">
        <v>399</v>
      </c>
      <c r="F1015" s="21" t="n">
        <v>45989.4680833333</v>
      </c>
      <c r="G1015" s="21" t="n">
        <v>45992.4102833333</v>
      </c>
      <c r="H1015" s="10" t="n">
        <v>6.6128</v>
      </c>
      <c r="I1015" s="15" t="n">
        <v>45995</v>
      </c>
      <c r="J1015" s="2" t="s">
        <v>629</v>
      </c>
    </row>
    <row r="1016" customFormat="false" ht="15" hidden="false" customHeight="false" outlineLevel="0" collapsed="false">
      <c r="A1016" s="2" t="s">
        <v>606</v>
      </c>
      <c r="B1016" s="2" t="s">
        <v>83</v>
      </c>
      <c r="C1016" s="4" t="n">
        <v>8</v>
      </c>
      <c r="D1016" s="2" t="s">
        <v>445</v>
      </c>
      <c r="E1016" s="2" t="s">
        <v>402</v>
      </c>
      <c r="F1016" s="21" t="n">
        <v>45992.4102833333</v>
      </c>
      <c r="G1016" s="21" t="n">
        <v>45992.4937833333</v>
      </c>
      <c r="H1016" s="10" t="n">
        <v>2.004</v>
      </c>
      <c r="I1016" s="15" t="n">
        <v>45995</v>
      </c>
      <c r="J1016" s="2" t="s">
        <v>629</v>
      </c>
    </row>
    <row r="1017" customFormat="false" ht="15" hidden="false" customHeight="false" outlineLevel="0" collapsed="false">
      <c r="A1017" s="2" t="s">
        <v>606</v>
      </c>
      <c r="B1017" s="2" t="s">
        <v>83</v>
      </c>
      <c r="C1017" s="4" t="n">
        <v>9</v>
      </c>
      <c r="D1017" s="2" t="s">
        <v>447</v>
      </c>
      <c r="E1017" s="2" t="s">
        <v>421</v>
      </c>
      <c r="F1017" s="21" t="n">
        <v>45992.4937833333</v>
      </c>
      <c r="G1017" s="21" t="n">
        <v>45992.59795</v>
      </c>
      <c r="H1017" s="10" t="n">
        <v>1.5</v>
      </c>
      <c r="I1017" s="15" t="n">
        <v>45995</v>
      </c>
      <c r="J1017" s="2" t="s">
        <v>629</v>
      </c>
    </row>
    <row r="1018" customFormat="false" ht="15" hidden="false" customHeight="false" outlineLevel="0" collapsed="false">
      <c r="A1018" s="2" t="s">
        <v>606</v>
      </c>
      <c r="B1018" s="2" t="s">
        <v>83</v>
      </c>
      <c r="C1018" s="4" t="n">
        <v>10</v>
      </c>
      <c r="D1018" s="2" t="s">
        <v>449</v>
      </c>
      <c r="E1018" s="2" t="s">
        <v>423</v>
      </c>
      <c r="F1018" s="21" t="n">
        <v>45992.59795</v>
      </c>
      <c r="G1018" s="21" t="n">
        <v>45992.6314777778</v>
      </c>
      <c r="H1018" s="10" t="n">
        <v>0.804666666666667</v>
      </c>
      <c r="I1018" s="15" t="n">
        <v>45995</v>
      </c>
      <c r="J1018" s="2" t="s">
        <v>629</v>
      </c>
    </row>
    <row r="1019" customFormat="false" ht="15" hidden="false" customHeight="false" outlineLevel="0" collapsed="false">
      <c r="A1019" s="2" t="s">
        <v>606</v>
      </c>
      <c r="B1019" s="2" t="s">
        <v>83</v>
      </c>
      <c r="C1019" s="4" t="n">
        <v>11</v>
      </c>
      <c r="D1019" s="2" t="s">
        <v>450</v>
      </c>
      <c r="E1019" s="2" t="s">
        <v>406</v>
      </c>
      <c r="F1019" s="21" t="n">
        <v>45992.6314777778</v>
      </c>
      <c r="G1019" s="21" t="n">
        <v>45994.4502277778</v>
      </c>
      <c r="H1019" s="10" t="n">
        <v>12.65</v>
      </c>
      <c r="I1019" s="15" t="n">
        <v>45995</v>
      </c>
      <c r="J1019" s="2" t="s">
        <v>629</v>
      </c>
    </row>
    <row r="1020" customFormat="false" ht="15" hidden="false" customHeight="false" outlineLevel="0" collapsed="false">
      <c r="A1020" s="2" t="s">
        <v>606</v>
      </c>
      <c r="B1020" s="2" t="s">
        <v>83</v>
      </c>
      <c r="C1020" s="4" t="n">
        <v>12</v>
      </c>
      <c r="D1020" s="2" t="s">
        <v>451</v>
      </c>
      <c r="E1020" s="2" t="s">
        <v>408</v>
      </c>
      <c r="F1020" s="21" t="n">
        <v>45994.4502277778</v>
      </c>
      <c r="G1020" s="21" t="n">
        <v>45994.4851722222</v>
      </c>
      <c r="H1020" s="10" t="n">
        <v>0.838666666666667</v>
      </c>
      <c r="I1020" s="15" t="n">
        <v>45995</v>
      </c>
      <c r="J1020" s="2" t="s">
        <v>629</v>
      </c>
    </row>
    <row r="1021" customFormat="false" ht="15" hidden="false" customHeight="false" outlineLevel="0" collapsed="false">
      <c r="A1021" s="2" t="s">
        <v>606</v>
      </c>
      <c r="B1021" s="2" t="s">
        <v>83</v>
      </c>
      <c r="C1021" s="4" t="n">
        <v>13</v>
      </c>
      <c r="D1021" s="2" t="s">
        <v>452</v>
      </c>
      <c r="E1021" s="2" t="s">
        <v>411</v>
      </c>
      <c r="F1021" s="21" t="n">
        <v>45994.4851722222</v>
      </c>
      <c r="G1021" s="21" t="n">
        <v>45994.5737833333</v>
      </c>
      <c r="H1021" s="10" t="n">
        <v>1.12666666666667</v>
      </c>
      <c r="I1021" s="15" t="n">
        <v>45995</v>
      </c>
      <c r="J1021" s="2" t="s">
        <v>629</v>
      </c>
    </row>
    <row r="1022" customFormat="false" ht="15" hidden="false" customHeight="false" outlineLevel="0" collapsed="false">
      <c r="A1022" s="2" t="s">
        <v>608</v>
      </c>
      <c r="B1022" s="2" t="s">
        <v>96</v>
      </c>
      <c r="C1022" s="4" t="n">
        <v>1</v>
      </c>
      <c r="D1022" s="2" t="s">
        <v>437</v>
      </c>
      <c r="E1022" s="2" t="s">
        <v>375</v>
      </c>
      <c r="F1022" s="21" t="n">
        <v>45978.6916944445</v>
      </c>
      <c r="G1022" s="21" t="n">
        <v>45979.6408784722</v>
      </c>
      <c r="H1022" s="10" t="n">
        <v>6.78041666666667</v>
      </c>
      <c r="I1022" s="15" t="n">
        <v>45993</v>
      </c>
      <c r="J1022" s="2" t="s">
        <v>629</v>
      </c>
    </row>
    <row r="1023" customFormat="false" ht="15" hidden="false" customHeight="false" outlineLevel="0" collapsed="false">
      <c r="A1023" s="2" t="s">
        <v>608</v>
      </c>
      <c r="B1023" s="2" t="s">
        <v>96</v>
      </c>
      <c r="C1023" s="4" t="n">
        <v>2</v>
      </c>
      <c r="D1023" s="2" t="s">
        <v>441</v>
      </c>
      <c r="E1023" s="2" t="s">
        <v>380</v>
      </c>
      <c r="F1023" s="21" t="n">
        <v>45980.4278055556</v>
      </c>
      <c r="G1023" s="21" t="n">
        <v>45980.4638888889</v>
      </c>
      <c r="H1023" s="10" t="n">
        <v>0.866</v>
      </c>
      <c r="I1023" s="15" t="n">
        <v>45993</v>
      </c>
      <c r="J1023" s="2" t="s">
        <v>629</v>
      </c>
    </row>
    <row r="1024" customFormat="false" ht="15" hidden="false" customHeight="false" outlineLevel="0" collapsed="false">
      <c r="A1024" s="2" t="s">
        <v>608</v>
      </c>
      <c r="B1024" s="2" t="s">
        <v>96</v>
      </c>
      <c r="C1024" s="4" t="n">
        <v>3</v>
      </c>
      <c r="D1024" s="2" t="s">
        <v>386</v>
      </c>
      <c r="E1024" s="2" t="s">
        <v>383</v>
      </c>
      <c r="F1024" s="21" t="n">
        <v>45982.4591944445</v>
      </c>
      <c r="G1024" s="21" t="n">
        <v>45985.4585</v>
      </c>
      <c r="H1024" s="10" t="n">
        <v>7.98333333333333</v>
      </c>
      <c r="I1024" s="15" t="n">
        <v>45993</v>
      </c>
      <c r="J1024" s="2" t="s">
        <v>629</v>
      </c>
    </row>
    <row r="1025" customFormat="false" ht="15" hidden="false" customHeight="false" outlineLevel="0" collapsed="false">
      <c r="A1025" s="2" t="s">
        <v>608</v>
      </c>
      <c r="B1025" s="2" t="s">
        <v>96</v>
      </c>
      <c r="C1025" s="4" t="n">
        <v>4</v>
      </c>
      <c r="D1025" s="2" t="s">
        <v>390</v>
      </c>
      <c r="E1025" s="2" t="s">
        <v>387</v>
      </c>
      <c r="F1025" s="21" t="n">
        <v>45986.3841944444</v>
      </c>
      <c r="G1025" s="21" t="n">
        <v>45987.7036388889</v>
      </c>
      <c r="H1025" s="10" t="n">
        <v>14.6666666666667</v>
      </c>
      <c r="I1025" s="15" t="n">
        <v>45993</v>
      </c>
      <c r="J1025" s="2" t="s">
        <v>629</v>
      </c>
    </row>
    <row r="1026" customFormat="false" ht="15" hidden="false" customHeight="false" outlineLevel="0" collapsed="false">
      <c r="A1026" s="2" t="s">
        <v>608</v>
      </c>
      <c r="B1026" s="2" t="s">
        <v>96</v>
      </c>
      <c r="C1026" s="4" t="n">
        <v>5</v>
      </c>
      <c r="D1026" s="2" t="s">
        <v>442</v>
      </c>
      <c r="E1026" s="2" t="s">
        <v>391</v>
      </c>
      <c r="F1026" s="21" t="n">
        <v>45988.38475</v>
      </c>
      <c r="G1026" s="21" t="n">
        <v>45988.4189166667</v>
      </c>
      <c r="H1026" s="10" t="n">
        <v>0.82</v>
      </c>
      <c r="I1026" s="15" t="n">
        <v>45993</v>
      </c>
      <c r="J1026" s="2" t="s">
        <v>629</v>
      </c>
    </row>
    <row r="1027" customFormat="false" ht="15" hidden="false" customHeight="false" outlineLevel="0" collapsed="false">
      <c r="A1027" s="2" t="s">
        <v>608</v>
      </c>
      <c r="B1027" s="2" t="s">
        <v>96</v>
      </c>
      <c r="C1027" s="4" t="n">
        <v>6</v>
      </c>
      <c r="D1027" s="2" t="s">
        <v>443</v>
      </c>
      <c r="E1027" s="2" t="s">
        <v>395</v>
      </c>
      <c r="F1027" s="21" t="n">
        <v>45989.4680833333</v>
      </c>
      <c r="G1027" s="21" t="n">
        <v>45989.67225</v>
      </c>
      <c r="H1027" s="10" t="n">
        <v>3.9</v>
      </c>
      <c r="I1027" s="15" t="n">
        <v>45993</v>
      </c>
      <c r="J1027" s="2" t="s">
        <v>629</v>
      </c>
    </row>
    <row r="1028" customFormat="false" ht="15" hidden="false" customHeight="false" outlineLevel="0" collapsed="false">
      <c r="A1028" s="2" t="s">
        <v>608</v>
      </c>
      <c r="B1028" s="2" t="s">
        <v>96</v>
      </c>
      <c r="C1028" s="4" t="n">
        <v>7</v>
      </c>
      <c r="D1028" s="2" t="s">
        <v>444</v>
      </c>
      <c r="E1028" s="2" t="s">
        <v>399</v>
      </c>
      <c r="F1028" s="21" t="n">
        <v>45992.4102833333</v>
      </c>
      <c r="G1028" s="21" t="n">
        <v>45992.5877127778</v>
      </c>
      <c r="H1028" s="10" t="n">
        <v>3.25830666666667</v>
      </c>
      <c r="I1028" s="15" t="n">
        <v>45993</v>
      </c>
      <c r="J1028" s="2" t="s">
        <v>629</v>
      </c>
    </row>
    <row r="1029" customFormat="false" ht="15" hidden="false" customHeight="false" outlineLevel="0" collapsed="false">
      <c r="A1029" s="2" t="s">
        <v>608</v>
      </c>
      <c r="B1029" s="2" t="s">
        <v>96</v>
      </c>
      <c r="C1029" s="4" t="n">
        <v>8</v>
      </c>
      <c r="D1029" s="2" t="s">
        <v>445</v>
      </c>
      <c r="E1029" s="2" t="s">
        <v>402</v>
      </c>
      <c r="F1029" s="21" t="n">
        <v>45992.5877127778</v>
      </c>
      <c r="G1029" s="21" t="n">
        <v>45992.6317266667</v>
      </c>
      <c r="H1029" s="10" t="n">
        <v>1.05633333333333</v>
      </c>
      <c r="I1029" s="15" t="n">
        <v>45993</v>
      </c>
      <c r="J1029" s="2" t="s">
        <v>629</v>
      </c>
    </row>
    <row r="1030" customFormat="false" ht="15" hidden="false" customHeight="false" outlineLevel="0" collapsed="false">
      <c r="A1030" s="2" t="s">
        <v>608</v>
      </c>
      <c r="B1030" s="2" t="s">
        <v>96</v>
      </c>
      <c r="C1030" s="4" t="n">
        <v>9</v>
      </c>
      <c r="D1030" s="2" t="s">
        <v>447</v>
      </c>
      <c r="E1030" s="2" t="s">
        <v>421</v>
      </c>
      <c r="F1030" s="21" t="n">
        <v>45992.6317266667</v>
      </c>
      <c r="G1030" s="21" t="n">
        <v>45992.6629766667</v>
      </c>
      <c r="H1030" s="10" t="n">
        <v>0.75</v>
      </c>
      <c r="I1030" s="15" t="n">
        <v>45993</v>
      </c>
      <c r="J1030" s="2" t="s">
        <v>629</v>
      </c>
    </row>
    <row r="1031" customFormat="false" ht="15" hidden="false" customHeight="false" outlineLevel="0" collapsed="false">
      <c r="A1031" s="2" t="s">
        <v>608</v>
      </c>
      <c r="B1031" s="2" t="s">
        <v>96</v>
      </c>
      <c r="C1031" s="4" t="n">
        <v>10</v>
      </c>
      <c r="D1031" s="2" t="s">
        <v>449</v>
      </c>
      <c r="E1031" s="2" t="s">
        <v>423</v>
      </c>
      <c r="F1031" s="21" t="n">
        <v>45992.6629766667</v>
      </c>
      <c r="G1031" s="21" t="n">
        <v>45992.6808794444</v>
      </c>
      <c r="H1031" s="10" t="n">
        <v>0.429666666666667</v>
      </c>
      <c r="I1031" s="15" t="n">
        <v>45993</v>
      </c>
      <c r="J1031" s="2" t="s">
        <v>629</v>
      </c>
    </row>
    <row r="1032" customFormat="false" ht="15" hidden="false" customHeight="false" outlineLevel="0" collapsed="false">
      <c r="A1032" s="2" t="s">
        <v>608</v>
      </c>
      <c r="B1032" s="2" t="s">
        <v>96</v>
      </c>
      <c r="C1032" s="4" t="n">
        <v>11</v>
      </c>
      <c r="D1032" s="2" t="s">
        <v>450</v>
      </c>
      <c r="E1032" s="2" t="s">
        <v>406</v>
      </c>
      <c r="F1032" s="21" t="n">
        <v>45994.4502277778</v>
      </c>
      <c r="G1032" s="21" t="n">
        <v>45995.3580402778</v>
      </c>
      <c r="H1032" s="10" t="n">
        <v>5.7875</v>
      </c>
      <c r="I1032" s="15" t="n">
        <v>45993</v>
      </c>
      <c r="J1032" s="2" t="s">
        <v>629</v>
      </c>
    </row>
    <row r="1033" customFormat="false" ht="15" hidden="false" customHeight="false" outlineLevel="0" collapsed="false">
      <c r="A1033" s="2" t="s">
        <v>608</v>
      </c>
      <c r="B1033" s="2" t="s">
        <v>96</v>
      </c>
      <c r="C1033" s="4" t="n">
        <v>12</v>
      </c>
      <c r="D1033" s="2" t="s">
        <v>451</v>
      </c>
      <c r="E1033" s="2" t="s">
        <v>408</v>
      </c>
      <c r="F1033" s="21" t="n">
        <v>45995.3580402778</v>
      </c>
      <c r="G1033" s="21" t="n">
        <v>45995.3772694444</v>
      </c>
      <c r="H1033" s="10" t="n">
        <v>0.4615</v>
      </c>
      <c r="I1033" s="15" t="n">
        <v>45993</v>
      </c>
      <c r="J1033" s="2" t="s">
        <v>629</v>
      </c>
    </row>
    <row r="1034" customFormat="false" ht="15" hidden="false" customHeight="false" outlineLevel="0" collapsed="false">
      <c r="A1034" s="2" t="s">
        <v>608</v>
      </c>
      <c r="B1034" s="2" t="s">
        <v>96</v>
      </c>
      <c r="C1034" s="4" t="n">
        <v>13</v>
      </c>
      <c r="D1034" s="2" t="s">
        <v>452</v>
      </c>
      <c r="E1034" s="2" t="s">
        <v>411</v>
      </c>
      <c r="F1034" s="21" t="n">
        <v>45995.3772694444</v>
      </c>
      <c r="G1034" s="21" t="n">
        <v>45995.4029638889</v>
      </c>
      <c r="H1034" s="10" t="n">
        <v>0.616666666666667</v>
      </c>
      <c r="I1034" s="15" t="n">
        <v>45993</v>
      </c>
      <c r="J1034" s="2" t="s">
        <v>629</v>
      </c>
    </row>
    <row r="1035" customFormat="false" ht="15" hidden="false" customHeight="false" outlineLevel="0" collapsed="false">
      <c r="A1035" s="2" t="s">
        <v>610</v>
      </c>
      <c r="B1035" s="2" t="s">
        <v>108</v>
      </c>
      <c r="C1035" s="4" t="n">
        <v>1</v>
      </c>
      <c r="D1035" s="2" t="s">
        <v>437</v>
      </c>
      <c r="E1035" s="2" t="s">
        <v>375</v>
      </c>
      <c r="F1035" s="21" t="n">
        <v>45979.6408784722</v>
      </c>
      <c r="G1035" s="21" t="n">
        <v>45980.5511840278</v>
      </c>
      <c r="H1035" s="10" t="n">
        <v>5.84733333333333</v>
      </c>
      <c r="I1035" s="15" t="n">
        <v>45992</v>
      </c>
      <c r="J1035" s="2" t="s">
        <v>629</v>
      </c>
    </row>
    <row r="1036" customFormat="false" ht="15" hidden="false" customHeight="false" outlineLevel="0" collapsed="false">
      <c r="A1036" s="2" t="s">
        <v>610</v>
      </c>
      <c r="B1036" s="2" t="s">
        <v>108</v>
      </c>
      <c r="C1036" s="4" t="n">
        <v>2</v>
      </c>
      <c r="D1036" s="2" t="s">
        <v>386</v>
      </c>
      <c r="E1036" s="2" t="s">
        <v>383</v>
      </c>
      <c r="F1036" s="21" t="n">
        <v>45985.4585</v>
      </c>
      <c r="G1036" s="21" t="n">
        <v>45985.6196111111</v>
      </c>
      <c r="H1036" s="10" t="n">
        <v>2.86666666666667</v>
      </c>
      <c r="I1036" s="15" t="n">
        <v>45992</v>
      </c>
      <c r="J1036" s="2" t="s">
        <v>629</v>
      </c>
    </row>
    <row r="1037" customFormat="false" ht="15" hidden="false" customHeight="false" outlineLevel="0" collapsed="false">
      <c r="A1037" s="2" t="s">
        <v>610</v>
      </c>
      <c r="B1037" s="2" t="s">
        <v>108</v>
      </c>
      <c r="C1037" s="4" t="n">
        <v>3</v>
      </c>
      <c r="D1037" s="2" t="s">
        <v>390</v>
      </c>
      <c r="E1037" s="2" t="s">
        <v>387</v>
      </c>
      <c r="F1037" s="21" t="n">
        <v>45987.7036388889</v>
      </c>
      <c r="G1037" s="21" t="n">
        <v>45989.6661388889</v>
      </c>
      <c r="H1037" s="10" t="n">
        <v>15.1</v>
      </c>
      <c r="I1037" s="15" t="n">
        <v>45992</v>
      </c>
      <c r="J1037" s="2" t="s">
        <v>629</v>
      </c>
    </row>
    <row r="1038" customFormat="false" ht="15" hidden="false" customHeight="false" outlineLevel="0" collapsed="false">
      <c r="A1038" s="2" t="s">
        <v>610</v>
      </c>
      <c r="B1038" s="2" t="s">
        <v>108</v>
      </c>
      <c r="C1038" s="4" t="n">
        <v>4</v>
      </c>
      <c r="D1038" s="2" t="s">
        <v>443</v>
      </c>
      <c r="E1038" s="2" t="s">
        <v>395</v>
      </c>
      <c r="F1038" s="21" t="n">
        <v>45989.67225</v>
      </c>
      <c r="G1038" s="21" t="n">
        <v>45992.4055833333</v>
      </c>
      <c r="H1038" s="10" t="n">
        <v>2.6</v>
      </c>
      <c r="I1038" s="15" t="n">
        <v>45992</v>
      </c>
      <c r="J1038" s="2" t="s">
        <v>629</v>
      </c>
    </row>
    <row r="1039" customFormat="false" ht="15" hidden="false" customHeight="false" outlineLevel="0" collapsed="false">
      <c r="A1039" s="2" t="s">
        <v>610</v>
      </c>
      <c r="B1039" s="2" t="s">
        <v>108</v>
      </c>
      <c r="C1039" s="4" t="n">
        <v>5</v>
      </c>
      <c r="D1039" s="2" t="s">
        <v>444</v>
      </c>
      <c r="E1039" s="2" t="s">
        <v>399</v>
      </c>
      <c r="F1039" s="21" t="n">
        <v>45992.5877127778</v>
      </c>
      <c r="G1039" s="21" t="n">
        <v>45993.3732461111</v>
      </c>
      <c r="H1039" s="10" t="n">
        <v>3.8528</v>
      </c>
      <c r="I1039" s="15" t="n">
        <v>45992</v>
      </c>
      <c r="J1039" s="2" t="s">
        <v>629</v>
      </c>
    </row>
    <row r="1040" customFormat="false" ht="15" hidden="false" customHeight="false" outlineLevel="0" collapsed="false">
      <c r="A1040" s="2" t="s">
        <v>610</v>
      </c>
      <c r="B1040" s="2" t="s">
        <v>108</v>
      </c>
      <c r="C1040" s="4" t="n">
        <v>6</v>
      </c>
      <c r="D1040" s="2" t="s">
        <v>445</v>
      </c>
      <c r="E1040" s="2" t="s">
        <v>402</v>
      </c>
      <c r="F1040" s="21" t="n">
        <v>45993.3732461111</v>
      </c>
      <c r="G1040" s="21" t="n">
        <v>45993.4100377778</v>
      </c>
      <c r="H1040" s="10" t="n">
        <v>0.883</v>
      </c>
      <c r="I1040" s="15" t="n">
        <v>45992</v>
      </c>
      <c r="J1040" s="2" t="s">
        <v>629</v>
      </c>
    </row>
    <row r="1041" customFormat="false" ht="15" hidden="false" customHeight="false" outlineLevel="0" collapsed="false">
      <c r="A1041" s="2" t="s">
        <v>610</v>
      </c>
      <c r="B1041" s="2" t="s">
        <v>108</v>
      </c>
      <c r="C1041" s="4" t="n">
        <v>7</v>
      </c>
      <c r="D1041" s="2" t="s">
        <v>447</v>
      </c>
      <c r="E1041" s="2" t="s">
        <v>421</v>
      </c>
      <c r="F1041" s="21" t="n">
        <v>45993.4100377778</v>
      </c>
      <c r="G1041" s="21" t="n">
        <v>45993.4412877778</v>
      </c>
      <c r="H1041" s="10" t="n">
        <v>0.75</v>
      </c>
      <c r="I1041" s="15" t="n">
        <v>45992</v>
      </c>
      <c r="J1041" s="2" t="s">
        <v>629</v>
      </c>
    </row>
    <row r="1042" customFormat="false" ht="15" hidden="false" customHeight="false" outlineLevel="0" collapsed="false">
      <c r="A1042" s="2" t="s">
        <v>610</v>
      </c>
      <c r="B1042" s="2" t="s">
        <v>108</v>
      </c>
      <c r="C1042" s="4" t="n">
        <v>8</v>
      </c>
      <c r="D1042" s="2" t="s">
        <v>449</v>
      </c>
      <c r="E1042" s="2" t="s">
        <v>423</v>
      </c>
      <c r="F1042" s="21" t="n">
        <v>45993.4412877778</v>
      </c>
      <c r="G1042" s="21" t="n">
        <v>45993.4569266667</v>
      </c>
      <c r="H1042" s="10" t="n">
        <v>0.375333333333333</v>
      </c>
      <c r="I1042" s="15" t="n">
        <v>45992</v>
      </c>
      <c r="J1042" s="2" t="s">
        <v>629</v>
      </c>
    </row>
    <row r="1043" customFormat="false" ht="15" hidden="false" customHeight="false" outlineLevel="0" collapsed="false">
      <c r="A1043" s="2" t="s">
        <v>610</v>
      </c>
      <c r="B1043" s="2" t="s">
        <v>108</v>
      </c>
      <c r="C1043" s="4" t="n">
        <v>9</v>
      </c>
      <c r="D1043" s="2" t="s">
        <v>450</v>
      </c>
      <c r="E1043" s="2" t="s">
        <v>406</v>
      </c>
      <c r="F1043" s="21" t="n">
        <v>45995.3580402778</v>
      </c>
      <c r="G1043" s="21" t="n">
        <v>45995.6382486111</v>
      </c>
      <c r="H1043" s="10" t="n">
        <v>5.725</v>
      </c>
      <c r="I1043" s="15" t="n">
        <v>45992</v>
      </c>
      <c r="J1043" s="2" t="s">
        <v>629</v>
      </c>
    </row>
    <row r="1044" customFormat="false" ht="15" hidden="false" customHeight="false" outlineLevel="0" collapsed="false">
      <c r="A1044" s="2" t="s">
        <v>610</v>
      </c>
      <c r="B1044" s="2" t="s">
        <v>108</v>
      </c>
      <c r="C1044" s="4" t="n">
        <v>10</v>
      </c>
      <c r="D1044" s="2" t="s">
        <v>451</v>
      </c>
      <c r="E1044" s="2" t="s">
        <v>408</v>
      </c>
      <c r="F1044" s="21" t="n">
        <v>45995.6382486111</v>
      </c>
      <c r="G1044" s="21" t="n">
        <v>45995.6543041667</v>
      </c>
      <c r="H1044" s="10" t="n">
        <v>0.385333333333333</v>
      </c>
      <c r="I1044" s="15" t="n">
        <v>45992</v>
      </c>
      <c r="J1044" s="2" t="s">
        <v>629</v>
      </c>
    </row>
    <row r="1045" customFormat="false" ht="15" hidden="false" customHeight="false" outlineLevel="0" collapsed="false">
      <c r="A1045" s="2" t="s">
        <v>610</v>
      </c>
      <c r="B1045" s="2" t="s">
        <v>108</v>
      </c>
      <c r="C1045" s="4" t="n">
        <v>11</v>
      </c>
      <c r="D1045" s="2" t="s">
        <v>452</v>
      </c>
      <c r="E1045" s="2" t="s">
        <v>411</v>
      </c>
      <c r="F1045" s="21" t="n">
        <v>45995.6543041667</v>
      </c>
      <c r="G1045" s="21" t="n">
        <v>45995.6756097222</v>
      </c>
      <c r="H1045" s="10" t="n">
        <v>0.511333333333333</v>
      </c>
      <c r="I1045" s="15" t="n">
        <v>45992</v>
      </c>
      <c r="J1045" s="2" t="s">
        <v>629</v>
      </c>
    </row>
    <row r="1046" customFormat="false" ht="15" hidden="false" customHeight="false" outlineLevel="0" collapsed="false">
      <c r="A1046" s="2" t="s">
        <v>612</v>
      </c>
      <c r="B1046" s="2" t="s">
        <v>121</v>
      </c>
      <c r="C1046" s="4" t="n">
        <v>1</v>
      </c>
      <c r="D1046" s="2" t="s">
        <v>437</v>
      </c>
      <c r="E1046" s="2" t="s">
        <v>375</v>
      </c>
      <c r="F1046" s="21" t="n">
        <v>45980.5511840278</v>
      </c>
      <c r="G1046" s="21" t="n">
        <v>45981.4311840278</v>
      </c>
      <c r="H1046" s="10" t="n">
        <v>6.12</v>
      </c>
      <c r="I1046" s="15" t="n">
        <v>45993</v>
      </c>
      <c r="J1046" s="2" t="s">
        <v>629</v>
      </c>
    </row>
    <row r="1047" customFormat="false" ht="15" hidden="false" customHeight="false" outlineLevel="0" collapsed="false">
      <c r="A1047" s="2" t="s">
        <v>612</v>
      </c>
      <c r="B1047" s="2" t="s">
        <v>121</v>
      </c>
      <c r="C1047" s="4" t="n">
        <v>2</v>
      </c>
      <c r="D1047" s="2" t="s">
        <v>441</v>
      </c>
      <c r="E1047" s="2" t="s">
        <v>380</v>
      </c>
      <c r="F1047" s="21" t="n">
        <v>45981.4311840278</v>
      </c>
      <c r="G1047" s="21" t="n">
        <v>45981.7025729167</v>
      </c>
      <c r="H1047" s="10" t="n">
        <v>5.51333333333333</v>
      </c>
      <c r="I1047" s="15" t="n">
        <v>45993</v>
      </c>
      <c r="J1047" s="2" t="s">
        <v>629</v>
      </c>
    </row>
    <row r="1048" customFormat="false" ht="15" hidden="false" customHeight="false" outlineLevel="0" collapsed="false">
      <c r="A1048" s="2" t="s">
        <v>612</v>
      </c>
      <c r="B1048" s="2" t="s">
        <v>121</v>
      </c>
      <c r="C1048" s="4" t="n">
        <v>3</v>
      </c>
      <c r="D1048" s="2" t="s">
        <v>386</v>
      </c>
      <c r="E1048" s="2" t="s">
        <v>383</v>
      </c>
      <c r="F1048" s="21" t="n">
        <v>45985.6196111111</v>
      </c>
      <c r="G1048" s="21" t="n">
        <v>45986.6737777778</v>
      </c>
      <c r="H1048" s="10" t="n">
        <v>9.3</v>
      </c>
      <c r="I1048" s="15" t="n">
        <v>45993</v>
      </c>
      <c r="J1048" s="2" t="s">
        <v>629</v>
      </c>
    </row>
    <row r="1049" customFormat="false" ht="15" hidden="false" customHeight="false" outlineLevel="0" collapsed="false">
      <c r="A1049" s="2" t="s">
        <v>612</v>
      </c>
      <c r="B1049" s="2" t="s">
        <v>121</v>
      </c>
      <c r="C1049" s="4" t="n">
        <v>4</v>
      </c>
      <c r="D1049" s="2" t="s">
        <v>390</v>
      </c>
      <c r="E1049" s="2" t="s">
        <v>387</v>
      </c>
      <c r="F1049" s="21" t="n">
        <v>45989.6661388889</v>
      </c>
      <c r="G1049" s="21" t="n">
        <v>45993.5980833333</v>
      </c>
      <c r="H1049" s="10" t="n">
        <v>14.3666666666667</v>
      </c>
      <c r="I1049" s="15" t="n">
        <v>45993</v>
      </c>
      <c r="J1049" s="2" t="s">
        <v>629</v>
      </c>
    </row>
    <row r="1050" customFormat="false" ht="15" hidden="false" customHeight="false" outlineLevel="0" collapsed="false">
      <c r="A1050" s="2" t="s">
        <v>612</v>
      </c>
      <c r="B1050" s="2" t="s">
        <v>121</v>
      </c>
      <c r="C1050" s="4" t="n">
        <v>5</v>
      </c>
      <c r="D1050" s="2" t="s">
        <v>443</v>
      </c>
      <c r="E1050" s="2" t="s">
        <v>395</v>
      </c>
      <c r="F1050" s="21" t="n">
        <v>45993.5980833333</v>
      </c>
      <c r="G1050" s="21" t="n">
        <v>45994.4855833333</v>
      </c>
      <c r="H1050" s="10" t="n">
        <v>6.3</v>
      </c>
      <c r="I1050" s="15" t="n">
        <v>45993</v>
      </c>
      <c r="J1050" s="2" t="s">
        <v>629</v>
      </c>
    </row>
    <row r="1051" customFormat="false" ht="15" hidden="false" customHeight="false" outlineLevel="0" collapsed="false">
      <c r="A1051" s="2" t="s">
        <v>612</v>
      </c>
      <c r="B1051" s="2" t="s">
        <v>121</v>
      </c>
      <c r="C1051" s="4" t="n">
        <v>6</v>
      </c>
      <c r="D1051" s="2" t="s">
        <v>444</v>
      </c>
      <c r="E1051" s="2" t="s">
        <v>399</v>
      </c>
      <c r="F1051" s="21" t="n">
        <v>45994.4855833333</v>
      </c>
      <c r="G1051" s="21" t="n">
        <v>45994.7013833333</v>
      </c>
      <c r="H1051" s="10" t="n">
        <v>4.1792</v>
      </c>
      <c r="I1051" s="15" t="n">
        <v>45993</v>
      </c>
      <c r="J1051" s="2" t="s">
        <v>629</v>
      </c>
    </row>
    <row r="1052" customFormat="false" ht="15" hidden="false" customHeight="false" outlineLevel="0" collapsed="false">
      <c r="A1052" s="2" t="s">
        <v>612</v>
      </c>
      <c r="B1052" s="2" t="s">
        <v>121</v>
      </c>
      <c r="C1052" s="4" t="n">
        <v>7</v>
      </c>
      <c r="D1052" s="2" t="s">
        <v>445</v>
      </c>
      <c r="E1052" s="2" t="s">
        <v>402</v>
      </c>
      <c r="F1052" s="21" t="n">
        <v>45994.7013833333</v>
      </c>
      <c r="G1052" s="21" t="n">
        <v>45995.3804111111</v>
      </c>
      <c r="H1052" s="10" t="n">
        <v>1.29666666666667</v>
      </c>
      <c r="I1052" s="15" t="n">
        <v>45993</v>
      </c>
      <c r="J1052" s="2" t="s">
        <v>629</v>
      </c>
    </row>
    <row r="1053" customFormat="false" ht="15" hidden="false" customHeight="false" outlineLevel="0" collapsed="false">
      <c r="A1053" s="2" t="s">
        <v>612</v>
      </c>
      <c r="B1053" s="2" t="s">
        <v>121</v>
      </c>
      <c r="C1053" s="4" t="n">
        <v>8</v>
      </c>
      <c r="D1053" s="2" t="s">
        <v>447</v>
      </c>
      <c r="E1053" s="2" t="s">
        <v>421</v>
      </c>
      <c r="F1053" s="21" t="n">
        <v>45995.3804111111</v>
      </c>
      <c r="G1053" s="21" t="n">
        <v>45995.4116611111</v>
      </c>
      <c r="H1053" s="10" t="n">
        <v>0.75</v>
      </c>
      <c r="I1053" s="15" t="n">
        <v>45993</v>
      </c>
      <c r="J1053" s="2" t="s">
        <v>629</v>
      </c>
    </row>
    <row r="1054" customFormat="false" ht="15" hidden="false" customHeight="false" outlineLevel="0" collapsed="false">
      <c r="A1054" s="2" t="s">
        <v>612</v>
      </c>
      <c r="B1054" s="2" t="s">
        <v>121</v>
      </c>
      <c r="C1054" s="4" t="n">
        <v>9</v>
      </c>
      <c r="D1054" s="2" t="s">
        <v>449</v>
      </c>
      <c r="E1054" s="2" t="s">
        <v>423</v>
      </c>
      <c r="F1054" s="21" t="n">
        <v>45995.4116611111</v>
      </c>
      <c r="G1054" s="21" t="n">
        <v>45995.4336055556</v>
      </c>
      <c r="H1054" s="10" t="n">
        <v>0.526666666666667</v>
      </c>
      <c r="I1054" s="15" t="n">
        <v>45993</v>
      </c>
      <c r="J1054" s="2" t="s">
        <v>629</v>
      </c>
    </row>
    <row r="1055" customFormat="false" ht="15" hidden="false" customHeight="false" outlineLevel="0" collapsed="false">
      <c r="A1055" s="2" t="s">
        <v>612</v>
      </c>
      <c r="B1055" s="2" t="s">
        <v>121</v>
      </c>
      <c r="C1055" s="4" t="n">
        <v>10</v>
      </c>
      <c r="D1055" s="2" t="s">
        <v>450</v>
      </c>
      <c r="E1055" s="2" t="s">
        <v>406</v>
      </c>
      <c r="F1055" s="21" t="n">
        <v>45995.6382486111</v>
      </c>
      <c r="G1055" s="21" t="n">
        <v>45999.3611652778</v>
      </c>
      <c r="H1055" s="10" t="n">
        <v>10.35</v>
      </c>
      <c r="I1055" s="15" t="n">
        <v>45993</v>
      </c>
      <c r="J1055" s="2" t="s">
        <v>629</v>
      </c>
    </row>
    <row r="1056" customFormat="false" ht="15" hidden="false" customHeight="false" outlineLevel="0" collapsed="false">
      <c r="A1056" s="2" t="s">
        <v>612</v>
      </c>
      <c r="B1056" s="2" t="s">
        <v>121</v>
      </c>
      <c r="C1056" s="4" t="n">
        <v>11</v>
      </c>
      <c r="D1056" s="2" t="s">
        <v>451</v>
      </c>
      <c r="E1056" s="2" t="s">
        <v>408</v>
      </c>
      <c r="F1056" s="21" t="n">
        <v>45999.3611652778</v>
      </c>
      <c r="G1056" s="21" t="n">
        <v>45999.3865125</v>
      </c>
      <c r="H1056" s="10" t="n">
        <v>0.608333333333333</v>
      </c>
      <c r="I1056" s="15" t="n">
        <v>45993</v>
      </c>
      <c r="J1056" s="2" t="s">
        <v>629</v>
      </c>
    </row>
    <row r="1057" customFormat="false" ht="15" hidden="false" customHeight="false" outlineLevel="0" collapsed="false">
      <c r="A1057" s="2" t="s">
        <v>612</v>
      </c>
      <c r="B1057" s="2" t="s">
        <v>121</v>
      </c>
      <c r="C1057" s="4" t="n">
        <v>12</v>
      </c>
      <c r="D1057" s="2" t="s">
        <v>452</v>
      </c>
      <c r="E1057" s="2" t="s">
        <v>411</v>
      </c>
      <c r="F1057" s="21" t="n">
        <v>45999.3865125</v>
      </c>
      <c r="G1057" s="21" t="n">
        <v>45999.4203319444</v>
      </c>
      <c r="H1057" s="10" t="n">
        <v>0.811666666666667</v>
      </c>
      <c r="I1057" s="15" t="n">
        <v>45993</v>
      </c>
      <c r="J1057" s="2" t="s">
        <v>629</v>
      </c>
    </row>
    <row r="1058" customFormat="false" ht="15" hidden="false" customHeight="false" outlineLevel="0" collapsed="false">
      <c r="A1058" s="2" t="s">
        <v>613</v>
      </c>
      <c r="B1058" s="2" t="s">
        <v>80</v>
      </c>
      <c r="C1058" s="4" t="n">
        <v>1</v>
      </c>
      <c r="D1058" s="2" t="s">
        <v>437</v>
      </c>
      <c r="E1058" s="2" t="s">
        <v>375</v>
      </c>
      <c r="F1058" s="21" t="n">
        <v>45994.3333333333</v>
      </c>
      <c r="G1058" s="21" t="n">
        <v>45994.6505694444</v>
      </c>
      <c r="H1058" s="10" t="n">
        <v>6.61366666666667</v>
      </c>
      <c r="I1058" s="15" t="n">
        <v>46009</v>
      </c>
      <c r="J1058" s="2" t="s">
        <v>629</v>
      </c>
    </row>
    <row r="1059" customFormat="false" ht="15" hidden="false" customHeight="false" outlineLevel="0" collapsed="false">
      <c r="A1059" s="2" t="s">
        <v>613</v>
      </c>
      <c r="B1059" s="2" t="s">
        <v>80</v>
      </c>
      <c r="C1059" s="4" t="n">
        <v>2</v>
      </c>
      <c r="D1059" s="2" t="s">
        <v>441</v>
      </c>
      <c r="E1059" s="2" t="s">
        <v>380</v>
      </c>
      <c r="F1059" s="21" t="n">
        <v>45994.6505694444</v>
      </c>
      <c r="G1059" s="21" t="n">
        <v>45995.6607916667</v>
      </c>
      <c r="H1059" s="10" t="n">
        <v>8.24533333333333</v>
      </c>
      <c r="I1059" s="15" t="n">
        <v>46009</v>
      </c>
      <c r="J1059" s="2" t="s">
        <v>629</v>
      </c>
    </row>
    <row r="1060" customFormat="false" ht="15" hidden="false" customHeight="false" outlineLevel="0" collapsed="false">
      <c r="A1060" s="2" t="s">
        <v>613</v>
      </c>
      <c r="B1060" s="2" t="s">
        <v>80</v>
      </c>
      <c r="C1060" s="4" t="n">
        <v>3</v>
      </c>
      <c r="D1060" s="2" t="s">
        <v>386</v>
      </c>
      <c r="E1060" s="2" t="s">
        <v>383</v>
      </c>
      <c r="F1060" s="21" t="n">
        <v>45995.6607916667</v>
      </c>
      <c r="G1060" s="21" t="n">
        <v>45999.449125</v>
      </c>
      <c r="H1060" s="10" t="n">
        <v>11.92</v>
      </c>
      <c r="I1060" s="15" t="n">
        <v>46009</v>
      </c>
      <c r="J1060" s="2" t="s">
        <v>629</v>
      </c>
    </row>
    <row r="1061" customFormat="false" ht="15" hidden="false" customHeight="false" outlineLevel="0" collapsed="false">
      <c r="A1061" s="2" t="s">
        <v>613</v>
      </c>
      <c r="B1061" s="2" t="s">
        <v>80</v>
      </c>
      <c r="C1061" s="4" t="n">
        <v>4</v>
      </c>
      <c r="D1061" s="2" t="s">
        <v>390</v>
      </c>
      <c r="E1061" s="2" t="s">
        <v>387</v>
      </c>
      <c r="F1061" s="21" t="n">
        <v>45999.449125</v>
      </c>
      <c r="G1061" s="21" t="n">
        <v>46000.6324583333</v>
      </c>
      <c r="H1061" s="10" t="n">
        <v>11.4</v>
      </c>
      <c r="I1061" s="15" t="n">
        <v>46009</v>
      </c>
      <c r="J1061" s="2" t="s">
        <v>629</v>
      </c>
    </row>
    <row r="1062" customFormat="false" ht="15" hidden="false" customHeight="false" outlineLevel="0" collapsed="false">
      <c r="A1062" s="2" t="s">
        <v>613</v>
      </c>
      <c r="B1062" s="2" t="s">
        <v>80</v>
      </c>
      <c r="C1062" s="4" t="n">
        <v>5</v>
      </c>
      <c r="D1062" s="2" t="s">
        <v>442</v>
      </c>
      <c r="E1062" s="2" t="s">
        <v>391</v>
      </c>
      <c r="F1062" s="21" t="n">
        <v>46000.6324583333</v>
      </c>
      <c r="G1062" s="21" t="n">
        <v>46002.5785694444</v>
      </c>
      <c r="H1062" s="10" t="n">
        <v>14.7066666666667</v>
      </c>
      <c r="I1062" s="15" t="n">
        <v>46009</v>
      </c>
      <c r="J1062" s="2" t="s">
        <v>629</v>
      </c>
    </row>
    <row r="1063" customFormat="false" ht="15" hidden="false" customHeight="false" outlineLevel="0" collapsed="false">
      <c r="A1063" s="2" t="s">
        <v>613</v>
      </c>
      <c r="B1063" s="2" t="s">
        <v>80</v>
      </c>
      <c r="C1063" s="4" t="n">
        <v>6</v>
      </c>
      <c r="D1063" s="2" t="s">
        <v>443</v>
      </c>
      <c r="E1063" s="2" t="s">
        <v>395</v>
      </c>
      <c r="F1063" s="21" t="n">
        <v>46002.5785694444</v>
      </c>
      <c r="G1063" s="21" t="n">
        <v>46003.5702361111</v>
      </c>
      <c r="H1063" s="10" t="n">
        <v>7.8</v>
      </c>
      <c r="I1063" s="15" t="n">
        <v>46009</v>
      </c>
      <c r="J1063" s="2" t="s">
        <v>629</v>
      </c>
    </row>
    <row r="1064" customFormat="false" ht="15" hidden="false" customHeight="false" outlineLevel="0" collapsed="false">
      <c r="A1064" s="2" t="s">
        <v>613</v>
      </c>
      <c r="B1064" s="2" t="s">
        <v>80</v>
      </c>
      <c r="C1064" s="4" t="n">
        <v>7</v>
      </c>
      <c r="D1064" s="2" t="s">
        <v>444</v>
      </c>
      <c r="E1064" s="2" t="s">
        <v>399</v>
      </c>
      <c r="F1064" s="21" t="n">
        <v>46003.5702361111</v>
      </c>
      <c r="G1064" s="21" t="n">
        <v>46006.4306338889</v>
      </c>
      <c r="H1064" s="10" t="n">
        <v>5.64954666666667</v>
      </c>
      <c r="I1064" s="15" t="n">
        <v>46009</v>
      </c>
      <c r="J1064" s="2" t="s">
        <v>629</v>
      </c>
    </row>
    <row r="1065" customFormat="false" ht="15" hidden="false" customHeight="false" outlineLevel="0" collapsed="false">
      <c r="A1065" s="2" t="s">
        <v>613</v>
      </c>
      <c r="B1065" s="2" t="s">
        <v>80</v>
      </c>
      <c r="C1065" s="4" t="n">
        <v>8</v>
      </c>
      <c r="D1065" s="2" t="s">
        <v>445</v>
      </c>
      <c r="E1065" s="2" t="s">
        <v>402</v>
      </c>
      <c r="F1065" s="21" t="n">
        <v>46006.4306338889</v>
      </c>
      <c r="G1065" s="21" t="n">
        <v>46006.5502311111</v>
      </c>
      <c r="H1065" s="10" t="n">
        <v>1.87033333333333</v>
      </c>
      <c r="I1065" s="15" t="n">
        <v>46009</v>
      </c>
      <c r="J1065" s="2" t="s">
        <v>629</v>
      </c>
    </row>
    <row r="1066" customFormat="false" ht="15" hidden="false" customHeight="false" outlineLevel="0" collapsed="false">
      <c r="A1066" s="2" t="s">
        <v>613</v>
      </c>
      <c r="B1066" s="2" t="s">
        <v>80</v>
      </c>
      <c r="C1066" s="4" t="n">
        <v>9</v>
      </c>
      <c r="D1066" s="2" t="s">
        <v>447</v>
      </c>
      <c r="E1066" s="2" t="s">
        <v>421</v>
      </c>
      <c r="F1066" s="21" t="n">
        <v>46006.5502311111</v>
      </c>
      <c r="G1066" s="21" t="n">
        <v>46006.6127311111</v>
      </c>
      <c r="H1066" s="10" t="n">
        <v>1.5</v>
      </c>
      <c r="I1066" s="15" t="n">
        <v>46009</v>
      </c>
      <c r="J1066" s="2" t="s">
        <v>629</v>
      </c>
    </row>
    <row r="1067" customFormat="false" ht="15" hidden="false" customHeight="false" outlineLevel="0" collapsed="false">
      <c r="A1067" s="2" t="s">
        <v>613</v>
      </c>
      <c r="B1067" s="2" t="s">
        <v>80</v>
      </c>
      <c r="C1067" s="4" t="n">
        <v>10</v>
      </c>
      <c r="D1067" s="2" t="s">
        <v>449</v>
      </c>
      <c r="E1067" s="2" t="s">
        <v>423</v>
      </c>
      <c r="F1067" s="21" t="n">
        <v>46006.6127311111</v>
      </c>
      <c r="G1067" s="21" t="n">
        <v>46006.6443908333</v>
      </c>
      <c r="H1067" s="10" t="n">
        <v>0.759833333333333</v>
      </c>
      <c r="I1067" s="15" t="n">
        <v>46009</v>
      </c>
      <c r="J1067" s="2" t="s">
        <v>629</v>
      </c>
    </row>
    <row r="1068" customFormat="false" ht="15" hidden="false" customHeight="false" outlineLevel="0" collapsed="false">
      <c r="A1068" s="2" t="s">
        <v>613</v>
      </c>
      <c r="B1068" s="2" t="s">
        <v>80</v>
      </c>
      <c r="C1068" s="4" t="n">
        <v>11</v>
      </c>
      <c r="D1068" s="2" t="s">
        <v>450</v>
      </c>
      <c r="E1068" s="2" t="s">
        <v>406</v>
      </c>
      <c r="F1068" s="21" t="n">
        <v>46006.6443908333</v>
      </c>
      <c r="G1068" s="21" t="n">
        <v>46008.4027241667</v>
      </c>
      <c r="H1068" s="10" t="n">
        <v>11.2</v>
      </c>
      <c r="I1068" s="15" t="n">
        <v>46009</v>
      </c>
      <c r="J1068" s="2" t="s">
        <v>629</v>
      </c>
    </row>
    <row r="1069" customFormat="false" ht="15" hidden="false" customHeight="false" outlineLevel="0" collapsed="false">
      <c r="A1069" s="2" t="s">
        <v>613</v>
      </c>
      <c r="B1069" s="2" t="s">
        <v>80</v>
      </c>
      <c r="C1069" s="4" t="n">
        <v>12</v>
      </c>
      <c r="D1069" s="2" t="s">
        <v>451</v>
      </c>
      <c r="E1069" s="2" t="s">
        <v>408</v>
      </c>
      <c r="F1069" s="21" t="n">
        <v>46008.4027241667</v>
      </c>
      <c r="G1069" s="21" t="n">
        <v>46008.4349880556</v>
      </c>
      <c r="H1069" s="10" t="n">
        <v>0.774333333333333</v>
      </c>
      <c r="I1069" s="15" t="n">
        <v>46009</v>
      </c>
      <c r="J1069" s="2" t="s">
        <v>629</v>
      </c>
    </row>
    <row r="1070" customFormat="false" ht="15" hidden="false" customHeight="false" outlineLevel="0" collapsed="false">
      <c r="A1070" s="2" t="s">
        <v>613</v>
      </c>
      <c r="B1070" s="2" t="s">
        <v>80</v>
      </c>
      <c r="C1070" s="4" t="n">
        <v>13</v>
      </c>
      <c r="D1070" s="2" t="s">
        <v>452</v>
      </c>
      <c r="E1070" s="2" t="s">
        <v>411</v>
      </c>
      <c r="F1070" s="21" t="n">
        <v>46008.4349880556</v>
      </c>
      <c r="G1070" s="21" t="n">
        <v>46008.4782519444</v>
      </c>
      <c r="H1070" s="10" t="n">
        <v>1.03833333333333</v>
      </c>
      <c r="I1070" s="15" t="n">
        <v>46009</v>
      </c>
      <c r="J1070" s="2" t="s">
        <v>629</v>
      </c>
    </row>
    <row r="1071" customFormat="false" ht="15" hidden="false" customHeight="false" outlineLevel="0" collapsed="false">
      <c r="A1071" s="2" t="s">
        <v>615</v>
      </c>
      <c r="B1071" s="2" t="s">
        <v>94</v>
      </c>
      <c r="C1071" s="4" t="n">
        <v>1</v>
      </c>
      <c r="D1071" s="2" t="s">
        <v>437</v>
      </c>
      <c r="E1071" s="2" t="s">
        <v>375</v>
      </c>
      <c r="F1071" s="21" t="n">
        <v>45994.6505694444</v>
      </c>
      <c r="G1071" s="21" t="n">
        <v>45995.699375</v>
      </c>
      <c r="H1071" s="10" t="n">
        <v>9.17133333333333</v>
      </c>
      <c r="I1071" s="15" t="n">
        <v>46009</v>
      </c>
      <c r="J1071" s="2" t="s">
        <v>629</v>
      </c>
    </row>
    <row r="1072" customFormat="false" ht="15" hidden="false" customHeight="false" outlineLevel="0" collapsed="false">
      <c r="A1072" s="2" t="s">
        <v>615</v>
      </c>
      <c r="B1072" s="2" t="s">
        <v>94</v>
      </c>
      <c r="C1072" s="4" t="n">
        <v>2</v>
      </c>
      <c r="D1072" s="2" t="s">
        <v>441</v>
      </c>
      <c r="E1072" s="2" t="s">
        <v>380</v>
      </c>
      <c r="F1072" s="21" t="n">
        <v>45995.699375</v>
      </c>
      <c r="G1072" s="21" t="n">
        <v>45996.3548472222</v>
      </c>
      <c r="H1072" s="10" t="n">
        <v>0.731333333333333</v>
      </c>
      <c r="I1072" s="15" t="n">
        <v>46009</v>
      </c>
      <c r="J1072" s="2" t="s">
        <v>629</v>
      </c>
    </row>
    <row r="1073" customFormat="false" ht="15" hidden="false" customHeight="false" outlineLevel="0" collapsed="false">
      <c r="A1073" s="2" t="s">
        <v>615</v>
      </c>
      <c r="B1073" s="2" t="s">
        <v>94</v>
      </c>
      <c r="C1073" s="4" t="n">
        <v>3</v>
      </c>
      <c r="D1073" s="2" t="s">
        <v>386</v>
      </c>
      <c r="E1073" s="2" t="s">
        <v>383</v>
      </c>
      <c r="F1073" s="21" t="n">
        <v>45999.449125</v>
      </c>
      <c r="G1073" s="21" t="n">
        <v>46000.5685694445</v>
      </c>
      <c r="H1073" s="10" t="n">
        <v>9.86666666666667</v>
      </c>
      <c r="I1073" s="15" t="n">
        <v>46009</v>
      </c>
      <c r="J1073" s="2" t="s">
        <v>629</v>
      </c>
    </row>
    <row r="1074" customFormat="false" ht="15" hidden="false" customHeight="false" outlineLevel="0" collapsed="false">
      <c r="A1074" s="2" t="s">
        <v>615</v>
      </c>
      <c r="B1074" s="2" t="s">
        <v>94</v>
      </c>
      <c r="C1074" s="4" t="n">
        <v>4</v>
      </c>
      <c r="D1074" s="2" t="s">
        <v>390</v>
      </c>
      <c r="E1074" s="2" t="s">
        <v>387</v>
      </c>
      <c r="F1074" s="21" t="n">
        <v>46000.6324583333</v>
      </c>
      <c r="G1074" s="21" t="n">
        <v>46003.4157916667</v>
      </c>
      <c r="H1074" s="10" t="n">
        <v>19.8</v>
      </c>
      <c r="I1074" s="15" t="n">
        <v>46009</v>
      </c>
      <c r="J1074" s="2" t="s">
        <v>629</v>
      </c>
    </row>
    <row r="1075" customFormat="false" ht="15" hidden="false" customHeight="false" outlineLevel="0" collapsed="false">
      <c r="A1075" s="2" t="s">
        <v>615</v>
      </c>
      <c r="B1075" s="2" t="s">
        <v>94</v>
      </c>
      <c r="C1075" s="4" t="n">
        <v>5</v>
      </c>
      <c r="D1075" s="2" t="s">
        <v>443</v>
      </c>
      <c r="E1075" s="2" t="s">
        <v>395</v>
      </c>
      <c r="F1075" s="21" t="n">
        <v>46003.5702361111</v>
      </c>
      <c r="G1075" s="21" t="n">
        <v>46006.4098194445</v>
      </c>
      <c r="H1075" s="10" t="n">
        <v>5.15</v>
      </c>
      <c r="I1075" s="15" t="n">
        <v>46009</v>
      </c>
      <c r="J1075" s="2" t="s">
        <v>629</v>
      </c>
    </row>
    <row r="1076" customFormat="false" ht="15" hidden="false" customHeight="false" outlineLevel="0" collapsed="false">
      <c r="A1076" s="2" t="s">
        <v>615</v>
      </c>
      <c r="B1076" s="2" t="s">
        <v>94</v>
      </c>
      <c r="C1076" s="4" t="n">
        <v>6</v>
      </c>
      <c r="D1076" s="2" t="s">
        <v>444</v>
      </c>
      <c r="E1076" s="2" t="s">
        <v>399</v>
      </c>
      <c r="F1076" s="21" t="n">
        <v>46006.4306338889</v>
      </c>
      <c r="G1076" s="21" t="n">
        <v>46006.6452805556</v>
      </c>
      <c r="H1076" s="10" t="n">
        <v>4.15152</v>
      </c>
      <c r="I1076" s="15" t="n">
        <v>46009</v>
      </c>
      <c r="J1076" s="2" t="s">
        <v>629</v>
      </c>
    </row>
    <row r="1077" customFormat="false" ht="15" hidden="false" customHeight="false" outlineLevel="0" collapsed="false">
      <c r="A1077" s="2" t="s">
        <v>615</v>
      </c>
      <c r="B1077" s="2" t="s">
        <v>94</v>
      </c>
      <c r="C1077" s="4" t="n">
        <v>7</v>
      </c>
      <c r="D1077" s="2" t="s">
        <v>445</v>
      </c>
      <c r="E1077" s="2" t="s">
        <v>402</v>
      </c>
      <c r="F1077" s="21" t="n">
        <v>46006.6452805556</v>
      </c>
      <c r="G1077" s="21" t="n">
        <v>46006.6859472222</v>
      </c>
      <c r="H1077" s="10" t="n">
        <v>0.976</v>
      </c>
      <c r="I1077" s="15" t="n">
        <v>46009</v>
      </c>
      <c r="J1077" s="2" t="s">
        <v>629</v>
      </c>
    </row>
    <row r="1078" customFormat="false" ht="15" hidden="false" customHeight="false" outlineLevel="0" collapsed="false">
      <c r="A1078" s="2" t="s">
        <v>615</v>
      </c>
      <c r="B1078" s="2" t="s">
        <v>94</v>
      </c>
      <c r="C1078" s="4" t="n">
        <v>8</v>
      </c>
      <c r="D1078" s="2" t="s">
        <v>447</v>
      </c>
      <c r="E1078" s="2" t="s">
        <v>421</v>
      </c>
      <c r="F1078" s="21" t="n">
        <v>46006.6859472222</v>
      </c>
      <c r="G1078" s="21" t="n">
        <v>46007.3421972222</v>
      </c>
      <c r="H1078" s="10" t="n">
        <v>0.75</v>
      </c>
      <c r="I1078" s="15" t="n">
        <v>46009</v>
      </c>
      <c r="J1078" s="2" t="s">
        <v>629</v>
      </c>
    </row>
    <row r="1079" customFormat="false" ht="15" hidden="false" customHeight="false" outlineLevel="0" collapsed="false">
      <c r="A1079" s="2" t="s">
        <v>615</v>
      </c>
      <c r="B1079" s="2" t="s">
        <v>94</v>
      </c>
      <c r="C1079" s="4" t="n">
        <v>9</v>
      </c>
      <c r="D1079" s="2" t="s">
        <v>449</v>
      </c>
      <c r="E1079" s="2" t="s">
        <v>423</v>
      </c>
      <c r="F1079" s="21" t="n">
        <v>46007.3421972222</v>
      </c>
      <c r="G1079" s="21" t="n">
        <v>46007.3587111111</v>
      </c>
      <c r="H1079" s="10" t="n">
        <v>0.396333333333333</v>
      </c>
      <c r="I1079" s="15" t="n">
        <v>46009</v>
      </c>
      <c r="J1079" s="2" t="s">
        <v>629</v>
      </c>
    </row>
    <row r="1080" customFormat="false" ht="15" hidden="false" customHeight="false" outlineLevel="0" collapsed="false">
      <c r="A1080" s="2" t="s">
        <v>615</v>
      </c>
      <c r="B1080" s="2" t="s">
        <v>94</v>
      </c>
      <c r="C1080" s="4" t="n">
        <v>10</v>
      </c>
      <c r="D1080" s="2" t="s">
        <v>450</v>
      </c>
      <c r="E1080" s="2" t="s">
        <v>406</v>
      </c>
      <c r="F1080" s="21" t="n">
        <v>46008.4027241667</v>
      </c>
      <c r="G1080" s="21" t="n">
        <v>46009.3610575</v>
      </c>
      <c r="H1080" s="10" t="n">
        <v>7</v>
      </c>
      <c r="I1080" s="15" t="n">
        <v>46009</v>
      </c>
      <c r="J1080" s="2" t="s">
        <v>629</v>
      </c>
    </row>
    <row r="1081" customFormat="false" ht="15" hidden="false" customHeight="false" outlineLevel="0" collapsed="false">
      <c r="A1081" s="2" t="s">
        <v>615</v>
      </c>
      <c r="B1081" s="2" t="s">
        <v>94</v>
      </c>
      <c r="C1081" s="4" t="n">
        <v>11</v>
      </c>
      <c r="D1081" s="2" t="s">
        <v>451</v>
      </c>
      <c r="E1081" s="2" t="s">
        <v>408</v>
      </c>
      <c r="F1081" s="21" t="n">
        <v>46009.3610575</v>
      </c>
      <c r="G1081" s="21" t="n">
        <v>46009.3782380556</v>
      </c>
      <c r="H1081" s="10" t="n">
        <v>0.412333333333333</v>
      </c>
      <c r="I1081" s="15" t="n">
        <v>46009</v>
      </c>
      <c r="J1081" s="2" t="s">
        <v>629</v>
      </c>
    </row>
    <row r="1082" customFormat="false" ht="15" hidden="false" customHeight="false" outlineLevel="0" collapsed="false">
      <c r="A1082" s="2" t="s">
        <v>615</v>
      </c>
      <c r="B1082" s="2" t="s">
        <v>94</v>
      </c>
      <c r="C1082" s="4" t="n">
        <v>12</v>
      </c>
      <c r="D1082" s="2" t="s">
        <v>452</v>
      </c>
      <c r="E1082" s="2" t="s">
        <v>411</v>
      </c>
      <c r="F1082" s="21" t="n">
        <v>46009.3782380556</v>
      </c>
      <c r="G1082" s="21" t="n">
        <v>46009.4012102778</v>
      </c>
      <c r="H1082" s="10" t="n">
        <v>0.551333333333333</v>
      </c>
      <c r="I1082" s="15" t="n">
        <v>46009</v>
      </c>
      <c r="J1082" s="2" t="s">
        <v>629</v>
      </c>
    </row>
    <row r="1083" customFormat="false" ht="15" hidden="false" customHeight="false" outlineLevel="0" collapsed="false">
      <c r="A1083" s="2" t="s">
        <v>617</v>
      </c>
      <c r="B1083" s="2" t="s">
        <v>106</v>
      </c>
      <c r="C1083" s="4" t="n">
        <v>1</v>
      </c>
      <c r="D1083" s="2" t="s">
        <v>437</v>
      </c>
      <c r="E1083" s="2" t="s">
        <v>375</v>
      </c>
      <c r="F1083" s="21" t="n">
        <v>45995.699375</v>
      </c>
      <c r="G1083" s="21" t="n">
        <v>45996.4696701389</v>
      </c>
      <c r="H1083" s="10" t="n">
        <v>3.48708333333333</v>
      </c>
      <c r="I1083" s="15" t="n">
        <v>46008</v>
      </c>
      <c r="J1083" s="2" t="s">
        <v>629</v>
      </c>
    </row>
    <row r="1084" customFormat="false" ht="15" hidden="false" customHeight="false" outlineLevel="0" collapsed="false">
      <c r="A1084" s="2" t="s">
        <v>617</v>
      </c>
      <c r="B1084" s="2" t="s">
        <v>106</v>
      </c>
      <c r="C1084" s="4" t="n">
        <v>2</v>
      </c>
      <c r="D1084" s="2" t="s">
        <v>386</v>
      </c>
      <c r="E1084" s="2" t="s">
        <v>383</v>
      </c>
      <c r="F1084" s="21" t="n">
        <v>46000.5685694445</v>
      </c>
      <c r="G1084" s="21" t="n">
        <v>46000.6269027778</v>
      </c>
      <c r="H1084" s="10" t="n">
        <v>1.4</v>
      </c>
      <c r="I1084" s="15" t="n">
        <v>46008</v>
      </c>
      <c r="J1084" s="2" t="s">
        <v>629</v>
      </c>
    </row>
    <row r="1085" customFormat="false" ht="15" hidden="false" customHeight="false" outlineLevel="0" collapsed="false">
      <c r="A1085" s="2" t="s">
        <v>617</v>
      </c>
      <c r="B1085" s="2" t="s">
        <v>106</v>
      </c>
      <c r="C1085" s="4" t="n">
        <v>3</v>
      </c>
      <c r="D1085" s="2" t="s">
        <v>390</v>
      </c>
      <c r="E1085" s="2" t="s">
        <v>387</v>
      </c>
      <c r="F1085" s="21" t="n">
        <v>46003.4157916667</v>
      </c>
      <c r="G1085" s="21" t="n">
        <v>46006.4519027778</v>
      </c>
      <c r="H1085" s="10" t="n">
        <v>8.86666666666667</v>
      </c>
      <c r="I1085" s="15" t="n">
        <v>46008</v>
      </c>
      <c r="J1085" s="2" t="s">
        <v>629</v>
      </c>
    </row>
    <row r="1086" customFormat="false" ht="15" hidden="false" customHeight="false" outlineLevel="0" collapsed="false">
      <c r="A1086" s="2" t="s">
        <v>617</v>
      </c>
      <c r="B1086" s="2" t="s">
        <v>106</v>
      </c>
      <c r="C1086" s="4" t="n">
        <v>4</v>
      </c>
      <c r="D1086" s="2" t="s">
        <v>443</v>
      </c>
      <c r="E1086" s="2" t="s">
        <v>395</v>
      </c>
      <c r="F1086" s="21" t="n">
        <v>46006.4519027778</v>
      </c>
      <c r="G1086" s="21" t="n">
        <v>46006.5581527778</v>
      </c>
      <c r="H1086" s="10" t="n">
        <v>1.55</v>
      </c>
      <c r="I1086" s="15" t="n">
        <v>46008</v>
      </c>
      <c r="J1086" s="2" t="s">
        <v>629</v>
      </c>
    </row>
    <row r="1087" customFormat="false" ht="15" hidden="false" customHeight="false" outlineLevel="0" collapsed="false">
      <c r="A1087" s="2" t="s">
        <v>617</v>
      </c>
      <c r="B1087" s="2" t="s">
        <v>106</v>
      </c>
      <c r="C1087" s="4" t="n">
        <v>5</v>
      </c>
      <c r="D1087" s="2" t="s">
        <v>444</v>
      </c>
      <c r="E1087" s="2" t="s">
        <v>399</v>
      </c>
      <c r="F1087" s="21" t="n">
        <v>46006.6452805556</v>
      </c>
      <c r="G1087" s="21" t="n">
        <v>46007.36585</v>
      </c>
      <c r="H1087" s="10" t="n">
        <v>2.29366666666667</v>
      </c>
      <c r="I1087" s="15" t="n">
        <v>46008</v>
      </c>
      <c r="J1087" s="2" t="s">
        <v>629</v>
      </c>
    </row>
    <row r="1088" customFormat="false" ht="15" hidden="false" customHeight="false" outlineLevel="0" collapsed="false">
      <c r="A1088" s="2" t="s">
        <v>617</v>
      </c>
      <c r="B1088" s="2" t="s">
        <v>106</v>
      </c>
      <c r="C1088" s="4" t="n">
        <v>6</v>
      </c>
      <c r="D1088" s="2" t="s">
        <v>445</v>
      </c>
      <c r="E1088" s="2" t="s">
        <v>402</v>
      </c>
      <c r="F1088" s="21" t="n">
        <v>46007.36585</v>
      </c>
      <c r="G1088" s="21" t="n">
        <v>46007.3978986111</v>
      </c>
      <c r="H1088" s="10" t="n">
        <v>0.769166666666667</v>
      </c>
      <c r="I1088" s="15" t="n">
        <v>46008</v>
      </c>
      <c r="J1088" s="2" t="s">
        <v>629</v>
      </c>
    </row>
    <row r="1089" customFormat="false" ht="15" hidden="false" customHeight="false" outlineLevel="0" collapsed="false">
      <c r="A1089" s="2" t="s">
        <v>617</v>
      </c>
      <c r="B1089" s="2" t="s">
        <v>106</v>
      </c>
      <c r="C1089" s="4" t="n">
        <v>7</v>
      </c>
      <c r="D1089" s="2" t="s">
        <v>447</v>
      </c>
      <c r="E1089" s="2" t="s">
        <v>421</v>
      </c>
      <c r="F1089" s="21" t="n">
        <v>46007.3978986111</v>
      </c>
      <c r="G1089" s="21" t="n">
        <v>46007.4291486111</v>
      </c>
      <c r="H1089" s="10" t="n">
        <v>0.75</v>
      </c>
      <c r="I1089" s="15" t="n">
        <v>46008</v>
      </c>
      <c r="J1089" s="2" t="s">
        <v>629</v>
      </c>
    </row>
    <row r="1090" customFormat="false" ht="15" hidden="false" customHeight="false" outlineLevel="0" collapsed="false">
      <c r="A1090" s="2" t="s">
        <v>617</v>
      </c>
      <c r="B1090" s="2" t="s">
        <v>106</v>
      </c>
      <c r="C1090" s="4" t="n">
        <v>8</v>
      </c>
      <c r="D1090" s="2" t="s">
        <v>449</v>
      </c>
      <c r="E1090" s="2" t="s">
        <v>423</v>
      </c>
      <c r="F1090" s="21" t="n">
        <v>46007.4291486111</v>
      </c>
      <c r="G1090" s="21" t="n">
        <v>46007.4431069445</v>
      </c>
      <c r="H1090" s="10" t="n">
        <v>0.335</v>
      </c>
      <c r="I1090" s="15" t="n">
        <v>46008</v>
      </c>
      <c r="J1090" s="2" t="s">
        <v>629</v>
      </c>
    </row>
    <row r="1091" customFormat="false" ht="15" hidden="false" customHeight="false" outlineLevel="0" collapsed="false">
      <c r="A1091" s="2" t="s">
        <v>617</v>
      </c>
      <c r="B1091" s="2" t="s">
        <v>106</v>
      </c>
      <c r="C1091" s="4" t="n">
        <v>9</v>
      </c>
      <c r="D1091" s="2" t="s">
        <v>450</v>
      </c>
      <c r="E1091" s="2" t="s">
        <v>406</v>
      </c>
      <c r="F1091" s="21" t="n">
        <v>46009.3610575</v>
      </c>
      <c r="G1091" s="21" t="n">
        <v>46009.5527241667</v>
      </c>
      <c r="H1091" s="10" t="n">
        <v>3.6</v>
      </c>
      <c r="I1091" s="15" t="n">
        <v>46008</v>
      </c>
      <c r="J1091" s="2" t="s">
        <v>629</v>
      </c>
    </row>
    <row r="1092" customFormat="false" ht="15" hidden="false" customHeight="false" outlineLevel="0" collapsed="false">
      <c r="A1092" s="2" t="s">
        <v>617</v>
      </c>
      <c r="B1092" s="2" t="s">
        <v>106</v>
      </c>
      <c r="C1092" s="4" t="n">
        <v>10</v>
      </c>
      <c r="D1092" s="2" t="s">
        <v>451</v>
      </c>
      <c r="E1092" s="2" t="s">
        <v>408</v>
      </c>
      <c r="F1092" s="21" t="n">
        <v>46009.5527241667</v>
      </c>
      <c r="G1092" s="21" t="n">
        <v>46009.5663352778</v>
      </c>
      <c r="H1092" s="10" t="n">
        <v>0.326666666666667</v>
      </c>
      <c r="I1092" s="15" t="n">
        <v>46008</v>
      </c>
      <c r="J1092" s="2" t="s">
        <v>629</v>
      </c>
    </row>
    <row r="1093" customFormat="false" ht="15" hidden="false" customHeight="false" outlineLevel="0" collapsed="false">
      <c r="A1093" s="2" t="s">
        <v>617</v>
      </c>
      <c r="B1093" s="2" t="s">
        <v>106</v>
      </c>
      <c r="C1093" s="4" t="n">
        <v>11</v>
      </c>
      <c r="D1093" s="2" t="s">
        <v>452</v>
      </c>
      <c r="E1093" s="2" t="s">
        <v>411</v>
      </c>
      <c r="F1093" s="21" t="n">
        <v>46009.5663352778</v>
      </c>
      <c r="G1093" s="21" t="n">
        <v>46009.5843213889</v>
      </c>
      <c r="H1093" s="10" t="n">
        <v>0.431666666666667</v>
      </c>
      <c r="I1093" s="15" t="n">
        <v>46008</v>
      </c>
      <c r="J1093" s="2" t="s">
        <v>629</v>
      </c>
    </row>
    <row r="1094" customFormat="false" ht="15" hidden="false" customHeight="false" outlineLevel="0" collapsed="false">
      <c r="A1094" s="2" t="s">
        <v>619</v>
      </c>
      <c r="B1094" s="2" t="s">
        <v>119</v>
      </c>
      <c r="C1094" s="4" t="n">
        <v>1</v>
      </c>
      <c r="D1094" s="2" t="s">
        <v>437</v>
      </c>
      <c r="E1094" s="2" t="s">
        <v>375</v>
      </c>
      <c r="F1094" s="21" t="n">
        <v>45996.4696701389</v>
      </c>
      <c r="G1094" s="21" t="n">
        <v>45999.3888368056</v>
      </c>
      <c r="H1094" s="10" t="n">
        <v>6.06</v>
      </c>
      <c r="I1094" s="15" t="n">
        <v>46009</v>
      </c>
      <c r="J1094" s="2" t="s">
        <v>629</v>
      </c>
    </row>
    <row r="1095" customFormat="false" ht="15" hidden="false" customHeight="false" outlineLevel="0" collapsed="false">
      <c r="A1095" s="2" t="s">
        <v>619</v>
      </c>
      <c r="B1095" s="2" t="s">
        <v>119</v>
      </c>
      <c r="C1095" s="4" t="n">
        <v>2</v>
      </c>
      <c r="D1095" s="2" t="s">
        <v>386</v>
      </c>
      <c r="E1095" s="2" t="s">
        <v>383</v>
      </c>
      <c r="F1095" s="21" t="n">
        <v>46000.6269027778</v>
      </c>
      <c r="G1095" s="21" t="n">
        <v>46000.674125</v>
      </c>
      <c r="H1095" s="10" t="n">
        <v>1.13333333333333</v>
      </c>
      <c r="I1095" s="15" t="n">
        <v>46009</v>
      </c>
      <c r="J1095" s="2" t="s">
        <v>629</v>
      </c>
    </row>
    <row r="1096" customFormat="false" ht="15" hidden="false" customHeight="false" outlineLevel="0" collapsed="false">
      <c r="A1096" s="2" t="s">
        <v>619</v>
      </c>
      <c r="B1096" s="2" t="s">
        <v>119</v>
      </c>
      <c r="C1096" s="4" t="n">
        <v>3</v>
      </c>
      <c r="D1096" s="2" t="s">
        <v>390</v>
      </c>
      <c r="E1096" s="2" t="s">
        <v>387</v>
      </c>
      <c r="F1096" s="21" t="n">
        <v>46006.4519027778</v>
      </c>
      <c r="G1096" s="21" t="n">
        <v>46008.3907916667</v>
      </c>
      <c r="H1096" s="10" t="n">
        <v>14.5333333333333</v>
      </c>
      <c r="I1096" s="15" t="n">
        <v>46009</v>
      </c>
      <c r="J1096" s="2" t="s">
        <v>629</v>
      </c>
    </row>
    <row r="1097" customFormat="false" ht="15" hidden="false" customHeight="false" outlineLevel="0" collapsed="false">
      <c r="A1097" s="2" t="s">
        <v>619</v>
      </c>
      <c r="B1097" s="2" t="s">
        <v>119</v>
      </c>
      <c r="C1097" s="4" t="n">
        <v>4</v>
      </c>
      <c r="D1097" s="2" t="s">
        <v>443</v>
      </c>
      <c r="E1097" s="2" t="s">
        <v>395</v>
      </c>
      <c r="F1097" s="21" t="n">
        <v>46008.3907916667</v>
      </c>
      <c r="G1097" s="21" t="n">
        <v>46008.4970416667</v>
      </c>
      <c r="H1097" s="10" t="n">
        <v>2.55</v>
      </c>
      <c r="I1097" s="15" t="n">
        <v>46009</v>
      </c>
      <c r="J1097" s="2" t="s">
        <v>629</v>
      </c>
    </row>
    <row r="1098" customFormat="false" ht="15" hidden="false" customHeight="false" outlineLevel="0" collapsed="false">
      <c r="A1098" s="2" t="s">
        <v>619</v>
      </c>
      <c r="B1098" s="2" t="s">
        <v>119</v>
      </c>
      <c r="C1098" s="4" t="n">
        <v>5</v>
      </c>
      <c r="D1098" s="2" t="s">
        <v>444</v>
      </c>
      <c r="E1098" s="2" t="s">
        <v>399</v>
      </c>
      <c r="F1098" s="21" t="n">
        <v>46008.4970416667</v>
      </c>
      <c r="G1098" s="21" t="n">
        <v>46009.3464305556</v>
      </c>
      <c r="H1098" s="10" t="n">
        <v>4.38533333333333</v>
      </c>
      <c r="I1098" s="15" t="n">
        <v>46009</v>
      </c>
      <c r="J1098" s="2" t="s">
        <v>629</v>
      </c>
    </row>
    <row r="1099" customFormat="false" ht="15" hidden="false" customHeight="false" outlineLevel="0" collapsed="false">
      <c r="A1099" s="2" t="s">
        <v>619</v>
      </c>
      <c r="B1099" s="2" t="s">
        <v>119</v>
      </c>
      <c r="C1099" s="4" t="n">
        <v>6</v>
      </c>
      <c r="D1099" s="2" t="s">
        <v>445</v>
      </c>
      <c r="E1099" s="2" t="s">
        <v>402</v>
      </c>
      <c r="F1099" s="21" t="n">
        <v>46009.3464305556</v>
      </c>
      <c r="G1099" s="21" t="n">
        <v>46009.4004583333</v>
      </c>
      <c r="H1099" s="10" t="n">
        <v>1.29666666666667</v>
      </c>
      <c r="I1099" s="15" t="n">
        <v>46009</v>
      </c>
      <c r="J1099" s="2" t="s">
        <v>629</v>
      </c>
    </row>
    <row r="1100" customFormat="false" ht="15" hidden="false" customHeight="false" outlineLevel="0" collapsed="false">
      <c r="A1100" s="2" t="s">
        <v>619</v>
      </c>
      <c r="B1100" s="2" t="s">
        <v>119</v>
      </c>
      <c r="C1100" s="4" t="n">
        <v>7</v>
      </c>
      <c r="D1100" s="2" t="s">
        <v>447</v>
      </c>
      <c r="E1100" s="2" t="s">
        <v>421</v>
      </c>
      <c r="F1100" s="21" t="n">
        <v>46009.4004583333</v>
      </c>
      <c r="G1100" s="21" t="n">
        <v>46009.4317083333</v>
      </c>
      <c r="H1100" s="10" t="n">
        <v>0.75</v>
      </c>
      <c r="I1100" s="15" t="n">
        <v>46009</v>
      </c>
      <c r="J1100" s="2" t="s">
        <v>629</v>
      </c>
    </row>
    <row r="1101" customFormat="false" ht="15" hidden="false" customHeight="false" outlineLevel="0" collapsed="false">
      <c r="A1101" s="2" t="s">
        <v>619</v>
      </c>
      <c r="B1101" s="2" t="s">
        <v>119</v>
      </c>
      <c r="C1101" s="4" t="n">
        <v>8</v>
      </c>
      <c r="D1101" s="2" t="s">
        <v>449</v>
      </c>
      <c r="E1101" s="2" t="s">
        <v>423</v>
      </c>
      <c r="F1101" s="21" t="n">
        <v>46009.4317083333</v>
      </c>
      <c r="G1101" s="21" t="n">
        <v>46009.4536527778</v>
      </c>
      <c r="H1101" s="10" t="n">
        <v>0.526666666666667</v>
      </c>
      <c r="I1101" s="15" t="n">
        <v>46009</v>
      </c>
      <c r="J1101" s="2" t="s">
        <v>629</v>
      </c>
    </row>
    <row r="1102" customFormat="false" ht="15" hidden="false" customHeight="false" outlineLevel="0" collapsed="false">
      <c r="A1102" s="2" t="s">
        <v>619</v>
      </c>
      <c r="B1102" s="2" t="s">
        <v>119</v>
      </c>
      <c r="C1102" s="4" t="n">
        <v>9</v>
      </c>
      <c r="D1102" s="2" t="s">
        <v>450</v>
      </c>
      <c r="E1102" s="2" t="s">
        <v>406</v>
      </c>
      <c r="F1102" s="21" t="n">
        <v>46009.5527241667</v>
      </c>
      <c r="G1102" s="21" t="n">
        <v>46010.3693908333</v>
      </c>
      <c r="H1102" s="10" t="n">
        <v>4.6</v>
      </c>
      <c r="I1102" s="15" t="n">
        <v>46009</v>
      </c>
      <c r="J1102" s="2" t="s">
        <v>629</v>
      </c>
    </row>
    <row r="1103" customFormat="false" ht="15" hidden="false" customHeight="false" outlineLevel="0" collapsed="false">
      <c r="A1103" s="2" t="s">
        <v>619</v>
      </c>
      <c r="B1103" s="2" t="s">
        <v>119</v>
      </c>
      <c r="C1103" s="4" t="n">
        <v>10</v>
      </c>
      <c r="D1103" s="2" t="s">
        <v>451</v>
      </c>
      <c r="E1103" s="2" t="s">
        <v>408</v>
      </c>
      <c r="F1103" s="21" t="n">
        <v>46010.3693908333</v>
      </c>
      <c r="G1103" s="21" t="n">
        <v>46010.3947380556</v>
      </c>
      <c r="H1103" s="10" t="n">
        <v>0.608333333333333</v>
      </c>
      <c r="I1103" s="15" t="n">
        <v>46009</v>
      </c>
      <c r="J1103" s="2" t="s">
        <v>629</v>
      </c>
    </row>
    <row r="1104" customFormat="false" ht="15" hidden="false" customHeight="false" outlineLevel="0" collapsed="false">
      <c r="A1104" s="2" t="s">
        <v>619</v>
      </c>
      <c r="B1104" s="2" t="s">
        <v>119</v>
      </c>
      <c r="C1104" s="4" t="n">
        <v>11</v>
      </c>
      <c r="D1104" s="2" t="s">
        <v>452</v>
      </c>
      <c r="E1104" s="2" t="s">
        <v>411</v>
      </c>
      <c r="F1104" s="21" t="n">
        <v>46010.3947380556</v>
      </c>
      <c r="G1104" s="21" t="n">
        <v>46010.4285575</v>
      </c>
      <c r="H1104" s="10" t="n">
        <v>0.811666666666667</v>
      </c>
      <c r="I1104" s="15" t="n">
        <v>46009</v>
      </c>
      <c r="J1104" s="2" t="s">
        <v>629</v>
      </c>
    </row>
    <row r="1105" customFormat="false" ht="15" hidden="false" customHeight="false" outlineLevel="0" collapsed="false">
      <c r="A1105" s="2" t="s">
        <v>614</v>
      </c>
      <c r="B1105" s="2" t="s">
        <v>83</v>
      </c>
      <c r="C1105" s="4" t="n">
        <v>1</v>
      </c>
      <c r="D1105" s="2" t="s">
        <v>437</v>
      </c>
      <c r="E1105" s="2" t="s">
        <v>375</v>
      </c>
      <c r="F1105" s="21" t="n">
        <v>46007.3333333333</v>
      </c>
      <c r="G1105" s="21" t="n">
        <v>46007.6916944445</v>
      </c>
      <c r="H1105" s="10" t="n">
        <v>7.60066666666667</v>
      </c>
      <c r="I1105" s="15" t="n">
        <v>46025</v>
      </c>
      <c r="J1105" s="2" t="s">
        <v>629</v>
      </c>
    </row>
    <row r="1106" customFormat="false" ht="15" hidden="false" customHeight="false" outlineLevel="0" collapsed="false">
      <c r="A1106" s="2" t="s">
        <v>614</v>
      </c>
      <c r="B1106" s="2" t="s">
        <v>83</v>
      </c>
      <c r="C1106" s="4" t="n">
        <v>2</v>
      </c>
      <c r="D1106" s="2" t="s">
        <v>441</v>
      </c>
      <c r="E1106" s="2" t="s">
        <v>380</v>
      </c>
      <c r="F1106" s="21" t="n">
        <v>46007.6916944445</v>
      </c>
      <c r="G1106" s="21" t="n">
        <v>46009.4278055556</v>
      </c>
      <c r="H1106" s="10" t="n">
        <v>10.6666666666667</v>
      </c>
      <c r="I1106" s="15" t="n">
        <v>46025</v>
      </c>
      <c r="J1106" s="2" t="s">
        <v>629</v>
      </c>
    </row>
    <row r="1107" customFormat="false" ht="15" hidden="false" customHeight="false" outlineLevel="0" collapsed="false">
      <c r="A1107" s="2" t="s">
        <v>614</v>
      </c>
      <c r="B1107" s="2" t="s">
        <v>83</v>
      </c>
      <c r="C1107" s="4" t="n">
        <v>3</v>
      </c>
      <c r="D1107" s="2" t="s">
        <v>386</v>
      </c>
      <c r="E1107" s="2" t="s">
        <v>383</v>
      </c>
      <c r="F1107" s="21" t="n">
        <v>46009.4278055556</v>
      </c>
      <c r="G1107" s="21" t="n">
        <v>46013.4591944445</v>
      </c>
      <c r="H1107" s="10" t="n">
        <v>16.7533333333333</v>
      </c>
      <c r="I1107" s="15" t="n">
        <v>46025</v>
      </c>
      <c r="J1107" s="2" t="s">
        <v>629</v>
      </c>
    </row>
    <row r="1108" customFormat="false" ht="15" hidden="false" customHeight="false" outlineLevel="0" collapsed="false">
      <c r="A1108" s="2" t="s">
        <v>614</v>
      </c>
      <c r="B1108" s="2" t="s">
        <v>83</v>
      </c>
      <c r="C1108" s="4" t="n">
        <v>4</v>
      </c>
      <c r="D1108" s="2" t="s">
        <v>390</v>
      </c>
      <c r="E1108" s="2" t="s">
        <v>387</v>
      </c>
      <c r="F1108" s="21" t="n">
        <v>46013.4591944445</v>
      </c>
      <c r="G1108" s="21" t="n">
        <v>46015.3841944444</v>
      </c>
      <c r="H1108" s="10" t="n">
        <v>14.2</v>
      </c>
      <c r="I1108" s="15" t="n">
        <v>46025</v>
      </c>
      <c r="J1108" s="2" t="s">
        <v>629</v>
      </c>
    </row>
    <row r="1109" customFormat="false" ht="15" hidden="false" customHeight="false" outlineLevel="0" collapsed="false">
      <c r="A1109" s="2" t="s">
        <v>614</v>
      </c>
      <c r="B1109" s="2" t="s">
        <v>83</v>
      </c>
      <c r="C1109" s="4" t="n">
        <v>5</v>
      </c>
      <c r="D1109" s="2" t="s">
        <v>442</v>
      </c>
      <c r="E1109" s="2" t="s">
        <v>391</v>
      </c>
      <c r="F1109" s="21" t="n">
        <v>46015.3841944444</v>
      </c>
      <c r="G1109" s="21" t="n">
        <v>46017.38475</v>
      </c>
      <c r="H1109" s="10" t="n">
        <v>16.0133333333333</v>
      </c>
      <c r="I1109" s="15" t="n">
        <v>46025</v>
      </c>
      <c r="J1109" s="2" t="s">
        <v>629</v>
      </c>
    </row>
    <row r="1110" customFormat="false" ht="15" hidden="false" customHeight="false" outlineLevel="0" collapsed="false">
      <c r="A1110" s="2" t="s">
        <v>614</v>
      </c>
      <c r="B1110" s="2" t="s">
        <v>83</v>
      </c>
      <c r="C1110" s="4" t="n">
        <v>6</v>
      </c>
      <c r="D1110" s="2" t="s">
        <v>443</v>
      </c>
      <c r="E1110" s="2" t="s">
        <v>395</v>
      </c>
      <c r="F1110" s="21" t="n">
        <v>46017.38475</v>
      </c>
      <c r="G1110" s="21" t="n">
        <v>46020.4680833333</v>
      </c>
      <c r="H1110" s="10" t="n">
        <v>10</v>
      </c>
      <c r="I1110" s="15" t="n">
        <v>46025</v>
      </c>
      <c r="J1110" s="2" t="s">
        <v>629</v>
      </c>
    </row>
    <row r="1111" customFormat="false" ht="15" hidden="false" customHeight="false" outlineLevel="0" collapsed="false">
      <c r="A1111" s="2" t="s">
        <v>614</v>
      </c>
      <c r="B1111" s="2" t="s">
        <v>83</v>
      </c>
      <c r="C1111" s="4" t="n">
        <v>7</v>
      </c>
      <c r="D1111" s="2" t="s">
        <v>444</v>
      </c>
      <c r="E1111" s="2" t="s">
        <v>399</v>
      </c>
      <c r="F1111" s="21" t="n">
        <v>46020.4680833333</v>
      </c>
      <c r="G1111" s="21" t="n">
        <v>46021.4102833333</v>
      </c>
      <c r="H1111" s="10" t="n">
        <v>6.6128</v>
      </c>
      <c r="I1111" s="15" t="n">
        <v>46025</v>
      </c>
      <c r="J1111" s="2" t="s">
        <v>629</v>
      </c>
    </row>
    <row r="1112" customFormat="false" ht="15" hidden="false" customHeight="false" outlineLevel="0" collapsed="false">
      <c r="A1112" s="2" t="s">
        <v>614</v>
      </c>
      <c r="B1112" s="2" t="s">
        <v>83</v>
      </c>
      <c r="C1112" s="4" t="n">
        <v>8</v>
      </c>
      <c r="D1112" s="2" t="s">
        <v>445</v>
      </c>
      <c r="E1112" s="2" t="s">
        <v>402</v>
      </c>
      <c r="F1112" s="21" t="n">
        <v>46021.4102833333</v>
      </c>
      <c r="G1112" s="21" t="n">
        <v>46021.4937833333</v>
      </c>
      <c r="H1112" s="10" t="n">
        <v>2.004</v>
      </c>
      <c r="I1112" s="15" t="n">
        <v>46025</v>
      </c>
      <c r="J1112" s="2" t="s">
        <v>629</v>
      </c>
    </row>
    <row r="1113" customFormat="false" ht="15" hidden="false" customHeight="false" outlineLevel="0" collapsed="false">
      <c r="A1113" s="2" t="s">
        <v>614</v>
      </c>
      <c r="B1113" s="2" t="s">
        <v>83</v>
      </c>
      <c r="C1113" s="4" t="n">
        <v>9</v>
      </c>
      <c r="D1113" s="2" t="s">
        <v>447</v>
      </c>
      <c r="E1113" s="2" t="s">
        <v>421</v>
      </c>
      <c r="F1113" s="21" t="n">
        <v>46021.4937833333</v>
      </c>
      <c r="G1113" s="21" t="n">
        <v>46021.59795</v>
      </c>
      <c r="H1113" s="10" t="n">
        <v>1.5</v>
      </c>
      <c r="I1113" s="15" t="n">
        <v>46025</v>
      </c>
      <c r="J1113" s="2" t="s">
        <v>629</v>
      </c>
    </row>
    <row r="1114" customFormat="false" ht="15" hidden="false" customHeight="false" outlineLevel="0" collapsed="false">
      <c r="A1114" s="2" t="s">
        <v>614</v>
      </c>
      <c r="B1114" s="2" t="s">
        <v>83</v>
      </c>
      <c r="C1114" s="4" t="n">
        <v>10</v>
      </c>
      <c r="D1114" s="2" t="s">
        <v>449</v>
      </c>
      <c r="E1114" s="2" t="s">
        <v>423</v>
      </c>
      <c r="F1114" s="21" t="n">
        <v>46021.59795</v>
      </c>
      <c r="G1114" s="21" t="n">
        <v>46021.6314777778</v>
      </c>
      <c r="H1114" s="10" t="n">
        <v>0.804666666666667</v>
      </c>
      <c r="I1114" s="15" t="n">
        <v>46025</v>
      </c>
      <c r="J1114" s="2" t="s">
        <v>629</v>
      </c>
    </row>
    <row r="1115" customFormat="false" ht="15" hidden="false" customHeight="false" outlineLevel="0" collapsed="false">
      <c r="A1115" s="2" t="s">
        <v>614</v>
      </c>
      <c r="B1115" s="2" t="s">
        <v>83</v>
      </c>
      <c r="C1115" s="4" t="n">
        <v>11</v>
      </c>
      <c r="D1115" s="2" t="s">
        <v>450</v>
      </c>
      <c r="E1115" s="2" t="s">
        <v>406</v>
      </c>
      <c r="F1115" s="21" t="n">
        <v>46021.6314777778</v>
      </c>
      <c r="G1115" s="21" t="n">
        <v>46023.4502277778</v>
      </c>
      <c r="H1115" s="10" t="n">
        <v>12.65</v>
      </c>
      <c r="I1115" s="15" t="n">
        <v>46025</v>
      </c>
      <c r="J1115" s="2" t="s">
        <v>629</v>
      </c>
    </row>
    <row r="1116" customFormat="false" ht="15" hidden="false" customHeight="false" outlineLevel="0" collapsed="false">
      <c r="A1116" s="2" t="s">
        <v>614</v>
      </c>
      <c r="B1116" s="2" t="s">
        <v>83</v>
      </c>
      <c r="C1116" s="4" t="n">
        <v>12</v>
      </c>
      <c r="D1116" s="2" t="s">
        <v>451</v>
      </c>
      <c r="E1116" s="2" t="s">
        <v>408</v>
      </c>
      <c r="F1116" s="21" t="n">
        <v>46023.4502277778</v>
      </c>
      <c r="G1116" s="21" t="n">
        <v>46023.4851722222</v>
      </c>
      <c r="H1116" s="10" t="n">
        <v>0.838666666666667</v>
      </c>
      <c r="I1116" s="15" t="n">
        <v>46025</v>
      </c>
      <c r="J1116" s="2" t="s">
        <v>629</v>
      </c>
    </row>
    <row r="1117" customFormat="false" ht="15" hidden="false" customHeight="false" outlineLevel="0" collapsed="false">
      <c r="A1117" s="2" t="s">
        <v>614</v>
      </c>
      <c r="B1117" s="2" t="s">
        <v>83</v>
      </c>
      <c r="C1117" s="4" t="n">
        <v>13</v>
      </c>
      <c r="D1117" s="2" t="s">
        <v>452</v>
      </c>
      <c r="E1117" s="2" t="s">
        <v>411</v>
      </c>
      <c r="F1117" s="21" t="n">
        <v>46023.4851722222</v>
      </c>
      <c r="G1117" s="21" t="n">
        <v>46023.5737833333</v>
      </c>
      <c r="H1117" s="10" t="n">
        <v>1.12666666666667</v>
      </c>
      <c r="I1117" s="15" t="n">
        <v>46025</v>
      </c>
      <c r="J1117" s="2" t="s">
        <v>629</v>
      </c>
    </row>
    <row r="1118" customFormat="false" ht="15" hidden="false" customHeight="false" outlineLevel="0" collapsed="false">
      <c r="A1118" s="2" t="s">
        <v>616</v>
      </c>
      <c r="B1118" s="2" t="s">
        <v>96</v>
      </c>
      <c r="C1118" s="4" t="n">
        <v>1</v>
      </c>
      <c r="D1118" s="2" t="s">
        <v>437</v>
      </c>
      <c r="E1118" s="2" t="s">
        <v>375</v>
      </c>
      <c r="F1118" s="21" t="n">
        <v>46007.6916944445</v>
      </c>
      <c r="G1118" s="21" t="n">
        <v>46008.6408784722</v>
      </c>
      <c r="H1118" s="10" t="n">
        <v>6.78041666666667</v>
      </c>
      <c r="I1118" s="15" t="n">
        <v>46023</v>
      </c>
      <c r="J1118" s="2" t="s">
        <v>629</v>
      </c>
    </row>
    <row r="1119" customFormat="false" ht="15" hidden="false" customHeight="false" outlineLevel="0" collapsed="false">
      <c r="A1119" s="2" t="s">
        <v>616</v>
      </c>
      <c r="B1119" s="2" t="s">
        <v>96</v>
      </c>
      <c r="C1119" s="4" t="n">
        <v>2</v>
      </c>
      <c r="D1119" s="2" t="s">
        <v>441</v>
      </c>
      <c r="E1119" s="2" t="s">
        <v>380</v>
      </c>
      <c r="F1119" s="21" t="n">
        <v>46009.4278055556</v>
      </c>
      <c r="G1119" s="21" t="n">
        <v>46009.4638888889</v>
      </c>
      <c r="H1119" s="10" t="n">
        <v>0.866</v>
      </c>
      <c r="I1119" s="15" t="n">
        <v>46023</v>
      </c>
      <c r="J1119" s="2" t="s">
        <v>629</v>
      </c>
    </row>
    <row r="1120" customFormat="false" ht="15" hidden="false" customHeight="false" outlineLevel="0" collapsed="false">
      <c r="A1120" s="2" t="s">
        <v>616</v>
      </c>
      <c r="B1120" s="2" t="s">
        <v>96</v>
      </c>
      <c r="C1120" s="4" t="n">
        <v>3</v>
      </c>
      <c r="D1120" s="2" t="s">
        <v>386</v>
      </c>
      <c r="E1120" s="2" t="s">
        <v>383</v>
      </c>
      <c r="F1120" s="21" t="n">
        <v>46013.4591944445</v>
      </c>
      <c r="G1120" s="21" t="n">
        <v>46014.4585</v>
      </c>
      <c r="H1120" s="10" t="n">
        <v>7.98333333333333</v>
      </c>
      <c r="I1120" s="15" t="n">
        <v>46023</v>
      </c>
      <c r="J1120" s="2" t="s">
        <v>629</v>
      </c>
    </row>
    <row r="1121" customFormat="false" ht="15" hidden="false" customHeight="false" outlineLevel="0" collapsed="false">
      <c r="A1121" s="2" t="s">
        <v>616</v>
      </c>
      <c r="B1121" s="2" t="s">
        <v>96</v>
      </c>
      <c r="C1121" s="4" t="n">
        <v>4</v>
      </c>
      <c r="D1121" s="2" t="s">
        <v>390</v>
      </c>
      <c r="E1121" s="2" t="s">
        <v>387</v>
      </c>
      <c r="F1121" s="21" t="n">
        <v>46015.3841944444</v>
      </c>
      <c r="G1121" s="21" t="n">
        <v>46016.7036388889</v>
      </c>
      <c r="H1121" s="10" t="n">
        <v>14.6666666666667</v>
      </c>
      <c r="I1121" s="15" t="n">
        <v>46023</v>
      </c>
      <c r="J1121" s="2" t="s">
        <v>629</v>
      </c>
    </row>
    <row r="1122" customFormat="false" ht="15" hidden="false" customHeight="false" outlineLevel="0" collapsed="false">
      <c r="A1122" s="2" t="s">
        <v>616</v>
      </c>
      <c r="B1122" s="2" t="s">
        <v>96</v>
      </c>
      <c r="C1122" s="4" t="n">
        <v>5</v>
      </c>
      <c r="D1122" s="2" t="s">
        <v>442</v>
      </c>
      <c r="E1122" s="2" t="s">
        <v>391</v>
      </c>
      <c r="F1122" s="21" t="n">
        <v>46017.38475</v>
      </c>
      <c r="G1122" s="21" t="n">
        <v>46017.4189166667</v>
      </c>
      <c r="H1122" s="10" t="n">
        <v>0.82</v>
      </c>
      <c r="I1122" s="15" t="n">
        <v>46023</v>
      </c>
      <c r="J1122" s="2" t="s">
        <v>629</v>
      </c>
    </row>
    <row r="1123" customFormat="false" ht="15" hidden="false" customHeight="false" outlineLevel="0" collapsed="false">
      <c r="A1123" s="2" t="s">
        <v>616</v>
      </c>
      <c r="B1123" s="2" t="s">
        <v>96</v>
      </c>
      <c r="C1123" s="4" t="n">
        <v>6</v>
      </c>
      <c r="D1123" s="2" t="s">
        <v>443</v>
      </c>
      <c r="E1123" s="2" t="s">
        <v>395</v>
      </c>
      <c r="F1123" s="21" t="n">
        <v>46020.4680833333</v>
      </c>
      <c r="G1123" s="21" t="n">
        <v>46020.67225</v>
      </c>
      <c r="H1123" s="10" t="n">
        <v>3.9</v>
      </c>
      <c r="I1123" s="15" t="n">
        <v>46023</v>
      </c>
      <c r="J1123" s="2" t="s">
        <v>629</v>
      </c>
    </row>
    <row r="1124" customFormat="false" ht="15" hidden="false" customHeight="false" outlineLevel="0" collapsed="false">
      <c r="A1124" s="2" t="s">
        <v>616</v>
      </c>
      <c r="B1124" s="2" t="s">
        <v>96</v>
      </c>
      <c r="C1124" s="4" t="n">
        <v>7</v>
      </c>
      <c r="D1124" s="2" t="s">
        <v>444</v>
      </c>
      <c r="E1124" s="2" t="s">
        <v>399</v>
      </c>
      <c r="F1124" s="21" t="n">
        <v>46021.4102833333</v>
      </c>
      <c r="G1124" s="21" t="n">
        <v>46021.5877127778</v>
      </c>
      <c r="H1124" s="10" t="n">
        <v>3.25830666666667</v>
      </c>
      <c r="I1124" s="15" t="n">
        <v>46023</v>
      </c>
      <c r="J1124" s="2" t="s">
        <v>629</v>
      </c>
    </row>
    <row r="1125" customFormat="false" ht="15" hidden="false" customHeight="false" outlineLevel="0" collapsed="false">
      <c r="A1125" s="2" t="s">
        <v>616</v>
      </c>
      <c r="B1125" s="2" t="s">
        <v>96</v>
      </c>
      <c r="C1125" s="4" t="n">
        <v>8</v>
      </c>
      <c r="D1125" s="2" t="s">
        <v>445</v>
      </c>
      <c r="E1125" s="2" t="s">
        <v>402</v>
      </c>
      <c r="F1125" s="21" t="n">
        <v>46021.5877127778</v>
      </c>
      <c r="G1125" s="21" t="n">
        <v>46021.6317266667</v>
      </c>
      <c r="H1125" s="10" t="n">
        <v>1.05633333333333</v>
      </c>
      <c r="I1125" s="15" t="n">
        <v>46023</v>
      </c>
      <c r="J1125" s="2" t="s">
        <v>629</v>
      </c>
    </row>
    <row r="1126" customFormat="false" ht="15" hidden="false" customHeight="false" outlineLevel="0" collapsed="false">
      <c r="A1126" s="2" t="s">
        <v>616</v>
      </c>
      <c r="B1126" s="2" t="s">
        <v>96</v>
      </c>
      <c r="C1126" s="4" t="n">
        <v>9</v>
      </c>
      <c r="D1126" s="2" t="s">
        <v>447</v>
      </c>
      <c r="E1126" s="2" t="s">
        <v>421</v>
      </c>
      <c r="F1126" s="21" t="n">
        <v>46021.6317266667</v>
      </c>
      <c r="G1126" s="21" t="n">
        <v>46021.6629766667</v>
      </c>
      <c r="H1126" s="10" t="n">
        <v>0.75</v>
      </c>
      <c r="I1126" s="15" t="n">
        <v>46023</v>
      </c>
      <c r="J1126" s="2" t="s">
        <v>629</v>
      </c>
    </row>
    <row r="1127" customFormat="false" ht="15" hidden="false" customHeight="false" outlineLevel="0" collapsed="false">
      <c r="A1127" s="2" t="s">
        <v>616</v>
      </c>
      <c r="B1127" s="2" t="s">
        <v>96</v>
      </c>
      <c r="C1127" s="4" t="n">
        <v>10</v>
      </c>
      <c r="D1127" s="2" t="s">
        <v>449</v>
      </c>
      <c r="E1127" s="2" t="s">
        <v>423</v>
      </c>
      <c r="F1127" s="21" t="n">
        <v>46021.6629766667</v>
      </c>
      <c r="G1127" s="21" t="n">
        <v>46021.6808794444</v>
      </c>
      <c r="H1127" s="10" t="n">
        <v>0.429666666666667</v>
      </c>
      <c r="I1127" s="15" t="n">
        <v>46023</v>
      </c>
      <c r="J1127" s="2" t="s">
        <v>629</v>
      </c>
    </row>
    <row r="1128" customFormat="false" ht="15" hidden="false" customHeight="false" outlineLevel="0" collapsed="false">
      <c r="A1128" s="2" t="s">
        <v>616</v>
      </c>
      <c r="B1128" s="2" t="s">
        <v>96</v>
      </c>
      <c r="C1128" s="4" t="n">
        <v>11</v>
      </c>
      <c r="D1128" s="2" t="s">
        <v>450</v>
      </c>
      <c r="E1128" s="2" t="s">
        <v>406</v>
      </c>
      <c r="F1128" s="21" t="n">
        <v>46023.4502277778</v>
      </c>
      <c r="G1128" s="21" t="n">
        <v>46024.3580402778</v>
      </c>
      <c r="H1128" s="10" t="n">
        <v>5.7875</v>
      </c>
      <c r="I1128" s="15" t="n">
        <v>46023</v>
      </c>
      <c r="J1128" s="2" t="s">
        <v>629</v>
      </c>
    </row>
    <row r="1129" customFormat="false" ht="15" hidden="false" customHeight="false" outlineLevel="0" collapsed="false">
      <c r="A1129" s="2" t="s">
        <v>616</v>
      </c>
      <c r="B1129" s="2" t="s">
        <v>96</v>
      </c>
      <c r="C1129" s="4" t="n">
        <v>12</v>
      </c>
      <c r="D1129" s="2" t="s">
        <v>451</v>
      </c>
      <c r="E1129" s="2" t="s">
        <v>408</v>
      </c>
      <c r="F1129" s="21" t="n">
        <v>46024.3580402778</v>
      </c>
      <c r="G1129" s="21" t="n">
        <v>46024.3772694444</v>
      </c>
      <c r="H1129" s="10" t="n">
        <v>0.4615</v>
      </c>
      <c r="I1129" s="15" t="n">
        <v>46023</v>
      </c>
      <c r="J1129" s="2" t="s">
        <v>629</v>
      </c>
    </row>
    <row r="1130" customFormat="false" ht="15" hidden="false" customHeight="false" outlineLevel="0" collapsed="false">
      <c r="A1130" s="2" t="s">
        <v>616</v>
      </c>
      <c r="B1130" s="2" t="s">
        <v>96</v>
      </c>
      <c r="C1130" s="4" t="n">
        <v>13</v>
      </c>
      <c r="D1130" s="2" t="s">
        <v>452</v>
      </c>
      <c r="E1130" s="2" t="s">
        <v>411</v>
      </c>
      <c r="F1130" s="21" t="n">
        <v>46024.3772694444</v>
      </c>
      <c r="G1130" s="21" t="n">
        <v>46024.4029638889</v>
      </c>
      <c r="H1130" s="10" t="n">
        <v>0.616666666666667</v>
      </c>
      <c r="I1130" s="15" t="n">
        <v>46023</v>
      </c>
      <c r="J1130" s="2" t="s">
        <v>629</v>
      </c>
    </row>
    <row r="1131" customFormat="false" ht="15" hidden="false" customHeight="false" outlineLevel="0" collapsed="false">
      <c r="A1131" s="2" t="s">
        <v>618</v>
      </c>
      <c r="B1131" s="2" t="s">
        <v>108</v>
      </c>
      <c r="C1131" s="4" t="n">
        <v>1</v>
      </c>
      <c r="D1131" s="2" t="s">
        <v>437</v>
      </c>
      <c r="E1131" s="2" t="s">
        <v>375</v>
      </c>
      <c r="F1131" s="21" t="n">
        <v>46008.6408784722</v>
      </c>
      <c r="G1131" s="21" t="n">
        <v>46009.5511840278</v>
      </c>
      <c r="H1131" s="10" t="n">
        <v>5.84733333333333</v>
      </c>
      <c r="I1131" s="15" t="n">
        <v>46022</v>
      </c>
      <c r="J1131" s="2" t="s">
        <v>629</v>
      </c>
    </row>
    <row r="1132" customFormat="false" ht="15" hidden="false" customHeight="false" outlineLevel="0" collapsed="false">
      <c r="A1132" s="2" t="s">
        <v>618</v>
      </c>
      <c r="B1132" s="2" t="s">
        <v>108</v>
      </c>
      <c r="C1132" s="4" t="n">
        <v>2</v>
      </c>
      <c r="D1132" s="2" t="s">
        <v>386</v>
      </c>
      <c r="E1132" s="2" t="s">
        <v>383</v>
      </c>
      <c r="F1132" s="21" t="n">
        <v>46014.4585</v>
      </c>
      <c r="G1132" s="21" t="n">
        <v>46014.6196111111</v>
      </c>
      <c r="H1132" s="10" t="n">
        <v>2.86666666666667</v>
      </c>
      <c r="I1132" s="15" t="n">
        <v>46022</v>
      </c>
      <c r="J1132" s="2" t="s">
        <v>629</v>
      </c>
    </row>
    <row r="1133" customFormat="false" ht="15" hidden="false" customHeight="false" outlineLevel="0" collapsed="false">
      <c r="A1133" s="2" t="s">
        <v>618</v>
      </c>
      <c r="B1133" s="2" t="s">
        <v>108</v>
      </c>
      <c r="C1133" s="4" t="n">
        <v>3</v>
      </c>
      <c r="D1133" s="2" t="s">
        <v>390</v>
      </c>
      <c r="E1133" s="2" t="s">
        <v>387</v>
      </c>
      <c r="F1133" s="21" t="n">
        <v>46016.7036388889</v>
      </c>
      <c r="G1133" s="21" t="n">
        <v>46020.6661388889</v>
      </c>
      <c r="H1133" s="10" t="n">
        <v>15.1</v>
      </c>
      <c r="I1133" s="15" t="n">
        <v>46022</v>
      </c>
      <c r="J1133" s="2" t="s">
        <v>629</v>
      </c>
    </row>
    <row r="1134" customFormat="false" ht="15" hidden="false" customHeight="false" outlineLevel="0" collapsed="false">
      <c r="A1134" s="2" t="s">
        <v>618</v>
      </c>
      <c r="B1134" s="2" t="s">
        <v>108</v>
      </c>
      <c r="C1134" s="4" t="n">
        <v>4</v>
      </c>
      <c r="D1134" s="2" t="s">
        <v>443</v>
      </c>
      <c r="E1134" s="2" t="s">
        <v>395</v>
      </c>
      <c r="F1134" s="21" t="n">
        <v>46020.67225</v>
      </c>
      <c r="G1134" s="21" t="n">
        <v>46021.4055833333</v>
      </c>
      <c r="H1134" s="10" t="n">
        <v>2.6</v>
      </c>
      <c r="I1134" s="15" t="n">
        <v>46022</v>
      </c>
      <c r="J1134" s="2" t="s">
        <v>629</v>
      </c>
    </row>
    <row r="1135" customFormat="false" ht="15" hidden="false" customHeight="false" outlineLevel="0" collapsed="false">
      <c r="A1135" s="2" t="s">
        <v>618</v>
      </c>
      <c r="B1135" s="2" t="s">
        <v>108</v>
      </c>
      <c r="C1135" s="4" t="n">
        <v>5</v>
      </c>
      <c r="D1135" s="2" t="s">
        <v>444</v>
      </c>
      <c r="E1135" s="2" t="s">
        <v>399</v>
      </c>
      <c r="F1135" s="21" t="n">
        <v>46021.5877127778</v>
      </c>
      <c r="G1135" s="21" t="n">
        <v>46022.3732461111</v>
      </c>
      <c r="H1135" s="10" t="n">
        <v>3.8528</v>
      </c>
      <c r="I1135" s="15" t="n">
        <v>46022</v>
      </c>
      <c r="J1135" s="2" t="s">
        <v>629</v>
      </c>
    </row>
    <row r="1136" customFormat="false" ht="15" hidden="false" customHeight="false" outlineLevel="0" collapsed="false">
      <c r="A1136" s="2" t="s">
        <v>618</v>
      </c>
      <c r="B1136" s="2" t="s">
        <v>108</v>
      </c>
      <c r="C1136" s="4" t="n">
        <v>6</v>
      </c>
      <c r="D1136" s="2" t="s">
        <v>445</v>
      </c>
      <c r="E1136" s="2" t="s">
        <v>402</v>
      </c>
      <c r="F1136" s="21" t="n">
        <v>46022.3732461111</v>
      </c>
      <c r="G1136" s="21" t="n">
        <v>46022.4100377778</v>
      </c>
      <c r="H1136" s="10" t="n">
        <v>0.883</v>
      </c>
      <c r="I1136" s="15" t="n">
        <v>46022</v>
      </c>
      <c r="J1136" s="2" t="s">
        <v>629</v>
      </c>
    </row>
    <row r="1137" customFormat="false" ht="15" hidden="false" customHeight="false" outlineLevel="0" collapsed="false">
      <c r="A1137" s="2" t="s">
        <v>618</v>
      </c>
      <c r="B1137" s="2" t="s">
        <v>108</v>
      </c>
      <c r="C1137" s="4" t="n">
        <v>7</v>
      </c>
      <c r="D1137" s="2" t="s">
        <v>447</v>
      </c>
      <c r="E1137" s="2" t="s">
        <v>421</v>
      </c>
      <c r="F1137" s="21" t="n">
        <v>46022.4100377778</v>
      </c>
      <c r="G1137" s="21" t="n">
        <v>46022.4412877778</v>
      </c>
      <c r="H1137" s="10" t="n">
        <v>0.75</v>
      </c>
      <c r="I1137" s="15" t="n">
        <v>46022</v>
      </c>
      <c r="J1137" s="2" t="s">
        <v>629</v>
      </c>
    </row>
    <row r="1138" customFormat="false" ht="15" hidden="false" customHeight="false" outlineLevel="0" collapsed="false">
      <c r="A1138" s="2" t="s">
        <v>618</v>
      </c>
      <c r="B1138" s="2" t="s">
        <v>108</v>
      </c>
      <c r="C1138" s="4" t="n">
        <v>8</v>
      </c>
      <c r="D1138" s="2" t="s">
        <v>449</v>
      </c>
      <c r="E1138" s="2" t="s">
        <v>423</v>
      </c>
      <c r="F1138" s="21" t="n">
        <v>46022.4412877778</v>
      </c>
      <c r="G1138" s="21" t="n">
        <v>46022.4569266667</v>
      </c>
      <c r="H1138" s="10" t="n">
        <v>0.375333333333333</v>
      </c>
      <c r="I1138" s="15" t="n">
        <v>46022</v>
      </c>
      <c r="J1138" s="2" t="s">
        <v>629</v>
      </c>
    </row>
    <row r="1139" customFormat="false" ht="15" hidden="false" customHeight="false" outlineLevel="0" collapsed="false">
      <c r="A1139" s="2" t="s">
        <v>618</v>
      </c>
      <c r="B1139" s="2" t="s">
        <v>108</v>
      </c>
      <c r="C1139" s="4" t="n">
        <v>9</v>
      </c>
      <c r="D1139" s="2" t="s">
        <v>450</v>
      </c>
      <c r="E1139" s="2" t="s">
        <v>406</v>
      </c>
      <c r="F1139" s="21" t="n">
        <v>46024.3580402778</v>
      </c>
      <c r="G1139" s="21" t="n">
        <v>46024.6382486111</v>
      </c>
      <c r="H1139" s="10" t="n">
        <v>5.725</v>
      </c>
      <c r="I1139" s="15" t="n">
        <v>46022</v>
      </c>
      <c r="J1139" s="2" t="s">
        <v>629</v>
      </c>
    </row>
    <row r="1140" customFormat="false" ht="15" hidden="false" customHeight="false" outlineLevel="0" collapsed="false">
      <c r="A1140" s="2" t="s">
        <v>618</v>
      </c>
      <c r="B1140" s="2" t="s">
        <v>108</v>
      </c>
      <c r="C1140" s="4" t="n">
        <v>10</v>
      </c>
      <c r="D1140" s="2" t="s">
        <v>451</v>
      </c>
      <c r="E1140" s="2" t="s">
        <v>408</v>
      </c>
      <c r="F1140" s="21" t="n">
        <v>46024.6382486111</v>
      </c>
      <c r="G1140" s="21" t="n">
        <v>46024.6543041667</v>
      </c>
      <c r="H1140" s="10" t="n">
        <v>0.385333333333333</v>
      </c>
      <c r="I1140" s="15" t="n">
        <v>46022</v>
      </c>
      <c r="J1140" s="2" t="s">
        <v>629</v>
      </c>
    </row>
    <row r="1141" customFormat="false" ht="15" hidden="false" customHeight="false" outlineLevel="0" collapsed="false">
      <c r="A1141" s="2" t="s">
        <v>618</v>
      </c>
      <c r="B1141" s="2" t="s">
        <v>108</v>
      </c>
      <c r="C1141" s="4" t="n">
        <v>11</v>
      </c>
      <c r="D1141" s="2" t="s">
        <v>452</v>
      </c>
      <c r="E1141" s="2" t="s">
        <v>411</v>
      </c>
      <c r="F1141" s="21" t="n">
        <v>46024.6543041667</v>
      </c>
      <c r="G1141" s="21" t="n">
        <v>46024.6756097222</v>
      </c>
      <c r="H1141" s="10" t="n">
        <v>0.511333333333333</v>
      </c>
      <c r="I1141" s="15" t="n">
        <v>46022</v>
      </c>
      <c r="J1141" s="2" t="s">
        <v>629</v>
      </c>
    </row>
    <row r="1142" customFormat="false" ht="15" hidden="false" customHeight="false" outlineLevel="0" collapsed="false">
      <c r="A1142" s="2" t="s">
        <v>620</v>
      </c>
      <c r="B1142" s="2" t="s">
        <v>121</v>
      </c>
      <c r="C1142" s="4" t="n">
        <v>1</v>
      </c>
      <c r="D1142" s="2" t="s">
        <v>437</v>
      </c>
      <c r="E1142" s="2" t="s">
        <v>375</v>
      </c>
      <c r="F1142" s="21" t="n">
        <v>46009.5511840278</v>
      </c>
      <c r="G1142" s="21" t="n">
        <v>46010.4311840278</v>
      </c>
      <c r="H1142" s="10" t="n">
        <v>6.12</v>
      </c>
      <c r="I1142" s="15" t="n">
        <v>46023</v>
      </c>
      <c r="J1142" s="2" t="s">
        <v>629</v>
      </c>
    </row>
    <row r="1143" customFormat="false" ht="15" hidden="false" customHeight="false" outlineLevel="0" collapsed="false">
      <c r="A1143" s="2" t="s">
        <v>620</v>
      </c>
      <c r="B1143" s="2" t="s">
        <v>121</v>
      </c>
      <c r="C1143" s="4" t="n">
        <v>2</v>
      </c>
      <c r="D1143" s="2" t="s">
        <v>441</v>
      </c>
      <c r="E1143" s="2" t="s">
        <v>380</v>
      </c>
      <c r="F1143" s="21" t="n">
        <v>46010.4311840278</v>
      </c>
      <c r="G1143" s="21" t="n">
        <v>46010.7025729167</v>
      </c>
      <c r="H1143" s="10" t="n">
        <v>5.51333333333333</v>
      </c>
      <c r="I1143" s="15" t="n">
        <v>46023</v>
      </c>
      <c r="J1143" s="2" t="s">
        <v>629</v>
      </c>
    </row>
    <row r="1144" customFormat="false" ht="15" hidden="false" customHeight="false" outlineLevel="0" collapsed="false">
      <c r="A1144" s="2" t="s">
        <v>620</v>
      </c>
      <c r="B1144" s="2" t="s">
        <v>121</v>
      </c>
      <c r="C1144" s="4" t="n">
        <v>3</v>
      </c>
      <c r="D1144" s="2" t="s">
        <v>386</v>
      </c>
      <c r="E1144" s="2" t="s">
        <v>383</v>
      </c>
      <c r="F1144" s="21" t="n">
        <v>46014.6196111111</v>
      </c>
      <c r="G1144" s="21" t="n">
        <v>46015.6737777778</v>
      </c>
      <c r="H1144" s="10" t="n">
        <v>9.3</v>
      </c>
      <c r="I1144" s="15" t="n">
        <v>46023</v>
      </c>
      <c r="J1144" s="2" t="s">
        <v>629</v>
      </c>
    </row>
    <row r="1145" customFormat="false" ht="15" hidden="false" customHeight="false" outlineLevel="0" collapsed="false">
      <c r="A1145" s="2" t="s">
        <v>620</v>
      </c>
      <c r="B1145" s="2" t="s">
        <v>121</v>
      </c>
      <c r="C1145" s="4" t="n">
        <v>4</v>
      </c>
      <c r="D1145" s="2" t="s">
        <v>390</v>
      </c>
      <c r="E1145" s="2" t="s">
        <v>387</v>
      </c>
      <c r="F1145" s="21" t="n">
        <v>46020.6661388889</v>
      </c>
      <c r="G1145" s="21" t="n">
        <v>46022.5980833333</v>
      </c>
      <c r="H1145" s="10" t="n">
        <v>14.3666666666667</v>
      </c>
      <c r="I1145" s="15" t="n">
        <v>46023</v>
      </c>
      <c r="J1145" s="2" t="s">
        <v>629</v>
      </c>
    </row>
    <row r="1146" customFormat="false" ht="15" hidden="false" customHeight="false" outlineLevel="0" collapsed="false">
      <c r="A1146" s="2" t="s">
        <v>620</v>
      </c>
      <c r="B1146" s="2" t="s">
        <v>121</v>
      </c>
      <c r="C1146" s="4" t="n">
        <v>5</v>
      </c>
      <c r="D1146" s="2" t="s">
        <v>443</v>
      </c>
      <c r="E1146" s="2" t="s">
        <v>395</v>
      </c>
      <c r="F1146" s="21" t="n">
        <v>46022.5980833333</v>
      </c>
      <c r="G1146" s="21" t="n">
        <v>46023.4855833333</v>
      </c>
      <c r="H1146" s="10" t="n">
        <v>6.3</v>
      </c>
      <c r="I1146" s="15" t="n">
        <v>46023</v>
      </c>
      <c r="J1146" s="2" t="s">
        <v>629</v>
      </c>
    </row>
    <row r="1147" customFormat="false" ht="15" hidden="false" customHeight="false" outlineLevel="0" collapsed="false">
      <c r="A1147" s="2" t="s">
        <v>620</v>
      </c>
      <c r="B1147" s="2" t="s">
        <v>121</v>
      </c>
      <c r="C1147" s="4" t="n">
        <v>6</v>
      </c>
      <c r="D1147" s="2" t="s">
        <v>444</v>
      </c>
      <c r="E1147" s="2" t="s">
        <v>399</v>
      </c>
      <c r="F1147" s="21" t="n">
        <v>46023.4855833333</v>
      </c>
      <c r="G1147" s="21" t="n">
        <v>46023.7013833333</v>
      </c>
      <c r="H1147" s="10" t="n">
        <v>4.1792</v>
      </c>
      <c r="I1147" s="15" t="n">
        <v>46023</v>
      </c>
      <c r="J1147" s="2" t="s">
        <v>629</v>
      </c>
    </row>
    <row r="1148" customFormat="false" ht="15" hidden="false" customHeight="false" outlineLevel="0" collapsed="false">
      <c r="A1148" s="2" t="s">
        <v>620</v>
      </c>
      <c r="B1148" s="2" t="s">
        <v>121</v>
      </c>
      <c r="C1148" s="4" t="n">
        <v>7</v>
      </c>
      <c r="D1148" s="2" t="s">
        <v>445</v>
      </c>
      <c r="E1148" s="2" t="s">
        <v>402</v>
      </c>
      <c r="F1148" s="21" t="n">
        <v>46023.7013833333</v>
      </c>
      <c r="G1148" s="21" t="n">
        <v>46024.3804111111</v>
      </c>
      <c r="H1148" s="10" t="n">
        <v>1.29666666666667</v>
      </c>
      <c r="I1148" s="15" t="n">
        <v>46023</v>
      </c>
      <c r="J1148" s="2" t="s">
        <v>629</v>
      </c>
    </row>
    <row r="1149" customFormat="false" ht="15" hidden="false" customHeight="false" outlineLevel="0" collapsed="false">
      <c r="A1149" s="2" t="s">
        <v>620</v>
      </c>
      <c r="B1149" s="2" t="s">
        <v>121</v>
      </c>
      <c r="C1149" s="4" t="n">
        <v>8</v>
      </c>
      <c r="D1149" s="2" t="s">
        <v>447</v>
      </c>
      <c r="E1149" s="2" t="s">
        <v>421</v>
      </c>
      <c r="F1149" s="21" t="n">
        <v>46024.3804111111</v>
      </c>
      <c r="G1149" s="21" t="n">
        <v>46024.4116611111</v>
      </c>
      <c r="H1149" s="10" t="n">
        <v>0.75</v>
      </c>
      <c r="I1149" s="15" t="n">
        <v>46023</v>
      </c>
      <c r="J1149" s="2" t="s">
        <v>629</v>
      </c>
    </row>
    <row r="1150" customFormat="false" ht="15" hidden="false" customHeight="false" outlineLevel="0" collapsed="false">
      <c r="A1150" s="2" t="s">
        <v>620</v>
      </c>
      <c r="B1150" s="2" t="s">
        <v>121</v>
      </c>
      <c r="C1150" s="4" t="n">
        <v>9</v>
      </c>
      <c r="D1150" s="2" t="s">
        <v>449</v>
      </c>
      <c r="E1150" s="2" t="s">
        <v>423</v>
      </c>
      <c r="F1150" s="21" t="n">
        <v>46024.4116611111</v>
      </c>
      <c r="G1150" s="21" t="n">
        <v>46024.4336055556</v>
      </c>
      <c r="H1150" s="10" t="n">
        <v>0.526666666666667</v>
      </c>
      <c r="I1150" s="15" t="n">
        <v>46023</v>
      </c>
      <c r="J1150" s="2" t="s">
        <v>629</v>
      </c>
    </row>
    <row r="1151" customFormat="false" ht="15" hidden="false" customHeight="false" outlineLevel="0" collapsed="false">
      <c r="A1151" s="2" t="s">
        <v>620</v>
      </c>
      <c r="B1151" s="2" t="s">
        <v>121</v>
      </c>
      <c r="C1151" s="4" t="n">
        <v>10</v>
      </c>
      <c r="D1151" s="2" t="s">
        <v>450</v>
      </c>
      <c r="E1151" s="2" t="s">
        <v>406</v>
      </c>
      <c r="F1151" s="21" t="n">
        <v>46024.6382486111</v>
      </c>
      <c r="G1151" s="21" t="n">
        <v>46028.3611652778</v>
      </c>
      <c r="H1151" s="10" t="n">
        <v>10.35</v>
      </c>
      <c r="I1151" s="15" t="n">
        <v>46023</v>
      </c>
      <c r="J1151" s="2" t="s">
        <v>629</v>
      </c>
    </row>
    <row r="1152" customFormat="false" ht="15" hidden="false" customHeight="false" outlineLevel="0" collapsed="false">
      <c r="A1152" s="2" t="s">
        <v>620</v>
      </c>
      <c r="B1152" s="2" t="s">
        <v>121</v>
      </c>
      <c r="C1152" s="4" t="n">
        <v>11</v>
      </c>
      <c r="D1152" s="2" t="s">
        <v>451</v>
      </c>
      <c r="E1152" s="2" t="s">
        <v>408</v>
      </c>
      <c r="F1152" s="21" t="n">
        <v>46028.3611652778</v>
      </c>
      <c r="G1152" s="21" t="n">
        <v>46028.3865125</v>
      </c>
      <c r="H1152" s="10" t="n">
        <v>0.608333333333333</v>
      </c>
      <c r="I1152" s="15" t="n">
        <v>46023</v>
      </c>
      <c r="J1152" s="2" t="s">
        <v>629</v>
      </c>
    </row>
    <row r="1153" customFormat="false" ht="15" hidden="false" customHeight="false" outlineLevel="0" collapsed="false">
      <c r="A1153" s="2" t="s">
        <v>620</v>
      </c>
      <c r="B1153" s="2" t="s">
        <v>121</v>
      </c>
      <c r="C1153" s="4" t="n">
        <v>12</v>
      </c>
      <c r="D1153" s="2" t="s">
        <v>452</v>
      </c>
      <c r="E1153" s="2" t="s">
        <v>411</v>
      </c>
      <c r="F1153" s="21" t="n">
        <v>46028.3865125</v>
      </c>
      <c r="G1153" s="21" t="n">
        <v>46028.4203319444</v>
      </c>
      <c r="H1153" s="10" t="n">
        <v>0.811666666666667</v>
      </c>
      <c r="I1153" s="15" t="n">
        <v>46023</v>
      </c>
      <c r="J1153" s="2" t="s">
        <v>629</v>
      </c>
    </row>
  </sheetData>
  <autoFilter ref="A1:J115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5100"/>
    <pageSetUpPr fitToPage="false"/>
  </sheetPr>
  <dimension ref="A1:I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6"/>
    <col collapsed="false" customWidth="true" hidden="false" outlineLevel="0" max="3" min="3" style="0" width="19"/>
    <col collapsed="false" customWidth="true" hidden="false" outlineLevel="0" max="4" min="4" style="0" width="9"/>
    <col collapsed="false" customWidth="true" hidden="false" outlineLevel="0" max="5" min="5" style="0" width="44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3"/>
  </cols>
  <sheetData>
    <row r="1" customFormat="false" ht="31.5" hidden="false" customHeight="true" outlineLevel="0" collapsed="false">
      <c r="A1" s="1" t="s">
        <v>715</v>
      </c>
      <c r="B1" s="1" t="s">
        <v>716</v>
      </c>
      <c r="C1" s="1" t="s">
        <v>717</v>
      </c>
      <c r="D1" s="1" t="s">
        <v>718</v>
      </c>
      <c r="E1" s="1" t="s">
        <v>656</v>
      </c>
      <c r="F1" s="1" t="s">
        <v>719</v>
      </c>
      <c r="G1" s="1" t="s">
        <v>720</v>
      </c>
      <c r="H1" s="1" t="s">
        <v>515</v>
      </c>
      <c r="I1" s="1" t="s">
        <v>64</v>
      </c>
    </row>
    <row r="2" customFormat="false" ht="15" hidden="false" customHeight="false" outlineLevel="0" collapsed="false">
      <c r="A2" s="2" t="s">
        <v>721</v>
      </c>
      <c r="B2" s="2" t="s">
        <v>722</v>
      </c>
      <c r="D2" s="6" t="n">
        <v>0</v>
      </c>
      <c r="E2" s="2" t="s">
        <v>723</v>
      </c>
      <c r="F2" s="2" t="s">
        <v>724</v>
      </c>
      <c r="G2" s="4" t="n">
        <v>20251000</v>
      </c>
      <c r="H2" s="2" t="s">
        <v>725</v>
      </c>
      <c r="I2" s="2" t="s">
        <v>726</v>
      </c>
    </row>
    <row r="3" customFormat="false" ht="15" hidden="false" customHeight="false" outlineLevel="0" collapsed="false">
      <c r="A3" s="2" t="s">
        <v>727</v>
      </c>
      <c r="B3" s="2" t="s">
        <v>728</v>
      </c>
      <c r="C3" s="21" t="n">
        <v>45817.3333333333</v>
      </c>
      <c r="D3" s="6" t="n">
        <v>2</v>
      </c>
      <c r="E3" s="2" t="s">
        <v>663</v>
      </c>
      <c r="F3" s="2" t="s">
        <v>706</v>
      </c>
      <c r="G3" s="4" t="n">
        <v>20251001</v>
      </c>
      <c r="H3" s="2" t="s">
        <v>456</v>
      </c>
      <c r="I3" s="2" t="s">
        <v>456</v>
      </c>
    </row>
    <row r="4" customFormat="false" ht="15" hidden="false" customHeight="false" outlineLevel="0" collapsed="false">
      <c r="A4" s="2" t="s">
        <v>729</v>
      </c>
      <c r="B4" s="2" t="s">
        <v>728</v>
      </c>
      <c r="C4" s="21" t="n">
        <v>45817.3333333333</v>
      </c>
      <c r="D4" s="6" t="n">
        <v>2</v>
      </c>
      <c r="E4" s="2" t="s">
        <v>663</v>
      </c>
      <c r="F4" s="2" t="s">
        <v>707</v>
      </c>
      <c r="G4" s="4" t="n">
        <v>20251001</v>
      </c>
      <c r="H4" s="2" t="s">
        <v>456</v>
      </c>
      <c r="I4" s="2" t="s">
        <v>456</v>
      </c>
    </row>
    <row r="5" customFormat="false" ht="15" hidden="false" customHeight="false" outlineLevel="0" collapsed="false">
      <c r="A5" s="2" t="s">
        <v>730</v>
      </c>
      <c r="B5" s="2" t="s">
        <v>728</v>
      </c>
      <c r="C5" s="21" t="n">
        <v>45825.4266805556</v>
      </c>
      <c r="D5" s="6" t="n">
        <v>3</v>
      </c>
      <c r="E5" s="2" t="s">
        <v>665</v>
      </c>
      <c r="F5" s="2" t="s">
        <v>706</v>
      </c>
      <c r="G5" s="4" t="n">
        <v>20251002</v>
      </c>
      <c r="H5" s="2" t="s">
        <v>456</v>
      </c>
      <c r="I5" s="2" t="s">
        <v>456</v>
      </c>
    </row>
    <row r="6" customFormat="false" ht="15" hidden="false" customHeight="false" outlineLevel="0" collapsed="false">
      <c r="A6" s="2" t="s">
        <v>731</v>
      </c>
      <c r="B6" s="2" t="s">
        <v>728</v>
      </c>
      <c r="C6" s="21" t="n">
        <v>45825.4266805556</v>
      </c>
      <c r="D6" s="6" t="n">
        <v>3</v>
      </c>
      <c r="E6" s="2" t="s">
        <v>665</v>
      </c>
      <c r="F6" s="2" t="s">
        <v>707</v>
      </c>
      <c r="G6" s="4" t="n">
        <v>20251002</v>
      </c>
      <c r="H6" s="2" t="s">
        <v>456</v>
      </c>
      <c r="I6" s="2" t="s">
        <v>456</v>
      </c>
    </row>
    <row r="7" customFormat="false" ht="15" hidden="false" customHeight="false" outlineLevel="0" collapsed="false">
      <c r="A7" s="2" t="s">
        <v>732</v>
      </c>
      <c r="B7" s="2" t="s">
        <v>728</v>
      </c>
      <c r="C7" s="21" t="n">
        <v>45839.4977638889</v>
      </c>
      <c r="D7" s="6" t="n">
        <v>4</v>
      </c>
      <c r="E7" s="2" t="s">
        <v>667</v>
      </c>
      <c r="F7" s="2" t="s">
        <v>706</v>
      </c>
      <c r="G7" s="4" t="n">
        <v>20251003</v>
      </c>
      <c r="H7" s="2" t="s">
        <v>456</v>
      </c>
      <c r="I7" s="2" t="s">
        <v>456</v>
      </c>
    </row>
    <row r="8" customFormat="false" ht="15" hidden="false" customHeight="false" outlineLevel="0" collapsed="false">
      <c r="A8" s="2" t="s">
        <v>733</v>
      </c>
      <c r="B8" s="2" t="s">
        <v>728</v>
      </c>
      <c r="C8" s="21" t="n">
        <v>45839.4977638889</v>
      </c>
      <c r="D8" s="6" t="n">
        <v>4</v>
      </c>
      <c r="E8" s="2" t="s">
        <v>667</v>
      </c>
      <c r="F8" s="2" t="s">
        <v>707</v>
      </c>
      <c r="G8" s="4" t="n">
        <v>20251003</v>
      </c>
      <c r="H8" s="2" t="s">
        <v>456</v>
      </c>
      <c r="I8" s="2" t="s">
        <v>456</v>
      </c>
    </row>
    <row r="9" customFormat="false" ht="15" hidden="false" customHeight="false" outlineLevel="0" collapsed="false">
      <c r="A9" s="2" t="s">
        <v>734</v>
      </c>
      <c r="B9" s="2" t="s">
        <v>728</v>
      </c>
      <c r="C9" s="21" t="n">
        <v>45855.4266805556</v>
      </c>
      <c r="D9" s="6" t="n">
        <v>6</v>
      </c>
      <c r="E9" s="2" t="s">
        <v>669</v>
      </c>
      <c r="F9" s="2" t="s">
        <v>706</v>
      </c>
      <c r="G9" s="4" t="n">
        <v>20251004</v>
      </c>
      <c r="H9" s="2" t="s">
        <v>456</v>
      </c>
      <c r="I9" s="2" t="s">
        <v>456</v>
      </c>
    </row>
    <row r="10" customFormat="false" ht="15" hidden="false" customHeight="false" outlineLevel="0" collapsed="false">
      <c r="A10" s="2" t="s">
        <v>735</v>
      </c>
      <c r="B10" s="2" t="s">
        <v>728</v>
      </c>
      <c r="C10" s="21" t="n">
        <v>45855.4266805556</v>
      </c>
      <c r="D10" s="6" t="n">
        <v>6</v>
      </c>
      <c r="E10" s="2" t="s">
        <v>669</v>
      </c>
      <c r="F10" s="2" t="s">
        <v>707</v>
      </c>
      <c r="G10" s="4" t="n">
        <v>20251004</v>
      </c>
      <c r="H10" s="2" t="s">
        <v>456</v>
      </c>
      <c r="I10" s="2" t="s">
        <v>456</v>
      </c>
    </row>
    <row r="11" customFormat="false" ht="15" hidden="false" customHeight="false" outlineLevel="0" collapsed="false">
      <c r="A11" s="2" t="s">
        <v>736</v>
      </c>
      <c r="B11" s="2" t="s">
        <v>728</v>
      </c>
      <c r="C11" s="21" t="n">
        <v>45877.375</v>
      </c>
      <c r="D11" s="6" t="n">
        <v>2.5</v>
      </c>
      <c r="E11" s="2" t="s">
        <v>671</v>
      </c>
      <c r="F11" s="2" t="s">
        <v>706</v>
      </c>
      <c r="G11" s="4" t="n">
        <v>20251005</v>
      </c>
      <c r="H11" s="2" t="s">
        <v>456</v>
      </c>
      <c r="I11" s="2" t="s">
        <v>456</v>
      </c>
    </row>
    <row r="12" customFormat="false" ht="15" hidden="false" customHeight="false" outlineLevel="0" collapsed="false">
      <c r="A12" s="2" t="s">
        <v>737</v>
      </c>
      <c r="B12" s="2" t="s">
        <v>728</v>
      </c>
      <c r="C12" s="21" t="n">
        <v>45877.375</v>
      </c>
      <c r="D12" s="6" t="n">
        <v>2.5</v>
      </c>
      <c r="E12" s="2" t="s">
        <v>671</v>
      </c>
      <c r="F12" s="2" t="s">
        <v>707</v>
      </c>
      <c r="G12" s="4" t="n">
        <v>20251005</v>
      </c>
      <c r="H12" s="2" t="s">
        <v>456</v>
      </c>
      <c r="I12" s="2" t="s">
        <v>456</v>
      </c>
    </row>
    <row r="13" customFormat="false" ht="15" hidden="false" customHeight="false" outlineLevel="0" collapsed="false">
      <c r="A13" s="2" t="s">
        <v>738</v>
      </c>
      <c r="B13" s="2" t="s">
        <v>728</v>
      </c>
      <c r="C13" s="21" t="n">
        <v>45887.4266805556</v>
      </c>
      <c r="D13" s="6" t="n">
        <v>5</v>
      </c>
      <c r="E13" s="2" t="s">
        <v>673</v>
      </c>
      <c r="F13" s="2" t="s">
        <v>706</v>
      </c>
      <c r="G13" s="4" t="n">
        <v>20251006</v>
      </c>
      <c r="H13" s="2" t="s">
        <v>456</v>
      </c>
      <c r="I13" s="2" t="s">
        <v>456</v>
      </c>
    </row>
    <row r="14" customFormat="false" ht="15" hidden="false" customHeight="false" outlineLevel="0" collapsed="false">
      <c r="A14" s="2" t="s">
        <v>739</v>
      </c>
      <c r="B14" s="2" t="s">
        <v>728</v>
      </c>
      <c r="C14" s="21" t="n">
        <v>45887.4266805556</v>
      </c>
      <c r="D14" s="6" t="n">
        <v>5</v>
      </c>
      <c r="E14" s="2" t="s">
        <v>673</v>
      </c>
      <c r="F14" s="2" t="s">
        <v>707</v>
      </c>
      <c r="G14" s="4" t="n">
        <v>20251006</v>
      </c>
      <c r="H14" s="2" t="s">
        <v>456</v>
      </c>
      <c r="I14" s="2" t="s">
        <v>456</v>
      </c>
    </row>
    <row r="15" customFormat="false" ht="15" hidden="false" customHeight="false" outlineLevel="0" collapsed="false">
      <c r="A15" s="2" t="s">
        <v>740</v>
      </c>
      <c r="B15" s="2" t="s">
        <v>728</v>
      </c>
      <c r="C15" s="21" t="n">
        <v>45902.4977638889</v>
      </c>
      <c r="D15" s="6" t="n">
        <v>3.5</v>
      </c>
      <c r="E15" s="2" t="s">
        <v>675</v>
      </c>
      <c r="F15" s="2" t="s">
        <v>706</v>
      </c>
      <c r="G15" s="4" t="n">
        <v>20251007</v>
      </c>
      <c r="H15" s="2" t="s">
        <v>456</v>
      </c>
      <c r="I15" s="2" t="s">
        <v>456</v>
      </c>
    </row>
    <row r="16" customFormat="false" ht="15" hidden="false" customHeight="false" outlineLevel="0" collapsed="false">
      <c r="A16" s="2" t="s">
        <v>741</v>
      </c>
      <c r="B16" s="2" t="s">
        <v>728</v>
      </c>
      <c r="C16" s="21" t="n">
        <v>45902.4977638889</v>
      </c>
      <c r="D16" s="6" t="n">
        <v>3.5</v>
      </c>
      <c r="E16" s="2" t="s">
        <v>675</v>
      </c>
      <c r="F16" s="2" t="s">
        <v>707</v>
      </c>
      <c r="G16" s="4" t="n">
        <v>20251007</v>
      </c>
      <c r="H16" s="2" t="s">
        <v>456</v>
      </c>
      <c r="I16" s="2" t="s">
        <v>456</v>
      </c>
    </row>
    <row r="17" customFormat="false" ht="15" hidden="false" customHeight="false" outlineLevel="0" collapsed="false">
      <c r="A17" s="2" t="s">
        <v>742</v>
      </c>
      <c r="B17" s="2" t="s">
        <v>728</v>
      </c>
      <c r="C17" s="21" t="n">
        <v>45916.375</v>
      </c>
      <c r="D17" s="6" t="n">
        <v>4.5</v>
      </c>
      <c r="E17" s="2" t="s">
        <v>676</v>
      </c>
      <c r="F17" s="2" t="s">
        <v>706</v>
      </c>
      <c r="G17" s="4" t="n">
        <v>20251008</v>
      </c>
      <c r="H17" s="2" t="s">
        <v>456</v>
      </c>
      <c r="I17" s="2" t="s">
        <v>456</v>
      </c>
    </row>
    <row r="18" customFormat="false" ht="15" hidden="false" customHeight="false" outlineLevel="0" collapsed="false">
      <c r="A18" s="2" t="s">
        <v>743</v>
      </c>
      <c r="B18" s="2" t="s">
        <v>728</v>
      </c>
      <c r="C18" s="21" t="n">
        <v>45916.375</v>
      </c>
      <c r="D18" s="6" t="n">
        <v>4.5</v>
      </c>
      <c r="E18" s="2" t="s">
        <v>676</v>
      </c>
      <c r="F18" s="2" t="s">
        <v>707</v>
      </c>
      <c r="G18" s="4" t="n">
        <v>20251008</v>
      </c>
      <c r="H18" s="2" t="s">
        <v>456</v>
      </c>
      <c r="I18" s="2" t="s">
        <v>456</v>
      </c>
    </row>
    <row r="19" customFormat="false" ht="15" hidden="false" customHeight="false" outlineLevel="0" collapsed="false">
      <c r="A19" s="2" t="s">
        <v>744</v>
      </c>
      <c r="B19" s="2" t="s">
        <v>728</v>
      </c>
      <c r="C19" s="21" t="n">
        <v>45939.375</v>
      </c>
      <c r="D19" s="6" t="n">
        <v>2</v>
      </c>
      <c r="E19" s="2" t="s">
        <v>677</v>
      </c>
      <c r="F19" s="2" t="s">
        <v>706</v>
      </c>
      <c r="G19" s="4" t="n">
        <v>20251009</v>
      </c>
      <c r="H19" s="2" t="s">
        <v>456</v>
      </c>
      <c r="I19" s="2" t="s">
        <v>456</v>
      </c>
    </row>
    <row r="20" customFormat="false" ht="15" hidden="false" customHeight="false" outlineLevel="0" collapsed="false">
      <c r="A20" s="2" t="s">
        <v>745</v>
      </c>
      <c r="B20" s="2" t="s">
        <v>728</v>
      </c>
      <c r="C20" s="21" t="n">
        <v>45939.375</v>
      </c>
      <c r="D20" s="6" t="n">
        <v>2</v>
      </c>
      <c r="E20" s="2" t="s">
        <v>677</v>
      </c>
      <c r="F20" s="2" t="s">
        <v>707</v>
      </c>
      <c r="G20" s="4" t="n">
        <v>20251009</v>
      </c>
      <c r="H20" s="2" t="s">
        <v>456</v>
      </c>
      <c r="I20" s="2" t="s">
        <v>456</v>
      </c>
    </row>
    <row r="21" customFormat="false" ht="15" hidden="false" customHeight="false" outlineLevel="0" collapsed="false">
      <c r="A21" s="2" t="s">
        <v>746</v>
      </c>
      <c r="B21" s="2" t="s">
        <v>728</v>
      </c>
      <c r="C21" s="21" t="n">
        <v>45952.4765555556</v>
      </c>
      <c r="D21" s="6" t="n">
        <v>6</v>
      </c>
      <c r="E21" s="2" t="s">
        <v>678</v>
      </c>
      <c r="F21" s="2" t="s">
        <v>706</v>
      </c>
      <c r="G21" s="4" t="n">
        <v>20251010</v>
      </c>
      <c r="H21" s="2" t="s">
        <v>456</v>
      </c>
      <c r="I21" s="2" t="s">
        <v>456</v>
      </c>
    </row>
    <row r="22" customFormat="false" ht="15" hidden="false" customHeight="false" outlineLevel="0" collapsed="false">
      <c r="A22" s="2" t="s">
        <v>747</v>
      </c>
      <c r="B22" s="2" t="s">
        <v>728</v>
      </c>
      <c r="C22" s="21" t="n">
        <v>45952.4765555556</v>
      </c>
      <c r="D22" s="6" t="n">
        <v>6</v>
      </c>
      <c r="E22" s="2" t="s">
        <v>678</v>
      </c>
      <c r="F22" s="2" t="s">
        <v>707</v>
      </c>
      <c r="G22" s="4" t="n">
        <v>20251010</v>
      </c>
      <c r="H22" s="2" t="s">
        <v>456</v>
      </c>
      <c r="I22" s="2" t="s">
        <v>456</v>
      </c>
    </row>
    <row r="23" customFormat="false" ht="15" hidden="false" customHeight="false" outlineLevel="0" collapsed="false">
      <c r="A23" s="2" t="s">
        <v>748</v>
      </c>
      <c r="B23" s="2" t="s">
        <v>728</v>
      </c>
      <c r="C23" s="21" t="n">
        <v>45967.4664861111</v>
      </c>
      <c r="D23" s="6" t="n">
        <v>3</v>
      </c>
      <c r="E23" s="2" t="s">
        <v>679</v>
      </c>
      <c r="F23" s="2" t="s">
        <v>706</v>
      </c>
      <c r="G23" s="4" t="n">
        <v>20251011</v>
      </c>
      <c r="H23" s="2" t="s">
        <v>456</v>
      </c>
      <c r="I23" s="2" t="s">
        <v>456</v>
      </c>
    </row>
    <row r="24" customFormat="false" ht="15" hidden="false" customHeight="false" outlineLevel="0" collapsed="false">
      <c r="A24" s="2" t="s">
        <v>749</v>
      </c>
      <c r="B24" s="2" t="s">
        <v>728</v>
      </c>
      <c r="C24" s="21" t="n">
        <v>45967.4664861111</v>
      </c>
      <c r="D24" s="6" t="n">
        <v>3</v>
      </c>
      <c r="E24" s="2" t="s">
        <v>679</v>
      </c>
      <c r="F24" s="2" t="s">
        <v>707</v>
      </c>
      <c r="G24" s="4" t="n">
        <v>20251011</v>
      </c>
      <c r="H24" s="2" t="s">
        <v>456</v>
      </c>
      <c r="I24" s="2" t="s">
        <v>456</v>
      </c>
    </row>
    <row r="25" customFormat="false" ht="15" hidden="false" customHeight="false" outlineLevel="0" collapsed="false">
      <c r="A25" s="2" t="s">
        <v>750</v>
      </c>
      <c r="B25" s="2" t="s">
        <v>728</v>
      </c>
      <c r="C25" s="21" t="n">
        <v>45982.4765555556</v>
      </c>
      <c r="D25" s="6" t="n">
        <v>4</v>
      </c>
      <c r="E25" s="2" t="s">
        <v>680</v>
      </c>
      <c r="F25" s="2" t="s">
        <v>706</v>
      </c>
      <c r="G25" s="4" t="n">
        <v>20251012</v>
      </c>
      <c r="H25" s="2" t="s">
        <v>456</v>
      </c>
      <c r="I25" s="2" t="s">
        <v>456</v>
      </c>
    </row>
    <row r="26" customFormat="false" ht="15" hidden="false" customHeight="false" outlineLevel="0" collapsed="false">
      <c r="A26" s="2" t="s">
        <v>751</v>
      </c>
      <c r="B26" s="2" t="s">
        <v>728</v>
      </c>
      <c r="C26" s="21" t="n">
        <v>45982.4765555556</v>
      </c>
      <c r="D26" s="6" t="n">
        <v>4</v>
      </c>
      <c r="E26" s="2" t="s">
        <v>680</v>
      </c>
      <c r="F26" s="2" t="s">
        <v>707</v>
      </c>
      <c r="G26" s="4" t="n">
        <v>20251012</v>
      </c>
      <c r="H26" s="2" t="s">
        <v>456</v>
      </c>
      <c r="I26" s="2" t="s">
        <v>456</v>
      </c>
    </row>
    <row r="27" customFormat="false" ht="15" hidden="false" customHeight="false" outlineLevel="0" collapsed="false">
      <c r="A27" s="2" t="s">
        <v>752</v>
      </c>
      <c r="B27" s="2" t="s">
        <v>753</v>
      </c>
      <c r="C27" s="21" t="n">
        <v>45881.4166666667</v>
      </c>
      <c r="D27" s="6" t="n">
        <v>29</v>
      </c>
      <c r="E27" s="2" t="s">
        <v>681</v>
      </c>
      <c r="F27" s="2" t="s">
        <v>706</v>
      </c>
      <c r="G27" s="4" t="n">
        <v>20251013</v>
      </c>
      <c r="H27" s="2" t="s">
        <v>456</v>
      </c>
      <c r="I27" s="2" t="s">
        <v>456</v>
      </c>
    </row>
    <row r="28" customFormat="false" ht="15" hidden="false" customHeight="false" outlineLevel="0" collapsed="false">
      <c r="A28" s="2" t="s">
        <v>754</v>
      </c>
      <c r="B28" s="2" t="s">
        <v>753</v>
      </c>
      <c r="C28" s="21" t="n">
        <v>45881.4166666667</v>
      </c>
      <c r="D28" s="6" t="n">
        <v>29</v>
      </c>
      <c r="E28" s="2" t="s">
        <v>681</v>
      </c>
      <c r="F28" s="2" t="s">
        <v>707</v>
      </c>
      <c r="G28" s="4" t="n">
        <v>20251013</v>
      </c>
      <c r="H28" s="2" t="s">
        <v>456</v>
      </c>
      <c r="I28" s="2" t="s">
        <v>456</v>
      </c>
    </row>
    <row r="29" customFormat="false" ht="15" hidden="false" customHeight="false" outlineLevel="0" collapsed="false">
      <c r="A29" s="2" t="s">
        <v>755</v>
      </c>
      <c r="B29" s="2" t="s">
        <v>756</v>
      </c>
      <c r="C29" s="21" t="n">
        <v>45817.3333333333</v>
      </c>
      <c r="D29" s="6" t="n">
        <v>8</v>
      </c>
      <c r="E29" s="2" t="s">
        <v>757</v>
      </c>
      <c r="F29" s="2" t="s">
        <v>706</v>
      </c>
      <c r="G29" s="4" t="n">
        <v>20251014</v>
      </c>
      <c r="H29" s="2" t="s">
        <v>456</v>
      </c>
      <c r="I29" s="2" t="s">
        <v>456</v>
      </c>
    </row>
    <row r="30" customFormat="false" ht="15" hidden="false" customHeight="false" outlineLevel="0" collapsed="false">
      <c r="A30" s="2" t="s">
        <v>758</v>
      </c>
      <c r="B30" s="2" t="s">
        <v>756</v>
      </c>
      <c r="C30" s="21" t="n">
        <v>45817.3333333333</v>
      </c>
      <c r="D30" s="6" t="n">
        <v>8</v>
      </c>
      <c r="E30" s="2" t="s">
        <v>757</v>
      </c>
      <c r="F30" s="2" t="s">
        <v>707</v>
      </c>
      <c r="G30" s="4" t="n">
        <v>20251014</v>
      </c>
      <c r="H30" s="2" t="s">
        <v>456</v>
      </c>
      <c r="I30" s="2" t="s">
        <v>456</v>
      </c>
    </row>
    <row r="31" customFormat="false" ht="15" hidden="false" customHeight="false" outlineLevel="0" collapsed="false">
      <c r="A31" s="2" t="s">
        <v>759</v>
      </c>
      <c r="B31" s="2" t="s">
        <v>760</v>
      </c>
      <c r="C31" s="21" t="n">
        <v>45919.4375</v>
      </c>
      <c r="D31" s="6" t="n">
        <v>4.5</v>
      </c>
      <c r="E31" s="2" t="s">
        <v>685</v>
      </c>
      <c r="F31" s="2" t="s">
        <v>706</v>
      </c>
      <c r="G31" s="4" t="n">
        <v>20251015</v>
      </c>
      <c r="H31" s="2" t="s">
        <v>456</v>
      </c>
      <c r="I31" s="2" t="s">
        <v>456</v>
      </c>
    </row>
    <row r="32" customFormat="false" ht="15" hidden="false" customHeight="false" outlineLevel="0" collapsed="false">
      <c r="A32" s="2" t="s">
        <v>761</v>
      </c>
      <c r="B32" s="2" t="s">
        <v>760</v>
      </c>
      <c r="C32" s="21" t="n">
        <v>45919.4375</v>
      </c>
      <c r="D32" s="6" t="n">
        <v>4.5</v>
      </c>
      <c r="E32" s="2" t="s">
        <v>685</v>
      </c>
      <c r="F32" s="2" t="s">
        <v>707</v>
      </c>
      <c r="G32" s="4" t="n">
        <v>20251015</v>
      </c>
      <c r="H32" s="2" t="s">
        <v>456</v>
      </c>
      <c r="I32" s="2" t="s">
        <v>456</v>
      </c>
    </row>
    <row r="33" customFormat="false" ht="15" hidden="false" customHeight="false" outlineLevel="0" collapsed="false">
      <c r="A33" s="2" t="s">
        <v>762</v>
      </c>
      <c r="B33" s="2" t="s">
        <v>763</v>
      </c>
      <c r="C33" s="21" t="n">
        <v>45849.375</v>
      </c>
      <c r="D33" s="6" t="n">
        <v>5</v>
      </c>
      <c r="E33" s="2" t="s">
        <v>687</v>
      </c>
      <c r="F33" s="2" t="s">
        <v>706</v>
      </c>
      <c r="G33" s="4" t="n">
        <v>20251016</v>
      </c>
      <c r="H33" s="2" t="s">
        <v>456</v>
      </c>
      <c r="I33" s="2" t="s">
        <v>456</v>
      </c>
    </row>
    <row r="34" customFormat="false" ht="15" hidden="false" customHeight="false" outlineLevel="0" collapsed="false">
      <c r="A34" s="2" t="s">
        <v>764</v>
      </c>
      <c r="B34" s="2" t="s">
        <v>763</v>
      </c>
      <c r="C34" s="21" t="n">
        <v>45849.375</v>
      </c>
      <c r="D34" s="6" t="n">
        <v>5</v>
      </c>
      <c r="E34" s="2" t="s">
        <v>687</v>
      </c>
      <c r="F34" s="2" t="s">
        <v>707</v>
      </c>
      <c r="G34" s="4" t="n">
        <v>20251016</v>
      </c>
      <c r="H34" s="2" t="s">
        <v>456</v>
      </c>
      <c r="I34" s="2" t="s">
        <v>456</v>
      </c>
    </row>
    <row r="35" customFormat="false" ht="15" hidden="false" customHeight="false" outlineLevel="0" collapsed="false">
      <c r="A35" s="2" t="s">
        <v>765</v>
      </c>
      <c r="B35" s="2" t="s">
        <v>766</v>
      </c>
      <c r="C35" s="21" t="n">
        <v>45840.40625</v>
      </c>
      <c r="D35" s="6" t="n">
        <v>6</v>
      </c>
      <c r="E35" s="2" t="s">
        <v>689</v>
      </c>
      <c r="F35" s="2" t="s">
        <v>707</v>
      </c>
      <c r="G35" s="4" t="n">
        <v>20251017</v>
      </c>
      <c r="H35" s="2" t="s">
        <v>456</v>
      </c>
      <c r="I35" s="2" t="s">
        <v>456</v>
      </c>
    </row>
    <row r="36" customFormat="false" ht="15" hidden="false" customHeight="false" outlineLevel="0" collapsed="false">
      <c r="A36" s="2" t="s">
        <v>767</v>
      </c>
      <c r="B36" s="2" t="s">
        <v>768</v>
      </c>
      <c r="C36" s="21" t="n">
        <v>45784.375</v>
      </c>
      <c r="D36" s="6" t="n">
        <v>4</v>
      </c>
      <c r="E36" s="2" t="s">
        <v>691</v>
      </c>
      <c r="F36" s="2" t="s">
        <v>706</v>
      </c>
      <c r="G36" s="4" t="n">
        <v>20251018</v>
      </c>
      <c r="H36" s="2" t="s">
        <v>456</v>
      </c>
      <c r="I36" s="2" t="s">
        <v>456</v>
      </c>
    </row>
    <row r="37" customFormat="false" ht="15" hidden="false" customHeight="false" outlineLevel="0" collapsed="false">
      <c r="A37" s="2" t="s">
        <v>769</v>
      </c>
      <c r="B37" s="2" t="s">
        <v>768</v>
      </c>
      <c r="C37" s="21" t="n">
        <v>45784.375</v>
      </c>
      <c r="D37" s="6" t="n">
        <v>4</v>
      </c>
      <c r="E37" s="2" t="s">
        <v>691</v>
      </c>
      <c r="F37" s="2" t="s">
        <v>707</v>
      </c>
      <c r="G37" s="4" t="n">
        <v>20251018</v>
      </c>
      <c r="H37" s="2" t="s">
        <v>456</v>
      </c>
      <c r="I37" s="2" t="s">
        <v>456</v>
      </c>
    </row>
    <row r="38" customFormat="false" ht="15" hidden="false" customHeight="false" outlineLevel="0" collapsed="false">
      <c r="A38" s="2" t="s">
        <v>770</v>
      </c>
      <c r="B38" s="2" t="s">
        <v>771</v>
      </c>
      <c r="C38" s="21" t="n">
        <v>45855.375</v>
      </c>
      <c r="D38" s="6" t="n">
        <v>6</v>
      </c>
      <c r="E38" s="2" t="s">
        <v>772</v>
      </c>
      <c r="F38" s="2" t="s">
        <v>706</v>
      </c>
      <c r="G38" s="4" t="n">
        <v>20251019</v>
      </c>
      <c r="H38" s="2" t="s">
        <v>456</v>
      </c>
      <c r="I38" s="2" t="s">
        <v>456</v>
      </c>
    </row>
    <row r="39" customFormat="false" ht="15" hidden="false" customHeight="false" outlineLevel="0" collapsed="false">
      <c r="A39" s="2" t="s">
        <v>773</v>
      </c>
      <c r="B39" s="2" t="s">
        <v>771</v>
      </c>
      <c r="C39" s="21" t="n">
        <v>45855.375</v>
      </c>
      <c r="D39" s="6" t="n">
        <v>6</v>
      </c>
      <c r="E39" s="2" t="s">
        <v>772</v>
      </c>
      <c r="F39" s="2" t="s">
        <v>707</v>
      </c>
      <c r="G39" s="4" t="n">
        <v>20251019</v>
      </c>
      <c r="H39" s="2" t="s">
        <v>456</v>
      </c>
      <c r="I39" s="2" t="s">
        <v>456</v>
      </c>
    </row>
    <row r="40" customFormat="false" ht="15" hidden="false" customHeight="false" outlineLevel="0" collapsed="false">
      <c r="A40" s="2" t="s">
        <v>774</v>
      </c>
      <c r="B40" s="2" t="s">
        <v>775</v>
      </c>
      <c r="C40" s="21" t="n">
        <v>45849.375</v>
      </c>
      <c r="D40" s="6" t="n">
        <v>9</v>
      </c>
      <c r="E40" s="2" t="s">
        <v>776</v>
      </c>
      <c r="F40" s="2" t="s">
        <v>706</v>
      </c>
      <c r="G40" s="4" t="n">
        <v>20251021</v>
      </c>
      <c r="H40" s="2" t="s">
        <v>456</v>
      </c>
      <c r="I40" s="2" t="s">
        <v>456</v>
      </c>
    </row>
    <row r="41" customFormat="false" ht="15" hidden="false" customHeight="false" outlineLevel="0" collapsed="false">
      <c r="A41" s="2" t="s">
        <v>777</v>
      </c>
      <c r="B41" s="2" t="s">
        <v>778</v>
      </c>
      <c r="C41" s="21" t="n">
        <v>45817.3333333333</v>
      </c>
      <c r="D41" s="6" t="n">
        <v>45.5</v>
      </c>
      <c r="E41" s="2" t="s">
        <v>779</v>
      </c>
      <c r="F41" s="2" t="s">
        <v>706</v>
      </c>
      <c r="G41" s="4" t="n">
        <v>20251020</v>
      </c>
      <c r="H41" s="2" t="s">
        <v>456</v>
      </c>
      <c r="I41" s="2" t="s">
        <v>456</v>
      </c>
    </row>
  </sheetData>
  <autoFilter ref="A1:I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5" min="5" style="0" width="60"/>
    <col collapsed="false" customWidth="true" hidden="false" outlineLevel="0" max="6" min="6" style="0" width="12"/>
  </cols>
  <sheetData>
    <row r="1" customFormat="false" ht="31.5" hidden="false" customHeight="true" outlineLevel="0" collapsed="false">
      <c r="A1" s="1" t="s">
        <v>780</v>
      </c>
      <c r="B1" s="1" t="s">
        <v>781</v>
      </c>
      <c r="C1" s="1" t="s">
        <v>782</v>
      </c>
      <c r="D1" s="1" t="s">
        <v>64</v>
      </c>
      <c r="E1" s="1" t="s">
        <v>783</v>
      </c>
      <c r="F1" s="1" t="s">
        <v>784</v>
      </c>
    </row>
    <row r="2" customFormat="false" ht="15" hidden="false" customHeight="false" outlineLevel="0" collapsed="false">
      <c r="A2" s="2" t="s">
        <v>785</v>
      </c>
      <c r="B2" s="13" t="n">
        <v>25</v>
      </c>
      <c r="C2" s="2" t="s">
        <v>786</v>
      </c>
      <c r="D2" s="2" t="s">
        <v>787</v>
      </c>
      <c r="E2" s="2" t="s">
        <v>788</v>
      </c>
      <c r="F2" s="4" t="n">
        <v>0</v>
      </c>
    </row>
    <row r="3" customFormat="false" ht="15" hidden="false" customHeight="false" outlineLevel="0" collapsed="false">
      <c r="A3" s="2" t="s">
        <v>789</v>
      </c>
      <c r="B3" s="13" t="n">
        <v>1</v>
      </c>
      <c r="C3" s="2" t="s">
        <v>790</v>
      </c>
      <c r="D3" s="2" t="s">
        <v>787</v>
      </c>
      <c r="E3" s="2" t="s">
        <v>791</v>
      </c>
      <c r="F3" s="4" t="n">
        <v>0</v>
      </c>
    </row>
    <row r="4" customFormat="false" ht="15" hidden="false" customHeight="false" outlineLevel="0" collapsed="false">
      <c r="A4" s="2" t="s">
        <v>792</v>
      </c>
      <c r="B4" s="13" t="n">
        <v>8</v>
      </c>
      <c r="C4" s="2" t="s">
        <v>793</v>
      </c>
      <c r="D4" s="2" t="s">
        <v>787</v>
      </c>
      <c r="E4" s="2" t="s">
        <v>794</v>
      </c>
      <c r="F4" s="4" t="n">
        <v>0</v>
      </c>
    </row>
    <row r="5" customFormat="false" ht="15" hidden="false" customHeight="false" outlineLevel="0" collapsed="false">
      <c r="A5" s="2" t="s">
        <v>795</v>
      </c>
      <c r="B5" s="13" t="s">
        <v>796</v>
      </c>
      <c r="C5" s="2" t="s">
        <v>797</v>
      </c>
      <c r="D5" s="2" t="s">
        <v>82</v>
      </c>
      <c r="E5" s="2" t="s">
        <v>798</v>
      </c>
      <c r="F5" s="4" t="n">
        <v>1</v>
      </c>
    </row>
    <row r="6" customFormat="false" ht="15" hidden="false" customHeight="false" outlineLevel="0" collapsed="false">
      <c r="A6" s="2" t="s">
        <v>799</v>
      </c>
      <c r="B6" s="13" t="s">
        <v>800</v>
      </c>
      <c r="C6" s="2" t="s">
        <v>797</v>
      </c>
      <c r="D6" s="2" t="s">
        <v>82</v>
      </c>
      <c r="E6" s="2" t="s">
        <v>801</v>
      </c>
      <c r="F6" s="4" t="n">
        <v>0</v>
      </c>
    </row>
    <row r="7" customFormat="false" ht="15" hidden="false" customHeight="false" outlineLevel="0" collapsed="false">
      <c r="A7" s="2" t="s">
        <v>802</v>
      </c>
      <c r="B7" s="13" t="n">
        <v>0</v>
      </c>
      <c r="C7" s="2" t="s">
        <v>803</v>
      </c>
      <c r="D7" s="2" t="s">
        <v>726</v>
      </c>
      <c r="E7" s="2" t="s">
        <v>804</v>
      </c>
      <c r="F7" s="4" t="n">
        <v>1</v>
      </c>
    </row>
    <row r="8" customFormat="false" ht="15" hidden="false" customHeight="false" outlineLevel="0" collapsed="false">
      <c r="A8" s="2" t="s">
        <v>805</v>
      </c>
      <c r="B8" s="13" t="n">
        <v>2025</v>
      </c>
      <c r="C8" s="2" t="s">
        <v>806</v>
      </c>
      <c r="D8" s="2" t="s">
        <v>726</v>
      </c>
      <c r="F8" s="4" t="n">
        <v>0</v>
      </c>
    </row>
    <row r="9" customFormat="false" ht="15" hidden="false" customHeight="false" outlineLevel="0" collapsed="false">
      <c r="A9" s="2" t="s">
        <v>807</v>
      </c>
      <c r="B9" s="13" t="s">
        <v>808</v>
      </c>
      <c r="C9" s="2" t="s">
        <v>797</v>
      </c>
      <c r="D9" s="2" t="s">
        <v>82</v>
      </c>
      <c r="E9" s="2" t="s">
        <v>809</v>
      </c>
      <c r="F9" s="4" t="n">
        <v>0</v>
      </c>
    </row>
    <row r="10" customFormat="false" ht="15" hidden="false" customHeight="false" outlineLevel="0" collapsed="false">
      <c r="A10" s="2" t="s">
        <v>810</v>
      </c>
      <c r="B10" s="13" t="s">
        <v>811</v>
      </c>
      <c r="C10" s="2" t="s">
        <v>797</v>
      </c>
      <c r="D10" s="2" t="s">
        <v>82</v>
      </c>
      <c r="E10" s="2" t="s">
        <v>812</v>
      </c>
      <c r="F10" s="4" t="n">
        <v>0</v>
      </c>
    </row>
    <row r="11" customFormat="false" ht="15" hidden="false" customHeight="false" outlineLevel="0" collapsed="false">
      <c r="A11" s="2" t="s">
        <v>813</v>
      </c>
      <c r="B11" s="13" t="n">
        <v>7850</v>
      </c>
      <c r="C11" s="2" t="s">
        <v>814</v>
      </c>
      <c r="D11" s="2" t="s">
        <v>7</v>
      </c>
      <c r="E11" s="2" t="s">
        <v>815</v>
      </c>
      <c r="F11" s="4" t="n">
        <v>0</v>
      </c>
    </row>
    <row r="12" customFormat="false" ht="15" hidden="false" customHeight="false" outlineLevel="0" collapsed="false">
      <c r="A12" s="2" t="s">
        <v>816</v>
      </c>
      <c r="B12" s="13" t="n">
        <v>1.5</v>
      </c>
      <c r="C12" s="2" t="s">
        <v>817</v>
      </c>
      <c r="D12" s="2" t="s">
        <v>82</v>
      </c>
      <c r="E12" s="2" t="s">
        <v>818</v>
      </c>
      <c r="F12" s="4" t="n">
        <v>0</v>
      </c>
    </row>
    <row r="13" customFormat="false" ht="15" hidden="false" customHeight="false" outlineLevel="0" collapsed="false">
      <c r="A13" s="2" t="s">
        <v>819</v>
      </c>
      <c r="B13" s="13" t="n">
        <v>0.92</v>
      </c>
      <c r="C13" s="2" t="s">
        <v>820</v>
      </c>
      <c r="D13" s="2" t="s">
        <v>82</v>
      </c>
      <c r="E13" s="2" t="s">
        <v>821</v>
      </c>
      <c r="F13" s="4" t="n">
        <v>0</v>
      </c>
    </row>
    <row r="14" customFormat="false" ht="15" hidden="false" customHeight="false" outlineLevel="0" collapsed="false">
      <c r="A14" s="2" t="s">
        <v>822</v>
      </c>
      <c r="B14" s="13" t="n">
        <v>0.96</v>
      </c>
      <c r="C14" s="2" t="s">
        <v>820</v>
      </c>
      <c r="D14" s="2" t="s">
        <v>82</v>
      </c>
      <c r="E14" s="2" t="s">
        <v>823</v>
      </c>
      <c r="F14" s="4" t="n">
        <v>0</v>
      </c>
    </row>
    <row r="15" customFormat="false" ht="15" hidden="false" customHeight="false" outlineLevel="0" collapsed="false">
      <c r="A15" s="2" t="s">
        <v>824</v>
      </c>
      <c r="B15" s="13" t="n">
        <v>2.88</v>
      </c>
      <c r="C15" s="2" t="s">
        <v>825</v>
      </c>
      <c r="D15" s="2" t="s">
        <v>82</v>
      </c>
      <c r="E15" s="2" t="s">
        <v>826</v>
      </c>
      <c r="F15" s="4" t="n">
        <v>0</v>
      </c>
    </row>
    <row r="16" customFormat="false" ht="15" hidden="false" customHeight="false" outlineLevel="0" collapsed="false">
      <c r="A16" s="2" t="s">
        <v>827</v>
      </c>
      <c r="B16" s="13" t="n">
        <v>13</v>
      </c>
      <c r="C16" s="2" t="s">
        <v>828</v>
      </c>
      <c r="D16" s="2" t="s">
        <v>82</v>
      </c>
      <c r="E16" s="2" t="s">
        <v>829</v>
      </c>
      <c r="F16" s="4" t="n">
        <v>0</v>
      </c>
    </row>
    <row r="17" customFormat="false" ht="15" hidden="false" customHeight="false" outlineLevel="0" collapsed="false">
      <c r="A17" s="2" t="s">
        <v>830</v>
      </c>
      <c r="B17" s="13" t="n">
        <v>0.65</v>
      </c>
      <c r="C17" s="2" t="s">
        <v>831</v>
      </c>
      <c r="D17" s="2" t="s">
        <v>82</v>
      </c>
      <c r="E17" s="2" t="s">
        <v>832</v>
      </c>
      <c r="F17" s="4" t="n">
        <v>0</v>
      </c>
    </row>
    <row r="18" customFormat="false" ht="15" hidden="false" customHeight="false" outlineLevel="0" collapsed="false">
      <c r="A18" s="2" t="s">
        <v>833</v>
      </c>
      <c r="C18" s="2" t="s">
        <v>834</v>
      </c>
      <c r="D18" s="2" t="s">
        <v>195</v>
      </c>
      <c r="E18" s="2" t="s">
        <v>835</v>
      </c>
      <c r="F18" s="4" t="n">
        <v>0</v>
      </c>
    </row>
    <row r="19" customFormat="false" ht="15" hidden="false" customHeight="false" outlineLevel="0" collapsed="false">
      <c r="A19" s="2" t="s">
        <v>836</v>
      </c>
      <c r="B19" s="13" t="n">
        <v>2000000</v>
      </c>
      <c r="C19" s="2" t="s">
        <v>837</v>
      </c>
      <c r="D19" s="2" t="s">
        <v>787</v>
      </c>
      <c r="E19" s="2" t="s">
        <v>838</v>
      </c>
      <c r="F19" s="4" t="n">
        <v>0</v>
      </c>
    </row>
    <row r="20" customFormat="false" ht="15" hidden="false" customHeight="false" outlineLevel="0" collapsed="false">
      <c r="A20" s="2" t="s">
        <v>839</v>
      </c>
      <c r="B20" s="13" t="n">
        <v>5350</v>
      </c>
      <c r="C20" s="2" t="s">
        <v>837</v>
      </c>
      <c r="D20" s="2" t="s">
        <v>7</v>
      </c>
      <c r="E20" s="2" t="s">
        <v>840</v>
      </c>
      <c r="F20" s="4" t="n">
        <v>0</v>
      </c>
    </row>
    <row r="21" customFormat="false" ht="15" hidden="false" customHeight="false" outlineLevel="0" collapsed="false">
      <c r="A21" s="2" t="s">
        <v>841</v>
      </c>
      <c r="B21" s="13" t="n">
        <v>40</v>
      </c>
      <c r="C21" s="2" t="s">
        <v>842</v>
      </c>
      <c r="D21" s="2" t="s">
        <v>82</v>
      </c>
      <c r="E21" s="2" t="s">
        <v>843</v>
      </c>
      <c r="F21" s="4" t="n">
        <v>0</v>
      </c>
    </row>
    <row r="22" customFormat="false" ht="15" hidden="false" customHeight="false" outlineLevel="0" collapsed="false">
      <c r="A22" s="2" t="s">
        <v>844</v>
      </c>
      <c r="B22" s="13" t="n">
        <v>10</v>
      </c>
      <c r="C22" s="2" t="s">
        <v>845</v>
      </c>
      <c r="D22" s="2" t="s">
        <v>82</v>
      </c>
      <c r="E22" s="2" t="s">
        <v>846</v>
      </c>
      <c r="F22" s="4" t="n">
        <v>0</v>
      </c>
    </row>
    <row r="23" customFormat="false" ht="15" hidden="false" customHeight="false" outlineLevel="0" collapsed="false">
      <c r="A23" s="2" t="s">
        <v>847</v>
      </c>
      <c r="B23" s="13" t="s">
        <v>387</v>
      </c>
      <c r="C23" s="2" t="s">
        <v>848</v>
      </c>
      <c r="D23" s="2" t="s">
        <v>726</v>
      </c>
      <c r="E23" s="2" t="s">
        <v>849</v>
      </c>
      <c r="F23" s="4" t="n">
        <v>1</v>
      </c>
    </row>
    <row r="24" customFormat="false" ht="15" hidden="false" customHeight="false" outlineLevel="0" collapsed="false">
      <c r="A24" s="2" t="s">
        <v>850</v>
      </c>
      <c r="B24" s="13" t="n">
        <v>8</v>
      </c>
      <c r="C24" s="2" t="s">
        <v>851</v>
      </c>
      <c r="D24" s="2" t="s">
        <v>726</v>
      </c>
      <c r="E24" s="2" t="s">
        <v>852</v>
      </c>
      <c r="F24" s="4" t="n">
        <v>1</v>
      </c>
    </row>
    <row r="25" customFormat="false" ht="15" hidden="false" customHeight="false" outlineLevel="0" collapsed="false">
      <c r="A25" s="2" t="s">
        <v>853</v>
      </c>
      <c r="B25" s="13" t="n">
        <v>40</v>
      </c>
      <c r="C25" s="2" t="s">
        <v>854</v>
      </c>
      <c r="D25" s="2" t="s">
        <v>726</v>
      </c>
      <c r="F25" s="4" t="n">
        <v>1</v>
      </c>
    </row>
    <row r="26" customFormat="false" ht="15" hidden="false" customHeight="false" outlineLevel="0" collapsed="false">
      <c r="A26" s="2" t="s">
        <v>855</v>
      </c>
      <c r="B26" s="13" t="n">
        <v>2025200</v>
      </c>
      <c r="C26" s="2" t="s">
        <v>848</v>
      </c>
      <c r="D26" s="2" t="s">
        <v>726</v>
      </c>
      <c r="F26" s="4" t="n">
        <v>1</v>
      </c>
    </row>
    <row r="27" customFormat="false" ht="15" hidden="false" customHeight="false" outlineLevel="0" collapsed="false">
      <c r="A27" s="2" t="s">
        <v>856</v>
      </c>
      <c r="B27" s="13" t="s">
        <v>857</v>
      </c>
      <c r="C27" s="2" t="s">
        <v>848</v>
      </c>
      <c r="D27" s="2" t="s">
        <v>726</v>
      </c>
      <c r="E27" s="2" t="s">
        <v>858</v>
      </c>
      <c r="F27" s="4" t="n">
        <v>0</v>
      </c>
    </row>
    <row r="28" customFormat="false" ht="15" hidden="false" customHeight="false" outlineLevel="0" collapsed="false">
      <c r="A28" s="2" t="s">
        <v>859</v>
      </c>
      <c r="B28" s="13" t="s">
        <v>860</v>
      </c>
      <c r="C28" s="2" t="s">
        <v>861</v>
      </c>
      <c r="D28" s="2" t="s">
        <v>82</v>
      </c>
      <c r="E28" s="2" t="s">
        <v>862</v>
      </c>
      <c r="F28" s="4" t="n">
        <v>0</v>
      </c>
    </row>
    <row r="29" customFormat="false" ht="15" hidden="false" customHeight="false" outlineLevel="0" collapsed="false">
      <c r="A29" s="2" t="s">
        <v>863</v>
      </c>
      <c r="B29" s="13" t="n">
        <v>1E-006</v>
      </c>
      <c r="C29" s="2" t="s">
        <v>864</v>
      </c>
      <c r="D29" s="2" t="s">
        <v>726</v>
      </c>
      <c r="E29" s="2" t="s">
        <v>865</v>
      </c>
      <c r="F29" s="4" t="n">
        <v>0</v>
      </c>
    </row>
    <row r="30" customFormat="false" ht="15" hidden="false" customHeight="false" outlineLevel="0" collapsed="false">
      <c r="A30" s="2" t="s">
        <v>866</v>
      </c>
      <c r="B30" s="13" t="n">
        <v>1E-006</v>
      </c>
      <c r="C30" s="2" t="s">
        <v>867</v>
      </c>
      <c r="D30" s="2" t="s">
        <v>726</v>
      </c>
      <c r="E30" s="2" t="s">
        <v>868</v>
      </c>
      <c r="F30" s="4" t="n">
        <v>0</v>
      </c>
    </row>
    <row r="31" customFormat="false" ht="15" hidden="false" customHeight="false" outlineLevel="0" collapsed="false">
      <c r="A31" s="2" t="s">
        <v>869</v>
      </c>
      <c r="B31" s="13" t="n">
        <v>0.0001</v>
      </c>
      <c r="C31" s="2" t="s">
        <v>848</v>
      </c>
      <c r="D31" s="2" t="s">
        <v>726</v>
      </c>
      <c r="F31" s="4" t="n">
        <v>0</v>
      </c>
    </row>
    <row r="32" customFormat="false" ht="15" hidden="false" customHeight="false" outlineLevel="0" collapsed="false">
      <c r="A32" s="2" t="s">
        <v>870</v>
      </c>
      <c r="B32" s="13" t="n">
        <v>60</v>
      </c>
      <c r="C32" s="2" t="s">
        <v>871</v>
      </c>
      <c r="D32" s="2" t="s">
        <v>726</v>
      </c>
      <c r="E32" s="2" t="s">
        <v>872</v>
      </c>
      <c r="F32" s="4" t="n">
        <v>0</v>
      </c>
    </row>
    <row r="33" customFormat="false" ht="15" hidden="false" customHeight="false" outlineLevel="0" collapsed="false">
      <c r="A33" s="2" t="s">
        <v>873</v>
      </c>
      <c r="B33" s="13" t="n">
        <v>1E-005</v>
      </c>
      <c r="C33" s="2" t="s">
        <v>864</v>
      </c>
      <c r="D33" s="2" t="s">
        <v>726</v>
      </c>
      <c r="F33" s="4" t="n">
        <v>0</v>
      </c>
    </row>
    <row r="34" customFormat="false" ht="15" hidden="false" customHeight="false" outlineLevel="0" collapsed="false">
      <c r="A34" s="2" t="s">
        <v>874</v>
      </c>
      <c r="B34" s="13" t="n">
        <v>7</v>
      </c>
      <c r="C34" s="2" t="s">
        <v>875</v>
      </c>
      <c r="D34" s="2" t="s">
        <v>726</v>
      </c>
      <c r="F34" s="4" t="n">
        <v>0</v>
      </c>
    </row>
    <row r="35" customFormat="false" ht="15" hidden="false" customHeight="false" outlineLevel="0" collapsed="false">
      <c r="A35" s="2" t="s">
        <v>876</v>
      </c>
      <c r="B35" s="13" t="s">
        <v>877</v>
      </c>
      <c r="C35" s="2" t="s">
        <v>848</v>
      </c>
      <c r="D35" s="2" t="s">
        <v>726</v>
      </c>
      <c r="E35" s="2" t="s">
        <v>878</v>
      </c>
      <c r="F35" s="4" t="n">
        <v>0</v>
      </c>
    </row>
  </sheetData>
  <autoFilter ref="A1:F3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95959"/>
    <pageSetUpPr fitToPage="false"/>
  </sheetPr>
  <dimension ref="A1:K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8"/>
    <col collapsed="false" customWidth="true" hidden="false" outlineLevel="0" max="8" min="4" style="0" width="12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12"/>
  </cols>
  <sheetData>
    <row r="1" customFormat="false" ht="31.5" hidden="false" customHeight="true" outlineLevel="0" collapsed="false">
      <c r="A1" s="1" t="s">
        <v>509</v>
      </c>
      <c r="B1" s="1" t="s">
        <v>272</v>
      </c>
      <c r="C1" s="1" t="s">
        <v>510</v>
      </c>
      <c r="D1" s="1" t="s">
        <v>879</v>
      </c>
      <c r="E1" s="1" t="s">
        <v>880</v>
      </c>
      <c r="F1" s="1" t="s">
        <v>881</v>
      </c>
      <c r="G1" s="1" t="s">
        <v>882</v>
      </c>
      <c r="H1" s="1" t="s">
        <v>517</v>
      </c>
      <c r="I1" s="1" t="s">
        <v>883</v>
      </c>
      <c r="J1" s="1" t="s">
        <v>884</v>
      </c>
      <c r="K1" s="1" t="s">
        <v>64</v>
      </c>
    </row>
    <row r="2" customFormat="false" ht="15" hidden="false" customHeight="false" outlineLevel="0" collapsed="false">
      <c r="A2" s="2" t="s">
        <v>525</v>
      </c>
      <c r="B2" s="2" t="s">
        <v>80</v>
      </c>
      <c r="C2" s="5" t="n">
        <f aca="false">INDEX('08_PEDIDOS'!$D$2:$D$97,MATCH(A2,'08_PEDIDOS'!$A$2:$A$97,0))</f>
        <v>12</v>
      </c>
      <c r="D2" s="16" t="n">
        <f aca="false">SUMIF('10_MATERIALES_ORDEN'!$A$2:$A$637,A2,'10_MATERIALES_ORDEN'!$I$2:$I$637)</f>
        <v>6787.366956522</v>
      </c>
      <c r="E2" s="16" t="n">
        <f aca="false">SUMIF('09_CARGA_ORDEN'!$A$2:$A$1153,A2,'09_CARGA_ORDEN'!$J$2:$J$1153)*p_costo_hora_hombre</f>
        <v>1178.67048</v>
      </c>
      <c r="F2" s="16" t="n">
        <f aca="false">SUMIF('09_CARGA_ORDEN'!$A$2:$A$1153,A2,'09_CARGA_ORDEN'!$L$2:$L$1153)</f>
        <v>2195.08090666667</v>
      </c>
      <c r="G2" s="16" t="n">
        <f aca="false">SUM(D2:F2)</f>
        <v>10161.1183431887</v>
      </c>
      <c r="H2" s="16" t="n">
        <f aca="false">INDEX('08_PEDIDOS'!$K$2:$K$97,MATCH(A2,'08_PEDIDOS'!$A$2:$A$97,0))</f>
        <v>31805.88</v>
      </c>
      <c r="I2" s="12" t="n">
        <f aca="false">IF(H2=0,"",(H2-G2)/H2)</f>
        <v>0.680527048986267</v>
      </c>
      <c r="J2" s="5" t="n">
        <f aca="false">IF(COUNTIFS('10_MATERIALES_ORDEN'!$A$2:$A$637,A2,'10_MATERIALES_ORDEN'!$L$2:$L$637,0)=0,1,0)</f>
        <v>1</v>
      </c>
      <c r="K2" s="2" t="s">
        <v>629</v>
      </c>
    </row>
    <row r="3" customFormat="false" ht="15" hidden="false" customHeight="false" outlineLevel="0" collapsed="false">
      <c r="A3" s="2" t="s">
        <v>526</v>
      </c>
      <c r="B3" s="2" t="s">
        <v>83</v>
      </c>
      <c r="C3" s="5" t="n">
        <f aca="false">INDEX('08_PEDIDOS'!$D$2:$D$97,MATCH(A3,'08_PEDIDOS'!$A$2:$A$97,0))</f>
        <v>12</v>
      </c>
      <c r="D3" s="16" t="n">
        <f aca="false">SUMIF('10_MATERIALES_ORDEN'!$A$2:$A$637,A3,'10_MATERIALES_ORDEN'!$I$2:$I$637)</f>
        <v>6461.1104347824</v>
      </c>
      <c r="E3" s="16" t="n">
        <f aca="false">SUMIF('09_CARGA_ORDEN'!$A$2:$A$1153,A3,'09_CARGA_ORDEN'!$J$2:$J$1153)*p_costo_hora_hombre</f>
        <v>1310.0204</v>
      </c>
      <c r="F3" s="16" t="n">
        <f aca="false">SUMIF('09_CARGA_ORDEN'!$A$2:$A$1153,A3,'09_CARGA_ORDEN'!$L$2:$L$1153)</f>
        <v>2424.73186666667</v>
      </c>
      <c r="G3" s="16" t="n">
        <f aca="false">SUM(D3:F3)</f>
        <v>10195.8627014491</v>
      </c>
      <c r="H3" s="16" t="n">
        <f aca="false">INDEX('08_PEDIDOS'!$K$2:$K$97,MATCH(A3,'08_PEDIDOS'!$A$2:$A$97,0))</f>
        <v>31805.88</v>
      </c>
      <c r="I3" s="12" t="n">
        <f aca="false">IF(H3=0,"",(H3-G3)/H3)</f>
        <v>0.67943466109257</v>
      </c>
      <c r="J3" s="5" t="n">
        <f aca="false">IF(COUNTIFS('10_MATERIALES_ORDEN'!$A$2:$A$637,A3,'10_MATERIALES_ORDEN'!$L$2:$L$637,0)=0,1,0)</f>
        <v>1</v>
      </c>
      <c r="K3" s="2" t="s">
        <v>629</v>
      </c>
    </row>
    <row r="4" customFormat="false" ht="15" hidden="false" customHeight="false" outlineLevel="0" collapsed="false">
      <c r="A4" s="2" t="s">
        <v>527</v>
      </c>
      <c r="B4" s="2" t="s">
        <v>94</v>
      </c>
      <c r="C4" s="5" t="n">
        <f aca="false">INDEX('08_PEDIDOS'!$D$2:$D$97,MATCH(A4,'08_PEDIDOS'!$A$2:$A$97,0))</f>
        <v>7</v>
      </c>
      <c r="D4" s="16" t="n">
        <f aca="false">SUMIF('10_MATERIALES_ORDEN'!$A$2:$A$637,A4,'10_MATERIALES_ORDEN'!$I$2:$I$637)</f>
        <v>3257.5449184789</v>
      </c>
      <c r="E4" s="16" t="n">
        <f aca="false">SUMIF('09_CARGA_ORDEN'!$A$2:$A$1153,A4,'09_CARGA_ORDEN'!$J$2:$J$1153)*p_costo_hora_hombre</f>
        <v>889.773386666667</v>
      </c>
      <c r="F4" s="16" t="n">
        <f aca="false">SUMIF('09_CARGA_ORDEN'!$A$2:$A$1153,A4,'09_CARGA_ORDEN'!$L$2:$L$1153)</f>
        <v>1628.50602666667</v>
      </c>
      <c r="G4" s="16" t="n">
        <f aca="false">SUM(D4:F4)</f>
        <v>5775.82433181223</v>
      </c>
      <c r="H4" s="16" t="n">
        <f aca="false">INDEX('08_PEDIDOS'!$K$2:$K$97,MATCH(A4,'08_PEDIDOS'!$A$2:$A$97,0))</f>
        <v>15053.99</v>
      </c>
      <c r="I4" s="12" t="n">
        <f aca="false">IF(H4=0,"",(H4-G4)/H4)</f>
        <v>0.616326015108803</v>
      </c>
      <c r="J4" s="5" t="n">
        <f aca="false">IF(COUNTIFS('10_MATERIALES_ORDEN'!$A$2:$A$637,A4,'10_MATERIALES_ORDEN'!$L$2:$L$637,0)=0,1,0)</f>
        <v>1</v>
      </c>
      <c r="K4" s="2" t="s">
        <v>629</v>
      </c>
    </row>
    <row r="5" customFormat="false" ht="15" hidden="false" customHeight="false" outlineLevel="0" collapsed="false">
      <c r="A5" s="2" t="s">
        <v>528</v>
      </c>
      <c r="B5" s="2" t="s">
        <v>96</v>
      </c>
      <c r="C5" s="5" t="n">
        <f aca="false">INDEX('08_PEDIDOS'!$D$2:$D$97,MATCH(A5,'08_PEDIDOS'!$A$2:$A$97,0))</f>
        <v>7</v>
      </c>
      <c r="D5" s="16" t="n">
        <f aca="false">SUMIF('10_MATERIALES_ORDEN'!$A$2:$A$637,A5,'10_MATERIALES_ORDEN'!$I$2:$I$637)</f>
        <v>2305.9388586955</v>
      </c>
      <c r="E5" s="16" t="n">
        <f aca="false">SUMIF('09_CARGA_ORDEN'!$A$2:$A$1153,A5,'09_CARGA_ORDEN'!$J$2:$J$1153)*p_costo_hora_hombre</f>
        <v>615.89307</v>
      </c>
      <c r="F5" s="16" t="n">
        <f aca="false">SUMIF('09_CARGA_ORDEN'!$A$2:$A$1153,A5,'09_CARGA_ORDEN'!$L$2:$L$1153)</f>
        <v>1128.59966</v>
      </c>
      <c r="G5" s="16" t="n">
        <f aca="false">SUM(D5:F5)</f>
        <v>4050.4315886955</v>
      </c>
      <c r="H5" s="16" t="n">
        <f aca="false">INDEX('08_PEDIDOS'!$K$2:$K$97,MATCH(A5,'08_PEDIDOS'!$A$2:$A$97,0))</f>
        <v>15053.99</v>
      </c>
      <c r="I5" s="12" t="n">
        <f aca="false">IF(H5=0,"",(H5-G5)/H5)</f>
        <v>0.730939665251837</v>
      </c>
      <c r="J5" s="5" t="n">
        <f aca="false">IF(COUNTIFS('10_MATERIALES_ORDEN'!$A$2:$A$637,A5,'10_MATERIALES_ORDEN'!$L$2:$L$637,0)=0,1,0)</f>
        <v>1</v>
      </c>
      <c r="K5" s="2" t="s">
        <v>629</v>
      </c>
    </row>
    <row r="6" customFormat="false" ht="15" hidden="false" customHeight="false" outlineLevel="0" collapsed="false">
      <c r="A6" s="2" t="s">
        <v>529</v>
      </c>
      <c r="B6" s="2" t="s">
        <v>106</v>
      </c>
      <c r="C6" s="5" t="n">
        <f aca="false">INDEX('08_PEDIDOS'!$D$2:$D$97,MATCH(A6,'08_PEDIDOS'!$A$2:$A$97,0))</f>
        <v>6</v>
      </c>
      <c r="D6" s="16" t="n">
        <f aca="false">SUMIF('10_MATERIALES_ORDEN'!$A$2:$A$637,A6,'10_MATERIALES_ORDEN'!$I$2:$I$637)</f>
        <v>3631.3963043478</v>
      </c>
      <c r="E6" s="16" t="n">
        <f aca="false">SUMIF('09_CARGA_ORDEN'!$A$2:$A$1153,A6,'09_CARGA_ORDEN'!$J$2:$J$1153)*p_costo_hora_hombre</f>
        <v>366.4947</v>
      </c>
      <c r="F6" s="16" t="n">
        <f aca="false">SUMIF('09_CARGA_ORDEN'!$A$2:$A$1153,A6,'09_CARGA_ORDEN'!$L$2:$L$1153)</f>
        <v>675.952266666667</v>
      </c>
      <c r="G6" s="16" t="n">
        <f aca="false">SUM(D6:F6)</f>
        <v>4673.84327101447</v>
      </c>
      <c r="H6" s="16" t="n">
        <f aca="false">INDEX('08_PEDIDOS'!$K$2:$K$97,MATCH(A6,'08_PEDIDOS'!$A$2:$A$97,0))</f>
        <v>10804.86</v>
      </c>
      <c r="I6" s="12" t="n">
        <f aca="false">IF(H6=0,"",(H6-G6)/H6)</f>
        <v>0.567431390039809</v>
      </c>
      <c r="J6" s="5" t="n">
        <f aca="false">IF(COUNTIFS('10_MATERIALES_ORDEN'!$A$2:$A$637,A6,'10_MATERIALES_ORDEN'!$L$2:$L$637,0)=0,1,0)</f>
        <v>1</v>
      </c>
      <c r="K6" s="2" t="s">
        <v>629</v>
      </c>
    </row>
    <row r="7" customFormat="false" ht="15" hidden="false" customHeight="false" outlineLevel="0" collapsed="false">
      <c r="A7" s="2" t="s">
        <v>530</v>
      </c>
      <c r="B7" s="2" t="s">
        <v>108</v>
      </c>
      <c r="C7" s="5" t="n">
        <f aca="false">INDEX('08_PEDIDOS'!$D$2:$D$97,MATCH(A7,'08_PEDIDOS'!$A$2:$A$97,0))</f>
        <v>6</v>
      </c>
      <c r="D7" s="16" t="n">
        <f aca="false">SUMIF('10_MATERIALES_ORDEN'!$A$2:$A$637,A7,'10_MATERIALES_ORDEN'!$I$2:$I$637)</f>
        <v>5193.829565217</v>
      </c>
      <c r="E7" s="16" t="n">
        <f aca="false">SUMIF('09_CARGA_ORDEN'!$A$2:$A$1153,A7,'09_CARGA_ORDEN'!$J$2:$J$1153)*p_costo_hora_hombre</f>
        <v>505.6584</v>
      </c>
      <c r="F7" s="16" t="n">
        <f aca="false">SUMIF('09_CARGA_ORDEN'!$A$2:$A$1153,A7,'09_CARGA_ORDEN'!$L$2:$L$1153)</f>
        <v>933.452866666667</v>
      </c>
      <c r="G7" s="16" t="n">
        <f aca="false">SUM(D7:F7)</f>
        <v>6632.94083188367</v>
      </c>
      <c r="H7" s="16" t="n">
        <f aca="false">INDEX('08_PEDIDOS'!$K$2:$K$97,MATCH(A7,'08_PEDIDOS'!$A$2:$A$97,0))</f>
        <v>10804.86</v>
      </c>
      <c r="I7" s="12" t="n">
        <f aca="false">IF(H7=0,"",(H7-G7)/H7)</f>
        <v>0.386115060085585</v>
      </c>
      <c r="J7" s="5" t="n">
        <f aca="false">IF(COUNTIFS('10_MATERIALES_ORDEN'!$A$2:$A$637,A7,'10_MATERIALES_ORDEN'!$L$2:$L$637,0)=0,1,0)</f>
        <v>1</v>
      </c>
      <c r="K7" s="2" t="s">
        <v>629</v>
      </c>
    </row>
    <row r="8" customFormat="false" ht="15" hidden="false" customHeight="false" outlineLevel="0" collapsed="false">
      <c r="A8" s="2" t="s">
        <v>531</v>
      </c>
      <c r="B8" s="2" t="s">
        <v>119</v>
      </c>
      <c r="C8" s="5" t="n">
        <f aca="false">INDEX('08_PEDIDOS'!$D$2:$D$97,MATCH(A8,'08_PEDIDOS'!$A$2:$A$97,0))</f>
        <v>10</v>
      </c>
      <c r="D8" s="16" t="n">
        <f aca="false">SUMIF('10_MATERIALES_ORDEN'!$A$2:$A$637,A8,'10_MATERIALES_ORDEN'!$I$2:$I$637)</f>
        <v>4138.730434782</v>
      </c>
      <c r="E8" s="16" t="n">
        <f aca="false">SUMIF('09_CARGA_ORDEN'!$A$2:$A$1153,A8,'09_CARGA_ORDEN'!$J$2:$J$1153)*p_costo_hora_hombre</f>
        <v>484.319333333333</v>
      </c>
      <c r="F8" s="16" t="n">
        <f aca="false">SUMIF('09_CARGA_ORDEN'!$A$2:$A$1153,A8,'09_CARGA_ORDEN'!$L$2:$L$1153)</f>
        <v>897.774666666667</v>
      </c>
      <c r="G8" s="16" t="n">
        <f aca="false">SUM(D8:F8)</f>
        <v>5520.824434782</v>
      </c>
      <c r="H8" s="16" t="n">
        <f aca="false">INDEX('08_PEDIDOS'!$K$2:$K$97,MATCH(A8,'08_PEDIDOS'!$A$2:$A$97,0))</f>
        <v>23224.698</v>
      </c>
      <c r="I8" s="12" t="n">
        <f aca="false">IF(H8=0,"",(H8-G8)/H8)</f>
        <v>0.762286491958604</v>
      </c>
      <c r="J8" s="5" t="n">
        <f aca="false">IF(COUNTIFS('10_MATERIALES_ORDEN'!$A$2:$A$637,A8,'10_MATERIALES_ORDEN'!$L$2:$L$637,0)=0,1,0)</f>
        <v>1</v>
      </c>
      <c r="K8" s="2" t="s">
        <v>629</v>
      </c>
    </row>
    <row r="9" customFormat="false" ht="15" hidden="false" customHeight="false" outlineLevel="0" collapsed="false">
      <c r="A9" s="2" t="s">
        <v>532</v>
      </c>
      <c r="B9" s="2" t="s">
        <v>121</v>
      </c>
      <c r="C9" s="5" t="n">
        <f aca="false">INDEX('08_PEDIDOS'!$D$2:$D$97,MATCH(A9,'08_PEDIDOS'!$A$2:$A$97,0))</f>
        <v>10</v>
      </c>
      <c r="D9" s="16" t="n">
        <f aca="false">SUMIF('10_MATERIALES_ORDEN'!$A$2:$A$637,A9,'10_MATERIALES_ORDEN'!$I$2:$I$637)</f>
        <v>2926.208152174</v>
      </c>
      <c r="E9" s="16" t="n">
        <f aca="false">SUMIF('09_CARGA_ORDEN'!$A$2:$A$1153,A9,'09_CARGA_ORDEN'!$J$2:$J$1153)*p_costo_hora_hombre</f>
        <v>781.592933333333</v>
      </c>
      <c r="F9" s="16" t="n">
        <f aca="false">SUMIF('09_CARGA_ORDEN'!$A$2:$A$1153,A9,'09_CARGA_ORDEN'!$L$2:$L$1153)</f>
        <v>1379.59146666667</v>
      </c>
      <c r="G9" s="16" t="n">
        <f aca="false">SUM(D9:F9)</f>
        <v>5087.392552174</v>
      </c>
      <c r="H9" s="16" t="n">
        <f aca="false">INDEX('08_PEDIDOS'!$K$2:$K$97,MATCH(A9,'08_PEDIDOS'!$A$2:$A$97,0))</f>
        <v>23224.698</v>
      </c>
      <c r="I9" s="12" t="n">
        <f aca="false">IF(H9=0,"",(H9-G9)/H9)</f>
        <v>0.780949033129559</v>
      </c>
      <c r="J9" s="5" t="n">
        <f aca="false">IF(COUNTIFS('10_MATERIALES_ORDEN'!$A$2:$A$637,A9,'10_MATERIALES_ORDEN'!$L$2:$L$637,0)=0,1,0)</f>
        <v>1</v>
      </c>
      <c r="K9" s="2" t="s">
        <v>629</v>
      </c>
    </row>
    <row r="10" customFormat="false" ht="15" hidden="false" customHeight="false" outlineLevel="0" collapsed="false">
      <c r="A10" s="2" t="s">
        <v>533</v>
      </c>
      <c r="B10" s="2" t="s">
        <v>80</v>
      </c>
      <c r="C10" s="5" t="n">
        <f aca="false">INDEX('08_PEDIDOS'!$D$2:$D$97,MATCH(A10,'08_PEDIDOS'!$A$2:$A$97,0))</f>
        <v>12</v>
      </c>
      <c r="D10" s="16" t="n">
        <f aca="false">SUMIF('10_MATERIALES_ORDEN'!$A$2:$A$637,A10,'10_MATERIALES_ORDEN'!$I$2:$I$637)</f>
        <v>6787.366956522</v>
      </c>
      <c r="E10" s="16" t="n">
        <f aca="false">SUMIF('09_CARGA_ORDEN'!$A$2:$A$1153,A10,'09_CARGA_ORDEN'!$J$2:$J$1153)*p_costo_hora_hombre</f>
        <v>1178.67048</v>
      </c>
      <c r="F10" s="16" t="n">
        <f aca="false">SUMIF('09_CARGA_ORDEN'!$A$2:$A$1153,A10,'09_CARGA_ORDEN'!$L$2:$L$1153)</f>
        <v>2195.08090666667</v>
      </c>
      <c r="G10" s="16" t="n">
        <f aca="false">SUM(D10:F10)</f>
        <v>10161.1183431887</v>
      </c>
      <c r="H10" s="16" t="n">
        <f aca="false">INDEX('08_PEDIDOS'!$K$2:$K$97,MATCH(A10,'08_PEDIDOS'!$A$2:$A$97,0))</f>
        <v>31805.88</v>
      </c>
      <c r="I10" s="12" t="n">
        <f aca="false">IF(H10=0,"",(H10-G10)/H10)</f>
        <v>0.680527048986267</v>
      </c>
      <c r="J10" s="5" t="n">
        <f aca="false">IF(COUNTIFS('10_MATERIALES_ORDEN'!$A$2:$A$637,A10,'10_MATERIALES_ORDEN'!$L$2:$L$637,0)=0,1,0)</f>
        <v>1</v>
      </c>
      <c r="K10" s="2" t="s">
        <v>629</v>
      </c>
    </row>
    <row r="11" customFormat="false" ht="15" hidden="false" customHeight="false" outlineLevel="0" collapsed="false">
      <c r="A11" s="2" t="s">
        <v>534</v>
      </c>
      <c r="B11" s="2" t="s">
        <v>83</v>
      </c>
      <c r="C11" s="5" t="n">
        <f aca="false">INDEX('08_PEDIDOS'!$D$2:$D$97,MATCH(A11,'08_PEDIDOS'!$A$2:$A$97,0))</f>
        <v>12</v>
      </c>
      <c r="D11" s="16" t="n">
        <f aca="false">SUMIF('10_MATERIALES_ORDEN'!$A$2:$A$637,A11,'10_MATERIALES_ORDEN'!$I$2:$I$637)</f>
        <v>6461.1104347824</v>
      </c>
      <c r="E11" s="16" t="n">
        <f aca="false">SUMIF('09_CARGA_ORDEN'!$A$2:$A$1153,A11,'09_CARGA_ORDEN'!$J$2:$J$1153)*p_costo_hora_hombre</f>
        <v>1310.0204</v>
      </c>
      <c r="F11" s="16" t="n">
        <f aca="false">SUMIF('09_CARGA_ORDEN'!$A$2:$A$1153,A11,'09_CARGA_ORDEN'!$L$2:$L$1153)</f>
        <v>2424.73186666667</v>
      </c>
      <c r="G11" s="16" t="n">
        <f aca="false">SUM(D11:F11)</f>
        <v>10195.8627014491</v>
      </c>
      <c r="H11" s="16" t="n">
        <f aca="false">INDEX('08_PEDIDOS'!$K$2:$K$97,MATCH(A11,'08_PEDIDOS'!$A$2:$A$97,0))</f>
        <v>31805.88</v>
      </c>
      <c r="I11" s="12" t="n">
        <f aca="false">IF(H11=0,"",(H11-G11)/H11)</f>
        <v>0.67943466109257</v>
      </c>
      <c r="J11" s="5" t="n">
        <f aca="false">IF(COUNTIFS('10_MATERIALES_ORDEN'!$A$2:$A$637,A11,'10_MATERIALES_ORDEN'!$L$2:$L$637,0)=0,1,0)</f>
        <v>1</v>
      </c>
      <c r="K11" s="2" t="s">
        <v>629</v>
      </c>
    </row>
    <row r="12" customFormat="false" ht="15" hidden="false" customHeight="false" outlineLevel="0" collapsed="false">
      <c r="A12" s="2" t="s">
        <v>535</v>
      </c>
      <c r="B12" s="2" t="s">
        <v>94</v>
      </c>
      <c r="C12" s="5" t="n">
        <f aca="false">INDEX('08_PEDIDOS'!$D$2:$D$97,MATCH(A12,'08_PEDIDOS'!$A$2:$A$97,0))</f>
        <v>7</v>
      </c>
      <c r="D12" s="16" t="n">
        <f aca="false">SUMIF('10_MATERIALES_ORDEN'!$A$2:$A$637,A12,'10_MATERIALES_ORDEN'!$I$2:$I$637)</f>
        <v>3257.5449184789</v>
      </c>
      <c r="E12" s="16" t="n">
        <f aca="false">SUMIF('09_CARGA_ORDEN'!$A$2:$A$1153,A12,'09_CARGA_ORDEN'!$J$2:$J$1153)*p_costo_hora_hombre</f>
        <v>889.773386666667</v>
      </c>
      <c r="F12" s="16" t="n">
        <f aca="false">SUMIF('09_CARGA_ORDEN'!$A$2:$A$1153,A12,'09_CARGA_ORDEN'!$L$2:$L$1153)</f>
        <v>1628.50602666667</v>
      </c>
      <c r="G12" s="16" t="n">
        <f aca="false">SUM(D12:F12)</f>
        <v>5775.82433181223</v>
      </c>
      <c r="H12" s="16" t="n">
        <f aca="false">INDEX('08_PEDIDOS'!$K$2:$K$97,MATCH(A12,'08_PEDIDOS'!$A$2:$A$97,0))</f>
        <v>15053.99</v>
      </c>
      <c r="I12" s="12" t="n">
        <f aca="false">IF(H12=0,"",(H12-G12)/H12)</f>
        <v>0.616326015108803</v>
      </c>
      <c r="J12" s="5" t="n">
        <f aca="false">IF(COUNTIFS('10_MATERIALES_ORDEN'!$A$2:$A$637,A12,'10_MATERIALES_ORDEN'!$L$2:$L$637,0)=0,1,0)</f>
        <v>1</v>
      </c>
      <c r="K12" s="2" t="s">
        <v>629</v>
      </c>
    </row>
    <row r="13" customFormat="false" ht="15" hidden="false" customHeight="false" outlineLevel="0" collapsed="false">
      <c r="A13" s="2" t="s">
        <v>536</v>
      </c>
      <c r="B13" s="2" t="s">
        <v>96</v>
      </c>
      <c r="C13" s="5" t="n">
        <f aca="false">INDEX('08_PEDIDOS'!$D$2:$D$97,MATCH(A13,'08_PEDIDOS'!$A$2:$A$97,0))</f>
        <v>7</v>
      </c>
      <c r="D13" s="16" t="n">
        <f aca="false">SUMIF('10_MATERIALES_ORDEN'!$A$2:$A$637,A13,'10_MATERIALES_ORDEN'!$I$2:$I$637)</f>
        <v>2305.9388586955</v>
      </c>
      <c r="E13" s="16" t="n">
        <f aca="false">SUMIF('09_CARGA_ORDEN'!$A$2:$A$1153,A13,'09_CARGA_ORDEN'!$J$2:$J$1153)*p_costo_hora_hombre</f>
        <v>615.89307</v>
      </c>
      <c r="F13" s="16" t="n">
        <f aca="false">SUMIF('09_CARGA_ORDEN'!$A$2:$A$1153,A13,'09_CARGA_ORDEN'!$L$2:$L$1153)</f>
        <v>1128.59966</v>
      </c>
      <c r="G13" s="16" t="n">
        <f aca="false">SUM(D13:F13)</f>
        <v>4050.4315886955</v>
      </c>
      <c r="H13" s="16" t="n">
        <f aca="false">INDEX('08_PEDIDOS'!$K$2:$K$97,MATCH(A13,'08_PEDIDOS'!$A$2:$A$97,0))</f>
        <v>15053.99</v>
      </c>
      <c r="I13" s="12" t="n">
        <f aca="false">IF(H13=0,"",(H13-G13)/H13)</f>
        <v>0.730939665251837</v>
      </c>
      <c r="J13" s="5" t="n">
        <f aca="false">IF(COUNTIFS('10_MATERIALES_ORDEN'!$A$2:$A$637,A13,'10_MATERIALES_ORDEN'!$L$2:$L$637,0)=0,1,0)</f>
        <v>1</v>
      </c>
      <c r="K13" s="2" t="s">
        <v>629</v>
      </c>
    </row>
    <row r="14" customFormat="false" ht="15" hidden="false" customHeight="false" outlineLevel="0" collapsed="false">
      <c r="A14" s="2" t="s">
        <v>537</v>
      </c>
      <c r="B14" s="2" t="s">
        <v>106</v>
      </c>
      <c r="C14" s="5" t="n">
        <f aca="false">INDEX('08_PEDIDOS'!$D$2:$D$97,MATCH(A14,'08_PEDIDOS'!$A$2:$A$97,0))</f>
        <v>5</v>
      </c>
      <c r="D14" s="16" t="n">
        <f aca="false">SUMIF('10_MATERIALES_ORDEN'!$A$2:$A$637,A14,'10_MATERIALES_ORDEN'!$I$2:$I$637)</f>
        <v>3026.1635869565</v>
      </c>
      <c r="E14" s="16" t="n">
        <f aca="false">SUMIF('09_CARGA_ORDEN'!$A$2:$A$1153,A14,'09_CARGA_ORDEN'!$J$2:$J$1153)*p_costo_hora_hombre</f>
        <v>309.528916666667</v>
      </c>
      <c r="F14" s="16" t="n">
        <f aca="false">SUMIF('09_CARGA_ORDEN'!$A$2:$A$1153,A14,'09_CARGA_ORDEN'!$L$2:$L$1153)</f>
        <v>571.063</v>
      </c>
      <c r="G14" s="16" t="n">
        <f aca="false">SUM(D14:F14)</f>
        <v>3906.75550362317</v>
      </c>
      <c r="H14" s="16" t="n">
        <f aca="false">INDEX('08_PEDIDOS'!$K$2:$K$97,MATCH(A14,'08_PEDIDOS'!$A$2:$A$97,0))</f>
        <v>9004.05</v>
      </c>
      <c r="I14" s="12" t="n">
        <f aca="false">IF(H14=0,"",(H14-G14)/H14)</f>
        <v>0.566111305065702</v>
      </c>
      <c r="J14" s="5" t="n">
        <f aca="false">IF(COUNTIFS('10_MATERIALES_ORDEN'!$A$2:$A$637,A14,'10_MATERIALES_ORDEN'!$L$2:$L$637,0)=0,1,0)</f>
        <v>1</v>
      </c>
      <c r="K14" s="2" t="s">
        <v>629</v>
      </c>
    </row>
    <row r="15" customFormat="false" ht="15" hidden="false" customHeight="false" outlineLevel="0" collapsed="false">
      <c r="A15" s="2" t="s">
        <v>538</v>
      </c>
      <c r="B15" s="2" t="s">
        <v>108</v>
      </c>
      <c r="C15" s="5" t="n">
        <f aca="false">INDEX('08_PEDIDOS'!$D$2:$D$97,MATCH(A15,'08_PEDIDOS'!$A$2:$A$97,0))</f>
        <v>6</v>
      </c>
      <c r="D15" s="16" t="n">
        <f aca="false">SUMIF('10_MATERIALES_ORDEN'!$A$2:$A$637,A15,'10_MATERIALES_ORDEN'!$I$2:$I$637)</f>
        <v>5193.829565217</v>
      </c>
      <c r="E15" s="16" t="n">
        <f aca="false">SUMIF('09_CARGA_ORDEN'!$A$2:$A$1153,A15,'09_CARGA_ORDEN'!$J$2:$J$1153)*p_costo_hora_hombre</f>
        <v>505.6584</v>
      </c>
      <c r="F15" s="16" t="n">
        <f aca="false">SUMIF('09_CARGA_ORDEN'!$A$2:$A$1153,A15,'09_CARGA_ORDEN'!$L$2:$L$1153)</f>
        <v>933.452866666667</v>
      </c>
      <c r="G15" s="16" t="n">
        <f aca="false">SUM(D15:F15)</f>
        <v>6632.94083188367</v>
      </c>
      <c r="H15" s="16" t="n">
        <f aca="false">INDEX('08_PEDIDOS'!$K$2:$K$97,MATCH(A15,'08_PEDIDOS'!$A$2:$A$97,0))</f>
        <v>10804.86</v>
      </c>
      <c r="I15" s="12" t="n">
        <f aca="false">IF(H15=0,"",(H15-G15)/H15)</f>
        <v>0.386115060085585</v>
      </c>
      <c r="J15" s="5" t="n">
        <f aca="false">IF(COUNTIFS('10_MATERIALES_ORDEN'!$A$2:$A$637,A15,'10_MATERIALES_ORDEN'!$L$2:$L$637,0)=0,1,0)</f>
        <v>1</v>
      </c>
      <c r="K15" s="2" t="s">
        <v>629</v>
      </c>
    </row>
    <row r="16" customFormat="false" ht="15" hidden="false" customHeight="false" outlineLevel="0" collapsed="false">
      <c r="A16" s="2" t="s">
        <v>539</v>
      </c>
      <c r="B16" s="2" t="s">
        <v>119</v>
      </c>
      <c r="C16" s="5" t="n">
        <f aca="false">INDEX('08_PEDIDOS'!$D$2:$D$97,MATCH(A16,'08_PEDIDOS'!$A$2:$A$97,0))</f>
        <v>10</v>
      </c>
      <c r="D16" s="16" t="n">
        <f aca="false">SUMIF('10_MATERIALES_ORDEN'!$A$2:$A$637,A16,'10_MATERIALES_ORDEN'!$I$2:$I$637)</f>
        <v>4138.730434782</v>
      </c>
      <c r="E16" s="16" t="n">
        <f aca="false">SUMIF('09_CARGA_ORDEN'!$A$2:$A$1153,A16,'09_CARGA_ORDEN'!$J$2:$J$1153)*p_costo_hora_hombre</f>
        <v>484.319333333333</v>
      </c>
      <c r="F16" s="16" t="n">
        <f aca="false">SUMIF('09_CARGA_ORDEN'!$A$2:$A$1153,A16,'09_CARGA_ORDEN'!$L$2:$L$1153)</f>
        <v>897.774666666667</v>
      </c>
      <c r="G16" s="16" t="n">
        <f aca="false">SUM(D16:F16)</f>
        <v>5520.824434782</v>
      </c>
      <c r="H16" s="16" t="n">
        <f aca="false">INDEX('08_PEDIDOS'!$K$2:$K$97,MATCH(A16,'08_PEDIDOS'!$A$2:$A$97,0))</f>
        <v>23224.698</v>
      </c>
      <c r="I16" s="12" t="n">
        <f aca="false">IF(H16=0,"",(H16-G16)/H16)</f>
        <v>0.762286491958604</v>
      </c>
      <c r="J16" s="5" t="n">
        <f aca="false">IF(COUNTIFS('10_MATERIALES_ORDEN'!$A$2:$A$637,A16,'10_MATERIALES_ORDEN'!$L$2:$L$637,0)=0,1,0)</f>
        <v>1</v>
      </c>
      <c r="K16" s="2" t="s">
        <v>629</v>
      </c>
    </row>
    <row r="17" customFormat="false" ht="15" hidden="false" customHeight="false" outlineLevel="0" collapsed="false">
      <c r="A17" s="2" t="s">
        <v>540</v>
      </c>
      <c r="B17" s="2" t="s">
        <v>121</v>
      </c>
      <c r="C17" s="5" t="n">
        <f aca="false">INDEX('08_PEDIDOS'!$D$2:$D$97,MATCH(A17,'08_PEDIDOS'!$A$2:$A$97,0))</f>
        <v>10</v>
      </c>
      <c r="D17" s="16" t="n">
        <f aca="false">SUMIF('10_MATERIALES_ORDEN'!$A$2:$A$637,A17,'10_MATERIALES_ORDEN'!$I$2:$I$637)</f>
        <v>2926.208152174</v>
      </c>
      <c r="E17" s="16" t="n">
        <f aca="false">SUMIF('09_CARGA_ORDEN'!$A$2:$A$1153,A17,'09_CARGA_ORDEN'!$J$2:$J$1153)*p_costo_hora_hombre</f>
        <v>781.592933333333</v>
      </c>
      <c r="F17" s="16" t="n">
        <f aca="false">SUMIF('09_CARGA_ORDEN'!$A$2:$A$1153,A17,'09_CARGA_ORDEN'!$L$2:$L$1153)</f>
        <v>1379.59146666667</v>
      </c>
      <c r="G17" s="16" t="n">
        <f aca="false">SUM(D17:F17)</f>
        <v>5087.392552174</v>
      </c>
      <c r="H17" s="16" t="n">
        <f aca="false">INDEX('08_PEDIDOS'!$K$2:$K$97,MATCH(A17,'08_PEDIDOS'!$A$2:$A$97,0))</f>
        <v>23224.698</v>
      </c>
      <c r="I17" s="12" t="n">
        <f aca="false">IF(H17=0,"",(H17-G17)/H17)</f>
        <v>0.780949033129559</v>
      </c>
      <c r="J17" s="5" t="n">
        <f aca="false">IF(COUNTIFS('10_MATERIALES_ORDEN'!$A$2:$A$637,A17,'10_MATERIALES_ORDEN'!$L$2:$L$637,0)=0,1,0)</f>
        <v>1</v>
      </c>
      <c r="K17" s="2" t="s">
        <v>629</v>
      </c>
    </row>
    <row r="18" customFormat="false" ht="15" hidden="false" customHeight="false" outlineLevel="0" collapsed="false">
      <c r="A18" s="2" t="s">
        <v>541</v>
      </c>
      <c r="B18" s="2" t="s">
        <v>80</v>
      </c>
      <c r="C18" s="5" t="n">
        <f aca="false">INDEX('08_PEDIDOS'!$D$2:$D$97,MATCH(A18,'08_PEDIDOS'!$A$2:$A$97,0))</f>
        <v>12</v>
      </c>
      <c r="D18" s="16" t="n">
        <f aca="false">SUMIF('10_MATERIALES_ORDEN'!$A$2:$A$637,A18,'10_MATERIALES_ORDEN'!$I$2:$I$637)</f>
        <v>6787.366956522</v>
      </c>
      <c r="E18" s="16" t="n">
        <f aca="false">SUMIF('09_CARGA_ORDEN'!$A$2:$A$1153,A18,'09_CARGA_ORDEN'!$J$2:$J$1153)*p_costo_hora_hombre</f>
        <v>1178.67048</v>
      </c>
      <c r="F18" s="16" t="n">
        <f aca="false">SUMIF('09_CARGA_ORDEN'!$A$2:$A$1153,A18,'09_CARGA_ORDEN'!$L$2:$L$1153)</f>
        <v>2195.08090666667</v>
      </c>
      <c r="G18" s="16" t="n">
        <f aca="false">SUM(D18:F18)</f>
        <v>10161.1183431887</v>
      </c>
      <c r="H18" s="16" t="n">
        <f aca="false">INDEX('08_PEDIDOS'!$K$2:$K$97,MATCH(A18,'08_PEDIDOS'!$A$2:$A$97,0))</f>
        <v>31805.88</v>
      </c>
      <c r="I18" s="12" t="n">
        <f aca="false">IF(H18=0,"",(H18-G18)/H18)</f>
        <v>0.680527048986267</v>
      </c>
      <c r="J18" s="5" t="n">
        <f aca="false">IF(COUNTIFS('10_MATERIALES_ORDEN'!$A$2:$A$637,A18,'10_MATERIALES_ORDEN'!$L$2:$L$637,0)=0,1,0)</f>
        <v>1</v>
      </c>
      <c r="K18" s="2" t="s">
        <v>629</v>
      </c>
    </row>
    <row r="19" customFormat="false" ht="15" hidden="false" customHeight="false" outlineLevel="0" collapsed="false">
      <c r="A19" s="2" t="s">
        <v>542</v>
      </c>
      <c r="B19" s="2" t="s">
        <v>83</v>
      </c>
      <c r="C19" s="5" t="n">
        <f aca="false">INDEX('08_PEDIDOS'!$D$2:$D$97,MATCH(A19,'08_PEDIDOS'!$A$2:$A$97,0))</f>
        <v>12</v>
      </c>
      <c r="D19" s="16" t="n">
        <f aca="false">SUMIF('10_MATERIALES_ORDEN'!$A$2:$A$637,A19,'10_MATERIALES_ORDEN'!$I$2:$I$637)</f>
        <v>6461.1104347824</v>
      </c>
      <c r="E19" s="16" t="n">
        <f aca="false">SUMIF('09_CARGA_ORDEN'!$A$2:$A$1153,A19,'09_CARGA_ORDEN'!$J$2:$J$1153)*p_costo_hora_hombre</f>
        <v>1310.0204</v>
      </c>
      <c r="F19" s="16" t="n">
        <f aca="false">SUMIF('09_CARGA_ORDEN'!$A$2:$A$1153,A19,'09_CARGA_ORDEN'!$L$2:$L$1153)</f>
        <v>2424.73186666667</v>
      </c>
      <c r="G19" s="16" t="n">
        <f aca="false">SUM(D19:F19)</f>
        <v>10195.8627014491</v>
      </c>
      <c r="H19" s="16" t="n">
        <f aca="false">INDEX('08_PEDIDOS'!$K$2:$K$97,MATCH(A19,'08_PEDIDOS'!$A$2:$A$97,0))</f>
        <v>31805.88</v>
      </c>
      <c r="I19" s="12" t="n">
        <f aca="false">IF(H19=0,"",(H19-G19)/H19)</f>
        <v>0.67943466109257</v>
      </c>
      <c r="J19" s="5" t="n">
        <f aca="false">IF(COUNTIFS('10_MATERIALES_ORDEN'!$A$2:$A$637,A19,'10_MATERIALES_ORDEN'!$L$2:$L$637,0)=0,1,0)</f>
        <v>1</v>
      </c>
      <c r="K19" s="2" t="s">
        <v>629</v>
      </c>
    </row>
    <row r="20" customFormat="false" ht="15" hidden="false" customHeight="false" outlineLevel="0" collapsed="false">
      <c r="A20" s="2" t="s">
        <v>543</v>
      </c>
      <c r="B20" s="2" t="s">
        <v>94</v>
      </c>
      <c r="C20" s="5" t="n">
        <f aca="false">INDEX('08_PEDIDOS'!$D$2:$D$97,MATCH(A20,'08_PEDIDOS'!$A$2:$A$97,0))</f>
        <v>6</v>
      </c>
      <c r="D20" s="16" t="n">
        <f aca="false">SUMIF('10_MATERIALES_ORDEN'!$A$2:$A$637,A20,'10_MATERIALES_ORDEN'!$I$2:$I$637)</f>
        <v>2792.1813586962</v>
      </c>
      <c r="E20" s="16" t="n">
        <f aca="false">SUMIF('09_CARGA_ORDEN'!$A$2:$A$1153,A20,'09_CARGA_ORDEN'!$J$2:$J$1153)*p_costo_hora_hombre</f>
        <v>766.439093333333</v>
      </c>
      <c r="F20" s="16" t="n">
        <f aca="false">SUMIF('09_CARGA_ORDEN'!$A$2:$A$1153,A20,'09_CARGA_ORDEN'!$L$2:$L$1153)</f>
        <v>1402.94088</v>
      </c>
      <c r="G20" s="16" t="n">
        <f aca="false">SUM(D20:F20)</f>
        <v>4961.56133202953</v>
      </c>
      <c r="H20" s="16" t="n">
        <f aca="false">INDEX('08_PEDIDOS'!$K$2:$K$97,MATCH(A20,'08_PEDIDOS'!$A$2:$A$97,0))</f>
        <v>12903.42</v>
      </c>
      <c r="I20" s="12" t="n">
        <f aca="false">IF(H20=0,"",(H20-G20)/H20)</f>
        <v>0.615484783721716</v>
      </c>
      <c r="J20" s="5" t="n">
        <f aca="false">IF(COUNTIFS('10_MATERIALES_ORDEN'!$A$2:$A$637,A20,'10_MATERIALES_ORDEN'!$L$2:$L$637,0)=0,1,0)</f>
        <v>1</v>
      </c>
      <c r="K20" s="2" t="s">
        <v>629</v>
      </c>
    </row>
    <row r="21" customFormat="false" ht="15" hidden="false" customHeight="false" outlineLevel="0" collapsed="false">
      <c r="A21" s="2" t="s">
        <v>544</v>
      </c>
      <c r="B21" s="2" t="s">
        <v>96</v>
      </c>
      <c r="C21" s="5" t="n">
        <f aca="false">INDEX('08_PEDIDOS'!$D$2:$D$97,MATCH(A21,'08_PEDIDOS'!$A$2:$A$97,0))</f>
        <v>7</v>
      </c>
      <c r="D21" s="16" t="n">
        <f aca="false">SUMIF('10_MATERIALES_ORDEN'!$A$2:$A$637,A21,'10_MATERIALES_ORDEN'!$I$2:$I$637)</f>
        <v>2305.9388586955</v>
      </c>
      <c r="E21" s="16" t="n">
        <f aca="false">SUMIF('09_CARGA_ORDEN'!$A$2:$A$1153,A21,'09_CARGA_ORDEN'!$J$2:$J$1153)*p_costo_hora_hombre</f>
        <v>615.89307</v>
      </c>
      <c r="F21" s="16" t="n">
        <f aca="false">SUMIF('09_CARGA_ORDEN'!$A$2:$A$1153,A21,'09_CARGA_ORDEN'!$L$2:$L$1153)</f>
        <v>1128.59966</v>
      </c>
      <c r="G21" s="16" t="n">
        <f aca="false">SUM(D21:F21)</f>
        <v>4050.4315886955</v>
      </c>
      <c r="H21" s="16" t="n">
        <f aca="false">INDEX('08_PEDIDOS'!$K$2:$K$97,MATCH(A21,'08_PEDIDOS'!$A$2:$A$97,0))</f>
        <v>15053.99</v>
      </c>
      <c r="I21" s="12" t="n">
        <f aca="false">IF(H21=0,"",(H21-G21)/H21)</f>
        <v>0.730939665251837</v>
      </c>
      <c r="J21" s="5" t="n">
        <f aca="false">IF(COUNTIFS('10_MATERIALES_ORDEN'!$A$2:$A$637,A21,'10_MATERIALES_ORDEN'!$L$2:$L$637,0)=0,1,0)</f>
        <v>1</v>
      </c>
      <c r="K21" s="2" t="s">
        <v>629</v>
      </c>
    </row>
    <row r="22" customFormat="false" ht="15" hidden="false" customHeight="false" outlineLevel="0" collapsed="false">
      <c r="A22" s="2" t="s">
        <v>545</v>
      </c>
      <c r="B22" s="2" t="s">
        <v>106</v>
      </c>
      <c r="C22" s="5" t="n">
        <f aca="false">INDEX('08_PEDIDOS'!$D$2:$D$97,MATCH(A22,'08_PEDIDOS'!$A$2:$A$97,0))</f>
        <v>5</v>
      </c>
      <c r="D22" s="16" t="n">
        <f aca="false">SUMIF('10_MATERIALES_ORDEN'!$A$2:$A$637,A22,'10_MATERIALES_ORDEN'!$I$2:$I$637)</f>
        <v>3026.1635869565</v>
      </c>
      <c r="E22" s="16" t="n">
        <f aca="false">SUMIF('09_CARGA_ORDEN'!$A$2:$A$1153,A22,'09_CARGA_ORDEN'!$J$2:$J$1153)*p_costo_hora_hombre</f>
        <v>309.528916666667</v>
      </c>
      <c r="F22" s="16" t="n">
        <f aca="false">SUMIF('09_CARGA_ORDEN'!$A$2:$A$1153,A22,'09_CARGA_ORDEN'!$L$2:$L$1153)</f>
        <v>571.063</v>
      </c>
      <c r="G22" s="16" t="n">
        <f aca="false">SUM(D22:F22)</f>
        <v>3906.75550362317</v>
      </c>
      <c r="H22" s="16" t="n">
        <f aca="false">INDEX('08_PEDIDOS'!$K$2:$K$97,MATCH(A22,'08_PEDIDOS'!$A$2:$A$97,0))</f>
        <v>9004.05</v>
      </c>
      <c r="I22" s="12" t="n">
        <f aca="false">IF(H22=0,"",(H22-G22)/H22)</f>
        <v>0.566111305065702</v>
      </c>
      <c r="J22" s="5" t="n">
        <f aca="false">IF(COUNTIFS('10_MATERIALES_ORDEN'!$A$2:$A$637,A22,'10_MATERIALES_ORDEN'!$L$2:$L$637,0)=0,1,0)</f>
        <v>1</v>
      </c>
      <c r="K22" s="2" t="s">
        <v>629</v>
      </c>
    </row>
    <row r="23" customFormat="false" ht="15" hidden="false" customHeight="false" outlineLevel="0" collapsed="false">
      <c r="A23" s="2" t="s">
        <v>546</v>
      </c>
      <c r="B23" s="2" t="s">
        <v>108</v>
      </c>
      <c r="C23" s="5" t="n">
        <f aca="false">INDEX('08_PEDIDOS'!$D$2:$D$97,MATCH(A23,'08_PEDIDOS'!$A$2:$A$97,0))</f>
        <v>6</v>
      </c>
      <c r="D23" s="16" t="n">
        <f aca="false">SUMIF('10_MATERIALES_ORDEN'!$A$2:$A$637,A23,'10_MATERIALES_ORDEN'!$I$2:$I$637)</f>
        <v>5193.829565217</v>
      </c>
      <c r="E23" s="16" t="n">
        <f aca="false">SUMIF('09_CARGA_ORDEN'!$A$2:$A$1153,A23,'09_CARGA_ORDEN'!$J$2:$J$1153)*p_costo_hora_hombre</f>
        <v>505.6584</v>
      </c>
      <c r="F23" s="16" t="n">
        <f aca="false">SUMIF('09_CARGA_ORDEN'!$A$2:$A$1153,A23,'09_CARGA_ORDEN'!$L$2:$L$1153)</f>
        <v>933.452866666667</v>
      </c>
      <c r="G23" s="16" t="n">
        <f aca="false">SUM(D23:F23)</f>
        <v>6632.94083188367</v>
      </c>
      <c r="H23" s="16" t="n">
        <f aca="false">INDEX('08_PEDIDOS'!$K$2:$K$97,MATCH(A23,'08_PEDIDOS'!$A$2:$A$97,0))</f>
        <v>10804.86</v>
      </c>
      <c r="I23" s="12" t="n">
        <f aca="false">IF(H23=0,"",(H23-G23)/H23)</f>
        <v>0.386115060085585</v>
      </c>
      <c r="J23" s="5" t="n">
        <f aca="false">IF(COUNTIFS('10_MATERIALES_ORDEN'!$A$2:$A$637,A23,'10_MATERIALES_ORDEN'!$L$2:$L$637,0)=0,1,0)</f>
        <v>1</v>
      </c>
      <c r="K23" s="2" t="s">
        <v>629</v>
      </c>
    </row>
    <row r="24" customFormat="false" ht="15" hidden="false" customHeight="false" outlineLevel="0" collapsed="false">
      <c r="A24" s="2" t="s">
        <v>547</v>
      </c>
      <c r="B24" s="2" t="s">
        <v>119</v>
      </c>
      <c r="C24" s="5" t="n">
        <f aca="false">INDEX('08_PEDIDOS'!$D$2:$D$97,MATCH(A24,'08_PEDIDOS'!$A$2:$A$97,0))</f>
        <v>10</v>
      </c>
      <c r="D24" s="16" t="n">
        <f aca="false">SUMIF('10_MATERIALES_ORDEN'!$A$2:$A$637,A24,'10_MATERIALES_ORDEN'!$I$2:$I$637)</f>
        <v>4138.730434782</v>
      </c>
      <c r="E24" s="16" t="n">
        <f aca="false">SUMIF('09_CARGA_ORDEN'!$A$2:$A$1153,A24,'09_CARGA_ORDEN'!$J$2:$J$1153)*p_costo_hora_hombre</f>
        <v>484.319333333333</v>
      </c>
      <c r="F24" s="16" t="n">
        <f aca="false">SUMIF('09_CARGA_ORDEN'!$A$2:$A$1153,A24,'09_CARGA_ORDEN'!$L$2:$L$1153)</f>
        <v>897.774666666667</v>
      </c>
      <c r="G24" s="16" t="n">
        <f aca="false">SUM(D24:F24)</f>
        <v>5520.824434782</v>
      </c>
      <c r="H24" s="16" t="n">
        <f aca="false">INDEX('08_PEDIDOS'!$K$2:$K$97,MATCH(A24,'08_PEDIDOS'!$A$2:$A$97,0))</f>
        <v>23224.698</v>
      </c>
      <c r="I24" s="12" t="n">
        <f aca="false">IF(H24=0,"",(H24-G24)/H24)</f>
        <v>0.762286491958604</v>
      </c>
      <c r="J24" s="5" t="n">
        <f aca="false">IF(COUNTIFS('10_MATERIALES_ORDEN'!$A$2:$A$637,A24,'10_MATERIALES_ORDEN'!$L$2:$L$637,0)=0,1,0)</f>
        <v>1</v>
      </c>
      <c r="K24" s="2" t="s">
        <v>629</v>
      </c>
    </row>
    <row r="25" customFormat="false" ht="15" hidden="false" customHeight="false" outlineLevel="0" collapsed="false">
      <c r="A25" s="2" t="s">
        <v>548</v>
      </c>
      <c r="B25" s="2" t="s">
        <v>121</v>
      </c>
      <c r="C25" s="5" t="n">
        <f aca="false">INDEX('08_PEDIDOS'!$D$2:$D$97,MATCH(A25,'08_PEDIDOS'!$A$2:$A$97,0))</f>
        <v>10</v>
      </c>
      <c r="D25" s="16" t="n">
        <f aca="false">SUMIF('10_MATERIALES_ORDEN'!$A$2:$A$637,A25,'10_MATERIALES_ORDEN'!$I$2:$I$637)</f>
        <v>2926.208152174</v>
      </c>
      <c r="E25" s="16" t="n">
        <f aca="false">SUMIF('09_CARGA_ORDEN'!$A$2:$A$1153,A25,'09_CARGA_ORDEN'!$J$2:$J$1153)*p_costo_hora_hombre</f>
        <v>781.592933333333</v>
      </c>
      <c r="F25" s="16" t="n">
        <f aca="false">SUMIF('09_CARGA_ORDEN'!$A$2:$A$1153,A25,'09_CARGA_ORDEN'!$L$2:$L$1153)</f>
        <v>1379.59146666667</v>
      </c>
      <c r="G25" s="16" t="n">
        <f aca="false">SUM(D25:F25)</f>
        <v>5087.392552174</v>
      </c>
      <c r="H25" s="16" t="n">
        <f aca="false">INDEX('08_PEDIDOS'!$K$2:$K$97,MATCH(A25,'08_PEDIDOS'!$A$2:$A$97,0))</f>
        <v>23224.698</v>
      </c>
      <c r="I25" s="12" t="n">
        <f aca="false">IF(H25=0,"",(H25-G25)/H25)</f>
        <v>0.780949033129559</v>
      </c>
      <c r="J25" s="5" t="n">
        <f aca="false">IF(COUNTIFS('10_MATERIALES_ORDEN'!$A$2:$A$637,A25,'10_MATERIALES_ORDEN'!$L$2:$L$637,0)=0,1,0)</f>
        <v>1</v>
      </c>
      <c r="K25" s="2" t="s">
        <v>629</v>
      </c>
    </row>
    <row r="26" customFormat="false" ht="15" hidden="false" customHeight="false" outlineLevel="0" collapsed="false">
      <c r="A26" s="2" t="s">
        <v>549</v>
      </c>
      <c r="B26" s="2" t="s">
        <v>80</v>
      </c>
      <c r="C26" s="5" t="n">
        <f aca="false">INDEX('08_PEDIDOS'!$D$2:$D$97,MATCH(A26,'08_PEDIDOS'!$A$2:$A$97,0))</f>
        <v>12</v>
      </c>
      <c r="D26" s="16" t="n">
        <f aca="false">SUMIF('10_MATERIALES_ORDEN'!$A$2:$A$637,A26,'10_MATERIALES_ORDEN'!$I$2:$I$637)</f>
        <v>6787.366956522</v>
      </c>
      <c r="E26" s="16" t="n">
        <f aca="false">SUMIF('09_CARGA_ORDEN'!$A$2:$A$1153,A26,'09_CARGA_ORDEN'!$J$2:$J$1153)*p_costo_hora_hombre</f>
        <v>1178.67048</v>
      </c>
      <c r="F26" s="16" t="n">
        <f aca="false">SUMIF('09_CARGA_ORDEN'!$A$2:$A$1153,A26,'09_CARGA_ORDEN'!$L$2:$L$1153)</f>
        <v>2195.08090666667</v>
      </c>
      <c r="G26" s="16" t="n">
        <f aca="false">SUM(D26:F26)</f>
        <v>10161.1183431887</v>
      </c>
      <c r="H26" s="16" t="n">
        <f aca="false">INDEX('08_PEDIDOS'!$K$2:$K$97,MATCH(A26,'08_PEDIDOS'!$A$2:$A$97,0))</f>
        <v>31805.88</v>
      </c>
      <c r="I26" s="12" t="n">
        <f aca="false">IF(H26=0,"",(H26-G26)/H26)</f>
        <v>0.680527048986267</v>
      </c>
      <c r="J26" s="5" t="n">
        <f aca="false">IF(COUNTIFS('10_MATERIALES_ORDEN'!$A$2:$A$637,A26,'10_MATERIALES_ORDEN'!$L$2:$L$637,0)=0,1,0)</f>
        <v>1</v>
      </c>
      <c r="K26" s="2" t="s">
        <v>629</v>
      </c>
    </row>
    <row r="27" customFormat="false" ht="15" hidden="false" customHeight="false" outlineLevel="0" collapsed="false">
      <c r="A27" s="2" t="s">
        <v>550</v>
      </c>
      <c r="B27" s="2" t="s">
        <v>83</v>
      </c>
      <c r="C27" s="5" t="n">
        <f aca="false">INDEX('08_PEDIDOS'!$D$2:$D$97,MATCH(A27,'08_PEDIDOS'!$A$2:$A$97,0))</f>
        <v>12</v>
      </c>
      <c r="D27" s="16" t="n">
        <f aca="false">SUMIF('10_MATERIALES_ORDEN'!$A$2:$A$637,A27,'10_MATERIALES_ORDEN'!$I$2:$I$637)</f>
        <v>6461.1104347824</v>
      </c>
      <c r="E27" s="16" t="n">
        <f aca="false">SUMIF('09_CARGA_ORDEN'!$A$2:$A$1153,A27,'09_CARGA_ORDEN'!$J$2:$J$1153)*p_costo_hora_hombre</f>
        <v>1310.0204</v>
      </c>
      <c r="F27" s="16" t="n">
        <f aca="false">SUMIF('09_CARGA_ORDEN'!$A$2:$A$1153,A27,'09_CARGA_ORDEN'!$L$2:$L$1153)</f>
        <v>2424.73186666667</v>
      </c>
      <c r="G27" s="16" t="n">
        <f aca="false">SUM(D27:F27)</f>
        <v>10195.8627014491</v>
      </c>
      <c r="H27" s="16" t="n">
        <f aca="false">INDEX('08_PEDIDOS'!$K$2:$K$97,MATCH(A27,'08_PEDIDOS'!$A$2:$A$97,0))</f>
        <v>31805.88</v>
      </c>
      <c r="I27" s="12" t="n">
        <f aca="false">IF(H27=0,"",(H27-G27)/H27)</f>
        <v>0.67943466109257</v>
      </c>
      <c r="J27" s="5" t="n">
        <f aca="false">IF(COUNTIFS('10_MATERIALES_ORDEN'!$A$2:$A$637,A27,'10_MATERIALES_ORDEN'!$L$2:$L$637,0)=0,1,0)</f>
        <v>1</v>
      </c>
      <c r="K27" s="2" t="s">
        <v>629</v>
      </c>
    </row>
    <row r="28" customFormat="false" ht="15" hidden="false" customHeight="false" outlineLevel="0" collapsed="false">
      <c r="A28" s="2" t="s">
        <v>551</v>
      </c>
      <c r="B28" s="2" t="s">
        <v>94</v>
      </c>
      <c r="C28" s="5" t="n">
        <f aca="false">INDEX('08_PEDIDOS'!$D$2:$D$97,MATCH(A28,'08_PEDIDOS'!$A$2:$A$97,0))</f>
        <v>6</v>
      </c>
      <c r="D28" s="16" t="n">
        <f aca="false">SUMIF('10_MATERIALES_ORDEN'!$A$2:$A$637,A28,'10_MATERIALES_ORDEN'!$I$2:$I$637)</f>
        <v>2792.1813586962</v>
      </c>
      <c r="E28" s="16" t="n">
        <f aca="false">SUMIF('09_CARGA_ORDEN'!$A$2:$A$1153,A28,'09_CARGA_ORDEN'!$J$2:$J$1153)*p_costo_hora_hombre</f>
        <v>766.439093333333</v>
      </c>
      <c r="F28" s="16" t="n">
        <f aca="false">SUMIF('09_CARGA_ORDEN'!$A$2:$A$1153,A28,'09_CARGA_ORDEN'!$L$2:$L$1153)</f>
        <v>1402.94088</v>
      </c>
      <c r="G28" s="16" t="n">
        <f aca="false">SUM(D28:F28)</f>
        <v>4961.56133202953</v>
      </c>
      <c r="H28" s="16" t="n">
        <f aca="false">INDEX('08_PEDIDOS'!$K$2:$K$97,MATCH(A28,'08_PEDIDOS'!$A$2:$A$97,0))</f>
        <v>12903.42</v>
      </c>
      <c r="I28" s="12" t="n">
        <f aca="false">IF(H28=0,"",(H28-G28)/H28)</f>
        <v>0.615484783721716</v>
      </c>
      <c r="J28" s="5" t="n">
        <f aca="false">IF(COUNTIFS('10_MATERIALES_ORDEN'!$A$2:$A$637,A28,'10_MATERIALES_ORDEN'!$L$2:$L$637,0)=0,1,0)</f>
        <v>1</v>
      </c>
      <c r="K28" s="2" t="s">
        <v>629</v>
      </c>
    </row>
    <row r="29" customFormat="false" ht="15" hidden="false" customHeight="false" outlineLevel="0" collapsed="false">
      <c r="A29" s="2" t="s">
        <v>552</v>
      </c>
      <c r="B29" s="2" t="s">
        <v>96</v>
      </c>
      <c r="C29" s="5" t="n">
        <f aca="false">INDEX('08_PEDIDOS'!$D$2:$D$97,MATCH(A29,'08_PEDIDOS'!$A$2:$A$97,0))</f>
        <v>7</v>
      </c>
      <c r="D29" s="16" t="n">
        <f aca="false">SUMIF('10_MATERIALES_ORDEN'!$A$2:$A$637,A29,'10_MATERIALES_ORDEN'!$I$2:$I$637)</f>
        <v>2305.9388586955</v>
      </c>
      <c r="E29" s="16" t="n">
        <f aca="false">SUMIF('09_CARGA_ORDEN'!$A$2:$A$1153,A29,'09_CARGA_ORDEN'!$J$2:$J$1153)*p_costo_hora_hombre</f>
        <v>615.89307</v>
      </c>
      <c r="F29" s="16" t="n">
        <f aca="false">SUMIF('09_CARGA_ORDEN'!$A$2:$A$1153,A29,'09_CARGA_ORDEN'!$L$2:$L$1153)</f>
        <v>1128.59966</v>
      </c>
      <c r="G29" s="16" t="n">
        <f aca="false">SUM(D29:F29)</f>
        <v>4050.4315886955</v>
      </c>
      <c r="H29" s="16" t="n">
        <f aca="false">INDEX('08_PEDIDOS'!$K$2:$K$97,MATCH(A29,'08_PEDIDOS'!$A$2:$A$97,0))</f>
        <v>15053.99</v>
      </c>
      <c r="I29" s="12" t="n">
        <f aca="false">IF(H29=0,"",(H29-G29)/H29)</f>
        <v>0.730939665251837</v>
      </c>
      <c r="J29" s="5" t="n">
        <f aca="false">IF(COUNTIFS('10_MATERIALES_ORDEN'!$A$2:$A$637,A29,'10_MATERIALES_ORDEN'!$L$2:$L$637,0)=0,1,0)</f>
        <v>1</v>
      </c>
      <c r="K29" s="2" t="s">
        <v>629</v>
      </c>
    </row>
    <row r="30" customFormat="false" ht="15" hidden="false" customHeight="false" outlineLevel="0" collapsed="false">
      <c r="A30" s="2" t="s">
        <v>553</v>
      </c>
      <c r="B30" s="2" t="s">
        <v>106</v>
      </c>
      <c r="C30" s="5" t="n">
        <f aca="false">INDEX('08_PEDIDOS'!$D$2:$D$97,MATCH(A30,'08_PEDIDOS'!$A$2:$A$97,0))</f>
        <v>5</v>
      </c>
      <c r="D30" s="16" t="n">
        <f aca="false">SUMIF('10_MATERIALES_ORDEN'!$A$2:$A$637,A30,'10_MATERIALES_ORDEN'!$I$2:$I$637)</f>
        <v>3026.1635869565</v>
      </c>
      <c r="E30" s="16" t="n">
        <f aca="false">SUMIF('09_CARGA_ORDEN'!$A$2:$A$1153,A30,'09_CARGA_ORDEN'!$J$2:$J$1153)*p_costo_hora_hombre</f>
        <v>309.528916666667</v>
      </c>
      <c r="F30" s="16" t="n">
        <f aca="false">SUMIF('09_CARGA_ORDEN'!$A$2:$A$1153,A30,'09_CARGA_ORDEN'!$L$2:$L$1153)</f>
        <v>571.063</v>
      </c>
      <c r="G30" s="16" t="n">
        <f aca="false">SUM(D30:F30)</f>
        <v>3906.75550362317</v>
      </c>
      <c r="H30" s="16" t="n">
        <f aca="false">INDEX('08_PEDIDOS'!$K$2:$K$97,MATCH(A30,'08_PEDIDOS'!$A$2:$A$97,0))</f>
        <v>9004.05</v>
      </c>
      <c r="I30" s="12" t="n">
        <f aca="false">IF(H30=0,"",(H30-G30)/H30)</f>
        <v>0.566111305065702</v>
      </c>
      <c r="J30" s="5" t="n">
        <f aca="false">IF(COUNTIFS('10_MATERIALES_ORDEN'!$A$2:$A$637,A30,'10_MATERIALES_ORDEN'!$L$2:$L$637,0)=0,1,0)</f>
        <v>1</v>
      </c>
      <c r="K30" s="2" t="s">
        <v>629</v>
      </c>
    </row>
    <row r="31" customFormat="false" ht="15" hidden="false" customHeight="false" outlineLevel="0" collapsed="false">
      <c r="A31" s="2" t="s">
        <v>554</v>
      </c>
      <c r="B31" s="2" t="s">
        <v>108</v>
      </c>
      <c r="C31" s="5" t="n">
        <f aca="false">INDEX('08_PEDIDOS'!$D$2:$D$97,MATCH(A31,'08_PEDIDOS'!$A$2:$A$97,0))</f>
        <v>6</v>
      </c>
      <c r="D31" s="16" t="n">
        <f aca="false">SUMIF('10_MATERIALES_ORDEN'!$A$2:$A$637,A31,'10_MATERIALES_ORDEN'!$I$2:$I$637)</f>
        <v>5193.829565217</v>
      </c>
      <c r="E31" s="16" t="n">
        <f aca="false">SUMIF('09_CARGA_ORDEN'!$A$2:$A$1153,A31,'09_CARGA_ORDEN'!$J$2:$J$1153)*p_costo_hora_hombre</f>
        <v>505.6584</v>
      </c>
      <c r="F31" s="16" t="n">
        <f aca="false">SUMIF('09_CARGA_ORDEN'!$A$2:$A$1153,A31,'09_CARGA_ORDEN'!$L$2:$L$1153)</f>
        <v>933.452866666667</v>
      </c>
      <c r="G31" s="16" t="n">
        <f aca="false">SUM(D31:F31)</f>
        <v>6632.94083188367</v>
      </c>
      <c r="H31" s="16" t="n">
        <f aca="false">INDEX('08_PEDIDOS'!$K$2:$K$97,MATCH(A31,'08_PEDIDOS'!$A$2:$A$97,0))</f>
        <v>10804.86</v>
      </c>
      <c r="I31" s="12" t="n">
        <f aca="false">IF(H31=0,"",(H31-G31)/H31)</f>
        <v>0.386115060085585</v>
      </c>
      <c r="J31" s="5" t="n">
        <f aca="false">IF(COUNTIFS('10_MATERIALES_ORDEN'!$A$2:$A$637,A31,'10_MATERIALES_ORDEN'!$L$2:$L$637,0)=0,1,0)</f>
        <v>1</v>
      </c>
      <c r="K31" s="2" t="s">
        <v>629</v>
      </c>
    </row>
    <row r="32" customFormat="false" ht="15" hidden="false" customHeight="false" outlineLevel="0" collapsed="false">
      <c r="A32" s="2" t="s">
        <v>555</v>
      </c>
      <c r="B32" s="2" t="s">
        <v>119</v>
      </c>
      <c r="C32" s="5" t="n">
        <f aca="false">INDEX('08_PEDIDOS'!$D$2:$D$97,MATCH(A32,'08_PEDIDOS'!$A$2:$A$97,0))</f>
        <v>10</v>
      </c>
      <c r="D32" s="16" t="n">
        <f aca="false">SUMIF('10_MATERIALES_ORDEN'!$A$2:$A$637,A32,'10_MATERIALES_ORDEN'!$I$2:$I$637)</f>
        <v>4138.730434782</v>
      </c>
      <c r="E32" s="16" t="n">
        <f aca="false">SUMIF('09_CARGA_ORDEN'!$A$2:$A$1153,A32,'09_CARGA_ORDEN'!$J$2:$J$1153)*p_costo_hora_hombre</f>
        <v>484.319333333333</v>
      </c>
      <c r="F32" s="16" t="n">
        <f aca="false">SUMIF('09_CARGA_ORDEN'!$A$2:$A$1153,A32,'09_CARGA_ORDEN'!$L$2:$L$1153)</f>
        <v>897.774666666667</v>
      </c>
      <c r="G32" s="16" t="n">
        <f aca="false">SUM(D32:F32)</f>
        <v>5520.824434782</v>
      </c>
      <c r="H32" s="16" t="n">
        <f aca="false">INDEX('08_PEDIDOS'!$K$2:$K$97,MATCH(A32,'08_PEDIDOS'!$A$2:$A$97,0))</f>
        <v>23224.698</v>
      </c>
      <c r="I32" s="12" t="n">
        <f aca="false">IF(H32=0,"",(H32-G32)/H32)</f>
        <v>0.762286491958604</v>
      </c>
      <c r="J32" s="5" t="n">
        <f aca="false">IF(COUNTIFS('10_MATERIALES_ORDEN'!$A$2:$A$637,A32,'10_MATERIALES_ORDEN'!$L$2:$L$637,0)=0,1,0)</f>
        <v>1</v>
      </c>
      <c r="K32" s="2" t="s">
        <v>629</v>
      </c>
    </row>
    <row r="33" customFormat="false" ht="15" hidden="false" customHeight="false" outlineLevel="0" collapsed="false">
      <c r="A33" s="2" t="s">
        <v>556</v>
      </c>
      <c r="B33" s="2" t="s">
        <v>121</v>
      </c>
      <c r="C33" s="5" t="n">
        <f aca="false">INDEX('08_PEDIDOS'!$D$2:$D$97,MATCH(A33,'08_PEDIDOS'!$A$2:$A$97,0))</f>
        <v>10</v>
      </c>
      <c r="D33" s="16" t="n">
        <f aca="false">SUMIF('10_MATERIALES_ORDEN'!$A$2:$A$637,A33,'10_MATERIALES_ORDEN'!$I$2:$I$637)</f>
        <v>2926.208152174</v>
      </c>
      <c r="E33" s="16" t="n">
        <f aca="false">SUMIF('09_CARGA_ORDEN'!$A$2:$A$1153,A33,'09_CARGA_ORDEN'!$J$2:$J$1153)*p_costo_hora_hombre</f>
        <v>781.592933333333</v>
      </c>
      <c r="F33" s="16" t="n">
        <f aca="false">SUMIF('09_CARGA_ORDEN'!$A$2:$A$1153,A33,'09_CARGA_ORDEN'!$L$2:$L$1153)</f>
        <v>1379.59146666667</v>
      </c>
      <c r="G33" s="16" t="n">
        <f aca="false">SUM(D33:F33)</f>
        <v>5087.392552174</v>
      </c>
      <c r="H33" s="16" t="n">
        <f aca="false">INDEX('08_PEDIDOS'!$K$2:$K$97,MATCH(A33,'08_PEDIDOS'!$A$2:$A$97,0))</f>
        <v>23224.698</v>
      </c>
      <c r="I33" s="12" t="n">
        <f aca="false">IF(H33=0,"",(H33-G33)/H33)</f>
        <v>0.780949033129559</v>
      </c>
      <c r="J33" s="5" t="n">
        <f aca="false">IF(COUNTIFS('10_MATERIALES_ORDEN'!$A$2:$A$637,A33,'10_MATERIALES_ORDEN'!$L$2:$L$637,0)=0,1,0)</f>
        <v>1</v>
      </c>
      <c r="K33" s="2" t="s">
        <v>629</v>
      </c>
    </row>
    <row r="34" customFormat="false" ht="15" hidden="false" customHeight="false" outlineLevel="0" collapsed="false">
      <c r="A34" s="2" t="s">
        <v>557</v>
      </c>
      <c r="B34" s="2" t="s">
        <v>80</v>
      </c>
      <c r="C34" s="5" t="n">
        <f aca="false">INDEX('08_PEDIDOS'!$D$2:$D$97,MATCH(A34,'08_PEDIDOS'!$A$2:$A$97,0))</f>
        <v>12</v>
      </c>
      <c r="D34" s="16" t="n">
        <f aca="false">SUMIF('10_MATERIALES_ORDEN'!$A$2:$A$637,A34,'10_MATERIALES_ORDEN'!$I$2:$I$637)</f>
        <v>6787.366956522</v>
      </c>
      <c r="E34" s="16" t="n">
        <f aca="false">SUMIF('09_CARGA_ORDEN'!$A$2:$A$1153,A34,'09_CARGA_ORDEN'!$J$2:$J$1153)*p_costo_hora_hombre</f>
        <v>1178.67048</v>
      </c>
      <c r="F34" s="16" t="n">
        <f aca="false">SUMIF('09_CARGA_ORDEN'!$A$2:$A$1153,A34,'09_CARGA_ORDEN'!$L$2:$L$1153)</f>
        <v>2195.08090666667</v>
      </c>
      <c r="G34" s="16" t="n">
        <f aca="false">SUM(D34:F34)</f>
        <v>10161.1183431887</v>
      </c>
      <c r="H34" s="16" t="n">
        <f aca="false">INDEX('08_PEDIDOS'!$K$2:$K$97,MATCH(A34,'08_PEDIDOS'!$A$2:$A$97,0))</f>
        <v>31805.88</v>
      </c>
      <c r="I34" s="12" t="n">
        <f aca="false">IF(H34=0,"",(H34-G34)/H34)</f>
        <v>0.680527048986267</v>
      </c>
      <c r="J34" s="5" t="n">
        <f aca="false">IF(COUNTIFS('10_MATERIALES_ORDEN'!$A$2:$A$637,A34,'10_MATERIALES_ORDEN'!$L$2:$L$637,0)=0,1,0)</f>
        <v>1</v>
      </c>
      <c r="K34" s="2" t="s">
        <v>629</v>
      </c>
    </row>
    <row r="35" customFormat="false" ht="15" hidden="false" customHeight="false" outlineLevel="0" collapsed="false">
      <c r="A35" s="2" t="s">
        <v>558</v>
      </c>
      <c r="B35" s="2" t="s">
        <v>83</v>
      </c>
      <c r="C35" s="5" t="n">
        <f aca="false">INDEX('08_PEDIDOS'!$D$2:$D$97,MATCH(A35,'08_PEDIDOS'!$A$2:$A$97,0))</f>
        <v>12</v>
      </c>
      <c r="D35" s="16" t="n">
        <f aca="false">SUMIF('10_MATERIALES_ORDEN'!$A$2:$A$637,A35,'10_MATERIALES_ORDEN'!$I$2:$I$637)</f>
        <v>6461.1104347824</v>
      </c>
      <c r="E35" s="16" t="n">
        <f aca="false">SUMIF('09_CARGA_ORDEN'!$A$2:$A$1153,A35,'09_CARGA_ORDEN'!$J$2:$J$1153)*p_costo_hora_hombre</f>
        <v>1310.0204</v>
      </c>
      <c r="F35" s="16" t="n">
        <f aca="false">SUMIF('09_CARGA_ORDEN'!$A$2:$A$1153,A35,'09_CARGA_ORDEN'!$L$2:$L$1153)</f>
        <v>2424.73186666667</v>
      </c>
      <c r="G35" s="16" t="n">
        <f aca="false">SUM(D35:F35)</f>
        <v>10195.8627014491</v>
      </c>
      <c r="H35" s="16" t="n">
        <f aca="false">INDEX('08_PEDIDOS'!$K$2:$K$97,MATCH(A35,'08_PEDIDOS'!$A$2:$A$97,0))</f>
        <v>31805.88</v>
      </c>
      <c r="I35" s="12" t="n">
        <f aca="false">IF(H35=0,"",(H35-G35)/H35)</f>
        <v>0.67943466109257</v>
      </c>
      <c r="J35" s="5" t="n">
        <f aca="false">IF(COUNTIFS('10_MATERIALES_ORDEN'!$A$2:$A$637,A35,'10_MATERIALES_ORDEN'!$L$2:$L$637,0)=0,1,0)</f>
        <v>1</v>
      </c>
      <c r="K35" s="2" t="s">
        <v>629</v>
      </c>
    </row>
    <row r="36" customFormat="false" ht="15" hidden="false" customHeight="false" outlineLevel="0" collapsed="false">
      <c r="A36" s="2" t="s">
        <v>559</v>
      </c>
      <c r="B36" s="2" t="s">
        <v>94</v>
      </c>
      <c r="C36" s="5" t="n">
        <f aca="false">INDEX('08_PEDIDOS'!$D$2:$D$97,MATCH(A36,'08_PEDIDOS'!$A$2:$A$97,0))</f>
        <v>6</v>
      </c>
      <c r="D36" s="16" t="n">
        <f aca="false">SUMIF('10_MATERIALES_ORDEN'!$A$2:$A$637,A36,'10_MATERIALES_ORDEN'!$I$2:$I$637)</f>
        <v>2792.1813586962</v>
      </c>
      <c r="E36" s="16" t="n">
        <f aca="false">SUMIF('09_CARGA_ORDEN'!$A$2:$A$1153,A36,'09_CARGA_ORDEN'!$J$2:$J$1153)*p_costo_hora_hombre</f>
        <v>766.439093333333</v>
      </c>
      <c r="F36" s="16" t="n">
        <f aca="false">SUMIF('09_CARGA_ORDEN'!$A$2:$A$1153,A36,'09_CARGA_ORDEN'!$L$2:$L$1153)</f>
        <v>1402.94088</v>
      </c>
      <c r="G36" s="16" t="n">
        <f aca="false">SUM(D36:F36)</f>
        <v>4961.56133202953</v>
      </c>
      <c r="H36" s="16" t="n">
        <f aca="false">INDEX('08_PEDIDOS'!$K$2:$K$97,MATCH(A36,'08_PEDIDOS'!$A$2:$A$97,0))</f>
        <v>12903.42</v>
      </c>
      <c r="I36" s="12" t="n">
        <f aca="false">IF(H36=0,"",(H36-G36)/H36)</f>
        <v>0.615484783721716</v>
      </c>
      <c r="J36" s="5" t="n">
        <f aca="false">IF(COUNTIFS('10_MATERIALES_ORDEN'!$A$2:$A$637,A36,'10_MATERIALES_ORDEN'!$L$2:$L$637,0)=0,1,0)</f>
        <v>1</v>
      </c>
      <c r="K36" s="2" t="s">
        <v>629</v>
      </c>
    </row>
    <row r="37" customFormat="false" ht="15" hidden="false" customHeight="false" outlineLevel="0" collapsed="false">
      <c r="A37" s="2" t="s">
        <v>560</v>
      </c>
      <c r="B37" s="2" t="s">
        <v>96</v>
      </c>
      <c r="C37" s="5" t="n">
        <f aca="false">INDEX('08_PEDIDOS'!$D$2:$D$97,MATCH(A37,'08_PEDIDOS'!$A$2:$A$97,0))</f>
        <v>7</v>
      </c>
      <c r="D37" s="16" t="n">
        <f aca="false">SUMIF('10_MATERIALES_ORDEN'!$A$2:$A$637,A37,'10_MATERIALES_ORDEN'!$I$2:$I$637)</f>
        <v>2305.9388586955</v>
      </c>
      <c r="E37" s="16" t="n">
        <f aca="false">SUMIF('09_CARGA_ORDEN'!$A$2:$A$1153,A37,'09_CARGA_ORDEN'!$J$2:$J$1153)*p_costo_hora_hombre</f>
        <v>615.89307</v>
      </c>
      <c r="F37" s="16" t="n">
        <f aca="false">SUMIF('09_CARGA_ORDEN'!$A$2:$A$1153,A37,'09_CARGA_ORDEN'!$L$2:$L$1153)</f>
        <v>1128.59966</v>
      </c>
      <c r="G37" s="16" t="n">
        <f aca="false">SUM(D37:F37)</f>
        <v>4050.4315886955</v>
      </c>
      <c r="H37" s="16" t="n">
        <f aca="false">INDEX('08_PEDIDOS'!$K$2:$K$97,MATCH(A37,'08_PEDIDOS'!$A$2:$A$97,0))</f>
        <v>15053.99</v>
      </c>
      <c r="I37" s="12" t="n">
        <f aca="false">IF(H37=0,"",(H37-G37)/H37)</f>
        <v>0.730939665251837</v>
      </c>
      <c r="J37" s="5" t="n">
        <f aca="false">IF(COUNTIFS('10_MATERIALES_ORDEN'!$A$2:$A$637,A37,'10_MATERIALES_ORDEN'!$L$2:$L$637,0)=0,1,0)</f>
        <v>1</v>
      </c>
      <c r="K37" s="2" t="s">
        <v>629</v>
      </c>
    </row>
    <row r="38" customFormat="false" ht="15" hidden="false" customHeight="false" outlineLevel="0" collapsed="false">
      <c r="A38" s="2" t="s">
        <v>561</v>
      </c>
      <c r="B38" s="2" t="s">
        <v>106</v>
      </c>
      <c r="C38" s="5" t="n">
        <f aca="false">INDEX('08_PEDIDOS'!$D$2:$D$97,MATCH(A38,'08_PEDIDOS'!$A$2:$A$97,0))</f>
        <v>5</v>
      </c>
      <c r="D38" s="16" t="n">
        <f aca="false">SUMIF('10_MATERIALES_ORDEN'!$A$2:$A$637,A38,'10_MATERIALES_ORDEN'!$I$2:$I$637)</f>
        <v>3026.1635869565</v>
      </c>
      <c r="E38" s="16" t="n">
        <f aca="false">SUMIF('09_CARGA_ORDEN'!$A$2:$A$1153,A38,'09_CARGA_ORDEN'!$J$2:$J$1153)*p_costo_hora_hombre</f>
        <v>309.528916666667</v>
      </c>
      <c r="F38" s="16" t="n">
        <f aca="false">SUMIF('09_CARGA_ORDEN'!$A$2:$A$1153,A38,'09_CARGA_ORDEN'!$L$2:$L$1153)</f>
        <v>571.063</v>
      </c>
      <c r="G38" s="16" t="n">
        <f aca="false">SUM(D38:F38)</f>
        <v>3906.75550362317</v>
      </c>
      <c r="H38" s="16" t="n">
        <f aca="false">INDEX('08_PEDIDOS'!$K$2:$K$97,MATCH(A38,'08_PEDIDOS'!$A$2:$A$97,0))</f>
        <v>9004.05</v>
      </c>
      <c r="I38" s="12" t="n">
        <f aca="false">IF(H38=0,"",(H38-G38)/H38)</f>
        <v>0.566111305065702</v>
      </c>
      <c r="J38" s="5" t="n">
        <f aca="false">IF(COUNTIFS('10_MATERIALES_ORDEN'!$A$2:$A$637,A38,'10_MATERIALES_ORDEN'!$L$2:$L$637,0)=0,1,0)</f>
        <v>1</v>
      </c>
      <c r="K38" s="2" t="s">
        <v>629</v>
      </c>
    </row>
    <row r="39" customFormat="false" ht="15" hidden="false" customHeight="false" outlineLevel="0" collapsed="false">
      <c r="A39" s="2" t="s">
        <v>562</v>
      </c>
      <c r="B39" s="2" t="s">
        <v>108</v>
      </c>
      <c r="C39" s="5" t="n">
        <f aca="false">INDEX('08_PEDIDOS'!$D$2:$D$97,MATCH(A39,'08_PEDIDOS'!$A$2:$A$97,0))</f>
        <v>6</v>
      </c>
      <c r="D39" s="16" t="n">
        <f aca="false">SUMIF('10_MATERIALES_ORDEN'!$A$2:$A$637,A39,'10_MATERIALES_ORDEN'!$I$2:$I$637)</f>
        <v>5193.829565217</v>
      </c>
      <c r="E39" s="16" t="n">
        <f aca="false">SUMIF('09_CARGA_ORDEN'!$A$2:$A$1153,A39,'09_CARGA_ORDEN'!$J$2:$J$1153)*p_costo_hora_hombre</f>
        <v>505.6584</v>
      </c>
      <c r="F39" s="16" t="n">
        <f aca="false">SUMIF('09_CARGA_ORDEN'!$A$2:$A$1153,A39,'09_CARGA_ORDEN'!$L$2:$L$1153)</f>
        <v>933.452866666667</v>
      </c>
      <c r="G39" s="16" t="n">
        <f aca="false">SUM(D39:F39)</f>
        <v>6632.94083188367</v>
      </c>
      <c r="H39" s="16" t="n">
        <f aca="false">INDEX('08_PEDIDOS'!$K$2:$K$97,MATCH(A39,'08_PEDIDOS'!$A$2:$A$97,0))</f>
        <v>10804.86</v>
      </c>
      <c r="I39" s="12" t="n">
        <f aca="false">IF(H39=0,"",(H39-G39)/H39)</f>
        <v>0.386115060085585</v>
      </c>
      <c r="J39" s="5" t="n">
        <f aca="false">IF(COUNTIFS('10_MATERIALES_ORDEN'!$A$2:$A$637,A39,'10_MATERIALES_ORDEN'!$L$2:$L$637,0)=0,1,0)</f>
        <v>1</v>
      </c>
      <c r="K39" s="2" t="s">
        <v>629</v>
      </c>
    </row>
    <row r="40" customFormat="false" ht="15" hidden="false" customHeight="false" outlineLevel="0" collapsed="false">
      <c r="A40" s="2" t="s">
        <v>563</v>
      </c>
      <c r="B40" s="2" t="s">
        <v>119</v>
      </c>
      <c r="C40" s="5" t="n">
        <f aca="false">INDEX('08_PEDIDOS'!$D$2:$D$97,MATCH(A40,'08_PEDIDOS'!$A$2:$A$97,0))</f>
        <v>10</v>
      </c>
      <c r="D40" s="16" t="n">
        <f aca="false">SUMIF('10_MATERIALES_ORDEN'!$A$2:$A$637,A40,'10_MATERIALES_ORDEN'!$I$2:$I$637)</f>
        <v>4138.730434782</v>
      </c>
      <c r="E40" s="16" t="n">
        <f aca="false">SUMIF('09_CARGA_ORDEN'!$A$2:$A$1153,A40,'09_CARGA_ORDEN'!$J$2:$J$1153)*p_costo_hora_hombre</f>
        <v>484.319333333333</v>
      </c>
      <c r="F40" s="16" t="n">
        <f aca="false">SUMIF('09_CARGA_ORDEN'!$A$2:$A$1153,A40,'09_CARGA_ORDEN'!$L$2:$L$1153)</f>
        <v>897.774666666667</v>
      </c>
      <c r="G40" s="16" t="n">
        <f aca="false">SUM(D40:F40)</f>
        <v>5520.824434782</v>
      </c>
      <c r="H40" s="16" t="n">
        <f aca="false">INDEX('08_PEDIDOS'!$K$2:$K$97,MATCH(A40,'08_PEDIDOS'!$A$2:$A$97,0))</f>
        <v>23224.698</v>
      </c>
      <c r="I40" s="12" t="n">
        <f aca="false">IF(H40=0,"",(H40-G40)/H40)</f>
        <v>0.762286491958604</v>
      </c>
      <c r="J40" s="5" t="n">
        <f aca="false">IF(COUNTIFS('10_MATERIALES_ORDEN'!$A$2:$A$637,A40,'10_MATERIALES_ORDEN'!$L$2:$L$637,0)=0,1,0)</f>
        <v>1</v>
      </c>
      <c r="K40" s="2" t="s">
        <v>629</v>
      </c>
    </row>
    <row r="41" customFormat="false" ht="15" hidden="false" customHeight="false" outlineLevel="0" collapsed="false">
      <c r="A41" s="2" t="s">
        <v>564</v>
      </c>
      <c r="B41" s="2" t="s">
        <v>121</v>
      </c>
      <c r="C41" s="5" t="n">
        <f aca="false">INDEX('08_PEDIDOS'!$D$2:$D$97,MATCH(A41,'08_PEDIDOS'!$A$2:$A$97,0))</f>
        <v>10</v>
      </c>
      <c r="D41" s="16" t="n">
        <f aca="false">SUMIF('10_MATERIALES_ORDEN'!$A$2:$A$637,A41,'10_MATERIALES_ORDEN'!$I$2:$I$637)</f>
        <v>2926.208152174</v>
      </c>
      <c r="E41" s="16" t="n">
        <f aca="false">SUMIF('09_CARGA_ORDEN'!$A$2:$A$1153,A41,'09_CARGA_ORDEN'!$J$2:$J$1153)*p_costo_hora_hombre</f>
        <v>781.592933333333</v>
      </c>
      <c r="F41" s="16" t="n">
        <f aca="false">SUMIF('09_CARGA_ORDEN'!$A$2:$A$1153,A41,'09_CARGA_ORDEN'!$L$2:$L$1153)</f>
        <v>1379.59146666667</v>
      </c>
      <c r="G41" s="16" t="n">
        <f aca="false">SUM(D41:F41)</f>
        <v>5087.392552174</v>
      </c>
      <c r="H41" s="16" t="n">
        <f aca="false">INDEX('08_PEDIDOS'!$K$2:$K$97,MATCH(A41,'08_PEDIDOS'!$A$2:$A$97,0))</f>
        <v>23224.698</v>
      </c>
      <c r="I41" s="12" t="n">
        <f aca="false">IF(H41=0,"",(H41-G41)/H41)</f>
        <v>0.780949033129559</v>
      </c>
      <c r="J41" s="5" t="n">
        <f aca="false">IF(COUNTIFS('10_MATERIALES_ORDEN'!$A$2:$A$637,A41,'10_MATERIALES_ORDEN'!$L$2:$L$637,0)=0,1,0)</f>
        <v>1</v>
      </c>
      <c r="K41" s="2" t="s">
        <v>629</v>
      </c>
    </row>
    <row r="42" customFormat="false" ht="15" hidden="false" customHeight="false" outlineLevel="0" collapsed="false">
      <c r="A42" s="2" t="s">
        <v>565</v>
      </c>
      <c r="B42" s="2" t="s">
        <v>80</v>
      </c>
      <c r="C42" s="5" t="n">
        <f aca="false">INDEX('08_PEDIDOS'!$D$2:$D$97,MATCH(A42,'08_PEDIDOS'!$A$2:$A$97,0))</f>
        <v>13</v>
      </c>
      <c r="D42" s="16" t="n">
        <f aca="false">SUMIF('10_MATERIALES_ORDEN'!$A$2:$A$637,A42,'10_MATERIALES_ORDEN'!$I$2:$I$637)</f>
        <v>7352.9808695655</v>
      </c>
      <c r="E42" s="16" t="n">
        <f aca="false">SUMIF('09_CARGA_ORDEN'!$A$2:$A$1153,A42,'09_CARGA_ORDEN'!$J$2:$J$1153)*p_costo_hora_hombre</f>
        <v>1272.12635333333</v>
      </c>
      <c r="F42" s="16" t="n">
        <f aca="false">SUMIF('09_CARGA_ORDEN'!$A$2:$A$1153,A42,'09_CARGA_ORDEN'!$L$2:$L$1153)</f>
        <v>2368.85709333333</v>
      </c>
      <c r="G42" s="16" t="n">
        <f aca="false">SUM(D42:F42)</f>
        <v>10993.9643162322</v>
      </c>
      <c r="H42" s="16" t="n">
        <f aca="false">INDEX('08_PEDIDOS'!$K$2:$K$97,MATCH(A42,'08_PEDIDOS'!$A$2:$A$97,0))</f>
        <v>34456.37</v>
      </c>
      <c r="I42" s="12" t="n">
        <f aca="false">IF(H42=0,"",(H42-G42)/H42)</f>
        <v>0.680930860789103</v>
      </c>
      <c r="J42" s="5" t="n">
        <f aca="false">IF(COUNTIFS('10_MATERIALES_ORDEN'!$A$2:$A$637,A42,'10_MATERIALES_ORDEN'!$L$2:$L$637,0)=0,1,0)</f>
        <v>1</v>
      </c>
      <c r="K42" s="2" t="s">
        <v>629</v>
      </c>
    </row>
    <row r="43" customFormat="false" ht="15" hidden="false" customHeight="false" outlineLevel="0" collapsed="false">
      <c r="A43" s="2" t="s">
        <v>566</v>
      </c>
      <c r="B43" s="2" t="s">
        <v>83</v>
      </c>
      <c r="C43" s="5" t="n">
        <f aca="false">INDEX('08_PEDIDOS'!$D$2:$D$97,MATCH(A43,'08_PEDIDOS'!$A$2:$A$97,0))</f>
        <v>14</v>
      </c>
      <c r="D43" s="16" t="n">
        <f aca="false">SUMIF('10_MATERIALES_ORDEN'!$A$2:$A$637,A43,'10_MATERIALES_ORDEN'!$I$2:$I$637)</f>
        <v>7537.9621739128</v>
      </c>
      <c r="E43" s="16" t="n">
        <f aca="false">SUMIF('09_CARGA_ORDEN'!$A$2:$A$1153,A43,'09_CARGA_ORDEN'!$J$2:$J$1153)*p_costo_hora_hombre</f>
        <v>1518.8238</v>
      </c>
      <c r="F43" s="16" t="n">
        <f aca="false">SUMIF('09_CARGA_ORDEN'!$A$2:$A$1153,A43,'09_CARGA_ORDEN'!$L$2:$L$1153)</f>
        <v>2810.5594</v>
      </c>
      <c r="G43" s="16" t="n">
        <f aca="false">SUM(D43:F43)</f>
        <v>11867.3453739128</v>
      </c>
      <c r="H43" s="16" t="n">
        <f aca="false">INDEX('08_PEDIDOS'!$K$2:$K$97,MATCH(A43,'08_PEDIDOS'!$A$2:$A$97,0))</f>
        <v>37106.86</v>
      </c>
      <c r="I43" s="12" t="n">
        <f aca="false">IF(H43=0,"",(H43-G43)/H43)</f>
        <v>0.680184597297837</v>
      </c>
      <c r="J43" s="5" t="n">
        <f aca="false">IF(COUNTIFS('10_MATERIALES_ORDEN'!$A$2:$A$637,A43,'10_MATERIALES_ORDEN'!$L$2:$L$637,0)=0,1,0)</f>
        <v>1</v>
      </c>
      <c r="K43" s="2" t="s">
        <v>629</v>
      </c>
    </row>
    <row r="44" customFormat="false" ht="15" hidden="false" customHeight="false" outlineLevel="0" collapsed="false">
      <c r="A44" s="2" t="s">
        <v>567</v>
      </c>
      <c r="B44" s="2" t="s">
        <v>94</v>
      </c>
      <c r="C44" s="5" t="n">
        <f aca="false">INDEX('08_PEDIDOS'!$D$2:$D$97,MATCH(A44,'08_PEDIDOS'!$A$2:$A$97,0))</f>
        <v>8</v>
      </c>
      <c r="D44" s="16" t="n">
        <f aca="false">SUMIF('10_MATERIALES_ORDEN'!$A$2:$A$637,A44,'10_MATERIALES_ORDEN'!$I$2:$I$637)</f>
        <v>3722.9084782616</v>
      </c>
      <c r="E44" s="16" t="n">
        <f aca="false">SUMIF('09_CARGA_ORDEN'!$A$2:$A$1153,A44,'09_CARGA_ORDEN'!$J$2:$J$1153)*p_costo_hora_hombre</f>
        <v>1013.10768</v>
      </c>
      <c r="F44" s="16" t="n">
        <f aca="false">SUMIF('09_CARGA_ORDEN'!$A$2:$A$1153,A44,'09_CARGA_ORDEN'!$L$2:$L$1153)</f>
        <v>1854.07117333333</v>
      </c>
      <c r="G44" s="16" t="n">
        <f aca="false">SUM(D44:F44)</f>
        <v>6590.08733159493</v>
      </c>
      <c r="H44" s="16" t="n">
        <f aca="false">INDEX('08_PEDIDOS'!$K$2:$K$97,MATCH(A44,'08_PEDIDOS'!$A$2:$A$97,0))</f>
        <v>17204.56</v>
      </c>
      <c r="I44" s="12" t="n">
        <f aca="false">IF(H44=0,"",(H44-G44)/H44)</f>
        <v>0.616956938649118</v>
      </c>
      <c r="J44" s="5" t="n">
        <f aca="false">IF(COUNTIFS('10_MATERIALES_ORDEN'!$A$2:$A$637,A44,'10_MATERIALES_ORDEN'!$L$2:$L$637,0)=0,1,0)</f>
        <v>1</v>
      </c>
      <c r="K44" s="2" t="s">
        <v>629</v>
      </c>
    </row>
    <row r="45" customFormat="false" ht="15" hidden="false" customHeight="false" outlineLevel="0" collapsed="false">
      <c r="A45" s="2" t="s">
        <v>568</v>
      </c>
      <c r="B45" s="2" t="s">
        <v>96</v>
      </c>
      <c r="C45" s="5" t="n">
        <f aca="false">INDEX('08_PEDIDOS'!$D$2:$D$97,MATCH(A45,'08_PEDIDOS'!$A$2:$A$97,0))</f>
        <v>8</v>
      </c>
      <c r="D45" s="16" t="n">
        <f aca="false">SUMIF('10_MATERIALES_ORDEN'!$A$2:$A$637,A45,'10_MATERIALES_ORDEN'!$I$2:$I$637)</f>
        <v>2635.358695652</v>
      </c>
      <c r="E45" s="16" t="n">
        <f aca="false">SUMIF('09_CARGA_ORDEN'!$A$2:$A$1153,A45,'09_CARGA_ORDEN'!$J$2:$J$1153)*p_costo_hora_hombre</f>
        <v>699.79208</v>
      </c>
      <c r="F45" s="16" t="n">
        <f aca="false">SUMIF('09_CARGA_ORDEN'!$A$2:$A$1153,A45,'09_CARGA_ORDEN'!$L$2:$L$1153)</f>
        <v>1281.98770666667</v>
      </c>
      <c r="G45" s="16" t="n">
        <f aca="false">SUM(D45:F45)</f>
        <v>4617.13848231867</v>
      </c>
      <c r="H45" s="16" t="n">
        <f aca="false">INDEX('08_PEDIDOS'!$K$2:$K$97,MATCH(A45,'08_PEDIDOS'!$A$2:$A$97,0))</f>
        <v>17204.56</v>
      </c>
      <c r="I45" s="12" t="n">
        <f aca="false">IF(H45=0,"",(H45-G45)/H45)</f>
        <v>0.731632864640615</v>
      </c>
      <c r="J45" s="5" t="n">
        <f aca="false">IF(COUNTIFS('10_MATERIALES_ORDEN'!$A$2:$A$637,A45,'10_MATERIALES_ORDEN'!$L$2:$L$637,0)=0,1,0)</f>
        <v>1</v>
      </c>
      <c r="K45" s="2" t="s">
        <v>629</v>
      </c>
    </row>
    <row r="46" customFormat="false" ht="15" hidden="false" customHeight="false" outlineLevel="0" collapsed="false">
      <c r="A46" s="2" t="s">
        <v>569</v>
      </c>
      <c r="B46" s="2" t="s">
        <v>106</v>
      </c>
      <c r="C46" s="5" t="n">
        <f aca="false">INDEX('08_PEDIDOS'!$D$2:$D$97,MATCH(A46,'08_PEDIDOS'!$A$2:$A$97,0))</f>
        <v>6</v>
      </c>
      <c r="D46" s="16" t="n">
        <f aca="false">SUMIF('10_MATERIALES_ORDEN'!$A$2:$A$637,A46,'10_MATERIALES_ORDEN'!$I$2:$I$637)</f>
        <v>3631.3963043478</v>
      </c>
      <c r="E46" s="16" t="n">
        <f aca="false">SUMIF('09_CARGA_ORDEN'!$A$2:$A$1153,A46,'09_CARGA_ORDEN'!$J$2:$J$1153)*p_costo_hora_hombre</f>
        <v>366.4947</v>
      </c>
      <c r="F46" s="16" t="n">
        <f aca="false">SUMIF('09_CARGA_ORDEN'!$A$2:$A$1153,A46,'09_CARGA_ORDEN'!$L$2:$L$1153)</f>
        <v>675.952266666667</v>
      </c>
      <c r="G46" s="16" t="n">
        <f aca="false">SUM(D46:F46)</f>
        <v>4673.84327101447</v>
      </c>
      <c r="H46" s="16" t="n">
        <f aca="false">INDEX('08_PEDIDOS'!$K$2:$K$97,MATCH(A46,'08_PEDIDOS'!$A$2:$A$97,0))</f>
        <v>10804.86</v>
      </c>
      <c r="I46" s="12" t="n">
        <f aca="false">IF(H46=0,"",(H46-G46)/H46)</f>
        <v>0.567431390039809</v>
      </c>
      <c r="J46" s="5" t="n">
        <f aca="false">IF(COUNTIFS('10_MATERIALES_ORDEN'!$A$2:$A$637,A46,'10_MATERIALES_ORDEN'!$L$2:$L$637,0)=0,1,0)</f>
        <v>1</v>
      </c>
      <c r="K46" s="2" t="s">
        <v>629</v>
      </c>
    </row>
    <row r="47" customFormat="false" ht="15" hidden="false" customHeight="false" outlineLevel="0" collapsed="false">
      <c r="A47" s="2" t="s">
        <v>570</v>
      </c>
      <c r="B47" s="2" t="s">
        <v>108</v>
      </c>
      <c r="C47" s="5" t="n">
        <f aca="false">INDEX('08_PEDIDOS'!$D$2:$D$97,MATCH(A47,'08_PEDIDOS'!$A$2:$A$97,0))</f>
        <v>7</v>
      </c>
      <c r="D47" s="16" t="n">
        <f aca="false">SUMIF('10_MATERIALES_ORDEN'!$A$2:$A$637,A47,'10_MATERIALES_ORDEN'!$I$2:$I$637)</f>
        <v>6059.4678260865</v>
      </c>
      <c r="E47" s="16" t="n">
        <f aca="false">SUMIF('09_CARGA_ORDEN'!$A$2:$A$1153,A47,'09_CARGA_ORDEN'!$J$2:$J$1153)*p_costo_hora_hombre</f>
        <v>585.818133333333</v>
      </c>
      <c r="F47" s="16" t="n">
        <f aca="false">SUMIF('09_CARGA_ORDEN'!$A$2:$A$1153,A47,'09_CARGA_ORDEN'!$L$2:$L$1153)</f>
        <v>1081.2589</v>
      </c>
      <c r="G47" s="16" t="n">
        <f aca="false">SUM(D47:F47)</f>
        <v>7726.54485941983</v>
      </c>
      <c r="H47" s="16" t="n">
        <f aca="false">INDEX('08_PEDIDOS'!$K$2:$K$97,MATCH(A47,'08_PEDIDOS'!$A$2:$A$97,0))</f>
        <v>12605.67</v>
      </c>
      <c r="I47" s="12" t="n">
        <f aca="false">IF(H47=0,"",(H47-G47)/H47)</f>
        <v>0.387057977924233</v>
      </c>
      <c r="J47" s="5" t="n">
        <f aca="false">IF(COUNTIFS('10_MATERIALES_ORDEN'!$A$2:$A$637,A47,'10_MATERIALES_ORDEN'!$L$2:$L$637,0)=0,1,0)</f>
        <v>1</v>
      </c>
      <c r="K47" s="2" t="s">
        <v>629</v>
      </c>
    </row>
    <row r="48" customFormat="false" ht="15" hidden="false" customHeight="false" outlineLevel="0" collapsed="false">
      <c r="A48" s="2" t="s">
        <v>571</v>
      </c>
      <c r="B48" s="2" t="s">
        <v>119</v>
      </c>
      <c r="C48" s="5" t="n">
        <f aca="false">INDEX('08_PEDIDOS'!$D$2:$D$97,MATCH(A48,'08_PEDIDOS'!$A$2:$A$97,0))</f>
        <v>12</v>
      </c>
      <c r="D48" s="16" t="n">
        <f aca="false">SUMIF('10_MATERIALES_ORDEN'!$A$2:$A$637,A48,'10_MATERIALES_ORDEN'!$I$2:$I$637)</f>
        <v>4966.4765217384</v>
      </c>
      <c r="E48" s="16" t="n">
        <f aca="false">SUMIF('09_CARGA_ORDEN'!$A$2:$A$1153,A48,'09_CARGA_ORDEN'!$J$2:$J$1153)*p_costo_hora_hombre</f>
        <v>600.9432</v>
      </c>
      <c r="F48" s="16" t="n">
        <f aca="false">SUMIF('09_CARGA_ORDEN'!$A$2:$A$1153,A48,'09_CARGA_ORDEN'!$L$2:$L$1153)</f>
        <v>1114.62293333333</v>
      </c>
      <c r="G48" s="16" t="n">
        <f aca="false">SUM(D48:F48)</f>
        <v>6682.04265507173</v>
      </c>
      <c r="H48" s="16" t="n">
        <f aca="false">INDEX('08_PEDIDOS'!$K$2:$K$97,MATCH(A48,'08_PEDIDOS'!$A$2:$A$97,0))</f>
        <v>27869.6376</v>
      </c>
      <c r="I48" s="12" t="n">
        <f aca="false">IF(H48=0,"",(H48-G48)/H48)</f>
        <v>0.760239341789226</v>
      </c>
      <c r="J48" s="5" t="n">
        <f aca="false">IF(COUNTIFS('10_MATERIALES_ORDEN'!$A$2:$A$637,A48,'10_MATERIALES_ORDEN'!$L$2:$L$637,0)=0,1,0)</f>
        <v>1</v>
      </c>
      <c r="K48" s="2" t="s">
        <v>629</v>
      </c>
    </row>
    <row r="49" customFormat="false" ht="15" hidden="false" customHeight="false" outlineLevel="0" collapsed="false">
      <c r="A49" s="2" t="s">
        <v>572</v>
      </c>
      <c r="B49" s="2" t="s">
        <v>121</v>
      </c>
      <c r="C49" s="5" t="n">
        <f aca="false">INDEX('08_PEDIDOS'!$D$2:$D$97,MATCH(A49,'08_PEDIDOS'!$A$2:$A$97,0))</f>
        <v>12</v>
      </c>
      <c r="D49" s="16" t="n">
        <f aca="false">SUMIF('10_MATERIALES_ORDEN'!$A$2:$A$637,A49,'10_MATERIALES_ORDEN'!$I$2:$I$637)</f>
        <v>3511.4497826088</v>
      </c>
      <c r="E49" s="16" t="n">
        <f aca="false">SUMIF('09_CARGA_ORDEN'!$A$2:$A$1153,A49,'09_CARGA_ORDEN'!$J$2:$J$1153)*p_costo_hora_hombre</f>
        <v>959.058186666667</v>
      </c>
      <c r="F49" s="16" t="n">
        <f aca="false">SUMIF('09_CARGA_ORDEN'!$A$2:$A$1153,A49,'09_CARGA_ORDEN'!$L$2:$L$1153)</f>
        <v>1695.14976</v>
      </c>
      <c r="G49" s="16" t="n">
        <f aca="false">SUM(D49:F49)</f>
        <v>6165.65772927547</v>
      </c>
      <c r="H49" s="16" t="n">
        <f aca="false">INDEX('08_PEDIDOS'!$K$2:$K$97,MATCH(A49,'08_PEDIDOS'!$A$2:$A$97,0))</f>
        <v>27869.6376</v>
      </c>
      <c r="I49" s="12" t="n">
        <f aca="false">IF(H49=0,"",(H49-G49)/H49)</f>
        <v>0.778767925949799</v>
      </c>
      <c r="J49" s="5" t="n">
        <f aca="false">IF(COUNTIFS('10_MATERIALES_ORDEN'!$A$2:$A$637,A49,'10_MATERIALES_ORDEN'!$L$2:$L$637,0)=0,1,0)</f>
        <v>1</v>
      </c>
      <c r="K49" s="2" t="s">
        <v>629</v>
      </c>
    </row>
    <row r="50" customFormat="false" ht="15" hidden="false" customHeight="false" outlineLevel="0" collapsed="false">
      <c r="A50" s="2" t="s">
        <v>573</v>
      </c>
      <c r="B50" s="2" t="s">
        <v>80</v>
      </c>
      <c r="C50" s="5" t="n">
        <f aca="false">INDEX('08_PEDIDOS'!$D$2:$D$97,MATCH(A50,'08_PEDIDOS'!$A$2:$A$97,0))</f>
        <v>13</v>
      </c>
      <c r="D50" s="16" t="n">
        <f aca="false">SUMIF('10_MATERIALES_ORDEN'!$A$2:$A$637,A50,'10_MATERIALES_ORDEN'!$I$2:$I$637)</f>
        <v>7352.9808695655</v>
      </c>
      <c r="E50" s="16" t="n">
        <f aca="false">SUMIF('09_CARGA_ORDEN'!$A$2:$A$1153,A50,'09_CARGA_ORDEN'!$J$2:$J$1153)*p_costo_hora_hombre</f>
        <v>1272.12635333333</v>
      </c>
      <c r="F50" s="16" t="n">
        <f aca="false">SUMIF('09_CARGA_ORDEN'!$A$2:$A$1153,A50,'09_CARGA_ORDEN'!$L$2:$L$1153)</f>
        <v>2368.85709333333</v>
      </c>
      <c r="G50" s="16" t="n">
        <f aca="false">SUM(D50:F50)</f>
        <v>10993.9643162322</v>
      </c>
      <c r="H50" s="16" t="n">
        <f aca="false">INDEX('08_PEDIDOS'!$K$2:$K$97,MATCH(A50,'08_PEDIDOS'!$A$2:$A$97,0))</f>
        <v>34456.37</v>
      </c>
      <c r="I50" s="12" t="n">
        <f aca="false">IF(H50=0,"",(H50-G50)/H50)</f>
        <v>0.680930860789103</v>
      </c>
      <c r="J50" s="5" t="n">
        <f aca="false">IF(COUNTIFS('10_MATERIALES_ORDEN'!$A$2:$A$637,A50,'10_MATERIALES_ORDEN'!$L$2:$L$637,0)=0,1,0)</f>
        <v>1</v>
      </c>
      <c r="K50" s="2" t="s">
        <v>629</v>
      </c>
    </row>
    <row r="51" customFormat="false" ht="15" hidden="false" customHeight="false" outlineLevel="0" collapsed="false">
      <c r="A51" s="2" t="s">
        <v>574</v>
      </c>
      <c r="B51" s="2" t="s">
        <v>83</v>
      </c>
      <c r="C51" s="5" t="n">
        <f aca="false">INDEX('08_PEDIDOS'!$D$2:$D$97,MATCH(A51,'08_PEDIDOS'!$A$2:$A$97,0))</f>
        <v>14</v>
      </c>
      <c r="D51" s="16" t="n">
        <f aca="false">SUMIF('10_MATERIALES_ORDEN'!$A$2:$A$637,A51,'10_MATERIALES_ORDEN'!$I$2:$I$637)</f>
        <v>7537.9621739128</v>
      </c>
      <c r="E51" s="16" t="n">
        <f aca="false">SUMIF('09_CARGA_ORDEN'!$A$2:$A$1153,A51,'09_CARGA_ORDEN'!$J$2:$J$1153)*p_costo_hora_hombre</f>
        <v>1518.8238</v>
      </c>
      <c r="F51" s="16" t="n">
        <f aca="false">SUMIF('09_CARGA_ORDEN'!$A$2:$A$1153,A51,'09_CARGA_ORDEN'!$L$2:$L$1153)</f>
        <v>2810.5594</v>
      </c>
      <c r="G51" s="16" t="n">
        <f aca="false">SUM(D51:F51)</f>
        <v>11867.3453739128</v>
      </c>
      <c r="H51" s="16" t="n">
        <f aca="false">INDEX('08_PEDIDOS'!$K$2:$K$97,MATCH(A51,'08_PEDIDOS'!$A$2:$A$97,0))</f>
        <v>37106.86</v>
      </c>
      <c r="I51" s="12" t="n">
        <f aca="false">IF(H51=0,"",(H51-G51)/H51)</f>
        <v>0.680184597297837</v>
      </c>
      <c r="J51" s="5" t="n">
        <f aca="false">IF(COUNTIFS('10_MATERIALES_ORDEN'!$A$2:$A$637,A51,'10_MATERIALES_ORDEN'!$L$2:$L$637,0)=0,1,0)</f>
        <v>1</v>
      </c>
      <c r="K51" s="2" t="s">
        <v>629</v>
      </c>
    </row>
    <row r="52" customFormat="false" ht="15" hidden="false" customHeight="false" outlineLevel="0" collapsed="false">
      <c r="A52" s="2" t="s">
        <v>575</v>
      </c>
      <c r="B52" s="2" t="s">
        <v>94</v>
      </c>
      <c r="C52" s="5" t="n">
        <f aca="false">INDEX('08_PEDIDOS'!$D$2:$D$97,MATCH(A52,'08_PEDIDOS'!$A$2:$A$97,0))</f>
        <v>8</v>
      </c>
      <c r="D52" s="16" t="n">
        <f aca="false">SUMIF('10_MATERIALES_ORDEN'!$A$2:$A$637,A52,'10_MATERIALES_ORDEN'!$I$2:$I$637)</f>
        <v>3722.9084782616</v>
      </c>
      <c r="E52" s="16" t="n">
        <f aca="false">SUMIF('09_CARGA_ORDEN'!$A$2:$A$1153,A52,'09_CARGA_ORDEN'!$J$2:$J$1153)*p_costo_hora_hombre</f>
        <v>1013.10768</v>
      </c>
      <c r="F52" s="16" t="n">
        <f aca="false">SUMIF('09_CARGA_ORDEN'!$A$2:$A$1153,A52,'09_CARGA_ORDEN'!$L$2:$L$1153)</f>
        <v>1854.07117333333</v>
      </c>
      <c r="G52" s="16" t="n">
        <f aca="false">SUM(D52:F52)</f>
        <v>6590.08733159493</v>
      </c>
      <c r="H52" s="16" t="n">
        <f aca="false">INDEX('08_PEDIDOS'!$K$2:$K$97,MATCH(A52,'08_PEDIDOS'!$A$2:$A$97,0))</f>
        <v>17204.56</v>
      </c>
      <c r="I52" s="12" t="n">
        <f aca="false">IF(H52=0,"",(H52-G52)/H52)</f>
        <v>0.616956938649118</v>
      </c>
      <c r="J52" s="5" t="n">
        <f aca="false">IF(COUNTIFS('10_MATERIALES_ORDEN'!$A$2:$A$637,A52,'10_MATERIALES_ORDEN'!$L$2:$L$637,0)=0,1,0)</f>
        <v>1</v>
      </c>
      <c r="K52" s="2" t="s">
        <v>629</v>
      </c>
    </row>
    <row r="53" customFormat="false" ht="15" hidden="false" customHeight="false" outlineLevel="0" collapsed="false">
      <c r="A53" s="2" t="s">
        <v>576</v>
      </c>
      <c r="B53" s="2" t="s">
        <v>96</v>
      </c>
      <c r="C53" s="5" t="n">
        <f aca="false">INDEX('08_PEDIDOS'!$D$2:$D$97,MATCH(A53,'08_PEDIDOS'!$A$2:$A$97,0))</f>
        <v>8</v>
      </c>
      <c r="D53" s="16" t="n">
        <f aca="false">SUMIF('10_MATERIALES_ORDEN'!$A$2:$A$637,A53,'10_MATERIALES_ORDEN'!$I$2:$I$637)</f>
        <v>2635.358695652</v>
      </c>
      <c r="E53" s="16" t="n">
        <f aca="false">SUMIF('09_CARGA_ORDEN'!$A$2:$A$1153,A53,'09_CARGA_ORDEN'!$J$2:$J$1153)*p_costo_hora_hombre</f>
        <v>699.79208</v>
      </c>
      <c r="F53" s="16" t="n">
        <f aca="false">SUMIF('09_CARGA_ORDEN'!$A$2:$A$1153,A53,'09_CARGA_ORDEN'!$L$2:$L$1153)</f>
        <v>1281.98770666667</v>
      </c>
      <c r="G53" s="16" t="n">
        <f aca="false">SUM(D53:F53)</f>
        <v>4617.13848231867</v>
      </c>
      <c r="H53" s="16" t="n">
        <f aca="false">INDEX('08_PEDIDOS'!$K$2:$K$97,MATCH(A53,'08_PEDIDOS'!$A$2:$A$97,0))</f>
        <v>17204.56</v>
      </c>
      <c r="I53" s="12" t="n">
        <f aca="false">IF(H53=0,"",(H53-G53)/H53)</f>
        <v>0.731632864640615</v>
      </c>
      <c r="J53" s="5" t="n">
        <f aca="false">IF(COUNTIFS('10_MATERIALES_ORDEN'!$A$2:$A$637,A53,'10_MATERIALES_ORDEN'!$L$2:$L$637,0)=0,1,0)</f>
        <v>1</v>
      </c>
      <c r="K53" s="2" t="s">
        <v>629</v>
      </c>
    </row>
    <row r="54" customFormat="false" ht="15" hidden="false" customHeight="false" outlineLevel="0" collapsed="false">
      <c r="A54" s="2" t="s">
        <v>577</v>
      </c>
      <c r="B54" s="2" t="s">
        <v>106</v>
      </c>
      <c r="C54" s="5" t="n">
        <f aca="false">INDEX('08_PEDIDOS'!$D$2:$D$97,MATCH(A54,'08_PEDIDOS'!$A$2:$A$97,0))</f>
        <v>6</v>
      </c>
      <c r="D54" s="16" t="n">
        <f aca="false">SUMIF('10_MATERIALES_ORDEN'!$A$2:$A$637,A54,'10_MATERIALES_ORDEN'!$I$2:$I$637)</f>
        <v>3631.3963043478</v>
      </c>
      <c r="E54" s="16" t="n">
        <f aca="false">SUMIF('09_CARGA_ORDEN'!$A$2:$A$1153,A54,'09_CARGA_ORDEN'!$J$2:$J$1153)*p_costo_hora_hombre</f>
        <v>366.4947</v>
      </c>
      <c r="F54" s="16" t="n">
        <f aca="false">SUMIF('09_CARGA_ORDEN'!$A$2:$A$1153,A54,'09_CARGA_ORDEN'!$L$2:$L$1153)</f>
        <v>675.952266666667</v>
      </c>
      <c r="G54" s="16" t="n">
        <f aca="false">SUM(D54:F54)</f>
        <v>4673.84327101447</v>
      </c>
      <c r="H54" s="16" t="n">
        <f aca="false">INDEX('08_PEDIDOS'!$K$2:$K$97,MATCH(A54,'08_PEDIDOS'!$A$2:$A$97,0))</f>
        <v>10804.86</v>
      </c>
      <c r="I54" s="12" t="n">
        <f aca="false">IF(H54=0,"",(H54-G54)/H54)</f>
        <v>0.567431390039809</v>
      </c>
      <c r="J54" s="5" t="n">
        <f aca="false">IF(COUNTIFS('10_MATERIALES_ORDEN'!$A$2:$A$637,A54,'10_MATERIALES_ORDEN'!$L$2:$L$637,0)=0,1,0)</f>
        <v>1</v>
      </c>
      <c r="K54" s="2" t="s">
        <v>629</v>
      </c>
    </row>
    <row r="55" customFormat="false" ht="15" hidden="false" customHeight="false" outlineLevel="0" collapsed="false">
      <c r="A55" s="2" t="s">
        <v>578</v>
      </c>
      <c r="B55" s="2" t="s">
        <v>108</v>
      </c>
      <c r="C55" s="5" t="n">
        <f aca="false">INDEX('08_PEDIDOS'!$D$2:$D$97,MATCH(A55,'08_PEDIDOS'!$A$2:$A$97,0))</f>
        <v>7</v>
      </c>
      <c r="D55" s="16" t="n">
        <f aca="false">SUMIF('10_MATERIALES_ORDEN'!$A$2:$A$637,A55,'10_MATERIALES_ORDEN'!$I$2:$I$637)</f>
        <v>6059.4678260865</v>
      </c>
      <c r="E55" s="16" t="n">
        <f aca="false">SUMIF('09_CARGA_ORDEN'!$A$2:$A$1153,A55,'09_CARGA_ORDEN'!$J$2:$J$1153)*p_costo_hora_hombre</f>
        <v>585.818133333333</v>
      </c>
      <c r="F55" s="16" t="n">
        <f aca="false">SUMIF('09_CARGA_ORDEN'!$A$2:$A$1153,A55,'09_CARGA_ORDEN'!$L$2:$L$1153)</f>
        <v>1081.2589</v>
      </c>
      <c r="G55" s="16" t="n">
        <f aca="false">SUM(D55:F55)</f>
        <v>7726.54485941983</v>
      </c>
      <c r="H55" s="16" t="n">
        <f aca="false">INDEX('08_PEDIDOS'!$K$2:$K$97,MATCH(A55,'08_PEDIDOS'!$A$2:$A$97,0))</f>
        <v>12605.67</v>
      </c>
      <c r="I55" s="12" t="n">
        <f aca="false">IF(H55=0,"",(H55-G55)/H55)</f>
        <v>0.387057977924233</v>
      </c>
      <c r="J55" s="5" t="n">
        <f aca="false">IF(COUNTIFS('10_MATERIALES_ORDEN'!$A$2:$A$637,A55,'10_MATERIALES_ORDEN'!$L$2:$L$637,0)=0,1,0)</f>
        <v>1</v>
      </c>
      <c r="K55" s="2" t="s">
        <v>629</v>
      </c>
    </row>
    <row r="56" customFormat="false" ht="15" hidden="false" customHeight="false" outlineLevel="0" collapsed="false">
      <c r="A56" s="2" t="s">
        <v>579</v>
      </c>
      <c r="B56" s="2" t="s">
        <v>119</v>
      </c>
      <c r="C56" s="5" t="n">
        <f aca="false">INDEX('08_PEDIDOS'!$D$2:$D$97,MATCH(A56,'08_PEDIDOS'!$A$2:$A$97,0))</f>
        <v>11</v>
      </c>
      <c r="D56" s="16" t="n">
        <f aca="false">SUMIF('10_MATERIALES_ORDEN'!$A$2:$A$637,A56,'10_MATERIALES_ORDEN'!$I$2:$I$637)</f>
        <v>4552.6034782602</v>
      </c>
      <c r="E56" s="16" t="n">
        <f aca="false">SUMIF('09_CARGA_ORDEN'!$A$2:$A$1153,A56,'09_CARGA_ORDEN'!$J$2:$J$1153)*p_costo_hora_hombre</f>
        <v>554.981266666667</v>
      </c>
      <c r="F56" s="16" t="n">
        <f aca="false">SUMIF('09_CARGA_ORDEN'!$A$2:$A$1153,A56,'09_CARGA_ORDEN'!$L$2:$L$1153)</f>
        <v>1029.50713333333</v>
      </c>
      <c r="G56" s="16" t="n">
        <f aca="false">SUM(D56:F56)</f>
        <v>6137.0918782602</v>
      </c>
      <c r="H56" s="16" t="n">
        <f aca="false">INDEX('08_PEDIDOS'!$K$2:$K$97,MATCH(A56,'08_PEDIDOS'!$A$2:$A$97,0))</f>
        <v>25547.1678</v>
      </c>
      <c r="I56" s="12" t="n">
        <f aca="false">IF(H56=0,"",(H56-G56)/H56)</f>
        <v>0.759774080387095</v>
      </c>
      <c r="J56" s="5" t="n">
        <f aca="false">IF(COUNTIFS('10_MATERIALES_ORDEN'!$A$2:$A$637,A56,'10_MATERIALES_ORDEN'!$L$2:$L$637,0)=0,1,0)</f>
        <v>1</v>
      </c>
      <c r="K56" s="2" t="s">
        <v>629</v>
      </c>
    </row>
    <row r="57" customFormat="false" ht="15" hidden="false" customHeight="false" outlineLevel="0" collapsed="false">
      <c r="A57" s="2" t="s">
        <v>580</v>
      </c>
      <c r="B57" s="2" t="s">
        <v>121</v>
      </c>
      <c r="C57" s="5" t="n">
        <f aca="false">INDEX('08_PEDIDOS'!$D$2:$D$97,MATCH(A57,'08_PEDIDOS'!$A$2:$A$97,0))</f>
        <v>12</v>
      </c>
      <c r="D57" s="16" t="n">
        <f aca="false">SUMIF('10_MATERIALES_ORDEN'!$A$2:$A$637,A57,'10_MATERIALES_ORDEN'!$I$2:$I$637)</f>
        <v>3511.4497826088</v>
      </c>
      <c r="E57" s="16" t="n">
        <f aca="false">SUMIF('09_CARGA_ORDEN'!$A$2:$A$1153,A57,'09_CARGA_ORDEN'!$J$2:$J$1153)*p_costo_hora_hombre</f>
        <v>959.058186666667</v>
      </c>
      <c r="F57" s="16" t="n">
        <f aca="false">SUMIF('09_CARGA_ORDEN'!$A$2:$A$1153,A57,'09_CARGA_ORDEN'!$L$2:$L$1153)</f>
        <v>1695.14976</v>
      </c>
      <c r="G57" s="16" t="n">
        <f aca="false">SUM(D57:F57)</f>
        <v>6165.65772927547</v>
      </c>
      <c r="H57" s="16" t="n">
        <f aca="false">INDEX('08_PEDIDOS'!$K$2:$K$97,MATCH(A57,'08_PEDIDOS'!$A$2:$A$97,0))</f>
        <v>27869.6376</v>
      </c>
      <c r="I57" s="12" t="n">
        <f aca="false">IF(H57=0,"",(H57-G57)/H57)</f>
        <v>0.778767925949799</v>
      </c>
      <c r="J57" s="5" t="n">
        <f aca="false">IF(COUNTIFS('10_MATERIALES_ORDEN'!$A$2:$A$637,A57,'10_MATERIALES_ORDEN'!$L$2:$L$637,0)=0,1,0)</f>
        <v>1</v>
      </c>
      <c r="K57" s="2" t="s">
        <v>629</v>
      </c>
    </row>
    <row r="58" customFormat="false" ht="15" hidden="false" customHeight="false" outlineLevel="0" collapsed="false">
      <c r="A58" s="2" t="s">
        <v>581</v>
      </c>
      <c r="B58" s="2" t="s">
        <v>80</v>
      </c>
      <c r="C58" s="5" t="n">
        <f aca="false">INDEX('08_PEDIDOS'!$D$2:$D$97,MATCH(A58,'08_PEDIDOS'!$A$2:$A$97,0))</f>
        <v>13</v>
      </c>
      <c r="D58" s="16" t="n">
        <f aca="false">SUMIF('10_MATERIALES_ORDEN'!$A$2:$A$637,A58,'10_MATERIALES_ORDEN'!$I$2:$I$637)</f>
        <v>7352.9808695655</v>
      </c>
      <c r="E58" s="16" t="n">
        <f aca="false">SUMIF('09_CARGA_ORDEN'!$A$2:$A$1153,A58,'09_CARGA_ORDEN'!$J$2:$J$1153)*p_costo_hora_hombre</f>
        <v>1272.12635333333</v>
      </c>
      <c r="F58" s="16" t="n">
        <f aca="false">SUMIF('09_CARGA_ORDEN'!$A$2:$A$1153,A58,'09_CARGA_ORDEN'!$L$2:$L$1153)</f>
        <v>2368.85709333333</v>
      </c>
      <c r="G58" s="16" t="n">
        <f aca="false">SUM(D58:F58)</f>
        <v>10993.9643162322</v>
      </c>
      <c r="H58" s="16" t="n">
        <f aca="false">INDEX('08_PEDIDOS'!$K$2:$K$97,MATCH(A58,'08_PEDIDOS'!$A$2:$A$97,0))</f>
        <v>34456.37</v>
      </c>
      <c r="I58" s="12" t="n">
        <f aca="false">IF(H58=0,"",(H58-G58)/H58)</f>
        <v>0.680930860789103</v>
      </c>
      <c r="J58" s="5" t="n">
        <f aca="false">IF(COUNTIFS('10_MATERIALES_ORDEN'!$A$2:$A$637,A58,'10_MATERIALES_ORDEN'!$L$2:$L$637,0)=0,1,0)</f>
        <v>1</v>
      </c>
      <c r="K58" s="2" t="s">
        <v>629</v>
      </c>
    </row>
    <row r="59" customFormat="false" ht="15" hidden="false" customHeight="false" outlineLevel="0" collapsed="false">
      <c r="A59" s="2" t="s">
        <v>582</v>
      </c>
      <c r="B59" s="2" t="s">
        <v>83</v>
      </c>
      <c r="C59" s="5" t="n">
        <f aca="false">INDEX('08_PEDIDOS'!$D$2:$D$97,MATCH(A59,'08_PEDIDOS'!$A$2:$A$97,0))</f>
        <v>14</v>
      </c>
      <c r="D59" s="16" t="n">
        <f aca="false">SUMIF('10_MATERIALES_ORDEN'!$A$2:$A$637,A59,'10_MATERIALES_ORDEN'!$I$2:$I$637)</f>
        <v>7537.9621739128</v>
      </c>
      <c r="E59" s="16" t="n">
        <f aca="false">SUMIF('09_CARGA_ORDEN'!$A$2:$A$1153,A59,'09_CARGA_ORDEN'!$J$2:$J$1153)*p_costo_hora_hombre</f>
        <v>1518.8238</v>
      </c>
      <c r="F59" s="16" t="n">
        <f aca="false">SUMIF('09_CARGA_ORDEN'!$A$2:$A$1153,A59,'09_CARGA_ORDEN'!$L$2:$L$1153)</f>
        <v>2810.5594</v>
      </c>
      <c r="G59" s="16" t="n">
        <f aca="false">SUM(D59:F59)</f>
        <v>11867.3453739128</v>
      </c>
      <c r="H59" s="16" t="n">
        <f aca="false">INDEX('08_PEDIDOS'!$K$2:$K$97,MATCH(A59,'08_PEDIDOS'!$A$2:$A$97,0))</f>
        <v>37106.86</v>
      </c>
      <c r="I59" s="12" t="n">
        <f aca="false">IF(H59=0,"",(H59-G59)/H59)</f>
        <v>0.680184597297837</v>
      </c>
      <c r="J59" s="5" t="n">
        <f aca="false">IF(COUNTIFS('10_MATERIALES_ORDEN'!$A$2:$A$637,A59,'10_MATERIALES_ORDEN'!$L$2:$L$637,0)=0,1,0)</f>
        <v>1</v>
      </c>
      <c r="K59" s="2" t="s">
        <v>629</v>
      </c>
    </row>
    <row r="60" customFormat="false" ht="15" hidden="false" customHeight="false" outlineLevel="0" collapsed="false">
      <c r="A60" s="2" t="s">
        <v>583</v>
      </c>
      <c r="B60" s="2" t="s">
        <v>94</v>
      </c>
      <c r="C60" s="5" t="n">
        <f aca="false">INDEX('08_PEDIDOS'!$D$2:$D$97,MATCH(A60,'08_PEDIDOS'!$A$2:$A$97,0))</f>
        <v>8</v>
      </c>
      <c r="D60" s="16" t="n">
        <f aca="false">SUMIF('10_MATERIALES_ORDEN'!$A$2:$A$637,A60,'10_MATERIALES_ORDEN'!$I$2:$I$637)</f>
        <v>3722.9084782616</v>
      </c>
      <c r="E60" s="16" t="n">
        <f aca="false">SUMIF('09_CARGA_ORDEN'!$A$2:$A$1153,A60,'09_CARGA_ORDEN'!$J$2:$J$1153)*p_costo_hora_hombre</f>
        <v>1013.10768</v>
      </c>
      <c r="F60" s="16" t="n">
        <f aca="false">SUMIF('09_CARGA_ORDEN'!$A$2:$A$1153,A60,'09_CARGA_ORDEN'!$L$2:$L$1153)</f>
        <v>1854.07117333333</v>
      </c>
      <c r="G60" s="16" t="n">
        <f aca="false">SUM(D60:F60)</f>
        <v>6590.08733159493</v>
      </c>
      <c r="H60" s="16" t="n">
        <f aca="false">INDEX('08_PEDIDOS'!$K$2:$K$97,MATCH(A60,'08_PEDIDOS'!$A$2:$A$97,0))</f>
        <v>17204.56</v>
      </c>
      <c r="I60" s="12" t="n">
        <f aca="false">IF(H60=0,"",(H60-G60)/H60)</f>
        <v>0.616956938649118</v>
      </c>
      <c r="J60" s="5" t="n">
        <f aca="false">IF(COUNTIFS('10_MATERIALES_ORDEN'!$A$2:$A$637,A60,'10_MATERIALES_ORDEN'!$L$2:$L$637,0)=0,1,0)</f>
        <v>1</v>
      </c>
      <c r="K60" s="2" t="s">
        <v>629</v>
      </c>
    </row>
    <row r="61" customFormat="false" ht="15" hidden="false" customHeight="false" outlineLevel="0" collapsed="false">
      <c r="A61" s="2" t="s">
        <v>584</v>
      </c>
      <c r="B61" s="2" t="s">
        <v>96</v>
      </c>
      <c r="C61" s="5" t="n">
        <f aca="false">INDEX('08_PEDIDOS'!$D$2:$D$97,MATCH(A61,'08_PEDIDOS'!$A$2:$A$97,0))</f>
        <v>8</v>
      </c>
      <c r="D61" s="16" t="n">
        <f aca="false">SUMIF('10_MATERIALES_ORDEN'!$A$2:$A$637,A61,'10_MATERIALES_ORDEN'!$I$2:$I$637)</f>
        <v>2635.358695652</v>
      </c>
      <c r="E61" s="16" t="n">
        <f aca="false">SUMIF('09_CARGA_ORDEN'!$A$2:$A$1153,A61,'09_CARGA_ORDEN'!$J$2:$J$1153)*p_costo_hora_hombre</f>
        <v>699.79208</v>
      </c>
      <c r="F61" s="16" t="n">
        <f aca="false">SUMIF('09_CARGA_ORDEN'!$A$2:$A$1153,A61,'09_CARGA_ORDEN'!$L$2:$L$1153)</f>
        <v>1281.98770666667</v>
      </c>
      <c r="G61" s="16" t="n">
        <f aca="false">SUM(D61:F61)</f>
        <v>4617.13848231867</v>
      </c>
      <c r="H61" s="16" t="n">
        <f aca="false">INDEX('08_PEDIDOS'!$K$2:$K$97,MATCH(A61,'08_PEDIDOS'!$A$2:$A$97,0))</f>
        <v>17204.56</v>
      </c>
      <c r="I61" s="12" t="n">
        <f aca="false">IF(H61=0,"",(H61-G61)/H61)</f>
        <v>0.731632864640615</v>
      </c>
      <c r="J61" s="5" t="n">
        <f aca="false">IF(COUNTIFS('10_MATERIALES_ORDEN'!$A$2:$A$637,A61,'10_MATERIALES_ORDEN'!$L$2:$L$637,0)=0,1,0)</f>
        <v>1</v>
      </c>
      <c r="K61" s="2" t="s">
        <v>629</v>
      </c>
    </row>
    <row r="62" customFormat="false" ht="15" hidden="false" customHeight="false" outlineLevel="0" collapsed="false">
      <c r="A62" s="2" t="s">
        <v>585</v>
      </c>
      <c r="B62" s="2" t="s">
        <v>106</v>
      </c>
      <c r="C62" s="5" t="n">
        <f aca="false">INDEX('08_PEDIDOS'!$D$2:$D$97,MATCH(A62,'08_PEDIDOS'!$A$2:$A$97,0))</f>
        <v>6</v>
      </c>
      <c r="D62" s="16" t="n">
        <f aca="false">SUMIF('10_MATERIALES_ORDEN'!$A$2:$A$637,A62,'10_MATERIALES_ORDEN'!$I$2:$I$637)</f>
        <v>3631.3963043478</v>
      </c>
      <c r="E62" s="16" t="n">
        <f aca="false">SUMIF('09_CARGA_ORDEN'!$A$2:$A$1153,A62,'09_CARGA_ORDEN'!$J$2:$J$1153)*p_costo_hora_hombre</f>
        <v>366.4947</v>
      </c>
      <c r="F62" s="16" t="n">
        <f aca="false">SUMIF('09_CARGA_ORDEN'!$A$2:$A$1153,A62,'09_CARGA_ORDEN'!$L$2:$L$1153)</f>
        <v>675.952266666667</v>
      </c>
      <c r="G62" s="16" t="n">
        <f aca="false">SUM(D62:F62)</f>
        <v>4673.84327101447</v>
      </c>
      <c r="H62" s="16" t="n">
        <f aca="false">INDEX('08_PEDIDOS'!$K$2:$K$97,MATCH(A62,'08_PEDIDOS'!$A$2:$A$97,0))</f>
        <v>10804.86</v>
      </c>
      <c r="I62" s="12" t="n">
        <f aca="false">IF(H62=0,"",(H62-G62)/H62)</f>
        <v>0.567431390039809</v>
      </c>
      <c r="J62" s="5" t="n">
        <f aca="false">IF(COUNTIFS('10_MATERIALES_ORDEN'!$A$2:$A$637,A62,'10_MATERIALES_ORDEN'!$L$2:$L$637,0)=0,1,0)</f>
        <v>1</v>
      </c>
      <c r="K62" s="2" t="s">
        <v>629</v>
      </c>
    </row>
    <row r="63" customFormat="false" ht="15" hidden="false" customHeight="false" outlineLevel="0" collapsed="false">
      <c r="A63" s="2" t="s">
        <v>586</v>
      </c>
      <c r="B63" s="2" t="s">
        <v>108</v>
      </c>
      <c r="C63" s="5" t="n">
        <f aca="false">INDEX('08_PEDIDOS'!$D$2:$D$97,MATCH(A63,'08_PEDIDOS'!$A$2:$A$97,0))</f>
        <v>7</v>
      </c>
      <c r="D63" s="16" t="n">
        <f aca="false">SUMIF('10_MATERIALES_ORDEN'!$A$2:$A$637,A63,'10_MATERIALES_ORDEN'!$I$2:$I$637)</f>
        <v>6059.4678260865</v>
      </c>
      <c r="E63" s="16" t="n">
        <f aca="false">SUMIF('09_CARGA_ORDEN'!$A$2:$A$1153,A63,'09_CARGA_ORDEN'!$J$2:$J$1153)*p_costo_hora_hombre</f>
        <v>585.818133333333</v>
      </c>
      <c r="F63" s="16" t="n">
        <f aca="false">SUMIF('09_CARGA_ORDEN'!$A$2:$A$1153,A63,'09_CARGA_ORDEN'!$L$2:$L$1153)</f>
        <v>1081.2589</v>
      </c>
      <c r="G63" s="16" t="n">
        <f aca="false">SUM(D63:F63)</f>
        <v>7726.54485941983</v>
      </c>
      <c r="H63" s="16" t="n">
        <f aca="false">INDEX('08_PEDIDOS'!$K$2:$K$97,MATCH(A63,'08_PEDIDOS'!$A$2:$A$97,0))</f>
        <v>12605.67</v>
      </c>
      <c r="I63" s="12" t="n">
        <f aca="false">IF(H63=0,"",(H63-G63)/H63)</f>
        <v>0.387057977924233</v>
      </c>
      <c r="J63" s="5" t="n">
        <f aca="false">IF(COUNTIFS('10_MATERIALES_ORDEN'!$A$2:$A$637,A63,'10_MATERIALES_ORDEN'!$L$2:$L$637,0)=0,1,0)</f>
        <v>1</v>
      </c>
      <c r="K63" s="2" t="s">
        <v>629</v>
      </c>
    </row>
    <row r="64" customFormat="false" ht="15" hidden="false" customHeight="false" outlineLevel="0" collapsed="false">
      <c r="A64" s="2" t="s">
        <v>587</v>
      </c>
      <c r="B64" s="2" t="s">
        <v>119</v>
      </c>
      <c r="C64" s="5" t="n">
        <f aca="false">INDEX('08_PEDIDOS'!$D$2:$D$97,MATCH(A64,'08_PEDIDOS'!$A$2:$A$97,0))</f>
        <v>11</v>
      </c>
      <c r="D64" s="16" t="n">
        <f aca="false">SUMIF('10_MATERIALES_ORDEN'!$A$2:$A$637,A64,'10_MATERIALES_ORDEN'!$I$2:$I$637)</f>
        <v>4552.6034782602</v>
      </c>
      <c r="E64" s="16" t="n">
        <f aca="false">SUMIF('09_CARGA_ORDEN'!$A$2:$A$1153,A64,'09_CARGA_ORDEN'!$J$2:$J$1153)*p_costo_hora_hombre</f>
        <v>554.981266666667</v>
      </c>
      <c r="F64" s="16" t="n">
        <f aca="false">SUMIF('09_CARGA_ORDEN'!$A$2:$A$1153,A64,'09_CARGA_ORDEN'!$L$2:$L$1153)</f>
        <v>1029.50713333333</v>
      </c>
      <c r="G64" s="16" t="n">
        <f aca="false">SUM(D64:F64)</f>
        <v>6137.0918782602</v>
      </c>
      <c r="H64" s="16" t="n">
        <f aca="false">INDEX('08_PEDIDOS'!$K$2:$K$97,MATCH(A64,'08_PEDIDOS'!$A$2:$A$97,0))</f>
        <v>25547.1678</v>
      </c>
      <c r="I64" s="12" t="n">
        <f aca="false">IF(H64=0,"",(H64-G64)/H64)</f>
        <v>0.759774080387095</v>
      </c>
      <c r="J64" s="5" t="n">
        <f aca="false">IF(COUNTIFS('10_MATERIALES_ORDEN'!$A$2:$A$637,A64,'10_MATERIALES_ORDEN'!$L$2:$L$637,0)=0,1,0)</f>
        <v>1</v>
      </c>
      <c r="K64" s="2" t="s">
        <v>629</v>
      </c>
    </row>
    <row r="65" customFormat="false" ht="15" hidden="false" customHeight="false" outlineLevel="0" collapsed="false">
      <c r="A65" s="2" t="s">
        <v>588</v>
      </c>
      <c r="B65" s="2" t="s">
        <v>121</v>
      </c>
      <c r="C65" s="5" t="n">
        <f aca="false">INDEX('08_PEDIDOS'!$D$2:$D$97,MATCH(A65,'08_PEDIDOS'!$A$2:$A$97,0))</f>
        <v>12</v>
      </c>
      <c r="D65" s="16" t="n">
        <f aca="false">SUMIF('10_MATERIALES_ORDEN'!$A$2:$A$637,A65,'10_MATERIALES_ORDEN'!$I$2:$I$637)</f>
        <v>3511.4497826088</v>
      </c>
      <c r="E65" s="16" t="n">
        <f aca="false">SUMIF('09_CARGA_ORDEN'!$A$2:$A$1153,A65,'09_CARGA_ORDEN'!$J$2:$J$1153)*p_costo_hora_hombre</f>
        <v>959.058186666667</v>
      </c>
      <c r="F65" s="16" t="n">
        <f aca="false">SUMIF('09_CARGA_ORDEN'!$A$2:$A$1153,A65,'09_CARGA_ORDEN'!$L$2:$L$1153)</f>
        <v>1695.14976</v>
      </c>
      <c r="G65" s="16" t="n">
        <f aca="false">SUM(D65:F65)</f>
        <v>6165.65772927547</v>
      </c>
      <c r="H65" s="16" t="n">
        <f aca="false">INDEX('08_PEDIDOS'!$K$2:$K$97,MATCH(A65,'08_PEDIDOS'!$A$2:$A$97,0))</f>
        <v>27869.6376</v>
      </c>
      <c r="I65" s="12" t="n">
        <f aca="false">IF(H65=0,"",(H65-G65)/H65)</f>
        <v>0.778767925949799</v>
      </c>
      <c r="J65" s="5" t="n">
        <f aca="false">IF(COUNTIFS('10_MATERIALES_ORDEN'!$A$2:$A$637,A65,'10_MATERIALES_ORDEN'!$L$2:$L$637,0)=0,1,0)</f>
        <v>1</v>
      </c>
      <c r="K65" s="2" t="s">
        <v>629</v>
      </c>
    </row>
    <row r="66" customFormat="false" ht="15" hidden="false" customHeight="false" outlineLevel="0" collapsed="false">
      <c r="A66" s="2" t="s">
        <v>589</v>
      </c>
      <c r="B66" s="2" t="s">
        <v>80</v>
      </c>
      <c r="C66" s="5" t="n">
        <f aca="false">INDEX('08_PEDIDOS'!$D$2:$D$97,MATCH(A66,'08_PEDIDOS'!$A$2:$A$97,0))</f>
        <v>12</v>
      </c>
      <c r="D66" s="16" t="n">
        <f aca="false">SUMIF('10_MATERIALES_ORDEN'!$A$2:$A$637,A66,'10_MATERIALES_ORDEN'!$I$2:$I$637)</f>
        <v>6787.366956522</v>
      </c>
      <c r="E66" s="16" t="n">
        <f aca="false">SUMIF('09_CARGA_ORDEN'!$A$2:$A$1153,A66,'09_CARGA_ORDEN'!$J$2:$J$1153)*p_costo_hora_hombre</f>
        <v>1178.67048</v>
      </c>
      <c r="F66" s="16" t="n">
        <f aca="false">SUMIF('09_CARGA_ORDEN'!$A$2:$A$1153,A66,'09_CARGA_ORDEN'!$L$2:$L$1153)</f>
        <v>2195.08090666667</v>
      </c>
      <c r="G66" s="16" t="n">
        <f aca="false">SUM(D66:F66)</f>
        <v>10161.1183431887</v>
      </c>
      <c r="H66" s="16" t="n">
        <f aca="false">INDEX('08_PEDIDOS'!$K$2:$K$97,MATCH(A66,'08_PEDIDOS'!$A$2:$A$97,0))</f>
        <v>31805.88</v>
      </c>
      <c r="I66" s="12" t="n">
        <f aca="false">IF(H66=0,"",(H66-G66)/H66)</f>
        <v>0.680527048986267</v>
      </c>
      <c r="J66" s="5" t="n">
        <f aca="false">IF(COUNTIFS('10_MATERIALES_ORDEN'!$A$2:$A$637,A66,'10_MATERIALES_ORDEN'!$L$2:$L$637,0)=0,1,0)</f>
        <v>1</v>
      </c>
      <c r="K66" s="2" t="s">
        <v>629</v>
      </c>
    </row>
    <row r="67" customFormat="false" ht="15" hidden="false" customHeight="false" outlineLevel="0" collapsed="false">
      <c r="A67" s="2" t="s">
        <v>590</v>
      </c>
      <c r="B67" s="2" t="s">
        <v>83</v>
      </c>
      <c r="C67" s="5" t="n">
        <f aca="false">INDEX('08_PEDIDOS'!$D$2:$D$97,MATCH(A67,'08_PEDIDOS'!$A$2:$A$97,0))</f>
        <v>12</v>
      </c>
      <c r="D67" s="16" t="n">
        <f aca="false">SUMIF('10_MATERIALES_ORDEN'!$A$2:$A$637,A67,'10_MATERIALES_ORDEN'!$I$2:$I$637)</f>
        <v>6461.1104347824</v>
      </c>
      <c r="E67" s="16" t="n">
        <f aca="false">SUMIF('09_CARGA_ORDEN'!$A$2:$A$1153,A67,'09_CARGA_ORDEN'!$J$2:$J$1153)*p_costo_hora_hombre</f>
        <v>1310.0204</v>
      </c>
      <c r="F67" s="16" t="n">
        <f aca="false">SUMIF('09_CARGA_ORDEN'!$A$2:$A$1153,A67,'09_CARGA_ORDEN'!$L$2:$L$1153)</f>
        <v>2424.73186666667</v>
      </c>
      <c r="G67" s="16" t="n">
        <f aca="false">SUM(D67:F67)</f>
        <v>10195.8627014491</v>
      </c>
      <c r="H67" s="16" t="n">
        <f aca="false">INDEX('08_PEDIDOS'!$K$2:$K$97,MATCH(A67,'08_PEDIDOS'!$A$2:$A$97,0))</f>
        <v>31805.88</v>
      </c>
      <c r="I67" s="12" t="n">
        <f aca="false">IF(H67=0,"",(H67-G67)/H67)</f>
        <v>0.67943466109257</v>
      </c>
      <c r="J67" s="5" t="n">
        <f aca="false">IF(COUNTIFS('10_MATERIALES_ORDEN'!$A$2:$A$637,A67,'10_MATERIALES_ORDEN'!$L$2:$L$637,0)=0,1,0)</f>
        <v>1</v>
      </c>
      <c r="K67" s="2" t="s">
        <v>629</v>
      </c>
    </row>
    <row r="68" customFormat="false" ht="15" hidden="false" customHeight="false" outlineLevel="0" collapsed="false">
      <c r="A68" s="2" t="s">
        <v>591</v>
      </c>
      <c r="B68" s="2" t="s">
        <v>94</v>
      </c>
      <c r="C68" s="5" t="n">
        <f aca="false">INDEX('08_PEDIDOS'!$D$2:$D$97,MATCH(A68,'08_PEDIDOS'!$A$2:$A$97,0))</f>
        <v>6</v>
      </c>
      <c r="D68" s="16" t="n">
        <f aca="false">SUMIF('10_MATERIALES_ORDEN'!$A$2:$A$637,A68,'10_MATERIALES_ORDEN'!$I$2:$I$637)</f>
        <v>2792.1813586962</v>
      </c>
      <c r="E68" s="16" t="n">
        <f aca="false">SUMIF('09_CARGA_ORDEN'!$A$2:$A$1153,A68,'09_CARGA_ORDEN'!$J$2:$J$1153)*p_costo_hora_hombre</f>
        <v>766.439093333333</v>
      </c>
      <c r="F68" s="16" t="n">
        <f aca="false">SUMIF('09_CARGA_ORDEN'!$A$2:$A$1153,A68,'09_CARGA_ORDEN'!$L$2:$L$1153)</f>
        <v>1402.94088</v>
      </c>
      <c r="G68" s="16" t="n">
        <f aca="false">SUM(D68:F68)</f>
        <v>4961.56133202953</v>
      </c>
      <c r="H68" s="16" t="n">
        <f aca="false">INDEX('08_PEDIDOS'!$K$2:$K$97,MATCH(A68,'08_PEDIDOS'!$A$2:$A$97,0))</f>
        <v>12903.42</v>
      </c>
      <c r="I68" s="12" t="n">
        <f aca="false">IF(H68=0,"",(H68-G68)/H68)</f>
        <v>0.615484783721716</v>
      </c>
      <c r="J68" s="5" t="n">
        <f aca="false">IF(COUNTIFS('10_MATERIALES_ORDEN'!$A$2:$A$637,A68,'10_MATERIALES_ORDEN'!$L$2:$L$637,0)=0,1,0)</f>
        <v>1</v>
      </c>
      <c r="K68" s="2" t="s">
        <v>629</v>
      </c>
    </row>
    <row r="69" customFormat="false" ht="15" hidden="false" customHeight="false" outlineLevel="0" collapsed="false">
      <c r="A69" s="2" t="s">
        <v>592</v>
      </c>
      <c r="B69" s="2" t="s">
        <v>96</v>
      </c>
      <c r="C69" s="5" t="n">
        <f aca="false">INDEX('08_PEDIDOS'!$D$2:$D$97,MATCH(A69,'08_PEDIDOS'!$A$2:$A$97,0))</f>
        <v>7</v>
      </c>
      <c r="D69" s="16" t="n">
        <f aca="false">SUMIF('10_MATERIALES_ORDEN'!$A$2:$A$637,A69,'10_MATERIALES_ORDEN'!$I$2:$I$637)</f>
        <v>2305.9388586955</v>
      </c>
      <c r="E69" s="16" t="n">
        <f aca="false">SUMIF('09_CARGA_ORDEN'!$A$2:$A$1153,A69,'09_CARGA_ORDEN'!$J$2:$J$1153)*p_costo_hora_hombre</f>
        <v>615.89307</v>
      </c>
      <c r="F69" s="16" t="n">
        <f aca="false">SUMIF('09_CARGA_ORDEN'!$A$2:$A$1153,A69,'09_CARGA_ORDEN'!$L$2:$L$1153)</f>
        <v>1128.59966</v>
      </c>
      <c r="G69" s="16" t="n">
        <f aca="false">SUM(D69:F69)</f>
        <v>4050.4315886955</v>
      </c>
      <c r="H69" s="16" t="n">
        <f aca="false">INDEX('08_PEDIDOS'!$K$2:$K$97,MATCH(A69,'08_PEDIDOS'!$A$2:$A$97,0))</f>
        <v>15053.99</v>
      </c>
      <c r="I69" s="12" t="n">
        <f aca="false">IF(H69=0,"",(H69-G69)/H69)</f>
        <v>0.730939665251837</v>
      </c>
      <c r="J69" s="5" t="n">
        <f aca="false">IF(COUNTIFS('10_MATERIALES_ORDEN'!$A$2:$A$637,A69,'10_MATERIALES_ORDEN'!$L$2:$L$637,0)=0,1,0)</f>
        <v>1</v>
      </c>
      <c r="K69" s="2" t="s">
        <v>629</v>
      </c>
    </row>
    <row r="70" customFormat="false" ht="15" hidden="false" customHeight="false" outlineLevel="0" collapsed="false">
      <c r="A70" s="2" t="s">
        <v>593</v>
      </c>
      <c r="B70" s="2" t="s">
        <v>106</v>
      </c>
      <c r="C70" s="5" t="n">
        <f aca="false">INDEX('08_PEDIDOS'!$D$2:$D$97,MATCH(A70,'08_PEDIDOS'!$A$2:$A$97,0))</f>
        <v>5</v>
      </c>
      <c r="D70" s="16" t="n">
        <f aca="false">SUMIF('10_MATERIALES_ORDEN'!$A$2:$A$637,A70,'10_MATERIALES_ORDEN'!$I$2:$I$637)</f>
        <v>3026.1635869565</v>
      </c>
      <c r="E70" s="16" t="n">
        <f aca="false">SUMIF('09_CARGA_ORDEN'!$A$2:$A$1153,A70,'09_CARGA_ORDEN'!$J$2:$J$1153)*p_costo_hora_hombre</f>
        <v>309.528916666667</v>
      </c>
      <c r="F70" s="16" t="n">
        <f aca="false">SUMIF('09_CARGA_ORDEN'!$A$2:$A$1153,A70,'09_CARGA_ORDEN'!$L$2:$L$1153)</f>
        <v>571.063</v>
      </c>
      <c r="G70" s="16" t="n">
        <f aca="false">SUM(D70:F70)</f>
        <v>3906.75550362317</v>
      </c>
      <c r="H70" s="16" t="n">
        <f aca="false">INDEX('08_PEDIDOS'!$K$2:$K$97,MATCH(A70,'08_PEDIDOS'!$A$2:$A$97,0))</f>
        <v>9004.05</v>
      </c>
      <c r="I70" s="12" t="n">
        <f aca="false">IF(H70=0,"",(H70-G70)/H70)</f>
        <v>0.566111305065702</v>
      </c>
      <c r="J70" s="5" t="n">
        <f aca="false">IF(COUNTIFS('10_MATERIALES_ORDEN'!$A$2:$A$637,A70,'10_MATERIALES_ORDEN'!$L$2:$L$637,0)=0,1,0)</f>
        <v>1</v>
      </c>
      <c r="K70" s="2" t="s">
        <v>629</v>
      </c>
    </row>
    <row r="71" customFormat="false" ht="15" hidden="false" customHeight="false" outlineLevel="0" collapsed="false">
      <c r="A71" s="2" t="s">
        <v>594</v>
      </c>
      <c r="B71" s="2" t="s">
        <v>108</v>
      </c>
      <c r="C71" s="5" t="n">
        <f aca="false">INDEX('08_PEDIDOS'!$D$2:$D$97,MATCH(A71,'08_PEDIDOS'!$A$2:$A$97,0))</f>
        <v>6</v>
      </c>
      <c r="D71" s="16" t="n">
        <f aca="false">SUMIF('10_MATERIALES_ORDEN'!$A$2:$A$637,A71,'10_MATERIALES_ORDEN'!$I$2:$I$637)</f>
        <v>5193.829565217</v>
      </c>
      <c r="E71" s="16" t="n">
        <f aca="false">SUMIF('09_CARGA_ORDEN'!$A$2:$A$1153,A71,'09_CARGA_ORDEN'!$J$2:$J$1153)*p_costo_hora_hombre</f>
        <v>505.6584</v>
      </c>
      <c r="F71" s="16" t="n">
        <f aca="false">SUMIF('09_CARGA_ORDEN'!$A$2:$A$1153,A71,'09_CARGA_ORDEN'!$L$2:$L$1153)</f>
        <v>933.452866666667</v>
      </c>
      <c r="G71" s="16" t="n">
        <f aca="false">SUM(D71:F71)</f>
        <v>6632.94083188367</v>
      </c>
      <c r="H71" s="16" t="n">
        <f aca="false">INDEX('08_PEDIDOS'!$K$2:$K$97,MATCH(A71,'08_PEDIDOS'!$A$2:$A$97,0))</f>
        <v>10804.86</v>
      </c>
      <c r="I71" s="12" t="n">
        <f aca="false">IF(H71=0,"",(H71-G71)/H71)</f>
        <v>0.386115060085585</v>
      </c>
      <c r="J71" s="5" t="n">
        <f aca="false">IF(COUNTIFS('10_MATERIALES_ORDEN'!$A$2:$A$637,A71,'10_MATERIALES_ORDEN'!$L$2:$L$637,0)=0,1,0)</f>
        <v>1</v>
      </c>
      <c r="K71" s="2" t="s">
        <v>629</v>
      </c>
    </row>
    <row r="72" customFormat="false" ht="15" hidden="false" customHeight="false" outlineLevel="0" collapsed="false">
      <c r="A72" s="2" t="s">
        <v>595</v>
      </c>
      <c r="B72" s="2" t="s">
        <v>119</v>
      </c>
      <c r="C72" s="5" t="n">
        <f aca="false">INDEX('08_PEDIDOS'!$D$2:$D$97,MATCH(A72,'08_PEDIDOS'!$A$2:$A$97,0))</f>
        <v>10</v>
      </c>
      <c r="D72" s="16" t="n">
        <f aca="false">SUMIF('10_MATERIALES_ORDEN'!$A$2:$A$637,A72,'10_MATERIALES_ORDEN'!$I$2:$I$637)</f>
        <v>4138.730434782</v>
      </c>
      <c r="E72" s="16" t="n">
        <f aca="false">SUMIF('09_CARGA_ORDEN'!$A$2:$A$1153,A72,'09_CARGA_ORDEN'!$J$2:$J$1153)*p_costo_hora_hombre</f>
        <v>484.319333333333</v>
      </c>
      <c r="F72" s="16" t="n">
        <f aca="false">SUMIF('09_CARGA_ORDEN'!$A$2:$A$1153,A72,'09_CARGA_ORDEN'!$L$2:$L$1153)</f>
        <v>897.774666666667</v>
      </c>
      <c r="G72" s="16" t="n">
        <f aca="false">SUM(D72:F72)</f>
        <v>5520.824434782</v>
      </c>
      <c r="H72" s="16" t="n">
        <f aca="false">INDEX('08_PEDIDOS'!$K$2:$K$97,MATCH(A72,'08_PEDIDOS'!$A$2:$A$97,0))</f>
        <v>23224.698</v>
      </c>
      <c r="I72" s="12" t="n">
        <f aca="false">IF(H72=0,"",(H72-G72)/H72)</f>
        <v>0.762286491958604</v>
      </c>
      <c r="J72" s="5" t="n">
        <f aca="false">IF(COUNTIFS('10_MATERIALES_ORDEN'!$A$2:$A$637,A72,'10_MATERIALES_ORDEN'!$L$2:$L$637,0)=0,1,0)</f>
        <v>1</v>
      </c>
      <c r="K72" s="2" t="s">
        <v>629</v>
      </c>
    </row>
    <row r="73" customFormat="false" ht="15" hidden="false" customHeight="false" outlineLevel="0" collapsed="false">
      <c r="A73" s="2" t="s">
        <v>596</v>
      </c>
      <c r="B73" s="2" t="s">
        <v>121</v>
      </c>
      <c r="C73" s="5" t="n">
        <f aca="false">INDEX('08_PEDIDOS'!$D$2:$D$97,MATCH(A73,'08_PEDIDOS'!$A$2:$A$97,0))</f>
        <v>10</v>
      </c>
      <c r="D73" s="16" t="n">
        <f aca="false">SUMIF('10_MATERIALES_ORDEN'!$A$2:$A$637,A73,'10_MATERIALES_ORDEN'!$I$2:$I$637)</f>
        <v>2926.208152174</v>
      </c>
      <c r="E73" s="16" t="n">
        <f aca="false">SUMIF('09_CARGA_ORDEN'!$A$2:$A$1153,A73,'09_CARGA_ORDEN'!$J$2:$J$1153)*p_costo_hora_hombre</f>
        <v>781.592933333333</v>
      </c>
      <c r="F73" s="16" t="n">
        <f aca="false">SUMIF('09_CARGA_ORDEN'!$A$2:$A$1153,A73,'09_CARGA_ORDEN'!$L$2:$L$1153)</f>
        <v>1379.59146666667</v>
      </c>
      <c r="G73" s="16" t="n">
        <f aca="false">SUM(D73:F73)</f>
        <v>5087.392552174</v>
      </c>
      <c r="H73" s="16" t="n">
        <f aca="false">INDEX('08_PEDIDOS'!$K$2:$K$97,MATCH(A73,'08_PEDIDOS'!$A$2:$A$97,0))</f>
        <v>23224.698</v>
      </c>
      <c r="I73" s="12" t="n">
        <f aca="false">IF(H73=0,"",(H73-G73)/H73)</f>
        <v>0.780949033129559</v>
      </c>
      <c r="J73" s="5" t="n">
        <f aca="false">IF(COUNTIFS('10_MATERIALES_ORDEN'!$A$2:$A$637,A73,'10_MATERIALES_ORDEN'!$L$2:$L$637,0)=0,1,0)</f>
        <v>1</v>
      </c>
      <c r="K73" s="2" t="s">
        <v>629</v>
      </c>
    </row>
    <row r="74" customFormat="false" ht="15" hidden="false" customHeight="false" outlineLevel="0" collapsed="false">
      <c r="A74" s="2" t="s">
        <v>597</v>
      </c>
      <c r="B74" s="2" t="s">
        <v>80</v>
      </c>
      <c r="C74" s="5" t="n">
        <f aca="false">INDEX('08_PEDIDOS'!$D$2:$D$97,MATCH(A74,'08_PEDIDOS'!$A$2:$A$97,0))</f>
        <v>12</v>
      </c>
      <c r="D74" s="16" t="n">
        <f aca="false">SUMIF('10_MATERIALES_ORDEN'!$A$2:$A$637,A74,'10_MATERIALES_ORDEN'!$I$2:$I$637)</f>
        <v>6787.366956522</v>
      </c>
      <c r="E74" s="16" t="n">
        <f aca="false">SUMIF('09_CARGA_ORDEN'!$A$2:$A$1153,A74,'09_CARGA_ORDEN'!$J$2:$J$1153)*p_costo_hora_hombre</f>
        <v>1178.67048</v>
      </c>
      <c r="F74" s="16" t="n">
        <f aca="false">SUMIF('09_CARGA_ORDEN'!$A$2:$A$1153,A74,'09_CARGA_ORDEN'!$L$2:$L$1153)</f>
        <v>2195.08090666667</v>
      </c>
      <c r="G74" s="16" t="n">
        <f aca="false">SUM(D74:F74)</f>
        <v>10161.1183431887</v>
      </c>
      <c r="H74" s="16" t="n">
        <f aca="false">INDEX('08_PEDIDOS'!$K$2:$K$97,MATCH(A74,'08_PEDIDOS'!$A$2:$A$97,0))</f>
        <v>31805.88</v>
      </c>
      <c r="I74" s="12" t="n">
        <f aca="false">IF(H74=0,"",(H74-G74)/H74)</f>
        <v>0.680527048986267</v>
      </c>
      <c r="J74" s="5" t="n">
        <f aca="false">IF(COUNTIFS('10_MATERIALES_ORDEN'!$A$2:$A$637,A74,'10_MATERIALES_ORDEN'!$L$2:$L$637,0)=0,1,0)</f>
        <v>1</v>
      </c>
      <c r="K74" s="2" t="s">
        <v>629</v>
      </c>
    </row>
    <row r="75" customFormat="false" ht="15" hidden="false" customHeight="false" outlineLevel="0" collapsed="false">
      <c r="A75" s="2" t="s">
        <v>598</v>
      </c>
      <c r="B75" s="2" t="s">
        <v>83</v>
      </c>
      <c r="C75" s="5" t="n">
        <f aca="false">INDEX('08_PEDIDOS'!$D$2:$D$97,MATCH(A75,'08_PEDIDOS'!$A$2:$A$97,0))</f>
        <v>12</v>
      </c>
      <c r="D75" s="16" t="n">
        <f aca="false">SUMIF('10_MATERIALES_ORDEN'!$A$2:$A$637,A75,'10_MATERIALES_ORDEN'!$I$2:$I$637)</f>
        <v>6461.1104347824</v>
      </c>
      <c r="E75" s="16" t="n">
        <f aca="false">SUMIF('09_CARGA_ORDEN'!$A$2:$A$1153,A75,'09_CARGA_ORDEN'!$J$2:$J$1153)*p_costo_hora_hombre</f>
        <v>1310.0204</v>
      </c>
      <c r="F75" s="16" t="n">
        <f aca="false">SUMIF('09_CARGA_ORDEN'!$A$2:$A$1153,A75,'09_CARGA_ORDEN'!$L$2:$L$1153)</f>
        <v>2424.73186666667</v>
      </c>
      <c r="G75" s="16" t="n">
        <f aca="false">SUM(D75:F75)</f>
        <v>10195.8627014491</v>
      </c>
      <c r="H75" s="16" t="n">
        <f aca="false">INDEX('08_PEDIDOS'!$K$2:$K$97,MATCH(A75,'08_PEDIDOS'!$A$2:$A$97,0))</f>
        <v>31805.88</v>
      </c>
      <c r="I75" s="12" t="n">
        <f aca="false">IF(H75=0,"",(H75-G75)/H75)</f>
        <v>0.67943466109257</v>
      </c>
      <c r="J75" s="5" t="n">
        <f aca="false">IF(COUNTIFS('10_MATERIALES_ORDEN'!$A$2:$A$637,A75,'10_MATERIALES_ORDEN'!$L$2:$L$637,0)=0,1,0)</f>
        <v>1</v>
      </c>
      <c r="K75" s="2" t="s">
        <v>629</v>
      </c>
    </row>
    <row r="76" customFormat="false" ht="15" hidden="false" customHeight="false" outlineLevel="0" collapsed="false">
      <c r="A76" s="2" t="s">
        <v>599</v>
      </c>
      <c r="B76" s="2" t="s">
        <v>94</v>
      </c>
      <c r="C76" s="5" t="n">
        <f aca="false">INDEX('08_PEDIDOS'!$D$2:$D$97,MATCH(A76,'08_PEDIDOS'!$A$2:$A$97,0))</f>
        <v>6</v>
      </c>
      <c r="D76" s="16" t="n">
        <f aca="false">SUMIF('10_MATERIALES_ORDEN'!$A$2:$A$637,A76,'10_MATERIALES_ORDEN'!$I$2:$I$637)</f>
        <v>2792.1813586962</v>
      </c>
      <c r="E76" s="16" t="n">
        <f aca="false">SUMIF('09_CARGA_ORDEN'!$A$2:$A$1153,A76,'09_CARGA_ORDEN'!$J$2:$J$1153)*p_costo_hora_hombre</f>
        <v>766.439093333333</v>
      </c>
      <c r="F76" s="16" t="n">
        <f aca="false">SUMIF('09_CARGA_ORDEN'!$A$2:$A$1153,A76,'09_CARGA_ORDEN'!$L$2:$L$1153)</f>
        <v>1402.94088</v>
      </c>
      <c r="G76" s="16" t="n">
        <f aca="false">SUM(D76:F76)</f>
        <v>4961.56133202953</v>
      </c>
      <c r="H76" s="16" t="n">
        <f aca="false">INDEX('08_PEDIDOS'!$K$2:$K$97,MATCH(A76,'08_PEDIDOS'!$A$2:$A$97,0))</f>
        <v>12903.42</v>
      </c>
      <c r="I76" s="12" t="n">
        <f aca="false">IF(H76=0,"",(H76-G76)/H76)</f>
        <v>0.615484783721716</v>
      </c>
      <c r="J76" s="5" t="n">
        <f aca="false">IF(COUNTIFS('10_MATERIALES_ORDEN'!$A$2:$A$637,A76,'10_MATERIALES_ORDEN'!$L$2:$L$637,0)=0,1,0)</f>
        <v>1</v>
      </c>
      <c r="K76" s="2" t="s">
        <v>629</v>
      </c>
    </row>
    <row r="77" customFormat="false" ht="15" hidden="false" customHeight="false" outlineLevel="0" collapsed="false">
      <c r="A77" s="2" t="s">
        <v>600</v>
      </c>
      <c r="B77" s="2" t="s">
        <v>96</v>
      </c>
      <c r="C77" s="5" t="n">
        <f aca="false">INDEX('08_PEDIDOS'!$D$2:$D$97,MATCH(A77,'08_PEDIDOS'!$A$2:$A$97,0))</f>
        <v>7</v>
      </c>
      <c r="D77" s="16" t="n">
        <f aca="false">SUMIF('10_MATERIALES_ORDEN'!$A$2:$A$637,A77,'10_MATERIALES_ORDEN'!$I$2:$I$637)</f>
        <v>2305.9388586955</v>
      </c>
      <c r="E77" s="16" t="n">
        <f aca="false">SUMIF('09_CARGA_ORDEN'!$A$2:$A$1153,A77,'09_CARGA_ORDEN'!$J$2:$J$1153)*p_costo_hora_hombre</f>
        <v>615.89307</v>
      </c>
      <c r="F77" s="16" t="n">
        <f aca="false">SUMIF('09_CARGA_ORDEN'!$A$2:$A$1153,A77,'09_CARGA_ORDEN'!$L$2:$L$1153)</f>
        <v>1128.59966</v>
      </c>
      <c r="G77" s="16" t="n">
        <f aca="false">SUM(D77:F77)</f>
        <v>4050.4315886955</v>
      </c>
      <c r="H77" s="16" t="n">
        <f aca="false">INDEX('08_PEDIDOS'!$K$2:$K$97,MATCH(A77,'08_PEDIDOS'!$A$2:$A$97,0))</f>
        <v>15053.99</v>
      </c>
      <c r="I77" s="12" t="n">
        <f aca="false">IF(H77=0,"",(H77-G77)/H77)</f>
        <v>0.730939665251837</v>
      </c>
      <c r="J77" s="5" t="n">
        <f aca="false">IF(COUNTIFS('10_MATERIALES_ORDEN'!$A$2:$A$637,A77,'10_MATERIALES_ORDEN'!$L$2:$L$637,0)=0,1,0)</f>
        <v>1</v>
      </c>
      <c r="K77" s="2" t="s">
        <v>629</v>
      </c>
    </row>
    <row r="78" customFormat="false" ht="15" hidden="false" customHeight="false" outlineLevel="0" collapsed="false">
      <c r="A78" s="2" t="s">
        <v>601</v>
      </c>
      <c r="B78" s="2" t="s">
        <v>106</v>
      </c>
      <c r="C78" s="5" t="n">
        <f aca="false">INDEX('08_PEDIDOS'!$D$2:$D$97,MATCH(A78,'08_PEDIDOS'!$A$2:$A$97,0))</f>
        <v>5</v>
      </c>
      <c r="D78" s="16" t="n">
        <f aca="false">SUMIF('10_MATERIALES_ORDEN'!$A$2:$A$637,A78,'10_MATERIALES_ORDEN'!$I$2:$I$637)</f>
        <v>3026.1635869565</v>
      </c>
      <c r="E78" s="16" t="n">
        <f aca="false">SUMIF('09_CARGA_ORDEN'!$A$2:$A$1153,A78,'09_CARGA_ORDEN'!$J$2:$J$1153)*p_costo_hora_hombre</f>
        <v>309.528916666667</v>
      </c>
      <c r="F78" s="16" t="n">
        <f aca="false">SUMIF('09_CARGA_ORDEN'!$A$2:$A$1153,A78,'09_CARGA_ORDEN'!$L$2:$L$1153)</f>
        <v>571.063</v>
      </c>
      <c r="G78" s="16" t="n">
        <f aca="false">SUM(D78:F78)</f>
        <v>3906.75550362317</v>
      </c>
      <c r="H78" s="16" t="n">
        <f aca="false">INDEX('08_PEDIDOS'!$K$2:$K$97,MATCH(A78,'08_PEDIDOS'!$A$2:$A$97,0))</f>
        <v>9004.05</v>
      </c>
      <c r="I78" s="12" t="n">
        <f aca="false">IF(H78=0,"",(H78-G78)/H78)</f>
        <v>0.566111305065702</v>
      </c>
      <c r="J78" s="5" t="n">
        <f aca="false">IF(COUNTIFS('10_MATERIALES_ORDEN'!$A$2:$A$637,A78,'10_MATERIALES_ORDEN'!$L$2:$L$637,0)=0,1,0)</f>
        <v>1</v>
      </c>
      <c r="K78" s="2" t="s">
        <v>629</v>
      </c>
    </row>
    <row r="79" customFormat="false" ht="15" hidden="false" customHeight="false" outlineLevel="0" collapsed="false">
      <c r="A79" s="2" t="s">
        <v>602</v>
      </c>
      <c r="B79" s="2" t="s">
        <v>108</v>
      </c>
      <c r="C79" s="5" t="n">
        <f aca="false">INDEX('08_PEDIDOS'!$D$2:$D$97,MATCH(A79,'08_PEDIDOS'!$A$2:$A$97,0))</f>
        <v>6</v>
      </c>
      <c r="D79" s="16" t="n">
        <f aca="false">SUMIF('10_MATERIALES_ORDEN'!$A$2:$A$637,A79,'10_MATERIALES_ORDEN'!$I$2:$I$637)</f>
        <v>5193.829565217</v>
      </c>
      <c r="E79" s="16" t="n">
        <f aca="false">SUMIF('09_CARGA_ORDEN'!$A$2:$A$1153,A79,'09_CARGA_ORDEN'!$J$2:$J$1153)*p_costo_hora_hombre</f>
        <v>505.6584</v>
      </c>
      <c r="F79" s="16" t="n">
        <f aca="false">SUMIF('09_CARGA_ORDEN'!$A$2:$A$1153,A79,'09_CARGA_ORDEN'!$L$2:$L$1153)</f>
        <v>933.452866666667</v>
      </c>
      <c r="G79" s="16" t="n">
        <f aca="false">SUM(D79:F79)</f>
        <v>6632.94083188367</v>
      </c>
      <c r="H79" s="16" t="n">
        <f aca="false">INDEX('08_PEDIDOS'!$K$2:$K$97,MATCH(A79,'08_PEDIDOS'!$A$2:$A$97,0))</f>
        <v>10804.86</v>
      </c>
      <c r="I79" s="12" t="n">
        <f aca="false">IF(H79=0,"",(H79-G79)/H79)</f>
        <v>0.386115060085585</v>
      </c>
      <c r="J79" s="5" t="n">
        <f aca="false">IF(COUNTIFS('10_MATERIALES_ORDEN'!$A$2:$A$637,A79,'10_MATERIALES_ORDEN'!$L$2:$L$637,0)=0,1,0)</f>
        <v>1</v>
      </c>
      <c r="K79" s="2" t="s">
        <v>629</v>
      </c>
    </row>
    <row r="80" customFormat="false" ht="15" hidden="false" customHeight="false" outlineLevel="0" collapsed="false">
      <c r="A80" s="2" t="s">
        <v>603</v>
      </c>
      <c r="B80" s="2" t="s">
        <v>119</v>
      </c>
      <c r="C80" s="5" t="n">
        <f aca="false">INDEX('08_PEDIDOS'!$D$2:$D$97,MATCH(A80,'08_PEDIDOS'!$A$2:$A$97,0))</f>
        <v>10</v>
      </c>
      <c r="D80" s="16" t="n">
        <f aca="false">SUMIF('10_MATERIALES_ORDEN'!$A$2:$A$637,A80,'10_MATERIALES_ORDEN'!$I$2:$I$637)</f>
        <v>4138.730434782</v>
      </c>
      <c r="E80" s="16" t="n">
        <f aca="false">SUMIF('09_CARGA_ORDEN'!$A$2:$A$1153,A80,'09_CARGA_ORDEN'!$J$2:$J$1153)*p_costo_hora_hombre</f>
        <v>484.319333333333</v>
      </c>
      <c r="F80" s="16" t="n">
        <f aca="false">SUMIF('09_CARGA_ORDEN'!$A$2:$A$1153,A80,'09_CARGA_ORDEN'!$L$2:$L$1153)</f>
        <v>897.774666666667</v>
      </c>
      <c r="G80" s="16" t="n">
        <f aca="false">SUM(D80:F80)</f>
        <v>5520.824434782</v>
      </c>
      <c r="H80" s="16" t="n">
        <f aca="false">INDEX('08_PEDIDOS'!$K$2:$K$97,MATCH(A80,'08_PEDIDOS'!$A$2:$A$97,0))</f>
        <v>23224.698</v>
      </c>
      <c r="I80" s="12" t="n">
        <f aca="false">IF(H80=0,"",(H80-G80)/H80)</f>
        <v>0.762286491958604</v>
      </c>
      <c r="J80" s="5" t="n">
        <f aca="false">IF(COUNTIFS('10_MATERIALES_ORDEN'!$A$2:$A$637,A80,'10_MATERIALES_ORDEN'!$L$2:$L$637,0)=0,1,0)</f>
        <v>1</v>
      </c>
      <c r="K80" s="2" t="s">
        <v>629</v>
      </c>
    </row>
    <row r="81" customFormat="false" ht="15" hidden="false" customHeight="false" outlineLevel="0" collapsed="false">
      <c r="A81" s="2" t="s">
        <v>604</v>
      </c>
      <c r="B81" s="2" t="s">
        <v>121</v>
      </c>
      <c r="C81" s="5" t="n">
        <f aca="false">INDEX('08_PEDIDOS'!$D$2:$D$97,MATCH(A81,'08_PEDIDOS'!$A$2:$A$97,0))</f>
        <v>10</v>
      </c>
      <c r="D81" s="16" t="n">
        <f aca="false">SUMIF('10_MATERIALES_ORDEN'!$A$2:$A$637,A81,'10_MATERIALES_ORDEN'!$I$2:$I$637)</f>
        <v>2926.208152174</v>
      </c>
      <c r="E81" s="16" t="n">
        <f aca="false">SUMIF('09_CARGA_ORDEN'!$A$2:$A$1153,A81,'09_CARGA_ORDEN'!$J$2:$J$1153)*p_costo_hora_hombre</f>
        <v>781.592933333333</v>
      </c>
      <c r="F81" s="16" t="n">
        <f aca="false">SUMIF('09_CARGA_ORDEN'!$A$2:$A$1153,A81,'09_CARGA_ORDEN'!$L$2:$L$1153)</f>
        <v>1379.59146666667</v>
      </c>
      <c r="G81" s="16" t="n">
        <f aca="false">SUM(D81:F81)</f>
        <v>5087.392552174</v>
      </c>
      <c r="H81" s="16" t="n">
        <f aca="false">INDEX('08_PEDIDOS'!$K$2:$K$97,MATCH(A81,'08_PEDIDOS'!$A$2:$A$97,0))</f>
        <v>23224.698</v>
      </c>
      <c r="I81" s="12" t="n">
        <f aca="false">IF(H81=0,"",(H81-G81)/H81)</f>
        <v>0.780949033129559</v>
      </c>
      <c r="J81" s="5" t="n">
        <f aca="false">IF(COUNTIFS('10_MATERIALES_ORDEN'!$A$2:$A$637,A81,'10_MATERIALES_ORDEN'!$L$2:$L$637,0)=0,1,0)</f>
        <v>1</v>
      </c>
      <c r="K81" s="2" t="s">
        <v>629</v>
      </c>
    </row>
    <row r="82" customFormat="false" ht="15" hidden="false" customHeight="false" outlineLevel="0" collapsed="false">
      <c r="A82" s="2" t="s">
        <v>605</v>
      </c>
      <c r="B82" s="2" t="s">
        <v>80</v>
      </c>
      <c r="C82" s="5" t="n">
        <f aca="false">INDEX('08_PEDIDOS'!$D$2:$D$97,MATCH(A82,'08_PEDIDOS'!$A$2:$A$97,0))</f>
        <v>11</v>
      </c>
      <c r="D82" s="16" t="n">
        <f aca="false">SUMIF('10_MATERIALES_ORDEN'!$A$2:$A$637,A82,'10_MATERIALES_ORDEN'!$I$2:$I$637)</f>
        <v>6221.7530434785</v>
      </c>
      <c r="E82" s="16" t="n">
        <f aca="false">SUMIF('09_CARGA_ORDEN'!$A$2:$A$1153,A82,'09_CARGA_ORDEN'!$J$2:$J$1153)*p_costo_hora_hombre</f>
        <v>1085.21460666667</v>
      </c>
      <c r="F82" s="16" t="n">
        <f aca="false">SUMIF('09_CARGA_ORDEN'!$A$2:$A$1153,A82,'09_CARGA_ORDEN'!$L$2:$L$1153)</f>
        <v>2021.30472</v>
      </c>
      <c r="G82" s="16" t="n">
        <f aca="false">SUM(D82:F82)</f>
        <v>9328.27237014517</v>
      </c>
      <c r="H82" s="16" t="n">
        <f aca="false">INDEX('08_PEDIDOS'!$K$2:$K$97,MATCH(A82,'08_PEDIDOS'!$A$2:$A$97,0))</f>
        <v>29155.39</v>
      </c>
      <c r="I82" s="12" t="n">
        <f aca="false">IF(H82=0,"",(H82-G82)/H82)</f>
        <v>0.680049816855643</v>
      </c>
      <c r="J82" s="5" t="n">
        <f aca="false">IF(COUNTIFS('10_MATERIALES_ORDEN'!$A$2:$A$637,A82,'10_MATERIALES_ORDEN'!$L$2:$L$637,0)=0,1,0)</f>
        <v>1</v>
      </c>
      <c r="K82" s="2" t="s">
        <v>629</v>
      </c>
    </row>
    <row r="83" customFormat="false" ht="15" hidden="false" customHeight="false" outlineLevel="0" collapsed="false">
      <c r="A83" s="2" t="s">
        <v>606</v>
      </c>
      <c r="B83" s="2" t="s">
        <v>83</v>
      </c>
      <c r="C83" s="5" t="n">
        <f aca="false">INDEX('08_PEDIDOS'!$D$2:$D$97,MATCH(A83,'08_PEDIDOS'!$A$2:$A$97,0))</f>
        <v>12</v>
      </c>
      <c r="D83" s="16" t="n">
        <f aca="false">SUMIF('10_MATERIALES_ORDEN'!$A$2:$A$637,A83,'10_MATERIALES_ORDEN'!$I$2:$I$637)</f>
        <v>6461.1104347824</v>
      </c>
      <c r="E83" s="16" t="n">
        <f aca="false">SUMIF('09_CARGA_ORDEN'!$A$2:$A$1153,A83,'09_CARGA_ORDEN'!$J$2:$J$1153)*p_costo_hora_hombre</f>
        <v>1310.0204</v>
      </c>
      <c r="F83" s="16" t="n">
        <f aca="false">SUMIF('09_CARGA_ORDEN'!$A$2:$A$1153,A83,'09_CARGA_ORDEN'!$L$2:$L$1153)</f>
        <v>2424.73186666667</v>
      </c>
      <c r="G83" s="16" t="n">
        <f aca="false">SUM(D83:F83)</f>
        <v>10195.8627014491</v>
      </c>
      <c r="H83" s="16" t="n">
        <f aca="false">INDEX('08_PEDIDOS'!$K$2:$K$97,MATCH(A83,'08_PEDIDOS'!$A$2:$A$97,0))</f>
        <v>31805.88</v>
      </c>
      <c r="I83" s="12" t="n">
        <f aca="false">IF(H83=0,"",(H83-G83)/H83)</f>
        <v>0.67943466109257</v>
      </c>
      <c r="J83" s="5" t="n">
        <f aca="false">IF(COUNTIFS('10_MATERIALES_ORDEN'!$A$2:$A$637,A83,'10_MATERIALES_ORDEN'!$L$2:$L$637,0)=0,1,0)</f>
        <v>1</v>
      </c>
      <c r="K83" s="2" t="s">
        <v>629</v>
      </c>
    </row>
    <row r="84" customFormat="false" ht="15" hidden="false" customHeight="false" outlineLevel="0" collapsed="false">
      <c r="A84" s="2" t="s">
        <v>607</v>
      </c>
      <c r="B84" s="2" t="s">
        <v>94</v>
      </c>
      <c r="C84" s="5" t="n">
        <f aca="false">INDEX('08_PEDIDOS'!$D$2:$D$97,MATCH(A84,'08_PEDIDOS'!$A$2:$A$97,0))</f>
        <v>6</v>
      </c>
      <c r="D84" s="16" t="n">
        <f aca="false">SUMIF('10_MATERIALES_ORDEN'!$A$2:$A$637,A84,'10_MATERIALES_ORDEN'!$I$2:$I$637)</f>
        <v>2792.1813586962</v>
      </c>
      <c r="E84" s="16" t="n">
        <f aca="false">SUMIF('09_CARGA_ORDEN'!$A$2:$A$1153,A84,'09_CARGA_ORDEN'!$J$2:$J$1153)*p_costo_hora_hombre</f>
        <v>766.439093333333</v>
      </c>
      <c r="F84" s="16" t="n">
        <f aca="false">SUMIF('09_CARGA_ORDEN'!$A$2:$A$1153,A84,'09_CARGA_ORDEN'!$L$2:$L$1153)</f>
        <v>1402.94088</v>
      </c>
      <c r="G84" s="16" t="n">
        <f aca="false">SUM(D84:F84)</f>
        <v>4961.56133202953</v>
      </c>
      <c r="H84" s="16" t="n">
        <f aca="false">INDEX('08_PEDIDOS'!$K$2:$K$97,MATCH(A84,'08_PEDIDOS'!$A$2:$A$97,0))</f>
        <v>12903.42</v>
      </c>
      <c r="I84" s="12" t="n">
        <f aca="false">IF(H84=0,"",(H84-G84)/H84)</f>
        <v>0.615484783721716</v>
      </c>
      <c r="J84" s="5" t="n">
        <f aca="false">IF(COUNTIFS('10_MATERIALES_ORDEN'!$A$2:$A$637,A84,'10_MATERIALES_ORDEN'!$L$2:$L$637,0)=0,1,0)</f>
        <v>1</v>
      </c>
      <c r="K84" s="2" t="s">
        <v>629</v>
      </c>
    </row>
    <row r="85" customFormat="false" ht="15" hidden="false" customHeight="false" outlineLevel="0" collapsed="false">
      <c r="A85" s="2" t="s">
        <v>608</v>
      </c>
      <c r="B85" s="2" t="s">
        <v>96</v>
      </c>
      <c r="C85" s="5" t="n">
        <f aca="false">INDEX('08_PEDIDOS'!$D$2:$D$97,MATCH(A85,'08_PEDIDOS'!$A$2:$A$97,0))</f>
        <v>7</v>
      </c>
      <c r="D85" s="16" t="n">
        <f aca="false">SUMIF('10_MATERIALES_ORDEN'!$A$2:$A$637,A85,'10_MATERIALES_ORDEN'!$I$2:$I$637)</f>
        <v>2305.9388586955</v>
      </c>
      <c r="E85" s="16" t="n">
        <f aca="false">SUMIF('09_CARGA_ORDEN'!$A$2:$A$1153,A85,'09_CARGA_ORDEN'!$J$2:$J$1153)*p_costo_hora_hombre</f>
        <v>615.89307</v>
      </c>
      <c r="F85" s="16" t="n">
        <f aca="false">SUMIF('09_CARGA_ORDEN'!$A$2:$A$1153,A85,'09_CARGA_ORDEN'!$L$2:$L$1153)</f>
        <v>1128.59966</v>
      </c>
      <c r="G85" s="16" t="n">
        <f aca="false">SUM(D85:F85)</f>
        <v>4050.4315886955</v>
      </c>
      <c r="H85" s="16" t="n">
        <f aca="false">INDEX('08_PEDIDOS'!$K$2:$K$97,MATCH(A85,'08_PEDIDOS'!$A$2:$A$97,0))</f>
        <v>15053.99</v>
      </c>
      <c r="I85" s="12" t="n">
        <f aca="false">IF(H85=0,"",(H85-G85)/H85)</f>
        <v>0.730939665251837</v>
      </c>
      <c r="J85" s="5" t="n">
        <f aca="false">IF(COUNTIFS('10_MATERIALES_ORDEN'!$A$2:$A$637,A85,'10_MATERIALES_ORDEN'!$L$2:$L$637,0)=0,1,0)</f>
        <v>1</v>
      </c>
      <c r="K85" s="2" t="s">
        <v>629</v>
      </c>
    </row>
    <row r="86" customFormat="false" ht="15" hidden="false" customHeight="false" outlineLevel="0" collapsed="false">
      <c r="A86" s="2" t="s">
        <v>609</v>
      </c>
      <c r="B86" s="2" t="s">
        <v>106</v>
      </c>
      <c r="C86" s="5" t="n">
        <f aca="false">INDEX('08_PEDIDOS'!$D$2:$D$97,MATCH(A86,'08_PEDIDOS'!$A$2:$A$97,0))</f>
        <v>5</v>
      </c>
      <c r="D86" s="16" t="n">
        <f aca="false">SUMIF('10_MATERIALES_ORDEN'!$A$2:$A$637,A86,'10_MATERIALES_ORDEN'!$I$2:$I$637)</f>
        <v>3026.1635869565</v>
      </c>
      <c r="E86" s="16" t="n">
        <f aca="false">SUMIF('09_CARGA_ORDEN'!$A$2:$A$1153,A86,'09_CARGA_ORDEN'!$J$2:$J$1153)*p_costo_hora_hombre</f>
        <v>309.528916666667</v>
      </c>
      <c r="F86" s="16" t="n">
        <f aca="false">SUMIF('09_CARGA_ORDEN'!$A$2:$A$1153,A86,'09_CARGA_ORDEN'!$L$2:$L$1153)</f>
        <v>571.063</v>
      </c>
      <c r="G86" s="16" t="n">
        <f aca="false">SUM(D86:F86)</f>
        <v>3906.75550362317</v>
      </c>
      <c r="H86" s="16" t="n">
        <f aca="false">INDEX('08_PEDIDOS'!$K$2:$K$97,MATCH(A86,'08_PEDIDOS'!$A$2:$A$97,0))</f>
        <v>9004.05</v>
      </c>
      <c r="I86" s="12" t="n">
        <f aca="false">IF(H86=0,"",(H86-G86)/H86)</f>
        <v>0.566111305065702</v>
      </c>
      <c r="J86" s="5" t="n">
        <f aca="false">IF(COUNTIFS('10_MATERIALES_ORDEN'!$A$2:$A$637,A86,'10_MATERIALES_ORDEN'!$L$2:$L$637,0)=0,1,0)</f>
        <v>1</v>
      </c>
      <c r="K86" s="2" t="s">
        <v>629</v>
      </c>
    </row>
    <row r="87" customFormat="false" ht="15" hidden="false" customHeight="false" outlineLevel="0" collapsed="false">
      <c r="A87" s="2" t="s">
        <v>610</v>
      </c>
      <c r="B87" s="2" t="s">
        <v>108</v>
      </c>
      <c r="C87" s="5" t="n">
        <f aca="false">INDEX('08_PEDIDOS'!$D$2:$D$97,MATCH(A87,'08_PEDIDOS'!$A$2:$A$97,0))</f>
        <v>6</v>
      </c>
      <c r="D87" s="16" t="n">
        <f aca="false">SUMIF('10_MATERIALES_ORDEN'!$A$2:$A$637,A87,'10_MATERIALES_ORDEN'!$I$2:$I$637)</f>
        <v>5193.829565217</v>
      </c>
      <c r="E87" s="16" t="n">
        <f aca="false">SUMIF('09_CARGA_ORDEN'!$A$2:$A$1153,A87,'09_CARGA_ORDEN'!$J$2:$J$1153)*p_costo_hora_hombre</f>
        <v>505.6584</v>
      </c>
      <c r="F87" s="16" t="n">
        <f aca="false">SUMIF('09_CARGA_ORDEN'!$A$2:$A$1153,A87,'09_CARGA_ORDEN'!$L$2:$L$1153)</f>
        <v>933.452866666667</v>
      </c>
      <c r="G87" s="16" t="n">
        <f aca="false">SUM(D87:F87)</f>
        <v>6632.94083188367</v>
      </c>
      <c r="H87" s="16" t="n">
        <f aca="false">INDEX('08_PEDIDOS'!$K$2:$K$97,MATCH(A87,'08_PEDIDOS'!$A$2:$A$97,0))</f>
        <v>10804.86</v>
      </c>
      <c r="I87" s="12" t="n">
        <f aca="false">IF(H87=0,"",(H87-G87)/H87)</f>
        <v>0.386115060085585</v>
      </c>
      <c r="J87" s="5" t="n">
        <f aca="false">IF(COUNTIFS('10_MATERIALES_ORDEN'!$A$2:$A$637,A87,'10_MATERIALES_ORDEN'!$L$2:$L$637,0)=0,1,0)</f>
        <v>1</v>
      </c>
      <c r="K87" s="2" t="s">
        <v>629</v>
      </c>
    </row>
    <row r="88" customFormat="false" ht="15" hidden="false" customHeight="false" outlineLevel="0" collapsed="false">
      <c r="A88" s="2" t="s">
        <v>611</v>
      </c>
      <c r="B88" s="2" t="s">
        <v>119</v>
      </c>
      <c r="C88" s="5" t="n">
        <f aca="false">INDEX('08_PEDIDOS'!$D$2:$D$97,MATCH(A88,'08_PEDIDOS'!$A$2:$A$97,0))</f>
        <v>10</v>
      </c>
      <c r="D88" s="16" t="n">
        <f aca="false">SUMIF('10_MATERIALES_ORDEN'!$A$2:$A$637,A88,'10_MATERIALES_ORDEN'!$I$2:$I$637)</f>
        <v>4138.730434782</v>
      </c>
      <c r="E88" s="16" t="n">
        <f aca="false">SUMIF('09_CARGA_ORDEN'!$A$2:$A$1153,A88,'09_CARGA_ORDEN'!$J$2:$J$1153)*p_costo_hora_hombre</f>
        <v>484.319333333333</v>
      </c>
      <c r="F88" s="16" t="n">
        <f aca="false">SUMIF('09_CARGA_ORDEN'!$A$2:$A$1153,A88,'09_CARGA_ORDEN'!$L$2:$L$1153)</f>
        <v>897.774666666667</v>
      </c>
      <c r="G88" s="16" t="n">
        <f aca="false">SUM(D88:F88)</f>
        <v>5520.824434782</v>
      </c>
      <c r="H88" s="16" t="n">
        <f aca="false">INDEX('08_PEDIDOS'!$K$2:$K$97,MATCH(A88,'08_PEDIDOS'!$A$2:$A$97,0))</f>
        <v>23224.698</v>
      </c>
      <c r="I88" s="12" t="n">
        <f aca="false">IF(H88=0,"",(H88-G88)/H88)</f>
        <v>0.762286491958604</v>
      </c>
      <c r="J88" s="5" t="n">
        <f aca="false">IF(COUNTIFS('10_MATERIALES_ORDEN'!$A$2:$A$637,A88,'10_MATERIALES_ORDEN'!$L$2:$L$637,0)=0,1,0)</f>
        <v>1</v>
      </c>
      <c r="K88" s="2" t="s">
        <v>629</v>
      </c>
    </row>
    <row r="89" customFormat="false" ht="15" hidden="false" customHeight="false" outlineLevel="0" collapsed="false">
      <c r="A89" s="2" t="s">
        <v>612</v>
      </c>
      <c r="B89" s="2" t="s">
        <v>121</v>
      </c>
      <c r="C89" s="5" t="n">
        <f aca="false">INDEX('08_PEDIDOS'!$D$2:$D$97,MATCH(A89,'08_PEDIDOS'!$A$2:$A$97,0))</f>
        <v>10</v>
      </c>
      <c r="D89" s="16" t="n">
        <f aca="false">SUMIF('10_MATERIALES_ORDEN'!$A$2:$A$637,A89,'10_MATERIALES_ORDEN'!$I$2:$I$637)</f>
        <v>2926.208152174</v>
      </c>
      <c r="E89" s="16" t="n">
        <f aca="false">SUMIF('09_CARGA_ORDEN'!$A$2:$A$1153,A89,'09_CARGA_ORDEN'!$J$2:$J$1153)*p_costo_hora_hombre</f>
        <v>781.592933333333</v>
      </c>
      <c r="F89" s="16" t="n">
        <f aca="false">SUMIF('09_CARGA_ORDEN'!$A$2:$A$1153,A89,'09_CARGA_ORDEN'!$L$2:$L$1153)</f>
        <v>1379.59146666667</v>
      </c>
      <c r="G89" s="16" t="n">
        <f aca="false">SUM(D89:F89)</f>
        <v>5087.392552174</v>
      </c>
      <c r="H89" s="16" t="n">
        <f aca="false">INDEX('08_PEDIDOS'!$K$2:$K$97,MATCH(A89,'08_PEDIDOS'!$A$2:$A$97,0))</f>
        <v>23224.698</v>
      </c>
      <c r="I89" s="12" t="n">
        <f aca="false">IF(H89=0,"",(H89-G89)/H89)</f>
        <v>0.780949033129559</v>
      </c>
      <c r="J89" s="5" t="n">
        <f aca="false">IF(COUNTIFS('10_MATERIALES_ORDEN'!$A$2:$A$637,A89,'10_MATERIALES_ORDEN'!$L$2:$L$637,0)=0,1,0)</f>
        <v>1</v>
      </c>
      <c r="K89" s="2" t="s">
        <v>629</v>
      </c>
    </row>
    <row r="90" customFormat="false" ht="15" hidden="false" customHeight="false" outlineLevel="0" collapsed="false">
      <c r="A90" s="2" t="s">
        <v>613</v>
      </c>
      <c r="B90" s="2" t="s">
        <v>80</v>
      </c>
      <c r="C90" s="5" t="n">
        <f aca="false">INDEX('08_PEDIDOS'!$D$2:$D$97,MATCH(A90,'08_PEDIDOS'!$A$2:$A$97,0))</f>
        <v>11</v>
      </c>
      <c r="D90" s="16" t="n">
        <f aca="false">SUMIF('10_MATERIALES_ORDEN'!$A$2:$A$637,A90,'10_MATERIALES_ORDEN'!$I$2:$I$637)</f>
        <v>6221.7530434785</v>
      </c>
      <c r="E90" s="16" t="n">
        <f aca="false">SUMIF('09_CARGA_ORDEN'!$A$2:$A$1153,A90,'09_CARGA_ORDEN'!$J$2:$J$1153)*p_costo_hora_hombre</f>
        <v>1085.21460666667</v>
      </c>
      <c r="F90" s="16" t="n">
        <f aca="false">SUMIF('09_CARGA_ORDEN'!$A$2:$A$1153,A90,'09_CARGA_ORDEN'!$L$2:$L$1153)</f>
        <v>2021.30472</v>
      </c>
      <c r="G90" s="16" t="n">
        <f aca="false">SUM(D90:F90)</f>
        <v>9328.27237014517</v>
      </c>
      <c r="H90" s="16" t="n">
        <f aca="false">INDEX('08_PEDIDOS'!$K$2:$K$97,MATCH(A90,'08_PEDIDOS'!$A$2:$A$97,0))</f>
        <v>29155.39</v>
      </c>
      <c r="I90" s="12" t="n">
        <f aca="false">IF(H90=0,"",(H90-G90)/H90)</f>
        <v>0.680049816855643</v>
      </c>
      <c r="J90" s="5" t="n">
        <f aca="false">IF(COUNTIFS('10_MATERIALES_ORDEN'!$A$2:$A$637,A90,'10_MATERIALES_ORDEN'!$L$2:$L$637,0)=0,1,0)</f>
        <v>1</v>
      </c>
      <c r="K90" s="2" t="s">
        <v>629</v>
      </c>
    </row>
    <row r="91" customFormat="false" ht="15" hidden="false" customHeight="false" outlineLevel="0" collapsed="false">
      <c r="A91" s="2" t="s">
        <v>614</v>
      </c>
      <c r="B91" s="2" t="s">
        <v>83</v>
      </c>
      <c r="C91" s="5" t="n">
        <f aca="false">INDEX('08_PEDIDOS'!$D$2:$D$97,MATCH(A91,'08_PEDIDOS'!$A$2:$A$97,0))</f>
        <v>12</v>
      </c>
      <c r="D91" s="16" t="n">
        <f aca="false">SUMIF('10_MATERIALES_ORDEN'!$A$2:$A$637,A91,'10_MATERIALES_ORDEN'!$I$2:$I$637)</f>
        <v>6461.1104347824</v>
      </c>
      <c r="E91" s="16" t="n">
        <f aca="false">SUMIF('09_CARGA_ORDEN'!$A$2:$A$1153,A91,'09_CARGA_ORDEN'!$J$2:$J$1153)*p_costo_hora_hombre</f>
        <v>1310.0204</v>
      </c>
      <c r="F91" s="16" t="n">
        <f aca="false">SUMIF('09_CARGA_ORDEN'!$A$2:$A$1153,A91,'09_CARGA_ORDEN'!$L$2:$L$1153)</f>
        <v>2424.73186666667</v>
      </c>
      <c r="G91" s="16" t="n">
        <f aca="false">SUM(D91:F91)</f>
        <v>10195.8627014491</v>
      </c>
      <c r="H91" s="16" t="n">
        <f aca="false">INDEX('08_PEDIDOS'!$K$2:$K$97,MATCH(A91,'08_PEDIDOS'!$A$2:$A$97,0))</f>
        <v>31805.88</v>
      </c>
      <c r="I91" s="12" t="n">
        <f aca="false">IF(H91=0,"",(H91-G91)/H91)</f>
        <v>0.67943466109257</v>
      </c>
      <c r="J91" s="5" t="n">
        <f aca="false">IF(COUNTIFS('10_MATERIALES_ORDEN'!$A$2:$A$637,A91,'10_MATERIALES_ORDEN'!$L$2:$L$637,0)=0,1,0)</f>
        <v>1</v>
      </c>
      <c r="K91" s="2" t="s">
        <v>629</v>
      </c>
    </row>
    <row r="92" customFormat="false" ht="15" hidden="false" customHeight="false" outlineLevel="0" collapsed="false">
      <c r="A92" s="2" t="s">
        <v>615</v>
      </c>
      <c r="B92" s="2" t="s">
        <v>94</v>
      </c>
      <c r="C92" s="5" t="n">
        <f aca="false">INDEX('08_PEDIDOS'!$D$2:$D$97,MATCH(A92,'08_PEDIDOS'!$A$2:$A$97,0))</f>
        <v>6</v>
      </c>
      <c r="D92" s="16" t="n">
        <f aca="false">SUMIF('10_MATERIALES_ORDEN'!$A$2:$A$637,A92,'10_MATERIALES_ORDEN'!$I$2:$I$637)</f>
        <v>2792.1813586962</v>
      </c>
      <c r="E92" s="16" t="n">
        <f aca="false">SUMIF('09_CARGA_ORDEN'!$A$2:$A$1153,A92,'09_CARGA_ORDEN'!$J$2:$J$1153)*p_costo_hora_hombre</f>
        <v>766.439093333333</v>
      </c>
      <c r="F92" s="16" t="n">
        <f aca="false">SUMIF('09_CARGA_ORDEN'!$A$2:$A$1153,A92,'09_CARGA_ORDEN'!$L$2:$L$1153)</f>
        <v>1402.94088</v>
      </c>
      <c r="G92" s="16" t="n">
        <f aca="false">SUM(D92:F92)</f>
        <v>4961.56133202953</v>
      </c>
      <c r="H92" s="16" t="n">
        <f aca="false">INDEX('08_PEDIDOS'!$K$2:$K$97,MATCH(A92,'08_PEDIDOS'!$A$2:$A$97,0))</f>
        <v>12903.42</v>
      </c>
      <c r="I92" s="12" t="n">
        <f aca="false">IF(H92=0,"",(H92-G92)/H92)</f>
        <v>0.615484783721716</v>
      </c>
      <c r="J92" s="5" t="n">
        <f aca="false">IF(COUNTIFS('10_MATERIALES_ORDEN'!$A$2:$A$637,A92,'10_MATERIALES_ORDEN'!$L$2:$L$637,0)=0,1,0)</f>
        <v>1</v>
      </c>
      <c r="K92" s="2" t="s">
        <v>629</v>
      </c>
    </row>
    <row r="93" customFormat="false" ht="15" hidden="false" customHeight="false" outlineLevel="0" collapsed="false">
      <c r="A93" s="2" t="s">
        <v>616</v>
      </c>
      <c r="B93" s="2" t="s">
        <v>96</v>
      </c>
      <c r="C93" s="5" t="n">
        <f aca="false">INDEX('08_PEDIDOS'!$D$2:$D$97,MATCH(A93,'08_PEDIDOS'!$A$2:$A$97,0))</f>
        <v>7</v>
      </c>
      <c r="D93" s="16" t="n">
        <f aca="false">SUMIF('10_MATERIALES_ORDEN'!$A$2:$A$637,A93,'10_MATERIALES_ORDEN'!$I$2:$I$637)</f>
        <v>2305.9388586955</v>
      </c>
      <c r="E93" s="16" t="n">
        <f aca="false">SUMIF('09_CARGA_ORDEN'!$A$2:$A$1153,A93,'09_CARGA_ORDEN'!$J$2:$J$1153)*p_costo_hora_hombre</f>
        <v>615.89307</v>
      </c>
      <c r="F93" s="16" t="n">
        <f aca="false">SUMIF('09_CARGA_ORDEN'!$A$2:$A$1153,A93,'09_CARGA_ORDEN'!$L$2:$L$1153)</f>
        <v>1128.59966</v>
      </c>
      <c r="G93" s="16" t="n">
        <f aca="false">SUM(D93:F93)</f>
        <v>4050.4315886955</v>
      </c>
      <c r="H93" s="16" t="n">
        <f aca="false">INDEX('08_PEDIDOS'!$K$2:$K$97,MATCH(A93,'08_PEDIDOS'!$A$2:$A$97,0))</f>
        <v>15053.99</v>
      </c>
      <c r="I93" s="12" t="n">
        <f aca="false">IF(H93=0,"",(H93-G93)/H93)</f>
        <v>0.730939665251837</v>
      </c>
      <c r="J93" s="5" t="n">
        <f aca="false">IF(COUNTIFS('10_MATERIALES_ORDEN'!$A$2:$A$637,A93,'10_MATERIALES_ORDEN'!$L$2:$L$637,0)=0,1,0)</f>
        <v>1</v>
      </c>
      <c r="K93" s="2" t="s">
        <v>629</v>
      </c>
    </row>
    <row r="94" customFormat="false" ht="15" hidden="false" customHeight="false" outlineLevel="0" collapsed="false">
      <c r="A94" s="2" t="s">
        <v>617</v>
      </c>
      <c r="B94" s="2" t="s">
        <v>106</v>
      </c>
      <c r="C94" s="5" t="n">
        <f aca="false">INDEX('08_PEDIDOS'!$D$2:$D$97,MATCH(A94,'08_PEDIDOS'!$A$2:$A$97,0))</f>
        <v>5</v>
      </c>
      <c r="D94" s="16" t="n">
        <f aca="false">SUMIF('10_MATERIALES_ORDEN'!$A$2:$A$637,A94,'10_MATERIALES_ORDEN'!$I$2:$I$637)</f>
        <v>3026.1635869565</v>
      </c>
      <c r="E94" s="16" t="n">
        <f aca="false">SUMIF('09_CARGA_ORDEN'!$A$2:$A$1153,A94,'09_CARGA_ORDEN'!$J$2:$J$1153)*p_costo_hora_hombre</f>
        <v>309.528916666667</v>
      </c>
      <c r="F94" s="16" t="n">
        <f aca="false">SUMIF('09_CARGA_ORDEN'!$A$2:$A$1153,A94,'09_CARGA_ORDEN'!$L$2:$L$1153)</f>
        <v>571.063</v>
      </c>
      <c r="G94" s="16" t="n">
        <f aca="false">SUM(D94:F94)</f>
        <v>3906.75550362317</v>
      </c>
      <c r="H94" s="16" t="n">
        <f aca="false">INDEX('08_PEDIDOS'!$K$2:$K$97,MATCH(A94,'08_PEDIDOS'!$A$2:$A$97,0))</f>
        <v>9004.05</v>
      </c>
      <c r="I94" s="12" t="n">
        <f aca="false">IF(H94=0,"",(H94-G94)/H94)</f>
        <v>0.566111305065702</v>
      </c>
      <c r="J94" s="5" t="n">
        <f aca="false">IF(COUNTIFS('10_MATERIALES_ORDEN'!$A$2:$A$637,A94,'10_MATERIALES_ORDEN'!$L$2:$L$637,0)=0,1,0)</f>
        <v>1</v>
      </c>
      <c r="K94" s="2" t="s">
        <v>629</v>
      </c>
    </row>
    <row r="95" customFormat="false" ht="15" hidden="false" customHeight="false" outlineLevel="0" collapsed="false">
      <c r="A95" s="2" t="s">
        <v>618</v>
      </c>
      <c r="B95" s="2" t="s">
        <v>108</v>
      </c>
      <c r="C95" s="5" t="n">
        <f aca="false">INDEX('08_PEDIDOS'!$D$2:$D$97,MATCH(A95,'08_PEDIDOS'!$A$2:$A$97,0))</f>
        <v>6</v>
      </c>
      <c r="D95" s="16" t="n">
        <f aca="false">SUMIF('10_MATERIALES_ORDEN'!$A$2:$A$637,A95,'10_MATERIALES_ORDEN'!$I$2:$I$637)</f>
        <v>5193.829565217</v>
      </c>
      <c r="E95" s="16" t="n">
        <f aca="false">SUMIF('09_CARGA_ORDEN'!$A$2:$A$1153,A95,'09_CARGA_ORDEN'!$J$2:$J$1153)*p_costo_hora_hombre</f>
        <v>505.6584</v>
      </c>
      <c r="F95" s="16" t="n">
        <f aca="false">SUMIF('09_CARGA_ORDEN'!$A$2:$A$1153,A95,'09_CARGA_ORDEN'!$L$2:$L$1153)</f>
        <v>933.452866666667</v>
      </c>
      <c r="G95" s="16" t="n">
        <f aca="false">SUM(D95:F95)</f>
        <v>6632.94083188367</v>
      </c>
      <c r="H95" s="16" t="n">
        <f aca="false">INDEX('08_PEDIDOS'!$K$2:$K$97,MATCH(A95,'08_PEDIDOS'!$A$2:$A$97,0))</f>
        <v>10804.86</v>
      </c>
      <c r="I95" s="12" t="n">
        <f aca="false">IF(H95=0,"",(H95-G95)/H95)</f>
        <v>0.386115060085585</v>
      </c>
      <c r="J95" s="5" t="n">
        <f aca="false">IF(COUNTIFS('10_MATERIALES_ORDEN'!$A$2:$A$637,A95,'10_MATERIALES_ORDEN'!$L$2:$L$637,0)=0,1,0)</f>
        <v>1</v>
      </c>
      <c r="K95" s="2" t="s">
        <v>629</v>
      </c>
    </row>
    <row r="96" customFormat="false" ht="15" hidden="false" customHeight="false" outlineLevel="0" collapsed="false">
      <c r="A96" s="2" t="s">
        <v>619</v>
      </c>
      <c r="B96" s="2" t="s">
        <v>119</v>
      </c>
      <c r="C96" s="5" t="n">
        <f aca="false">INDEX('08_PEDIDOS'!$D$2:$D$97,MATCH(A96,'08_PEDIDOS'!$A$2:$A$97,0))</f>
        <v>10</v>
      </c>
      <c r="D96" s="16" t="n">
        <f aca="false">SUMIF('10_MATERIALES_ORDEN'!$A$2:$A$637,A96,'10_MATERIALES_ORDEN'!$I$2:$I$637)</f>
        <v>4138.730434782</v>
      </c>
      <c r="E96" s="16" t="n">
        <f aca="false">SUMIF('09_CARGA_ORDEN'!$A$2:$A$1153,A96,'09_CARGA_ORDEN'!$J$2:$J$1153)*p_costo_hora_hombre</f>
        <v>484.319333333333</v>
      </c>
      <c r="F96" s="16" t="n">
        <f aca="false">SUMIF('09_CARGA_ORDEN'!$A$2:$A$1153,A96,'09_CARGA_ORDEN'!$L$2:$L$1153)</f>
        <v>897.774666666667</v>
      </c>
      <c r="G96" s="16" t="n">
        <f aca="false">SUM(D96:F96)</f>
        <v>5520.824434782</v>
      </c>
      <c r="H96" s="16" t="n">
        <f aca="false">INDEX('08_PEDIDOS'!$K$2:$K$97,MATCH(A96,'08_PEDIDOS'!$A$2:$A$97,0))</f>
        <v>23224.698</v>
      </c>
      <c r="I96" s="12" t="n">
        <f aca="false">IF(H96=0,"",(H96-G96)/H96)</f>
        <v>0.762286491958604</v>
      </c>
      <c r="J96" s="5" t="n">
        <f aca="false">IF(COUNTIFS('10_MATERIALES_ORDEN'!$A$2:$A$637,A96,'10_MATERIALES_ORDEN'!$L$2:$L$637,0)=0,1,0)</f>
        <v>1</v>
      </c>
      <c r="K96" s="2" t="s">
        <v>629</v>
      </c>
    </row>
    <row r="97" customFormat="false" ht="15" hidden="false" customHeight="false" outlineLevel="0" collapsed="false">
      <c r="A97" s="2" t="s">
        <v>620</v>
      </c>
      <c r="B97" s="2" t="s">
        <v>121</v>
      </c>
      <c r="C97" s="5" t="n">
        <f aca="false">INDEX('08_PEDIDOS'!$D$2:$D$97,MATCH(A97,'08_PEDIDOS'!$A$2:$A$97,0))</f>
        <v>10</v>
      </c>
      <c r="D97" s="16" t="n">
        <f aca="false">SUMIF('10_MATERIALES_ORDEN'!$A$2:$A$637,A97,'10_MATERIALES_ORDEN'!$I$2:$I$637)</f>
        <v>2926.208152174</v>
      </c>
      <c r="E97" s="16" t="n">
        <f aca="false">SUMIF('09_CARGA_ORDEN'!$A$2:$A$1153,A97,'09_CARGA_ORDEN'!$J$2:$J$1153)*p_costo_hora_hombre</f>
        <v>781.592933333333</v>
      </c>
      <c r="F97" s="16" t="n">
        <f aca="false">SUMIF('09_CARGA_ORDEN'!$A$2:$A$1153,A97,'09_CARGA_ORDEN'!$L$2:$L$1153)</f>
        <v>1379.59146666667</v>
      </c>
      <c r="G97" s="16" t="n">
        <f aca="false">SUM(D97:F97)</f>
        <v>5087.392552174</v>
      </c>
      <c r="H97" s="16" t="n">
        <f aca="false">INDEX('08_PEDIDOS'!$K$2:$K$97,MATCH(A97,'08_PEDIDOS'!$A$2:$A$97,0))</f>
        <v>23224.698</v>
      </c>
      <c r="I97" s="12" t="n">
        <f aca="false">IF(H97=0,"",(H97-G97)/H97)</f>
        <v>0.780949033129559</v>
      </c>
      <c r="J97" s="5" t="n">
        <f aca="false">IF(COUNTIFS('10_MATERIALES_ORDEN'!$A$2:$A$637,A97,'10_MATERIALES_ORDEN'!$L$2:$L$637,0)=0,1,0)</f>
        <v>1</v>
      </c>
      <c r="K97" s="2" t="s">
        <v>629</v>
      </c>
    </row>
  </sheetData>
  <autoFilter ref="A1:K9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860B"/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8"/>
    <col collapsed="false" customWidth="true" hidden="false" outlineLevel="0" max="4" min="3" style="0" width="10"/>
    <col collapsed="false" customWidth="true" hidden="false" outlineLevel="0" max="5" min="5" style="0" width="70"/>
  </cols>
  <sheetData>
    <row r="1" customFormat="false" ht="31.5" hidden="false" customHeight="true" outlineLevel="0" collapsed="false">
      <c r="A1" s="1" t="s">
        <v>885</v>
      </c>
      <c r="B1" s="1" t="s">
        <v>886</v>
      </c>
      <c r="C1" s="1" t="s">
        <v>887</v>
      </c>
      <c r="D1" s="1" t="s">
        <v>888</v>
      </c>
      <c r="E1" s="1" t="s">
        <v>889</v>
      </c>
    </row>
    <row r="2" customFormat="false" ht="15" hidden="false" customHeight="false" outlineLevel="0" collapsed="false">
      <c r="A2" s="2" t="s">
        <v>890</v>
      </c>
      <c r="B2" s="23" t="n">
        <f aca="false">COUNTA('08_PEDIDOS'!$A$2:$A$97)</f>
        <v>96</v>
      </c>
      <c r="C2" s="13" t="n">
        <v>96</v>
      </c>
      <c r="D2" s="24" t="str">
        <f aca="false">IF(ROUND(N(B2)-N(C2),6)=0,"OK","REVISAR")</f>
        <v>OK</v>
      </c>
      <c r="E2" s="2" t="s">
        <v>891</v>
      </c>
    </row>
    <row r="3" customFormat="false" ht="15" hidden="false" customHeight="false" outlineLevel="0" collapsed="false">
      <c r="A3" s="2" t="s">
        <v>892</v>
      </c>
      <c r="B3" s="23" t="n">
        <f aca="false">SUM('08_PEDIDOS'!$D$2:$D$97)-SUM('12_PRECIOS'!$B$2:$B$5)</f>
        <v>0</v>
      </c>
      <c r="C3" s="13" t="n">
        <v>0</v>
      </c>
      <c r="D3" s="24" t="str">
        <f aca="false">IF(ROUND(N(B3)-N(C3),6)=0,"OK","REVISAR")</f>
        <v>OK</v>
      </c>
      <c r="E3" s="2" t="s">
        <v>893</v>
      </c>
    </row>
    <row r="4" customFormat="false" ht="15" hidden="false" customHeight="false" outlineLevel="0" collapsed="false">
      <c r="A4" s="2" t="s">
        <v>894</v>
      </c>
      <c r="B4" s="23" t="n">
        <f aca="false">COUNTA('09_CARGA_ORDEN'!$A$2:$A$1153)</f>
        <v>1152</v>
      </c>
      <c r="C4" s="13" t="n">
        <v>1152</v>
      </c>
      <c r="D4" s="24" t="str">
        <f aca="false">IF(ROUND(N(B4)-N(C4),6)=0,"OK","REVISAR")</f>
        <v>OK</v>
      </c>
      <c r="E4" s="2" t="s">
        <v>895</v>
      </c>
    </row>
    <row r="5" customFormat="false" ht="15" hidden="false" customHeight="false" outlineLevel="0" collapsed="false">
      <c r="A5" s="2" t="s">
        <v>896</v>
      </c>
      <c r="B5" s="23" t="n">
        <f aca="false">ROUND(SUM('08_PEDIDOS'!$N$2:$N$97)-SUM('09_CARGA_ORDEN'!$J$2:$J$1153),6)</f>
        <v>0</v>
      </c>
      <c r="C5" s="13" t="n">
        <v>0</v>
      </c>
      <c r="D5" s="24" t="str">
        <f aca="false">IF(ROUND(N(B5)-N(C5),6)=0,"OK","REVISAR")</f>
        <v>OK</v>
      </c>
      <c r="E5" s="2" t="s">
        <v>897</v>
      </c>
    </row>
    <row r="6" customFormat="false" ht="15" hidden="false" customHeight="false" outlineLevel="0" collapsed="false">
      <c r="A6" s="2" t="s">
        <v>898</v>
      </c>
      <c r="B6" s="23" t="n">
        <f aca="false">ROUND(SUM('11_CAPACIDAD'!$G$2:$G$205)-SUM('09_CARGA_ORDEN'!$J$2:$J$1153),6)</f>
        <v>0</v>
      </c>
      <c r="C6" s="13" t="n">
        <v>0</v>
      </c>
      <c r="D6" s="24" t="str">
        <f aca="false">IF(ROUND(N(B6)-N(C6),6)=0,"OK","REVISAR")</f>
        <v>OK</v>
      </c>
      <c r="E6" s="2" t="s">
        <v>899</v>
      </c>
    </row>
    <row r="7" customFormat="false" ht="15" hidden="false" customHeight="false" outlineLevel="0" collapsed="false">
      <c r="A7" s="2" t="s">
        <v>900</v>
      </c>
      <c r="B7" s="23" t="n">
        <f aca="false">SUMPRODUCT((YEAR('07_CALENDARIO'!$A$2:$A$397)=p_anio_base)*'07_CALENDARIO'!$D$2:$D$397)</f>
        <v>261</v>
      </c>
      <c r="C7" s="13" t="n">
        <v>261</v>
      </c>
      <c r="D7" s="24" t="str">
        <f aca="false">IF(ROUND(N(B7)-N(C7),6)=0,"OK","REVISAR")</f>
        <v>OK</v>
      </c>
      <c r="E7" s="2" t="s">
        <v>901</v>
      </c>
    </row>
    <row r="8" customFormat="false" ht="15" hidden="false" customHeight="false" outlineLevel="0" collapsed="false">
      <c r="A8" s="2" t="s">
        <v>902</v>
      </c>
      <c r="B8" s="23" t="n">
        <f aca="false">COUNTIF('01_PRODUCTOS'!$K$2:$K$51,0)</f>
        <v>0</v>
      </c>
      <c r="C8" s="13" t="n">
        <v>0</v>
      </c>
      <c r="D8" s="24" t="str">
        <f aca="false">IF(ROUND(N(B8)-N(C8),6)=0,"OK","REVISAR")</f>
        <v>OK</v>
      </c>
      <c r="E8" s="2" t="s">
        <v>903</v>
      </c>
    </row>
    <row r="9" customFormat="false" ht="15" hidden="false" customHeight="false" outlineLevel="0" collapsed="false">
      <c r="A9" s="2" t="s">
        <v>904</v>
      </c>
      <c r="B9" s="23" t="n">
        <f aca="false">COUNTIF('05_RUTAS'!$L$2:$L$407,0)</f>
        <v>0</v>
      </c>
      <c r="C9" s="13" t="n">
        <v>0</v>
      </c>
      <c r="D9" s="24" t="str">
        <f aca="false">IF(ROUND(N(B9)-N(C9),6)=0,"OK","REVISAR")</f>
        <v>OK</v>
      </c>
      <c r="E9" s="2" t="s">
        <v>905</v>
      </c>
    </row>
    <row r="10" customFormat="false" ht="15" hidden="false" customHeight="false" outlineLevel="0" collapsed="false">
      <c r="A10" s="2" t="s">
        <v>906</v>
      </c>
      <c r="B10" s="23" t="n">
        <f aca="false">COUNTIF('08_PEDIDOS'!$R$2:$R$97,0)</f>
        <v>0</v>
      </c>
      <c r="C10" s="13" t="n">
        <v>0</v>
      </c>
      <c r="D10" s="24" t="str">
        <f aca="false">IF(ROUND(N(B10)-N(C10),6)=0,"OK","REVISAR")</f>
        <v>OK</v>
      </c>
      <c r="E10" s="2" t="s">
        <v>907</v>
      </c>
    </row>
    <row r="11" customFormat="false" ht="15" hidden="false" customHeight="false" outlineLevel="0" collapsed="false">
      <c r="A11" s="2" t="s">
        <v>908</v>
      </c>
      <c r="B11" s="23" t="n">
        <f aca="false">COUNTIFS('04_MAQUINAS'!$N$2:$N$18,1,'04_MAQUINAS'!$K$2:$K$18,0)</f>
        <v>0</v>
      </c>
      <c r="C11" s="13" t="n">
        <v>0</v>
      </c>
      <c r="D11" s="24" t="str">
        <f aca="false">IF(ROUND(N(B11)-N(C11),6)=0,"OK","REVISAR")</f>
        <v>OK</v>
      </c>
      <c r="E11" s="2" t="s">
        <v>909</v>
      </c>
    </row>
    <row r="12" customFormat="false" ht="15" hidden="false" customHeight="false" outlineLevel="0" collapsed="false">
      <c r="A12" s="2" t="s">
        <v>910</v>
      </c>
      <c r="B12" s="23" t="n">
        <f aca="false">SUM('08_PEDIDOS'!$P$2:$P$97)</f>
        <v>3</v>
      </c>
      <c r="C12" s="13" t="s">
        <v>911</v>
      </c>
      <c r="D12" s="24" t="str">
        <f aca="false">"INFO"</f>
        <v>INFO</v>
      </c>
      <c r="E12" s="2" t="s">
        <v>912</v>
      </c>
    </row>
    <row r="13" customFormat="false" ht="15" hidden="false" customHeight="false" outlineLevel="0" collapsed="false">
      <c r="A13" s="2" t="s">
        <v>913</v>
      </c>
      <c r="B13" s="23" t="n">
        <f aca="false">SUM('08_PEDIDOS'!$Q$2:$Q$97)</f>
        <v>43</v>
      </c>
      <c r="C13" s="13" t="s">
        <v>911</v>
      </c>
      <c r="D13" s="24" t="str">
        <f aca="false">"INFO"</f>
        <v>INFO</v>
      </c>
      <c r="E13" s="2" t="s">
        <v>914</v>
      </c>
    </row>
    <row r="14" customFormat="false" ht="15" hidden="false" customHeight="false" outlineLevel="0" collapsed="false">
      <c r="A14" s="2" t="s">
        <v>915</v>
      </c>
      <c r="B14" s="23" t="n">
        <f aca="false">COUNTIF('20_COSTOS'!$J$2:$J$97,0)</f>
        <v>0</v>
      </c>
      <c r="C14" s="13" t="s">
        <v>911</v>
      </c>
      <c r="D14" s="24" t="str">
        <f aca="false">"INFO"</f>
        <v>INFO</v>
      </c>
      <c r="E14" s="2" t="s">
        <v>916</v>
      </c>
    </row>
    <row r="15" customFormat="false" ht="15" hidden="false" customHeight="false" outlineLevel="0" collapsed="false">
      <c r="A15" s="2" t="s">
        <v>917</v>
      </c>
      <c r="B15" s="25" t="n">
        <f aca="false">AVERAGE('20_COSTOS'!$I$2:$I$97)</f>
        <v>0.650284955161964</v>
      </c>
      <c r="C15" s="13" t="s">
        <v>911</v>
      </c>
      <c r="D15" s="24" t="str">
        <f aca="false">"INFO"</f>
        <v>INFO</v>
      </c>
      <c r="E15" s="2" t="s">
        <v>918</v>
      </c>
    </row>
    <row r="16" customFormat="false" ht="15" hidden="false" customHeight="false" outlineLevel="0" collapsed="false">
      <c r="A16" s="2" t="s">
        <v>919</v>
      </c>
      <c r="B16" s="13" t="s">
        <v>920</v>
      </c>
      <c r="C16" s="13" t="s">
        <v>921</v>
      </c>
      <c r="D16" s="24" t="str">
        <f aca="false">"VER E5"</f>
        <v>VER E5</v>
      </c>
      <c r="E16" s="2" t="s">
        <v>922</v>
      </c>
    </row>
  </sheetData>
  <autoFilter ref="A1:E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95959"/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4"/>
    <col collapsed="false" customWidth="true" hidden="false" outlineLevel="0" max="7" min="3" style="0" width="14"/>
    <col collapsed="false" customWidth="true" hidden="false" outlineLevel="0" max="9" min="8" style="0" width="12"/>
  </cols>
  <sheetData>
    <row r="1" customFormat="false" ht="31.5" hidden="false" customHeight="true" outlineLevel="0" collapsed="false">
      <c r="A1" s="1" t="s">
        <v>715</v>
      </c>
      <c r="B1" s="1" t="s">
        <v>923</v>
      </c>
      <c r="C1" s="1" t="s">
        <v>375</v>
      </c>
      <c r="D1" s="1" t="s">
        <v>383</v>
      </c>
      <c r="E1" s="1" t="s">
        <v>387</v>
      </c>
      <c r="F1" s="1" t="s">
        <v>391</v>
      </c>
      <c r="G1" s="1" t="s">
        <v>421</v>
      </c>
      <c r="H1" s="1" t="s">
        <v>924</v>
      </c>
      <c r="I1" s="1" t="s">
        <v>64</v>
      </c>
    </row>
    <row r="2" customFormat="false" ht="15" hidden="false" customHeight="false" outlineLevel="0" collapsed="false">
      <c r="A2" s="2" t="s">
        <v>727</v>
      </c>
      <c r="B2" s="2" t="s">
        <v>663</v>
      </c>
      <c r="C2" s="17" t="n">
        <f aca="false">SUMPRODUCT(ISNUMBER(SEARCH("+"&amp;'14_FALLAS_ESC'!$A$2:$A$22&amp;"+","+"&amp;$B2&amp;"+"))*('14_FALLAS_ESC'!$E$2:$E$22=C$1)*'14_FALLAS_ESC'!$J$2:$J$22)</f>
        <v>0</v>
      </c>
      <c r="D2" s="17" t="n">
        <f aca="false">SUMPRODUCT(ISNUMBER(SEARCH("+"&amp;'14_FALLAS_ESC'!$A$2:$A$22&amp;"+","+"&amp;$B2&amp;"+"))*('14_FALLAS_ESC'!$E$2:$E$22=D$1)*'14_FALLAS_ESC'!$J$2:$J$22)</f>
        <v>0</v>
      </c>
      <c r="E2" s="17" t="n">
        <f aca="false">SUMPRODUCT(ISNUMBER(SEARCH("+"&amp;'14_FALLAS_ESC'!$A$2:$A$22&amp;"+","+"&amp;$B2&amp;"+"))*('14_FALLAS_ESC'!$E$2:$E$22=E$1)*'14_FALLAS_ESC'!$J$2:$J$22)</f>
        <v>2</v>
      </c>
      <c r="F2" s="17" t="n">
        <f aca="false">SUMPRODUCT(ISNUMBER(SEARCH("+"&amp;'14_FALLAS_ESC'!$A$2:$A$22&amp;"+","+"&amp;$B2&amp;"+"))*('14_FALLAS_ESC'!$E$2:$E$22=F$1)*'14_FALLAS_ESC'!$J$2:$J$22)</f>
        <v>0</v>
      </c>
      <c r="G2" s="17" t="n">
        <f aca="false">SUMPRODUCT(ISNUMBER(SEARCH("+"&amp;'14_FALLAS_ESC'!$A$2:$A$22&amp;"+","+"&amp;$B2&amp;"+"))*('14_FALLAS_ESC'!$E$2:$E$22=G$1)*'14_FALLAS_ESC'!$J$2:$J$22)</f>
        <v>0</v>
      </c>
      <c r="H2" s="17" t="n">
        <f aca="false">SUM(C2:G2)</f>
        <v>2</v>
      </c>
      <c r="I2" s="2" t="s">
        <v>629</v>
      </c>
    </row>
    <row r="3" customFormat="false" ht="15" hidden="false" customHeight="false" outlineLevel="0" collapsed="false">
      <c r="A3" s="2" t="s">
        <v>729</v>
      </c>
      <c r="B3" s="2" t="s">
        <v>663</v>
      </c>
      <c r="C3" s="17" t="n">
        <f aca="false">SUMPRODUCT(ISNUMBER(SEARCH("+"&amp;'14_FALLAS_ESC'!$A$2:$A$22&amp;"+","+"&amp;$B3&amp;"+"))*('14_FALLAS_ESC'!$E$2:$E$22=C$1)*'14_FALLAS_ESC'!$J$2:$J$22)</f>
        <v>0</v>
      </c>
      <c r="D3" s="17" t="n">
        <f aca="false">SUMPRODUCT(ISNUMBER(SEARCH("+"&amp;'14_FALLAS_ESC'!$A$2:$A$22&amp;"+","+"&amp;$B3&amp;"+"))*('14_FALLAS_ESC'!$E$2:$E$22=D$1)*'14_FALLAS_ESC'!$J$2:$J$22)</f>
        <v>0</v>
      </c>
      <c r="E3" s="17" t="n">
        <f aca="false">SUMPRODUCT(ISNUMBER(SEARCH("+"&amp;'14_FALLAS_ESC'!$A$2:$A$22&amp;"+","+"&amp;$B3&amp;"+"))*('14_FALLAS_ESC'!$E$2:$E$22=E$1)*'14_FALLAS_ESC'!$J$2:$J$22)</f>
        <v>2</v>
      </c>
      <c r="F3" s="17" t="n">
        <f aca="false">SUMPRODUCT(ISNUMBER(SEARCH("+"&amp;'14_FALLAS_ESC'!$A$2:$A$22&amp;"+","+"&amp;$B3&amp;"+"))*('14_FALLAS_ESC'!$E$2:$E$22=F$1)*'14_FALLAS_ESC'!$J$2:$J$22)</f>
        <v>0</v>
      </c>
      <c r="G3" s="17" t="n">
        <f aca="false">SUMPRODUCT(ISNUMBER(SEARCH("+"&amp;'14_FALLAS_ESC'!$A$2:$A$22&amp;"+","+"&amp;$B3&amp;"+"))*('14_FALLAS_ESC'!$E$2:$E$22=G$1)*'14_FALLAS_ESC'!$J$2:$J$22)</f>
        <v>0</v>
      </c>
      <c r="H3" s="17" t="n">
        <f aca="false">SUM(C3:G3)</f>
        <v>2</v>
      </c>
      <c r="I3" s="2" t="s">
        <v>629</v>
      </c>
    </row>
    <row r="4" customFormat="false" ht="15" hidden="false" customHeight="false" outlineLevel="0" collapsed="false">
      <c r="A4" s="2" t="s">
        <v>730</v>
      </c>
      <c r="B4" s="2" t="s">
        <v>665</v>
      </c>
      <c r="C4" s="17" t="n">
        <f aca="false">SUMPRODUCT(ISNUMBER(SEARCH("+"&amp;'14_FALLAS_ESC'!$A$2:$A$22&amp;"+","+"&amp;$B4&amp;"+"))*('14_FALLAS_ESC'!$E$2:$E$22=C$1)*'14_FALLAS_ESC'!$J$2:$J$22)</f>
        <v>0</v>
      </c>
      <c r="D4" s="17" t="n">
        <f aca="false">SUMPRODUCT(ISNUMBER(SEARCH("+"&amp;'14_FALLAS_ESC'!$A$2:$A$22&amp;"+","+"&amp;$B4&amp;"+"))*('14_FALLAS_ESC'!$E$2:$E$22=D$1)*'14_FALLAS_ESC'!$J$2:$J$22)</f>
        <v>0</v>
      </c>
      <c r="E4" s="17" t="n">
        <f aca="false">SUMPRODUCT(ISNUMBER(SEARCH("+"&amp;'14_FALLAS_ESC'!$A$2:$A$22&amp;"+","+"&amp;$B4&amp;"+"))*('14_FALLAS_ESC'!$E$2:$E$22=E$1)*'14_FALLAS_ESC'!$J$2:$J$22)</f>
        <v>2</v>
      </c>
      <c r="F4" s="17" t="n">
        <f aca="false">SUMPRODUCT(ISNUMBER(SEARCH("+"&amp;'14_FALLAS_ESC'!$A$2:$A$22&amp;"+","+"&amp;$B4&amp;"+"))*('14_FALLAS_ESC'!$E$2:$E$22=F$1)*'14_FALLAS_ESC'!$J$2:$J$22)</f>
        <v>0</v>
      </c>
      <c r="G4" s="17" t="n">
        <f aca="false">SUMPRODUCT(ISNUMBER(SEARCH("+"&amp;'14_FALLAS_ESC'!$A$2:$A$22&amp;"+","+"&amp;$B4&amp;"+"))*('14_FALLAS_ESC'!$E$2:$E$22=G$1)*'14_FALLAS_ESC'!$J$2:$J$22)</f>
        <v>0</v>
      </c>
      <c r="H4" s="17" t="n">
        <f aca="false">SUM(C4:G4)</f>
        <v>2</v>
      </c>
      <c r="I4" s="2" t="s">
        <v>629</v>
      </c>
    </row>
    <row r="5" customFormat="false" ht="15" hidden="false" customHeight="false" outlineLevel="0" collapsed="false">
      <c r="A5" s="2" t="s">
        <v>731</v>
      </c>
      <c r="B5" s="2" t="s">
        <v>665</v>
      </c>
      <c r="C5" s="17" t="n">
        <f aca="false">SUMPRODUCT(ISNUMBER(SEARCH("+"&amp;'14_FALLAS_ESC'!$A$2:$A$22&amp;"+","+"&amp;$B5&amp;"+"))*('14_FALLAS_ESC'!$E$2:$E$22=C$1)*'14_FALLAS_ESC'!$J$2:$J$22)</f>
        <v>0</v>
      </c>
      <c r="D5" s="17" t="n">
        <f aca="false">SUMPRODUCT(ISNUMBER(SEARCH("+"&amp;'14_FALLAS_ESC'!$A$2:$A$22&amp;"+","+"&amp;$B5&amp;"+"))*('14_FALLAS_ESC'!$E$2:$E$22=D$1)*'14_FALLAS_ESC'!$J$2:$J$22)</f>
        <v>0</v>
      </c>
      <c r="E5" s="17" t="n">
        <f aca="false">SUMPRODUCT(ISNUMBER(SEARCH("+"&amp;'14_FALLAS_ESC'!$A$2:$A$22&amp;"+","+"&amp;$B5&amp;"+"))*('14_FALLAS_ESC'!$E$2:$E$22=E$1)*'14_FALLAS_ESC'!$J$2:$J$22)</f>
        <v>2</v>
      </c>
      <c r="F5" s="17" t="n">
        <f aca="false">SUMPRODUCT(ISNUMBER(SEARCH("+"&amp;'14_FALLAS_ESC'!$A$2:$A$22&amp;"+","+"&amp;$B5&amp;"+"))*('14_FALLAS_ESC'!$E$2:$E$22=F$1)*'14_FALLAS_ESC'!$J$2:$J$22)</f>
        <v>0</v>
      </c>
      <c r="G5" s="17" t="n">
        <f aca="false">SUMPRODUCT(ISNUMBER(SEARCH("+"&amp;'14_FALLAS_ESC'!$A$2:$A$22&amp;"+","+"&amp;$B5&amp;"+"))*('14_FALLAS_ESC'!$E$2:$E$22=G$1)*'14_FALLAS_ESC'!$J$2:$J$22)</f>
        <v>0</v>
      </c>
      <c r="H5" s="17" t="n">
        <f aca="false">SUM(C5:G5)</f>
        <v>2</v>
      </c>
      <c r="I5" s="2" t="s">
        <v>629</v>
      </c>
    </row>
    <row r="6" customFormat="false" ht="15" hidden="false" customHeight="false" outlineLevel="0" collapsed="false">
      <c r="A6" s="2" t="s">
        <v>732</v>
      </c>
      <c r="B6" s="2" t="s">
        <v>667</v>
      </c>
      <c r="C6" s="17" t="n">
        <f aca="false">SUMPRODUCT(ISNUMBER(SEARCH("+"&amp;'14_FALLAS_ESC'!$A$2:$A$22&amp;"+","+"&amp;$B6&amp;"+"))*('14_FALLAS_ESC'!$E$2:$E$22=C$1)*'14_FALLAS_ESC'!$J$2:$J$22)</f>
        <v>0</v>
      </c>
      <c r="D6" s="17" t="n">
        <f aca="false">SUMPRODUCT(ISNUMBER(SEARCH("+"&amp;'14_FALLAS_ESC'!$A$2:$A$22&amp;"+","+"&amp;$B6&amp;"+"))*('14_FALLAS_ESC'!$E$2:$E$22=D$1)*'14_FALLAS_ESC'!$J$2:$J$22)</f>
        <v>0</v>
      </c>
      <c r="E6" s="17" t="n">
        <f aca="false">SUMPRODUCT(ISNUMBER(SEARCH("+"&amp;'14_FALLAS_ESC'!$A$2:$A$22&amp;"+","+"&amp;$B6&amp;"+"))*('14_FALLAS_ESC'!$E$2:$E$22=E$1)*'14_FALLAS_ESC'!$J$2:$J$22)</f>
        <v>3</v>
      </c>
      <c r="F6" s="17" t="n">
        <f aca="false">SUMPRODUCT(ISNUMBER(SEARCH("+"&amp;'14_FALLAS_ESC'!$A$2:$A$22&amp;"+","+"&amp;$B6&amp;"+"))*('14_FALLAS_ESC'!$E$2:$E$22=F$1)*'14_FALLAS_ESC'!$J$2:$J$22)</f>
        <v>0</v>
      </c>
      <c r="G6" s="17" t="n">
        <f aca="false">SUMPRODUCT(ISNUMBER(SEARCH("+"&amp;'14_FALLAS_ESC'!$A$2:$A$22&amp;"+","+"&amp;$B6&amp;"+"))*('14_FALLAS_ESC'!$E$2:$E$22=G$1)*'14_FALLAS_ESC'!$J$2:$J$22)</f>
        <v>0</v>
      </c>
      <c r="H6" s="17" t="n">
        <f aca="false">SUM(C6:G6)</f>
        <v>3</v>
      </c>
      <c r="I6" s="2" t="s">
        <v>629</v>
      </c>
    </row>
    <row r="7" customFormat="false" ht="15" hidden="false" customHeight="false" outlineLevel="0" collapsed="false">
      <c r="A7" s="2" t="s">
        <v>733</v>
      </c>
      <c r="B7" s="2" t="s">
        <v>667</v>
      </c>
      <c r="C7" s="17" t="n">
        <f aca="false">SUMPRODUCT(ISNUMBER(SEARCH("+"&amp;'14_FALLAS_ESC'!$A$2:$A$22&amp;"+","+"&amp;$B7&amp;"+"))*('14_FALLAS_ESC'!$E$2:$E$22=C$1)*'14_FALLAS_ESC'!$J$2:$J$22)</f>
        <v>0</v>
      </c>
      <c r="D7" s="17" t="n">
        <f aca="false">SUMPRODUCT(ISNUMBER(SEARCH("+"&amp;'14_FALLAS_ESC'!$A$2:$A$22&amp;"+","+"&amp;$B7&amp;"+"))*('14_FALLAS_ESC'!$E$2:$E$22=D$1)*'14_FALLAS_ESC'!$J$2:$J$22)</f>
        <v>0</v>
      </c>
      <c r="E7" s="17" t="n">
        <f aca="false">SUMPRODUCT(ISNUMBER(SEARCH("+"&amp;'14_FALLAS_ESC'!$A$2:$A$22&amp;"+","+"&amp;$B7&amp;"+"))*('14_FALLAS_ESC'!$E$2:$E$22=E$1)*'14_FALLAS_ESC'!$J$2:$J$22)</f>
        <v>3</v>
      </c>
      <c r="F7" s="17" t="n">
        <f aca="false">SUMPRODUCT(ISNUMBER(SEARCH("+"&amp;'14_FALLAS_ESC'!$A$2:$A$22&amp;"+","+"&amp;$B7&amp;"+"))*('14_FALLAS_ESC'!$E$2:$E$22=F$1)*'14_FALLAS_ESC'!$J$2:$J$22)</f>
        <v>0</v>
      </c>
      <c r="G7" s="17" t="n">
        <f aca="false">SUMPRODUCT(ISNUMBER(SEARCH("+"&amp;'14_FALLAS_ESC'!$A$2:$A$22&amp;"+","+"&amp;$B7&amp;"+"))*('14_FALLAS_ESC'!$E$2:$E$22=G$1)*'14_FALLAS_ESC'!$J$2:$J$22)</f>
        <v>0</v>
      </c>
      <c r="H7" s="17" t="n">
        <f aca="false">SUM(C7:G7)</f>
        <v>3</v>
      </c>
      <c r="I7" s="2" t="s">
        <v>629</v>
      </c>
    </row>
    <row r="8" customFormat="false" ht="15" hidden="false" customHeight="false" outlineLevel="0" collapsed="false">
      <c r="A8" s="2" t="s">
        <v>734</v>
      </c>
      <c r="B8" s="2" t="s">
        <v>669</v>
      </c>
      <c r="C8" s="17" t="n">
        <f aca="false">SUMPRODUCT(ISNUMBER(SEARCH("+"&amp;'14_FALLAS_ESC'!$A$2:$A$22&amp;"+","+"&amp;$B8&amp;"+"))*('14_FALLAS_ESC'!$E$2:$E$22=C$1)*'14_FALLAS_ESC'!$J$2:$J$22)</f>
        <v>0</v>
      </c>
      <c r="D8" s="17" t="n">
        <f aca="false">SUMPRODUCT(ISNUMBER(SEARCH("+"&amp;'14_FALLAS_ESC'!$A$2:$A$22&amp;"+","+"&amp;$B8&amp;"+"))*('14_FALLAS_ESC'!$E$2:$E$22=D$1)*'14_FALLAS_ESC'!$J$2:$J$22)</f>
        <v>0</v>
      </c>
      <c r="E8" s="17" t="n">
        <f aca="false">SUMPRODUCT(ISNUMBER(SEARCH("+"&amp;'14_FALLAS_ESC'!$A$2:$A$22&amp;"+","+"&amp;$B8&amp;"+"))*('14_FALLAS_ESC'!$E$2:$E$22=E$1)*'14_FALLAS_ESC'!$J$2:$J$22)</f>
        <v>5</v>
      </c>
      <c r="F8" s="17" t="n">
        <f aca="false">SUMPRODUCT(ISNUMBER(SEARCH("+"&amp;'14_FALLAS_ESC'!$A$2:$A$22&amp;"+","+"&amp;$B8&amp;"+"))*('14_FALLAS_ESC'!$E$2:$E$22=F$1)*'14_FALLAS_ESC'!$J$2:$J$22)</f>
        <v>0</v>
      </c>
      <c r="G8" s="17" t="n">
        <f aca="false">SUMPRODUCT(ISNUMBER(SEARCH("+"&amp;'14_FALLAS_ESC'!$A$2:$A$22&amp;"+","+"&amp;$B8&amp;"+"))*('14_FALLAS_ESC'!$E$2:$E$22=G$1)*'14_FALLAS_ESC'!$J$2:$J$22)</f>
        <v>0</v>
      </c>
      <c r="H8" s="17" t="n">
        <f aca="false">SUM(C8:G8)</f>
        <v>5</v>
      </c>
      <c r="I8" s="2" t="s">
        <v>629</v>
      </c>
    </row>
    <row r="9" customFormat="false" ht="15" hidden="false" customHeight="false" outlineLevel="0" collapsed="false">
      <c r="A9" s="2" t="s">
        <v>735</v>
      </c>
      <c r="B9" s="2" t="s">
        <v>669</v>
      </c>
      <c r="C9" s="17" t="n">
        <f aca="false">SUMPRODUCT(ISNUMBER(SEARCH("+"&amp;'14_FALLAS_ESC'!$A$2:$A$22&amp;"+","+"&amp;$B9&amp;"+"))*('14_FALLAS_ESC'!$E$2:$E$22=C$1)*'14_FALLAS_ESC'!$J$2:$J$22)</f>
        <v>0</v>
      </c>
      <c r="D9" s="17" t="n">
        <f aca="false">SUMPRODUCT(ISNUMBER(SEARCH("+"&amp;'14_FALLAS_ESC'!$A$2:$A$22&amp;"+","+"&amp;$B9&amp;"+"))*('14_FALLAS_ESC'!$E$2:$E$22=D$1)*'14_FALLAS_ESC'!$J$2:$J$22)</f>
        <v>0</v>
      </c>
      <c r="E9" s="17" t="n">
        <f aca="false">SUMPRODUCT(ISNUMBER(SEARCH("+"&amp;'14_FALLAS_ESC'!$A$2:$A$22&amp;"+","+"&amp;$B9&amp;"+"))*('14_FALLAS_ESC'!$E$2:$E$22=E$1)*'14_FALLAS_ESC'!$J$2:$J$22)</f>
        <v>5</v>
      </c>
      <c r="F9" s="17" t="n">
        <f aca="false">SUMPRODUCT(ISNUMBER(SEARCH("+"&amp;'14_FALLAS_ESC'!$A$2:$A$22&amp;"+","+"&amp;$B9&amp;"+"))*('14_FALLAS_ESC'!$E$2:$E$22=F$1)*'14_FALLAS_ESC'!$J$2:$J$22)</f>
        <v>0</v>
      </c>
      <c r="G9" s="17" t="n">
        <f aca="false">SUMPRODUCT(ISNUMBER(SEARCH("+"&amp;'14_FALLAS_ESC'!$A$2:$A$22&amp;"+","+"&amp;$B9&amp;"+"))*('14_FALLAS_ESC'!$E$2:$E$22=G$1)*'14_FALLAS_ESC'!$J$2:$J$22)</f>
        <v>0</v>
      </c>
      <c r="H9" s="17" t="n">
        <f aca="false">SUM(C9:G9)</f>
        <v>5</v>
      </c>
      <c r="I9" s="2" t="s">
        <v>629</v>
      </c>
    </row>
    <row r="10" customFormat="false" ht="15" hidden="false" customHeight="false" outlineLevel="0" collapsed="false">
      <c r="A10" s="2" t="s">
        <v>736</v>
      </c>
      <c r="B10" s="2" t="s">
        <v>671</v>
      </c>
      <c r="C10" s="17" t="n">
        <f aca="false">SUMPRODUCT(ISNUMBER(SEARCH("+"&amp;'14_FALLAS_ESC'!$A$2:$A$22&amp;"+","+"&amp;$B10&amp;"+"))*('14_FALLAS_ESC'!$E$2:$E$22=C$1)*'14_FALLAS_ESC'!$J$2:$J$22)</f>
        <v>0</v>
      </c>
      <c r="D10" s="17" t="n">
        <f aca="false">SUMPRODUCT(ISNUMBER(SEARCH("+"&amp;'14_FALLAS_ESC'!$A$2:$A$22&amp;"+","+"&amp;$B10&amp;"+"))*('14_FALLAS_ESC'!$E$2:$E$22=D$1)*'14_FALLAS_ESC'!$J$2:$J$22)</f>
        <v>0</v>
      </c>
      <c r="E10" s="17" t="n">
        <f aca="false">SUMPRODUCT(ISNUMBER(SEARCH("+"&amp;'14_FALLAS_ESC'!$A$2:$A$22&amp;"+","+"&amp;$B10&amp;"+"))*('14_FALLAS_ESC'!$E$2:$E$22=E$1)*'14_FALLAS_ESC'!$J$2:$J$22)</f>
        <v>2.5</v>
      </c>
      <c r="F10" s="17" t="n">
        <f aca="false">SUMPRODUCT(ISNUMBER(SEARCH("+"&amp;'14_FALLAS_ESC'!$A$2:$A$22&amp;"+","+"&amp;$B10&amp;"+"))*('14_FALLAS_ESC'!$E$2:$E$22=F$1)*'14_FALLAS_ESC'!$J$2:$J$22)</f>
        <v>0</v>
      </c>
      <c r="G10" s="17" t="n">
        <f aca="false">SUMPRODUCT(ISNUMBER(SEARCH("+"&amp;'14_FALLAS_ESC'!$A$2:$A$22&amp;"+","+"&amp;$B10&amp;"+"))*('14_FALLAS_ESC'!$E$2:$E$22=G$1)*'14_FALLAS_ESC'!$J$2:$J$22)</f>
        <v>0</v>
      </c>
      <c r="H10" s="17" t="n">
        <f aca="false">SUM(C10:G10)</f>
        <v>2.5</v>
      </c>
      <c r="I10" s="2" t="s">
        <v>629</v>
      </c>
    </row>
    <row r="11" customFormat="false" ht="15" hidden="false" customHeight="false" outlineLevel="0" collapsed="false">
      <c r="A11" s="2" t="s">
        <v>737</v>
      </c>
      <c r="B11" s="2" t="s">
        <v>671</v>
      </c>
      <c r="C11" s="17" t="n">
        <f aca="false">SUMPRODUCT(ISNUMBER(SEARCH("+"&amp;'14_FALLAS_ESC'!$A$2:$A$22&amp;"+","+"&amp;$B11&amp;"+"))*('14_FALLAS_ESC'!$E$2:$E$22=C$1)*'14_FALLAS_ESC'!$J$2:$J$22)</f>
        <v>0</v>
      </c>
      <c r="D11" s="17" t="n">
        <f aca="false">SUMPRODUCT(ISNUMBER(SEARCH("+"&amp;'14_FALLAS_ESC'!$A$2:$A$22&amp;"+","+"&amp;$B11&amp;"+"))*('14_FALLAS_ESC'!$E$2:$E$22=D$1)*'14_FALLAS_ESC'!$J$2:$J$22)</f>
        <v>0</v>
      </c>
      <c r="E11" s="17" t="n">
        <f aca="false">SUMPRODUCT(ISNUMBER(SEARCH("+"&amp;'14_FALLAS_ESC'!$A$2:$A$22&amp;"+","+"&amp;$B11&amp;"+"))*('14_FALLAS_ESC'!$E$2:$E$22=E$1)*'14_FALLAS_ESC'!$J$2:$J$22)</f>
        <v>2.5</v>
      </c>
      <c r="F11" s="17" t="n">
        <f aca="false">SUMPRODUCT(ISNUMBER(SEARCH("+"&amp;'14_FALLAS_ESC'!$A$2:$A$22&amp;"+","+"&amp;$B11&amp;"+"))*('14_FALLAS_ESC'!$E$2:$E$22=F$1)*'14_FALLAS_ESC'!$J$2:$J$22)</f>
        <v>0</v>
      </c>
      <c r="G11" s="17" t="n">
        <f aca="false">SUMPRODUCT(ISNUMBER(SEARCH("+"&amp;'14_FALLAS_ESC'!$A$2:$A$22&amp;"+","+"&amp;$B11&amp;"+"))*('14_FALLAS_ESC'!$E$2:$E$22=G$1)*'14_FALLAS_ESC'!$J$2:$J$22)</f>
        <v>0</v>
      </c>
      <c r="H11" s="17" t="n">
        <f aca="false">SUM(C11:G11)</f>
        <v>2.5</v>
      </c>
      <c r="I11" s="2" t="s">
        <v>629</v>
      </c>
    </row>
    <row r="12" customFormat="false" ht="15" hidden="false" customHeight="false" outlineLevel="0" collapsed="false">
      <c r="A12" s="2" t="s">
        <v>738</v>
      </c>
      <c r="B12" s="2" t="s">
        <v>673</v>
      </c>
      <c r="C12" s="17" t="n">
        <f aca="false">SUMPRODUCT(ISNUMBER(SEARCH("+"&amp;'14_FALLAS_ESC'!$A$2:$A$22&amp;"+","+"&amp;$B12&amp;"+"))*('14_FALLAS_ESC'!$E$2:$E$22=C$1)*'14_FALLAS_ESC'!$J$2:$J$22)</f>
        <v>0</v>
      </c>
      <c r="D12" s="17" t="n">
        <f aca="false">SUMPRODUCT(ISNUMBER(SEARCH("+"&amp;'14_FALLAS_ESC'!$A$2:$A$22&amp;"+","+"&amp;$B12&amp;"+"))*('14_FALLAS_ESC'!$E$2:$E$22=D$1)*'14_FALLAS_ESC'!$J$2:$J$22)</f>
        <v>0</v>
      </c>
      <c r="E12" s="17" t="n">
        <f aca="false">SUMPRODUCT(ISNUMBER(SEARCH("+"&amp;'14_FALLAS_ESC'!$A$2:$A$22&amp;"+","+"&amp;$B12&amp;"+"))*('14_FALLAS_ESC'!$E$2:$E$22=E$1)*'14_FALLAS_ESC'!$J$2:$J$22)</f>
        <v>4</v>
      </c>
      <c r="F12" s="17" t="n">
        <f aca="false">SUMPRODUCT(ISNUMBER(SEARCH("+"&amp;'14_FALLAS_ESC'!$A$2:$A$22&amp;"+","+"&amp;$B12&amp;"+"))*('14_FALLAS_ESC'!$E$2:$E$22=F$1)*'14_FALLAS_ESC'!$J$2:$J$22)</f>
        <v>0</v>
      </c>
      <c r="G12" s="17" t="n">
        <f aca="false">SUMPRODUCT(ISNUMBER(SEARCH("+"&amp;'14_FALLAS_ESC'!$A$2:$A$22&amp;"+","+"&amp;$B12&amp;"+"))*('14_FALLAS_ESC'!$E$2:$E$22=G$1)*'14_FALLAS_ESC'!$J$2:$J$22)</f>
        <v>0</v>
      </c>
      <c r="H12" s="17" t="n">
        <f aca="false">SUM(C12:G12)</f>
        <v>4</v>
      </c>
      <c r="I12" s="2" t="s">
        <v>629</v>
      </c>
    </row>
    <row r="13" customFormat="false" ht="15" hidden="false" customHeight="false" outlineLevel="0" collapsed="false">
      <c r="A13" s="2" t="s">
        <v>739</v>
      </c>
      <c r="B13" s="2" t="s">
        <v>673</v>
      </c>
      <c r="C13" s="17" t="n">
        <f aca="false">SUMPRODUCT(ISNUMBER(SEARCH("+"&amp;'14_FALLAS_ESC'!$A$2:$A$22&amp;"+","+"&amp;$B13&amp;"+"))*('14_FALLAS_ESC'!$E$2:$E$22=C$1)*'14_FALLAS_ESC'!$J$2:$J$22)</f>
        <v>0</v>
      </c>
      <c r="D13" s="17" t="n">
        <f aca="false">SUMPRODUCT(ISNUMBER(SEARCH("+"&amp;'14_FALLAS_ESC'!$A$2:$A$22&amp;"+","+"&amp;$B13&amp;"+"))*('14_FALLAS_ESC'!$E$2:$E$22=D$1)*'14_FALLAS_ESC'!$J$2:$J$22)</f>
        <v>0</v>
      </c>
      <c r="E13" s="17" t="n">
        <f aca="false">SUMPRODUCT(ISNUMBER(SEARCH("+"&amp;'14_FALLAS_ESC'!$A$2:$A$22&amp;"+","+"&amp;$B13&amp;"+"))*('14_FALLAS_ESC'!$E$2:$E$22=E$1)*'14_FALLAS_ESC'!$J$2:$J$22)</f>
        <v>4</v>
      </c>
      <c r="F13" s="17" t="n">
        <f aca="false">SUMPRODUCT(ISNUMBER(SEARCH("+"&amp;'14_FALLAS_ESC'!$A$2:$A$22&amp;"+","+"&amp;$B13&amp;"+"))*('14_FALLAS_ESC'!$E$2:$E$22=F$1)*'14_FALLAS_ESC'!$J$2:$J$22)</f>
        <v>0</v>
      </c>
      <c r="G13" s="17" t="n">
        <f aca="false">SUMPRODUCT(ISNUMBER(SEARCH("+"&amp;'14_FALLAS_ESC'!$A$2:$A$22&amp;"+","+"&amp;$B13&amp;"+"))*('14_FALLAS_ESC'!$E$2:$E$22=G$1)*'14_FALLAS_ESC'!$J$2:$J$22)</f>
        <v>0</v>
      </c>
      <c r="H13" s="17" t="n">
        <f aca="false">SUM(C13:G13)</f>
        <v>4</v>
      </c>
      <c r="I13" s="2" t="s">
        <v>629</v>
      </c>
    </row>
    <row r="14" customFormat="false" ht="15" hidden="false" customHeight="false" outlineLevel="0" collapsed="false">
      <c r="A14" s="2" t="s">
        <v>740</v>
      </c>
      <c r="B14" s="2" t="s">
        <v>675</v>
      </c>
      <c r="C14" s="17" t="n">
        <f aca="false">SUMPRODUCT(ISNUMBER(SEARCH("+"&amp;'14_FALLAS_ESC'!$A$2:$A$22&amp;"+","+"&amp;$B14&amp;"+"))*('14_FALLAS_ESC'!$E$2:$E$22=C$1)*'14_FALLAS_ESC'!$J$2:$J$22)</f>
        <v>0</v>
      </c>
      <c r="D14" s="17" t="n">
        <f aca="false">SUMPRODUCT(ISNUMBER(SEARCH("+"&amp;'14_FALLAS_ESC'!$A$2:$A$22&amp;"+","+"&amp;$B14&amp;"+"))*('14_FALLAS_ESC'!$E$2:$E$22=D$1)*'14_FALLAS_ESC'!$J$2:$J$22)</f>
        <v>0</v>
      </c>
      <c r="E14" s="17" t="n">
        <f aca="false">SUMPRODUCT(ISNUMBER(SEARCH("+"&amp;'14_FALLAS_ESC'!$A$2:$A$22&amp;"+","+"&amp;$B14&amp;"+"))*('14_FALLAS_ESC'!$E$2:$E$22=E$1)*'14_FALLAS_ESC'!$J$2:$J$22)</f>
        <v>2.5</v>
      </c>
      <c r="F14" s="17" t="n">
        <f aca="false">SUMPRODUCT(ISNUMBER(SEARCH("+"&amp;'14_FALLAS_ESC'!$A$2:$A$22&amp;"+","+"&amp;$B14&amp;"+"))*('14_FALLAS_ESC'!$E$2:$E$22=F$1)*'14_FALLAS_ESC'!$J$2:$J$22)</f>
        <v>0</v>
      </c>
      <c r="G14" s="17" t="n">
        <f aca="false">SUMPRODUCT(ISNUMBER(SEARCH("+"&amp;'14_FALLAS_ESC'!$A$2:$A$22&amp;"+","+"&amp;$B14&amp;"+"))*('14_FALLAS_ESC'!$E$2:$E$22=G$1)*'14_FALLAS_ESC'!$J$2:$J$22)</f>
        <v>0</v>
      </c>
      <c r="H14" s="17" t="n">
        <f aca="false">SUM(C14:G14)</f>
        <v>2.5</v>
      </c>
      <c r="I14" s="2" t="s">
        <v>629</v>
      </c>
    </row>
    <row r="15" customFormat="false" ht="15" hidden="false" customHeight="false" outlineLevel="0" collapsed="false">
      <c r="A15" s="2" t="s">
        <v>741</v>
      </c>
      <c r="B15" s="2" t="s">
        <v>675</v>
      </c>
      <c r="C15" s="17" t="n">
        <f aca="false">SUMPRODUCT(ISNUMBER(SEARCH("+"&amp;'14_FALLAS_ESC'!$A$2:$A$22&amp;"+","+"&amp;$B15&amp;"+"))*('14_FALLAS_ESC'!$E$2:$E$22=C$1)*'14_FALLAS_ESC'!$J$2:$J$22)</f>
        <v>0</v>
      </c>
      <c r="D15" s="17" t="n">
        <f aca="false">SUMPRODUCT(ISNUMBER(SEARCH("+"&amp;'14_FALLAS_ESC'!$A$2:$A$22&amp;"+","+"&amp;$B15&amp;"+"))*('14_FALLAS_ESC'!$E$2:$E$22=D$1)*'14_FALLAS_ESC'!$J$2:$J$22)</f>
        <v>0</v>
      </c>
      <c r="E15" s="17" t="n">
        <f aca="false">SUMPRODUCT(ISNUMBER(SEARCH("+"&amp;'14_FALLAS_ESC'!$A$2:$A$22&amp;"+","+"&amp;$B15&amp;"+"))*('14_FALLAS_ESC'!$E$2:$E$22=E$1)*'14_FALLAS_ESC'!$J$2:$J$22)</f>
        <v>2.5</v>
      </c>
      <c r="F15" s="17" t="n">
        <f aca="false">SUMPRODUCT(ISNUMBER(SEARCH("+"&amp;'14_FALLAS_ESC'!$A$2:$A$22&amp;"+","+"&amp;$B15&amp;"+"))*('14_FALLAS_ESC'!$E$2:$E$22=F$1)*'14_FALLAS_ESC'!$J$2:$J$22)</f>
        <v>0</v>
      </c>
      <c r="G15" s="17" t="n">
        <f aca="false">SUMPRODUCT(ISNUMBER(SEARCH("+"&amp;'14_FALLAS_ESC'!$A$2:$A$22&amp;"+","+"&amp;$B15&amp;"+"))*('14_FALLAS_ESC'!$E$2:$E$22=G$1)*'14_FALLAS_ESC'!$J$2:$J$22)</f>
        <v>0</v>
      </c>
      <c r="H15" s="17" t="n">
        <f aca="false">SUM(C15:G15)</f>
        <v>2.5</v>
      </c>
      <c r="I15" s="2" t="s">
        <v>629</v>
      </c>
    </row>
    <row r="16" customFormat="false" ht="15" hidden="false" customHeight="false" outlineLevel="0" collapsed="false">
      <c r="A16" s="2" t="s">
        <v>742</v>
      </c>
      <c r="B16" s="2" t="s">
        <v>676</v>
      </c>
      <c r="C16" s="17" t="n">
        <f aca="false">SUMPRODUCT(ISNUMBER(SEARCH("+"&amp;'14_FALLAS_ESC'!$A$2:$A$22&amp;"+","+"&amp;$B16&amp;"+"))*('14_FALLAS_ESC'!$E$2:$E$22=C$1)*'14_FALLAS_ESC'!$J$2:$J$22)</f>
        <v>0</v>
      </c>
      <c r="D16" s="17" t="n">
        <f aca="false">SUMPRODUCT(ISNUMBER(SEARCH("+"&amp;'14_FALLAS_ESC'!$A$2:$A$22&amp;"+","+"&amp;$B16&amp;"+"))*('14_FALLAS_ESC'!$E$2:$E$22=D$1)*'14_FALLAS_ESC'!$J$2:$J$22)</f>
        <v>0</v>
      </c>
      <c r="E16" s="17" t="n">
        <f aca="false">SUMPRODUCT(ISNUMBER(SEARCH("+"&amp;'14_FALLAS_ESC'!$A$2:$A$22&amp;"+","+"&amp;$B16&amp;"+"))*('14_FALLAS_ESC'!$E$2:$E$22=E$1)*'14_FALLAS_ESC'!$J$2:$J$22)</f>
        <v>3.5</v>
      </c>
      <c r="F16" s="17" t="n">
        <f aca="false">SUMPRODUCT(ISNUMBER(SEARCH("+"&amp;'14_FALLAS_ESC'!$A$2:$A$22&amp;"+","+"&amp;$B16&amp;"+"))*('14_FALLAS_ESC'!$E$2:$E$22=F$1)*'14_FALLAS_ESC'!$J$2:$J$22)</f>
        <v>0</v>
      </c>
      <c r="G16" s="17" t="n">
        <f aca="false">SUMPRODUCT(ISNUMBER(SEARCH("+"&amp;'14_FALLAS_ESC'!$A$2:$A$22&amp;"+","+"&amp;$B16&amp;"+"))*('14_FALLAS_ESC'!$E$2:$E$22=G$1)*'14_FALLAS_ESC'!$J$2:$J$22)</f>
        <v>0</v>
      </c>
      <c r="H16" s="17" t="n">
        <f aca="false">SUM(C16:G16)</f>
        <v>3.5</v>
      </c>
      <c r="I16" s="2" t="s">
        <v>629</v>
      </c>
    </row>
    <row r="17" customFormat="false" ht="15" hidden="false" customHeight="false" outlineLevel="0" collapsed="false">
      <c r="A17" s="2" t="s">
        <v>743</v>
      </c>
      <c r="B17" s="2" t="s">
        <v>676</v>
      </c>
      <c r="C17" s="17" t="n">
        <f aca="false">SUMPRODUCT(ISNUMBER(SEARCH("+"&amp;'14_FALLAS_ESC'!$A$2:$A$22&amp;"+","+"&amp;$B17&amp;"+"))*('14_FALLAS_ESC'!$E$2:$E$22=C$1)*'14_FALLAS_ESC'!$J$2:$J$22)</f>
        <v>0</v>
      </c>
      <c r="D17" s="17" t="n">
        <f aca="false">SUMPRODUCT(ISNUMBER(SEARCH("+"&amp;'14_FALLAS_ESC'!$A$2:$A$22&amp;"+","+"&amp;$B17&amp;"+"))*('14_FALLAS_ESC'!$E$2:$E$22=D$1)*'14_FALLAS_ESC'!$J$2:$J$22)</f>
        <v>0</v>
      </c>
      <c r="E17" s="17" t="n">
        <f aca="false">SUMPRODUCT(ISNUMBER(SEARCH("+"&amp;'14_FALLAS_ESC'!$A$2:$A$22&amp;"+","+"&amp;$B17&amp;"+"))*('14_FALLAS_ESC'!$E$2:$E$22=E$1)*'14_FALLAS_ESC'!$J$2:$J$22)</f>
        <v>3.5</v>
      </c>
      <c r="F17" s="17" t="n">
        <f aca="false">SUMPRODUCT(ISNUMBER(SEARCH("+"&amp;'14_FALLAS_ESC'!$A$2:$A$22&amp;"+","+"&amp;$B17&amp;"+"))*('14_FALLAS_ESC'!$E$2:$E$22=F$1)*'14_FALLAS_ESC'!$J$2:$J$22)</f>
        <v>0</v>
      </c>
      <c r="G17" s="17" t="n">
        <f aca="false">SUMPRODUCT(ISNUMBER(SEARCH("+"&amp;'14_FALLAS_ESC'!$A$2:$A$22&amp;"+","+"&amp;$B17&amp;"+"))*('14_FALLAS_ESC'!$E$2:$E$22=G$1)*'14_FALLAS_ESC'!$J$2:$J$22)</f>
        <v>0</v>
      </c>
      <c r="H17" s="17" t="n">
        <f aca="false">SUM(C17:G17)</f>
        <v>3.5</v>
      </c>
      <c r="I17" s="2" t="s">
        <v>629</v>
      </c>
    </row>
    <row r="18" customFormat="false" ht="15" hidden="false" customHeight="false" outlineLevel="0" collapsed="false">
      <c r="A18" s="2" t="s">
        <v>744</v>
      </c>
      <c r="B18" s="2" t="s">
        <v>677</v>
      </c>
      <c r="C18" s="17" t="n">
        <f aca="false">SUMPRODUCT(ISNUMBER(SEARCH("+"&amp;'14_FALLAS_ESC'!$A$2:$A$22&amp;"+","+"&amp;$B18&amp;"+"))*('14_FALLAS_ESC'!$E$2:$E$22=C$1)*'14_FALLAS_ESC'!$J$2:$J$22)</f>
        <v>0</v>
      </c>
      <c r="D18" s="17" t="n">
        <f aca="false">SUMPRODUCT(ISNUMBER(SEARCH("+"&amp;'14_FALLAS_ESC'!$A$2:$A$22&amp;"+","+"&amp;$B18&amp;"+"))*('14_FALLAS_ESC'!$E$2:$E$22=D$1)*'14_FALLAS_ESC'!$J$2:$J$22)</f>
        <v>0</v>
      </c>
      <c r="E18" s="17" t="n">
        <f aca="false">SUMPRODUCT(ISNUMBER(SEARCH("+"&amp;'14_FALLAS_ESC'!$A$2:$A$22&amp;"+","+"&amp;$B18&amp;"+"))*('14_FALLAS_ESC'!$E$2:$E$22=E$1)*'14_FALLAS_ESC'!$J$2:$J$22)</f>
        <v>2</v>
      </c>
      <c r="F18" s="17" t="n">
        <f aca="false">SUMPRODUCT(ISNUMBER(SEARCH("+"&amp;'14_FALLAS_ESC'!$A$2:$A$22&amp;"+","+"&amp;$B18&amp;"+"))*('14_FALLAS_ESC'!$E$2:$E$22=F$1)*'14_FALLAS_ESC'!$J$2:$J$22)</f>
        <v>0</v>
      </c>
      <c r="G18" s="17" t="n">
        <f aca="false">SUMPRODUCT(ISNUMBER(SEARCH("+"&amp;'14_FALLAS_ESC'!$A$2:$A$22&amp;"+","+"&amp;$B18&amp;"+"))*('14_FALLAS_ESC'!$E$2:$E$22=G$1)*'14_FALLAS_ESC'!$J$2:$J$22)</f>
        <v>0</v>
      </c>
      <c r="H18" s="17" t="n">
        <f aca="false">SUM(C18:G18)</f>
        <v>2</v>
      </c>
      <c r="I18" s="2" t="s">
        <v>629</v>
      </c>
    </row>
    <row r="19" customFormat="false" ht="15" hidden="false" customHeight="false" outlineLevel="0" collapsed="false">
      <c r="A19" s="2" t="s">
        <v>745</v>
      </c>
      <c r="B19" s="2" t="s">
        <v>677</v>
      </c>
      <c r="C19" s="17" t="n">
        <f aca="false">SUMPRODUCT(ISNUMBER(SEARCH("+"&amp;'14_FALLAS_ESC'!$A$2:$A$22&amp;"+","+"&amp;$B19&amp;"+"))*('14_FALLAS_ESC'!$E$2:$E$22=C$1)*'14_FALLAS_ESC'!$J$2:$J$22)</f>
        <v>0</v>
      </c>
      <c r="D19" s="17" t="n">
        <f aca="false">SUMPRODUCT(ISNUMBER(SEARCH("+"&amp;'14_FALLAS_ESC'!$A$2:$A$22&amp;"+","+"&amp;$B19&amp;"+"))*('14_FALLAS_ESC'!$E$2:$E$22=D$1)*'14_FALLAS_ESC'!$J$2:$J$22)</f>
        <v>0</v>
      </c>
      <c r="E19" s="17" t="n">
        <f aca="false">SUMPRODUCT(ISNUMBER(SEARCH("+"&amp;'14_FALLAS_ESC'!$A$2:$A$22&amp;"+","+"&amp;$B19&amp;"+"))*('14_FALLAS_ESC'!$E$2:$E$22=E$1)*'14_FALLAS_ESC'!$J$2:$J$22)</f>
        <v>2</v>
      </c>
      <c r="F19" s="17" t="n">
        <f aca="false">SUMPRODUCT(ISNUMBER(SEARCH("+"&amp;'14_FALLAS_ESC'!$A$2:$A$22&amp;"+","+"&amp;$B19&amp;"+"))*('14_FALLAS_ESC'!$E$2:$E$22=F$1)*'14_FALLAS_ESC'!$J$2:$J$22)</f>
        <v>0</v>
      </c>
      <c r="G19" s="17" t="n">
        <f aca="false">SUMPRODUCT(ISNUMBER(SEARCH("+"&amp;'14_FALLAS_ESC'!$A$2:$A$22&amp;"+","+"&amp;$B19&amp;"+"))*('14_FALLAS_ESC'!$E$2:$E$22=G$1)*'14_FALLAS_ESC'!$J$2:$J$22)</f>
        <v>0</v>
      </c>
      <c r="H19" s="17" t="n">
        <f aca="false">SUM(C19:G19)</f>
        <v>2</v>
      </c>
      <c r="I19" s="2" t="s">
        <v>629</v>
      </c>
    </row>
    <row r="20" customFormat="false" ht="15" hidden="false" customHeight="false" outlineLevel="0" collapsed="false">
      <c r="A20" s="2" t="s">
        <v>746</v>
      </c>
      <c r="B20" s="2" t="s">
        <v>678</v>
      </c>
      <c r="C20" s="17" t="n">
        <f aca="false">SUMPRODUCT(ISNUMBER(SEARCH("+"&amp;'14_FALLAS_ESC'!$A$2:$A$22&amp;"+","+"&amp;$B20&amp;"+"))*('14_FALLAS_ESC'!$E$2:$E$22=C$1)*'14_FALLAS_ESC'!$J$2:$J$22)</f>
        <v>0</v>
      </c>
      <c r="D20" s="17" t="n">
        <f aca="false">SUMPRODUCT(ISNUMBER(SEARCH("+"&amp;'14_FALLAS_ESC'!$A$2:$A$22&amp;"+","+"&amp;$B20&amp;"+"))*('14_FALLAS_ESC'!$E$2:$E$22=D$1)*'14_FALLAS_ESC'!$J$2:$J$22)</f>
        <v>0</v>
      </c>
      <c r="E20" s="17" t="n">
        <f aca="false">SUMPRODUCT(ISNUMBER(SEARCH("+"&amp;'14_FALLAS_ESC'!$A$2:$A$22&amp;"+","+"&amp;$B20&amp;"+"))*('14_FALLAS_ESC'!$E$2:$E$22=E$1)*'14_FALLAS_ESC'!$J$2:$J$22)</f>
        <v>4.56266666666667</v>
      </c>
      <c r="F20" s="17" t="n">
        <f aca="false">SUMPRODUCT(ISNUMBER(SEARCH("+"&amp;'14_FALLAS_ESC'!$A$2:$A$22&amp;"+","+"&amp;$B20&amp;"+"))*('14_FALLAS_ESC'!$E$2:$E$22=F$1)*'14_FALLAS_ESC'!$J$2:$J$22)</f>
        <v>0</v>
      </c>
      <c r="G20" s="17" t="n">
        <f aca="false">SUMPRODUCT(ISNUMBER(SEARCH("+"&amp;'14_FALLAS_ESC'!$A$2:$A$22&amp;"+","+"&amp;$B20&amp;"+"))*('14_FALLAS_ESC'!$E$2:$E$22=G$1)*'14_FALLAS_ESC'!$J$2:$J$22)</f>
        <v>0</v>
      </c>
      <c r="H20" s="17" t="n">
        <f aca="false">SUM(C20:G20)</f>
        <v>4.56266666666667</v>
      </c>
      <c r="I20" s="2" t="s">
        <v>629</v>
      </c>
    </row>
    <row r="21" customFormat="false" ht="15" hidden="false" customHeight="false" outlineLevel="0" collapsed="false">
      <c r="A21" s="2" t="s">
        <v>747</v>
      </c>
      <c r="B21" s="2" t="s">
        <v>678</v>
      </c>
      <c r="C21" s="17" t="n">
        <f aca="false">SUMPRODUCT(ISNUMBER(SEARCH("+"&amp;'14_FALLAS_ESC'!$A$2:$A$22&amp;"+","+"&amp;$B21&amp;"+"))*('14_FALLAS_ESC'!$E$2:$E$22=C$1)*'14_FALLAS_ESC'!$J$2:$J$22)</f>
        <v>0</v>
      </c>
      <c r="D21" s="17" t="n">
        <f aca="false">SUMPRODUCT(ISNUMBER(SEARCH("+"&amp;'14_FALLAS_ESC'!$A$2:$A$22&amp;"+","+"&amp;$B21&amp;"+"))*('14_FALLAS_ESC'!$E$2:$E$22=D$1)*'14_FALLAS_ESC'!$J$2:$J$22)</f>
        <v>0</v>
      </c>
      <c r="E21" s="17" t="n">
        <f aca="false">SUMPRODUCT(ISNUMBER(SEARCH("+"&amp;'14_FALLAS_ESC'!$A$2:$A$22&amp;"+","+"&amp;$B21&amp;"+"))*('14_FALLAS_ESC'!$E$2:$E$22=E$1)*'14_FALLAS_ESC'!$J$2:$J$22)</f>
        <v>4.56266666666667</v>
      </c>
      <c r="F21" s="17" t="n">
        <f aca="false">SUMPRODUCT(ISNUMBER(SEARCH("+"&amp;'14_FALLAS_ESC'!$A$2:$A$22&amp;"+","+"&amp;$B21&amp;"+"))*('14_FALLAS_ESC'!$E$2:$E$22=F$1)*'14_FALLAS_ESC'!$J$2:$J$22)</f>
        <v>0</v>
      </c>
      <c r="G21" s="17" t="n">
        <f aca="false">SUMPRODUCT(ISNUMBER(SEARCH("+"&amp;'14_FALLAS_ESC'!$A$2:$A$22&amp;"+","+"&amp;$B21&amp;"+"))*('14_FALLAS_ESC'!$E$2:$E$22=G$1)*'14_FALLAS_ESC'!$J$2:$J$22)</f>
        <v>0</v>
      </c>
      <c r="H21" s="17" t="n">
        <f aca="false">SUM(C21:G21)</f>
        <v>4.56266666666667</v>
      </c>
      <c r="I21" s="2" t="s">
        <v>629</v>
      </c>
    </row>
    <row r="22" customFormat="false" ht="15" hidden="false" customHeight="false" outlineLevel="0" collapsed="false">
      <c r="A22" s="2" t="s">
        <v>748</v>
      </c>
      <c r="B22" s="2" t="s">
        <v>679</v>
      </c>
      <c r="C22" s="17" t="n">
        <f aca="false">SUMPRODUCT(ISNUMBER(SEARCH("+"&amp;'14_FALLAS_ESC'!$A$2:$A$22&amp;"+","+"&amp;$B22&amp;"+"))*('14_FALLAS_ESC'!$E$2:$E$22=C$1)*'14_FALLAS_ESC'!$J$2:$J$22)</f>
        <v>0</v>
      </c>
      <c r="D22" s="17" t="n">
        <f aca="false">SUMPRODUCT(ISNUMBER(SEARCH("+"&amp;'14_FALLAS_ESC'!$A$2:$A$22&amp;"+","+"&amp;$B22&amp;"+"))*('14_FALLAS_ESC'!$E$2:$E$22=D$1)*'14_FALLAS_ESC'!$J$2:$J$22)</f>
        <v>0</v>
      </c>
      <c r="E22" s="17" t="n">
        <f aca="false">SUMPRODUCT(ISNUMBER(SEARCH("+"&amp;'14_FALLAS_ESC'!$A$2:$A$22&amp;"+","+"&amp;$B22&amp;"+"))*('14_FALLAS_ESC'!$E$2:$E$22=E$1)*'14_FALLAS_ESC'!$J$2:$J$22)</f>
        <v>2</v>
      </c>
      <c r="F22" s="17" t="n">
        <f aca="false">SUMPRODUCT(ISNUMBER(SEARCH("+"&amp;'14_FALLAS_ESC'!$A$2:$A$22&amp;"+","+"&amp;$B22&amp;"+"))*('14_FALLAS_ESC'!$E$2:$E$22=F$1)*'14_FALLAS_ESC'!$J$2:$J$22)</f>
        <v>0</v>
      </c>
      <c r="G22" s="17" t="n">
        <f aca="false">SUMPRODUCT(ISNUMBER(SEARCH("+"&amp;'14_FALLAS_ESC'!$A$2:$A$22&amp;"+","+"&amp;$B22&amp;"+"))*('14_FALLAS_ESC'!$E$2:$E$22=G$1)*'14_FALLAS_ESC'!$J$2:$J$22)</f>
        <v>0</v>
      </c>
      <c r="H22" s="17" t="n">
        <f aca="false">SUM(C22:G22)</f>
        <v>2</v>
      </c>
      <c r="I22" s="2" t="s">
        <v>629</v>
      </c>
    </row>
    <row r="23" customFormat="false" ht="15" hidden="false" customHeight="false" outlineLevel="0" collapsed="false">
      <c r="A23" s="2" t="s">
        <v>749</v>
      </c>
      <c r="B23" s="2" t="s">
        <v>679</v>
      </c>
      <c r="C23" s="17" t="n">
        <f aca="false">SUMPRODUCT(ISNUMBER(SEARCH("+"&amp;'14_FALLAS_ESC'!$A$2:$A$22&amp;"+","+"&amp;$B23&amp;"+"))*('14_FALLAS_ESC'!$E$2:$E$22=C$1)*'14_FALLAS_ESC'!$J$2:$J$22)</f>
        <v>0</v>
      </c>
      <c r="D23" s="17" t="n">
        <f aca="false">SUMPRODUCT(ISNUMBER(SEARCH("+"&amp;'14_FALLAS_ESC'!$A$2:$A$22&amp;"+","+"&amp;$B23&amp;"+"))*('14_FALLAS_ESC'!$E$2:$E$22=D$1)*'14_FALLAS_ESC'!$J$2:$J$22)</f>
        <v>0</v>
      </c>
      <c r="E23" s="17" t="n">
        <f aca="false">SUMPRODUCT(ISNUMBER(SEARCH("+"&amp;'14_FALLAS_ESC'!$A$2:$A$22&amp;"+","+"&amp;$B23&amp;"+"))*('14_FALLAS_ESC'!$E$2:$E$22=E$1)*'14_FALLAS_ESC'!$J$2:$J$22)</f>
        <v>2</v>
      </c>
      <c r="F23" s="17" t="n">
        <f aca="false">SUMPRODUCT(ISNUMBER(SEARCH("+"&amp;'14_FALLAS_ESC'!$A$2:$A$22&amp;"+","+"&amp;$B23&amp;"+"))*('14_FALLAS_ESC'!$E$2:$E$22=F$1)*'14_FALLAS_ESC'!$J$2:$J$22)</f>
        <v>0</v>
      </c>
      <c r="G23" s="17" t="n">
        <f aca="false">SUMPRODUCT(ISNUMBER(SEARCH("+"&amp;'14_FALLAS_ESC'!$A$2:$A$22&amp;"+","+"&amp;$B23&amp;"+"))*('14_FALLAS_ESC'!$E$2:$E$22=G$1)*'14_FALLAS_ESC'!$J$2:$J$22)</f>
        <v>0</v>
      </c>
      <c r="H23" s="17" t="n">
        <f aca="false">SUM(C23:G23)</f>
        <v>2</v>
      </c>
      <c r="I23" s="2" t="s">
        <v>629</v>
      </c>
    </row>
    <row r="24" customFormat="false" ht="15" hidden="false" customHeight="false" outlineLevel="0" collapsed="false">
      <c r="A24" s="2" t="s">
        <v>750</v>
      </c>
      <c r="B24" s="2" t="s">
        <v>680</v>
      </c>
      <c r="C24" s="17" t="n">
        <f aca="false">SUMPRODUCT(ISNUMBER(SEARCH("+"&amp;'14_FALLAS_ESC'!$A$2:$A$22&amp;"+","+"&amp;$B24&amp;"+"))*('14_FALLAS_ESC'!$E$2:$E$22=C$1)*'14_FALLAS_ESC'!$J$2:$J$22)</f>
        <v>0</v>
      </c>
      <c r="D24" s="17" t="n">
        <f aca="false">SUMPRODUCT(ISNUMBER(SEARCH("+"&amp;'14_FALLAS_ESC'!$A$2:$A$22&amp;"+","+"&amp;$B24&amp;"+"))*('14_FALLAS_ESC'!$E$2:$E$22=D$1)*'14_FALLAS_ESC'!$J$2:$J$22)</f>
        <v>0</v>
      </c>
      <c r="E24" s="17" t="n">
        <f aca="false">SUMPRODUCT(ISNUMBER(SEARCH("+"&amp;'14_FALLAS_ESC'!$A$2:$A$22&amp;"+","+"&amp;$B24&amp;"+"))*('14_FALLAS_ESC'!$E$2:$E$22=E$1)*'14_FALLAS_ESC'!$J$2:$J$22)</f>
        <v>3</v>
      </c>
      <c r="F24" s="17" t="n">
        <f aca="false">SUMPRODUCT(ISNUMBER(SEARCH("+"&amp;'14_FALLAS_ESC'!$A$2:$A$22&amp;"+","+"&amp;$B24&amp;"+"))*('14_FALLAS_ESC'!$E$2:$E$22=F$1)*'14_FALLAS_ESC'!$J$2:$J$22)</f>
        <v>0</v>
      </c>
      <c r="G24" s="17" t="n">
        <f aca="false">SUMPRODUCT(ISNUMBER(SEARCH("+"&amp;'14_FALLAS_ESC'!$A$2:$A$22&amp;"+","+"&amp;$B24&amp;"+"))*('14_FALLAS_ESC'!$E$2:$E$22=G$1)*'14_FALLAS_ESC'!$J$2:$J$22)</f>
        <v>0</v>
      </c>
      <c r="H24" s="17" t="n">
        <f aca="false">SUM(C24:G24)</f>
        <v>3</v>
      </c>
      <c r="I24" s="2" t="s">
        <v>629</v>
      </c>
    </row>
    <row r="25" customFormat="false" ht="15" hidden="false" customHeight="false" outlineLevel="0" collapsed="false">
      <c r="A25" s="2" t="s">
        <v>751</v>
      </c>
      <c r="B25" s="2" t="s">
        <v>680</v>
      </c>
      <c r="C25" s="17" t="n">
        <f aca="false">SUMPRODUCT(ISNUMBER(SEARCH("+"&amp;'14_FALLAS_ESC'!$A$2:$A$22&amp;"+","+"&amp;$B25&amp;"+"))*('14_FALLAS_ESC'!$E$2:$E$22=C$1)*'14_FALLAS_ESC'!$J$2:$J$22)</f>
        <v>0</v>
      </c>
      <c r="D25" s="17" t="n">
        <f aca="false">SUMPRODUCT(ISNUMBER(SEARCH("+"&amp;'14_FALLAS_ESC'!$A$2:$A$22&amp;"+","+"&amp;$B25&amp;"+"))*('14_FALLAS_ESC'!$E$2:$E$22=D$1)*'14_FALLAS_ESC'!$J$2:$J$22)</f>
        <v>0</v>
      </c>
      <c r="E25" s="17" t="n">
        <f aca="false">SUMPRODUCT(ISNUMBER(SEARCH("+"&amp;'14_FALLAS_ESC'!$A$2:$A$22&amp;"+","+"&amp;$B25&amp;"+"))*('14_FALLAS_ESC'!$E$2:$E$22=E$1)*'14_FALLAS_ESC'!$J$2:$J$22)</f>
        <v>3</v>
      </c>
      <c r="F25" s="17" t="n">
        <f aca="false">SUMPRODUCT(ISNUMBER(SEARCH("+"&amp;'14_FALLAS_ESC'!$A$2:$A$22&amp;"+","+"&amp;$B25&amp;"+"))*('14_FALLAS_ESC'!$E$2:$E$22=F$1)*'14_FALLAS_ESC'!$J$2:$J$22)</f>
        <v>0</v>
      </c>
      <c r="G25" s="17" t="n">
        <f aca="false">SUMPRODUCT(ISNUMBER(SEARCH("+"&amp;'14_FALLAS_ESC'!$A$2:$A$22&amp;"+","+"&amp;$B25&amp;"+"))*('14_FALLAS_ESC'!$E$2:$E$22=G$1)*'14_FALLAS_ESC'!$J$2:$J$22)</f>
        <v>0</v>
      </c>
      <c r="H25" s="17" t="n">
        <f aca="false">SUM(C25:G25)</f>
        <v>3</v>
      </c>
      <c r="I25" s="2" t="s">
        <v>629</v>
      </c>
    </row>
    <row r="26" customFormat="false" ht="15" hidden="false" customHeight="false" outlineLevel="0" collapsed="false">
      <c r="A26" s="2" t="s">
        <v>752</v>
      </c>
      <c r="B26" s="2" t="s">
        <v>681</v>
      </c>
      <c r="C26" s="17" t="n">
        <f aca="false">SUMPRODUCT(ISNUMBER(SEARCH("+"&amp;'14_FALLAS_ESC'!$A$2:$A$22&amp;"+","+"&amp;$B26&amp;"+"))*('14_FALLAS_ESC'!$E$2:$E$22=C$1)*'14_FALLAS_ESC'!$J$2:$J$22)</f>
        <v>0</v>
      </c>
      <c r="D26" s="17" t="n">
        <f aca="false">SUMPRODUCT(ISNUMBER(SEARCH("+"&amp;'14_FALLAS_ESC'!$A$2:$A$22&amp;"+","+"&amp;$B26&amp;"+"))*('14_FALLAS_ESC'!$E$2:$E$22=D$1)*'14_FALLAS_ESC'!$J$2:$J$22)</f>
        <v>0</v>
      </c>
      <c r="E26" s="17" t="n">
        <f aca="false">SUMPRODUCT(ISNUMBER(SEARCH("+"&amp;'14_FALLAS_ESC'!$A$2:$A$22&amp;"+","+"&amp;$B26&amp;"+"))*('14_FALLAS_ESC'!$E$2:$E$22=E$1)*'14_FALLAS_ESC'!$J$2:$J$22)</f>
        <v>12</v>
      </c>
      <c r="F26" s="17" t="n">
        <f aca="false">SUMPRODUCT(ISNUMBER(SEARCH("+"&amp;'14_FALLAS_ESC'!$A$2:$A$22&amp;"+","+"&amp;$B26&amp;"+"))*('14_FALLAS_ESC'!$E$2:$E$22=F$1)*'14_FALLAS_ESC'!$J$2:$J$22)</f>
        <v>0</v>
      </c>
      <c r="G26" s="17" t="n">
        <f aca="false">SUMPRODUCT(ISNUMBER(SEARCH("+"&amp;'14_FALLAS_ESC'!$A$2:$A$22&amp;"+","+"&amp;$B26&amp;"+"))*('14_FALLAS_ESC'!$E$2:$E$22=G$1)*'14_FALLAS_ESC'!$J$2:$J$22)</f>
        <v>0</v>
      </c>
      <c r="H26" s="17" t="n">
        <f aca="false">SUM(C26:G26)</f>
        <v>12</v>
      </c>
      <c r="I26" s="2" t="s">
        <v>629</v>
      </c>
    </row>
    <row r="27" customFormat="false" ht="15" hidden="false" customHeight="false" outlineLevel="0" collapsed="false">
      <c r="A27" s="2" t="s">
        <v>754</v>
      </c>
      <c r="B27" s="2" t="s">
        <v>681</v>
      </c>
      <c r="C27" s="17" t="n">
        <f aca="false">SUMPRODUCT(ISNUMBER(SEARCH("+"&amp;'14_FALLAS_ESC'!$A$2:$A$22&amp;"+","+"&amp;$B27&amp;"+"))*('14_FALLAS_ESC'!$E$2:$E$22=C$1)*'14_FALLAS_ESC'!$J$2:$J$22)</f>
        <v>0</v>
      </c>
      <c r="D27" s="17" t="n">
        <f aca="false">SUMPRODUCT(ISNUMBER(SEARCH("+"&amp;'14_FALLAS_ESC'!$A$2:$A$22&amp;"+","+"&amp;$B27&amp;"+"))*('14_FALLAS_ESC'!$E$2:$E$22=D$1)*'14_FALLAS_ESC'!$J$2:$J$22)</f>
        <v>0</v>
      </c>
      <c r="E27" s="17" t="n">
        <f aca="false">SUMPRODUCT(ISNUMBER(SEARCH("+"&amp;'14_FALLAS_ESC'!$A$2:$A$22&amp;"+","+"&amp;$B27&amp;"+"))*('14_FALLAS_ESC'!$E$2:$E$22=E$1)*'14_FALLAS_ESC'!$J$2:$J$22)</f>
        <v>12</v>
      </c>
      <c r="F27" s="17" t="n">
        <f aca="false">SUMPRODUCT(ISNUMBER(SEARCH("+"&amp;'14_FALLAS_ESC'!$A$2:$A$22&amp;"+","+"&amp;$B27&amp;"+"))*('14_FALLAS_ESC'!$E$2:$E$22=F$1)*'14_FALLAS_ESC'!$J$2:$J$22)</f>
        <v>0</v>
      </c>
      <c r="G27" s="17" t="n">
        <f aca="false">SUMPRODUCT(ISNUMBER(SEARCH("+"&amp;'14_FALLAS_ESC'!$A$2:$A$22&amp;"+","+"&amp;$B27&amp;"+"))*('14_FALLAS_ESC'!$E$2:$E$22=G$1)*'14_FALLAS_ESC'!$J$2:$J$22)</f>
        <v>0</v>
      </c>
      <c r="H27" s="17" t="n">
        <f aca="false">SUM(C27:G27)</f>
        <v>12</v>
      </c>
      <c r="I27" s="2" t="s">
        <v>629</v>
      </c>
    </row>
    <row r="28" customFormat="false" ht="15" hidden="false" customHeight="false" outlineLevel="0" collapsed="false">
      <c r="A28" s="2" t="s">
        <v>755</v>
      </c>
      <c r="B28" s="2" t="s">
        <v>757</v>
      </c>
      <c r="C28" s="17" t="n">
        <f aca="false">SUMPRODUCT(ISNUMBER(SEARCH("+"&amp;'14_FALLAS_ESC'!$A$2:$A$22&amp;"+","+"&amp;$B28&amp;"+"))*('14_FALLAS_ESC'!$E$2:$E$22=C$1)*'14_FALLAS_ESC'!$J$2:$J$22)</f>
        <v>0</v>
      </c>
      <c r="D28" s="17" t="n">
        <f aca="false">SUMPRODUCT(ISNUMBER(SEARCH("+"&amp;'14_FALLAS_ESC'!$A$2:$A$22&amp;"+","+"&amp;$B28&amp;"+"))*('14_FALLAS_ESC'!$E$2:$E$22=D$1)*'14_FALLAS_ESC'!$J$2:$J$22)</f>
        <v>0</v>
      </c>
      <c r="E28" s="17" t="n">
        <f aca="false">SUMPRODUCT(ISNUMBER(SEARCH("+"&amp;'14_FALLAS_ESC'!$A$2:$A$22&amp;"+","+"&amp;$B28&amp;"+"))*('14_FALLAS_ESC'!$E$2:$E$22=E$1)*'14_FALLAS_ESC'!$J$2:$J$22)</f>
        <v>6.5</v>
      </c>
      <c r="F28" s="17" t="n">
        <f aca="false">SUMPRODUCT(ISNUMBER(SEARCH("+"&amp;'14_FALLAS_ESC'!$A$2:$A$22&amp;"+","+"&amp;$B28&amp;"+"))*('14_FALLAS_ESC'!$E$2:$E$22=F$1)*'14_FALLAS_ESC'!$J$2:$J$22)</f>
        <v>0</v>
      </c>
      <c r="G28" s="17" t="n">
        <f aca="false">SUMPRODUCT(ISNUMBER(SEARCH("+"&amp;'14_FALLAS_ESC'!$A$2:$A$22&amp;"+","+"&amp;$B28&amp;"+"))*('14_FALLAS_ESC'!$E$2:$E$22=G$1)*'14_FALLAS_ESC'!$J$2:$J$22)</f>
        <v>0</v>
      </c>
      <c r="H28" s="17" t="n">
        <f aca="false">SUM(C28:G28)</f>
        <v>6.5</v>
      </c>
      <c r="I28" s="2" t="s">
        <v>629</v>
      </c>
    </row>
    <row r="29" customFormat="false" ht="15" hidden="false" customHeight="false" outlineLevel="0" collapsed="false">
      <c r="A29" s="2" t="s">
        <v>758</v>
      </c>
      <c r="B29" s="2" t="s">
        <v>757</v>
      </c>
      <c r="C29" s="17" t="n">
        <f aca="false">SUMPRODUCT(ISNUMBER(SEARCH("+"&amp;'14_FALLAS_ESC'!$A$2:$A$22&amp;"+","+"&amp;$B29&amp;"+"))*('14_FALLAS_ESC'!$E$2:$E$22=C$1)*'14_FALLAS_ESC'!$J$2:$J$22)</f>
        <v>0</v>
      </c>
      <c r="D29" s="17" t="n">
        <f aca="false">SUMPRODUCT(ISNUMBER(SEARCH("+"&amp;'14_FALLAS_ESC'!$A$2:$A$22&amp;"+","+"&amp;$B29&amp;"+"))*('14_FALLAS_ESC'!$E$2:$E$22=D$1)*'14_FALLAS_ESC'!$J$2:$J$22)</f>
        <v>0</v>
      </c>
      <c r="E29" s="17" t="n">
        <f aca="false">SUMPRODUCT(ISNUMBER(SEARCH("+"&amp;'14_FALLAS_ESC'!$A$2:$A$22&amp;"+","+"&amp;$B29&amp;"+"))*('14_FALLAS_ESC'!$E$2:$E$22=E$1)*'14_FALLAS_ESC'!$J$2:$J$22)</f>
        <v>6.5</v>
      </c>
      <c r="F29" s="17" t="n">
        <f aca="false">SUMPRODUCT(ISNUMBER(SEARCH("+"&amp;'14_FALLAS_ESC'!$A$2:$A$22&amp;"+","+"&amp;$B29&amp;"+"))*('14_FALLAS_ESC'!$E$2:$E$22=F$1)*'14_FALLAS_ESC'!$J$2:$J$22)</f>
        <v>0</v>
      </c>
      <c r="G29" s="17" t="n">
        <f aca="false">SUMPRODUCT(ISNUMBER(SEARCH("+"&amp;'14_FALLAS_ESC'!$A$2:$A$22&amp;"+","+"&amp;$B29&amp;"+"))*('14_FALLAS_ESC'!$E$2:$E$22=G$1)*'14_FALLAS_ESC'!$J$2:$J$22)</f>
        <v>0</v>
      </c>
      <c r="H29" s="17" t="n">
        <f aca="false">SUM(C29:G29)</f>
        <v>6.5</v>
      </c>
      <c r="I29" s="2" t="s">
        <v>629</v>
      </c>
    </row>
    <row r="30" customFormat="false" ht="15" hidden="false" customHeight="false" outlineLevel="0" collapsed="false">
      <c r="A30" s="2" t="s">
        <v>759</v>
      </c>
      <c r="B30" s="2" t="s">
        <v>685</v>
      </c>
      <c r="C30" s="17" t="n">
        <f aca="false">SUMPRODUCT(ISNUMBER(SEARCH("+"&amp;'14_FALLAS_ESC'!$A$2:$A$22&amp;"+","+"&amp;$B30&amp;"+"))*('14_FALLAS_ESC'!$E$2:$E$22=C$1)*'14_FALLAS_ESC'!$J$2:$J$22)</f>
        <v>0</v>
      </c>
      <c r="D30" s="17" t="n">
        <f aca="false">SUMPRODUCT(ISNUMBER(SEARCH("+"&amp;'14_FALLAS_ESC'!$A$2:$A$22&amp;"+","+"&amp;$B30&amp;"+"))*('14_FALLAS_ESC'!$E$2:$E$22=D$1)*'14_FALLAS_ESC'!$J$2:$J$22)</f>
        <v>3.5</v>
      </c>
      <c r="E30" s="17" t="n">
        <f aca="false">SUMPRODUCT(ISNUMBER(SEARCH("+"&amp;'14_FALLAS_ESC'!$A$2:$A$22&amp;"+","+"&amp;$B30&amp;"+"))*('14_FALLAS_ESC'!$E$2:$E$22=E$1)*'14_FALLAS_ESC'!$J$2:$J$22)</f>
        <v>0</v>
      </c>
      <c r="F30" s="17" t="n">
        <f aca="false">SUMPRODUCT(ISNUMBER(SEARCH("+"&amp;'14_FALLAS_ESC'!$A$2:$A$22&amp;"+","+"&amp;$B30&amp;"+"))*('14_FALLAS_ESC'!$E$2:$E$22=F$1)*'14_FALLAS_ESC'!$J$2:$J$22)</f>
        <v>0</v>
      </c>
      <c r="G30" s="17" t="n">
        <f aca="false">SUMPRODUCT(ISNUMBER(SEARCH("+"&amp;'14_FALLAS_ESC'!$A$2:$A$22&amp;"+","+"&amp;$B30&amp;"+"))*('14_FALLAS_ESC'!$E$2:$E$22=G$1)*'14_FALLAS_ESC'!$J$2:$J$22)</f>
        <v>0</v>
      </c>
      <c r="H30" s="17" t="n">
        <f aca="false">SUM(C30:G30)</f>
        <v>3.5</v>
      </c>
      <c r="I30" s="2" t="s">
        <v>629</v>
      </c>
    </row>
    <row r="31" customFormat="false" ht="15" hidden="false" customHeight="false" outlineLevel="0" collapsed="false">
      <c r="A31" s="2" t="s">
        <v>761</v>
      </c>
      <c r="B31" s="2" t="s">
        <v>685</v>
      </c>
      <c r="C31" s="17" t="n">
        <f aca="false">SUMPRODUCT(ISNUMBER(SEARCH("+"&amp;'14_FALLAS_ESC'!$A$2:$A$22&amp;"+","+"&amp;$B31&amp;"+"))*('14_FALLAS_ESC'!$E$2:$E$22=C$1)*'14_FALLAS_ESC'!$J$2:$J$22)</f>
        <v>0</v>
      </c>
      <c r="D31" s="17" t="n">
        <f aca="false">SUMPRODUCT(ISNUMBER(SEARCH("+"&amp;'14_FALLAS_ESC'!$A$2:$A$22&amp;"+","+"&amp;$B31&amp;"+"))*('14_FALLAS_ESC'!$E$2:$E$22=D$1)*'14_FALLAS_ESC'!$J$2:$J$22)</f>
        <v>3.5</v>
      </c>
      <c r="E31" s="17" t="n">
        <f aca="false">SUMPRODUCT(ISNUMBER(SEARCH("+"&amp;'14_FALLAS_ESC'!$A$2:$A$22&amp;"+","+"&amp;$B31&amp;"+"))*('14_FALLAS_ESC'!$E$2:$E$22=E$1)*'14_FALLAS_ESC'!$J$2:$J$22)</f>
        <v>0</v>
      </c>
      <c r="F31" s="17" t="n">
        <f aca="false">SUMPRODUCT(ISNUMBER(SEARCH("+"&amp;'14_FALLAS_ESC'!$A$2:$A$22&amp;"+","+"&amp;$B31&amp;"+"))*('14_FALLAS_ESC'!$E$2:$E$22=F$1)*'14_FALLAS_ESC'!$J$2:$J$22)</f>
        <v>0</v>
      </c>
      <c r="G31" s="17" t="n">
        <f aca="false">SUMPRODUCT(ISNUMBER(SEARCH("+"&amp;'14_FALLAS_ESC'!$A$2:$A$22&amp;"+","+"&amp;$B31&amp;"+"))*('14_FALLAS_ESC'!$E$2:$E$22=G$1)*'14_FALLAS_ESC'!$J$2:$J$22)</f>
        <v>0</v>
      </c>
      <c r="H31" s="17" t="n">
        <f aca="false">SUM(C31:G31)</f>
        <v>3.5</v>
      </c>
      <c r="I31" s="2" t="s">
        <v>629</v>
      </c>
    </row>
    <row r="32" customFormat="false" ht="15" hidden="false" customHeight="false" outlineLevel="0" collapsed="false">
      <c r="A32" s="2" t="s">
        <v>762</v>
      </c>
      <c r="B32" s="2" t="s">
        <v>687</v>
      </c>
      <c r="C32" s="17" t="n">
        <f aca="false">SUMPRODUCT(ISNUMBER(SEARCH("+"&amp;'14_FALLAS_ESC'!$A$2:$A$22&amp;"+","+"&amp;$B32&amp;"+"))*('14_FALLAS_ESC'!$E$2:$E$22=C$1)*'14_FALLAS_ESC'!$J$2:$J$22)</f>
        <v>0</v>
      </c>
      <c r="D32" s="17" t="n">
        <f aca="false">SUMPRODUCT(ISNUMBER(SEARCH("+"&amp;'14_FALLAS_ESC'!$A$2:$A$22&amp;"+","+"&amp;$B32&amp;"+"))*('14_FALLAS_ESC'!$E$2:$E$22=D$1)*'14_FALLAS_ESC'!$J$2:$J$22)</f>
        <v>0</v>
      </c>
      <c r="E32" s="17" t="n">
        <f aca="false">SUMPRODUCT(ISNUMBER(SEARCH("+"&amp;'14_FALLAS_ESC'!$A$2:$A$22&amp;"+","+"&amp;$B32&amp;"+"))*('14_FALLAS_ESC'!$E$2:$E$22=E$1)*'14_FALLAS_ESC'!$J$2:$J$22)</f>
        <v>0</v>
      </c>
      <c r="F32" s="17" t="n">
        <f aca="false">SUMPRODUCT(ISNUMBER(SEARCH("+"&amp;'14_FALLAS_ESC'!$A$2:$A$22&amp;"+","+"&amp;$B32&amp;"+"))*('14_FALLAS_ESC'!$E$2:$E$22=F$1)*'14_FALLAS_ESC'!$J$2:$J$22)</f>
        <v>4</v>
      </c>
      <c r="G32" s="17" t="n">
        <f aca="false">SUMPRODUCT(ISNUMBER(SEARCH("+"&amp;'14_FALLAS_ESC'!$A$2:$A$22&amp;"+","+"&amp;$B32&amp;"+"))*('14_FALLAS_ESC'!$E$2:$E$22=G$1)*'14_FALLAS_ESC'!$J$2:$J$22)</f>
        <v>0</v>
      </c>
      <c r="H32" s="17" t="n">
        <f aca="false">SUM(C32:G32)</f>
        <v>4</v>
      </c>
      <c r="I32" s="2" t="s">
        <v>629</v>
      </c>
    </row>
    <row r="33" customFormat="false" ht="15" hidden="false" customHeight="false" outlineLevel="0" collapsed="false">
      <c r="A33" s="2" t="s">
        <v>764</v>
      </c>
      <c r="B33" s="2" t="s">
        <v>687</v>
      </c>
      <c r="C33" s="17" t="n">
        <f aca="false">SUMPRODUCT(ISNUMBER(SEARCH("+"&amp;'14_FALLAS_ESC'!$A$2:$A$22&amp;"+","+"&amp;$B33&amp;"+"))*('14_FALLAS_ESC'!$E$2:$E$22=C$1)*'14_FALLAS_ESC'!$J$2:$J$22)</f>
        <v>0</v>
      </c>
      <c r="D33" s="17" t="n">
        <f aca="false">SUMPRODUCT(ISNUMBER(SEARCH("+"&amp;'14_FALLAS_ESC'!$A$2:$A$22&amp;"+","+"&amp;$B33&amp;"+"))*('14_FALLAS_ESC'!$E$2:$E$22=D$1)*'14_FALLAS_ESC'!$J$2:$J$22)</f>
        <v>0</v>
      </c>
      <c r="E33" s="17" t="n">
        <f aca="false">SUMPRODUCT(ISNUMBER(SEARCH("+"&amp;'14_FALLAS_ESC'!$A$2:$A$22&amp;"+","+"&amp;$B33&amp;"+"))*('14_FALLAS_ESC'!$E$2:$E$22=E$1)*'14_FALLAS_ESC'!$J$2:$J$22)</f>
        <v>0</v>
      </c>
      <c r="F33" s="17" t="n">
        <f aca="false">SUMPRODUCT(ISNUMBER(SEARCH("+"&amp;'14_FALLAS_ESC'!$A$2:$A$22&amp;"+","+"&amp;$B33&amp;"+"))*('14_FALLAS_ESC'!$E$2:$E$22=F$1)*'14_FALLAS_ESC'!$J$2:$J$22)</f>
        <v>4</v>
      </c>
      <c r="G33" s="17" t="n">
        <f aca="false">SUMPRODUCT(ISNUMBER(SEARCH("+"&amp;'14_FALLAS_ESC'!$A$2:$A$22&amp;"+","+"&amp;$B33&amp;"+"))*('14_FALLAS_ESC'!$E$2:$E$22=G$1)*'14_FALLAS_ESC'!$J$2:$J$22)</f>
        <v>0</v>
      </c>
      <c r="H33" s="17" t="n">
        <f aca="false">SUM(C33:G33)</f>
        <v>4</v>
      </c>
      <c r="I33" s="2" t="s">
        <v>629</v>
      </c>
    </row>
    <row r="34" customFormat="false" ht="15" hidden="false" customHeight="false" outlineLevel="0" collapsed="false">
      <c r="A34" s="2" t="s">
        <v>765</v>
      </c>
      <c r="B34" s="2" t="s">
        <v>689</v>
      </c>
      <c r="C34" s="17" t="n">
        <f aca="false">SUMPRODUCT(ISNUMBER(SEARCH("+"&amp;'14_FALLAS_ESC'!$A$2:$A$22&amp;"+","+"&amp;$B34&amp;"+"))*('14_FALLAS_ESC'!$E$2:$E$22=C$1)*'14_FALLAS_ESC'!$J$2:$J$22)</f>
        <v>0</v>
      </c>
      <c r="D34" s="17" t="n">
        <f aca="false">SUMPRODUCT(ISNUMBER(SEARCH("+"&amp;'14_FALLAS_ESC'!$A$2:$A$22&amp;"+","+"&amp;$B34&amp;"+"))*('14_FALLAS_ESC'!$E$2:$E$22=D$1)*'14_FALLAS_ESC'!$J$2:$J$22)</f>
        <v>0</v>
      </c>
      <c r="E34" s="17" t="n">
        <f aca="false">SUMPRODUCT(ISNUMBER(SEARCH("+"&amp;'14_FALLAS_ESC'!$A$2:$A$22&amp;"+","+"&amp;$B34&amp;"+"))*('14_FALLAS_ESC'!$E$2:$E$22=E$1)*'14_FALLAS_ESC'!$J$2:$J$22)</f>
        <v>0</v>
      </c>
      <c r="F34" s="17" t="n">
        <f aca="false">SUMPRODUCT(ISNUMBER(SEARCH("+"&amp;'14_FALLAS_ESC'!$A$2:$A$22&amp;"+","+"&amp;$B34&amp;"+"))*('14_FALLAS_ESC'!$E$2:$E$22=F$1)*'14_FALLAS_ESC'!$J$2:$J$22)</f>
        <v>0</v>
      </c>
      <c r="G34" s="17" t="n">
        <f aca="false">SUMPRODUCT(ISNUMBER(SEARCH("+"&amp;'14_FALLAS_ESC'!$A$2:$A$22&amp;"+","+"&amp;$B34&amp;"+"))*('14_FALLAS_ESC'!$E$2:$E$22=G$1)*'14_FALLAS_ESC'!$J$2:$J$22)</f>
        <v>5</v>
      </c>
      <c r="H34" s="17" t="n">
        <f aca="false">SUM(C34:G34)</f>
        <v>5</v>
      </c>
      <c r="I34" s="2" t="s">
        <v>629</v>
      </c>
    </row>
    <row r="35" customFormat="false" ht="15" hidden="false" customHeight="false" outlineLevel="0" collapsed="false">
      <c r="A35" s="2" t="s">
        <v>767</v>
      </c>
      <c r="B35" s="2" t="s">
        <v>691</v>
      </c>
      <c r="C35" s="17" t="n">
        <f aca="false">SUMPRODUCT(ISNUMBER(SEARCH("+"&amp;'14_FALLAS_ESC'!$A$2:$A$22&amp;"+","+"&amp;$B35&amp;"+"))*('14_FALLAS_ESC'!$E$2:$E$22=C$1)*'14_FALLAS_ESC'!$J$2:$J$22)</f>
        <v>3</v>
      </c>
      <c r="D35" s="17" t="n">
        <f aca="false">SUMPRODUCT(ISNUMBER(SEARCH("+"&amp;'14_FALLAS_ESC'!$A$2:$A$22&amp;"+","+"&amp;$B35&amp;"+"))*('14_FALLAS_ESC'!$E$2:$E$22=D$1)*'14_FALLAS_ESC'!$J$2:$J$22)</f>
        <v>0</v>
      </c>
      <c r="E35" s="17" t="n">
        <f aca="false">SUMPRODUCT(ISNUMBER(SEARCH("+"&amp;'14_FALLAS_ESC'!$A$2:$A$22&amp;"+","+"&amp;$B35&amp;"+"))*('14_FALLAS_ESC'!$E$2:$E$22=E$1)*'14_FALLAS_ESC'!$J$2:$J$22)</f>
        <v>0</v>
      </c>
      <c r="F35" s="17" t="n">
        <f aca="false">SUMPRODUCT(ISNUMBER(SEARCH("+"&amp;'14_FALLAS_ESC'!$A$2:$A$22&amp;"+","+"&amp;$B35&amp;"+"))*('14_FALLAS_ESC'!$E$2:$E$22=F$1)*'14_FALLAS_ESC'!$J$2:$J$22)</f>
        <v>0</v>
      </c>
      <c r="G35" s="17" t="n">
        <f aca="false">SUMPRODUCT(ISNUMBER(SEARCH("+"&amp;'14_FALLAS_ESC'!$A$2:$A$22&amp;"+","+"&amp;$B35&amp;"+"))*('14_FALLAS_ESC'!$E$2:$E$22=G$1)*'14_FALLAS_ESC'!$J$2:$J$22)</f>
        <v>0</v>
      </c>
      <c r="H35" s="17" t="n">
        <f aca="false">SUM(C35:G35)</f>
        <v>3</v>
      </c>
      <c r="I35" s="2" t="s">
        <v>629</v>
      </c>
    </row>
    <row r="36" customFormat="false" ht="15" hidden="false" customHeight="false" outlineLevel="0" collapsed="false">
      <c r="A36" s="2" t="s">
        <v>769</v>
      </c>
      <c r="B36" s="2" t="s">
        <v>691</v>
      </c>
      <c r="C36" s="17" t="n">
        <f aca="false">SUMPRODUCT(ISNUMBER(SEARCH("+"&amp;'14_FALLAS_ESC'!$A$2:$A$22&amp;"+","+"&amp;$B36&amp;"+"))*('14_FALLAS_ESC'!$E$2:$E$22=C$1)*'14_FALLAS_ESC'!$J$2:$J$22)</f>
        <v>3</v>
      </c>
      <c r="D36" s="17" t="n">
        <f aca="false">SUMPRODUCT(ISNUMBER(SEARCH("+"&amp;'14_FALLAS_ESC'!$A$2:$A$22&amp;"+","+"&amp;$B36&amp;"+"))*('14_FALLAS_ESC'!$E$2:$E$22=D$1)*'14_FALLAS_ESC'!$J$2:$J$22)</f>
        <v>0</v>
      </c>
      <c r="E36" s="17" t="n">
        <f aca="false">SUMPRODUCT(ISNUMBER(SEARCH("+"&amp;'14_FALLAS_ESC'!$A$2:$A$22&amp;"+","+"&amp;$B36&amp;"+"))*('14_FALLAS_ESC'!$E$2:$E$22=E$1)*'14_FALLAS_ESC'!$J$2:$J$22)</f>
        <v>0</v>
      </c>
      <c r="F36" s="17" t="n">
        <f aca="false">SUMPRODUCT(ISNUMBER(SEARCH("+"&amp;'14_FALLAS_ESC'!$A$2:$A$22&amp;"+","+"&amp;$B36&amp;"+"))*('14_FALLAS_ESC'!$E$2:$E$22=F$1)*'14_FALLAS_ESC'!$J$2:$J$22)</f>
        <v>0</v>
      </c>
      <c r="G36" s="17" t="n">
        <f aca="false">SUMPRODUCT(ISNUMBER(SEARCH("+"&amp;'14_FALLAS_ESC'!$A$2:$A$22&amp;"+","+"&amp;$B36&amp;"+"))*('14_FALLAS_ESC'!$E$2:$E$22=G$1)*'14_FALLAS_ESC'!$J$2:$J$22)</f>
        <v>0</v>
      </c>
      <c r="H36" s="17" t="n">
        <f aca="false">SUM(C36:G36)</f>
        <v>3</v>
      </c>
      <c r="I36" s="2" t="s">
        <v>629</v>
      </c>
    </row>
    <row r="37" customFormat="false" ht="15" hidden="false" customHeight="false" outlineLevel="0" collapsed="false">
      <c r="A37" s="2" t="s">
        <v>770</v>
      </c>
      <c r="B37" s="2" t="s">
        <v>772</v>
      </c>
      <c r="C37" s="17" t="n">
        <f aca="false">SUMPRODUCT(ISNUMBER(SEARCH("+"&amp;'14_FALLAS_ESC'!$A$2:$A$22&amp;"+","+"&amp;$B37&amp;"+"))*('14_FALLAS_ESC'!$E$2:$E$22=C$1)*'14_FALLAS_ESC'!$J$2:$J$22)</f>
        <v>3</v>
      </c>
      <c r="D37" s="17" t="n">
        <f aca="false">SUMPRODUCT(ISNUMBER(SEARCH("+"&amp;'14_FALLAS_ESC'!$A$2:$A$22&amp;"+","+"&amp;$B37&amp;"+"))*('14_FALLAS_ESC'!$E$2:$E$22=D$1)*'14_FALLAS_ESC'!$J$2:$J$22)</f>
        <v>0</v>
      </c>
      <c r="E37" s="17" t="n">
        <f aca="false">SUMPRODUCT(ISNUMBER(SEARCH("+"&amp;'14_FALLAS_ESC'!$A$2:$A$22&amp;"+","+"&amp;$B37&amp;"+"))*('14_FALLAS_ESC'!$E$2:$E$22=E$1)*'14_FALLAS_ESC'!$J$2:$J$22)</f>
        <v>3</v>
      </c>
      <c r="F37" s="17" t="n">
        <f aca="false">SUMPRODUCT(ISNUMBER(SEARCH("+"&amp;'14_FALLAS_ESC'!$A$2:$A$22&amp;"+","+"&amp;$B37&amp;"+"))*('14_FALLAS_ESC'!$E$2:$E$22=F$1)*'14_FALLAS_ESC'!$J$2:$J$22)</f>
        <v>0</v>
      </c>
      <c r="G37" s="17" t="n">
        <f aca="false">SUMPRODUCT(ISNUMBER(SEARCH("+"&amp;'14_FALLAS_ESC'!$A$2:$A$22&amp;"+","+"&amp;$B37&amp;"+"))*('14_FALLAS_ESC'!$E$2:$E$22=G$1)*'14_FALLAS_ESC'!$J$2:$J$22)</f>
        <v>0</v>
      </c>
      <c r="H37" s="17" t="n">
        <f aca="false">SUM(C37:G37)</f>
        <v>6</v>
      </c>
      <c r="I37" s="2" t="s">
        <v>629</v>
      </c>
    </row>
    <row r="38" customFormat="false" ht="15" hidden="false" customHeight="false" outlineLevel="0" collapsed="false">
      <c r="A38" s="2" t="s">
        <v>773</v>
      </c>
      <c r="B38" s="2" t="s">
        <v>772</v>
      </c>
      <c r="C38" s="17" t="n">
        <f aca="false">SUMPRODUCT(ISNUMBER(SEARCH("+"&amp;'14_FALLAS_ESC'!$A$2:$A$22&amp;"+","+"&amp;$B38&amp;"+"))*('14_FALLAS_ESC'!$E$2:$E$22=C$1)*'14_FALLAS_ESC'!$J$2:$J$22)</f>
        <v>3</v>
      </c>
      <c r="D38" s="17" t="n">
        <f aca="false">SUMPRODUCT(ISNUMBER(SEARCH("+"&amp;'14_FALLAS_ESC'!$A$2:$A$22&amp;"+","+"&amp;$B38&amp;"+"))*('14_FALLAS_ESC'!$E$2:$E$22=D$1)*'14_FALLAS_ESC'!$J$2:$J$22)</f>
        <v>0</v>
      </c>
      <c r="E38" s="17" t="n">
        <f aca="false">SUMPRODUCT(ISNUMBER(SEARCH("+"&amp;'14_FALLAS_ESC'!$A$2:$A$22&amp;"+","+"&amp;$B38&amp;"+"))*('14_FALLAS_ESC'!$E$2:$E$22=E$1)*'14_FALLAS_ESC'!$J$2:$J$22)</f>
        <v>3</v>
      </c>
      <c r="F38" s="17" t="n">
        <f aca="false">SUMPRODUCT(ISNUMBER(SEARCH("+"&amp;'14_FALLAS_ESC'!$A$2:$A$22&amp;"+","+"&amp;$B38&amp;"+"))*('14_FALLAS_ESC'!$E$2:$E$22=F$1)*'14_FALLAS_ESC'!$J$2:$J$22)</f>
        <v>0</v>
      </c>
      <c r="G38" s="17" t="n">
        <f aca="false">SUMPRODUCT(ISNUMBER(SEARCH("+"&amp;'14_FALLAS_ESC'!$A$2:$A$22&amp;"+","+"&amp;$B38&amp;"+"))*('14_FALLAS_ESC'!$E$2:$E$22=G$1)*'14_FALLAS_ESC'!$J$2:$J$22)</f>
        <v>0</v>
      </c>
      <c r="H38" s="17" t="n">
        <f aca="false">SUM(C38:G38)</f>
        <v>6</v>
      </c>
      <c r="I38" s="2" t="s">
        <v>629</v>
      </c>
    </row>
    <row r="39" customFormat="false" ht="15" hidden="false" customHeight="false" outlineLevel="0" collapsed="false">
      <c r="A39" s="2" t="s">
        <v>774</v>
      </c>
      <c r="B39" s="2" t="s">
        <v>776</v>
      </c>
      <c r="C39" s="17" t="n">
        <f aca="false">SUMPRODUCT(ISNUMBER(SEARCH("+"&amp;'14_FALLAS_ESC'!$A$2:$A$22&amp;"+","+"&amp;$B39&amp;"+"))*('14_FALLAS_ESC'!$E$2:$E$22=C$1)*'14_FALLAS_ESC'!$J$2:$J$22)</f>
        <v>0</v>
      </c>
      <c r="D39" s="17" t="n">
        <f aca="false">SUMPRODUCT(ISNUMBER(SEARCH("+"&amp;'14_FALLAS_ESC'!$A$2:$A$22&amp;"+","+"&amp;$B39&amp;"+"))*('14_FALLAS_ESC'!$E$2:$E$22=D$1)*'14_FALLAS_ESC'!$J$2:$J$22)</f>
        <v>0</v>
      </c>
      <c r="E39" s="17" t="n">
        <f aca="false">SUMPRODUCT(ISNUMBER(SEARCH("+"&amp;'14_FALLAS_ESC'!$A$2:$A$22&amp;"+","+"&amp;$B39&amp;"+"))*('14_FALLAS_ESC'!$E$2:$E$22=E$1)*'14_FALLAS_ESC'!$J$2:$J$22)</f>
        <v>4</v>
      </c>
      <c r="F39" s="17" t="n">
        <f aca="false">SUMPRODUCT(ISNUMBER(SEARCH("+"&amp;'14_FALLAS_ESC'!$A$2:$A$22&amp;"+","+"&amp;$B39&amp;"+"))*('14_FALLAS_ESC'!$E$2:$E$22=F$1)*'14_FALLAS_ESC'!$J$2:$J$22)</f>
        <v>4</v>
      </c>
      <c r="G39" s="17" t="n">
        <f aca="false">SUMPRODUCT(ISNUMBER(SEARCH("+"&amp;'14_FALLAS_ESC'!$A$2:$A$22&amp;"+","+"&amp;$B39&amp;"+"))*('14_FALLAS_ESC'!$E$2:$E$22=G$1)*'14_FALLAS_ESC'!$J$2:$J$22)</f>
        <v>0</v>
      </c>
      <c r="H39" s="17" t="n">
        <f aca="false">SUM(C39:G39)</f>
        <v>8</v>
      </c>
      <c r="I39" s="2" t="s">
        <v>629</v>
      </c>
    </row>
    <row r="40" customFormat="false" ht="15" hidden="false" customHeight="false" outlineLevel="0" collapsed="false">
      <c r="A40" s="2" t="s">
        <v>777</v>
      </c>
      <c r="B40" s="2" t="s">
        <v>779</v>
      </c>
      <c r="C40" s="17" t="n">
        <f aca="false">SUMPRODUCT(ISNUMBER(SEARCH("+"&amp;'14_FALLAS_ESC'!$A$2:$A$22&amp;"+","+"&amp;$B40&amp;"+"))*('14_FALLAS_ESC'!$E$2:$E$22=C$1)*'14_FALLAS_ESC'!$J$2:$J$22)</f>
        <v>0</v>
      </c>
      <c r="D40" s="17" t="n">
        <f aca="false">SUMPRODUCT(ISNUMBER(SEARCH("+"&amp;'14_FALLAS_ESC'!$A$2:$A$22&amp;"+","+"&amp;$B40&amp;"+"))*('14_FALLAS_ESC'!$E$2:$E$22=D$1)*'14_FALLAS_ESC'!$J$2:$J$22)</f>
        <v>0</v>
      </c>
      <c r="E40" s="17" t="n">
        <f aca="false">SUMPRODUCT(ISNUMBER(SEARCH("+"&amp;'14_FALLAS_ESC'!$A$2:$A$22&amp;"+","+"&amp;$B40&amp;"+"))*('14_FALLAS_ESC'!$E$2:$E$22=E$1)*'14_FALLAS_ESC'!$J$2:$J$22)</f>
        <v>36.0626666666667</v>
      </c>
      <c r="F40" s="17" t="n">
        <f aca="false">SUMPRODUCT(ISNUMBER(SEARCH("+"&amp;'14_FALLAS_ESC'!$A$2:$A$22&amp;"+","+"&amp;$B40&amp;"+"))*('14_FALLAS_ESC'!$E$2:$E$22=F$1)*'14_FALLAS_ESC'!$J$2:$J$22)</f>
        <v>0</v>
      </c>
      <c r="G40" s="17" t="n">
        <f aca="false">SUMPRODUCT(ISNUMBER(SEARCH("+"&amp;'14_FALLAS_ESC'!$A$2:$A$22&amp;"+","+"&amp;$B40&amp;"+"))*('14_FALLAS_ESC'!$E$2:$E$22=G$1)*'14_FALLAS_ESC'!$J$2:$J$22)</f>
        <v>0</v>
      </c>
      <c r="H40" s="17" t="n">
        <f aca="false">SUM(C40:G40)</f>
        <v>36.0626666666667</v>
      </c>
      <c r="I40" s="2" t="s">
        <v>629</v>
      </c>
    </row>
  </sheetData>
  <autoFilter ref="A1:I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5100"/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46"/>
    <col collapsed="false" customWidth="true" hidden="false" outlineLevel="0" max="5" min="5" style="0" width="14"/>
  </cols>
  <sheetData>
    <row r="1" customFormat="false" ht="31.5" hidden="false" customHeight="true" outlineLevel="0" collapsed="false">
      <c r="A1" s="1" t="s">
        <v>925</v>
      </c>
      <c r="B1" s="1" t="s">
        <v>926</v>
      </c>
      <c r="C1" s="1" t="s">
        <v>927</v>
      </c>
      <c r="D1" s="1" t="s">
        <v>928</v>
      </c>
      <c r="E1" s="1" t="s">
        <v>64</v>
      </c>
    </row>
    <row r="2" customFormat="false" ht="15" hidden="false" customHeight="false" outlineLevel="0" collapsed="false">
      <c r="A2" s="2" t="s">
        <v>929</v>
      </c>
      <c r="B2" s="2" t="s">
        <v>930</v>
      </c>
      <c r="C2" s="2" t="s">
        <v>931</v>
      </c>
      <c r="D2" s="2" t="s">
        <v>932</v>
      </c>
      <c r="E2" s="2" t="s">
        <v>726</v>
      </c>
    </row>
    <row r="3" customFormat="false" ht="15" hidden="false" customHeight="false" outlineLevel="0" collapsed="false">
      <c r="A3" s="2" t="s">
        <v>933</v>
      </c>
      <c r="B3" s="2" t="s">
        <v>934</v>
      </c>
      <c r="C3" s="2" t="s">
        <v>931</v>
      </c>
      <c r="D3" s="2" t="s">
        <v>935</v>
      </c>
      <c r="E3" s="2" t="s">
        <v>726</v>
      </c>
    </row>
    <row r="4" customFormat="false" ht="15" hidden="false" customHeight="false" outlineLevel="0" collapsed="false">
      <c r="A4" s="2" t="s">
        <v>936</v>
      </c>
      <c r="B4" s="2" t="s">
        <v>937</v>
      </c>
      <c r="C4" s="2" t="s">
        <v>938</v>
      </c>
      <c r="D4" s="2" t="s">
        <v>939</v>
      </c>
      <c r="E4" s="2" t="s">
        <v>726</v>
      </c>
    </row>
    <row r="5" customFormat="false" ht="15" hidden="false" customHeight="false" outlineLevel="0" collapsed="false">
      <c r="A5" s="2" t="s">
        <v>940</v>
      </c>
      <c r="B5" s="2" t="s">
        <v>941</v>
      </c>
      <c r="C5" s="2" t="s">
        <v>942</v>
      </c>
      <c r="D5" s="2" t="s">
        <v>943</v>
      </c>
      <c r="E5" s="2" t="s">
        <v>726</v>
      </c>
    </row>
    <row r="6" customFormat="false" ht="15" hidden="false" customHeight="false" outlineLevel="0" collapsed="false">
      <c r="A6" s="2" t="s">
        <v>944</v>
      </c>
      <c r="B6" s="2" t="s">
        <v>945</v>
      </c>
      <c r="C6" s="2" t="s">
        <v>946</v>
      </c>
      <c r="D6" s="2" t="s">
        <v>947</v>
      </c>
      <c r="E6" s="2" t="s">
        <v>726</v>
      </c>
    </row>
  </sheetData>
  <autoFilter ref="A1:E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2026-10-14T03:34:44Z</dcterms:created>
  <dc:creator>openpyxl</dc:creator>
  <dc:description/>
  <dc:language>en-US</dc:language>
  <cp:lastModifiedBy/>
  <dcterms:modified xsi:type="dcterms:W3CDTF">2026-10-14T03:34:45Z</dcterms:modified>
  <cp:revision>0</cp:revision>
  <dc:subject/>
  <dc:title>SAGAPI BD MODELO v2.0 (compatible con Python 1.4.0)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