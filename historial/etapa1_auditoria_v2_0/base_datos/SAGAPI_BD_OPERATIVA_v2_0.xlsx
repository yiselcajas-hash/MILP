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8.xml" ContentType="application/vnd.openxmlformats-officedocument.spreadsheetml.comment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16.xml" ContentType="application/vnd.openxmlformats-officedocument.spreadsheetml.comment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17.xml" ContentType="application/vnd.openxmlformats-officedocument.spreadsheetml.comments+xml"/>
  <Override PartName="/xl/drawings/vmlDrawing14.vml" ContentType="application/vnd.openxmlformats-officedocument.vmlDrawing"/>
  <Override PartName="/xl/drawings/vmlDrawing8.vml" ContentType="application/vnd.openxmlformats-officedocument.vmlDrawing"/>
  <Override PartName="/xl/drawings/vmlDrawing13.vml" ContentType="application/vnd.openxmlformats-officedocument.vmlDrawing"/>
  <Override PartName="/xl/drawings/vmlDrawing7.vml" ContentType="application/vnd.openxmlformats-officedocument.vmlDrawing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vmlDrawing16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9.xml" ContentType="application/vnd.openxmlformats-officedocument.drawing+xml"/>
  <Override PartName="/xl/drawings/vmlDrawing15.vml" ContentType="application/vnd.openxmlformats-officedocument.vmlDrawing"/>
  <Override PartName="/xl/drawings/vmlDrawing9.vml" ContentType="application/vnd.openxmlformats-officedocument.vmlDrawing"/>
  <Override PartName="/xl/drawings/vmlDrawing4.vml" ContentType="application/vnd.openxmlformats-officedocument.vmlDrawing"/>
  <Override PartName="/xl/drawings/vmlDrawing10.vml" ContentType="application/vnd.openxmlformats-officedocument.vmlDrawing"/>
  <Override PartName="/xl/drawings/vmlDrawing5.vml" ContentType="application/vnd.openxmlformats-officedocument.vmlDrawing"/>
  <Override PartName="/xl/drawings/vmlDrawing11.vml" ContentType="application/vnd.openxmlformats-officedocument.vmlDrawing"/>
  <Override PartName="/xl/drawings/vmlDrawing6.vml" ContentType="application/vnd.openxmlformats-officedocument.vmlDrawing"/>
  <Override PartName="/xl/drawings/vmlDrawing12.vml" ContentType="application/vnd.openxmlformats-officedocument.vmlDrawing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comments9.xml" ContentType="application/vnd.openxmlformats-officedocument.spreadsheetml.comments+xml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DICCIONARIO" sheetId="1" state="visible" r:id="rId3"/>
    <sheet name="00_CODIGOS" sheetId="2" state="visible" r:id="rId4"/>
    <sheet name="01_FAMILIAS" sheetId="3" state="visible" r:id="rId5"/>
    <sheet name="02_PRODUCTOS" sheetId="4" state="visible" r:id="rId6"/>
    <sheet name="03_MATERIALES" sheetId="5" state="visible" r:id="rId7"/>
    <sheet name="04_DESPIECE" sheetId="6" state="visible" r:id="rId8"/>
    <sheet name="05_RECURSOS" sheetId="7" state="visible" r:id="rId9"/>
    <sheet name="06_RUTAS" sheetId="8" state="visible" r:id="rId10"/>
    <sheet name="07_ELEGIBILIDAD" sheetId="9" state="visible" r:id="rId11"/>
    <sheet name="08_PERSONAL" sheetId="10" state="visible" r:id="rId12"/>
    <sheet name="09_CALENDARIO" sheetId="11" state="visible" r:id="rId13"/>
    <sheet name="10_CAPACIDAD_MENSUAL" sheetId="12" state="visible" r:id="rId14"/>
    <sheet name="11_PARAMETROS" sheetId="13" state="visible" r:id="rId15"/>
    <sheet name="12_REG_ENTREGAS" sheetId="14" state="visible" r:id="rId16"/>
    <sheet name="13_REG_PARADAS" sheetId="15" state="visible" r:id="rId17"/>
    <sheet name="14_REG_CALIDAD" sheetId="16" state="visible" r:id="rId18"/>
    <sheet name="15_REG_TIEMPOS" sheetId="17" state="visible" r:id="rId19"/>
    <sheet name="16_REG_HABILIDADES" sheetId="18" state="visible" r:id="rId20"/>
  </sheets>
  <definedNames>
    <definedName function="false" hidden="true" localSheetId="0" name="_xlnm._FilterDatabase" vbProcedure="false">'00_DICCIONARIO'!$A$1:$H$157</definedName>
    <definedName function="false" hidden="true" localSheetId="2" name="_xlnm._FilterDatabase" vbProcedure="false">'01_FAMILIAS'!$A$1:$H$5</definedName>
    <definedName function="false" hidden="true" localSheetId="3" name="_xlnm._FilterDatabase" vbProcedure="false">'02_PRODUCTOS'!$A$1:$M$51</definedName>
    <definedName function="false" hidden="true" localSheetId="4" name="_xlnm._FilterDatabase" vbProcedure="false">'03_MATERIALES'!$A$1:$J$42</definedName>
    <definedName function="false" hidden="true" localSheetId="5" name="_xlnm._FilterDatabase" vbProcedure="false">'04_DESPIECE'!$A$1:$N$225</definedName>
    <definedName function="false" hidden="true" localSheetId="6" name="_xlnm._FilterDatabase" vbProcedure="false">'05_RECURSOS'!$A$1:$L$18</definedName>
    <definedName function="false" hidden="true" localSheetId="7" name="_xlnm._FilterDatabase" vbProcedure="false">'06_RUTAS'!$A$1:$K$407</definedName>
    <definedName function="false" hidden="true" localSheetId="8" name="_xlnm._FilterDatabase" vbProcedure="false">'07_ELEGIBILIDAD'!$A$1:$G$474</definedName>
    <definedName function="false" hidden="true" localSheetId="9" name="_xlnm._FilterDatabase" vbProcedure="false">'08_PERSONAL'!$A$1:$H$26</definedName>
    <definedName function="false" hidden="true" localSheetId="10" name="_xlnm._FilterDatabase" vbProcedure="false">'09_CALENDARIO'!$A$1:$G$397</definedName>
    <definedName function="false" hidden="true" localSheetId="11" name="_xlnm._FilterDatabase" vbProcedure="false">'10_CAPACIDAD_MENSUAL'!$A$1:$G$205</definedName>
    <definedName function="false" hidden="true" localSheetId="12" name="_xlnm._FilterDatabase" vbProcedure="false">'11_PARAMETROS'!$A$1:$H$23</definedName>
    <definedName function="false" hidden="true" localSheetId="13" name="_xlnm._FilterDatabase" vbProcedure="false">'12_REG_ENTREGAS'!$A$1:$N$1</definedName>
    <definedName function="false" hidden="true" localSheetId="14" name="_xlnm._FilterDatabase" vbProcedure="false">'13_REG_PARADAS'!$A$1:$J$1</definedName>
    <definedName function="false" hidden="true" localSheetId="15" name="_xlnm._FilterDatabase" vbProcedure="false">'14_REG_CALIDAD'!$A$1:$J$1</definedName>
    <definedName function="false" hidden="true" localSheetId="16" name="_xlnm._FilterDatabase" vbProcedure="false">'15_REG_TIEMPOS'!$A$1:$K$1</definedName>
    <definedName function="false" hidden="true" localSheetId="17" name="_xlnm._FilterDatabase" vbProcedure="false">'16_REG_HABILIDADES'!$A$1:$F$1</definedName>
    <definedName function="false" hidden="false" name="p_anio_base" vbProcedure="false">'11_PARAMETROS'!$C$8</definedName>
    <definedName function="false" hidden="false" name="p_aplicar_feriados" vbProcedure="false">'11_PARAMETROS'!$C$7</definedName>
    <definedName function="false" hidden="false" name="p_aprovechamiento_chapa" vbProcedure="false">'11_PARAMETROS'!$C$13</definedName>
    <definedName function="false" hidden="false" name="p_aprovechamiento_perfil" vbProcedure="false">'11_PARAMETROS'!$C$14</definedName>
    <definedName function="false" hidden="false" name="p_area_plancha_m2" vbProcedure="false">'11_PARAMETROS'!$C$15</definedName>
    <definedName function="false" hidden="false" name="p_capacidad_horno_carga" vbProcedure="false">'11_PARAMETROS'!$C$22</definedName>
    <definedName function="false" hidden="false" name="p_ciclo_horno_min" vbProcedure="false">'11_PARAMETROS'!$C$21</definedName>
    <definedName function="false" hidden="false" name="p_costo_hora_hombre" vbProcedure="false">'11_PARAMETROS'!$C$16</definedName>
    <definedName function="false" hidden="false" name="p_densidad_acero" vbProcedure="false">'11_PARAMETROS'!$C$11</definedName>
    <definedName function="false" hidden="false" name="p_horas_productivas_dia" vbProcedure="false">'11_PARAMETROS'!$C$4</definedName>
    <definedName function="false" hidden="false" name="p_kg_por_m_perfil" vbProcedure="false">'11_PARAMETROS'!$C$12</definedName>
    <definedName function="false" hidden="false" name="p_tarifa_electrica" vbProcedure="false">'11_PARAMETROS'!$C$17</definedName>
    <definedName function="false" hidden="false" name="p_trabajadores_produccion" vbProcedure="false">'11_PARAMETROS'!$C$2</definedName>
    <definedName function="false" hidden="false" name="p_turnos_por_dia" vbProcedure="false">'11_PARAMETROS'!$C$3</definedName>
    <definedName function="false" hidden="false" name="p_uit_2025" vbProcedure="false">'11_PARAMETROS'!$C$20</definedName>
    <definedName function="false" hidden="false" name="p_ventas_anuales" vbProcedure="false">'11_PARAMETROS'!$C$19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Clave de familia.
Naturaleza: REAL
Obligatorio</t>
        </r>
      </text>
    </comment>
    <comment ref="B1" authorId="0">
      <text>
        <r>
          <rPr>
            <sz val="10"/>
            <rFont val="Arial"/>
            <family val="2"/>
          </rPr>
          <t xml:space="preserve">Familia productiva declarada por la empresa.
Naturaleza: REAL
Obligatorio</t>
        </r>
      </text>
    </comment>
    <comment ref="C1" authorId="0">
      <text>
        <r>
          <rPr>
            <sz val="10"/>
            <rFont val="Arial"/>
            <family val="2"/>
          </rPr>
          <t xml:space="preserve">Unidades agregadas 2025 del archivo de la empresa.
Unidad: und
Naturaleza: REAL
Obligatorio</t>
        </r>
      </text>
    </comment>
    <comment ref="D1" authorId="0">
      <text>
        <r>
          <rPr>
            <sz val="10"/>
            <rFont val="Arial"/>
            <family val="2"/>
          </rPr>
          <t xml:space="preserve">Ventas agregadas 2025 del archivo de la empresa.
Unidad: S/
Naturaleza: REAL
Obligatorio</t>
        </r>
      </text>
    </comment>
    <comment ref="E1" authorId="0">
      <text>
        <r>
          <rPr>
            <sz val="10"/>
            <rFont val="Arial"/>
            <family val="2"/>
          </rPr>
          <t xml:space="preserve">= ventas / unidades.
Unidad: S/ por und
Naturaleza: CALCULADO
Obligatorio</t>
        </r>
      </text>
    </comment>
    <comment ref="F1" authorId="0">
      <text>
        <r>
          <rPr>
            <sz val="10"/>
            <rFont val="Arial"/>
            <family val="2"/>
          </rPr>
          <t xml:space="preserve">Fracción del valor del pedido si se entrega tarde.
Unidad: fracción
Naturaleza: ESTIMADO
Obligatorio</t>
        </r>
      </text>
    </comment>
    <comment ref="G1" authorId="0">
      <text>
        <r>
          <rPr>
            <sz val="10"/>
            <rFont val="Arial"/>
            <family val="2"/>
          </rPr>
          <t xml:space="preserve">Fracción diaria (0 = no se usa).
Unidad: fracción/día
Naturaleza: ESTIMADO
Obligatorio</t>
        </r>
      </text>
    </comment>
    <comment ref="H1" authorId="0">
      <text>
        <r>
          <rPr>
            <sz val="10"/>
            <rFont val="Arial"/>
            <family val="2"/>
          </rPr>
          <t xml:space="preserve">Naturaleza principal de la fila.
Obligatorio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Clave de producto.
Obligatorio</t>
        </r>
      </text>
    </comment>
    <comment ref="B1" authorId="0">
      <text>
        <r>
          <rPr>
            <sz val="10"/>
            <rFont val="Arial"/>
            <family val="2"/>
          </rPr>
          <t xml:space="preserve">Familia (01_FAMILIAS).
Obligatorio</t>
        </r>
      </text>
    </comment>
    <comment ref="C1" authorId="0">
      <text>
        <r>
          <rPr>
            <sz val="10"/>
            <rFont val="Arial"/>
            <family val="2"/>
          </rPr>
          <t xml:space="preserve">Nombre del producto (clave que usa Python).
Obligatorio</t>
        </r>
      </text>
    </comment>
    <comment ref="D1" authorId="0">
      <text>
        <r>
          <rPr>
            <sz val="10"/>
            <rFont val="Arial"/>
            <family val="2"/>
          </rPr>
          <t xml:space="preserve">Tipo comercial.
Obligatorio</t>
        </r>
      </text>
    </comment>
    <comment ref="E1" authorId="0">
      <text>
        <r>
          <rPr>
            <sz val="10"/>
            <rFont val="Arial"/>
            <family val="2"/>
          </rPr>
          <t xml:space="preserve">Alto exterior.
Unidad: cm
Naturaleza: ESTIMADO
Obligatorio</t>
        </r>
      </text>
    </comment>
    <comment ref="F1" authorId="0">
      <text>
        <r>
          <rPr>
            <sz val="10"/>
            <rFont val="Arial"/>
            <family val="2"/>
          </rPr>
          <t xml:space="preserve">Ancho exterior.
Unidad: cm
Naturaleza: ESTIMADO
Obligatorio</t>
        </r>
      </text>
    </comment>
    <comment ref="G1" authorId="0">
      <text>
        <r>
          <rPr>
            <sz val="10"/>
            <rFont val="Arial"/>
            <family val="2"/>
          </rPr>
          <t xml:space="preserve">Fondo exterior.
Unidad: cm
Naturaleza: ESTIMADO
Obligatorio</t>
        </r>
      </text>
    </comment>
    <comment ref="H1" authorId="0">
      <text>
        <r>
          <rPr>
            <sz val="10"/>
            <rFont val="Arial"/>
            <family val="2"/>
          </rPr>
          <t xml:space="preserve">Número de puertas (vacío = no aplica).
Unidad: und
Opcional (vacío válido)</t>
        </r>
      </text>
    </comment>
    <comment ref="I1" authorId="0">
      <text>
        <r>
          <rPr>
            <sz val="10"/>
            <rFont val="Arial"/>
            <family val="2"/>
          </rPr>
          <t xml:space="preserve">Tamaño de lote de fabricación.
Unidad: und
Naturaleza: ESTIMADO
Obligatorio</t>
        </r>
      </text>
    </comment>
    <comment ref="J1" authorId="0">
      <text>
        <r>
          <rPr>
            <sz val="10"/>
            <rFont val="Arial"/>
            <family val="2"/>
          </rPr>
          <t xml:space="preserve">Líneas de despiece (fórmula).
Naturaleza: CALCULADO
Obligatorio</t>
        </r>
      </text>
    </comment>
    <comment ref="K1" authorId="0">
      <text>
        <r>
          <rPr>
            <sz val="10"/>
            <rFont val="Arial"/>
            <family val="2"/>
          </rPr>
          <t xml:space="preserve">Pasos de ruta (fórmula).
Naturaleza: CALCULADO
Obligatorio</t>
        </r>
      </text>
    </comment>
    <comment ref="L1" authorId="0">
      <text>
        <r>
          <rPr>
            <sz val="10"/>
            <rFont val="Arial"/>
            <family val="2"/>
          </rPr>
          <t xml:space="preserve">1 si ≥5 productos comparten exactamente las mismas dimensiones (indicio de plantilla, no de medición).
Naturaleza: CALCULADO
Obligatorio</t>
        </r>
      </text>
    </comment>
    <comment ref="M1" authorId="0">
      <text>
        <r>
          <rPr>
            <sz val="10"/>
            <rFont val="Arial"/>
            <family val="2"/>
          </rPr>
          <t xml:space="preserve">Naturaleza principal de la fila.
Obligatorio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Clave técnica del material.
Obligatorio</t>
        </r>
      </text>
    </comment>
    <comment ref="B1" authorId="0">
      <text>
        <r>
          <rPr>
            <sz val="10"/>
            <rFont val="Arial"/>
            <family val="2"/>
          </rPr>
          <t xml:space="preserve">Descripción.
Obligatorio</t>
        </r>
      </text>
    </comment>
    <comment ref="C1" authorId="0">
      <text>
        <r>
          <rPr>
            <sz val="10"/>
            <rFont val="Arial"/>
            <family val="2"/>
          </rPr>
          <t xml:space="preserve">Grupo normalizado.
Obligatorio</t>
        </r>
      </text>
    </comment>
    <comment ref="D1" authorId="0">
      <text>
        <r>
          <rPr>
            <sz val="10"/>
            <rFont val="Arial"/>
            <family val="2"/>
          </rPr>
          <t xml:space="preserve">Unidad del costo unitario.
Obligatorio</t>
        </r>
      </text>
    </comment>
    <comment ref="E1" authorId="0">
      <text>
        <r>
          <rPr>
            <sz val="10"/>
            <rFont val="Arial"/>
            <family val="2"/>
          </rPr>
          <t xml:space="preserve">Espesor nominal (vacío = no especificado).
Unidad: mm
Opcional (vacío válido)</t>
        </r>
      </text>
    </comment>
    <comment ref="F1" authorId="0">
      <text>
        <r>
          <rPr>
            <sz val="10"/>
            <rFont val="Arial"/>
            <family val="2"/>
          </rPr>
          <t xml:space="preserve">Ancho del formato de compra.
Unidad: m
Opcional (vacío válido)</t>
        </r>
      </text>
    </comment>
    <comment ref="G1" authorId="0">
      <text>
        <r>
          <rPr>
            <sz val="10"/>
            <rFont val="Arial"/>
            <family val="2"/>
          </rPr>
          <t xml:space="preserve">Largo del formato de compra.
Unidad: m
Opcional (vacío válido)</t>
        </r>
      </text>
    </comment>
    <comment ref="H1" authorId="0">
      <text>
        <r>
          <rPr>
            <sz val="10"/>
            <rFont val="Arial"/>
            <family val="2"/>
          </rPr>
          <t xml:space="preserve">Costo por unidad de costo (vacío = sin cotización).
Unidad: S/
Naturaleza: ESTIMADO
Opcional (vacío válido)</t>
        </r>
      </text>
    </comment>
    <comment ref="I1" authorId="0">
      <text>
        <r>
          <rPr>
            <sz val="10"/>
            <rFont val="Arial"/>
            <family val="2"/>
          </rPr>
          <t xml:space="preserve">1 = material genérico (sección o tipo por definir).
Obligatorio</t>
        </r>
      </text>
    </comment>
    <comment ref="J1" authorId="0">
      <text>
        <r>
          <rPr>
            <sz val="10"/>
            <rFont val="Arial"/>
            <family val="2"/>
          </rPr>
          <t xml:space="preserve">ESTIMADO si tiene costo; PENDIENTE si falta el costo.
Obligatorio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Clave de línea de despiece.
Obligatorio</t>
        </r>
      </text>
    </comment>
    <comment ref="B1" authorId="0">
      <text>
        <r>
          <rPr>
            <sz val="10"/>
            <rFont val="Arial"/>
            <family val="2"/>
          </rPr>
          <t xml:space="preserve">Producto.
Obligatorio</t>
        </r>
      </text>
    </comment>
    <comment ref="C1" authorId="0">
      <text>
        <r>
          <rPr>
            <sz val="10"/>
            <rFont val="Arial"/>
            <family val="2"/>
          </rPr>
          <t xml:space="preserve">Componente.
Obligatorio</t>
        </r>
      </text>
    </comment>
    <comment ref="D1" authorId="0">
      <text>
        <r>
          <rPr>
            <sz val="10"/>
            <rFont val="Arial"/>
            <family val="2"/>
          </rPr>
          <t xml:space="preserve">Material (03_MATERIALES).
Obligatorio</t>
        </r>
      </text>
    </comment>
    <comment ref="E1" authorId="0">
      <text>
        <r>
          <rPr>
            <sz val="10"/>
            <rFont val="Arial"/>
            <family val="2"/>
          </rPr>
          <t xml:space="preserve">CHAPA_AREA | PERFIL_LONGITUD | UNIDAD | SIN_PRECIO.
Obligatorio</t>
        </r>
      </text>
    </comment>
    <comment ref="F1" authorId="0">
      <text>
        <r>
          <rPr>
            <sz val="10"/>
            <rFont val="Arial"/>
            <family val="2"/>
          </rPr>
          <t xml:space="preserve">Piezas por unidad de producto.
Unidad: pzas
Naturaleza: ESTIMADO
Obligatorio</t>
        </r>
      </text>
    </comment>
    <comment ref="G1" authorId="0">
      <text>
        <r>
          <rPr>
            <sz val="10"/>
            <rFont val="Arial"/>
            <family val="2"/>
          </rPr>
          <t xml:space="preserve">Desarrollo de la pieza de chapa.
Unidad: mm
Opcional (vacío válido)</t>
        </r>
      </text>
    </comment>
    <comment ref="H1" authorId="0">
      <text>
        <r>
          <rPr>
            <sz val="10"/>
            <rFont val="Arial"/>
            <family val="2"/>
          </rPr>
          <t xml:space="preserve">Desarrollo de la pieza de chapa.
Unidad: mm
Opcional (vacío válido)</t>
        </r>
      </text>
    </comment>
    <comment ref="I1" authorId="0">
      <text>
        <r>
          <rPr>
            <sz val="10"/>
            <rFont val="Arial"/>
            <family val="2"/>
          </rPr>
          <t xml:space="preserve">Longitud de perfil por pieza.
Unidad: m
Opcional (vacío válido)</t>
        </r>
      </text>
    </comment>
    <comment ref="J1" authorId="0">
      <text>
        <r>
          <rPr>
            <sz val="10"/>
            <rFont val="Arial"/>
            <family val="2"/>
          </rPr>
          <t xml:space="preserve">Área por PIEZA (fórmula ancho×alto si hay medidas).
Unidad: m²
Opcional (vacío válido)</t>
        </r>
      </text>
    </comment>
    <comment ref="K1" authorId="0">
      <text>
        <r>
          <rPr>
            <sz val="10"/>
            <rFont val="Arial"/>
            <family val="2"/>
          </rPr>
          <t xml:space="preserve">Masa por unidad de producto (fórmula; vacío si no es calculable).
Unidad: kg
Naturaleza: CALCULADO
Opcional (vacío válido)</t>
        </r>
      </text>
    </comment>
    <comment ref="L1" authorId="0">
      <text>
        <r>
          <rPr>
            <sz val="10"/>
            <rFont val="Arial"/>
            <family val="2"/>
          </rPr>
          <t xml:space="preserve">Costo de la línea por unidad de producto (fórmula).
Unidad: S/
Naturaleza: CALCULADO
Opcional (vacío válido)</t>
        </r>
      </text>
    </comment>
    <comment ref="M1" authorId="0">
      <text>
        <r>
          <rPr>
            <sz val="10"/>
            <rFont val="Arial"/>
            <family val="2"/>
          </rPr>
          <t xml:space="preserve">Piezas × área / área de plancha (corregido en v2).
Unidad: planchas
Naturaleza: CALCULADO
Opcional (vacío válido)</t>
        </r>
      </text>
    </comment>
    <comment ref="N1" authorId="0">
      <text>
        <r>
          <rPr>
            <sz val="10"/>
            <rFont val="Arial"/>
            <family val="2"/>
          </rPr>
          <t xml:space="preserve">Naturaleza de la fila.
Obligatorio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Clave del recurso.
Obligatorio</t>
        </r>
      </text>
    </comment>
    <comment ref="B1" authorId="0">
      <text>
        <r>
          <rPr>
            <sz val="10"/>
            <rFont val="Arial"/>
            <family val="2"/>
          </rPr>
          <t xml:space="preserve">Nombre (clave que usa Python).
Obligatorio</t>
        </r>
      </text>
    </comment>
    <comment ref="C1" authorId="0">
      <text>
        <r>
          <rPr>
            <sz val="10"/>
            <rFont val="Arial"/>
            <family val="2"/>
          </rPr>
          <t xml:space="preserve">Descripción técnica.
Obligatorio</t>
        </r>
      </text>
    </comment>
    <comment ref="D1" authorId="0">
      <text>
        <r>
          <rPr>
            <sz val="10"/>
            <rFont val="Arial"/>
            <family val="2"/>
          </rPr>
          <t xml:space="preserve">MAQUINA | EQUIPO_MANUAL | PUESTO_MANUAL | AREA | EXTERNO.
Naturaleza: ESTIMADO
Obligatorio</t>
        </r>
      </text>
    </comment>
    <comment ref="E1" authorId="0">
      <text>
        <r>
          <rPr>
            <sz val="10"/>
            <rFont val="Arial"/>
            <family val="2"/>
          </rPr>
          <t xml:space="preserve">Unidades del recurso en el escenario.
Unidad: und
Naturaleza: ESTIMADO
Obligatorio</t>
        </r>
      </text>
    </comment>
    <comment ref="F1" authorId="0">
      <text>
        <r>
          <rPr>
            <sz val="10"/>
            <rFont val="Arial"/>
            <family val="2"/>
          </rPr>
          <t xml:space="preserve">Tarifa de uso (vacío = sin dato).
Unidad: S/ por h
Naturaleza: ESTIMADO
Opcional (vacío válido)</t>
        </r>
      </text>
    </comment>
    <comment ref="G1" authorId="0">
      <text>
        <r>
          <rPr>
            <sz val="10"/>
            <rFont val="Arial"/>
            <family val="2"/>
          </rPr>
          <t xml:space="preserve">Potencia de catálogo.
Unidad: kW
Naturaleza: ESTIMADO
Obligatorio</t>
        </r>
      </text>
    </comment>
    <comment ref="H1" authorId="0">
      <text>
        <r>
          <rPr>
            <sz val="10"/>
            <rFont val="Arial"/>
            <family val="2"/>
          </rPr>
          <t xml:space="preserve">Factor medio de carga eléctrica.
Unidad: fracción
Naturaleza: ESTIMADO
Obligatorio</t>
        </r>
      </text>
    </comment>
    <comment ref="I1" authorId="0">
      <text>
        <r>
          <rPr>
            <sz val="10"/>
            <rFont val="Arial"/>
            <family val="2"/>
          </rPr>
          <t xml:space="preserve">Grupo de personal.
Naturaleza: ESTIMADO
Obligatorio</t>
        </r>
      </text>
    </comment>
    <comment ref="J1" authorId="0">
      <text>
        <r>
          <rPr>
            <sz val="10"/>
            <rFont val="Arial"/>
            <family val="2"/>
          </rPr>
          <t xml:space="preserve">1 = recurso de estudio (plegadora).
Obligatorio</t>
        </r>
      </text>
    </comment>
    <comment ref="K1" authorId="0">
      <text>
        <r>
          <rPr>
            <sz val="10"/>
            <rFont val="Arial"/>
            <family val="2"/>
          </rPr>
          <t xml:space="preserve">1 solo cuando la empresa confirme la existencia física.
Naturaleza: PENDIENTE
Obligatorio</t>
        </r>
      </text>
    </comment>
    <comment ref="L1" authorId="0">
      <text>
        <r>
          <rPr>
            <sz val="10"/>
            <rFont val="Arial"/>
            <family val="2"/>
          </rPr>
          <t xml:space="preserve">Naturaleza de la fila.
Obligatorio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Producto.
Obligatorio</t>
        </r>
      </text>
    </comment>
    <comment ref="B1" authorId="0">
      <text>
        <r>
          <rPr>
            <sz val="10"/>
            <rFont val="Arial"/>
            <family val="2"/>
          </rPr>
          <t xml:space="preserve">Número de paso (1..n).
Obligatorio</t>
        </r>
      </text>
    </comment>
    <comment ref="C1" authorId="0">
      <text>
        <r>
          <rPr>
            <sz val="10"/>
            <rFont val="Arial"/>
            <family val="2"/>
          </rPr>
          <t xml:space="preserve">Operación.
Obligatorio</t>
        </r>
      </text>
    </comment>
    <comment ref="D1" authorId="0">
      <text>
        <r>
          <rPr>
            <sz val="10"/>
            <rFont val="Arial"/>
            <family val="2"/>
          </rPr>
          <t xml:space="preserve">Recurso principal.
Obligatorio</t>
        </r>
      </text>
    </comment>
    <comment ref="E1" authorId="0">
      <text>
        <r>
          <rPr>
            <sz val="10"/>
            <rFont val="Arial"/>
            <family val="2"/>
          </rPr>
          <t xml:space="preserve">Paso anterior (vacío = primera operación).
Opcional (vacío válido)</t>
        </r>
      </text>
    </comment>
    <comment ref="F1" authorId="0">
      <text>
        <r>
          <rPr>
            <sz val="10"/>
            <rFont val="Arial"/>
            <family val="2"/>
          </rPr>
          <t xml:space="preserve">Preparación por lote.
Unidad: min por lote
Naturaleza: ESTIMADO
Obligatorio</t>
        </r>
      </text>
    </comment>
    <comment ref="G1" authorId="0">
      <text>
        <r>
          <rPr>
            <sz val="10"/>
            <rFont val="Arial"/>
            <family val="2"/>
          </rPr>
          <t xml:space="preserve">Tiempo por unidad de producto.
Unidad: min por und
Naturaleza: ESTIMADO
Obligatorio</t>
        </r>
      </text>
    </comment>
    <comment ref="H1" authorId="0">
      <text>
        <r>
          <rPr>
            <sz val="10"/>
            <rFont val="Arial"/>
            <family val="2"/>
          </rPr>
          <t xml:space="preserve">POR_UNIDAD | POR_LOTE.
Obligatorio</t>
        </r>
      </text>
    </comment>
    <comment ref="I1" authorId="0">
      <text>
        <r>
          <rPr>
            <sz val="10"/>
            <rFont val="Arial"/>
            <family val="2"/>
          </rPr>
          <t xml:space="preserve">Minutos de ciclo de horno ya incluidos en min_fijos_lote.
Unidad: min
Opcional (vacío válido)</t>
        </r>
      </text>
    </comment>
    <comment ref="J1" authorId="0">
      <text>
        <r>
          <rPr>
            <sz val="10"/>
            <rFont val="Arial"/>
            <family val="2"/>
          </rPr>
          <t xml:space="preserve">HEREDADO_SIN_CRONOMETRAJE | HIPOTESIS_TECNICA.
Obligatorio</t>
        </r>
      </text>
    </comment>
    <comment ref="K1" authorId="0">
      <text>
        <r>
          <rPr>
            <sz val="10"/>
            <rFont val="Arial"/>
            <family val="2"/>
          </rPr>
          <t xml:space="preserve">Naturaleza de la fila.
Obligatorio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Producto.
Obligatorio</t>
        </r>
      </text>
    </comment>
    <comment ref="B1" authorId="0">
      <text>
        <r>
          <rPr>
            <sz val="10"/>
            <rFont val="Arial"/>
            <family val="2"/>
          </rPr>
          <t xml:space="preserve">Paso.
Obligatorio</t>
        </r>
      </text>
    </comment>
    <comment ref="C1" authorId="0">
      <text>
        <r>
          <rPr>
            <sz val="10"/>
            <rFont val="Arial"/>
            <family val="2"/>
          </rPr>
          <t xml:space="preserve">Recurso elegible.
Obligatorio</t>
        </r>
      </text>
    </comment>
    <comment ref="D1" authorId="0">
      <text>
        <r>
          <rPr>
            <sz val="10"/>
            <rFont val="Arial"/>
            <family val="2"/>
          </rPr>
          <t xml:space="preserve">PRINCIPAL | ALT_UTILLAJE | ALT_MISMO_PROCESO.
Obligatorio</t>
        </r>
      </text>
    </comment>
    <comment ref="E1" authorId="0">
      <text>
        <r>
          <rPr>
            <sz val="10"/>
            <rFont val="Arial"/>
            <family val="2"/>
          </rPr>
          <t xml:space="preserve">1 = elegible.
Obligatorio</t>
        </r>
      </text>
    </comment>
    <comment ref="F1" authorId="0">
      <text>
        <r>
          <rPr>
            <sz val="10"/>
            <rFont val="Arial"/>
            <family val="2"/>
          </rPr>
          <t xml:space="preserve">Multiplicador del tiempo de ruta en ese recurso.
Unidad: ×
Naturaleza: ESTIMADO
Obligatorio</t>
        </r>
      </text>
    </comment>
    <comment ref="G1" authorId="0">
      <text>
        <r>
          <rPr>
            <sz val="10"/>
            <rFont val="Arial"/>
            <family val="2"/>
          </rPr>
          <t xml:space="preserve">CALCULADO (principal) / ESTIMADO (alternativa).
Obligatorio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Seudónimo del trabajador (25 confirmados).
Naturaleza: REAL
Obligatorio</t>
        </r>
      </text>
    </comment>
    <comment ref="B1" authorId="0">
      <text>
        <r>
          <rPr>
            <sz val="10"/>
            <rFont val="Arial"/>
            <family val="2"/>
          </rPr>
          <t xml:space="preserve">Turno asignado.
Naturaleza: REAL
Obligatorio</t>
        </r>
      </text>
    </comment>
    <comment ref="C1" authorId="0">
      <text>
        <r>
          <rPr>
            <sz val="10"/>
            <rFont val="Arial"/>
            <family val="2"/>
          </rPr>
          <t xml:space="preserve">Entrada.
Naturaleza: ESTIMADO
Obligatorio</t>
        </r>
      </text>
    </comment>
    <comment ref="D1" authorId="0">
      <text>
        <r>
          <rPr>
            <sz val="10"/>
            <rFont val="Arial"/>
            <family val="2"/>
          </rPr>
          <t xml:space="preserve">Salida.
Naturaleza: ESTIMADO
Obligatorio</t>
        </r>
      </text>
    </comment>
    <comment ref="E1" authorId="0">
      <text>
        <r>
          <rPr>
            <sz val="10"/>
            <rFont val="Arial"/>
            <family val="2"/>
          </rPr>
          <t xml:space="preserve">Descanso no productivo.
Unidad: h
Naturaleza: ESTIMADO
Obligatorio</t>
        </r>
      </text>
    </comment>
    <comment ref="F1" authorId="0">
      <text>
        <r>
          <rPr>
            <sz val="10"/>
            <rFont val="Arial"/>
            <family val="2"/>
          </rPr>
          <t xml:space="preserve">Horas netas confirmadas.
Unidad: h
Naturaleza: REAL
Obligatorio</t>
        </r>
      </text>
    </comment>
    <comment ref="G1" authorId="0">
      <text>
        <r>
          <rPr>
            <sz val="10"/>
            <rFont val="Arial"/>
            <family val="2"/>
          </rPr>
          <t xml:space="preserve">(salida − entrada) − descanso; debe igualar horas netas.
Unidad: h
Naturaleza: CALCULADO
Obligatorio</t>
        </r>
      </text>
    </comment>
    <comment ref="H1" authorId="0">
      <text>
        <r>
          <rPr>
            <sz val="10"/>
            <rFont val="Arial"/>
            <family val="2"/>
          </rPr>
          <t xml:space="preserve">Naturaleza principal (existencia y jornada).
Obligatorio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Fecha.
Obligatorio</t>
        </r>
      </text>
    </comment>
    <comment ref="B1" authorId="0">
      <text>
        <r>
          <rPr>
            <sz val="10"/>
            <rFont val="Arial"/>
            <family val="2"/>
          </rPr>
          <t xml:space="preserve">1 = lunes … 7 = domingo (fórmula).
Naturaleza: CALCULADO
Obligatorio</t>
        </r>
      </text>
    </comment>
    <comment ref="C1" authorId="0">
      <text>
        <r>
          <rPr>
            <sz val="10"/>
            <rFont val="Arial"/>
            <family val="2"/>
          </rPr>
          <t xml:space="preserve">Día laborable del calendario base (lunes-viernes).
Naturaleza: ESTIMADO
Obligatorio</t>
        </r>
      </text>
    </comment>
    <comment ref="D1" authorId="0">
      <text>
        <r>
          <rPr>
            <sz val="10"/>
            <rFont val="Arial"/>
            <family val="2"/>
          </rPr>
          <t xml:space="preserve">Nombre del feriado nacional (vacío = no feriado).
Naturaleza: REFERENCIA
Opcional (vacío válido)</t>
        </r>
      </text>
    </comment>
    <comment ref="E1" authorId="0">
      <text>
        <r>
          <rPr>
            <sz val="10"/>
            <rFont val="Arial"/>
            <family val="2"/>
          </rPr>
          <t xml:space="preserve">Fórmula: aplica feriados si p_aplicar_feriados = 1.
Naturaleza: CALCULADO
Obligatorio</t>
        </r>
      </text>
    </comment>
    <comment ref="F1" authorId="0">
      <text>
        <r>
          <rPr>
            <sz val="10"/>
            <rFont val="Arial"/>
            <family val="2"/>
          </rPr>
          <t xml:space="preserve">productivo_efectivo × horas por día.
Unidad: h
Naturaleza: CALCULADO
Obligatorio</t>
        </r>
      </text>
    </comment>
    <comment ref="G1" authorId="0">
      <text>
        <r>
          <rPr>
            <sz val="10"/>
            <rFont val="Arial"/>
            <family val="2"/>
          </rPr>
          <t xml:space="preserve">Naturaleza principal.
Obligatorio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Recurso.
Obligatorio</t>
        </r>
      </text>
    </comment>
    <comment ref="B1" authorId="0">
      <text>
        <r>
          <rPr>
            <sz val="10"/>
            <rFont val="Arial"/>
            <family val="2"/>
          </rPr>
          <t xml:space="preserve">Mes del año base.
Obligatorio</t>
        </r>
      </text>
    </comment>
    <comment ref="C1" authorId="0">
      <text>
        <r>
          <rPr>
            <sz val="10"/>
            <rFont val="Arial"/>
            <family val="2"/>
          </rPr>
          <t xml:space="preserve">Días productivos efectivos del mes (fórmula).
Unidad: días
Naturaleza: CALCULADO
Obligatorio</t>
        </r>
      </text>
    </comment>
    <comment ref="D1" authorId="0">
      <text>
        <r>
          <rPr>
            <sz val="10"/>
            <rFont val="Arial"/>
            <family val="2"/>
          </rPr>
          <t xml:space="preserve">Horas productivas por día.
Unidad: h
Naturaleza: REAL
Obligatorio</t>
        </r>
      </text>
    </comment>
    <comment ref="E1" authorId="0">
      <text>
        <r>
          <rPr>
            <sz val="10"/>
            <rFont val="Arial"/>
            <family val="2"/>
          </rPr>
          <t xml:space="preserve">Unidades del recurso.
Naturaleza: ESTIMADO
Obligatorio</t>
        </r>
      </text>
    </comment>
    <comment ref="F1" authorId="0">
      <text>
        <r>
          <rPr>
            <sz val="10"/>
            <rFont val="Arial"/>
            <family val="2"/>
          </rPr>
          <t xml:space="preserve">días × horas × cantidad (sin descontar paradas: no hay historial).
Unidad: h
Naturaleza: CALCULADO
Obligatorio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Clave única del parámetro (nombre definido p_&lt;id&gt;).
Obligatorio</t>
        </r>
      </text>
    </comment>
    <comment ref="B1" authorId="0">
      <text>
        <r>
          <rPr>
            <sz val="10"/>
            <rFont val="Arial"/>
            <family val="2"/>
          </rPr>
          <t xml:space="preserve">Nombre descriptivo; coincide con el nombre que lee Python cuando aplica.
Obligatorio</t>
        </r>
      </text>
    </comment>
    <comment ref="C1" authorId="0">
      <text>
        <r>
          <rPr>
            <sz val="10"/>
            <rFont val="Arial"/>
            <family val="2"/>
          </rPr>
          <t xml:space="preserve">Valor numérico (vacío si el parámetro es textual o pendiente).
Opcional (vacío válido)</t>
        </r>
      </text>
    </comment>
    <comment ref="D1" authorId="0">
      <text>
        <r>
          <rPr>
            <sz val="10"/>
            <rFont val="Arial"/>
            <family val="2"/>
          </rPr>
          <t xml:space="preserve">Valor textual (horarios, reglas).
Opcional (vacío válido)</t>
        </r>
      </text>
    </comment>
    <comment ref="E1" authorId="0">
      <text>
        <r>
          <rPr>
            <sz val="10"/>
            <rFont val="Arial"/>
            <family val="2"/>
          </rPr>
          <t xml:space="preserve">Unidad de medida.
Obligatorio</t>
        </r>
      </text>
    </comment>
    <comment ref="F1" authorId="0">
      <text>
        <r>
          <rPr>
            <sz val="10"/>
            <rFont val="Arial"/>
            <family val="2"/>
          </rPr>
          <t xml:space="preserve">Código de 00_CODIGOS.
Obligatorio</t>
        </r>
      </text>
    </comment>
    <comment ref="G1" authorId="0">
      <text>
        <r>
          <rPr>
            <sz val="10"/>
            <rFont val="Arial"/>
            <family val="2"/>
          </rPr>
          <t xml:space="preserve">Límite o fuente.
Opcional (vacío válido)</t>
        </r>
      </text>
    </comment>
    <comment ref="H1" authorId="0">
      <text>
        <r>
          <rPr>
            <sz val="10"/>
            <rFont val="Arial"/>
            <family val="2"/>
          </rPr>
          <t xml:space="preserve">1 si Optimizacion_MILP_SAGAPI.py lo lee.
Obligatorio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Código del pedido/OT de SAGAPI.
Obligatorio</t>
        </r>
      </text>
    </comment>
    <comment ref="B1" authorId="0">
      <text>
        <r>
          <rPr>
            <sz val="10"/>
            <rFont val="Arial"/>
            <family val="2"/>
          </rPr>
          <t xml:space="preserve">Producto.
Obligatorio</t>
        </r>
      </text>
    </comment>
    <comment ref="C1" authorId="0">
      <text>
        <r>
          <rPr>
            <sz val="10"/>
            <rFont val="Arial"/>
            <family val="2"/>
          </rPr>
          <t xml:space="preserve">Código anónimo del cliente.
Opcional (vacío válido)</t>
        </r>
      </text>
    </comment>
    <comment ref="D1" authorId="0">
      <text>
        <r>
          <rPr>
            <sz val="10"/>
            <rFont val="Arial"/>
            <family val="2"/>
          </rPr>
          <t xml:space="preserve">Unidades pedidas.
Unidad: und
Obligatorio</t>
        </r>
      </text>
    </comment>
    <comment ref="E1" authorId="0">
      <text>
        <r>
          <rPr>
            <sz val="10"/>
            <rFont val="Arial"/>
            <family val="2"/>
          </rPr>
          <t xml:space="preserve">AAAA-MM-DD.
Obligatorio</t>
        </r>
      </text>
    </comment>
    <comment ref="F1" authorId="0">
      <text>
        <r>
          <rPr>
            <sz val="10"/>
            <rFont val="Arial"/>
            <family val="2"/>
          </rPr>
          <t xml:space="preserve">Fecha en que se puede iniciar (material disponible).
Obligatorio</t>
        </r>
      </text>
    </comment>
    <comment ref="G1" authorId="0">
      <text>
        <r>
          <rPr>
            <sz val="10"/>
            <rFont val="Arial"/>
            <family val="2"/>
          </rPr>
          <t xml:space="preserve">Fecha pactada con el cliente.
Obligatorio</t>
        </r>
      </text>
    </comment>
    <comment ref="H1" authorId="0">
      <text>
        <r>
          <rPr>
            <sz val="10"/>
            <rFont val="Arial"/>
            <family val="2"/>
          </rPr>
          <t xml:space="preserve">Fecha real de entrega.
Opcional (vacío válido)</t>
        </r>
      </text>
    </comment>
    <comment ref="I1" authorId="0">
      <text>
        <r>
          <rPr>
            <sz val="10"/>
            <rFont val="Arial"/>
            <family val="2"/>
          </rPr>
          <t xml:space="preserve">Unidad: und
Opcional (vacío válido)</t>
        </r>
      </text>
    </comment>
    <comment ref="J1" authorId="0">
      <text>
        <r>
          <rPr>
            <sz val="10"/>
            <rFont val="Arial"/>
            <family val="2"/>
          </rPr>
          <t xml:space="preserve">Unidad: und
Opcional (vacío válido)</t>
        </r>
      </text>
    </comment>
    <comment ref="K1" authorId="0">
      <text>
        <r>
          <rPr>
            <sz val="10"/>
            <rFont val="Arial"/>
            <family val="2"/>
          </rPr>
          <t xml:space="preserve">Precio total facturado.
Unidad: S/
Opcional (vacío válido)</t>
        </r>
      </text>
    </comment>
    <comment ref="L1" authorId="0">
      <text>
        <r>
          <rPr>
            <sz val="10"/>
            <rFont val="Arial"/>
            <family val="2"/>
          </rPr>
          <t xml:space="preserve">Penalidad pactada (si existe).
Opcional (vacío válido)</t>
        </r>
      </text>
    </comment>
    <comment ref="N1" authorId="0">
      <text>
        <r>
          <rPr>
            <sz val="10"/>
            <rFont val="Arial"/>
            <family val="2"/>
          </rPr>
          <t xml:space="preserve">Orden de compra, guía, factura.
Obligatorio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Correlativo.
Obligatorio</t>
        </r>
      </text>
    </comment>
    <comment ref="B1" authorId="0">
      <text>
        <r>
          <rPr>
            <sz val="10"/>
            <rFont val="Arial"/>
            <family val="2"/>
          </rPr>
          <t xml:space="preserve">Recurso (05_RECURSOS).
Obligatorio</t>
        </r>
      </text>
    </comment>
    <comment ref="C1" authorId="0">
      <text>
        <r>
          <rPr>
            <sz val="10"/>
            <rFont val="Arial"/>
            <family val="2"/>
          </rPr>
          <t xml:space="preserve">AAAA-MM-DD hh:mm.
Obligatorio</t>
        </r>
      </text>
    </comment>
    <comment ref="D1" authorId="0">
      <text>
        <r>
          <rPr>
            <sz val="10"/>
            <rFont val="Arial"/>
            <family val="2"/>
          </rPr>
          <t xml:space="preserve">AAAA-MM-DD hh:mm.
Obligatorio</t>
        </r>
      </text>
    </comment>
    <comment ref="E1" authorId="0">
      <text>
        <r>
          <rPr>
            <sz val="10"/>
            <rFont val="Arial"/>
            <family val="2"/>
          </rPr>
          <t xml:space="preserve">FALLA | MANTENIMIENTO | FALTA_MATERIAL | FALTA_PERSONAL | OTRO.
Obligatorio</t>
        </r>
      </text>
    </comment>
    <comment ref="H1" authorId="0">
      <text>
        <r>
          <rPr>
            <sz val="10"/>
            <rFont val="Arial"/>
            <family val="2"/>
          </rPr>
          <t xml:space="preserve">Unidad: pzas
Opcional (vacío válido)</t>
        </r>
      </text>
    </comment>
    <comment ref="J1" authorId="0">
      <text>
        <r>
          <rPr>
            <sz val="10"/>
            <rFont val="Arial"/>
            <family val="2"/>
          </rPr>
          <t xml:space="preserve">Bitácora, orden de trabajo de mantenimiento.
Obligatorio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AAAA-MM-DD.
Obligatorio</t>
        </r>
      </text>
    </comment>
    <comment ref="E1" authorId="0">
      <text>
        <r>
          <rPr>
            <sz val="10"/>
            <rFont val="Arial"/>
            <family val="2"/>
          </rPr>
          <t xml:space="preserve">Unidad: und
Obligatorio</t>
        </r>
      </text>
    </comment>
    <comment ref="F1" authorId="0">
      <text>
        <r>
          <rPr>
            <sz val="10"/>
            <rFont val="Arial"/>
            <family val="2"/>
          </rPr>
          <t xml:space="preserve">Unidad: und
Obligatorio</t>
        </r>
      </text>
    </comment>
    <comment ref="G1" authorId="0">
      <text>
        <r>
          <rPr>
            <sz val="10"/>
            <rFont val="Arial"/>
            <family val="2"/>
          </rPr>
          <t xml:space="preserve">Unidad: und
Obligatorio</t>
        </r>
      </text>
    </comment>
    <comment ref="I1" authorId="0">
      <text>
        <r>
          <rPr>
            <sz val="10"/>
            <rFont val="Arial"/>
            <family val="2"/>
          </rPr>
          <t xml:space="preserve">Unidad: h
Opcional (vacío válido)</t>
        </r>
      </text>
    </comment>
    <comment ref="J1" authorId="0">
      <text>
        <r>
          <rPr>
            <sz val="10"/>
            <rFont val="Arial"/>
            <family val="2"/>
          </rPr>
          <t xml:space="preserve">Unidad: S/
Opcional (vacío válido)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AAAA-MM-DD.
Obligatorio</t>
        </r>
      </text>
    </comment>
    <comment ref="F1" authorId="0">
      <text>
        <r>
          <rPr>
            <sz val="10"/>
            <rFont val="Arial"/>
            <family val="2"/>
          </rPr>
          <t xml:space="preserve">Unidad: und
Obligatorio</t>
        </r>
      </text>
    </comment>
    <comment ref="G1" authorId="0">
      <text>
        <r>
          <rPr>
            <sz val="10"/>
            <rFont val="Arial"/>
            <family val="2"/>
          </rPr>
          <t xml:space="preserve">Unidad: min
Obligatorio</t>
        </r>
      </text>
    </comment>
    <comment ref="H1" authorId="0">
      <text>
        <r>
          <rPr>
            <sz val="10"/>
            <rFont val="Arial"/>
            <family val="2"/>
          </rPr>
          <t xml:space="preserve">Unidad: min
Obligatorio</t>
        </r>
      </text>
    </comment>
    <comment ref="I1" authorId="0">
      <text>
        <r>
          <rPr>
            <sz val="10"/>
            <rFont val="Arial"/>
            <family val="2"/>
          </rPr>
          <t xml:space="preserve">Unidad: personas
Obligatorio</t>
        </r>
      </text>
    </comment>
    <comment ref="J1" authorId="0">
      <text>
        <r>
          <rPr>
            <sz val="10"/>
            <rFont val="Arial"/>
            <family val="2"/>
          </rPr>
          <t xml:space="preserve">CRONOMETRO | VIDEO | REGISTRO_OT.
Obligatorio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08_PERSONAL.
Obligatorio</t>
        </r>
      </text>
    </comment>
    <comment ref="B1" authorId="0">
      <text>
        <r>
          <rPr>
            <sz val="10"/>
            <rFont val="Arial"/>
            <family val="2"/>
          </rPr>
          <t xml:space="preserve">05_RECURSOS.
Obligatorio</t>
        </r>
      </text>
    </comment>
    <comment ref="C1" authorId="0">
      <text>
        <r>
          <rPr>
            <sz val="10"/>
            <rFont val="Arial"/>
            <family val="2"/>
          </rPr>
          <t xml:space="preserve">0 no opera; 1 con supervisión; 2 autónomo; 3 instructor.
Obligatorio</t>
        </r>
      </text>
    </comment>
    <comment ref="F1" authorId="0">
      <text>
        <r>
          <rPr>
            <sz val="10"/>
            <rFont val="Arial"/>
            <family val="2"/>
          </rPr>
          <t xml:space="preserve">AAAA-MM-DD.
Obligatorio</t>
        </r>
      </text>
    </comment>
  </commentList>
</comments>
</file>

<file path=xl/sharedStrings.xml><?xml version="1.0" encoding="utf-8"?>
<sst xmlns="http://schemas.openxmlformats.org/spreadsheetml/2006/main" count="8125" uniqueCount="1056">
  <si>
    <t xml:space="preserve">hoja</t>
  </si>
  <si>
    <t xml:space="preserve">columna</t>
  </si>
  <si>
    <t xml:space="preserve">tipo</t>
  </si>
  <si>
    <t xml:space="preserve">unidad</t>
  </si>
  <si>
    <t xml:space="preserve">obligatorio_1_0</t>
  </si>
  <si>
    <t xml:space="preserve">naturaleza</t>
  </si>
  <si>
    <t xml:space="preserve">descripcion</t>
  </si>
  <si>
    <t xml:space="preserve">usado_por_python</t>
  </si>
  <si>
    <t xml:space="preserve">01_FAMILIAS</t>
  </si>
  <si>
    <t xml:space="preserve">familia_id</t>
  </si>
  <si>
    <t xml:space="preserve">texto</t>
  </si>
  <si>
    <t xml:space="preserve">REAL</t>
  </si>
  <si>
    <t xml:space="preserve">Clave de familia.</t>
  </si>
  <si>
    <t xml:space="preserve">familia</t>
  </si>
  <si>
    <t xml:space="preserve">Familia productiva declarada por la empresa.</t>
  </si>
  <si>
    <t xml:space="preserve">unidades_vendidas_2025</t>
  </si>
  <si>
    <t xml:space="preserve">entero</t>
  </si>
  <si>
    <t xml:space="preserve">und</t>
  </si>
  <si>
    <t xml:space="preserve">Unidades agregadas 2025 del archivo de la empresa.</t>
  </si>
  <si>
    <t xml:space="preserve">datos.leer → 12_PRECIOS (precio medio)</t>
  </si>
  <si>
    <t xml:space="preserve">ventas_2025_soles</t>
  </si>
  <si>
    <t xml:space="preserve">moneda S/</t>
  </si>
  <si>
    <t xml:space="preserve">S/</t>
  </si>
  <si>
    <t xml:space="preserve">Ventas agregadas 2025 del archivo de la empresa.</t>
  </si>
  <si>
    <t xml:space="preserve">precio_promedio_soles</t>
  </si>
  <si>
    <t xml:space="preserve">S/ por und</t>
  </si>
  <si>
    <t xml:space="preserve">CALCULADO</t>
  </si>
  <si>
    <t xml:space="preserve">Fórmula: ventas / unidades.</t>
  </si>
  <si>
    <t xml:space="preserve">penalidad_fija_frac</t>
  </si>
  <si>
    <t xml:space="preserve">fracción</t>
  </si>
  <si>
    <t xml:space="preserve">ESTIMADO</t>
  </si>
  <si>
    <t xml:space="preserve">Fracción del valor del pedido si se entrega tarde.</t>
  </si>
  <si>
    <t xml:space="preserve">Objetivo f1 (P_j)</t>
  </si>
  <si>
    <t xml:space="preserve">penalidad_diaria_frac</t>
  </si>
  <si>
    <t xml:space="preserve">fracción/día</t>
  </si>
  <si>
    <t xml:space="preserve">Fracción diaria (0 = no se usa).</t>
  </si>
  <si>
    <t xml:space="preserve">datos.leer (no interviene en f1)</t>
  </si>
  <si>
    <t xml:space="preserve">Naturaleza principal de la fila.</t>
  </si>
  <si>
    <t xml:space="preserve">02_PRODUCTOS</t>
  </si>
  <si>
    <t xml:space="preserve">producto_id</t>
  </si>
  <si>
    <t xml:space="preserve">Clave de producto.</t>
  </si>
  <si>
    <t xml:space="preserve">Familia (01_FAMILIAS).</t>
  </si>
  <si>
    <t xml:space="preserve">producto</t>
  </si>
  <si>
    <t xml:space="preserve">Nombre del producto (clave que usa Python).</t>
  </si>
  <si>
    <t xml:space="preserve">datos.leer → 01_PRODUCTOS</t>
  </si>
  <si>
    <t xml:space="preserve">Tipo comercial.</t>
  </si>
  <si>
    <t xml:space="preserve">alto_cm</t>
  </si>
  <si>
    <t xml:space="preserve">decimal</t>
  </si>
  <si>
    <t xml:space="preserve">cm</t>
  </si>
  <si>
    <t xml:space="preserve">Alto exterior.</t>
  </si>
  <si>
    <t xml:space="preserve">ancho_cm</t>
  </si>
  <si>
    <t xml:space="preserve">Ancho exterior.</t>
  </si>
  <si>
    <t xml:space="preserve">fondo_cm</t>
  </si>
  <si>
    <t xml:space="preserve">Fondo exterior.</t>
  </si>
  <si>
    <t xml:space="preserve">puertas</t>
  </si>
  <si>
    <t xml:space="preserve">Número de puertas (vacío = no aplica).</t>
  </si>
  <si>
    <t xml:space="preserve">lote_guia_und</t>
  </si>
  <si>
    <t xml:space="preserve">Tamaño de lote de fabricación.</t>
  </si>
  <si>
    <t xml:space="preserve">Lote por defecto del pedido; duración (ROUNDUP(q/lote)·setup)</t>
  </si>
  <si>
    <t xml:space="preserve">n_componentes</t>
  </si>
  <si>
    <t xml:space="preserve">Líneas de despiece (fórmula).</t>
  </si>
  <si>
    <t xml:space="preserve">n_pasos_ruta</t>
  </si>
  <si>
    <t xml:space="preserve">Pasos de ruta (fórmula).</t>
  </si>
  <si>
    <t xml:space="preserve">dimensiones_genericas</t>
  </si>
  <si>
    <t xml:space="preserve">binario 0/1</t>
  </si>
  <si>
    <t xml:space="preserve">1 si ≥5 productos comparten exactamente las mismas dimensiones (indicio de plantilla, no de medición).</t>
  </si>
  <si>
    <t xml:space="preserve">03_MATERIALES</t>
  </si>
  <si>
    <t xml:space="preserve">material_id</t>
  </si>
  <si>
    <t xml:space="preserve">Clave técnica del material.</t>
  </si>
  <si>
    <t xml:space="preserve">material</t>
  </si>
  <si>
    <t xml:space="preserve">Descripción.</t>
  </si>
  <si>
    <t xml:space="preserve">grupo</t>
  </si>
  <si>
    <t xml:space="preserve">Grupo normalizado.</t>
  </si>
  <si>
    <t xml:space="preserve">unidad_costo</t>
  </si>
  <si>
    <t xml:space="preserve">Unidad del costo unitario.</t>
  </si>
  <si>
    <t xml:space="preserve">espesor_mm</t>
  </si>
  <si>
    <t xml:space="preserve">mm</t>
  </si>
  <si>
    <t xml:space="preserve">Espesor nominal (vacío = no especificado).</t>
  </si>
  <si>
    <t xml:space="preserve">ancho_m</t>
  </si>
  <si>
    <t xml:space="preserve">m</t>
  </si>
  <si>
    <t xml:space="preserve">Ancho del formato de compra.</t>
  </si>
  <si>
    <t xml:space="preserve">largo_m</t>
  </si>
  <si>
    <t xml:space="preserve">Largo del formato de compra.</t>
  </si>
  <si>
    <t xml:space="preserve">costo_unitario_soles</t>
  </si>
  <si>
    <t xml:space="preserve">Costo por unidad de costo (vacío = sin cotización).</t>
  </si>
  <si>
    <t xml:space="preserve">material_generico</t>
  </si>
  <si>
    <t xml:space="preserve">1 = material genérico (sección o tipo por definir).</t>
  </si>
  <si>
    <t xml:space="preserve">ESTIMADO si tiene costo; PENDIENTE si falta el costo.</t>
  </si>
  <si>
    <t xml:space="preserve">04_DESPIECE</t>
  </si>
  <si>
    <t xml:space="preserve">bom_id</t>
  </si>
  <si>
    <t xml:space="preserve">Clave de línea de despiece.</t>
  </si>
  <si>
    <t xml:space="preserve">Producto.</t>
  </si>
  <si>
    <t xml:space="preserve">componente</t>
  </si>
  <si>
    <t xml:space="preserve">Componente.</t>
  </si>
  <si>
    <t xml:space="preserve">Material (03_MATERIALES).</t>
  </si>
  <si>
    <t xml:space="preserve">tipo_calculo</t>
  </si>
  <si>
    <t xml:space="preserve">CHAPA_AREA | PERFIL_LONGITUD | UNIDAD | SIN_PRECIO.</t>
  </si>
  <si>
    <t xml:space="preserve">piezas_por_unidad</t>
  </si>
  <si>
    <t xml:space="preserve">pzas</t>
  </si>
  <si>
    <t xml:space="preserve">Piezas por unidad de producto.</t>
  </si>
  <si>
    <t xml:space="preserve">ancho_pieza_mm</t>
  </si>
  <si>
    <t xml:space="preserve">Desarrollo de la pieza de chapa.</t>
  </si>
  <si>
    <t xml:space="preserve">alto_pieza_mm</t>
  </si>
  <si>
    <t xml:space="preserve">longitud_pieza_m</t>
  </si>
  <si>
    <t xml:space="preserve">Longitud de perfil por pieza.</t>
  </si>
  <si>
    <t xml:space="preserve">area_chapa_m2_pieza</t>
  </si>
  <si>
    <t xml:space="preserve">m²</t>
  </si>
  <si>
    <t xml:space="preserve">Área por PIEZA (fórmula ancho×alto si hay medidas).</t>
  </si>
  <si>
    <t xml:space="preserve">masa_kg_producto</t>
  </si>
  <si>
    <t xml:space="preserve">kg</t>
  </si>
  <si>
    <t xml:space="preserve">Masa por unidad de producto (fórmula; vacío si no es calculable).</t>
  </si>
  <si>
    <t xml:space="preserve">03_DESPIECE → masa de chapa (reprocesos)</t>
  </si>
  <si>
    <t xml:space="preserve">costo_soles_producto</t>
  </si>
  <si>
    <t xml:space="preserve">Costo de la línea por unidad de producto (fórmula).</t>
  </si>
  <si>
    <t xml:space="preserve">planchas_equiv_producto</t>
  </si>
  <si>
    <t xml:space="preserve">planchas</t>
  </si>
  <si>
    <t xml:space="preserve">Piezas × área / área de plancha (corregido en v2).</t>
  </si>
  <si>
    <t xml:space="preserve">Naturaleza de la fila.</t>
  </si>
  <si>
    <t xml:space="preserve">05_RECURSOS</t>
  </si>
  <si>
    <t xml:space="preserve">recurso_id</t>
  </si>
  <si>
    <t xml:space="preserve">Clave del recurso.</t>
  </si>
  <si>
    <t xml:space="preserve">recurso</t>
  </si>
  <si>
    <t xml:space="preserve">Nombre (clave que usa Python).</t>
  </si>
  <si>
    <t xml:space="preserve">datos.leer → 04_MAQUINAS</t>
  </si>
  <si>
    <t xml:space="preserve">tipo_tecnico</t>
  </si>
  <si>
    <t xml:space="preserve">Descripción técnica.</t>
  </si>
  <si>
    <t xml:space="preserve">tipo_recurso</t>
  </si>
  <si>
    <t xml:space="preserve">MAQUINA | EQUIPO_MANUAL | PUESTO_MANUAL | AREA | EXTERNO.</t>
  </si>
  <si>
    <t xml:space="preserve">cantidad</t>
  </si>
  <si>
    <t xml:space="preserve">Unidades del recurso en el escenario.</t>
  </si>
  <si>
    <t xml:space="preserve">Validación: recurso disponible si ≥ 1 (el MILP trata cada recurso con capacidad 1)</t>
  </si>
  <si>
    <t xml:space="preserve">costo_uso_soles_h</t>
  </si>
  <si>
    <t xml:space="preserve">S/ por h</t>
  </si>
  <si>
    <t xml:space="preserve">Tarifa de uso (vacío = sin dato).</t>
  </si>
  <si>
    <t xml:space="preserve">potencia_kw_ref</t>
  </si>
  <si>
    <t xml:space="preserve">kW</t>
  </si>
  <si>
    <t xml:space="preserve">Potencia de catálogo.</t>
  </si>
  <si>
    <t xml:space="preserve">Energía (indicador)</t>
  </si>
  <si>
    <t xml:space="preserve">factor_carga</t>
  </si>
  <si>
    <t xml:space="preserve">Factor medio de carga eléctrica.</t>
  </si>
  <si>
    <t xml:space="preserve">grupo_operarios</t>
  </si>
  <si>
    <t xml:space="preserve">Grupo de personal.</t>
  </si>
  <si>
    <t xml:space="preserve">recurso_critico</t>
  </si>
  <si>
    <t xml:space="preserve">1 = recurso de estudio (plegadora).</t>
  </si>
  <si>
    <t xml:space="preserve">inventario_verificado</t>
  </si>
  <si>
    <t xml:space="preserve">PENDIENTE</t>
  </si>
  <si>
    <t xml:space="preserve">1 solo cuando la empresa confirme la existencia física.</t>
  </si>
  <si>
    <t xml:space="preserve">06_RUTAS</t>
  </si>
  <si>
    <t xml:space="preserve">paso</t>
  </si>
  <si>
    <t xml:space="preserve">Número de paso (1..n).</t>
  </si>
  <si>
    <t xml:space="preserve">operacion</t>
  </si>
  <si>
    <t xml:space="preserve">Operación.</t>
  </si>
  <si>
    <t xml:space="preserve">Recurso principal.</t>
  </si>
  <si>
    <t xml:space="preserve">paso_predecesor</t>
  </si>
  <si>
    <t xml:space="preserve">Paso anterior (vacío = primera operación).</t>
  </si>
  <si>
    <t xml:space="preserve">min_fijos_lote</t>
  </si>
  <si>
    <t xml:space="preserve">min por lote</t>
  </si>
  <si>
    <t xml:space="preserve">Preparación por lote.</t>
  </si>
  <si>
    <t xml:space="preserve">p_om = (ROUNDUP(q/lote)·setup + q·u)/60</t>
  </si>
  <si>
    <t xml:space="preserve">min_por_unidad</t>
  </si>
  <si>
    <t xml:space="preserve">min por und</t>
  </si>
  <si>
    <t xml:space="preserve">Tiempo por unidad de producto.</t>
  </si>
  <si>
    <t xml:space="preserve">p_om</t>
  </si>
  <si>
    <t xml:space="preserve">tratamiento_tiempo</t>
  </si>
  <si>
    <t xml:space="preserve">POR_UNIDAD | POR_LOTE.</t>
  </si>
  <si>
    <t xml:space="preserve">Recuperación tras avería</t>
  </si>
  <si>
    <t xml:space="preserve">min_ciclo_horno_incluido</t>
  </si>
  <si>
    <t xml:space="preserve">min</t>
  </si>
  <si>
    <t xml:space="preserve">Minutos de ciclo de horno ya incluidos en min_fijos_lote.</t>
  </si>
  <si>
    <t xml:space="preserve">origen_tiempo</t>
  </si>
  <si>
    <t xml:space="preserve">HEREDADO_SIN_CRONOMETRAJE | HIPOTESIS_TECNICA.</t>
  </si>
  <si>
    <t xml:space="preserve">07_ELEGIBILIDAD</t>
  </si>
  <si>
    <t xml:space="preserve">Paso.</t>
  </si>
  <si>
    <t xml:space="preserve">Recurso elegible.</t>
  </si>
  <si>
    <t xml:space="preserve">Conjunto M_o del MILP</t>
  </si>
  <si>
    <t xml:space="preserve">tipo_asignacion</t>
  </si>
  <si>
    <t xml:space="preserve">PRINCIPAL | ALT_UTILLAJE | ALT_MISMO_PROCESO.</t>
  </si>
  <si>
    <t xml:space="preserve">elegible</t>
  </si>
  <si>
    <t xml:space="preserve">1 = elegible.</t>
  </si>
  <si>
    <t xml:space="preserve">factor_tiempo</t>
  </si>
  <si>
    <t xml:space="preserve">×</t>
  </si>
  <si>
    <t xml:space="preserve">Multiplicador del tiempo de ruta en ese recurso.</t>
  </si>
  <si>
    <t xml:space="preserve">p_om en máquina alternativa</t>
  </si>
  <si>
    <t xml:space="preserve">CALCULADO (principal) / ESTIMADO (alternativa).</t>
  </si>
  <si>
    <t xml:space="preserve">08_PERSONAL</t>
  </si>
  <si>
    <t xml:space="preserve">operario_id</t>
  </si>
  <si>
    <t xml:space="preserve">Seudónimo del trabajador (25 confirmados).</t>
  </si>
  <si>
    <t xml:space="preserve">06_OPERARIOS (lista de trabajadores)</t>
  </si>
  <si>
    <t xml:space="preserve">turno</t>
  </si>
  <si>
    <t xml:space="preserve">Turno asignado.</t>
  </si>
  <si>
    <t xml:space="preserve">hora_entrada</t>
  </si>
  <si>
    <t xml:space="preserve">hora</t>
  </si>
  <si>
    <t xml:space="preserve">Entrada.</t>
  </si>
  <si>
    <t xml:space="preserve">hora_salida</t>
  </si>
  <si>
    <t xml:space="preserve">Salida.</t>
  </si>
  <si>
    <t xml:space="preserve">descanso_h</t>
  </si>
  <si>
    <t xml:space="preserve">h</t>
  </si>
  <si>
    <t xml:space="preserve">Descanso no productivo.</t>
  </si>
  <si>
    <t xml:space="preserve">horas_netas_dia</t>
  </si>
  <si>
    <t xml:space="preserve">Horas netas confirmadas.</t>
  </si>
  <si>
    <t xml:space="preserve">control_horario_h</t>
  </si>
  <si>
    <t xml:space="preserve">(salida − entrada) − descanso; debe igualar horas netas.</t>
  </si>
  <si>
    <t xml:space="preserve">Naturaleza principal (existencia y jornada).</t>
  </si>
  <si>
    <t xml:space="preserve">09_CALENDARIO</t>
  </si>
  <si>
    <t xml:space="preserve">fecha</t>
  </si>
  <si>
    <t xml:space="preserve">Fecha.</t>
  </si>
  <si>
    <t xml:space="preserve">07_CALENDARIO</t>
  </si>
  <si>
    <t xml:space="preserve">dia_semana</t>
  </si>
  <si>
    <t xml:space="preserve">1 = lunes … 7 = domingo (fórmula).</t>
  </si>
  <si>
    <t xml:space="preserve">laborable_base</t>
  </si>
  <si>
    <t xml:space="preserve">Día laborable del calendario base (lunes-viernes).</t>
  </si>
  <si>
    <t xml:space="preserve">Productivo (1/0)</t>
  </si>
  <si>
    <t xml:space="preserve">feriado_nacional</t>
  </si>
  <si>
    <t xml:space="preserve">REFERENCIA</t>
  </si>
  <si>
    <t xml:space="preserve">Nombre del feriado nacional (vacío = no feriado).</t>
  </si>
  <si>
    <t xml:space="preserve">Feriado nacional Perú</t>
  </si>
  <si>
    <t xml:space="preserve">productivo_efectivo</t>
  </si>
  <si>
    <t xml:space="preserve">Fórmula: aplica feriados si p_aplicar_feriados = 1.</t>
  </si>
  <si>
    <t xml:space="preserve">horas_productivas</t>
  </si>
  <si>
    <t xml:space="preserve">productivo_efectivo × horas por día.</t>
  </si>
  <si>
    <t xml:space="preserve">Naturaleza principal.</t>
  </si>
  <si>
    <t xml:space="preserve">10_CAPACIDAD_MENSUAL</t>
  </si>
  <si>
    <t xml:space="preserve">Recurso.</t>
  </si>
  <si>
    <t xml:space="preserve">mes</t>
  </si>
  <si>
    <t xml:space="preserve">Mes del año base.</t>
  </si>
  <si>
    <t xml:space="preserve">dias_productivos</t>
  </si>
  <si>
    <t xml:space="preserve">días</t>
  </si>
  <si>
    <t xml:space="preserve">Días productivos efectivos del mes (fórmula).</t>
  </si>
  <si>
    <t xml:space="preserve">horas_dia</t>
  </si>
  <si>
    <t xml:space="preserve">Horas productivas por día.</t>
  </si>
  <si>
    <t xml:space="preserve">Unidades del recurso.</t>
  </si>
  <si>
    <t xml:space="preserve">horas_disponibles</t>
  </si>
  <si>
    <t xml:space="preserve">días × horas × cantidad (sin descontar paradas: no hay historial).</t>
  </si>
  <si>
    <t xml:space="preserve">11_PARAMETROS</t>
  </si>
  <si>
    <t xml:space="preserve">parametro_id</t>
  </si>
  <si>
    <t xml:space="preserve">Clave única del parámetro (nombre definido p_&lt;id&gt;).</t>
  </si>
  <si>
    <t xml:space="preserve">parametro</t>
  </si>
  <si>
    <t xml:space="preserve">Nombre descriptivo; coincide con el nombre que lee Python cuando aplica.</t>
  </si>
  <si>
    <t xml:space="preserve">valor_num</t>
  </si>
  <si>
    <t xml:space="preserve">texto/número</t>
  </si>
  <si>
    <t xml:space="preserve">Valor numérico (vacío si el parámetro es textual o pendiente).</t>
  </si>
  <si>
    <t xml:space="preserve">valor_txt</t>
  </si>
  <si>
    <t xml:space="preserve">Valor textual (horarios, reglas).</t>
  </si>
  <si>
    <t xml:space="preserve">Unidad de medida.</t>
  </si>
  <si>
    <t xml:space="preserve">Código de 00_CODIGOS.</t>
  </si>
  <si>
    <t xml:space="preserve">nota</t>
  </si>
  <si>
    <t xml:space="preserve">Límite o fuente.</t>
  </si>
  <si>
    <t xml:space="preserve">1 si Optimizacion_MILP_SAGAPI.py lo lee.</t>
  </si>
  <si>
    <t xml:space="preserve">12_REG_ENTREGAS</t>
  </si>
  <si>
    <t xml:space="preserve">pedido_real_id</t>
  </si>
  <si>
    <t xml:space="preserve">Código del pedido/OT de SAGAPI.</t>
  </si>
  <si>
    <t xml:space="preserve">cliente_codigo</t>
  </si>
  <si>
    <t xml:space="preserve">Código anónimo del cliente.</t>
  </si>
  <si>
    <t xml:space="preserve">unidades</t>
  </si>
  <si>
    <t xml:space="preserve">Unidades pedidas.</t>
  </si>
  <si>
    <t xml:space="preserve">fecha_recepcion</t>
  </si>
  <si>
    <t xml:space="preserve">AAAA-MM-DD.</t>
  </si>
  <si>
    <t xml:space="preserve">fecha_liberacion</t>
  </si>
  <si>
    <t xml:space="preserve">Fecha en que se puede iniciar (material disponible).</t>
  </si>
  <si>
    <t xml:space="preserve">fecha_compromiso</t>
  </si>
  <si>
    <t xml:space="preserve">Fecha pactada con el cliente.</t>
  </si>
  <si>
    <t xml:space="preserve">fecha_entrega</t>
  </si>
  <si>
    <t xml:space="preserve">Fecha real de entrega.</t>
  </si>
  <si>
    <t xml:space="preserve">unidades_conformes</t>
  </si>
  <si>
    <t xml:space="preserve">unidades_no_conformes</t>
  </si>
  <si>
    <t xml:space="preserve">precio_venta_soles</t>
  </si>
  <si>
    <t xml:space="preserve">Precio total facturado.</t>
  </si>
  <si>
    <t xml:space="preserve">penalidad_contractual_frac</t>
  </si>
  <si>
    <t xml:space="preserve">Penalidad pactada (si existe).</t>
  </si>
  <si>
    <t xml:space="preserve">causa_atraso</t>
  </si>
  <si>
    <t xml:space="preserve">fuente_documento</t>
  </si>
  <si>
    <t xml:space="preserve">Orden de compra, guía, factura.</t>
  </si>
  <si>
    <t xml:space="preserve">13_REG_PARADAS</t>
  </si>
  <si>
    <t xml:space="preserve">parada_id</t>
  </si>
  <si>
    <t xml:space="preserve">Correlativo.</t>
  </si>
  <si>
    <t xml:space="preserve">Recurso (05_RECURSOS).</t>
  </si>
  <si>
    <t xml:space="preserve">inicio</t>
  </si>
  <si>
    <t xml:space="preserve">fecha-hora</t>
  </si>
  <si>
    <t xml:space="preserve">AAAA-MM-DD hh:mm.</t>
  </si>
  <si>
    <t xml:space="preserve">fin</t>
  </si>
  <si>
    <t xml:space="preserve">tipo_parada</t>
  </si>
  <si>
    <t xml:space="preserve">FALLA | MANTENIMIENTO | FALTA_MATERIAL | FALTA_PERSONAL | OTRO.</t>
  </si>
  <si>
    <t xml:space="preserve">causa</t>
  </si>
  <si>
    <t xml:space="preserve">pedido_afectado</t>
  </si>
  <si>
    <t xml:space="preserve">piezas_perdidas</t>
  </si>
  <si>
    <t xml:space="preserve">registrado_por</t>
  </si>
  <si>
    <t xml:space="preserve">Bitácora, orden de trabajo de mantenimiento.</t>
  </si>
  <si>
    <t xml:space="preserve">14_REG_CALIDAD</t>
  </si>
  <si>
    <t xml:space="preserve">inspeccion_id</t>
  </si>
  <si>
    <t xml:space="preserve">cantidad_inspeccionada</t>
  </si>
  <si>
    <t xml:space="preserve">conformes</t>
  </si>
  <si>
    <t xml:space="preserve">no_conformes</t>
  </si>
  <si>
    <t xml:space="preserve">defecto</t>
  </si>
  <si>
    <t xml:space="preserve">reproceso_h</t>
  </si>
  <si>
    <t xml:space="preserve">material_perdido_soles</t>
  </si>
  <si>
    <t xml:space="preserve">15_REG_TIEMPOS</t>
  </si>
  <si>
    <t xml:space="preserve">medicion_id</t>
  </si>
  <si>
    <t xml:space="preserve">unidades_medidas</t>
  </si>
  <si>
    <t xml:space="preserve">min_preparacion_obs</t>
  </si>
  <si>
    <t xml:space="preserve">min_total_obs</t>
  </si>
  <si>
    <t xml:space="preserve">operarios_en_operacion</t>
  </si>
  <si>
    <t xml:space="preserve">personas</t>
  </si>
  <si>
    <t xml:space="preserve">metodo</t>
  </si>
  <si>
    <t xml:space="preserve">CRONOMETRO | VIDEO | REGISTRO_OT.</t>
  </si>
  <si>
    <t xml:space="preserve">observador</t>
  </si>
  <si>
    <t xml:space="preserve">16_REG_HABILIDADES</t>
  </si>
  <si>
    <t xml:space="preserve">08_PERSONAL.</t>
  </si>
  <si>
    <t xml:space="preserve">05_RECURSOS.</t>
  </si>
  <si>
    <t xml:space="preserve">nivel_0_3</t>
  </si>
  <si>
    <t xml:space="preserve">0 no opera; 1 con supervisión; 2 autónomo; 3 instructor.</t>
  </si>
  <si>
    <t xml:space="preserve">opera_solo_1_0</t>
  </si>
  <si>
    <t xml:space="preserve">validado_por</t>
  </si>
  <si>
    <t xml:space="preserve">fecha_validacion</t>
  </si>
  <si>
    <t xml:space="preserve">codigo_naturaleza</t>
  </si>
  <si>
    <t xml:space="preserve">definicion</t>
  </si>
  <si>
    <t xml:space="preserve">Dato declarado o respaldado por la empresa (p. ej. 25 trabajadores, 1 turno, ventas agregadas).</t>
  </si>
  <si>
    <t xml:space="preserve">Dato público verificable ajeno a la empresa (ley, constante física, UIT, feriados oficiales).</t>
  </si>
  <si>
    <t xml:space="preserve">Resultado de una operación reproducible a partir de otros datos de la base.</t>
  </si>
  <si>
    <t xml:space="preserve">Aproximación justificada (heredada, de catálogo o de ingeniería) que requiere validación en planta.</t>
  </si>
  <si>
    <t xml:space="preserve">SIMULADO</t>
  </si>
  <si>
    <t xml:space="preserve">Dato artificial creado para probar el modelo. No es historial ni registro de SAGAPI.</t>
  </si>
  <si>
    <t xml:space="preserve">CONFIGURACION</t>
  </si>
  <si>
    <t xml:space="preserve">Parámetro de ejecución del modelo o del experimento; no describe la planta.</t>
  </si>
  <si>
    <t xml:space="preserve">Dato necesario que no existe en la base; se deja vacío a propósito (ver pendientes).</t>
  </si>
  <si>
    <t xml:space="preserve">LIBRO</t>
  </si>
  <si>
    <t xml:space="preserve">SAGAPI — Base de datos OPERATIVA v2.0 (datos reales, de referencia, calculados y estimados; sin datos simulados).</t>
  </si>
  <si>
    <t xml:space="preserve">VERSION_BD</t>
  </si>
  <si>
    <t xml:space="preserve">2.0.0</t>
  </si>
  <si>
    <t xml:space="preserve">COLORES</t>
  </si>
  <si>
    <t xml:space="preserve">Texto azul = dato introducido; texto negro = fórmula; encabezado azul oscuro.</t>
  </si>
  <si>
    <t xml:space="preserve">FECHAS</t>
  </si>
  <si>
    <t xml:space="preserve">AAAA-MM-DD (fecha) y AAAA-MM-DD hh:mm:ss (fecha-hora).</t>
  </si>
  <si>
    <t xml:space="preserve">FAM-RAC</t>
  </si>
  <si>
    <t xml:space="preserve">Racks industriales</t>
  </si>
  <si>
    <t xml:space="preserve">FAM-GON</t>
  </si>
  <si>
    <t xml:space="preserve">Góndolas comerciales</t>
  </si>
  <si>
    <t xml:space="preserve">FAM-LOC</t>
  </si>
  <si>
    <t xml:space="preserve">Lockers metálicos</t>
  </si>
  <si>
    <t xml:space="preserve">FAM-OTR</t>
  </si>
  <si>
    <t xml:space="preserve">Otros productos metalmecánicos</t>
  </si>
  <si>
    <t xml:space="preserve">PRD-001</t>
  </si>
  <si>
    <t xml:space="preserve">Minirack metálico con bandejas</t>
  </si>
  <si>
    <t xml:space="preserve">Estantería liviana</t>
  </si>
  <si>
    <t xml:space="preserve">PRD-002</t>
  </si>
  <si>
    <t xml:space="preserve">Estante reforzado modular</t>
  </si>
  <si>
    <t xml:space="preserve">Estantería reforzada</t>
  </si>
  <si>
    <t xml:space="preserve">PRD-003</t>
  </si>
  <si>
    <t xml:space="preserve">Rack selectivo para pallets</t>
  </si>
  <si>
    <t xml:space="preserve">Selectivo</t>
  </si>
  <si>
    <t xml:space="preserve">PRD-004</t>
  </si>
  <si>
    <t xml:space="preserve">Rack cantilever 3 niveles</t>
  </si>
  <si>
    <t xml:space="preserve">Cantilever</t>
  </si>
  <si>
    <t xml:space="preserve">PRD-005</t>
  </si>
  <si>
    <t xml:space="preserve">Estantería metálica K45 5 niveles</t>
  </si>
  <si>
    <t xml:space="preserve">Picking</t>
  </si>
  <si>
    <t xml:space="preserve">PRD-006</t>
  </si>
  <si>
    <t xml:space="preserve">Rack Mecano Strong MY-075-1</t>
  </si>
  <si>
    <t xml:space="preserve">Semindustrial</t>
  </si>
  <si>
    <t xml:space="preserve">PRD-007</t>
  </si>
  <si>
    <t xml:space="preserve">Góndola central comercial</t>
  </si>
  <si>
    <t xml:space="preserve">Góndola central</t>
  </si>
  <si>
    <t xml:space="preserve">PRD-008</t>
  </si>
  <si>
    <t xml:space="preserve">Góndola mural</t>
  </si>
  <si>
    <t xml:space="preserve">PRD-009</t>
  </si>
  <si>
    <t xml:space="preserve">Góndola central doble forro liso</t>
  </si>
  <si>
    <t xml:space="preserve">Central</t>
  </si>
  <si>
    <t xml:space="preserve">PRD-010</t>
  </si>
  <si>
    <t xml:space="preserve">Góndola mural de forro liso</t>
  </si>
  <si>
    <t xml:space="preserve">Pared</t>
  </si>
  <si>
    <t xml:space="preserve">PRD-011</t>
  </si>
  <si>
    <t xml:space="preserve">Góndola de cabecera liso</t>
  </si>
  <si>
    <t xml:space="preserve">Cabecera</t>
  </si>
  <si>
    <t xml:space="preserve">PRD-012</t>
  </si>
  <si>
    <t xml:space="preserve">Góndola isla modular</t>
  </si>
  <si>
    <t xml:space="preserve">Isla</t>
  </si>
  <si>
    <t xml:space="preserve">PRD-013</t>
  </si>
  <si>
    <t xml:space="preserve">Locker de 4 puertas</t>
  </si>
  <si>
    <t xml:space="preserve">Locker de 4 compartimentos</t>
  </si>
  <si>
    <t xml:space="preserve">PRD-014</t>
  </si>
  <si>
    <t xml:space="preserve">Locker de 6 puertas</t>
  </si>
  <si>
    <t xml:space="preserve">Locker de 6 compartimentos</t>
  </si>
  <si>
    <t xml:space="preserve">PRD-015</t>
  </si>
  <si>
    <t xml:space="preserve">Locker metálico simple MK1-01</t>
  </si>
  <si>
    <t xml:space="preserve">1 puertas</t>
  </si>
  <si>
    <t xml:space="preserve">PRD-016</t>
  </si>
  <si>
    <t xml:space="preserve">Locker metálico simple MK2-01</t>
  </si>
  <si>
    <t xml:space="preserve">2 puertas</t>
  </si>
  <si>
    <t xml:space="preserve">PRD-017</t>
  </si>
  <si>
    <t xml:space="preserve">Locker metálico simple MK3-01</t>
  </si>
  <si>
    <t xml:space="preserve">3 puertas</t>
  </si>
  <si>
    <t xml:space="preserve">PRD-018</t>
  </si>
  <si>
    <t xml:space="preserve">Locker metálico simple MK4-01</t>
  </si>
  <si>
    <t xml:space="preserve">4 puertas</t>
  </si>
  <si>
    <t xml:space="preserve">PRD-019</t>
  </si>
  <si>
    <t xml:space="preserve">Armario metálico</t>
  </si>
  <si>
    <t xml:space="preserve">Gabinete metálico</t>
  </si>
  <si>
    <t xml:space="preserve">PRD-020</t>
  </si>
  <si>
    <t xml:space="preserve">Estantería liviana metálica</t>
  </si>
  <si>
    <t xml:space="preserve">PRD-021</t>
  </si>
  <si>
    <t xml:space="preserve">Silla fija PC0173</t>
  </si>
  <si>
    <t xml:space="preserve">Silla</t>
  </si>
  <si>
    <t xml:space="preserve">PRD-022</t>
  </si>
  <si>
    <t xml:space="preserve">Silla capacitación 105</t>
  </si>
  <si>
    <t xml:space="preserve">PRD-023</t>
  </si>
  <si>
    <t xml:space="preserve">Cajonera metálica P1019</t>
  </si>
  <si>
    <t xml:space="preserve">Archivador</t>
  </si>
  <si>
    <t xml:space="preserve">PRD-024</t>
  </si>
  <si>
    <t xml:space="preserve">Archivador metálico 3 cajones</t>
  </si>
  <si>
    <t xml:space="preserve">PRD-025</t>
  </si>
  <si>
    <t xml:space="preserve">Archivador metálico 4 cajones</t>
  </si>
  <si>
    <t xml:space="preserve">PRD-026</t>
  </si>
  <si>
    <t xml:space="preserve">Armario metálico KD-034</t>
  </si>
  <si>
    <t xml:space="preserve">Gabinete</t>
  </si>
  <si>
    <t xml:space="preserve">PRD-027</t>
  </si>
  <si>
    <t xml:space="preserve">Banqueta con patas metálicas</t>
  </si>
  <si>
    <t xml:space="preserve">Banco</t>
  </si>
  <si>
    <t xml:space="preserve">PRD-028</t>
  </si>
  <si>
    <t xml:space="preserve">Armario herramientas MY-TC-03</t>
  </si>
  <si>
    <t xml:space="preserve">PRD-029</t>
  </si>
  <si>
    <t xml:space="preserve">Armario herramientas MY-TC-04</t>
  </si>
  <si>
    <t xml:space="preserve">PRD-030</t>
  </si>
  <si>
    <t xml:space="preserve">Armario herramientas MY-TC-05</t>
  </si>
  <si>
    <t xml:space="preserve">PRD-031</t>
  </si>
  <si>
    <t xml:space="preserve">Armario herramientas MY-TC-06</t>
  </si>
  <si>
    <t xml:space="preserve">PRD-032</t>
  </si>
  <si>
    <t xml:space="preserve">Carro taller MY-STC-15 (5 cajones)</t>
  </si>
  <si>
    <t xml:space="preserve">Carro taller</t>
  </si>
  <si>
    <t xml:space="preserve">PRD-033</t>
  </si>
  <si>
    <t xml:space="preserve">Carro taller MY-STC-13 (7 cajones)</t>
  </si>
  <si>
    <t xml:space="preserve">PRD-034</t>
  </si>
  <si>
    <t xml:space="preserve">Carro taller MY-STC-26 (7 cajones)</t>
  </si>
  <si>
    <t xml:space="preserve">PRD-035</t>
  </si>
  <si>
    <t xml:space="preserve">Estantería metálica K45</t>
  </si>
  <si>
    <t xml:space="preserve">Estantería</t>
  </si>
  <si>
    <t xml:space="preserve">PRD-036</t>
  </si>
  <si>
    <t xml:space="preserve">Silla ejecutiva 623 AN</t>
  </si>
  <si>
    <t xml:space="preserve">PRD-037</t>
  </si>
  <si>
    <t xml:space="preserve">Silla ejecutiva 623 AC</t>
  </si>
  <si>
    <t xml:space="preserve">PRD-038</t>
  </si>
  <si>
    <t xml:space="preserve">Escritorio London 118</t>
  </si>
  <si>
    <t xml:space="preserve">Escritorio</t>
  </si>
  <si>
    <t xml:space="preserve">PRD-039</t>
  </si>
  <si>
    <t xml:space="preserve">Escritorio London con pizarra 108</t>
  </si>
  <si>
    <t xml:space="preserve">PRD-040</t>
  </si>
  <si>
    <t xml:space="preserve">Escritorio regulable Skala</t>
  </si>
  <si>
    <t xml:space="preserve">PRD-041</t>
  </si>
  <si>
    <t xml:space="preserve">Camarote de metal 1.5 plaza</t>
  </si>
  <si>
    <t xml:space="preserve">Camarote</t>
  </si>
  <si>
    <t xml:space="preserve">PRD-042</t>
  </si>
  <si>
    <t xml:space="preserve">Mesa de centro Turín</t>
  </si>
  <si>
    <t xml:space="preserve">Mesa</t>
  </si>
  <si>
    <t xml:space="preserve">PRD-043</t>
  </si>
  <si>
    <t xml:space="preserve">Mesa de centro London</t>
  </si>
  <si>
    <t xml:space="preserve">PRD-044</t>
  </si>
  <si>
    <t xml:space="preserve">Banco bar Pop fijo</t>
  </si>
  <si>
    <t xml:space="preserve">PRD-045</t>
  </si>
  <si>
    <t xml:space="preserve">Banco bar Brand</t>
  </si>
  <si>
    <t xml:space="preserve">PRD-046</t>
  </si>
  <si>
    <t xml:space="preserve">Banco bar Aster</t>
  </si>
  <si>
    <t xml:space="preserve">PRD-047</t>
  </si>
  <si>
    <t xml:space="preserve">Banco bar Glen</t>
  </si>
  <si>
    <t xml:space="preserve">PRD-048</t>
  </si>
  <si>
    <t xml:space="preserve">Juego comedor Bahía (mesa)</t>
  </si>
  <si>
    <t xml:space="preserve">PRD-049</t>
  </si>
  <si>
    <t xml:space="preserve">Mesa terraza New Bistro</t>
  </si>
  <si>
    <t xml:space="preserve">PRD-050</t>
  </si>
  <si>
    <t xml:space="preserve">Silla terraza New Bistro</t>
  </si>
  <si>
    <t xml:space="preserve">MAT-LAC2</t>
  </si>
  <si>
    <t xml:space="preserve">Plancha de acero laminado en caliente de 2 mm, 1.20 × 2.40 m</t>
  </si>
  <si>
    <t xml:space="preserve">CHAPA</t>
  </si>
  <si>
    <t xml:space="preserve">MAT-CH-1.0</t>
  </si>
  <si>
    <t xml:space="preserve">Lámina LAF o acero 1.0 mm (alternativa V4)</t>
  </si>
  <si>
    <t xml:space="preserve">MAT-CH-1.5</t>
  </si>
  <si>
    <t xml:space="preserve">Lámina LAF o acero 1.5 mm (alternativa V4)</t>
  </si>
  <si>
    <t xml:space="preserve">MAT-LAF06</t>
  </si>
  <si>
    <t xml:space="preserve">Lámina LAF 0.6 mm (catálogo lockers)</t>
  </si>
  <si>
    <t xml:space="preserve">MAT-LAF08</t>
  </si>
  <si>
    <t xml:space="preserve">Lámina LAF 0.8 mm (catálogo góndolas)</t>
  </si>
  <si>
    <t xml:space="preserve">MAT-LAF12</t>
  </si>
  <si>
    <t xml:space="preserve">Lámina LAF 1.2 mm (taller)</t>
  </si>
  <si>
    <t xml:space="preserve">MAT-PR-1</t>
  </si>
  <si>
    <t xml:space="preserve">Tubo o perfil de acero (sección por definir)</t>
  </si>
  <si>
    <t xml:space="preserve">PERFIL</t>
  </si>
  <si>
    <t xml:space="preserve">MAT-FIJ</t>
  </si>
  <si>
    <t xml:space="preserve">Elementos de fijación metálica (tipo por desagregar)</t>
  </si>
  <si>
    <t xml:space="preserve">HERRAJE</t>
  </si>
  <si>
    <t xml:space="preserve">MAT-MEL18</t>
  </si>
  <si>
    <t xml:space="preserve">Tablero melamina/MDP 18 mm comprado</t>
  </si>
  <si>
    <t xml:space="preserve">OTRO</t>
  </si>
  <si>
    <t xml:space="preserve">MAT-OTR</t>
  </si>
  <si>
    <t xml:space="preserve">Asiento, ruedas, vidrio, PVC o mecanismos comprados</t>
  </si>
  <si>
    <t xml:space="preserve">COM-001</t>
  </si>
  <si>
    <t xml:space="preserve">Pintura electrostática en polvo poliéster</t>
  </si>
  <si>
    <t xml:space="preserve">PINTURA</t>
  </si>
  <si>
    <t xml:space="preserve">COM-002</t>
  </si>
  <si>
    <t xml:space="preserve">Pintura en polvo epoxi-poliéster</t>
  </si>
  <si>
    <t xml:space="preserve">COM-003</t>
  </si>
  <si>
    <t xml:space="preserve">Desengrasante industrial</t>
  </si>
  <si>
    <t xml:space="preserve">PREPARACION_SUPERFICIAL</t>
  </si>
  <si>
    <t xml:space="preserve">l</t>
  </si>
  <si>
    <t xml:space="preserve">COM-004</t>
  </si>
  <si>
    <t xml:space="preserve">Disco abrasivo de corte</t>
  </si>
  <si>
    <t xml:space="preserve">CONSUMIBLE</t>
  </si>
  <si>
    <t xml:space="preserve">COM-005</t>
  </si>
  <si>
    <t xml:space="preserve">Disco abrasivo para desbarbado</t>
  </si>
  <si>
    <t xml:space="preserve">COM-006</t>
  </si>
  <si>
    <t xml:space="preserve">Alambre para soldadura MIG/MAG</t>
  </si>
  <si>
    <t xml:space="preserve">SOLDADURA</t>
  </si>
  <si>
    <t xml:space="preserve">COM-007</t>
  </si>
  <si>
    <t xml:space="preserve">Electrodo revestido para soldadura</t>
  </si>
  <si>
    <t xml:space="preserve">COM-008</t>
  </si>
  <si>
    <t xml:space="preserve">Gas protector para soldadura MIG/MAG</t>
  </si>
  <si>
    <t xml:space="preserve">m3</t>
  </si>
  <si>
    <t xml:space="preserve">COM-009</t>
  </si>
  <si>
    <t xml:space="preserve">Tubo cuadrado de acero 30 × 30 mm</t>
  </si>
  <si>
    <t xml:space="preserve">COM-010</t>
  </si>
  <si>
    <t xml:space="preserve">Tubo cuadrado de acero 40 × 40 mm</t>
  </si>
  <si>
    <t xml:space="preserve">COM-011</t>
  </si>
  <si>
    <t xml:space="preserve">Ángulo de acero estructural</t>
  </si>
  <si>
    <t xml:space="preserve">COM-012</t>
  </si>
  <si>
    <t xml:space="preserve">Canal de acero estructural</t>
  </si>
  <si>
    <t xml:space="preserve">COM-013</t>
  </si>
  <si>
    <t xml:space="preserve">Perno hexagonal M6</t>
  </si>
  <si>
    <t xml:space="preserve">FIJACION</t>
  </si>
  <si>
    <t xml:space="preserve">COM-014</t>
  </si>
  <si>
    <t xml:space="preserve">Tuerca hexagonal M6</t>
  </si>
  <si>
    <t xml:space="preserve">COM-015</t>
  </si>
  <si>
    <t xml:space="preserve">Arandela plana M6</t>
  </si>
  <si>
    <t xml:space="preserve">COM-016</t>
  </si>
  <si>
    <t xml:space="preserve">Perno hexagonal M8</t>
  </si>
  <si>
    <t xml:space="preserve">COM-017</t>
  </si>
  <si>
    <t xml:space="preserve">Tuerca hexagonal M8</t>
  </si>
  <si>
    <t xml:space="preserve">COM-018</t>
  </si>
  <si>
    <t xml:space="preserve">Arandela plana M8</t>
  </si>
  <si>
    <t xml:space="preserve">COM-019</t>
  </si>
  <si>
    <t xml:space="preserve">Remache metálico</t>
  </si>
  <si>
    <t xml:space="preserve">COM-020</t>
  </si>
  <si>
    <t xml:space="preserve">Bisagra para puertas de locker</t>
  </si>
  <si>
    <t xml:space="preserve">COM-021</t>
  </si>
  <si>
    <t xml:space="preserve">Cerradura para locker</t>
  </si>
  <si>
    <t xml:space="preserve">COM-022</t>
  </si>
  <si>
    <t xml:space="preserve">Manija para puerta</t>
  </si>
  <si>
    <t xml:space="preserve">COM-023</t>
  </si>
  <si>
    <t xml:space="preserve">Tapón plástico para tubo</t>
  </si>
  <si>
    <t xml:space="preserve">ACCESORIO</t>
  </si>
  <si>
    <t xml:space="preserve">COM-024</t>
  </si>
  <si>
    <t xml:space="preserve">Nivelador de base roscado</t>
  </si>
  <si>
    <t xml:space="preserve">COM-025</t>
  </si>
  <si>
    <t xml:space="preserve">Rueda giratoria para mueble</t>
  </si>
  <si>
    <t xml:space="preserve">COM-026</t>
  </si>
  <si>
    <t xml:space="preserve">Gancho para panel de góndola</t>
  </si>
  <si>
    <t xml:space="preserve">COM-027</t>
  </si>
  <si>
    <t xml:space="preserve">Soporte de repisa ajustable</t>
  </si>
  <si>
    <t xml:space="preserve">COM-028</t>
  </si>
  <si>
    <t xml:space="preserve">Etiqueta de producto terminado</t>
  </si>
  <si>
    <t xml:space="preserve">EMBALAJE</t>
  </si>
  <si>
    <t xml:space="preserve">COM-029</t>
  </si>
  <si>
    <t xml:space="preserve">Película estirable de embalaje</t>
  </si>
  <si>
    <t xml:space="preserve">COM-030</t>
  </si>
  <si>
    <t xml:space="preserve">Cartón corrugado de protección</t>
  </si>
  <si>
    <t xml:space="preserve">m2</t>
  </si>
  <si>
    <t xml:space="preserve">COM-031</t>
  </si>
  <si>
    <t xml:space="preserve">Guante anticorte reutilizable</t>
  </si>
  <si>
    <t xml:space="preserve">SEGURIDAD</t>
  </si>
  <si>
    <t xml:space="preserve">par</t>
  </si>
  <si>
    <t xml:space="preserve">BOM-0001</t>
  </si>
  <si>
    <t xml:space="preserve">Parante vertical</t>
  </si>
  <si>
    <t xml:space="preserve">PERFIL_LONGITUD</t>
  </si>
  <si>
    <t xml:space="preserve">BOM-0002</t>
  </si>
  <si>
    <t xml:space="preserve">Larguero horizontal</t>
  </si>
  <si>
    <t xml:space="preserve">BOM-0003</t>
  </si>
  <si>
    <t xml:space="preserve">Refuerzo transversal</t>
  </si>
  <si>
    <t xml:space="preserve">BOM-0004</t>
  </si>
  <si>
    <t xml:space="preserve">Bandeja acero</t>
  </si>
  <si>
    <t xml:space="preserve">CHAPA_AREA</t>
  </si>
  <si>
    <t xml:space="preserve">BOM-0005</t>
  </si>
  <si>
    <t xml:space="preserve">Cartela unión</t>
  </si>
  <si>
    <t xml:space="preserve">BOM-0006</t>
  </si>
  <si>
    <t xml:space="preserve">Tornillería sujeción</t>
  </si>
  <si>
    <t xml:space="preserve">UNIDAD</t>
  </si>
  <si>
    <t xml:space="preserve">BOM-0007</t>
  </si>
  <si>
    <t xml:space="preserve">Tapa protectora</t>
  </si>
  <si>
    <t xml:space="preserve">BOM-0008</t>
  </si>
  <si>
    <t xml:space="preserve">Parante perfil</t>
  </si>
  <si>
    <t xml:space="preserve">BOM-0009</t>
  </si>
  <si>
    <t xml:space="preserve">Travesaño frontal</t>
  </si>
  <si>
    <t xml:space="preserve">BOM-0010</t>
  </si>
  <si>
    <t xml:space="preserve">Travesaño lateral</t>
  </si>
  <si>
    <t xml:space="preserve">BOM-0011</t>
  </si>
  <si>
    <t xml:space="preserve">Bandeja reforzada</t>
  </si>
  <si>
    <t xml:space="preserve">BOM-0012</t>
  </si>
  <si>
    <t xml:space="preserve">Cartela</t>
  </si>
  <si>
    <t xml:space="preserve">BOM-0013</t>
  </si>
  <si>
    <t xml:space="preserve">Juego pernos</t>
  </si>
  <si>
    <t xml:space="preserve">BOM-0014</t>
  </si>
  <si>
    <t xml:space="preserve">Columna doble</t>
  </si>
  <si>
    <t xml:space="preserve">BOM-0015</t>
  </si>
  <si>
    <t xml:space="preserve">Base apoyo</t>
  </si>
  <si>
    <t xml:space="preserve">BOM-0016</t>
  </si>
  <si>
    <t xml:space="preserve">Panel trasero</t>
  </si>
  <si>
    <t xml:space="preserve">BOM-0017</t>
  </si>
  <si>
    <t xml:space="preserve">Estante de exposición</t>
  </si>
  <si>
    <t xml:space="preserve">BOM-0018</t>
  </si>
  <si>
    <t xml:space="preserve">Ménsula</t>
  </si>
  <si>
    <t xml:space="preserve">BOM-0019</t>
  </si>
  <si>
    <t xml:space="preserve">Zócalo frontal</t>
  </si>
  <si>
    <t xml:space="preserve">BOM-0020</t>
  </si>
  <si>
    <t xml:space="preserve">Pernos de ensamble</t>
  </si>
  <si>
    <t xml:space="preserve">BOM-0021</t>
  </si>
  <si>
    <t xml:space="preserve">Montante mural</t>
  </si>
  <si>
    <t xml:space="preserve">BOM-0022</t>
  </si>
  <si>
    <t xml:space="preserve">Panel de fondo</t>
  </si>
  <si>
    <t xml:space="preserve">BOM-0023</t>
  </si>
  <si>
    <t xml:space="preserve">Bandeja</t>
  </si>
  <si>
    <t xml:space="preserve">BOM-0024</t>
  </si>
  <si>
    <t xml:space="preserve">Soporte bandeja</t>
  </si>
  <si>
    <t xml:space="preserve">BOM-0025</t>
  </si>
  <si>
    <t xml:space="preserve">Pie soporte</t>
  </si>
  <si>
    <t xml:space="preserve">BOM-0026</t>
  </si>
  <si>
    <t xml:space="preserve">Fijaciones</t>
  </si>
  <si>
    <t xml:space="preserve">BOM-0027</t>
  </si>
  <si>
    <t xml:space="preserve">Panel lateral</t>
  </si>
  <si>
    <t xml:space="preserve">BOM-0028</t>
  </si>
  <si>
    <t xml:space="preserve">Techo/base</t>
  </si>
  <si>
    <t xml:space="preserve">BOM-0029</t>
  </si>
  <si>
    <t xml:space="preserve">Panel posterior</t>
  </si>
  <si>
    <t xml:space="preserve">BOM-0030</t>
  </si>
  <si>
    <t xml:space="preserve">Puerta individual</t>
  </si>
  <si>
    <t xml:space="preserve">BOM-0031</t>
  </si>
  <si>
    <t xml:space="preserve">Separador interior</t>
  </si>
  <si>
    <t xml:space="preserve">BOM-0032</t>
  </si>
  <si>
    <t xml:space="preserve">Bisagra</t>
  </si>
  <si>
    <t xml:space="preserve">BOM-0033</t>
  </si>
  <si>
    <t xml:space="preserve">Cerradura</t>
  </si>
  <si>
    <t xml:space="preserve">BOM-0034</t>
  </si>
  <si>
    <t xml:space="preserve">Costado externo</t>
  </si>
  <si>
    <t xml:space="preserve">BOM-0035</t>
  </si>
  <si>
    <t xml:space="preserve">Panel techo/base</t>
  </si>
  <si>
    <t xml:space="preserve">BOM-0036</t>
  </si>
  <si>
    <t xml:space="preserve">Fondo</t>
  </si>
  <si>
    <t xml:space="preserve">BOM-0037</t>
  </si>
  <si>
    <t xml:space="preserve">Puerta con rejilla</t>
  </si>
  <si>
    <t xml:space="preserve">BOM-0038</t>
  </si>
  <si>
    <t xml:space="preserve">Separador vertical</t>
  </si>
  <si>
    <t xml:space="preserve">BOM-0039</t>
  </si>
  <si>
    <t xml:space="preserve">Entrepiso</t>
  </si>
  <si>
    <t xml:space="preserve">BOM-0040</t>
  </si>
  <si>
    <t xml:space="preserve">BOM-0041</t>
  </si>
  <si>
    <t xml:space="preserve">BOM-0042</t>
  </si>
  <si>
    <t xml:space="preserve">Lateral gabinete</t>
  </si>
  <si>
    <t xml:space="preserve">BOM-0043</t>
  </si>
  <si>
    <t xml:space="preserve">BOM-0044</t>
  </si>
  <si>
    <t xml:space="preserve">BOM-0045</t>
  </si>
  <si>
    <t xml:space="preserve">Puerta</t>
  </si>
  <si>
    <t xml:space="preserve">BOM-0046</t>
  </si>
  <si>
    <t xml:space="preserve">BOM-0047</t>
  </si>
  <si>
    <t xml:space="preserve">BOM-0048</t>
  </si>
  <si>
    <t xml:space="preserve">BOM-0049</t>
  </si>
  <si>
    <t xml:space="preserve">Parante</t>
  </si>
  <si>
    <t xml:space="preserve">BOM-0050</t>
  </si>
  <si>
    <t xml:space="preserve">Travesaño</t>
  </si>
  <si>
    <t xml:space="preserve">BOM-0051</t>
  </si>
  <si>
    <t xml:space="preserve">BOM-0052</t>
  </si>
  <si>
    <t xml:space="preserve">Escuadra</t>
  </si>
  <si>
    <t xml:space="preserve">BOM-0053</t>
  </si>
  <si>
    <t xml:space="preserve">Tornillería</t>
  </si>
  <si>
    <t xml:space="preserve">BOM-0054</t>
  </si>
  <si>
    <t xml:space="preserve">Montante estructural</t>
  </si>
  <si>
    <t xml:space="preserve">BOM-0055</t>
  </si>
  <si>
    <t xml:space="preserve">Viga longitudinal</t>
  </si>
  <si>
    <t xml:space="preserve">BOM-0056</t>
  </si>
  <si>
    <t xml:space="preserve">BOM-0057</t>
  </si>
  <si>
    <t xml:space="preserve">Anclajes/seguros</t>
  </si>
  <si>
    <t xml:space="preserve">BOM-0058</t>
  </si>
  <si>
    <t xml:space="preserve">BOM-0059</t>
  </si>
  <si>
    <t xml:space="preserve">BOM-0060</t>
  </si>
  <si>
    <t xml:space="preserve">BOM-0061</t>
  </si>
  <si>
    <t xml:space="preserve">BOM-0062</t>
  </si>
  <si>
    <t xml:space="preserve">BOM-0063</t>
  </si>
  <si>
    <t xml:space="preserve">BOM-0064</t>
  </si>
  <si>
    <t xml:space="preserve">BOM-0065</t>
  </si>
  <si>
    <t xml:space="preserve">Panel/bandeja desmontable segmento</t>
  </si>
  <si>
    <t xml:space="preserve">BOM-0066</t>
  </si>
  <si>
    <t xml:space="preserve">BOM-0067</t>
  </si>
  <si>
    <t xml:space="preserve">BOM-0068</t>
  </si>
  <si>
    <t xml:space="preserve">BOM-0069</t>
  </si>
  <si>
    <t xml:space="preserve">BOM-0070</t>
  </si>
  <si>
    <t xml:space="preserve">Bastidor vertical tubular</t>
  </si>
  <si>
    <t xml:space="preserve">BOM-0071</t>
  </si>
  <si>
    <t xml:space="preserve">Panel trasero chapa</t>
  </si>
  <si>
    <t xml:space="preserve">BOM-0072</t>
  </si>
  <si>
    <t xml:space="preserve">Bandeja de exhibición</t>
  </si>
  <si>
    <t xml:space="preserve">BOM-0073</t>
  </si>
  <si>
    <t xml:space="preserve">Base y refuerzo perfil</t>
  </si>
  <si>
    <t xml:space="preserve">BOM-0074</t>
  </si>
  <si>
    <t xml:space="preserve">Ménsula y herrajes</t>
  </si>
  <si>
    <t xml:space="preserve">BOM-0075</t>
  </si>
  <si>
    <t xml:space="preserve">BOM-0076</t>
  </si>
  <si>
    <t xml:space="preserve">BOM-0077</t>
  </si>
  <si>
    <t xml:space="preserve">BOM-0078</t>
  </si>
  <si>
    <t xml:space="preserve">BOM-0079</t>
  </si>
  <si>
    <t xml:space="preserve">BOM-0080</t>
  </si>
  <si>
    <t xml:space="preserve">BOM-0081</t>
  </si>
  <si>
    <t xml:space="preserve">BOM-0082</t>
  </si>
  <si>
    <t xml:space="preserve">BOM-0083</t>
  </si>
  <si>
    <t xml:space="preserve">BOM-0084</t>
  </si>
  <si>
    <t xml:space="preserve">BOM-0085</t>
  </si>
  <si>
    <t xml:space="preserve">BOM-0086</t>
  </si>
  <si>
    <t xml:space="preserve">BOM-0087</t>
  </si>
  <si>
    <t xml:space="preserve">BOM-0088</t>
  </si>
  <si>
    <t xml:space="preserve">BOM-0089</t>
  </si>
  <si>
    <t xml:space="preserve">BOM-0090</t>
  </si>
  <si>
    <t xml:space="preserve">Costados chapa</t>
  </si>
  <si>
    <t xml:space="preserve">BOM-0091</t>
  </si>
  <si>
    <t xml:space="preserve">Panel posterior segmentado</t>
  </si>
  <si>
    <t xml:space="preserve">BOM-0092</t>
  </si>
  <si>
    <t xml:space="preserve">Puerta con ventilación</t>
  </si>
  <si>
    <t xml:space="preserve">BOM-0093</t>
  </si>
  <si>
    <t xml:space="preserve">Tapa superior/inferior</t>
  </si>
  <si>
    <t xml:space="preserve">BOM-0094</t>
  </si>
  <si>
    <t xml:space="preserve">Bisagras/cerraduras</t>
  </si>
  <si>
    <t xml:space="preserve">BOM-0095</t>
  </si>
  <si>
    <t xml:space="preserve">BOM-0096</t>
  </si>
  <si>
    <t xml:space="preserve">BOM-0097</t>
  </si>
  <si>
    <t xml:space="preserve">BOM-0098</t>
  </si>
  <si>
    <t xml:space="preserve">BOM-0099</t>
  </si>
  <si>
    <t xml:space="preserve">BOM-0100</t>
  </si>
  <si>
    <t xml:space="preserve">BOM-0101</t>
  </si>
  <si>
    <t xml:space="preserve">BOM-0102</t>
  </si>
  <si>
    <t xml:space="preserve">BOM-0103</t>
  </si>
  <si>
    <t xml:space="preserve">BOM-0104</t>
  </si>
  <si>
    <t xml:space="preserve">BOM-0105</t>
  </si>
  <si>
    <t xml:space="preserve">BOM-0106</t>
  </si>
  <si>
    <t xml:space="preserve">BOM-0107</t>
  </si>
  <si>
    <t xml:space="preserve">BOM-0108</t>
  </si>
  <si>
    <t xml:space="preserve">BOM-0109</t>
  </si>
  <si>
    <t xml:space="preserve">BOM-0110</t>
  </si>
  <si>
    <t xml:space="preserve">Piezas metálicas del bastidor</t>
  </si>
  <si>
    <t xml:space="preserve">BOM-0111</t>
  </si>
  <si>
    <t xml:space="preserve">Asiento / mecanismo comprado</t>
  </si>
  <si>
    <t xml:space="preserve">SIN_PRECIO</t>
  </si>
  <si>
    <t xml:space="preserve">BOM-0112</t>
  </si>
  <si>
    <t xml:space="preserve">Herrajes unión</t>
  </si>
  <si>
    <t xml:space="preserve">BOM-0113</t>
  </si>
  <si>
    <t xml:space="preserve">BOM-0114</t>
  </si>
  <si>
    <t xml:space="preserve">BOM-0115</t>
  </si>
  <si>
    <t xml:space="preserve">BOM-0116</t>
  </si>
  <si>
    <t xml:space="preserve">Paredes laterales</t>
  </si>
  <si>
    <t xml:space="preserve">BOM-0117</t>
  </si>
  <si>
    <t xml:space="preserve">BOM-0118</t>
  </si>
  <si>
    <t xml:space="preserve">Puertas/cajones metal</t>
  </si>
  <si>
    <t xml:space="preserve">BOM-0119</t>
  </si>
  <si>
    <t xml:space="preserve">Guías/seguros comprados</t>
  </si>
  <si>
    <t xml:space="preserve">BOM-0120</t>
  </si>
  <si>
    <t xml:space="preserve">BOM-0121</t>
  </si>
  <si>
    <t xml:space="preserve">BOM-0122</t>
  </si>
  <si>
    <t xml:space="preserve">BOM-0123</t>
  </si>
  <si>
    <t xml:space="preserve">BOM-0124</t>
  </si>
  <si>
    <t xml:space="preserve">BOM-0125</t>
  </si>
  <si>
    <t xml:space="preserve">BOM-0126</t>
  </si>
  <si>
    <t xml:space="preserve">BOM-0127</t>
  </si>
  <si>
    <t xml:space="preserve">BOM-0128</t>
  </si>
  <si>
    <t xml:space="preserve">BOM-0129</t>
  </si>
  <si>
    <t xml:space="preserve">BOM-0130</t>
  </si>
  <si>
    <t xml:space="preserve">BOM-0131</t>
  </si>
  <si>
    <t xml:space="preserve">BOM-0132</t>
  </si>
  <si>
    <t xml:space="preserve">Bastidor tubular</t>
  </si>
  <si>
    <t xml:space="preserve">BOM-0133</t>
  </si>
  <si>
    <t xml:space="preserve">Travesaño tubular</t>
  </si>
  <si>
    <t xml:space="preserve">BOM-0134</t>
  </si>
  <si>
    <t xml:space="preserve">Asiento o tablero comprado</t>
  </si>
  <si>
    <t xml:space="preserve">BOM-0135</t>
  </si>
  <si>
    <t xml:space="preserve">Tornillos/tapones</t>
  </si>
  <si>
    <t xml:space="preserve">BOM-0136</t>
  </si>
  <si>
    <t xml:space="preserve">BOM-0137</t>
  </si>
  <si>
    <t xml:space="preserve">BOM-0138</t>
  </si>
  <si>
    <t xml:space="preserve">BOM-0139</t>
  </si>
  <si>
    <t xml:space="preserve">BOM-0140</t>
  </si>
  <si>
    <t xml:space="preserve">BOM-0141</t>
  </si>
  <si>
    <t xml:space="preserve">BOM-0142</t>
  </si>
  <si>
    <t xml:space="preserve">BOM-0143</t>
  </si>
  <si>
    <t xml:space="preserve">BOM-0144</t>
  </si>
  <si>
    <t xml:space="preserve">BOM-0145</t>
  </si>
  <si>
    <t xml:space="preserve">BOM-0146</t>
  </si>
  <si>
    <t xml:space="preserve">BOM-0147</t>
  </si>
  <si>
    <t xml:space="preserve">BOM-0148</t>
  </si>
  <si>
    <t xml:space="preserve">BOM-0149</t>
  </si>
  <si>
    <t xml:space="preserve">BOM-0150</t>
  </si>
  <si>
    <t xml:space="preserve">BOM-0151</t>
  </si>
  <si>
    <t xml:space="preserve">BOM-0152</t>
  </si>
  <si>
    <t xml:space="preserve">BOM-0153</t>
  </si>
  <si>
    <t xml:space="preserve">BOM-0154</t>
  </si>
  <si>
    <t xml:space="preserve">BOM-0155</t>
  </si>
  <si>
    <t xml:space="preserve">BOM-0156</t>
  </si>
  <si>
    <t xml:space="preserve">Ruedas compradas</t>
  </si>
  <si>
    <t xml:space="preserve">BOM-0157</t>
  </si>
  <si>
    <t xml:space="preserve">BOM-0158</t>
  </si>
  <si>
    <t xml:space="preserve">BOM-0159</t>
  </si>
  <si>
    <t xml:space="preserve">BOM-0160</t>
  </si>
  <si>
    <t xml:space="preserve">BOM-0161</t>
  </si>
  <si>
    <t xml:space="preserve">BOM-0162</t>
  </si>
  <si>
    <t xml:space="preserve">BOM-0163</t>
  </si>
  <si>
    <t xml:space="preserve">BOM-0164</t>
  </si>
  <si>
    <t xml:space="preserve">BOM-0165</t>
  </si>
  <si>
    <t xml:space="preserve">BOM-0166</t>
  </si>
  <si>
    <t xml:space="preserve">BOM-0167</t>
  </si>
  <si>
    <t xml:space="preserve">BOM-0168</t>
  </si>
  <si>
    <t xml:space="preserve">BOM-0169</t>
  </si>
  <si>
    <t xml:space="preserve">BOM-0170</t>
  </si>
  <si>
    <t xml:space="preserve">BOM-0171</t>
  </si>
  <si>
    <t xml:space="preserve">BOM-0172</t>
  </si>
  <si>
    <t xml:space="preserve">BOM-0173</t>
  </si>
  <si>
    <t xml:space="preserve">BOM-0174</t>
  </si>
  <si>
    <t xml:space="preserve">BOM-0175</t>
  </si>
  <si>
    <t xml:space="preserve">BOM-0176</t>
  </si>
  <si>
    <t xml:space="preserve">BOM-0177</t>
  </si>
  <si>
    <t xml:space="preserve">BOM-0178</t>
  </si>
  <si>
    <t xml:space="preserve">BOM-0179</t>
  </si>
  <si>
    <t xml:space="preserve">Tablero comprado</t>
  </si>
  <si>
    <t xml:space="preserve">BOM-0180</t>
  </si>
  <si>
    <t xml:space="preserve">BOM-0181</t>
  </si>
  <si>
    <t xml:space="preserve">BOM-0182</t>
  </si>
  <si>
    <t xml:space="preserve">BOM-0183</t>
  </si>
  <si>
    <t xml:space="preserve">BOM-0184</t>
  </si>
  <si>
    <t xml:space="preserve">BOM-0185</t>
  </si>
  <si>
    <t xml:space="preserve">BOM-0186</t>
  </si>
  <si>
    <t xml:space="preserve">BOM-0187</t>
  </si>
  <si>
    <t xml:space="preserve">BOM-0188</t>
  </si>
  <si>
    <t xml:space="preserve">BOM-0189</t>
  </si>
  <si>
    <t xml:space="preserve">BOM-0190</t>
  </si>
  <si>
    <t xml:space="preserve">Somier/listones o componente comprado</t>
  </si>
  <si>
    <t xml:space="preserve">BOM-0191</t>
  </si>
  <si>
    <t xml:space="preserve">BOM-0192</t>
  </si>
  <si>
    <t xml:space="preserve">BOM-0193</t>
  </si>
  <si>
    <t xml:space="preserve">BOM-0194</t>
  </si>
  <si>
    <t xml:space="preserve">BOM-0195</t>
  </si>
  <si>
    <t xml:space="preserve">BOM-0196</t>
  </si>
  <si>
    <t xml:space="preserve">BOM-0197</t>
  </si>
  <si>
    <t xml:space="preserve">BOM-0198</t>
  </si>
  <si>
    <t xml:space="preserve">BOM-0199</t>
  </si>
  <si>
    <t xml:space="preserve">BOM-0200</t>
  </si>
  <si>
    <t xml:space="preserve">BOM-0201</t>
  </si>
  <si>
    <t xml:space="preserve">BOM-0202</t>
  </si>
  <si>
    <t xml:space="preserve">BOM-0203</t>
  </si>
  <si>
    <t xml:space="preserve">BOM-0204</t>
  </si>
  <si>
    <t xml:space="preserve">BOM-0205</t>
  </si>
  <si>
    <t xml:space="preserve">BOM-0206</t>
  </si>
  <si>
    <t xml:space="preserve">BOM-0207</t>
  </si>
  <si>
    <t xml:space="preserve">BOM-0208</t>
  </si>
  <si>
    <t xml:space="preserve">BOM-0209</t>
  </si>
  <si>
    <t xml:space="preserve">BOM-0210</t>
  </si>
  <si>
    <t xml:space="preserve">BOM-0211</t>
  </si>
  <si>
    <t xml:space="preserve">BOM-0212</t>
  </si>
  <si>
    <t xml:space="preserve">BOM-0213</t>
  </si>
  <si>
    <t xml:space="preserve">BOM-0214</t>
  </si>
  <si>
    <t xml:space="preserve">BOM-0215</t>
  </si>
  <si>
    <t xml:space="preserve">BOM-0216</t>
  </si>
  <si>
    <t xml:space="preserve">BOM-0217</t>
  </si>
  <si>
    <t xml:space="preserve">BOM-0218</t>
  </si>
  <si>
    <t xml:space="preserve">BOM-0219</t>
  </si>
  <si>
    <t xml:space="preserve">BOM-0220</t>
  </si>
  <si>
    <t xml:space="preserve">BOM-0221</t>
  </si>
  <si>
    <t xml:space="preserve">BOM-0222</t>
  </si>
  <si>
    <t xml:space="preserve">BOM-0223</t>
  </si>
  <si>
    <t xml:space="preserve">BOM-0224</t>
  </si>
  <si>
    <t xml:space="preserve">CCH-01</t>
  </si>
  <si>
    <t xml:space="preserve">Guillotina hidráulica para corte de planchas de acero</t>
  </si>
  <si>
    <t xml:space="preserve">Guillotina hidráulica de chapa, hasta 4 mm</t>
  </si>
  <si>
    <t xml:space="preserve">MAQUINA</t>
  </si>
  <si>
    <t xml:space="preserve">Corte</t>
  </si>
  <si>
    <t xml:space="preserve">CPR-01</t>
  </si>
  <si>
    <t xml:space="preserve">Sierra de cinta para corte de tubos y perfiles</t>
  </si>
  <si>
    <t xml:space="preserve">Sierra de cinta para metal</t>
  </si>
  <si>
    <t xml:space="preserve">PER-01</t>
  </si>
  <si>
    <t xml:space="preserve">Taladro de banco para perforación de acero</t>
  </si>
  <si>
    <t xml:space="preserve">Taladro de banco industrial</t>
  </si>
  <si>
    <t xml:space="preserve">Perforación</t>
  </si>
  <si>
    <t xml:space="preserve">PLE-01</t>
  </si>
  <si>
    <t xml:space="preserve">Plegadora hidráulica de chapa metálica</t>
  </si>
  <si>
    <t xml:space="preserve">Plegadora hidráulica compacta</t>
  </si>
  <si>
    <t xml:space="preserve">Plegado</t>
  </si>
  <si>
    <t xml:space="preserve">SOL-01</t>
  </si>
  <si>
    <t xml:space="preserve">Máquina de soldadura por arco MIG/MAG</t>
  </si>
  <si>
    <t xml:space="preserve">Soldadora inversora MIG/MAG</t>
  </si>
  <si>
    <t xml:space="preserve">Soldadura y armado</t>
  </si>
  <si>
    <t xml:space="preserve">DES-01</t>
  </si>
  <si>
    <t xml:space="preserve">Mesa de desbarbado/esmerilado</t>
  </si>
  <si>
    <t xml:space="preserve">PUESTO_MANUAL</t>
  </si>
  <si>
    <t xml:space="preserve">Acabado</t>
  </si>
  <si>
    <t xml:space="preserve">PRE-01</t>
  </si>
  <si>
    <t xml:space="preserve">Zona de preparación superficial</t>
  </si>
  <si>
    <t xml:space="preserve">AREA</t>
  </si>
  <si>
    <t xml:space="preserve">PIN-01</t>
  </si>
  <si>
    <t xml:space="preserve">Pistola manual de pintura electrostática en polvo</t>
  </si>
  <si>
    <t xml:space="preserve">EQUIPO_MANUAL</t>
  </si>
  <si>
    <t xml:space="preserve">Pintura y curado</t>
  </si>
  <si>
    <t xml:space="preserve">ARM-01</t>
  </si>
  <si>
    <t xml:space="preserve">Mesa de armado</t>
  </si>
  <si>
    <t xml:space="preserve">CAL-01</t>
  </si>
  <si>
    <t xml:space="preserve">Área de inspección</t>
  </si>
  <si>
    <t xml:space="preserve">Calidad y despacho</t>
  </si>
  <si>
    <t xml:space="preserve">EMP-01</t>
  </si>
  <si>
    <t xml:space="preserve">Zona de protección y embalaje</t>
  </si>
  <si>
    <t xml:space="preserve">PER-02</t>
  </si>
  <si>
    <t xml:space="preserve">Segundo taladro (alternativo)</t>
  </si>
  <si>
    <t xml:space="preserve">SOL-02</t>
  </si>
  <si>
    <t xml:space="preserve">Segunda estación soldadura (alternativa)</t>
  </si>
  <si>
    <t xml:space="preserve">PIN-EXT</t>
  </si>
  <si>
    <t xml:space="preserve">Proveedor de pintura externo</t>
  </si>
  <si>
    <t xml:space="preserve">EXTERNO</t>
  </si>
  <si>
    <t xml:space="preserve">No aplica</t>
  </si>
  <si>
    <t xml:space="preserve">HOR-01</t>
  </si>
  <si>
    <t xml:space="preserve">Horno de curado de pintura electrostática por lotes</t>
  </si>
  <si>
    <t xml:space="preserve">MAN-01</t>
  </si>
  <si>
    <t xml:space="preserve">Manipulación y enfriamiento de piezas</t>
  </si>
  <si>
    <t xml:space="preserve">SAL-PIN</t>
  </si>
  <si>
    <t xml:space="preserve">Sala acondicionada para pintura electrostática</t>
  </si>
  <si>
    <t xml:space="preserve">Corte de planchas de acero</t>
  </si>
  <si>
    <t xml:space="preserve">POR_UNIDAD</t>
  </si>
  <si>
    <t xml:space="preserve">HEREDADO_SIN_CRONOMETRAJE</t>
  </si>
  <si>
    <t xml:space="preserve">Corte de tubos y perfiles</t>
  </si>
  <si>
    <t xml:space="preserve">Soldadura</t>
  </si>
  <si>
    <t xml:space="preserve">Desbarbado</t>
  </si>
  <si>
    <t xml:space="preserve">Preparación superficial</t>
  </si>
  <si>
    <t xml:space="preserve">Aplicación electrostática de polvo</t>
  </si>
  <si>
    <t xml:space="preserve">HIPOTESIS_TECNICA</t>
  </si>
  <si>
    <t xml:space="preserve">Curado térmico en horno</t>
  </si>
  <si>
    <t xml:space="preserve">POR_LOTE</t>
  </si>
  <si>
    <t xml:space="preserve">Colgado, traslado y enfriamiento</t>
  </si>
  <si>
    <t xml:space="preserve">Ensamblaje</t>
  </si>
  <si>
    <t xml:space="preserve">Inspección de calidad</t>
  </si>
  <si>
    <t xml:space="preserve">Embalaje</t>
  </si>
  <si>
    <t xml:space="preserve">Inspección final de integridad del producto</t>
  </si>
  <si>
    <t xml:space="preserve">PRINCIPAL</t>
  </si>
  <si>
    <t xml:space="preserve">ALT_UTILLAJE</t>
  </si>
  <si>
    <t xml:space="preserve">ALT_MISMO_PROCESO</t>
  </si>
  <si>
    <t xml:space="preserve">OP-01</t>
  </si>
  <si>
    <t xml:space="preserve">OP-02</t>
  </si>
  <si>
    <t xml:space="preserve">OP-03</t>
  </si>
  <si>
    <t xml:space="preserve">OP-04</t>
  </si>
  <si>
    <t xml:space="preserve">OP-05</t>
  </si>
  <si>
    <t xml:space="preserve">OP-06</t>
  </si>
  <si>
    <t xml:space="preserve">OP-07</t>
  </si>
  <si>
    <t xml:space="preserve">OP-08</t>
  </si>
  <si>
    <t xml:space="preserve">OP-09</t>
  </si>
  <si>
    <t xml:space="preserve">OP-10</t>
  </si>
  <si>
    <t xml:space="preserve">OP-11</t>
  </si>
  <si>
    <t xml:space="preserve">OP-12</t>
  </si>
  <si>
    <t xml:space="preserve">OP-13</t>
  </si>
  <si>
    <t xml:space="preserve">OP-14</t>
  </si>
  <si>
    <t xml:space="preserve">OP-15</t>
  </si>
  <si>
    <t xml:space="preserve">OP-16</t>
  </si>
  <si>
    <t xml:space="preserve">OP-17</t>
  </si>
  <si>
    <t xml:space="preserve">OP-18</t>
  </si>
  <si>
    <t xml:space="preserve">OP-19</t>
  </si>
  <si>
    <t xml:space="preserve">OP-20</t>
  </si>
  <si>
    <t xml:space="preserve">OP-21</t>
  </si>
  <si>
    <t xml:space="preserve">OP-22</t>
  </si>
  <si>
    <t xml:space="preserve">OP-23</t>
  </si>
  <si>
    <t xml:space="preserve">OP-24</t>
  </si>
  <si>
    <t xml:space="preserve">OP-25</t>
  </si>
  <si>
    <t xml:space="preserve">Año Nuevo</t>
  </si>
  <si>
    <t xml:space="preserve">Jueves Santo</t>
  </si>
  <si>
    <t xml:space="preserve">Viernes Santo</t>
  </si>
  <si>
    <t xml:space="preserve">Día del Trabajo</t>
  </si>
  <si>
    <t xml:space="preserve">Batalla de Arica y Día de la Bandera</t>
  </si>
  <si>
    <t xml:space="preserve">San Pedro y San Pablo</t>
  </si>
  <si>
    <t xml:space="preserve">Día de la Fuerza Aérea del Perú</t>
  </si>
  <si>
    <t xml:space="preserve">Fiestas Patrias</t>
  </si>
  <si>
    <t xml:space="preserve">Batalla de Junín</t>
  </si>
  <si>
    <t xml:space="preserve">Santa Rosa de Lima</t>
  </si>
  <si>
    <t xml:space="preserve">Combate de Angamos</t>
  </si>
  <si>
    <t xml:space="preserve">Día de Todos los Santos</t>
  </si>
  <si>
    <t xml:space="preserve">Inmaculada Concepción</t>
  </si>
  <si>
    <t xml:space="preserve">Batalla de Ayacucho</t>
  </si>
  <si>
    <t xml:space="preserve">Navidad</t>
  </si>
  <si>
    <t xml:space="preserve">trabajadores_produccion</t>
  </si>
  <si>
    <t xml:space="preserve">Número total de trabajadores de producción</t>
  </si>
  <si>
    <t xml:space="preserve">Confirmado por la empresa (06C v1.2).</t>
  </si>
  <si>
    <t xml:space="preserve">turnos_por_dia</t>
  </si>
  <si>
    <t xml:space="preserve">Turnos diarios</t>
  </si>
  <si>
    <t xml:space="preserve">turnos</t>
  </si>
  <si>
    <t xml:space="preserve">Confirmado por la empresa.</t>
  </si>
  <si>
    <t xml:space="preserve">horas_productivas_dia</t>
  </si>
  <si>
    <t xml:space="preserve">Horas productivas por día</t>
  </si>
  <si>
    <t xml:space="preserve">h/día</t>
  </si>
  <si>
    <t xml:space="preserve">Jornada neta confirmada; el modelo la deriva de 'Jornada productiva'.</t>
  </si>
  <si>
    <t xml:space="preserve">jornada_productiva</t>
  </si>
  <si>
    <t xml:space="preserve">Jornada productiva</t>
  </si>
  <si>
    <t xml:space="preserve">08:00-12:00 y 13:00-17:00</t>
  </si>
  <si>
    <t xml:space="preserve">Horario no confirmado por la empresa; define el eje de horas productivas.</t>
  </si>
  <si>
    <t xml:space="preserve">refrigerio</t>
  </si>
  <si>
    <t xml:space="preserve">Refrigerio</t>
  </si>
  <si>
    <t xml:space="preserve">12:00-13:00</t>
  </si>
  <si>
    <t xml:space="preserve">Horario no confirmado.</t>
  </si>
  <si>
    <t xml:space="preserve">aplicar_feriados</t>
  </si>
  <si>
    <t xml:space="preserve">Aplicar feriados nacionales (1/0)</t>
  </si>
  <si>
    <t xml:space="preserve">1/0</t>
  </si>
  <si>
    <t xml:space="preserve">0 = calendario v1.2 (feriados laborables). Práctica real de SAGAPI pendiente de confirmación.</t>
  </si>
  <si>
    <t xml:space="preserve">anio_base</t>
  </si>
  <si>
    <t xml:space="preserve">Año base del estudio</t>
  </si>
  <si>
    <t xml:space="preserve">año</t>
  </si>
  <si>
    <t xml:space="preserve">hora_liberacion</t>
  </si>
  <si>
    <t xml:space="preserve">Hora de liberación</t>
  </si>
  <si>
    <t xml:space="preserve">08:00</t>
  </si>
  <si>
    <t xml:space="preserve">Fijada en el código (instancia.py); el valor aquí es informativo.</t>
  </si>
  <si>
    <t xml:space="preserve">hora_vencimiento</t>
  </si>
  <si>
    <t xml:space="preserve">Hora de vencimiento d_j</t>
  </si>
  <si>
    <t xml:space="preserve">17:00</t>
  </si>
  <si>
    <t xml:space="preserve">Cierre del día comprometido o del último día productivo previo (calendario.py).</t>
  </si>
  <si>
    <t xml:space="preserve">densidad_acero</t>
  </si>
  <si>
    <t xml:space="preserve">Densidad del acero</t>
  </si>
  <si>
    <t xml:space="preserve">kg/m³</t>
  </si>
  <si>
    <t xml:space="preserve">Constante física; reproduce exactamente la masa de chapa de v1.2.</t>
  </si>
  <si>
    <t xml:space="preserve">kg_por_m_perfil</t>
  </si>
  <si>
    <t xml:space="preserve">Masa lineal del perfil genérico</t>
  </si>
  <si>
    <t xml:space="preserve">kg/m</t>
  </si>
  <si>
    <t xml:space="preserve">Implícito en v1.2 (masa = piezas × longitud × 1,5); sección del perfil por definir.</t>
  </si>
  <si>
    <t xml:space="preserve">aprovechamiento_chapa</t>
  </si>
  <si>
    <t xml:space="preserve">Factor de aprovechamiento de chapa</t>
  </si>
  <si>
    <t xml:space="preserve">Implícito en v1.2 (costo = masa × precio / 0,92); sin medición de merma.</t>
  </si>
  <si>
    <t xml:space="preserve">aprovechamiento_perfil</t>
  </si>
  <si>
    <t xml:space="preserve">Factor de aprovechamiento de perfil</t>
  </si>
  <si>
    <t xml:space="preserve">Implícito en v1.2 (costo = masa × precio / 0,96).</t>
  </si>
  <si>
    <t xml:space="preserve">area_plancha_m2</t>
  </si>
  <si>
    <t xml:space="preserve">Área de plancha estándar 1,20 × 2,40 m</t>
  </si>
  <si>
    <t xml:space="preserve">Formato del material MAT-LAC2; no confirma que todas las chapas se compren en ese formato.</t>
  </si>
  <si>
    <t xml:space="preserve">costo_hora_hombre</t>
  </si>
  <si>
    <t xml:space="preserve">Costo hora-hombre</t>
  </si>
  <si>
    <t xml:space="preserve">Supuesto económico sin planilla.</t>
  </si>
  <si>
    <t xml:space="preserve">tarifa_electrica</t>
  </si>
  <si>
    <t xml:space="preserve">Tarifa eléctrica</t>
  </si>
  <si>
    <t xml:space="preserve">S/ por kWh</t>
  </si>
  <si>
    <t xml:space="preserve">Verificar con recibo eléctrico.</t>
  </si>
  <si>
    <t xml:space="preserve">factor_emision_red</t>
  </si>
  <si>
    <t xml:space="preserve">Factor de emisión de la red</t>
  </si>
  <si>
    <t xml:space="preserve">kg CO2/kWh</t>
  </si>
  <si>
    <t xml:space="preserve">Sin dato oficial cargado; el programa no calcula CO2.</t>
  </si>
  <si>
    <t xml:space="preserve">ventas_anuales</t>
  </si>
  <si>
    <t xml:space="preserve">Ventas anuales aproximadas</t>
  </si>
  <si>
    <t xml:space="preserve">Declarado por la empresa.</t>
  </si>
  <si>
    <t xml:space="preserve">uit_2025</t>
  </si>
  <si>
    <t xml:space="preserve">UIT 2025</t>
  </si>
  <si>
    <t xml:space="preserve">Valor oficial 2025.</t>
  </si>
  <si>
    <t xml:space="preserve">ciclo_horno_min</t>
  </si>
  <si>
    <t xml:space="preserve">Ciclo horno</t>
  </si>
  <si>
    <t xml:space="preserve">min por carga</t>
  </si>
  <si>
    <t xml:space="preserve">Incluido en el tiempo fijo (45 min) del curado en 06_RUTAS.</t>
  </si>
  <si>
    <t xml:space="preserve">capacidad_horno_carga</t>
  </si>
  <si>
    <t xml:space="preserve">Capacidad horno por lote</t>
  </si>
  <si>
    <t xml:space="preserve">piezas por carga (declarado)</t>
  </si>
  <si>
    <t xml:space="preserve">Conflicto de unidades: el lote del modelo es de 10 UNIDADES de producto, no 10 piezas.</t>
  </si>
  <si>
    <t xml:space="preserve">categoria_empresarial</t>
  </si>
  <si>
    <t xml:space="preserve">Categoría empresarial (Ley 30056)</t>
  </si>
  <si>
    <t xml:space="preserve">-</t>
  </si>
  <si>
    <t xml:space="preserve">Ventas anuales / UIT según Ley 30056.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</si>
</sst>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@"/>
    <numFmt numFmtId="167" formatCode="&quot;S/ &quot;#,##0.00"/>
    <numFmt numFmtId="168" formatCode="0.0%"/>
    <numFmt numFmtId="169" formatCode="0.0"/>
    <numFmt numFmtId="170" formatCode="#,##0.00"/>
    <numFmt numFmtId="171" formatCode="0.000"/>
    <numFmt numFmtId="172" formatCode="0.0000"/>
    <numFmt numFmtId="173" formatCode="0.000000"/>
    <numFmt numFmtId="174" formatCode="hh:mm"/>
    <numFmt numFmtId="175" formatCode="yyyy\-mm\-dd"/>
    <numFmt numFmtId="176" formatCode="yyyy\-mm\-dd\ hh:mm:ss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2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3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4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5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H1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8" min="8" style="0" width="4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E2" s="3" t="n">
        <v>1</v>
      </c>
      <c r="F2" s="2" t="s">
        <v>11</v>
      </c>
      <c r="G2" s="2" t="s">
        <v>12</v>
      </c>
    </row>
    <row r="3" customFormat="false" ht="15" hidden="false" customHeight="false" outlineLevel="0" collapsed="false">
      <c r="A3" s="2" t="s">
        <v>8</v>
      </c>
      <c r="B3" s="2" t="s">
        <v>13</v>
      </c>
      <c r="C3" s="2" t="s">
        <v>10</v>
      </c>
      <c r="E3" s="3" t="n">
        <v>1</v>
      </c>
      <c r="F3" s="2" t="s">
        <v>11</v>
      </c>
      <c r="G3" s="2" t="s">
        <v>14</v>
      </c>
    </row>
    <row r="4" customFormat="false" ht="15" hidden="false" customHeight="false" outlineLevel="0" collapsed="false">
      <c r="A4" s="2" t="s">
        <v>8</v>
      </c>
      <c r="B4" s="2" t="s">
        <v>15</v>
      </c>
      <c r="C4" s="2" t="s">
        <v>16</v>
      </c>
      <c r="D4" s="2" t="s">
        <v>17</v>
      </c>
      <c r="E4" s="3" t="n">
        <v>1</v>
      </c>
      <c r="F4" s="2" t="s">
        <v>11</v>
      </c>
      <c r="G4" s="2" t="s">
        <v>18</v>
      </c>
      <c r="H4" s="2" t="s">
        <v>19</v>
      </c>
    </row>
    <row r="5" customFormat="false" ht="15" hidden="false" customHeight="false" outlineLevel="0" collapsed="false">
      <c r="A5" s="2" t="s">
        <v>8</v>
      </c>
      <c r="B5" s="2" t="s">
        <v>20</v>
      </c>
      <c r="C5" s="2" t="s">
        <v>21</v>
      </c>
      <c r="D5" s="2" t="s">
        <v>22</v>
      </c>
      <c r="E5" s="3" t="n">
        <v>1</v>
      </c>
      <c r="F5" s="2" t="s">
        <v>11</v>
      </c>
      <c r="G5" s="2" t="s">
        <v>23</v>
      </c>
      <c r="H5" s="2" t="s">
        <v>19</v>
      </c>
    </row>
    <row r="6" customFormat="false" ht="15" hidden="false" customHeight="false" outlineLevel="0" collapsed="false">
      <c r="A6" s="2" t="s">
        <v>8</v>
      </c>
      <c r="B6" s="2" t="s">
        <v>24</v>
      </c>
      <c r="C6" s="2" t="s">
        <v>21</v>
      </c>
      <c r="D6" s="2" t="s">
        <v>25</v>
      </c>
      <c r="E6" s="3" t="n">
        <v>1</v>
      </c>
      <c r="F6" s="2" t="s">
        <v>26</v>
      </c>
      <c r="G6" s="2" t="s">
        <v>27</v>
      </c>
    </row>
    <row r="7" customFormat="false" ht="15" hidden="false" customHeight="false" outlineLevel="0" collapsed="false">
      <c r="A7" s="2" t="s">
        <v>8</v>
      </c>
      <c r="B7" s="2" t="s">
        <v>28</v>
      </c>
      <c r="C7" s="2" t="s">
        <v>29</v>
      </c>
      <c r="D7" s="2" t="s">
        <v>29</v>
      </c>
      <c r="E7" s="3" t="n">
        <v>1</v>
      </c>
      <c r="F7" s="2" t="s">
        <v>30</v>
      </c>
      <c r="G7" s="2" t="s">
        <v>31</v>
      </c>
      <c r="H7" s="2" t="s">
        <v>32</v>
      </c>
    </row>
    <row r="8" customFormat="false" ht="15" hidden="false" customHeight="false" outlineLevel="0" collapsed="false">
      <c r="A8" s="2" t="s">
        <v>8</v>
      </c>
      <c r="B8" s="2" t="s">
        <v>33</v>
      </c>
      <c r="C8" s="2" t="s">
        <v>29</v>
      </c>
      <c r="D8" s="2" t="s">
        <v>34</v>
      </c>
      <c r="E8" s="3" t="n">
        <v>1</v>
      </c>
      <c r="F8" s="2" t="s">
        <v>30</v>
      </c>
      <c r="G8" s="2" t="s">
        <v>35</v>
      </c>
      <c r="H8" s="2" t="s">
        <v>36</v>
      </c>
    </row>
    <row r="9" customFormat="false" ht="15" hidden="false" customHeight="false" outlineLevel="0" collapsed="false">
      <c r="A9" s="2" t="s">
        <v>8</v>
      </c>
      <c r="B9" s="2" t="s">
        <v>5</v>
      </c>
      <c r="C9" s="2" t="s">
        <v>10</v>
      </c>
      <c r="E9" s="3" t="n">
        <v>1</v>
      </c>
      <c r="G9" s="2" t="s">
        <v>37</v>
      </c>
    </row>
    <row r="10" customFormat="false" ht="15" hidden="false" customHeight="false" outlineLevel="0" collapsed="false">
      <c r="A10" s="2" t="s">
        <v>38</v>
      </c>
      <c r="B10" s="2" t="s">
        <v>39</v>
      </c>
      <c r="C10" s="2" t="s">
        <v>10</v>
      </c>
      <c r="E10" s="3" t="n">
        <v>1</v>
      </c>
      <c r="G10" s="2" t="s">
        <v>40</v>
      </c>
    </row>
    <row r="11" customFormat="false" ht="15" hidden="false" customHeight="false" outlineLevel="0" collapsed="false">
      <c r="A11" s="2" t="s">
        <v>38</v>
      </c>
      <c r="B11" s="2" t="s">
        <v>9</v>
      </c>
      <c r="C11" s="2" t="s">
        <v>10</v>
      </c>
      <c r="E11" s="3" t="n">
        <v>1</v>
      </c>
      <c r="G11" s="2" t="s">
        <v>41</v>
      </c>
    </row>
    <row r="12" customFormat="false" ht="15" hidden="false" customHeight="false" outlineLevel="0" collapsed="false">
      <c r="A12" s="2" t="s">
        <v>38</v>
      </c>
      <c r="B12" s="2" t="s">
        <v>42</v>
      </c>
      <c r="C12" s="2" t="s">
        <v>10</v>
      </c>
      <c r="E12" s="3" t="n">
        <v>1</v>
      </c>
      <c r="G12" s="2" t="s">
        <v>43</v>
      </c>
      <c r="H12" s="2" t="s">
        <v>44</v>
      </c>
    </row>
    <row r="13" customFormat="false" ht="15" hidden="false" customHeight="false" outlineLevel="0" collapsed="false">
      <c r="A13" s="2" t="s">
        <v>38</v>
      </c>
      <c r="B13" s="2" t="s">
        <v>2</v>
      </c>
      <c r="C13" s="2" t="s">
        <v>10</v>
      </c>
      <c r="E13" s="3" t="n">
        <v>1</v>
      </c>
      <c r="G13" s="2" t="s">
        <v>45</v>
      </c>
    </row>
    <row r="14" customFormat="false" ht="15" hidden="false" customHeight="false" outlineLevel="0" collapsed="false">
      <c r="A14" s="2" t="s">
        <v>38</v>
      </c>
      <c r="B14" s="2" t="s">
        <v>46</v>
      </c>
      <c r="C14" s="2" t="s">
        <v>47</v>
      </c>
      <c r="D14" s="2" t="s">
        <v>48</v>
      </c>
      <c r="E14" s="3" t="n">
        <v>1</v>
      </c>
      <c r="F14" s="2" t="s">
        <v>30</v>
      </c>
      <c r="G14" s="2" t="s">
        <v>49</v>
      </c>
    </row>
    <row r="15" customFormat="false" ht="15" hidden="false" customHeight="false" outlineLevel="0" collapsed="false">
      <c r="A15" s="2" t="s">
        <v>38</v>
      </c>
      <c r="B15" s="2" t="s">
        <v>50</v>
      </c>
      <c r="C15" s="2" t="s">
        <v>47</v>
      </c>
      <c r="D15" s="2" t="s">
        <v>48</v>
      </c>
      <c r="E15" s="3" t="n">
        <v>1</v>
      </c>
      <c r="F15" s="2" t="s">
        <v>30</v>
      </c>
      <c r="G15" s="2" t="s">
        <v>51</v>
      </c>
    </row>
    <row r="16" customFormat="false" ht="15" hidden="false" customHeight="false" outlineLevel="0" collapsed="false">
      <c r="A16" s="2" t="s">
        <v>38</v>
      </c>
      <c r="B16" s="2" t="s">
        <v>52</v>
      </c>
      <c r="C16" s="2" t="s">
        <v>47</v>
      </c>
      <c r="D16" s="2" t="s">
        <v>48</v>
      </c>
      <c r="E16" s="3" t="n">
        <v>1</v>
      </c>
      <c r="F16" s="2" t="s">
        <v>30</v>
      </c>
      <c r="G16" s="2" t="s">
        <v>53</v>
      </c>
    </row>
    <row r="17" customFormat="false" ht="15" hidden="false" customHeight="false" outlineLevel="0" collapsed="false">
      <c r="A17" s="2" t="s">
        <v>38</v>
      </c>
      <c r="B17" s="2" t="s">
        <v>54</v>
      </c>
      <c r="C17" s="2" t="s">
        <v>16</v>
      </c>
      <c r="D17" s="2" t="s">
        <v>17</v>
      </c>
      <c r="E17" s="3" t="n">
        <v>0</v>
      </c>
      <c r="G17" s="2" t="s">
        <v>55</v>
      </c>
    </row>
    <row r="18" customFormat="false" ht="15" hidden="false" customHeight="false" outlineLevel="0" collapsed="false">
      <c r="A18" s="2" t="s">
        <v>38</v>
      </c>
      <c r="B18" s="2" t="s">
        <v>56</v>
      </c>
      <c r="C18" s="2" t="s">
        <v>16</v>
      </c>
      <c r="D18" s="2" t="s">
        <v>17</v>
      </c>
      <c r="E18" s="3" t="n">
        <v>1</v>
      </c>
      <c r="F18" s="2" t="s">
        <v>30</v>
      </c>
      <c r="G18" s="2" t="s">
        <v>57</v>
      </c>
      <c r="H18" s="2" t="s">
        <v>58</v>
      </c>
    </row>
    <row r="19" customFormat="false" ht="15" hidden="false" customHeight="false" outlineLevel="0" collapsed="false">
      <c r="A19" s="2" t="s">
        <v>38</v>
      </c>
      <c r="B19" s="2" t="s">
        <v>59</v>
      </c>
      <c r="C19" s="2" t="s">
        <v>16</v>
      </c>
      <c r="E19" s="3" t="n">
        <v>1</v>
      </c>
      <c r="F19" s="2" t="s">
        <v>26</v>
      </c>
      <c r="G19" s="2" t="s">
        <v>60</v>
      </c>
    </row>
    <row r="20" customFormat="false" ht="15" hidden="false" customHeight="false" outlineLevel="0" collapsed="false">
      <c r="A20" s="2" t="s">
        <v>38</v>
      </c>
      <c r="B20" s="2" t="s">
        <v>61</v>
      </c>
      <c r="C20" s="2" t="s">
        <v>16</v>
      </c>
      <c r="E20" s="3" t="n">
        <v>1</v>
      </c>
      <c r="F20" s="2" t="s">
        <v>26</v>
      </c>
      <c r="G20" s="2" t="s">
        <v>62</v>
      </c>
    </row>
    <row r="21" customFormat="false" ht="15" hidden="false" customHeight="false" outlineLevel="0" collapsed="false">
      <c r="A21" s="2" t="s">
        <v>38</v>
      </c>
      <c r="B21" s="2" t="s">
        <v>63</v>
      </c>
      <c r="C21" s="2" t="s">
        <v>64</v>
      </c>
      <c r="E21" s="3" t="n">
        <v>1</v>
      </c>
      <c r="F21" s="2" t="s">
        <v>26</v>
      </c>
      <c r="G21" s="2" t="s">
        <v>65</v>
      </c>
    </row>
    <row r="22" customFormat="false" ht="15" hidden="false" customHeight="false" outlineLevel="0" collapsed="false">
      <c r="A22" s="2" t="s">
        <v>38</v>
      </c>
      <c r="B22" s="2" t="s">
        <v>5</v>
      </c>
      <c r="C22" s="2" t="s">
        <v>10</v>
      </c>
      <c r="E22" s="3" t="n">
        <v>1</v>
      </c>
      <c r="G22" s="2" t="s">
        <v>37</v>
      </c>
    </row>
    <row r="23" customFormat="false" ht="15" hidden="false" customHeight="false" outlineLevel="0" collapsed="false">
      <c r="A23" s="2" t="s">
        <v>66</v>
      </c>
      <c r="B23" s="2" t="s">
        <v>67</v>
      </c>
      <c r="C23" s="2" t="s">
        <v>10</v>
      </c>
      <c r="E23" s="3" t="n">
        <v>1</v>
      </c>
      <c r="G23" s="2" t="s">
        <v>68</v>
      </c>
    </row>
    <row r="24" customFormat="false" ht="15" hidden="false" customHeight="false" outlineLevel="0" collapsed="false">
      <c r="A24" s="2" t="s">
        <v>66</v>
      </c>
      <c r="B24" s="2" t="s">
        <v>69</v>
      </c>
      <c r="C24" s="2" t="s">
        <v>10</v>
      </c>
      <c r="E24" s="3" t="n">
        <v>1</v>
      </c>
      <c r="G24" s="2" t="s">
        <v>70</v>
      </c>
    </row>
    <row r="25" customFormat="false" ht="15" hidden="false" customHeight="false" outlineLevel="0" collapsed="false">
      <c r="A25" s="2" t="s">
        <v>66</v>
      </c>
      <c r="B25" s="2" t="s">
        <v>71</v>
      </c>
      <c r="C25" s="2" t="s">
        <v>10</v>
      </c>
      <c r="E25" s="3" t="n">
        <v>1</v>
      </c>
      <c r="G25" s="2" t="s">
        <v>72</v>
      </c>
    </row>
    <row r="26" customFormat="false" ht="15" hidden="false" customHeight="false" outlineLevel="0" collapsed="false">
      <c r="A26" s="2" t="s">
        <v>66</v>
      </c>
      <c r="B26" s="2" t="s">
        <v>73</v>
      </c>
      <c r="C26" s="2" t="s">
        <v>10</v>
      </c>
      <c r="E26" s="3" t="n">
        <v>1</v>
      </c>
      <c r="G26" s="2" t="s">
        <v>74</v>
      </c>
    </row>
    <row r="27" customFormat="false" ht="15" hidden="false" customHeight="false" outlineLevel="0" collapsed="false">
      <c r="A27" s="2" t="s">
        <v>66</v>
      </c>
      <c r="B27" s="2" t="s">
        <v>75</v>
      </c>
      <c r="C27" s="2" t="s">
        <v>47</v>
      </c>
      <c r="D27" s="2" t="s">
        <v>76</v>
      </c>
      <c r="E27" s="3" t="n">
        <v>0</v>
      </c>
      <c r="G27" s="2" t="s">
        <v>77</v>
      </c>
    </row>
    <row r="28" customFormat="false" ht="15" hidden="false" customHeight="false" outlineLevel="0" collapsed="false">
      <c r="A28" s="2" t="s">
        <v>66</v>
      </c>
      <c r="B28" s="2" t="s">
        <v>78</v>
      </c>
      <c r="C28" s="2" t="s">
        <v>47</v>
      </c>
      <c r="D28" s="2" t="s">
        <v>79</v>
      </c>
      <c r="E28" s="3" t="n">
        <v>0</v>
      </c>
      <c r="G28" s="2" t="s">
        <v>80</v>
      </c>
    </row>
    <row r="29" customFormat="false" ht="15" hidden="false" customHeight="false" outlineLevel="0" collapsed="false">
      <c r="A29" s="2" t="s">
        <v>66</v>
      </c>
      <c r="B29" s="2" t="s">
        <v>81</v>
      </c>
      <c r="C29" s="2" t="s">
        <v>47</v>
      </c>
      <c r="D29" s="2" t="s">
        <v>79</v>
      </c>
      <c r="E29" s="3" t="n">
        <v>0</v>
      </c>
      <c r="G29" s="2" t="s">
        <v>82</v>
      </c>
    </row>
    <row r="30" customFormat="false" ht="15" hidden="false" customHeight="false" outlineLevel="0" collapsed="false">
      <c r="A30" s="2" t="s">
        <v>66</v>
      </c>
      <c r="B30" s="2" t="s">
        <v>83</v>
      </c>
      <c r="C30" s="2" t="s">
        <v>21</v>
      </c>
      <c r="D30" s="2" t="s">
        <v>22</v>
      </c>
      <c r="E30" s="3" t="n">
        <v>0</v>
      </c>
      <c r="F30" s="2" t="s">
        <v>30</v>
      </c>
      <c r="G30" s="2" t="s">
        <v>84</v>
      </c>
    </row>
    <row r="31" customFormat="false" ht="15" hidden="false" customHeight="false" outlineLevel="0" collapsed="false">
      <c r="A31" s="2" t="s">
        <v>66</v>
      </c>
      <c r="B31" s="2" t="s">
        <v>85</v>
      </c>
      <c r="C31" s="2" t="s">
        <v>64</v>
      </c>
      <c r="E31" s="3" t="n">
        <v>1</v>
      </c>
      <c r="G31" s="2" t="s">
        <v>86</v>
      </c>
    </row>
    <row r="32" customFormat="false" ht="15" hidden="false" customHeight="false" outlineLevel="0" collapsed="false">
      <c r="A32" s="2" t="s">
        <v>66</v>
      </c>
      <c r="B32" s="2" t="s">
        <v>5</v>
      </c>
      <c r="C32" s="2" t="s">
        <v>10</v>
      </c>
      <c r="E32" s="3" t="n">
        <v>1</v>
      </c>
      <c r="G32" s="2" t="s">
        <v>87</v>
      </c>
    </row>
    <row r="33" customFormat="false" ht="15" hidden="false" customHeight="false" outlineLevel="0" collapsed="false">
      <c r="A33" s="2" t="s">
        <v>88</v>
      </c>
      <c r="B33" s="2" t="s">
        <v>89</v>
      </c>
      <c r="C33" s="2" t="s">
        <v>10</v>
      </c>
      <c r="E33" s="3" t="n">
        <v>1</v>
      </c>
      <c r="G33" s="2" t="s">
        <v>90</v>
      </c>
    </row>
    <row r="34" customFormat="false" ht="15" hidden="false" customHeight="false" outlineLevel="0" collapsed="false">
      <c r="A34" s="2" t="s">
        <v>88</v>
      </c>
      <c r="B34" s="2" t="s">
        <v>39</v>
      </c>
      <c r="C34" s="2" t="s">
        <v>10</v>
      </c>
      <c r="E34" s="3" t="n">
        <v>1</v>
      </c>
      <c r="G34" s="2" t="s">
        <v>91</v>
      </c>
    </row>
    <row r="35" customFormat="false" ht="15" hidden="false" customHeight="false" outlineLevel="0" collapsed="false">
      <c r="A35" s="2" t="s">
        <v>88</v>
      </c>
      <c r="B35" s="2" t="s">
        <v>92</v>
      </c>
      <c r="C35" s="2" t="s">
        <v>10</v>
      </c>
      <c r="E35" s="3" t="n">
        <v>1</v>
      </c>
      <c r="G35" s="2" t="s">
        <v>93</v>
      </c>
    </row>
    <row r="36" customFormat="false" ht="15" hidden="false" customHeight="false" outlineLevel="0" collapsed="false">
      <c r="A36" s="2" t="s">
        <v>88</v>
      </c>
      <c r="B36" s="2" t="s">
        <v>67</v>
      </c>
      <c r="C36" s="2" t="s">
        <v>10</v>
      </c>
      <c r="E36" s="3" t="n">
        <v>1</v>
      </c>
      <c r="G36" s="2" t="s">
        <v>94</v>
      </c>
    </row>
    <row r="37" customFormat="false" ht="15" hidden="false" customHeight="false" outlineLevel="0" collapsed="false">
      <c r="A37" s="2" t="s">
        <v>88</v>
      </c>
      <c r="B37" s="2" t="s">
        <v>95</v>
      </c>
      <c r="C37" s="2" t="s">
        <v>10</v>
      </c>
      <c r="E37" s="3" t="n">
        <v>1</v>
      </c>
      <c r="G37" s="2" t="s">
        <v>96</v>
      </c>
    </row>
    <row r="38" customFormat="false" ht="15" hidden="false" customHeight="false" outlineLevel="0" collapsed="false">
      <c r="A38" s="2" t="s">
        <v>88</v>
      </c>
      <c r="B38" s="2" t="s">
        <v>97</v>
      </c>
      <c r="C38" s="2" t="s">
        <v>16</v>
      </c>
      <c r="D38" s="2" t="s">
        <v>98</v>
      </c>
      <c r="E38" s="3" t="n">
        <v>1</v>
      </c>
      <c r="F38" s="2" t="s">
        <v>30</v>
      </c>
      <c r="G38" s="2" t="s">
        <v>99</v>
      </c>
    </row>
    <row r="39" customFormat="false" ht="15" hidden="false" customHeight="false" outlineLevel="0" collapsed="false">
      <c r="A39" s="2" t="s">
        <v>88</v>
      </c>
      <c r="B39" s="2" t="s">
        <v>100</v>
      </c>
      <c r="C39" s="2" t="s">
        <v>47</v>
      </c>
      <c r="D39" s="2" t="s">
        <v>76</v>
      </c>
      <c r="E39" s="3" t="n">
        <v>0</v>
      </c>
      <c r="G39" s="2" t="s">
        <v>101</v>
      </c>
    </row>
    <row r="40" customFormat="false" ht="15" hidden="false" customHeight="false" outlineLevel="0" collapsed="false">
      <c r="A40" s="2" t="s">
        <v>88</v>
      </c>
      <c r="B40" s="2" t="s">
        <v>102</v>
      </c>
      <c r="C40" s="2" t="s">
        <v>47</v>
      </c>
      <c r="D40" s="2" t="s">
        <v>76</v>
      </c>
      <c r="E40" s="3" t="n">
        <v>0</v>
      </c>
      <c r="G40" s="2" t="s">
        <v>101</v>
      </c>
    </row>
    <row r="41" customFormat="false" ht="15" hidden="false" customHeight="false" outlineLevel="0" collapsed="false">
      <c r="A41" s="2" t="s">
        <v>88</v>
      </c>
      <c r="B41" s="2" t="s">
        <v>103</v>
      </c>
      <c r="C41" s="2" t="s">
        <v>47</v>
      </c>
      <c r="D41" s="2" t="s">
        <v>79</v>
      </c>
      <c r="E41" s="3" t="n">
        <v>0</v>
      </c>
      <c r="G41" s="2" t="s">
        <v>104</v>
      </c>
    </row>
    <row r="42" customFormat="false" ht="15" hidden="false" customHeight="false" outlineLevel="0" collapsed="false">
      <c r="A42" s="2" t="s">
        <v>88</v>
      </c>
      <c r="B42" s="2" t="s">
        <v>105</v>
      </c>
      <c r="C42" s="2" t="s">
        <v>47</v>
      </c>
      <c r="D42" s="2" t="s">
        <v>106</v>
      </c>
      <c r="E42" s="3" t="n">
        <v>0</v>
      </c>
      <c r="G42" s="2" t="s">
        <v>107</v>
      </c>
    </row>
    <row r="43" customFormat="false" ht="15" hidden="false" customHeight="false" outlineLevel="0" collapsed="false">
      <c r="A43" s="2" t="s">
        <v>88</v>
      </c>
      <c r="B43" s="2" t="s">
        <v>108</v>
      </c>
      <c r="C43" s="2" t="s">
        <v>47</v>
      </c>
      <c r="D43" s="2" t="s">
        <v>109</v>
      </c>
      <c r="E43" s="3" t="n">
        <v>0</v>
      </c>
      <c r="F43" s="2" t="s">
        <v>26</v>
      </c>
      <c r="G43" s="2" t="s">
        <v>110</v>
      </c>
      <c r="H43" s="2" t="s">
        <v>111</v>
      </c>
    </row>
    <row r="44" customFormat="false" ht="15" hidden="false" customHeight="false" outlineLevel="0" collapsed="false">
      <c r="A44" s="2" t="s">
        <v>88</v>
      </c>
      <c r="B44" s="2" t="s">
        <v>112</v>
      </c>
      <c r="C44" s="2" t="s">
        <v>21</v>
      </c>
      <c r="D44" s="2" t="s">
        <v>22</v>
      </c>
      <c r="E44" s="3" t="n">
        <v>0</v>
      </c>
      <c r="F44" s="2" t="s">
        <v>26</v>
      </c>
      <c r="G44" s="2" t="s">
        <v>113</v>
      </c>
    </row>
    <row r="45" customFormat="false" ht="15" hidden="false" customHeight="false" outlineLevel="0" collapsed="false">
      <c r="A45" s="2" t="s">
        <v>88</v>
      </c>
      <c r="B45" s="2" t="s">
        <v>114</v>
      </c>
      <c r="C45" s="2" t="s">
        <v>47</v>
      </c>
      <c r="D45" s="2" t="s">
        <v>115</v>
      </c>
      <c r="E45" s="3" t="n">
        <v>0</v>
      </c>
      <c r="F45" s="2" t="s">
        <v>26</v>
      </c>
      <c r="G45" s="2" t="s">
        <v>116</v>
      </c>
    </row>
    <row r="46" customFormat="false" ht="15" hidden="false" customHeight="false" outlineLevel="0" collapsed="false">
      <c r="A46" s="2" t="s">
        <v>88</v>
      </c>
      <c r="B46" s="2" t="s">
        <v>5</v>
      </c>
      <c r="C46" s="2" t="s">
        <v>10</v>
      </c>
      <c r="E46" s="3" t="n">
        <v>1</v>
      </c>
      <c r="G46" s="2" t="s">
        <v>117</v>
      </c>
    </row>
    <row r="47" customFormat="false" ht="15" hidden="false" customHeight="false" outlineLevel="0" collapsed="false">
      <c r="A47" s="2" t="s">
        <v>118</v>
      </c>
      <c r="B47" s="2" t="s">
        <v>119</v>
      </c>
      <c r="C47" s="2" t="s">
        <v>10</v>
      </c>
      <c r="E47" s="3" t="n">
        <v>1</v>
      </c>
      <c r="G47" s="2" t="s">
        <v>120</v>
      </c>
    </row>
    <row r="48" customFormat="false" ht="15" hidden="false" customHeight="false" outlineLevel="0" collapsed="false">
      <c r="A48" s="2" t="s">
        <v>118</v>
      </c>
      <c r="B48" s="2" t="s">
        <v>121</v>
      </c>
      <c r="C48" s="2" t="s">
        <v>10</v>
      </c>
      <c r="E48" s="3" t="n">
        <v>1</v>
      </c>
      <c r="G48" s="2" t="s">
        <v>122</v>
      </c>
      <c r="H48" s="2" t="s">
        <v>123</v>
      </c>
    </row>
    <row r="49" customFormat="false" ht="15" hidden="false" customHeight="false" outlineLevel="0" collapsed="false">
      <c r="A49" s="2" t="s">
        <v>118</v>
      </c>
      <c r="B49" s="2" t="s">
        <v>124</v>
      </c>
      <c r="C49" s="2" t="s">
        <v>10</v>
      </c>
      <c r="E49" s="3" t="n">
        <v>1</v>
      </c>
      <c r="G49" s="2" t="s">
        <v>125</v>
      </c>
    </row>
    <row r="50" customFormat="false" ht="15" hidden="false" customHeight="false" outlineLevel="0" collapsed="false">
      <c r="A50" s="2" t="s">
        <v>118</v>
      </c>
      <c r="B50" s="2" t="s">
        <v>126</v>
      </c>
      <c r="C50" s="2" t="s">
        <v>10</v>
      </c>
      <c r="E50" s="3" t="n">
        <v>1</v>
      </c>
      <c r="F50" s="2" t="s">
        <v>30</v>
      </c>
      <c r="G50" s="2" t="s">
        <v>127</v>
      </c>
    </row>
    <row r="51" customFormat="false" ht="15" hidden="false" customHeight="false" outlineLevel="0" collapsed="false">
      <c r="A51" s="2" t="s">
        <v>118</v>
      </c>
      <c r="B51" s="2" t="s">
        <v>128</v>
      </c>
      <c r="C51" s="2" t="s">
        <v>16</v>
      </c>
      <c r="D51" s="2" t="s">
        <v>17</v>
      </c>
      <c r="E51" s="3" t="n">
        <v>1</v>
      </c>
      <c r="F51" s="2" t="s">
        <v>30</v>
      </c>
      <c r="G51" s="2" t="s">
        <v>129</v>
      </c>
      <c r="H51" s="2" t="s">
        <v>130</v>
      </c>
    </row>
    <row r="52" customFormat="false" ht="15" hidden="false" customHeight="false" outlineLevel="0" collapsed="false">
      <c r="A52" s="2" t="s">
        <v>118</v>
      </c>
      <c r="B52" s="2" t="s">
        <v>131</v>
      </c>
      <c r="C52" s="2" t="s">
        <v>21</v>
      </c>
      <c r="D52" s="2" t="s">
        <v>132</v>
      </c>
      <c r="E52" s="3" t="n">
        <v>0</v>
      </c>
      <c r="F52" s="2" t="s">
        <v>30</v>
      </c>
      <c r="G52" s="2" t="s">
        <v>133</v>
      </c>
    </row>
    <row r="53" customFormat="false" ht="15" hidden="false" customHeight="false" outlineLevel="0" collapsed="false">
      <c r="A53" s="2" t="s">
        <v>118</v>
      </c>
      <c r="B53" s="2" t="s">
        <v>134</v>
      </c>
      <c r="C53" s="2" t="s">
        <v>47</v>
      </c>
      <c r="D53" s="2" t="s">
        <v>135</v>
      </c>
      <c r="E53" s="3" t="n">
        <v>1</v>
      </c>
      <c r="F53" s="2" t="s">
        <v>30</v>
      </c>
      <c r="G53" s="2" t="s">
        <v>136</v>
      </c>
      <c r="H53" s="2" t="s">
        <v>137</v>
      </c>
    </row>
    <row r="54" customFormat="false" ht="15" hidden="false" customHeight="false" outlineLevel="0" collapsed="false">
      <c r="A54" s="2" t="s">
        <v>118</v>
      </c>
      <c r="B54" s="2" t="s">
        <v>138</v>
      </c>
      <c r="C54" s="2" t="s">
        <v>47</v>
      </c>
      <c r="D54" s="2" t="s">
        <v>29</v>
      </c>
      <c r="E54" s="3" t="n">
        <v>1</v>
      </c>
      <c r="F54" s="2" t="s">
        <v>30</v>
      </c>
      <c r="G54" s="2" t="s">
        <v>139</v>
      </c>
      <c r="H54" s="2" t="s">
        <v>137</v>
      </c>
    </row>
    <row r="55" customFormat="false" ht="15" hidden="false" customHeight="false" outlineLevel="0" collapsed="false">
      <c r="A55" s="2" t="s">
        <v>118</v>
      </c>
      <c r="B55" s="2" t="s">
        <v>140</v>
      </c>
      <c r="C55" s="2" t="s">
        <v>10</v>
      </c>
      <c r="E55" s="3" t="n">
        <v>1</v>
      </c>
      <c r="F55" s="2" t="s">
        <v>30</v>
      </c>
      <c r="G55" s="2" t="s">
        <v>141</v>
      </c>
    </row>
    <row r="56" customFormat="false" ht="15" hidden="false" customHeight="false" outlineLevel="0" collapsed="false">
      <c r="A56" s="2" t="s">
        <v>118</v>
      </c>
      <c r="B56" s="2" t="s">
        <v>142</v>
      </c>
      <c r="C56" s="2" t="s">
        <v>64</v>
      </c>
      <c r="E56" s="3" t="n">
        <v>1</v>
      </c>
      <c r="G56" s="2" t="s">
        <v>143</v>
      </c>
    </row>
    <row r="57" customFormat="false" ht="15" hidden="false" customHeight="false" outlineLevel="0" collapsed="false">
      <c r="A57" s="2" t="s">
        <v>118</v>
      </c>
      <c r="B57" s="2" t="s">
        <v>144</v>
      </c>
      <c r="C57" s="2" t="s">
        <v>64</v>
      </c>
      <c r="E57" s="3" t="n">
        <v>1</v>
      </c>
      <c r="F57" s="2" t="s">
        <v>145</v>
      </c>
      <c r="G57" s="2" t="s">
        <v>146</v>
      </c>
    </row>
    <row r="58" customFormat="false" ht="15" hidden="false" customHeight="false" outlineLevel="0" collapsed="false">
      <c r="A58" s="2" t="s">
        <v>118</v>
      </c>
      <c r="B58" s="2" t="s">
        <v>5</v>
      </c>
      <c r="C58" s="2" t="s">
        <v>10</v>
      </c>
      <c r="E58" s="3" t="n">
        <v>1</v>
      </c>
      <c r="G58" s="2" t="s">
        <v>117</v>
      </c>
    </row>
    <row r="59" customFormat="false" ht="15" hidden="false" customHeight="false" outlineLevel="0" collapsed="false">
      <c r="A59" s="2" t="s">
        <v>147</v>
      </c>
      <c r="B59" s="2" t="s">
        <v>39</v>
      </c>
      <c r="C59" s="2" t="s">
        <v>10</v>
      </c>
      <c r="E59" s="3" t="n">
        <v>1</v>
      </c>
      <c r="G59" s="2" t="s">
        <v>91</v>
      </c>
    </row>
    <row r="60" customFormat="false" ht="15" hidden="false" customHeight="false" outlineLevel="0" collapsed="false">
      <c r="A60" s="2" t="s">
        <v>147</v>
      </c>
      <c r="B60" s="2" t="s">
        <v>148</v>
      </c>
      <c r="C60" s="2" t="s">
        <v>16</v>
      </c>
      <c r="E60" s="3" t="n">
        <v>1</v>
      </c>
      <c r="G60" s="2" t="s">
        <v>149</v>
      </c>
    </row>
    <row r="61" customFormat="false" ht="15" hidden="false" customHeight="false" outlineLevel="0" collapsed="false">
      <c r="A61" s="2" t="s">
        <v>147</v>
      </c>
      <c r="B61" s="2" t="s">
        <v>150</v>
      </c>
      <c r="C61" s="2" t="s">
        <v>10</v>
      </c>
      <c r="E61" s="3" t="n">
        <v>1</v>
      </c>
      <c r="G61" s="2" t="s">
        <v>151</v>
      </c>
    </row>
    <row r="62" customFormat="false" ht="15" hidden="false" customHeight="false" outlineLevel="0" collapsed="false">
      <c r="A62" s="2" t="s">
        <v>147</v>
      </c>
      <c r="B62" s="2" t="s">
        <v>119</v>
      </c>
      <c r="C62" s="2" t="s">
        <v>10</v>
      </c>
      <c r="E62" s="3" t="n">
        <v>1</v>
      </c>
      <c r="G62" s="2" t="s">
        <v>152</v>
      </c>
    </row>
    <row r="63" customFormat="false" ht="15" hidden="false" customHeight="false" outlineLevel="0" collapsed="false">
      <c r="A63" s="2" t="s">
        <v>147</v>
      </c>
      <c r="B63" s="2" t="s">
        <v>153</v>
      </c>
      <c r="C63" s="2" t="s">
        <v>16</v>
      </c>
      <c r="E63" s="3" t="n">
        <v>0</v>
      </c>
      <c r="G63" s="2" t="s">
        <v>154</v>
      </c>
    </row>
    <row r="64" customFormat="false" ht="15" hidden="false" customHeight="false" outlineLevel="0" collapsed="false">
      <c r="A64" s="2" t="s">
        <v>147</v>
      </c>
      <c r="B64" s="2" t="s">
        <v>155</v>
      </c>
      <c r="C64" s="2" t="s">
        <v>47</v>
      </c>
      <c r="D64" s="2" t="s">
        <v>156</v>
      </c>
      <c r="E64" s="3" t="n">
        <v>1</v>
      </c>
      <c r="F64" s="2" t="s">
        <v>30</v>
      </c>
      <c r="G64" s="2" t="s">
        <v>157</v>
      </c>
      <c r="H64" s="2" t="s">
        <v>158</v>
      </c>
    </row>
    <row r="65" customFormat="false" ht="15" hidden="false" customHeight="false" outlineLevel="0" collapsed="false">
      <c r="A65" s="2" t="s">
        <v>147</v>
      </c>
      <c r="B65" s="2" t="s">
        <v>159</v>
      </c>
      <c r="C65" s="2" t="s">
        <v>47</v>
      </c>
      <c r="D65" s="2" t="s">
        <v>160</v>
      </c>
      <c r="E65" s="3" t="n">
        <v>1</v>
      </c>
      <c r="F65" s="2" t="s">
        <v>30</v>
      </c>
      <c r="G65" s="2" t="s">
        <v>161</v>
      </c>
      <c r="H65" s="2" t="s">
        <v>162</v>
      </c>
    </row>
    <row r="66" customFormat="false" ht="15" hidden="false" customHeight="false" outlineLevel="0" collapsed="false">
      <c r="A66" s="2" t="s">
        <v>147</v>
      </c>
      <c r="B66" s="2" t="s">
        <v>163</v>
      </c>
      <c r="C66" s="2" t="s">
        <v>10</v>
      </c>
      <c r="E66" s="3" t="n">
        <v>1</v>
      </c>
      <c r="G66" s="2" t="s">
        <v>164</v>
      </c>
      <c r="H66" s="2" t="s">
        <v>165</v>
      </c>
    </row>
    <row r="67" customFormat="false" ht="15" hidden="false" customHeight="false" outlineLevel="0" collapsed="false">
      <c r="A67" s="2" t="s">
        <v>147</v>
      </c>
      <c r="B67" s="2" t="s">
        <v>166</v>
      </c>
      <c r="C67" s="2" t="s">
        <v>47</v>
      </c>
      <c r="D67" s="2" t="s">
        <v>167</v>
      </c>
      <c r="E67" s="3" t="n">
        <v>0</v>
      </c>
      <c r="G67" s="2" t="s">
        <v>168</v>
      </c>
    </row>
    <row r="68" customFormat="false" ht="15" hidden="false" customHeight="false" outlineLevel="0" collapsed="false">
      <c r="A68" s="2" t="s">
        <v>147</v>
      </c>
      <c r="B68" s="2" t="s">
        <v>169</v>
      </c>
      <c r="C68" s="2" t="s">
        <v>10</v>
      </c>
      <c r="E68" s="3" t="n">
        <v>1</v>
      </c>
      <c r="G68" s="2" t="s">
        <v>170</v>
      </c>
    </row>
    <row r="69" customFormat="false" ht="15" hidden="false" customHeight="false" outlineLevel="0" collapsed="false">
      <c r="A69" s="2" t="s">
        <v>147</v>
      </c>
      <c r="B69" s="2" t="s">
        <v>5</v>
      </c>
      <c r="C69" s="2" t="s">
        <v>10</v>
      </c>
      <c r="E69" s="3" t="n">
        <v>1</v>
      </c>
      <c r="G69" s="2" t="s">
        <v>117</v>
      </c>
    </row>
    <row r="70" customFormat="false" ht="15" hidden="false" customHeight="false" outlineLevel="0" collapsed="false">
      <c r="A70" s="2" t="s">
        <v>171</v>
      </c>
      <c r="B70" s="2" t="s">
        <v>39</v>
      </c>
      <c r="C70" s="2" t="s">
        <v>10</v>
      </c>
      <c r="E70" s="3" t="n">
        <v>1</v>
      </c>
      <c r="G70" s="2" t="s">
        <v>91</v>
      </c>
    </row>
    <row r="71" customFormat="false" ht="15" hidden="false" customHeight="false" outlineLevel="0" collapsed="false">
      <c r="A71" s="2" t="s">
        <v>171</v>
      </c>
      <c r="B71" s="2" t="s">
        <v>148</v>
      </c>
      <c r="C71" s="2" t="s">
        <v>16</v>
      </c>
      <c r="E71" s="3" t="n">
        <v>1</v>
      </c>
      <c r="G71" s="2" t="s">
        <v>172</v>
      </c>
    </row>
    <row r="72" customFormat="false" ht="15" hidden="false" customHeight="false" outlineLevel="0" collapsed="false">
      <c r="A72" s="2" t="s">
        <v>171</v>
      </c>
      <c r="B72" s="2" t="s">
        <v>119</v>
      </c>
      <c r="C72" s="2" t="s">
        <v>10</v>
      </c>
      <c r="E72" s="3" t="n">
        <v>1</v>
      </c>
      <c r="G72" s="2" t="s">
        <v>173</v>
      </c>
      <c r="H72" s="2" t="s">
        <v>174</v>
      </c>
    </row>
    <row r="73" customFormat="false" ht="15" hidden="false" customHeight="false" outlineLevel="0" collapsed="false">
      <c r="A73" s="2" t="s">
        <v>171</v>
      </c>
      <c r="B73" s="2" t="s">
        <v>175</v>
      </c>
      <c r="C73" s="2" t="s">
        <v>10</v>
      </c>
      <c r="E73" s="3" t="n">
        <v>1</v>
      </c>
      <c r="G73" s="2" t="s">
        <v>176</v>
      </c>
    </row>
    <row r="74" customFormat="false" ht="15" hidden="false" customHeight="false" outlineLevel="0" collapsed="false">
      <c r="A74" s="2" t="s">
        <v>171</v>
      </c>
      <c r="B74" s="2" t="s">
        <v>177</v>
      </c>
      <c r="C74" s="2" t="s">
        <v>64</v>
      </c>
      <c r="E74" s="3" t="n">
        <v>1</v>
      </c>
      <c r="G74" s="2" t="s">
        <v>178</v>
      </c>
    </row>
    <row r="75" customFormat="false" ht="15" hidden="false" customHeight="false" outlineLevel="0" collapsed="false">
      <c r="A75" s="2" t="s">
        <v>171</v>
      </c>
      <c r="B75" s="2" t="s">
        <v>179</v>
      </c>
      <c r="C75" s="2" t="s">
        <v>47</v>
      </c>
      <c r="D75" s="2" t="s">
        <v>180</v>
      </c>
      <c r="E75" s="3" t="n">
        <v>1</v>
      </c>
      <c r="F75" s="2" t="s">
        <v>30</v>
      </c>
      <c r="G75" s="2" t="s">
        <v>181</v>
      </c>
      <c r="H75" s="2" t="s">
        <v>182</v>
      </c>
    </row>
    <row r="76" customFormat="false" ht="15" hidden="false" customHeight="false" outlineLevel="0" collapsed="false">
      <c r="A76" s="2" t="s">
        <v>171</v>
      </c>
      <c r="B76" s="2" t="s">
        <v>5</v>
      </c>
      <c r="C76" s="2" t="s">
        <v>10</v>
      </c>
      <c r="E76" s="3" t="n">
        <v>1</v>
      </c>
      <c r="G76" s="2" t="s">
        <v>183</v>
      </c>
    </row>
    <row r="77" customFormat="false" ht="15" hidden="false" customHeight="false" outlineLevel="0" collapsed="false">
      <c r="A77" s="2" t="s">
        <v>184</v>
      </c>
      <c r="B77" s="2" t="s">
        <v>185</v>
      </c>
      <c r="C77" s="2" t="s">
        <v>10</v>
      </c>
      <c r="E77" s="3" t="n">
        <v>1</v>
      </c>
      <c r="F77" s="2" t="s">
        <v>11</v>
      </c>
      <c r="G77" s="2" t="s">
        <v>186</v>
      </c>
      <c r="H77" s="2" t="s">
        <v>187</v>
      </c>
    </row>
    <row r="78" customFormat="false" ht="15" hidden="false" customHeight="false" outlineLevel="0" collapsed="false">
      <c r="A78" s="2" t="s">
        <v>184</v>
      </c>
      <c r="B78" s="2" t="s">
        <v>188</v>
      </c>
      <c r="C78" s="2" t="s">
        <v>16</v>
      </c>
      <c r="E78" s="3" t="n">
        <v>1</v>
      </c>
      <c r="F78" s="2" t="s">
        <v>11</v>
      </c>
      <c r="G78" s="2" t="s">
        <v>189</v>
      </c>
    </row>
    <row r="79" customFormat="false" ht="15" hidden="false" customHeight="false" outlineLevel="0" collapsed="false">
      <c r="A79" s="2" t="s">
        <v>184</v>
      </c>
      <c r="B79" s="2" t="s">
        <v>190</v>
      </c>
      <c r="C79" s="2" t="s">
        <v>191</v>
      </c>
      <c r="E79" s="3" t="n">
        <v>1</v>
      </c>
      <c r="F79" s="2" t="s">
        <v>30</v>
      </c>
      <c r="G79" s="2" t="s">
        <v>192</v>
      </c>
    </row>
    <row r="80" customFormat="false" ht="15" hidden="false" customHeight="false" outlineLevel="0" collapsed="false">
      <c r="A80" s="2" t="s">
        <v>184</v>
      </c>
      <c r="B80" s="2" t="s">
        <v>193</v>
      </c>
      <c r="C80" s="2" t="s">
        <v>191</v>
      </c>
      <c r="E80" s="3" t="n">
        <v>1</v>
      </c>
      <c r="F80" s="2" t="s">
        <v>30</v>
      </c>
      <c r="G80" s="2" t="s">
        <v>194</v>
      </c>
    </row>
    <row r="81" customFormat="false" ht="15" hidden="false" customHeight="false" outlineLevel="0" collapsed="false">
      <c r="A81" s="2" t="s">
        <v>184</v>
      </c>
      <c r="B81" s="2" t="s">
        <v>195</v>
      </c>
      <c r="C81" s="2" t="s">
        <v>47</v>
      </c>
      <c r="D81" s="2" t="s">
        <v>196</v>
      </c>
      <c r="E81" s="3" t="n">
        <v>1</v>
      </c>
      <c r="F81" s="2" t="s">
        <v>30</v>
      </c>
      <c r="G81" s="2" t="s">
        <v>197</v>
      </c>
    </row>
    <row r="82" customFormat="false" ht="15" hidden="false" customHeight="false" outlineLevel="0" collapsed="false">
      <c r="A82" s="2" t="s">
        <v>184</v>
      </c>
      <c r="B82" s="2" t="s">
        <v>198</v>
      </c>
      <c r="C82" s="2" t="s">
        <v>47</v>
      </c>
      <c r="D82" s="2" t="s">
        <v>196</v>
      </c>
      <c r="E82" s="3" t="n">
        <v>1</v>
      </c>
      <c r="F82" s="2" t="s">
        <v>11</v>
      </c>
      <c r="G82" s="2" t="s">
        <v>199</v>
      </c>
    </row>
    <row r="83" customFormat="false" ht="15" hidden="false" customHeight="false" outlineLevel="0" collapsed="false">
      <c r="A83" s="2" t="s">
        <v>184</v>
      </c>
      <c r="B83" s="2" t="s">
        <v>200</v>
      </c>
      <c r="C83" s="2" t="s">
        <v>47</v>
      </c>
      <c r="D83" s="2" t="s">
        <v>196</v>
      </c>
      <c r="E83" s="3" t="n">
        <v>1</v>
      </c>
      <c r="F83" s="2" t="s">
        <v>26</v>
      </c>
      <c r="G83" s="2" t="s">
        <v>201</v>
      </c>
    </row>
    <row r="84" customFormat="false" ht="15" hidden="false" customHeight="false" outlineLevel="0" collapsed="false">
      <c r="A84" s="2" t="s">
        <v>184</v>
      </c>
      <c r="B84" s="2" t="s">
        <v>5</v>
      </c>
      <c r="C84" s="2" t="s">
        <v>10</v>
      </c>
      <c r="E84" s="3" t="n">
        <v>1</v>
      </c>
      <c r="G84" s="2" t="s">
        <v>202</v>
      </c>
    </row>
    <row r="85" customFormat="false" ht="15" hidden="false" customHeight="false" outlineLevel="0" collapsed="false">
      <c r="A85" s="2" t="s">
        <v>203</v>
      </c>
      <c r="B85" s="2" t="s">
        <v>204</v>
      </c>
      <c r="C85" s="2" t="s">
        <v>204</v>
      </c>
      <c r="E85" s="3" t="n">
        <v>1</v>
      </c>
      <c r="G85" s="2" t="s">
        <v>205</v>
      </c>
      <c r="H85" s="2" t="s">
        <v>206</v>
      </c>
    </row>
    <row r="86" customFormat="false" ht="15" hidden="false" customHeight="false" outlineLevel="0" collapsed="false">
      <c r="A86" s="2" t="s">
        <v>203</v>
      </c>
      <c r="B86" s="2" t="s">
        <v>207</v>
      </c>
      <c r="C86" s="2" t="s">
        <v>16</v>
      </c>
      <c r="E86" s="3" t="n">
        <v>1</v>
      </c>
      <c r="F86" s="2" t="s">
        <v>26</v>
      </c>
      <c r="G86" s="2" t="s">
        <v>208</v>
      </c>
    </row>
    <row r="87" customFormat="false" ht="15" hidden="false" customHeight="false" outlineLevel="0" collapsed="false">
      <c r="A87" s="2" t="s">
        <v>203</v>
      </c>
      <c r="B87" s="2" t="s">
        <v>209</v>
      </c>
      <c r="C87" s="2" t="s">
        <v>64</v>
      </c>
      <c r="E87" s="3" t="n">
        <v>1</v>
      </c>
      <c r="F87" s="2" t="s">
        <v>30</v>
      </c>
      <c r="G87" s="2" t="s">
        <v>210</v>
      </c>
      <c r="H87" s="2" t="s">
        <v>211</v>
      </c>
    </row>
    <row r="88" customFormat="false" ht="15" hidden="false" customHeight="false" outlineLevel="0" collapsed="false">
      <c r="A88" s="2" t="s">
        <v>203</v>
      </c>
      <c r="B88" s="2" t="s">
        <v>212</v>
      </c>
      <c r="C88" s="2" t="s">
        <v>10</v>
      </c>
      <c r="E88" s="3" t="n">
        <v>0</v>
      </c>
      <c r="F88" s="2" t="s">
        <v>213</v>
      </c>
      <c r="G88" s="2" t="s">
        <v>214</v>
      </c>
      <c r="H88" s="2" t="s">
        <v>215</v>
      </c>
    </row>
    <row r="89" customFormat="false" ht="15" hidden="false" customHeight="false" outlineLevel="0" collapsed="false">
      <c r="A89" s="2" t="s">
        <v>203</v>
      </c>
      <c r="B89" s="2" t="s">
        <v>216</v>
      </c>
      <c r="C89" s="2" t="s">
        <v>64</v>
      </c>
      <c r="E89" s="3" t="n">
        <v>1</v>
      </c>
      <c r="F89" s="2" t="s">
        <v>26</v>
      </c>
      <c r="G89" s="2" t="s">
        <v>217</v>
      </c>
    </row>
    <row r="90" customFormat="false" ht="15" hidden="false" customHeight="false" outlineLevel="0" collapsed="false">
      <c r="A90" s="2" t="s">
        <v>203</v>
      </c>
      <c r="B90" s="2" t="s">
        <v>218</v>
      </c>
      <c r="C90" s="2" t="s">
        <v>47</v>
      </c>
      <c r="D90" s="2" t="s">
        <v>196</v>
      </c>
      <c r="E90" s="3" t="n">
        <v>1</v>
      </c>
      <c r="F90" s="2" t="s">
        <v>26</v>
      </c>
      <c r="G90" s="2" t="s">
        <v>219</v>
      </c>
    </row>
    <row r="91" customFormat="false" ht="15" hidden="false" customHeight="false" outlineLevel="0" collapsed="false">
      <c r="A91" s="2" t="s">
        <v>203</v>
      </c>
      <c r="B91" s="2" t="s">
        <v>5</v>
      </c>
      <c r="C91" s="2" t="s">
        <v>10</v>
      </c>
      <c r="E91" s="3" t="n">
        <v>1</v>
      </c>
      <c r="G91" s="2" t="s">
        <v>220</v>
      </c>
    </row>
    <row r="92" customFormat="false" ht="15" hidden="false" customHeight="false" outlineLevel="0" collapsed="false">
      <c r="A92" s="2" t="s">
        <v>221</v>
      </c>
      <c r="B92" s="2" t="s">
        <v>119</v>
      </c>
      <c r="C92" s="2" t="s">
        <v>10</v>
      </c>
      <c r="E92" s="3" t="n">
        <v>1</v>
      </c>
      <c r="G92" s="2" t="s">
        <v>222</v>
      </c>
    </row>
    <row r="93" customFormat="false" ht="15" hidden="false" customHeight="false" outlineLevel="0" collapsed="false">
      <c r="A93" s="2" t="s">
        <v>221</v>
      </c>
      <c r="B93" s="2" t="s">
        <v>223</v>
      </c>
      <c r="C93" s="2" t="s">
        <v>16</v>
      </c>
      <c r="E93" s="3" t="n">
        <v>1</v>
      </c>
      <c r="G93" s="2" t="s">
        <v>224</v>
      </c>
    </row>
    <row r="94" customFormat="false" ht="15" hidden="false" customHeight="false" outlineLevel="0" collapsed="false">
      <c r="A94" s="2" t="s">
        <v>221</v>
      </c>
      <c r="B94" s="2" t="s">
        <v>225</v>
      </c>
      <c r="C94" s="2" t="s">
        <v>16</v>
      </c>
      <c r="D94" s="2" t="s">
        <v>226</v>
      </c>
      <c r="E94" s="3" t="n">
        <v>1</v>
      </c>
      <c r="F94" s="2" t="s">
        <v>26</v>
      </c>
      <c r="G94" s="2" t="s">
        <v>227</v>
      </c>
    </row>
    <row r="95" customFormat="false" ht="15" hidden="false" customHeight="false" outlineLevel="0" collapsed="false">
      <c r="A95" s="2" t="s">
        <v>221</v>
      </c>
      <c r="B95" s="2" t="s">
        <v>228</v>
      </c>
      <c r="C95" s="2" t="s">
        <v>47</v>
      </c>
      <c r="D95" s="2" t="s">
        <v>196</v>
      </c>
      <c r="E95" s="3" t="n">
        <v>1</v>
      </c>
      <c r="F95" s="2" t="s">
        <v>11</v>
      </c>
      <c r="G95" s="2" t="s">
        <v>229</v>
      </c>
    </row>
    <row r="96" customFormat="false" ht="15" hidden="false" customHeight="false" outlineLevel="0" collapsed="false">
      <c r="A96" s="2" t="s">
        <v>221</v>
      </c>
      <c r="B96" s="2" t="s">
        <v>128</v>
      </c>
      <c r="C96" s="2" t="s">
        <v>16</v>
      </c>
      <c r="E96" s="3" t="n">
        <v>1</v>
      </c>
      <c r="F96" s="2" t="s">
        <v>30</v>
      </c>
      <c r="G96" s="2" t="s">
        <v>230</v>
      </c>
    </row>
    <row r="97" customFormat="false" ht="15" hidden="false" customHeight="false" outlineLevel="0" collapsed="false">
      <c r="A97" s="2" t="s">
        <v>221</v>
      </c>
      <c r="B97" s="2" t="s">
        <v>231</v>
      </c>
      <c r="C97" s="2" t="s">
        <v>47</v>
      </c>
      <c r="D97" s="2" t="s">
        <v>196</v>
      </c>
      <c r="E97" s="3" t="n">
        <v>1</v>
      </c>
      <c r="F97" s="2" t="s">
        <v>26</v>
      </c>
      <c r="G97" s="2" t="s">
        <v>232</v>
      </c>
    </row>
    <row r="98" customFormat="false" ht="15" hidden="false" customHeight="false" outlineLevel="0" collapsed="false">
      <c r="A98" s="2" t="s">
        <v>221</v>
      </c>
      <c r="B98" s="2" t="s">
        <v>5</v>
      </c>
      <c r="C98" s="2" t="s">
        <v>10</v>
      </c>
      <c r="E98" s="3" t="n">
        <v>1</v>
      </c>
    </row>
    <row r="99" customFormat="false" ht="15" hidden="false" customHeight="false" outlineLevel="0" collapsed="false">
      <c r="A99" s="2" t="s">
        <v>233</v>
      </c>
      <c r="B99" s="2" t="s">
        <v>234</v>
      </c>
      <c r="C99" s="2" t="s">
        <v>10</v>
      </c>
      <c r="E99" s="3" t="n">
        <v>1</v>
      </c>
      <c r="G99" s="2" t="s">
        <v>235</v>
      </c>
    </row>
    <row r="100" customFormat="false" ht="15" hidden="false" customHeight="false" outlineLevel="0" collapsed="false">
      <c r="A100" s="2" t="s">
        <v>233</v>
      </c>
      <c r="B100" s="2" t="s">
        <v>236</v>
      </c>
      <c r="C100" s="2" t="s">
        <v>10</v>
      </c>
      <c r="E100" s="3" t="n">
        <v>1</v>
      </c>
      <c r="G100" s="2" t="s">
        <v>237</v>
      </c>
    </row>
    <row r="101" customFormat="false" ht="15" hidden="false" customHeight="false" outlineLevel="0" collapsed="false">
      <c r="A101" s="2" t="s">
        <v>233</v>
      </c>
      <c r="B101" s="2" t="s">
        <v>238</v>
      </c>
      <c r="C101" s="2" t="s">
        <v>239</v>
      </c>
      <c r="E101" s="3" t="n">
        <v>0</v>
      </c>
      <c r="G101" s="2" t="s">
        <v>240</v>
      </c>
    </row>
    <row r="102" customFormat="false" ht="15" hidden="false" customHeight="false" outlineLevel="0" collapsed="false">
      <c r="A102" s="2" t="s">
        <v>233</v>
      </c>
      <c r="B102" s="2" t="s">
        <v>241</v>
      </c>
      <c r="C102" s="2" t="s">
        <v>10</v>
      </c>
      <c r="E102" s="3" t="n">
        <v>0</v>
      </c>
      <c r="G102" s="2" t="s">
        <v>242</v>
      </c>
    </row>
    <row r="103" customFormat="false" ht="15" hidden="false" customHeight="false" outlineLevel="0" collapsed="false">
      <c r="A103" s="2" t="s">
        <v>233</v>
      </c>
      <c r="B103" s="2" t="s">
        <v>3</v>
      </c>
      <c r="C103" s="2" t="s">
        <v>10</v>
      </c>
      <c r="E103" s="3" t="n">
        <v>1</v>
      </c>
      <c r="G103" s="2" t="s">
        <v>243</v>
      </c>
    </row>
    <row r="104" customFormat="false" ht="15" hidden="false" customHeight="false" outlineLevel="0" collapsed="false">
      <c r="A104" s="2" t="s">
        <v>233</v>
      </c>
      <c r="B104" s="2" t="s">
        <v>5</v>
      </c>
      <c r="C104" s="2" t="s">
        <v>10</v>
      </c>
      <c r="E104" s="3" t="n">
        <v>1</v>
      </c>
      <c r="G104" s="2" t="s">
        <v>244</v>
      </c>
    </row>
    <row r="105" customFormat="false" ht="15" hidden="false" customHeight="false" outlineLevel="0" collapsed="false">
      <c r="A105" s="2" t="s">
        <v>233</v>
      </c>
      <c r="B105" s="2" t="s">
        <v>245</v>
      </c>
      <c r="C105" s="2" t="s">
        <v>10</v>
      </c>
      <c r="E105" s="3" t="n">
        <v>0</v>
      </c>
      <c r="G105" s="2" t="s">
        <v>246</v>
      </c>
    </row>
    <row r="106" customFormat="false" ht="15" hidden="false" customHeight="false" outlineLevel="0" collapsed="false">
      <c r="A106" s="2" t="s">
        <v>233</v>
      </c>
      <c r="B106" s="2" t="s">
        <v>7</v>
      </c>
      <c r="C106" s="2" t="s">
        <v>64</v>
      </c>
      <c r="E106" s="3" t="n">
        <v>1</v>
      </c>
      <c r="G106" s="2" t="s">
        <v>247</v>
      </c>
    </row>
    <row r="107" customFormat="false" ht="15" hidden="false" customHeight="false" outlineLevel="0" collapsed="false">
      <c r="A107" s="2" t="s">
        <v>248</v>
      </c>
      <c r="B107" s="2" t="s">
        <v>249</v>
      </c>
      <c r="C107" s="2" t="s">
        <v>10</v>
      </c>
      <c r="E107" s="3" t="n">
        <v>1</v>
      </c>
      <c r="G107" s="2" t="s">
        <v>250</v>
      </c>
    </row>
    <row r="108" customFormat="false" ht="15" hidden="false" customHeight="false" outlineLevel="0" collapsed="false">
      <c r="A108" s="2" t="s">
        <v>248</v>
      </c>
      <c r="B108" s="2" t="s">
        <v>39</v>
      </c>
      <c r="C108" s="2" t="s">
        <v>10</v>
      </c>
      <c r="E108" s="3" t="n">
        <v>1</v>
      </c>
      <c r="G108" s="2" t="s">
        <v>91</v>
      </c>
    </row>
    <row r="109" customFormat="false" ht="15" hidden="false" customHeight="false" outlineLevel="0" collapsed="false">
      <c r="A109" s="2" t="s">
        <v>248</v>
      </c>
      <c r="B109" s="2" t="s">
        <v>251</v>
      </c>
      <c r="C109" s="2" t="s">
        <v>10</v>
      </c>
      <c r="E109" s="3" t="n">
        <v>0</v>
      </c>
      <c r="G109" s="2" t="s">
        <v>252</v>
      </c>
    </row>
    <row r="110" customFormat="false" ht="15" hidden="false" customHeight="false" outlineLevel="0" collapsed="false">
      <c r="A110" s="2" t="s">
        <v>248</v>
      </c>
      <c r="B110" s="2" t="s">
        <v>253</v>
      </c>
      <c r="C110" s="2" t="s">
        <v>16</v>
      </c>
      <c r="D110" s="2" t="s">
        <v>17</v>
      </c>
      <c r="E110" s="3" t="n">
        <v>1</v>
      </c>
      <c r="G110" s="2" t="s">
        <v>254</v>
      </c>
    </row>
    <row r="111" customFormat="false" ht="15" hidden="false" customHeight="false" outlineLevel="0" collapsed="false">
      <c r="A111" s="2" t="s">
        <v>248</v>
      </c>
      <c r="B111" s="2" t="s">
        <v>255</v>
      </c>
      <c r="C111" s="2" t="s">
        <v>204</v>
      </c>
      <c r="E111" s="3" t="n">
        <v>1</v>
      </c>
      <c r="G111" s="2" t="s">
        <v>256</v>
      </c>
    </row>
    <row r="112" customFormat="false" ht="15" hidden="false" customHeight="false" outlineLevel="0" collapsed="false">
      <c r="A112" s="2" t="s">
        <v>248</v>
      </c>
      <c r="B112" s="2" t="s">
        <v>257</v>
      </c>
      <c r="C112" s="2" t="s">
        <v>204</v>
      </c>
      <c r="E112" s="3" t="n">
        <v>1</v>
      </c>
      <c r="G112" s="2" t="s">
        <v>258</v>
      </c>
    </row>
    <row r="113" customFormat="false" ht="15" hidden="false" customHeight="false" outlineLevel="0" collapsed="false">
      <c r="A113" s="2" t="s">
        <v>248</v>
      </c>
      <c r="B113" s="2" t="s">
        <v>259</v>
      </c>
      <c r="C113" s="2" t="s">
        <v>204</v>
      </c>
      <c r="E113" s="3" t="n">
        <v>1</v>
      </c>
      <c r="G113" s="2" t="s">
        <v>260</v>
      </c>
    </row>
    <row r="114" customFormat="false" ht="15" hidden="false" customHeight="false" outlineLevel="0" collapsed="false">
      <c r="A114" s="2" t="s">
        <v>248</v>
      </c>
      <c r="B114" s="2" t="s">
        <v>261</v>
      </c>
      <c r="C114" s="2" t="s">
        <v>204</v>
      </c>
      <c r="E114" s="3" t="n">
        <v>0</v>
      </c>
      <c r="G114" s="2" t="s">
        <v>262</v>
      </c>
    </row>
    <row r="115" customFormat="false" ht="15" hidden="false" customHeight="false" outlineLevel="0" collapsed="false">
      <c r="A115" s="2" t="s">
        <v>248</v>
      </c>
      <c r="B115" s="2" t="s">
        <v>263</v>
      </c>
      <c r="C115" s="2" t="s">
        <v>16</v>
      </c>
      <c r="D115" s="2" t="s">
        <v>17</v>
      </c>
      <c r="E115" s="3" t="n">
        <v>0</v>
      </c>
    </row>
    <row r="116" customFormat="false" ht="15" hidden="false" customHeight="false" outlineLevel="0" collapsed="false">
      <c r="A116" s="2" t="s">
        <v>248</v>
      </c>
      <c r="B116" s="2" t="s">
        <v>264</v>
      </c>
      <c r="C116" s="2" t="s">
        <v>16</v>
      </c>
      <c r="D116" s="2" t="s">
        <v>17</v>
      </c>
      <c r="E116" s="3" t="n">
        <v>0</v>
      </c>
    </row>
    <row r="117" customFormat="false" ht="15" hidden="false" customHeight="false" outlineLevel="0" collapsed="false">
      <c r="A117" s="2" t="s">
        <v>248</v>
      </c>
      <c r="B117" s="2" t="s">
        <v>265</v>
      </c>
      <c r="C117" s="2" t="s">
        <v>21</v>
      </c>
      <c r="D117" s="2" t="s">
        <v>22</v>
      </c>
      <c r="E117" s="3" t="n">
        <v>0</v>
      </c>
      <c r="G117" s="2" t="s">
        <v>266</v>
      </c>
    </row>
    <row r="118" customFormat="false" ht="15" hidden="false" customHeight="false" outlineLevel="0" collapsed="false">
      <c r="A118" s="2" t="s">
        <v>248</v>
      </c>
      <c r="B118" s="2" t="s">
        <v>267</v>
      </c>
      <c r="C118" s="2" t="s">
        <v>29</v>
      </c>
      <c r="E118" s="3" t="n">
        <v>0</v>
      </c>
      <c r="G118" s="2" t="s">
        <v>268</v>
      </c>
    </row>
    <row r="119" customFormat="false" ht="15" hidden="false" customHeight="false" outlineLevel="0" collapsed="false">
      <c r="A119" s="2" t="s">
        <v>248</v>
      </c>
      <c r="B119" s="2" t="s">
        <v>269</v>
      </c>
      <c r="C119" s="2" t="s">
        <v>10</v>
      </c>
      <c r="E119" s="3" t="n">
        <v>0</v>
      </c>
    </row>
    <row r="120" customFormat="false" ht="15" hidden="false" customHeight="false" outlineLevel="0" collapsed="false">
      <c r="A120" s="2" t="s">
        <v>248</v>
      </c>
      <c r="B120" s="2" t="s">
        <v>270</v>
      </c>
      <c r="C120" s="2" t="s">
        <v>10</v>
      </c>
      <c r="E120" s="3" t="n">
        <v>1</v>
      </c>
      <c r="G120" s="2" t="s">
        <v>271</v>
      </c>
    </row>
    <row r="121" customFormat="false" ht="15" hidden="false" customHeight="false" outlineLevel="0" collapsed="false">
      <c r="A121" s="2" t="s">
        <v>272</v>
      </c>
      <c r="B121" s="2" t="s">
        <v>273</v>
      </c>
      <c r="C121" s="2" t="s">
        <v>10</v>
      </c>
      <c r="E121" s="3" t="n">
        <v>1</v>
      </c>
      <c r="G121" s="2" t="s">
        <v>274</v>
      </c>
    </row>
    <row r="122" customFormat="false" ht="15" hidden="false" customHeight="false" outlineLevel="0" collapsed="false">
      <c r="A122" s="2" t="s">
        <v>272</v>
      </c>
      <c r="B122" s="2" t="s">
        <v>119</v>
      </c>
      <c r="C122" s="2" t="s">
        <v>10</v>
      </c>
      <c r="E122" s="3" t="n">
        <v>1</v>
      </c>
      <c r="G122" s="2" t="s">
        <v>275</v>
      </c>
    </row>
    <row r="123" customFormat="false" ht="15" hidden="false" customHeight="false" outlineLevel="0" collapsed="false">
      <c r="A123" s="2" t="s">
        <v>272</v>
      </c>
      <c r="B123" s="2" t="s">
        <v>276</v>
      </c>
      <c r="C123" s="2" t="s">
        <v>277</v>
      </c>
      <c r="E123" s="3" t="n">
        <v>1</v>
      </c>
      <c r="G123" s="2" t="s">
        <v>278</v>
      </c>
    </row>
    <row r="124" customFormat="false" ht="15" hidden="false" customHeight="false" outlineLevel="0" collapsed="false">
      <c r="A124" s="2" t="s">
        <v>272</v>
      </c>
      <c r="B124" s="2" t="s">
        <v>279</v>
      </c>
      <c r="C124" s="2" t="s">
        <v>277</v>
      </c>
      <c r="E124" s="3" t="n">
        <v>1</v>
      </c>
      <c r="G124" s="2" t="s">
        <v>278</v>
      </c>
    </row>
    <row r="125" customFormat="false" ht="15" hidden="false" customHeight="false" outlineLevel="0" collapsed="false">
      <c r="A125" s="2" t="s">
        <v>272</v>
      </c>
      <c r="B125" s="2" t="s">
        <v>280</v>
      </c>
      <c r="C125" s="2" t="s">
        <v>10</v>
      </c>
      <c r="E125" s="3" t="n">
        <v>1</v>
      </c>
      <c r="G125" s="2" t="s">
        <v>281</v>
      </c>
    </row>
    <row r="126" customFormat="false" ht="15" hidden="false" customHeight="false" outlineLevel="0" collapsed="false">
      <c r="A126" s="2" t="s">
        <v>272</v>
      </c>
      <c r="B126" s="2" t="s">
        <v>282</v>
      </c>
      <c r="C126" s="2" t="s">
        <v>10</v>
      </c>
      <c r="E126" s="3" t="n">
        <v>1</v>
      </c>
    </row>
    <row r="127" customFormat="false" ht="15" hidden="false" customHeight="false" outlineLevel="0" collapsed="false">
      <c r="A127" s="2" t="s">
        <v>272</v>
      </c>
      <c r="B127" s="2" t="s">
        <v>283</v>
      </c>
      <c r="C127" s="2" t="s">
        <v>10</v>
      </c>
      <c r="E127" s="3" t="n">
        <v>0</v>
      </c>
    </row>
    <row r="128" customFormat="false" ht="15" hidden="false" customHeight="false" outlineLevel="0" collapsed="false">
      <c r="A128" s="2" t="s">
        <v>272</v>
      </c>
      <c r="B128" s="2" t="s">
        <v>284</v>
      </c>
      <c r="C128" s="2" t="s">
        <v>16</v>
      </c>
      <c r="D128" s="2" t="s">
        <v>98</v>
      </c>
      <c r="E128" s="3" t="n">
        <v>0</v>
      </c>
    </row>
    <row r="129" customFormat="false" ht="15" hidden="false" customHeight="false" outlineLevel="0" collapsed="false">
      <c r="A129" s="2" t="s">
        <v>272</v>
      </c>
      <c r="B129" s="2" t="s">
        <v>285</v>
      </c>
      <c r="C129" s="2" t="s">
        <v>10</v>
      </c>
      <c r="E129" s="3" t="n">
        <v>1</v>
      </c>
    </row>
    <row r="130" customFormat="false" ht="15" hidden="false" customHeight="false" outlineLevel="0" collapsed="false">
      <c r="A130" s="2" t="s">
        <v>272</v>
      </c>
      <c r="B130" s="2" t="s">
        <v>270</v>
      </c>
      <c r="C130" s="2" t="s">
        <v>10</v>
      </c>
      <c r="E130" s="3" t="n">
        <v>1</v>
      </c>
      <c r="G130" s="2" t="s">
        <v>286</v>
      </c>
    </row>
    <row r="131" customFormat="false" ht="15" hidden="false" customHeight="false" outlineLevel="0" collapsed="false">
      <c r="A131" s="2" t="s">
        <v>287</v>
      </c>
      <c r="B131" s="2" t="s">
        <v>288</v>
      </c>
      <c r="C131" s="2" t="s">
        <v>10</v>
      </c>
      <c r="E131" s="3" t="n">
        <v>1</v>
      </c>
    </row>
    <row r="132" customFormat="false" ht="15" hidden="false" customHeight="false" outlineLevel="0" collapsed="false">
      <c r="A132" s="2" t="s">
        <v>287</v>
      </c>
      <c r="B132" s="2" t="s">
        <v>249</v>
      </c>
      <c r="C132" s="2" t="s">
        <v>10</v>
      </c>
      <c r="E132" s="3" t="n">
        <v>1</v>
      </c>
    </row>
    <row r="133" customFormat="false" ht="15" hidden="false" customHeight="false" outlineLevel="0" collapsed="false">
      <c r="A133" s="2" t="s">
        <v>287</v>
      </c>
      <c r="B133" s="2" t="s">
        <v>39</v>
      </c>
      <c r="C133" s="2" t="s">
        <v>10</v>
      </c>
      <c r="E133" s="3" t="n">
        <v>1</v>
      </c>
    </row>
    <row r="134" customFormat="false" ht="15" hidden="false" customHeight="false" outlineLevel="0" collapsed="false">
      <c r="A134" s="2" t="s">
        <v>287</v>
      </c>
      <c r="B134" s="2" t="s">
        <v>204</v>
      </c>
      <c r="C134" s="2" t="s">
        <v>204</v>
      </c>
      <c r="E134" s="3" t="n">
        <v>1</v>
      </c>
      <c r="G134" s="2" t="s">
        <v>256</v>
      </c>
    </row>
    <row r="135" customFormat="false" ht="15" hidden="false" customHeight="false" outlineLevel="0" collapsed="false">
      <c r="A135" s="2" t="s">
        <v>287</v>
      </c>
      <c r="B135" s="2" t="s">
        <v>289</v>
      </c>
      <c r="C135" s="2" t="s">
        <v>16</v>
      </c>
      <c r="D135" s="2" t="s">
        <v>17</v>
      </c>
      <c r="E135" s="3" t="n">
        <v>1</v>
      </c>
    </row>
    <row r="136" customFormat="false" ht="15" hidden="false" customHeight="false" outlineLevel="0" collapsed="false">
      <c r="A136" s="2" t="s">
        <v>287</v>
      </c>
      <c r="B136" s="2" t="s">
        <v>290</v>
      </c>
      <c r="C136" s="2" t="s">
        <v>16</v>
      </c>
      <c r="D136" s="2" t="s">
        <v>17</v>
      </c>
      <c r="E136" s="3" t="n">
        <v>1</v>
      </c>
    </row>
    <row r="137" customFormat="false" ht="15" hidden="false" customHeight="false" outlineLevel="0" collapsed="false">
      <c r="A137" s="2" t="s">
        <v>287</v>
      </c>
      <c r="B137" s="2" t="s">
        <v>291</v>
      </c>
      <c r="C137" s="2" t="s">
        <v>16</v>
      </c>
      <c r="D137" s="2" t="s">
        <v>17</v>
      </c>
      <c r="E137" s="3" t="n">
        <v>1</v>
      </c>
    </row>
    <row r="138" customFormat="false" ht="15" hidden="false" customHeight="false" outlineLevel="0" collapsed="false">
      <c r="A138" s="2" t="s">
        <v>287</v>
      </c>
      <c r="B138" s="2" t="s">
        <v>292</v>
      </c>
      <c r="C138" s="2" t="s">
        <v>10</v>
      </c>
      <c r="E138" s="3" t="n">
        <v>0</v>
      </c>
    </row>
    <row r="139" customFormat="false" ht="15" hidden="false" customHeight="false" outlineLevel="0" collapsed="false">
      <c r="A139" s="2" t="s">
        <v>287</v>
      </c>
      <c r="B139" s="2" t="s">
        <v>293</v>
      </c>
      <c r="C139" s="2" t="s">
        <v>47</v>
      </c>
      <c r="D139" s="2" t="s">
        <v>196</v>
      </c>
      <c r="E139" s="3" t="n">
        <v>0</v>
      </c>
    </row>
    <row r="140" customFormat="false" ht="15" hidden="false" customHeight="false" outlineLevel="0" collapsed="false">
      <c r="A140" s="2" t="s">
        <v>287</v>
      </c>
      <c r="B140" s="2" t="s">
        <v>294</v>
      </c>
      <c r="C140" s="2" t="s">
        <v>21</v>
      </c>
      <c r="D140" s="2" t="s">
        <v>22</v>
      </c>
      <c r="E140" s="3" t="n">
        <v>0</v>
      </c>
    </row>
    <row r="141" customFormat="false" ht="15" hidden="false" customHeight="false" outlineLevel="0" collapsed="false">
      <c r="A141" s="2" t="s">
        <v>295</v>
      </c>
      <c r="B141" s="2" t="s">
        <v>296</v>
      </c>
      <c r="C141" s="2" t="s">
        <v>10</v>
      </c>
      <c r="E141" s="3" t="n">
        <v>1</v>
      </c>
    </row>
    <row r="142" customFormat="false" ht="15" hidden="false" customHeight="false" outlineLevel="0" collapsed="false">
      <c r="A142" s="2" t="s">
        <v>295</v>
      </c>
      <c r="B142" s="2" t="s">
        <v>39</v>
      </c>
      <c r="C142" s="2" t="s">
        <v>10</v>
      </c>
      <c r="E142" s="3" t="n">
        <v>1</v>
      </c>
    </row>
    <row r="143" customFormat="false" ht="15" hidden="false" customHeight="false" outlineLevel="0" collapsed="false">
      <c r="A143" s="2" t="s">
        <v>295</v>
      </c>
      <c r="B143" s="2" t="s">
        <v>148</v>
      </c>
      <c r="C143" s="2" t="s">
        <v>16</v>
      </c>
      <c r="E143" s="3" t="n">
        <v>1</v>
      </c>
    </row>
    <row r="144" customFormat="false" ht="15" hidden="false" customHeight="false" outlineLevel="0" collapsed="false">
      <c r="A144" s="2" t="s">
        <v>295</v>
      </c>
      <c r="B144" s="2" t="s">
        <v>119</v>
      </c>
      <c r="C144" s="2" t="s">
        <v>10</v>
      </c>
      <c r="E144" s="3" t="n">
        <v>1</v>
      </c>
    </row>
    <row r="145" customFormat="false" ht="15" hidden="false" customHeight="false" outlineLevel="0" collapsed="false">
      <c r="A145" s="2" t="s">
        <v>295</v>
      </c>
      <c r="B145" s="2" t="s">
        <v>204</v>
      </c>
      <c r="C145" s="2" t="s">
        <v>204</v>
      </c>
      <c r="E145" s="3" t="n">
        <v>1</v>
      </c>
      <c r="G145" s="2" t="s">
        <v>256</v>
      </c>
    </row>
    <row r="146" customFormat="false" ht="15" hidden="false" customHeight="false" outlineLevel="0" collapsed="false">
      <c r="A146" s="2" t="s">
        <v>295</v>
      </c>
      <c r="B146" s="2" t="s">
        <v>297</v>
      </c>
      <c r="C146" s="2" t="s">
        <v>16</v>
      </c>
      <c r="D146" s="2" t="s">
        <v>17</v>
      </c>
      <c r="E146" s="3" t="n">
        <v>1</v>
      </c>
    </row>
    <row r="147" customFormat="false" ht="15" hidden="false" customHeight="false" outlineLevel="0" collapsed="false">
      <c r="A147" s="2" t="s">
        <v>295</v>
      </c>
      <c r="B147" s="2" t="s">
        <v>298</v>
      </c>
      <c r="C147" s="2" t="s">
        <v>47</v>
      </c>
      <c r="D147" s="2" t="s">
        <v>167</v>
      </c>
      <c r="E147" s="3" t="n">
        <v>1</v>
      </c>
    </row>
    <row r="148" customFormat="false" ht="15" hidden="false" customHeight="false" outlineLevel="0" collapsed="false">
      <c r="A148" s="2" t="s">
        <v>295</v>
      </c>
      <c r="B148" s="2" t="s">
        <v>299</v>
      </c>
      <c r="C148" s="2" t="s">
        <v>47</v>
      </c>
      <c r="D148" s="2" t="s">
        <v>167</v>
      </c>
      <c r="E148" s="3" t="n">
        <v>1</v>
      </c>
    </row>
    <row r="149" customFormat="false" ht="15" hidden="false" customHeight="false" outlineLevel="0" collapsed="false">
      <c r="A149" s="2" t="s">
        <v>295</v>
      </c>
      <c r="B149" s="2" t="s">
        <v>300</v>
      </c>
      <c r="C149" s="2" t="s">
        <v>16</v>
      </c>
      <c r="D149" s="2" t="s">
        <v>301</v>
      </c>
      <c r="E149" s="3" t="n">
        <v>1</v>
      </c>
    </row>
    <row r="150" customFormat="false" ht="15" hidden="false" customHeight="false" outlineLevel="0" collapsed="false">
      <c r="A150" s="2" t="s">
        <v>295</v>
      </c>
      <c r="B150" s="2" t="s">
        <v>302</v>
      </c>
      <c r="C150" s="2" t="s">
        <v>10</v>
      </c>
      <c r="E150" s="3" t="n">
        <v>1</v>
      </c>
      <c r="G150" s="2" t="s">
        <v>303</v>
      </c>
    </row>
    <row r="151" customFormat="false" ht="15" hidden="false" customHeight="false" outlineLevel="0" collapsed="false">
      <c r="A151" s="2" t="s">
        <v>295</v>
      </c>
      <c r="B151" s="2" t="s">
        <v>304</v>
      </c>
      <c r="C151" s="2" t="s">
        <v>10</v>
      </c>
      <c r="E151" s="3" t="n">
        <v>1</v>
      </c>
    </row>
    <row r="152" customFormat="false" ht="15" hidden="false" customHeight="false" outlineLevel="0" collapsed="false">
      <c r="A152" s="2" t="s">
        <v>305</v>
      </c>
      <c r="B152" s="2" t="s">
        <v>185</v>
      </c>
      <c r="C152" s="2" t="s">
        <v>10</v>
      </c>
      <c r="E152" s="3" t="n">
        <v>1</v>
      </c>
      <c r="G152" s="2" t="s">
        <v>306</v>
      </c>
    </row>
    <row r="153" customFormat="false" ht="15" hidden="false" customHeight="false" outlineLevel="0" collapsed="false">
      <c r="A153" s="2" t="s">
        <v>305</v>
      </c>
      <c r="B153" s="2" t="s">
        <v>119</v>
      </c>
      <c r="C153" s="2" t="s">
        <v>10</v>
      </c>
      <c r="E153" s="3" t="n">
        <v>1</v>
      </c>
      <c r="G153" s="2" t="s">
        <v>307</v>
      </c>
    </row>
    <row r="154" customFormat="false" ht="15" hidden="false" customHeight="false" outlineLevel="0" collapsed="false">
      <c r="A154" s="2" t="s">
        <v>305</v>
      </c>
      <c r="B154" s="2" t="s">
        <v>308</v>
      </c>
      <c r="C154" s="2" t="s">
        <v>16</v>
      </c>
      <c r="E154" s="3" t="n">
        <v>1</v>
      </c>
      <c r="G154" s="2" t="s">
        <v>309</v>
      </c>
    </row>
    <row r="155" customFormat="false" ht="15" hidden="false" customHeight="false" outlineLevel="0" collapsed="false">
      <c r="A155" s="2" t="s">
        <v>305</v>
      </c>
      <c r="B155" s="2" t="s">
        <v>310</v>
      </c>
      <c r="C155" s="2" t="s">
        <v>64</v>
      </c>
      <c r="E155" s="3" t="n">
        <v>1</v>
      </c>
    </row>
    <row r="156" customFormat="false" ht="15" hidden="false" customHeight="false" outlineLevel="0" collapsed="false">
      <c r="A156" s="2" t="s">
        <v>305</v>
      </c>
      <c r="B156" s="2" t="s">
        <v>311</v>
      </c>
      <c r="C156" s="2" t="s">
        <v>10</v>
      </c>
      <c r="E156" s="3" t="n">
        <v>1</v>
      </c>
    </row>
    <row r="157" customFormat="false" ht="15" hidden="false" customHeight="false" outlineLevel="0" collapsed="false">
      <c r="A157" s="2" t="s">
        <v>305</v>
      </c>
      <c r="B157" s="2" t="s">
        <v>312</v>
      </c>
      <c r="C157" s="2" t="s">
        <v>204</v>
      </c>
      <c r="E157" s="3" t="n">
        <v>1</v>
      </c>
      <c r="G157" s="2" t="s">
        <v>256</v>
      </c>
    </row>
  </sheetData>
  <autoFilter ref="A1:H1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31.5" hidden="false" customHeight="true" outlineLevel="0" collapsed="false">
      <c r="A1" s="1" t="s">
        <v>313</v>
      </c>
      <c r="B1" s="1" t="s">
        <v>314</v>
      </c>
    </row>
    <row r="2" customFormat="false" ht="15" hidden="false" customHeight="false" outlineLevel="0" collapsed="false">
      <c r="A2" s="2" t="s">
        <v>11</v>
      </c>
      <c r="B2" s="2" t="s">
        <v>315</v>
      </c>
    </row>
    <row r="3" customFormat="false" ht="15" hidden="false" customHeight="false" outlineLevel="0" collapsed="false">
      <c r="A3" s="2" t="s">
        <v>213</v>
      </c>
      <c r="B3" s="2" t="s">
        <v>316</v>
      </c>
    </row>
    <row r="4" customFormat="false" ht="15" hidden="false" customHeight="false" outlineLevel="0" collapsed="false">
      <c r="A4" s="2" t="s">
        <v>26</v>
      </c>
      <c r="B4" s="2" t="s">
        <v>317</v>
      </c>
    </row>
    <row r="5" customFormat="false" ht="15" hidden="false" customHeight="false" outlineLevel="0" collapsed="false">
      <c r="A5" s="2" t="s">
        <v>30</v>
      </c>
      <c r="B5" s="2" t="s">
        <v>318</v>
      </c>
    </row>
    <row r="6" customFormat="false" ht="15" hidden="false" customHeight="false" outlineLevel="0" collapsed="false">
      <c r="A6" s="2" t="s">
        <v>319</v>
      </c>
      <c r="B6" s="2" t="s">
        <v>320</v>
      </c>
    </row>
    <row r="7" customFormat="false" ht="15" hidden="false" customHeight="false" outlineLevel="0" collapsed="false">
      <c r="A7" s="2" t="s">
        <v>321</v>
      </c>
      <c r="B7" s="2" t="s">
        <v>322</v>
      </c>
    </row>
    <row r="8" customFormat="false" ht="15" hidden="false" customHeight="false" outlineLevel="0" collapsed="false">
      <c r="A8" s="2" t="s">
        <v>145</v>
      </c>
      <c r="B8" s="2" t="s">
        <v>323</v>
      </c>
    </row>
    <row r="10" customFormat="false" ht="15" hidden="false" customHeight="false" outlineLevel="0" collapsed="false">
      <c r="A10" s="2" t="s">
        <v>324</v>
      </c>
      <c r="B10" s="2" t="s">
        <v>325</v>
      </c>
    </row>
    <row r="11" customFormat="false" ht="15" hidden="false" customHeight="false" outlineLevel="0" collapsed="false">
      <c r="A11" s="2" t="s">
        <v>326</v>
      </c>
      <c r="B11" s="2" t="s">
        <v>327</v>
      </c>
    </row>
    <row r="12" customFormat="false" ht="15" hidden="false" customHeight="false" outlineLevel="0" collapsed="false">
      <c r="A12" s="2" t="s">
        <v>328</v>
      </c>
      <c r="B12" s="2" t="s">
        <v>329</v>
      </c>
    </row>
    <row r="13" customFormat="false" ht="15" hidden="false" customHeight="false" outlineLevel="0" collapsed="false">
      <c r="A13" s="2" t="s">
        <v>330</v>
      </c>
      <c r="B13" s="2" t="s">
        <v>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7" min="6" style="0" width="14"/>
    <col collapsed="false" customWidth="true" hidden="false" outlineLevel="0" max="8" min="8" style="0" width="13"/>
  </cols>
  <sheetData>
    <row r="1" customFormat="false" ht="31.5" hidden="false" customHeight="true" outlineLevel="0" collapsed="false">
      <c r="A1" s="1" t="s">
        <v>9</v>
      </c>
      <c r="B1" s="1" t="s">
        <v>13</v>
      </c>
      <c r="C1" s="1" t="s">
        <v>15</v>
      </c>
      <c r="D1" s="1" t="s">
        <v>20</v>
      </c>
      <c r="E1" s="1" t="s">
        <v>24</v>
      </c>
      <c r="F1" s="1" t="s">
        <v>28</v>
      </c>
      <c r="G1" s="1" t="s">
        <v>33</v>
      </c>
      <c r="H1" s="1" t="s">
        <v>5</v>
      </c>
    </row>
    <row r="2" customFormat="false" ht="15" hidden="false" customHeight="false" outlineLevel="0" collapsed="false">
      <c r="A2" s="4" t="s">
        <v>332</v>
      </c>
      <c r="B2" s="4" t="s">
        <v>333</v>
      </c>
      <c r="C2" s="3" t="n">
        <v>295</v>
      </c>
      <c r="D2" s="5" t="n">
        <v>781894.55</v>
      </c>
      <c r="E2" s="6" t="n">
        <f aca="false">D2/C2</f>
        <v>2650.49</v>
      </c>
      <c r="F2" s="7" t="n">
        <v>0.1</v>
      </c>
      <c r="G2" s="7" t="n">
        <v>0</v>
      </c>
      <c r="H2" s="4" t="s">
        <v>11</v>
      </c>
    </row>
    <row r="3" customFormat="false" ht="15" hidden="false" customHeight="false" outlineLevel="0" collapsed="false">
      <c r="A3" s="4" t="s">
        <v>334</v>
      </c>
      <c r="B3" s="4" t="s">
        <v>335</v>
      </c>
      <c r="C3" s="3" t="n">
        <v>167</v>
      </c>
      <c r="D3" s="5" t="n">
        <v>359145.19</v>
      </c>
      <c r="E3" s="6" t="n">
        <f aca="false">D3/C3</f>
        <v>2150.57</v>
      </c>
      <c r="F3" s="7" t="n">
        <v>0.1</v>
      </c>
      <c r="G3" s="7" t="n">
        <v>0</v>
      </c>
      <c r="H3" s="4" t="s">
        <v>11</v>
      </c>
    </row>
    <row r="4" customFormat="false" ht="15" hidden="false" customHeight="false" outlineLevel="0" collapsed="false">
      <c r="A4" s="4" t="s">
        <v>336</v>
      </c>
      <c r="B4" s="4" t="s">
        <v>337</v>
      </c>
      <c r="C4" s="3" t="n">
        <v>139</v>
      </c>
      <c r="D4" s="5" t="n">
        <v>250312.59</v>
      </c>
      <c r="E4" s="6" t="n">
        <f aca="false">D4/C4</f>
        <v>1800.81</v>
      </c>
      <c r="F4" s="7" t="n">
        <v>0.1</v>
      </c>
      <c r="G4" s="7" t="n">
        <v>0</v>
      </c>
      <c r="H4" s="4" t="s">
        <v>11</v>
      </c>
    </row>
    <row r="5" customFormat="false" ht="15" hidden="false" customHeight="false" outlineLevel="0" collapsed="false">
      <c r="A5" s="4" t="s">
        <v>338</v>
      </c>
      <c r="B5" s="4" t="s">
        <v>339</v>
      </c>
      <c r="C5" s="3" t="n">
        <v>250</v>
      </c>
      <c r="D5" s="5" t="n">
        <v>580617.45</v>
      </c>
      <c r="E5" s="6" t="n">
        <f aca="false">D5/C5</f>
        <v>2322.4698</v>
      </c>
      <c r="F5" s="7" t="n">
        <v>0.1</v>
      </c>
      <c r="G5" s="7" t="n">
        <v>0</v>
      </c>
      <c r="H5" s="4" t="s">
        <v>11</v>
      </c>
    </row>
  </sheetData>
  <autoFilter ref="A1:H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M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36"/>
    <col collapsed="false" customWidth="true" hidden="false" outlineLevel="0" max="4" min="4" style="0" width="24"/>
    <col collapsed="false" customWidth="true" hidden="false" outlineLevel="0" max="8" min="5" style="0" width="9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2"/>
  </cols>
  <sheetData>
    <row r="1" customFormat="false" ht="31.5" hidden="false" customHeight="true" outlineLevel="0" collapsed="false">
      <c r="A1" s="1" t="s">
        <v>39</v>
      </c>
      <c r="B1" s="1" t="s">
        <v>9</v>
      </c>
      <c r="C1" s="1" t="s">
        <v>42</v>
      </c>
      <c r="D1" s="1" t="s">
        <v>2</v>
      </c>
      <c r="E1" s="1" t="s">
        <v>46</v>
      </c>
      <c r="F1" s="1" t="s">
        <v>50</v>
      </c>
      <c r="G1" s="1" t="s">
        <v>52</v>
      </c>
      <c r="H1" s="1" t="s">
        <v>54</v>
      </c>
      <c r="I1" s="1" t="s">
        <v>56</v>
      </c>
      <c r="J1" s="1" t="s">
        <v>59</v>
      </c>
      <c r="K1" s="1" t="s">
        <v>61</v>
      </c>
      <c r="L1" s="1" t="s">
        <v>63</v>
      </c>
      <c r="M1" s="1" t="s">
        <v>5</v>
      </c>
    </row>
    <row r="2" customFormat="false" ht="15" hidden="false" customHeight="false" outlineLevel="0" collapsed="false">
      <c r="A2" s="4" t="s">
        <v>340</v>
      </c>
      <c r="B2" s="4" t="s">
        <v>332</v>
      </c>
      <c r="C2" s="4" t="s">
        <v>341</v>
      </c>
      <c r="D2" s="4" t="s">
        <v>342</v>
      </c>
      <c r="E2" s="8" t="n">
        <v>200</v>
      </c>
      <c r="F2" s="8" t="n">
        <v>120</v>
      </c>
      <c r="G2" s="8" t="n">
        <v>60</v>
      </c>
      <c r="I2" s="3" t="n">
        <v>10</v>
      </c>
      <c r="J2" s="9" t="n">
        <f aca="false">COUNTIF('04_DESPIECE'!$B$2:$B$225,A2)</f>
        <v>7</v>
      </c>
      <c r="K2" s="9" t="n">
        <f aca="false">COUNTIF('06_RUTAS'!$A$2:$A$407,A2)</f>
        <v>13</v>
      </c>
      <c r="L2" s="9" t="n">
        <f aca="false">IF(COUNTIFS($E$2:$E$51,E2,$F$2:$F$51,F2,$G$2:$G$51,G2)&gt;=5,1,0)</f>
        <v>0</v>
      </c>
      <c r="M2" s="4" t="s">
        <v>30</v>
      </c>
    </row>
    <row r="3" customFormat="false" ht="15" hidden="false" customHeight="false" outlineLevel="0" collapsed="false">
      <c r="A3" s="4" t="s">
        <v>343</v>
      </c>
      <c r="B3" s="4" t="s">
        <v>332</v>
      </c>
      <c r="C3" s="4" t="s">
        <v>344</v>
      </c>
      <c r="D3" s="4" t="s">
        <v>345</v>
      </c>
      <c r="E3" s="8" t="n">
        <v>200</v>
      </c>
      <c r="F3" s="8" t="n">
        <v>120</v>
      </c>
      <c r="G3" s="8" t="n">
        <v>60</v>
      </c>
      <c r="I3" s="3" t="n">
        <v>10</v>
      </c>
      <c r="J3" s="9" t="n">
        <f aca="false">COUNTIF('04_DESPIECE'!$B$2:$B$225,A3)</f>
        <v>6</v>
      </c>
      <c r="K3" s="9" t="n">
        <f aca="false">COUNTIF('06_RUTAS'!$A$2:$A$407,A3)</f>
        <v>13</v>
      </c>
      <c r="L3" s="9" t="n">
        <f aca="false">IF(COUNTIFS($E$2:$E$51,E3,$F$2:$F$51,F3,$G$2:$G$51,G3)&gt;=5,1,0)</f>
        <v>0</v>
      </c>
      <c r="M3" s="4" t="s">
        <v>30</v>
      </c>
    </row>
    <row r="4" customFormat="false" ht="15" hidden="false" customHeight="false" outlineLevel="0" collapsed="false">
      <c r="A4" s="4" t="s">
        <v>346</v>
      </c>
      <c r="B4" s="4" t="s">
        <v>332</v>
      </c>
      <c r="C4" s="4" t="s">
        <v>347</v>
      </c>
      <c r="D4" s="4" t="s">
        <v>348</v>
      </c>
      <c r="E4" s="8" t="n">
        <v>400</v>
      </c>
      <c r="F4" s="8" t="n">
        <v>270</v>
      </c>
      <c r="G4" s="8" t="n">
        <v>110</v>
      </c>
      <c r="I4" s="3" t="n">
        <v>10</v>
      </c>
      <c r="J4" s="9" t="n">
        <f aca="false">COUNTIF('04_DESPIECE'!$B$2:$B$225,A4)</f>
        <v>4</v>
      </c>
      <c r="K4" s="9" t="n">
        <f aca="false">COUNTIF('06_RUTAS'!$A$2:$A$407,A4)</f>
        <v>8</v>
      </c>
      <c r="L4" s="9" t="n">
        <f aca="false">IF(COUNTIFS($E$2:$E$51,E4,$F$2:$F$51,F4,$G$2:$G$51,G4)&gt;=5,1,0)</f>
        <v>0</v>
      </c>
      <c r="M4" s="4" t="s">
        <v>30</v>
      </c>
    </row>
    <row r="5" customFormat="false" ht="15" hidden="false" customHeight="false" outlineLevel="0" collapsed="false">
      <c r="A5" s="4" t="s">
        <v>349</v>
      </c>
      <c r="B5" s="4" t="s">
        <v>332</v>
      </c>
      <c r="C5" s="4" t="s">
        <v>350</v>
      </c>
      <c r="D5" s="4" t="s">
        <v>351</v>
      </c>
      <c r="E5" s="8" t="n">
        <v>300</v>
      </c>
      <c r="F5" s="8" t="n">
        <v>150</v>
      </c>
      <c r="G5" s="8" t="n">
        <v>100</v>
      </c>
      <c r="I5" s="3" t="n">
        <v>10</v>
      </c>
      <c r="J5" s="9" t="n">
        <f aca="false">COUNTIF('04_DESPIECE'!$B$2:$B$225,A5)</f>
        <v>4</v>
      </c>
      <c r="K5" s="9" t="n">
        <f aca="false">COUNTIF('06_RUTAS'!$A$2:$A$407,A5)</f>
        <v>8</v>
      </c>
      <c r="L5" s="9" t="n">
        <f aca="false">IF(COUNTIFS($E$2:$E$51,E5,$F$2:$F$51,F5,$G$2:$G$51,G5)&gt;=5,1,0)</f>
        <v>0</v>
      </c>
      <c r="M5" s="4" t="s">
        <v>30</v>
      </c>
    </row>
    <row r="6" customFormat="false" ht="15" hidden="false" customHeight="false" outlineLevel="0" collapsed="false">
      <c r="A6" s="4" t="s">
        <v>352</v>
      </c>
      <c r="B6" s="4" t="s">
        <v>332</v>
      </c>
      <c r="C6" s="4" t="s">
        <v>353</v>
      </c>
      <c r="D6" s="4" t="s">
        <v>354</v>
      </c>
      <c r="E6" s="8" t="n">
        <v>200</v>
      </c>
      <c r="F6" s="8" t="n">
        <v>120</v>
      </c>
      <c r="G6" s="8" t="n">
        <v>60</v>
      </c>
      <c r="I6" s="3" t="n">
        <v>10</v>
      </c>
      <c r="J6" s="9" t="n">
        <f aca="false">COUNTIF('04_DESPIECE'!$B$2:$B$225,A6)</f>
        <v>4</v>
      </c>
      <c r="K6" s="9" t="n">
        <f aca="false">COUNTIF('06_RUTAS'!$A$2:$A$407,A6)</f>
        <v>10</v>
      </c>
      <c r="L6" s="9" t="n">
        <f aca="false">IF(COUNTIFS($E$2:$E$51,E6,$F$2:$F$51,F6,$G$2:$G$51,G6)&gt;=5,1,0)</f>
        <v>0</v>
      </c>
      <c r="M6" s="4" t="s">
        <v>30</v>
      </c>
    </row>
    <row r="7" customFormat="false" ht="15" hidden="false" customHeight="false" outlineLevel="0" collapsed="false">
      <c r="A7" s="4" t="s">
        <v>355</v>
      </c>
      <c r="B7" s="4" t="s">
        <v>332</v>
      </c>
      <c r="C7" s="4" t="s">
        <v>356</v>
      </c>
      <c r="D7" s="4" t="s">
        <v>357</v>
      </c>
      <c r="E7" s="8" t="n">
        <v>200</v>
      </c>
      <c r="F7" s="8" t="n">
        <v>120</v>
      </c>
      <c r="G7" s="8" t="n">
        <v>60</v>
      </c>
      <c r="I7" s="3" t="n">
        <v>10</v>
      </c>
      <c r="J7" s="9" t="n">
        <f aca="false">COUNTIF('04_DESPIECE'!$B$2:$B$225,A7)</f>
        <v>4</v>
      </c>
      <c r="K7" s="9" t="n">
        <f aca="false">COUNTIF('06_RUTAS'!$A$2:$A$407,A7)</f>
        <v>8</v>
      </c>
      <c r="L7" s="9" t="n">
        <f aca="false">IF(COUNTIFS($E$2:$E$51,E7,$F$2:$F$51,F7,$G$2:$G$51,G7)&gt;=5,1,0)</f>
        <v>0</v>
      </c>
      <c r="M7" s="4" t="s">
        <v>30</v>
      </c>
    </row>
    <row r="8" customFormat="false" ht="15" hidden="false" customHeight="false" outlineLevel="0" collapsed="false">
      <c r="A8" s="4" t="s">
        <v>358</v>
      </c>
      <c r="B8" s="4" t="s">
        <v>334</v>
      </c>
      <c r="C8" s="4" t="s">
        <v>359</v>
      </c>
      <c r="D8" s="4" t="s">
        <v>360</v>
      </c>
      <c r="E8" s="8" t="n">
        <v>160</v>
      </c>
      <c r="F8" s="8" t="n">
        <v>100</v>
      </c>
      <c r="G8" s="8" t="n">
        <v>90</v>
      </c>
      <c r="I8" s="3" t="n">
        <v>10</v>
      </c>
      <c r="J8" s="9" t="n">
        <f aca="false">COUNTIF('04_DESPIECE'!$B$2:$B$225,A8)</f>
        <v>7</v>
      </c>
      <c r="K8" s="9" t="n">
        <f aca="false">COUNTIF('06_RUTAS'!$A$2:$A$407,A8)</f>
        <v>12</v>
      </c>
      <c r="L8" s="9" t="n">
        <f aca="false">IF(COUNTIFS($E$2:$E$51,E8,$F$2:$F$51,F8,$G$2:$G$51,G8)&gt;=5,1,0)</f>
        <v>0</v>
      </c>
      <c r="M8" s="4" t="s">
        <v>30</v>
      </c>
    </row>
    <row r="9" customFormat="false" ht="15" hidden="false" customHeight="false" outlineLevel="0" collapsed="false">
      <c r="A9" s="4" t="s">
        <v>361</v>
      </c>
      <c r="B9" s="4" t="s">
        <v>334</v>
      </c>
      <c r="C9" s="4" t="s">
        <v>362</v>
      </c>
      <c r="D9" s="4" t="s">
        <v>362</v>
      </c>
      <c r="E9" s="8" t="n">
        <v>200</v>
      </c>
      <c r="F9" s="8" t="n">
        <v>100</v>
      </c>
      <c r="G9" s="8" t="n">
        <v>45</v>
      </c>
      <c r="I9" s="3" t="n">
        <v>10</v>
      </c>
      <c r="J9" s="9" t="n">
        <f aca="false">COUNTIF('04_DESPIECE'!$B$2:$B$225,A9)</f>
        <v>6</v>
      </c>
      <c r="K9" s="9" t="n">
        <f aca="false">COUNTIF('06_RUTAS'!$A$2:$A$407,A9)</f>
        <v>13</v>
      </c>
      <c r="L9" s="9" t="n">
        <f aca="false">IF(COUNTIFS($E$2:$E$51,E9,$F$2:$F$51,F9,$G$2:$G$51,G9)&gt;=5,1,0)</f>
        <v>0</v>
      </c>
      <c r="M9" s="4" t="s">
        <v>30</v>
      </c>
    </row>
    <row r="10" customFormat="false" ht="15" hidden="false" customHeight="false" outlineLevel="0" collapsed="false">
      <c r="A10" s="4" t="s">
        <v>363</v>
      </c>
      <c r="B10" s="4" t="s">
        <v>334</v>
      </c>
      <c r="C10" s="4" t="s">
        <v>364</v>
      </c>
      <c r="D10" s="4" t="s">
        <v>365</v>
      </c>
      <c r="E10" s="8" t="n">
        <v>160</v>
      </c>
      <c r="F10" s="8" t="n">
        <v>100</v>
      </c>
      <c r="G10" s="8" t="n">
        <v>90</v>
      </c>
      <c r="I10" s="3" t="n">
        <v>10</v>
      </c>
      <c r="J10" s="9" t="n">
        <f aca="false">COUNTIF('04_DESPIECE'!$B$2:$B$225,A10)</f>
        <v>5</v>
      </c>
      <c r="K10" s="9" t="n">
        <f aca="false">COUNTIF('06_RUTAS'!$A$2:$A$407,A10)</f>
        <v>10</v>
      </c>
      <c r="L10" s="9" t="n">
        <f aca="false">IF(COUNTIFS($E$2:$E$51,E10,$F$2:$F$51,F10,$G$2:$G$51,G10)&gt;=5,1,0)</f>
        <v>0</v>
      </c>
      <c r="M10" s="4" t="s">
        <v>30</v>
      </c>
    </row>
    <row r="11" customFormat="false" ht="15" hidden="false" customHeight="false" outlineLevel="0" collapsed="false">
      <c r="A11" s="4" t="s">
        <v>366</v>
      </c>
      <c r="B11" s="4" t="s">
        <v>334</v>
      </c>
      <c r="C11" s="4" t="s">
        <v>367</v>
      </c>
      <c r="D11" s="4" t="s">
        <v>368</v>
      </c>
      <c r="E11" s="8" t="n">
        <v>200</v>
      </c>
      <c r="F11" s="8" t="n">
        <v>100</v>
      </c>
      <c r="G11" s="8" t="n">
        <v>45</v>
      </c>
      <c r="I11" s="3" t="n">
        <v>10</v>
      </c>
      <c r="J11" s="9" t="n">
        <f aca="false">COUNTIF('04_DESPIECE'!$B$2:$B$225,A11)</f>
        <v>5</v>
      </c>
      <c r="K11" s="9" t="n">
        <f aca="false">COUNTIF('06_RUTAS'!$A$2:$A$407,A11)</f>
        <v>10</v>
      </c>
      <c r="L11" s="9" t="n">
        <f aca="false">IF(COUNTIFS($E$2:$E$51,E11,$F$2:$F$51,F11,$G$2:$G$51,G11)&gt;=5,1,0)</f>
        <v>0</v>
      </c>
      <c r="M11" s="4" t="s">
        <v>30</v>
      </c>
    </row>
    <row r="12" customFormat="false" ht="15" hidden="false" customHeight="false" outlineLevel="0" collapsed="false">
      <c r="A12" s="4" t="s">
        <v>369</v>
      </c>
      <c r="B12" s="4" t="s">
        <v>334</v>
      </c>
      <c r="C12" s="4" t="s">
        <v>370</v>
      </c>
      <c r="D12" s="4" t="s">
        <v>371</v>
      </c>
      <c r="E12" s="8" t="n">
        <v>150</v>
      </c>
      <c r="F12" s="8" t="n">
        <v>90</v>
      </c>
      <c r="G12" s="8" t="n">
        <v>45</v>
      </c>
      <c r="I12" s="3" t="n">
        <v>10</v>
      </c>
      <c r="J12" s="9" t="n">
        <f aca="false">COUNTIF('04_DESPIECE'!$B$2:$B$225,A12)</f>
        <v>5</v>
      </c>
      <c r="K12" s="9" t="n">
        <f aca="false">COUNTIF('06_RUTAS'!$A$2:$A$407,A12)</f>
        <v>10</v>
      </c>
      <c r="L12" s="9" t="n">
        <f aca="false">IF(COUNTIFS($E$2:$E$51,E12,$F$2:$F$51,F12,$G$2:$G$51,G12)&gt;=5,1,0)</f>
        <v>0</v>
      </c>
      <c r="M12" s="4" t="s">
        <v>30</v>
      </c>
    </row>
    <row r="13" customFormat="false" ht="15" hidden="false" customHeight="false" outlineLevel="0" collapsed="false">
      <c r="A13" s="4" t="s">
        <v>372</v>
      </c>
      <c r="B13" s="4" t="s">
        <v>334</v>
      </c>
      <c r="C13" s="4" t="s">
        <v>373</v>
      </c>
      <c r="D13" s="4" t="s">
        <v>374</v>
      </c>
      <c r="E13" s="8" t="n">
        <v>160</v>
      </c>
      <c r="F13" s="8" t="n">
        <v>100</v>
      </c>
      <c r="G13" s="8" t="n">
        <v>90</v>
      </c>
      <c r="I13" s="3" t="n">
        <v>10</v>
      </c>
      <c r="J13" s="9" t="n">
        <f aca="false">COUNTIF('04_DESPIECE'!$B$2:$B$225,A13)</f>
        <v>5</v>
      </c>
      <c r="K13" s="9" t="n">
        <f aca="false">COUNTIF('06_RUTAS'!$A$2:$A$407,A13)</f>
        <v>10</v>
      </c>
      <c r="L13" s="9" t="n">
        <f aca="false">IF(COUNTIFS($E$2:$E$51,E13,$F$2:$F$51,F13,$G$2:$G$51,G13)&gt;=5,1,0)</f>
        <v>0</v>
      </c>
      <c r="M13" s="4" t="s">
        <v>30</v>
      </c>
    </row>
    <row r="14" customFormat="false" ht="15" hidden="false" customHeight="false" outlineLevel="0" collapsed="false">
      <c r="A14" s="4" t="s">
        <v>375</v>
      </c>
      <c r="B14" s="4" t="s">
        <v>336</v>
      </c>
      <c r="C14" s="4" t="s">
        <v>376</v>
      </c>
      <c r="D14" s="4" t="s">
        <v>377</v>
      </c>
      <c r="E14" s="8" t="n">
        <v>180</v>
      </c>
      <c r="F14" s="8" t="n">
        <v>80</v>
      </c>
      <c r="G14" s="8" t="n">
        <v>45</v>
      </c>
      <c r="H14" s="3" t="n">
        <v>4</v>
      </c>
      <c r="I14" s="3" t="n">
        <v>10</v>
      </c>
      <c r="J14" s="9" t="n">
        <f aca="false">COUNTIF('04_DESPIECE'!$B$2:$B$225,A14)</f>
        <v>7</v>
      </c>
      <c r="K14" s="9" t="n">
        <f aca="false">COUNTIF('06_RUTAS'!$A$2:$A$407,A14)</f>
        <v>11</v>
      </c>
      <c r="L14" s="9" t="n">
        <f aca="false">IF(COUNTIFS($E$2:$E$51,E14,$F$2:$F$51,F14,$G$2:$G$51,G14)&gt;=5,1,0)</f>
        <v>0</v>
      </c>
      <c r="M14" s="4" t="s">
        <v>30</v>
      </c>
    </row>
    <row r="15" customFormat="false" ht="15" hidden="false" customHeight="false" outlineLevel="0" collapsed="false">
      <c r="A15" s="4" t="s">
        <v>378</v>
      </c>
      <c r="B15" s="4" t="s">
        <v>336</v>
      </c>
      <c r="C15" s="4" t="s">
        <v>379</v>
      </c>
      <c r="D15" s="4" t="s">
        <v>380</v>
      </c>
      <c r="E15" s="8" t="n">
        <v>180</v>
      </c>
      <c r="F15" s="8" t="n">
        <v>80</v>
      </c>
      <c r="G15" s="8" t="n">
        <v>45</v>
      </c>
      <c r="H15" s="3" t="n">
        <v>6</v>
      </c>
      <c r="I15" s="3" t="n">
        <v>10</v>
      </c>
      <c r="J15" s="9" t="n">
        <f aca="false">COUNTIF('04_DESPIECE'!$B$2:$B$225,A15)</f>
        <v>8</v>
      </c>
      <c r="K15" s="9" t="n">
        <f aca="false">COUNTIF('06_RUTAS'!$A$2:$A$407,A15)</f>
        <v>11</v>
      </c>
      <c r="L15" s="9" t="n">
        <f aca="false">IF(COUNTIFS($E$2:$E$51,E15,$F$2:$F$51,F15,$G$2:$G$51,G15)&gt;=5,1,0)</f>
        <v>0</v>
      </c>
      <c r="M15" s="4" t="s">
        <v>30</v>
      </c>
    </row>
    <row r="16" customFormat="false" ht="15" hidden="false" customHeight="false" outlineLevel="0" collapsed="false">
      <c r="A16" s="4" t="s">
        <v>381</v>
      </c>
      <c r="B16" s="4" t="s">
        <v>336</v>
      </c>
      <c r="C16" s="4" t="s">
        <v>382</v>
      </c>
      <c r="D16" s="4" t="s">
        <v>383</v>
      </c>
      <c r="E16" s="8" t="n">
        <v>180</v>
      </c>
      <c r="F16" s="8" t="n">
        <v>40</v>
      </c>
      <c r="G16" s="8" t="n">
        <v>45</v>
      </c>
      <c r="H16" s="3" t="n">
        <v>1</v>
      </c>
      <c r="I16" s="3" t="n">
        <v>10</v>
      </c>
      <c r="J16" s="9" t="n">
        <f aca="false">COUNTIF('04_DESPIECE'!$B$2:$B$225,A16)</f>
        <v>5</v>
      </c>
      <c r="K16" s="9" t="n">
        <f aca="false">COUNTIF('06_RUTAS'!$A$2:$A$407,A16)</f>
        <v>8</v>
      </c>
      <c r="L16" s="9" t="n">
        <f aca="false">IF(COUNTIFS($E$2:$E$51,E16,$F$2:$F$51,F16,$G$2:$G$51,G16)&gt;=5,1,0)</f>
        <v>0</v>
      </c>
      <c r="M16" s="4" t="s">
        <v>30</v>
      </c>
    </row>
    <row r="17" customFormat="false" ht="15" hidden="false" customHeight="false" outlineLevel="0" collapsed="false">
      <c r="A17" s="4" t="s">
        <v>384</v>
      </c>
      <c r="B17" s="4" t="s">
        <v>336</v>
      </c>
      <c r="C17" s="4" t="s">
        <v>385</v>
      </c>
      <c r="D17" s="4" t="s">
        <v>386</v>
      </c>
      <c r="E17" s="8" t="n">
        <v>180</v>
      </c>
      <c r="F17" s="8" t="n">
        <v>40</v>
      </c>
      <c r="G17" s="8" t="n">
        <v>45</v>
      </c>
      <c r="H17" s="3" t="n">
        <v>2</v>
      </c>
      <c r="I17" s="3" t="n">
        <v>10</v>
      </c>
      <c r="J17" s="9" t="n">
        <f aca="false">COUNTIF('04_DESPIECE'!$B$2:$B$225,A17)</f>
        <v>5</v>
      </c>
      <c r="K17" s="9" t="n">
        <f aca="false">COUNTIF('06_RUTAS'!$A$2:$A$407,A17)</f>
        <v>8</v>
      </c>
      <c r="L17" s="9" t="n">
        <f aca="false">IF(COUNTIFS($E$2:$E$51,E17,$F$2:$F$51,F17,$G$2:$G$51,G17)&gt;=5,1,0)</f>
        <v>0</v>
      </c>
      <c r="M17" s="4" t="s">
        <v>30</v>
      </c>
    </row>
    <row r="18" customFormat="false" ht="15" hidden="false" customHeight="false" outlineLevel="0" collapsed="false">
      <c r="A18" s="4" t="s">
        <v>387</v>
      </c>
      <c r="B18" s="4" t="s">
        <v>336</v>
      </c>
      <c r="C18" s="4" t="s">
        <v>388</v>
      </c>
      <c r="D18" s="4" t="s">
        <v>389</v>
      </c>
      <c r="E18" s="8" t="n">
        <v>180</v>
      </c>
      <c r="F18" s="8" t="n">
        <v>40</v>
      </c>
      <c r="G18" s="8" t="n">
        <v>45</v>
      </c>
      <c r="H18" s="3" t="n">
        <v>3</v>
      </c>
      <c r="I18" s="3" t="n">
        <v>10</v>
      </c>
      <c r="J18" s="9" t="n">
        <f aca="false">COUNTIF('04_DESPIECE'!$B$2:$B$225,A18)</f>
        <v>5</v>
      </c>
      <c r="K18" s="9" t="n">
        <f aca="false">COUNTIF('06_RUTAS'!$A$2:$A$407,A18)</f>
        <v>8</v>
      </c>
      <c r="L18" s="9" t="n">
        <f aca="false">IF(COUNTIFS($E$2:$E$51,E18,$F$2:$F$51,F18,$G$2:$G$51,G18)&gt;=5,1,0)</f>
        <v>0</v>
      </c>
      <c r="M18" s="4" t="s">
        <v>30</v>
      </c>
    </row>
    <row r="19" customFormat="false" ht="15" hidden="false" customHeight="false" outlineLevel="0" collapsed="false">
      <c r="A19" s="4" t="s">
        <v>390</v>
      </c>
      <c r="B19" s="4" t="s">
        <v>336</v>
      </c>
      <c r="C19" s="4" t="s">
        <v>391</v>
      </c>
      <c r="D19" s="4" t="s">
        <v>392</v>
      </c>
      <c r="E19" s="8" t="n">
        <v>180</v>
      </c>
      <c r="F19" s="8" t="n">
        <v>40</v>
      </c>
      <c r="G19" s="8" t="n">
        <v>45</v>
      </c>
      <c r="H19" s="3" t="n">
        <v>4</v>
      </c>
      <c r="I19" s="3" t="n">
        <v>10</v>
      </c>
      <c r="J19" s="9" t="n">
        <f aca="false">COUNTIF('04_DESPIECE'!$B$2:$B$225,A19)</f>
        <v>5</v>
      </c>
      <c r="K19" s="9" t="n">
        <f aca="false">COUNTIF('06_RUTAS'!$A$2:$A$407,A19)</f>
        <v>8</v>
      </c>
      <c r="L19" s="9" t="n">
        <f aca="false">IF(COUNTIFS($E$2:$E$51,E19,$F$2:$F$51,F19,$G$2:$G$51,G19)&gt;=5,1,0)</f>
        <v>0</v>
      </c>
      <c r="M19" s="4" t="s">
        <v>30</v>
      </c>
    </row>
    <row r="20" customFormat="false" ht="15" hidden="false" customHeight="false" outlineLevel="0" collapsed="false">
      <c r="A20" s="4" t="s">
        <v>393</v>
      </c>
      <c r="B20" s="4" t="s">
        <v>338</v>
      </c>
      <c r="C20" s="4" t="s">
        <v>394</v>
      </c>
      <c r="D20" s="4" t="s">
        <v>395</v>
      </c>
      <c r="E20" s="8" t="n">
        <v>85</v>
      </c>
      <c r="F20" s="8" t="n">
        <v>120</v>
      </c>
      <c r="G20" s="8" t="n">
        <v>60</v>
      </c>
      <c r="I20" s="3" t="n">
        <v>10</v>
      </c>
      <c r="J20" s="9" t="n">
        <f aca="false">COUNTIF('04_DESPIECE'!$B$2:$B$225,A20)</f>
        <v>7</v>
      </c>
      <c r="K20" s="9" t="n">
        <f aca="false">COUNTIF('06_RUTAS'!$A$2:$A$407,A20)</f>
        <v>11</v>
      </c>
      <c r="L20" s="9" t="n">
        <f aca="false">IF(COUNTIFS($E$2:$E$51,E20,$F$2:$F$51,F20,$G$2:$G$51,G20)&gt;=5,1,0)</f>
        <v>1</v>
      </c>
      <c r="M20" s="4" t="s">
        <v>30</v>
      </c>
    </row>
    <row r="21" customFormat="false" ht="15" hidden="false" customHeight="false" outlineLevel="0" collapsed="false">
      <c r="A21" s="4" t="s">
        <v>396</v>
      </c>
      <c r="B21" s="4" t="s">
        <v>338</v>
      </c>
      <c r="C21" s="4" t="s">
        <v>397</v>
      </c>
      <c r="D21" s="4" t="s">
        <v>342</v>
      </c>
      <c r="E21" s="8" t="n">
        <v>85</v>
      </c>
      <c r="F21" s="8" t="n">
        <v>120</v>
      </c>
      <c r="G21" s="8" t="n">
        <v>60</v>
      </c>
      <c r="I21" s="3" t="n">
        <v>10</v>
      </c>
      <c r="J21" s="9" t="n">
        <f aca="false">COUNTIF('04_DESPIECE'!$B$2:$B$225,A21)</f>
        <v>5</v>
      </c>
      <c r="K21" s="9" t="n">
        <f aca="false">COUNTIF('06_RUTAS'!$A$2:$A$407,A21)</f>
        <v>12</v>
      </c>
      <c r="L21" s="9" t="n">
        <f aca="false">IF(COUNTIFS($E$2:$E$51,E21,$F$2:$F$51,F21,$G$2:$G$51,G21)&gt;=5,1,0)</f>
        <v>1</v>
      </c>
      <c r="M21" s="4" t="s">
        <v>30</v>
      </c>
    </row>
    <row r="22" customFormat="false" ht="15" hidden="false" customHeight="false" outlineLevel="0" collapsed="false">
      <c r="A22" s="4" t="s">
        <v>398</v>
      </c>
      <c r="B22" s="4" t="s">
        <v>338</v>
      </c>
      <c r="C22" s="4" t="s">
        <v>399</v>
      </c>
      <c r="D22" s="4" t="s">
        <v>400</v>
      </c>
      <c r="E22" s="8" t="n">
        <v>85</v>
      </c>
      <c r="F22" s="8" t="n">
        <v>45</v>
      </c>
      <c r="G22" s="8" t="n">
        <v>50</v>
      </c>
      <c r="I22" s="3" t="n">
        <v>10</v>
      </c>
      <c r="J22" s="9" t="n">
        <f aca="false">COUNTIF('04_DESPIECE'!$B$2:$B$225,A22)</f>
        <v>3</v>
      </c>
      <c r="K22" s="9" t="n">
        <f aca="false">COUNTIF('06_RUTAS'!$A$2:$A$407,A22)</f>
        <v>8</v>
      </c>
      <c r="L22" s="9" t="n">
        <f aca="false">IF(COUNTIFS($E$2:$E$51,E22,$F$2:$F$51,F22,$G$2:$G$51,G22)&gt;=5,1,0)</f>
        <v>1</v>
      </c>
      <c r="M22" s="4" t="s">
        <v>30</v>
      </c>
    </row>
    <row r="23" customFormat="false" ht="15" hidden="false" customHeight="false" outlineLevel="0" collapsed="false">
      <c r="A23" s="4" t="s">
        <v>401</v>
      </c>
      <c r="B23" s="4" t="s">
        <v>338</v>
      </c>
      <c r="C23" s="4" t="s">
        <v>402</v>
      </c>
      <c r="D23" s="4" t="s">
        <v>400</v>
      </c>
      <c r="E23" s="8" t="n">
        <v>85</v>
      </c>
      <c r="F23" s="8" t="n">
        <v>45</v>
      </c>
      <c r="G23" s="8" t="n">
        <v>50</v>
      </c>
      <c r="I23" s="3" t="n">
        <v>10</v>
      </c>
      <c r="J23" s="9" t="n">
        <f aca="false">COUNTIF('04_DESPIECE'!$B$2:$B$225,A23)</f>
        <v>3</v>
      </c>
      <c r="K23" s="9" t="n">
        <f aca="false">COUNTIF('06_RUTAS'!$A$2:$A$407,A23)</f>
        <v>2</v>
      </c>
      <c r="L23" s="9" t="n">
        <f aca="false">IF(COUNTIFS($E$2:$E$51,E23,$F$2:$F$51,F23,$G$2:$G$51,G23)&gt;=5,1,0)</f>
        <v>1</v>
      </c>
      <c r="M23" s="4" t="s">
        <v>30</v>
      </c>
    </row>
    <row r="24" customFormat="false" ht="15" hidden="false" customHeight="false" outlineLevel="0" collapsed="false">
      <c r="A24" s="4" t="s">
        <v>403</v>
      </c>
      <c r="B24" s="4" t="s">
        <v>338</v>
      </c>
      <c r="C24" s="4" t="s">
        <v>404</v>
      </c>
      <c r="D24" s="4" t="s">
        <v>405</v>
      </c>
      <c r="E24" s="8" t="n">
        <v>85</v>
      </c>
      <c r="F24" s="8" t="n">
        <v>120</v>
      </c>
      <c r="G24" s="8" t="n">
        <v>60</v>
      </c>
      <c r="I24" s="3" t="n">
        <v>10</v>
      </c>
      <c r="J24" s="9" t="n">
        <f aca="false">COUNTIF('04_DESPIECE'!$B$2:$B$225,A24)</f>
        <v>4</v>
      </c>
      <c r="K24" s="9" t="n">
        <f aca="false">COUNTIF('06_RUTAS'!$A$2:$A$407,A24)</f>
        <v>8</v>
      </c>
      <c r="L24" s="9" t="n">
        <f aca="false">IF(COUNTIFS($E$2:$E$51,E24,$F$2:$F$51,F24,$G$2:$G$51,G24)&gt;=5,1,0)</f>
        <v>1</v>
      </c>
      <c r="M24" s="4" t="s">
        <v>30</v>
      </c>
    </row>
    <row r="25" customFormat="false" ht="15" hidden="false" customHeight="false" outlineLevel="0" collapsed="false">
      <c r="A25" s="4" t="s">
        <v>406</v>
      </c>
      <c r="B25" s="4" t="s">
        <v>338</v>
      </c>
      <c r="C25" s="4" t="s">
        <v>407</v>
      </c>
      <c r="D25" s="4" t="s">
        <v>405</v>
      </c>
      <c r="E25" s="8" t="n">
        <v>85</v>
      </c>
      <c r="F25" s="8" t="n">
        <v>120</v>
      </c>
      <c r="G25" s="8" t="n">
        <v>60</v>
      </c>
      <c r="I25" s="3" t="n">
        <v>10</v>
      </c>
      <c r="J25" s="9" t="n">
        <f aca="false">COUNTIF('04_DESPIECE'!$B$2:$B$225,A25)</f>
        <v>4</v>
      </c>
      <c r="K25" s="9" t="n">
        <f aca="false">COUNTIF('06_RUTAS'!$A$2:$A$407,A25)</f>
        <v>8</v>
      </c>
      <c r="L25" s="9" t="n">
        <f aca="false">IF(COUNTIFS($E$2:$E$51,E25,$F$2:$F$51,F25,$G$2:$G$51,G25)&gt;=5,1,0)</f>
        <v>1</v>
      </c>
      <c r="M25" s="4" t="s">
        <v>30</v>
      </c>
    </row>
    <row r="26" customFormat="false" ht="15" hidden="false" customHeight="false" outlineLevel="0" collapsed="false">
      <c r="A26" s="4" t="s">
        <v>408</v>
      </c>
      <c r="B26" s="4" t="s">
        <v>338</v>
      </c>
      <c r="C26" s="4" t="s">
        <v>409</v>
      </c>
      <c r="D26" s="4" t="s">
        <v>405</v>
      </c>
      <c r="E26" s="8" t="n">
        <v>85</v>
      </c>
      <c r="F26" s="8" t="n">
        <v>120</v>
      </c>
      <c r="G26" s="8" t="n">
        <v>60</v>
      </c>
      <c r="I26" s="3" t="n">
        <v>10</v>
      </c>
      <c r="J26" s="9" t="n">
        <f aca="false">COUNTIF('04_DESPIECE'!$B$2:$B$225,A26)</f>
        <v>4</v>
      </c>
      <c r="K26" s="9" t="n">
        <f aca="false">COUNTIF('06_RUTAS'!$A$2:$A$407,A26)</f>
        <v>8</v>
      </c>
      <c r="L26" s="9" t="n">
        <f aca="false">IF(COUNTIFS($E$2:$E$51,E26,$F$2:$F$51,F26,$G$2:$G$51,G26)&gt;=5,1,0)</f>
        <v>1</v>
      </c>
      <c r="M26" s="4" t="s">
        <v>30</v>
      </c>
    </row>
    <row r="27" customFormat="false" ht="15" hidden="false" customHeight="false" outlineLevel="0" collapsed="false">
      <c r="A27" s="4" t="s">
        <v>410</v>
      </c>
      <c r="B27" s="4" t="s">
        <v>338</v>
      </c>
      <c r="C27" s="4" t="s">
        <v>411</v>
      </c>
      <c r="D27" s="4" t="s">
        <v>412</v>
      </c>
      <c r="E27" s="8" t="n">
        <v>85</v>
      </c>
      <c r="F27" s="8" t="n">
        <v>120</v>
      </c>
      <c r="G27" s="8" t="n">
        <v>60</v>
      </c>
      <c r="I27" s="3" t="n">
        <v>10</v>
      </c>
      <c r="J27" s="9" t="n">
        <f aca="false">COUNTIF('04_DESPIECE'!$B$2:$B$225,A27)</f>
        <v>4</v>
      </c>
      <c r="K27" s="9" t="n">
        <f aca="false">COUNTIF('06_RUTAS'!$A$2:$A$407,A27)</f>
        <v>8</v>
      </c>
      <c r="L27" s="9" t="n">
        <f aca="false">IF(COUNTIFS($E$2:$E$51,E27,$F$2:$F$51,F27,$G$2:$G$51,G27)&gt;=5,1,0)</f>
        <v>1</v>
      </c>
      <c r="M27" s="4" t="s">
        <v>30</v>
      </c>
    </row>
    <row r="28" customFormat="false" ht="15" hidden="false" customHeight="false" outlineLevel="0" collapsed="false">
      <c r="A28" s="4" t="s">
        <v>413</v>
      </c>
      <c r="B28" s="4" t="s">
        <v>338</v>
      </c>
      <c r="C28" s="4" t="s">
        <v>414</v>
      </c>
      <c r="D28" s="4" t="s">
        <v>415</v>
      </c>
      <c r="E28" s="8" t="n">
        <v>85</v>
      </c>
      <c r="F28" s="8" t="n">
        <v>120</v>
      </c>
      <c r="G28" s="8" t="n">
        <v>60</v>
      </c>
      <c r="I28" s="3" t="n">
        <v>10</v>
      </c>
      <c r="J28" s="9" t="n">
        <f aca="false">COUNTIF('04_DESPIECE'!$B$2:$B$225,A28)</f>
        <v>4</v>
      </c>
      <c r="K28" s="9" t="n">
        <f aca="false">COUNTIF('06_RUTAS'!$A$2:$A$407,A28)</f>
        <v>8</v>
      </c>
      <c r="L28" s="9" t="n">
        <f aca="false">IF(COUNTIFS($E$2:$E$51,E28,$F$2:$F$51,F28,$G$2:$G$51,G28)&gt;=5,1,0)</f>
        <v>1</v>
      </c>
      <c r="M28" s="4" t="s">
        <v>30</v>
      </c>
    </row>
    <row r="29" customFormat="false" ht="15" hidden="false" customHeight="false" outlineLevel="0" collapsed="false">
      <c r="A29" s="4" t="s">
        <v>416</v>
      </c>
      <c r="B29" s="4" t="s">
        <v>338</v>
      </c>
      <c r="C29" s="4" t="s">
        <v>417</v>
      </c>
      <c r="D29" s="4" t="s">
        <v>412</v>
      </c>
      <c r="E29" s="8" t="n">
        <v>85</v>
      </c>
      <c r="F29" s="8" t="n">
        <v>120</v>
      </c>
      <c r="G29" s="8" t="n">
        <v>60</v>
      </c>
      <c r="I29" s="3" t="n">
        <v>10</v>
      </c>
      <c r="J29" s="9" t="n">
        <f aca="false">COUNTIF('04_DESPIECE'!$B$2:$B$225,A29)</f>
        <v>4</v>
      </c>
      <c r="K29" s="9" t="n">
        <f aca="false">COUNTIF('06_RUTAS'!$A$2:$A$407,A29)</f>
        <v>8</v>
      </c>
      <c r="L29" s="9" t="n">
        <f aca="false">IF(COUNTIFS($E$2:$E$51,E29,$F$2:$F$51,F29,$G$2:$G$51,G29)&gt;=5,1,0)</f>
        <v>1</v>
      </c>
      <c r="M29" s="4" t="s">
        <v>30</v>
      </c>
    </row>
    <row r="30" customFormat="false" ht="15" hidden="false" customHeight="false" outlineLevel="0" collapsed="false">
      <c r="A30" s="4" t="s">
        <v>418</v>
      </c>
      <c r="B30" s="4" t="s">
        <v>338</v>
      </c>
      <c r="C30" s="4" t="s">
        <v>419</v>
      </c>
      <c r="D30" s="4" t="s">
        <v>412</v>
      </c>
      <c r="E30" s="8" t="n">
        <v>85</v>
      </c>
      <c r="F30" s="8" t="n">
        <v>120</v>
      </c>
      <c r="G30" s="8" t="n">
        <v>60</v>
      </c>
      <c r="I30" s="3" t="n">
        <v>10</v>
      </c>
      <c r="J30" s="9" t="n">
        <f aca="false">COUNTIF('04_DESPIECE'!$B$2:$B$225,A30)</f>
        <v>4</v>
      </c>
      <c r="K30" s="9" t="n">
        <f aca="false">COUNTIF('06_RUTAS'!$A$2:$A$407,A30)</f>
        <v>8</v>
      </c>
      <c r="L30" s="9" t="n">
        <f aca="false">IF(COUNTIFS($E$2:$E$51,E30,$F$2:$F$51,F30,$G$2:$G$51,G30)&gt;=5,1,0)</f>
        <v>1</v>
      </c>
      <c r="M30" s="4" t="s">
        <v>30</v>
      </c>
    </row>
    <row r="31" customFormat="false" ht="15" hidden="false" customHeight="false" outlineLevel="0" collapsed="false">
      <c r="A31" s="4" t="s">
        <v>420</v>
      </c>
      <c r="B31" s="4" t="s">
        <v>338</v>
      </c>
      <c r="C31" s="4" t="s">
        <v>421</v>
      </c>
      <c r="D31" s="4" t="s">
        <v>412</v>
      </c>
      <c r="E31" s="8" t="n">
        <v>85</v>
      </c>
      <c r="F31" s="8" t="n">
        <v>120</v>
      </c>
      <c r="G31" s="8" t="n">
        <v>60</v>
      </c>
      <c r="I31" s="3" t="n">
        <v>10</v>
      </c>
      <c r="J31" s="9" t="n">
        <f aca="false">COUNTIF('04_DESPIECE'!$B$2:$B$225,A31)</f>
        <v>4</v>
      </c>
      <c r="K31" s="9" t="n">
        <f aca="false">COUNTIF('06_RUTAS'!$A$2:$A$407,A31)</f>
        <v>8</v>
      </c>
      <c r="L31" s="9" t="n">
        <f aca="false">IF(COUNTIFS($E$2:$E$51,E31,$F$2:$F$51,F31,$G$2:$G$51,G31)&gt;=5,1,0)</f>
        <v>1</v>
      </c>
      <c r="M31" s="4" t="s">
        <v>30</v>
      </c>
    </row>
    <row r="32" customFormat="false" ht="15" hidden="false" customHeight="false" outlineLevel="0" collapsed="false">
      <c r="A32" s="4" t="s">
        <v>422</v>
      </c>
      <c r="B32" s="4" t="s">
        <v>338</v>
      </c>
      <c r="C32" s="4" t="s">
        <v>423</v>
      </c>
      <c r="D32" s="4" t="s">
        <v>412</v>
      </c>
      <c r="E32" s="8" t="n">
        <v>85</v>
      </c>
      <c r="F32" s="8" t="n">
        <v>120</v>
      </c>
      <c r="G32" s="8" t="n">
        <v>60</v>
      </c>
      <c r="I32" s="3" t="n">
        <v>10</v>
      </c>
      <c r="J32" s="9" t="n">
        <f aca="false">COUNTIF('04_DESPIECE'!$B$2:$B$225,A32)</f>
        <v>4</v>
      </c>
      <c r="K32" s="9" t="n">
        <f aca="false">COUNTIF('06_RUTAS'!$A$2:$A$407,A32)</f>
        <v>8</v>
      </c>
      <c r="L32" s="9" t="n">
        <f aca="false">IF(COUNTIFS($E$2:$E$51,E32,$F$2:$F$51,F32,$G$2:$G$51,G32)&gt;=5,1,0)</f>
        <v>1</v>
      </c>
      <c r="M32" s="4" t="s">
        <v>30</v>
      </c>
    </row>
    <row r="33" customFormat="false" ht="15" hidden="false" customHeight="false" outlineLevel="0" collapsed="false">
      <c r="A33" s="4" t="s">
        <v>424</v>
      </c>
      <c r="B33" s="4" t="s">
        <v>338</v>
      </c>
      <c r="C33" s="4" t="s">
        <v>425</v>
      </c>
      <c r="D33" s="4" t="s">
        <v>426</v>
      </c>
      <c r="E33" s="8" t="n">
        <v>85</v>
      </c>
      <c r="F33" s="8" t="n">
        <v>120</v>
      </c>
      <c r="G33" s="8" t="n">
        <v>60</v>
      </c>
      <c r="I33" s="3" t="n">
        <v>10</v>
      </c>
      <c r="J33" s="9" t="n">
        <f aca="false">COUNTIF('04_DESPIECE'!$B$2:$B$225,A33)</f>
        <v>5</v>
      </c>
      <c r="K33" s="9" t="n">
        <f aca="false">COUNTIF('06_RUTAS'!$A$2:$A$407,A33)</f>
        <v>8</v>
      </c>
      <c r="L33" s="9" t="n">
        <f aca="false">IF(COUNTIFS($E$2:$E$51,E33,$F$2:$F$51,F33,$G$2:$G$51,G33)&gt;=5,1,0)</f>
        <v>1</v>
      </c>
      <c r="M33" s="4" t="s">
        <v>30</v>
      </c>
    </row>
    <row r="34" customFormat="false" ht="15" hidden="false" customHeight="false" outlineLevel="0" collapsed="false">
      <c r="A34" s="4" t="s">
        <v>427</v>
      </c>
      <c r="B34" s="4" t="s">
        <v>338</v>
      </c>
      <c r="C34" s="4" t="s">
        <v>428</v>
      </c>
      <c r="D34" s="4" t="s">
        <v>426</v>
      </c>
      <c r="E34" s="8" t="n">
        <v>85</v>
      </c>
      <c r="F34" s="8" t="n">
        <v>120</v>
      </c>
      <c r="G34" s="8" t="n">
        <v>60</v>
      </c>
      <c r="I34" s="3" t="n">
        <v>10</v>
      </c>
      <c r="J34" s="9" t="n">
        <f aca="false">COUNTIF('04_DESPIECE'!$B$2:$B$225,A34)</f>
        <v>5</v>
      </c>
      <c r="K34" s="9" t="n">
        <f aca="false">COUNTIF('06_RUTAS'!$A$2:$A$407,A34)</f>
        <v>8</v>
      </c>
      <c r="L34" s="9" t="n">
        <f aca="false">IF(COUNTIFS($E$2:$E$51,E34,$F$2:$F$51,F34,$G$2:$G$51,G34)&gt;=5,1,0)</f>
        <v>1</v>
      </c>
      <c r="M34" s="4" t="s">
        <v>30</v>
      </c>
    </row>
    <row r="35" customFormat="false" ht="15" hidden="false" customHeight="false" outlineLevel="0" collapsed="false">
      <c r="A35" s="4" t="s">
        <v>429</v>
      </c>
      <c r="B35" s="4" t="s">
        <v>338</v>
      </c>
      <c r="C35" s="4" t="s">
        <v>430</v>
      </c>
      <c r="D35" s="4" t="s">
        <v>426</v>
      </c>
      <c r="E35" s="8" t="n">
        <v>85</v>
      </c>
      <c r="F35" s="8" t="n">
        <v>120</v>
      </c>
      <c r="G35" s="8" t="n">
        <v>60</v>
      </c>
      <c r="I35" s="3" t="n">
        <v>10</v>
      </c>
      <c r="J35" s="9" t="n">
        <f aca="false">COUNTIF('04_DESPIECE'!$B$2:$B$225,A35)</f>
        <v>5</v>
      </c>
      <c r="K35" s="9" t="n">
        <f aca="false">COUNTIF('06_RUTAS'!$A$2:$A$407,A35)</f>
        <v>8</v>
      </c>
      <c r="L35" s="9" t="n">
        <f aca="false">IF(COUNTIFS($E$2:$E$51,E35,$F$2:$F$51,F35,$G$2:$G$51,G35)&gt;=5,1,0)</f>
        <v>1</v>
      </c>
      <c r="M35" s="4" t="s">
        <v>30</v>
      </c>
    </row>
    <row r="36" customFormat="false" ht="15" hidden="false" customHeight="false" outlineLevel="0" collapsed="false">
      <c r="A36" s="4" t="s">
        <v>431</v>
      </c>
      <c r="B36" s="4" t="s">
        <v>338</v>
      </c>
      <c r="C36" s="4" t="s">
        <v>432</v>
      </c>
      <c r="D36" s="4" t="s">
        <v>433</v>
      </c>
      <c r="E36" s="8" t="n">
        <v>85</v>
      </c>
      <c r="F36" s="8" t="n">
        <v>120</v>
      </c>
      <c r="G36" s="8" t="n">
        <v>60</v>
      </c>
      <c r="I36" s="3" t="n">
        <v>10</v>
      </c>
      <c r="J36" s="9" t="n">
        <f aca="false">COUNTIF('04_DESPIECE'!$B$2:$B$225,A36)</f>
        <v>4</v>
      </c>
      <c r="K36" s="9" t="n">
        <f aca="false">COUNTIF('06_RUTAS'!$A$2:$A$407,A36)</f>
        <v>8</v>
      </c>
      <c r="L36" s="9" t="n">
        <f aca="false">IF(COUNTIFS($E$2:$E$51,E36,$F$2:$F$51,F36,$G$2:$G$51,G36)&gt;=5,1,0)</f>
        <v>1</v>
      </c>
      <c r="M36" s="4" t="s">
        <v>30</v>
      </c>
    </row>
    <row r="37" customFormat="false" ht="15" hidden="false" customHeight="false" outlineLevel="0" collapsed="false">
      <c r="A37" s="4" t="s">
        <v>434</v>
      </c>
      <c r="B37" s="4" t="s">
        <v>338</v>
      </c>
      <c r="C37" s="4" t="s">
        <v>435</v>
      </c>
      <c r="D37" s="4" t="s">
        <v>400</v>
      </c>
      <c r="E37" s="8" t="n">
        <v>85</v>
      </c>
      <c r="F37" s="8" t="n">
        <v>45</v>
      </c>
      <c r="G37" s="8" t="n">
        <v>50</v>
      </c>
      <c r="I37" s="3" t="n">
        <v>10</v>
      </c>
      <c r="J37" s="9" t="n">
        <f aca="false">COUNTIF('04_DESPIECE'!$B$2:$B$225,A37)</f>
        <v>3</v>
      </c>
      <c r="K37" s="9" t="n">
        <f aca="false">COUNTIF('06_RUTAS'!$A$2:$A$407,A37)</f>
        <v>2</v>
      </c>
      <c r="L37" s="9" t="n">
        <f aca="false">IF(COUNTIFS($E$2:$E$51,E37,$F$2:$F$51,F37,$G$2:$G$51,G37)&gt;=5,1,0)</f>
        <v>1</v>
      </c>
      <c r="M37" s="4" t="s">
        <v>30</v>
      </c>
    </row>
    <row r="38" customFormat="false" ht="15" hidden="false" customHeight="false" outlineLevel="0" collapsed="false">
      <c r="A38" s="4" t="s">
        <v>436</v>
      </c>
      <c r="B38" s="4" t="s">
        <v>338</v>
      </c>
      <c r="C38" s="4" t="s">
        <v>437</v>
      </c>
      <c r="D38" s="4" t="s">
        <v>400</v>
      </c>
      <c r="E38" s="8" t="n">
        <v>85</v>
      </c>
      <c r="F38" s="8" t="n">
        <v>45</v>
      </c>
      <c r="G38" s="8" t="n">
        <v>50</v>
      </c>
      <c r="I38" s="3" t="n">
        <v>10</v>
      </c>
      <c r="J38" s="9" t="n">
        <f aca="false">COUNTIF('04_DESPIECE'!$B$2:$B$225,A38)</f>
        <v>3</v>
      </c>
      <c r="K38" s="9" t="n">
        <f aca="false">COUNTIF('06_RUTAS'!$A$2:$A$407,A38)</f>
        <v>2</v>
      </c>
      <c r="L38" s="9" t="n">
        <f aca="false">IF(COUNTIFS($E$2:$E$51,E38,$F$2:$F$51,F38,$G$2:$G$51,G38)&gt;=5,1,0)</f>
        <v>1</v>
      </c>
      <c r="M38" s="4" t="s">
        <v>30</v>
      </c>
    </row>
    <row r="39" customFormat="false" ht="15" hidden="false" customHeight="false" outlineLevel="0" collapsed="false">
      <c r="A39" s="4" t="s">
        <v>438</v>
      </c>
      <c r="B39" s="4" t="s">
        <v>338</v>
      </c>
      <c r="C39" s="4" t="s">
        <v>439</v>
      </c>
      <c r="D39" s="4" t="s">
        <v>440</v>
      </c>
      <c r="E39" s="8" t="n">
        <v>75</v>
      </c>
      <c r="F39" s="8" t="n">
        <v>120</v>
      </c>
      <c r="G39" s="8" t="n">
        <v>60</v>
      </c>
      <c r="I39" s="3" t="n">
        <v>10</v>
      </c>
      <c r="J39" s="9" t="n">
        <f aca="false">COUNTIF('04_DESPIECE'!$B$2:$B$225,A39)</f>
        <v>4</v>
      </c>
      <c r="K39" s="9" t="n">
        <f aca="false">COUNTIF('06_RUTAS'!$A$2:$A$407,A39)</f>
        <v>8</v>
      </c>
      <c r="L39" s="9" t="n">
        <f aca="false">IF(COUNTIFS($E$2:$E$51,E39,$F$2:$F$51,F39,$G$2:$G$51,G39)&gt;=5,1,0)</f>
        <v>1</v>
      </c>
      <c r="M39" s="4" t="s">
        <v>30</v>
      </c>
    </row>
    <row r="40" customFormat="false" ht="15" hidden="false" customHeight="false" outlineLevel="0" collapsed="false">
      <c r="A40" s="4" t="s">
        <v>441</v>
      </c>
      <c r="B40" s="4" t="s">
        <v>338</v>
      </c>
      <c r="C40" s="4" t="s">
        <v>442</v>
      </c>
      <c r="D40" s="4" t="s">
        <v>440</v>
      </c>
      <c r="E40" s="8" t="n">
        <v>75</v>
      </c>
      <c r="F40" s="8" t="n">
        <v>120</v>
      </c>
      <c r="G40" s="8" t="n">
        <v>60</v>
      </c>
      <c r="I40" s="3" t="n">
        <v>10</v>
      </c>
      <c r="J40" s="9" t="n">
        <f aca="false">COUNTIF('04_DESPIECE'!$B$2:$B$225,A40)</f>
        <v>4</v>
      </c>
      <c r="K40" s="9" t="n">
        <f aca="false">COUNTIF('06_RUTAS'!$A$2:$A$407,A40)</f>
        <v>8</v>
      </c>
      <c r="L40" s="9" t="n">
        <f aca="false">IF(COUNTIFS($E$2:$E$51,E40,$F$2:$F$51,F40,$G$2:$G$51,G40)&gt;=5,1,0)</f>
        <v>1</v>
      </c>
      <c r="M40" s="4" t="s">
        <v>30</v>
      </c>
    </row>
    <row r="41" customFormat="false" ht="15" hidden="false" customHeight="false" outlineLevel="0" collapsed="false">
      <c r="A41" s="4" t="s">
        <v>443</v>
      </c>
      <c r="B41" s="4" t="s">
        <v>338</v>
      </c>
      <c r="C41" s="4" t="s">
        <v>444</v>
      </c>
      <c r="D41" s="4" t="s">
        <v>440</v>
      </c>
      <c r="E41" s="8" t="n">
        <v>75</v>
      </c>
      <c r="F41" s="8" t="n">
        <v>120</v>
      </c>
      <c r="G41" s="8" t="n">
        <v>60</v>
      </c>
      <c r="I41" s="3" t="n">
        <v>10</v>
      </c>
      <c r="J41" s="9" t="n">
        <f aca="false">COUNTIF('04_DESPIECE'!$B$2:$B$225,A41)</f>
        <v>3</v>
      </c>
      <c r="K41" s="9" t="n">
        <f aca="false">COUNTIF('06_RUTAS'!$A$2:$A$407,A41)</f>
        <v>2</v>
      </c>
      <c r="L41" s="9" t="n">
        <f aca="false">IF(COUNTIFS($E$2:$E$51,E41,$F$2:$F$51,F41,$G$2:$G$51,G41)&gt;=5,1,0)</f>
        <v>1</v>
      </c>
      <c r="M41" s="4" t="s">
        <v>30</v>
      </c>
    </row>
    <row r="42" customFormat="false" ht="15" hidden="false" customHeight="false" outlineLevel="0" collapsed="false">
      <c r="A42" s="4" t="s">
        <v>445</v>
      </c>
      <c r="B42" s="4" t="s">
        <v>338</v>
      </c>
      <c r="C42" s="4" t="s">
        <v>446</v>
      </c>
      <c r="D42" s="4" t="s">
        <v>447</v>
      </c>
      <c r="E42" s="8" t="n">
        <v>160</v>
      </c>
      <c r="F42" s="8" t="n">
        <v>190</v>
      </c>
      <c r="G42" s="8" t="n">
        <v>90</v>
      </c>
      <c r="I42" s="3" t="n">
        <v>10</v>
      </c>
      <c r="J42" s="9" t="n">
        <f aca="false">COUNTIF('04_DESPIECE'!$B$2:$B$225,A42)</f>
        <v>4</v>
      </c>
      <c r="K42" s="9" t="n">
        <f aca="false">COUNTIF('06_RUTAS'!$A$2:$A$407,A42)</f>
        <v>8</v>
      </c>
      <c r="L42" s="9" t="n">
        <f aca="false">IF(COUNTIFS($E$2:$E$51,E42,$F$2:$F$51,F42,$G$2:$G$51,G42)&gt;=5,1,0)</f>
        <v>0</v>
      </c>
      <c r="M42" s="4" t="s">
        <v>30</v>
      </c>
    </row>
    <row r="43" customFormat="false" ht="15" hidden="false" customHeight="false" outlineLevel="0" collapsed="false">
      <c r="A43" s="4" t="s">
        <v>448</v>
      </c>
      <c r="B43" s="4" t="s">
        <v>338</v>
      </c>
      <c r="C43" s="4" t="s">
        <v>449</v>
      </c>
      <c r="D43" s="4" t="s">
        <v>450</v>
      </c>
      <c r="E43" s="8" t="n">
        <v>75</v>
      </c>
      <c r="F43" s="8" t="n">
        <v>120</v>
      </c>
      <c r="G43" s="8" t="n">
        <v>60</v>
      </c>
      <c r="I43" s="3" t="n">
        <v>10</v>
      </c>
      <c r="J43" s="9" t="n">
        <f aca="false">COUNTIF('04_DESPIECE'!$B$2:$B$225,A43)</f>
        <v>4</v>
      </c>
      <c r="K43" s="9" t="n">
        <f aca="false">COUNTIF('06_RUTAS'!$A$2:$A$407,A43)</f>
        <v>8</v>
      </c>
      <c r="L43" s="9" t="n">
        <f aca="false">IF(COUNTIFS($E$2:$E$51,E43,$F$2:$F$51,F43,$G$2:$G$51,G43)&gt;=5,1,0)</f>
        <v>1</v>
      </c>
      <c r="M43" s="4" t="s">
        <v>30</v>
      </c>
    </row>
    <row r="44" customFormat="false" ht="15" hidden="false" customHeight="false" outlineLevel="0" collapsed="false">
      <c r="A44" s="4" t="s">
        <v>451</v>
      </c>
      <c r="B44" s="4" t="s">
        <v>338</v>
      </c>
      <c r="C44" s="4" t="s">
        <v>452</v>
      </c>
      <c r="D44" s="4" t="s">
        <v>450</v>
      </c>
      <c r="E44" s="8" t="n">
        <v>75</v>
      </c>
      <c r="F44" s="8" t="n">
        <v>120</v>
      </c>
      <c r="G44" s="8" t="n">
        <v>60</v>
      </c>
      <c r="I44" s="3" t="n">
        <v>10</v>
      </c>
      <c r="J44" s="9" t="n">
        <f aca="false">COUNTIF('04_DESPIECE'!$B$2:$B$225,A44)</f>
        <v>4</v>
      </c>
      <c r="K44" s="9" t="n">
        <f aca="false">COUNTIF('06_RUTAS'!$A$2:$A$407,A44)</f>
        <v>8</v>
      </c>
      <c r="L44" s="9" t="n">
        <f aca="false">IF(COUNTIFS($E$2:$E$51,E44,$F$2:$F$51,F44,$G$2:$G$51,G44)&gt;=5,1,0)</f>
        <v>1</v>
      </c>
      <c r="M44" s="4" t="s">
        <v>30</v>
      </c>
    </row>
    <row r="45" customFormat="false" ht="15" hidden="false" customHeight="false" outlineLevel="0" collapsed="false">
      <c r="A45" s="4" t="s">
        <v>453</v>
      </c>
      <c r="B45" s="4" t="s">
        <v>338</v>
      </c>
      <c r="C45" s="4" t="s">
        <v>454</v>
      </c>
      <c r="D45" s="4" t="s">
        <v>415</v>
      </c>
      <c r="E45" s="8" t="n">
        <v>85</v>
      </c>
      <c r="F45" s="8" t="n">
        <v>120</v>
      </c>
      <c r="G45" s="8" t="n">
        <v>60</v>
      </c>
      <c r="I45" s="3" t="n">
        <v>10</v>
      </c>
      <c r="J45" s="9" t="n">
        <f aca="false">COUNTIF('04_DESPIECE'!$B$2:$B$225,A45)</f>
        <v>4</v>
      </c>
      <c r="K45" s="9" t="n">
        <f aca="false">COUNTIF('06_RUTAS'!$A$2:$A$407,A45)</f>
        <v>8</v>
      </c>
      <c r="L45" s="9" t="n">
        <f aca="false">IF(COUNTIFS($E$2:$E$51,E45,$F$2:$F$51,F45,$G$2:$G$51,G45)&gt;=5,1,0)</f>
        <v>1</v>
      </c>
      <c r="M45" s="4" t="s">
        <v>30</v>
      </c>
    </row>
    <row r="46" customFormat="false" ht="15" hidden="false" customHeight="false" outlineLevel="0" collapsed="false">
      <c r="A46" s="4" t="s">
        <v>455</v>
      </c>
      <c r="B46" s="4" t="s">
        <v>338</v>
      </c>
      <c r="C46" s="4" t="s">
        <v>456</v>
      </c>
      <c r="D46" s="4" t="s">
        <v>415</v>
      </c>
      <c r="E46" s="8" t="n">
        <v>85</v>
      </c>
      <c r="F46" s="8" t="n">
        <v>120</v>
      </c>
      <c r="G46" s="8" t="n">
        <v>60</v>
      </c>
      <c r="I46" s="3" t="n">
        <v>10</v>
      </c>
      <c r="J46" s="9" t="n">
        <f aca="false">COUNTIF('04_DESPIECE'!$B$2:$B$225,A46)</f>
        <v>3</v>
      </c>
      <c r="K46" s="9" t="n">
        <f aca="false">COUNTIF('06_RUTAS'!$A$2:$A$407,A46)</f>
        <v>2</v>
      </c>
      <c r="L46" s="9" t="n">
        <f aca="false">IF(COUNTIFS($E$2:$E$51,E46,$F$2:$F$51,F46,$G$2:$G$51,G46)&gt;=5,1,0)</f>
        <v>1</v>
      </c>
      <c r="M46" s="4" t="s">
        <v>30</v>
      </c>
    </row>
    <row r="47" customFormat="false" ht="15" hidden="false" customHeight="false" outlineLevel="0" collapsed="false">
      <c r="A47" s="4" t="s">
        <v>457</v>
      </c>
      <c r="B47" s="4" t="s">
        <v>338</v>
      </c>
      <c r="C47" s="4" t="s">
        <v>458</v>
      </c>
      <c r="D47" s="4" t="s">
        <v>415</v>
      </c>
      <c r="E47" s="8" t="n">
        <v>85</v>
      </c>
      <c r="F47" s="8" t="n">
        <v>120</v>
      </c>
      <c r="G47" s="8" t="n">
        <v>60</v>
      </c>
      <c r="I47" s="3" t="n">
        <v>10</v>
      </c>
      <c r="J47" s="9" t="n">
        <f aca="false">COUNTIF('04_DESPIECE'!$B$2:$B$225,A47)</f>
        <v>3</v>
      </c>
      <c r="K47" s="9" t="n">
        <f aca="false">COUNTIF('06_RUTAS'!$A$2:$A$407,A47)</f>
        <v>2</v>
      </c>
      <c r="L47" s="9" t="n">
        <f aca="false">IF(COUNTIFS($E$2:$E$51,E47,$F$2:$F$51,F47,$G$2:$G$51,G47)&gt;=5,1,0)</f>
        <v>1</v>
      </c>
      <c r="M47" s="4" t="s">
        <v>30</v>
      </c>
    </row>
    <row r="48" customFormat="false" ht="15" hidden="false" customHeight="false" outlineLevel="0" collapsed="false">
      <c r="A48" s="4" t="s">
        <v>459</v>
      </c>
      <c r="B48" s="4" t="s">
        <v>338</v>
      </c>
      <c r="C48" s="4" t="s">
        <v>460</v>
      </c>
      <c r="D48" s="4" t="s">
        <v>415</v>
      </c>
      <c r="E48" s="8" t="n">
        <v>85</v>
      </c>
      <c r="F48" s="8" t="n">
        <v>120</v>
      </c>
      <c r="G48" s="8" t="n">
        <v>60</v>
      </c>
      <c r="I48" s="3" t="n">
        <v>10</v>
      </c>
      <c r="J48" s="9" t="n">
        <f aca="false">COUNTIF('04_DESPIECE'!$B$2:$B$225,A48)</f>
        <v>4</v>
      </c>
      <c r="K48" s="9" t="n">
        <f aca="false">COUNTIF('06_RUTAS'!$A$2:$A$407,A48)</f>
        <v>8</v>
      </c>
      <c r="L48" s="9" t="n">
        <f aca="false">IF(COUNTIFS($E$2:$E$51,E48,$F$2:$F$51,F48,$G$2:$G$51,G48)&gt;=5,1,0)</f>
        <v>1</v>
      </c>
      <c r="M48" s="4" t="s">
        <v>30</v>
      </c>
    </row>
    <row r="49" customFormat="false" ht="15" hidden="false" customHeight="false" outlineLevel="0" collapsed="false">
      <c r="A49" s="4" t="s">
        <v>461</v>
      </c>
      <c r="B49" s="4" t="s">
        <v>338</v>
      </c>
      <c r="C49" s="4" t="s">
        <v>462</v>
      </c>
      <c r="D49" s="4" t="s">
        <v>450</v>
      </c>
      <c r="E49" s="8" t="n">
        <v>75</v>
      </c>
      <c r="F49" s="8" t="n">
        <v>120</v>
      </c>
      <c r="G49" s="8" t="n">
        <v>60</v>
      </c>
      <c r="I49" s="3" t="n">
        <v>10</v>
      </c>
      <c r="J49" s="9" t="n">
        <f aca="false">COUNTIF('04_DESPIECE'!$B$2:$B$225,A49)</f>
        <v>4</v>
      </c>
      <c r="K49" s="9" t="n">
        <f aca="false">COUNTIF('06_RUTAS'!$A$2:$A$407,A49)</f>
        <v>8</v>
      </c>
      <c r="L49" s="9" t="n">
        <f aca="false">IF(COUNTIFS($E$2:$E$51,E49,$F$2:$F$51,F49,$G$2:$G$51,G49)&gt;=5,1,0)</f>
        <v>1</v>
      </c>
      <c r="M49" s="4" t="s">
        <v>30</v>
      </c>
    </row>
    <row r="50" customFormat="false" ht="15" hidden="false" customHeight="false" outlineLevel="0" collapsed="false">
      <c r="A50" s="4" t="s">
        <v>463</v>
      </c>
      <c r="B50" s="4" t="s">
        <v>338</v>
      </c>
      <c r="C50" s="4" t="s">
        <v>464</v>
      </c>
      <c r="D50" s="4" t="s">
        <v>450</v>
      </c>
      <c r="E50" s="8" t="n">
        <v>75</v>
      </c>
      <c r="F50" s="8" t="n">
        <v>120</v>
      </c>
      <c r="G50" s="8" t="n">
        <v>60</v>
      </c>
      <c r="I50" s="3" t="n">
        <v>10</v>
      </c>
      <c r="J50" s="9" t="n">
        <f aca="false">COUNTIF('04_DESPIECE'!$B$2:$B$225,A50)</f>
        <v>4</v>
      </c>
      <c r="K50" s="9" t="n">
        <f aca="false">COUNTIF('06_RUTAS'!$A$2:$A$407,A50)</f>
        <v>8</v>
      </c>
      <c r="L50" s="9" t="n">
        <f aca="false">IF(COUNTIFS($E$2:$E$51,E50,$F$2:$F$51,F50,$G$2:$G$51,G50)&gt;=5,1,0)</f>
        <v>1</v>
      </c>
      <c r="M50" s="4" t="s">
        <v>30</v>
      </c>
    </row>
    <row r="51" customFormat="false" ht="15" hidden="false" customHeight="false" outlineLevel="0" collapsed="false">
      <c r="A51" s="4" t="s">
        <v>465</v>
      </c>
      <c r="B51" s="4" t="s">
        <v>338</v>
      </c>
      <c r="C51" s="4" t="s">
        <v>466</v>
      </c>
      <c r="D51" s="4" t="s">
        <v>400</v>
      </c>
      <c r="E51" s="8" t="n">
        <v>85</v>
      </c>
      <c r="F51" s="8" t="n">
        <v>45</v>
      </c>
      <c r="G51" s="8" t="n">
        <v>50</v>
      </c>
      <c r="I51" s="3" t="n">
        <v>10</v>
      </c>
      <c r="J51" s="9" t="n">
        <f aca="false">COUNTIF('04_DESPIECE'!$B$2:$B$225,A51)</f>
        <v>3</v>
      </c>
      <c r="K51" s="9" t="n">
        <f aca="false">COUNTIF('06_RUTAS'!$A$2:$A$407,A51)</f>
        <v>8</v>
      </c>
      <c r="L51" s="9" t="n">
        <f aca="false">IF(COUNTIFS($E$2:$E$51,E51,$F$2:$F$51,F51,$G$2:$G$51,G51)&gt;=5,1,0)</f>
        <v>1</v>
      </c>
      <c r="M51" s="4" t="s">
        <v>30</v>
      </c>
    </row>
  </sheetData>
  <autoFilter ref="A1:M51"/>
  <dataValidations count="3">
    <dataValidation allowBlank="true" error="Elija un valor de la lista." errorStyle="stop" errorTitle="Valor no válido" operator="between" showDropDown="false" showErrorMessage="true" showInputMessage="false" sqref="B2:B51" type="list">
      <formula1>'01_FAMILIAS'!$A$2:$A$5</formula1>
      <formula2>0</formula2>
    </dataValidation>
    <dataValidation allowBlank="true" error="Debe ser un número entero en el rango permitido." errorStyle="stop" operator="greaterThanOrEqual" showDropDown="false" showErrorMessage="true" showInputMessage="false" sqref="I2:I51" type="whole">
      <formula1>1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M2:M51" type="list">
      <formula1>"REAL,REFERENCIA,CALCULADO,ESTIMADO,SIMULADO,CONFIGURACION,PENDIENTE"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5" min="4" style="0" width="10"/>
    <col collapsed="false" customWidth="true" hidden="false" outlineLevel="0" max="7" min="6" style="0" width="9"/>
    <col collapsed="false" customWidth="true" hidden="false" outlineLevel="0" max="8" min="8" style="0" width="14"/>
    <col collapsed="false" customWidth="true" hidden="false" outlineLevel="0" max="10" min="9" style="0" width="12"/>
  </cols>
  <sheetData>
    <row r="1" customFormat="false" ht="31.5" hidden="false" customHeight="true" outlineLevel="0" collapsed="false">
      <c r="A1" s="1" t="s">
        <v>67</v>
      </c>
      <c r="B1" s="1" t="s">
        <v>69</v>
      </c>
      <c r="C1" s="1" t="s">
        <v>71</v>
      </c>
      <c r="D1" s="1" t="s">
        <v>73</v>
      </c>
      <c r="E1" s="1" t="s">
        <v>75</v>
      </c>
      <c r="F1" s="1" t="s">
        <v>78</v>
      </c>
      <c r="G1" s="1" t="s">
        <v>81</v>
      </c>
      <c r="H1" s="1" t="s">
        <v>83</v>
      </c>
      <c r="I1" s="1" t="s">
        <v>85</v>
      </c>
      <c r="J1" s="1" t="s">
        <v>5</v>
      </c>
    </row>
    <row r="2" customFormat="false" ht="15" hidden="false" customHeight="false" outlineLevel="0" collapsed="false">
      <c r="A2" s="4" t="s">
        <v>467</v>
      </c>
      <c r="B2" s="4" t="s">
        <v>468</v>
      </c>
      <c r="C2" s="4" t="s">
        <v>469</v>
      </c>
      <c r="D2" s="4" t="s">
        <v>109</v>
      </c>
      <c r="E2" s="10" t="n">
        <v>2</v>
      </c>
      <c r="F2" s="10" t="n">
        <v>1.2</v>
      </c>
      <c r="G2" s="10" t="n">
        <v>2.4</v>
      </c>
      <c r="H2" s="5" t="n">
        <v>6.8</v>
      </c>
      <c r="I2" s="3" t="n">
        <v>0</v>
      </c>
      <c r="J2" s="4" t="s">
        <v>30</v>
      </c>
    </row>
    <row r="3" customFormat="false" ht="15" hidden="false" customHeight="false" outlineLevel="0" collapsed="false">
      <c r="A3" s="4" t="s">
        <v>470</v>
      </c>
      <c r="B3" s="4" t="s">
        <v>471</v>
      </c>
      <c r="C3" s="4" t="s">
        <v>469</v>
      </c>
      <c r="D3" s="4" t="s">
        <v>109</v>
      </c>
      <c r="E3" s="10" t="n">
        <v>1</v>
      </c>
      <c r="H3" s="5" t="n">
        <v>6.8</v>
      </c>
      <c r="I3" s="3" t="n">
        <v>0</v>
      </c>
      <c r="J3" s="4" t="s">
        <v>30</v>
      </c>
    </row>
    <row r="4" customFormat="false" ht="15" hidden="false" customHeight="false" outlineLevel="0" collapsed="false">
      <c r="A4" s="4" t="s">
        <v>472</v>
      </c>
      <c r="B4" s="4" t="s">
        <v>473</v>
      </c>
      <c r="C4" s="4" t="s">
        <v>469</v>
      </c>
      <c r="D4" s="4" t="s">
        <v>109</v>
      </c>
      <c r="E4" s="10" t="n">
        <v>1.5</v>
      </c>
      <c r="H4" s="5" t="n">
        <v>6.8</v>
      </c>
      <c r="I4" s="3" t="n">
        <v>0</v>
      </c>
      <c r="J4" s="4" t="s">
        <v>30</v>
      </c>
    </row>
    <row r="5" customFormat="false" ht="15" hidden="false" customHeight="false" outlineLevel="0" collapsed="false">
      <c r="A5" s="4" t="s">
        <v>474</v>
      </c>
      <c r="B5" s="4" t="s">
        <v>475</v>
      </c>
      <c r="C5" s="4" t="s">
        <v>469</v>
      </c>
      <c r="D5" s="4" t="s">
        <v>109</v>
      </c>
      <c r="E5" s="10" t="n">
        <v>0.6</v>
      </c>
      <c r="H5" s="5" t="n">
        <v>6.8</v>
      </c>
      <c r="I5" s="3" t="n">
        <v>0</v>
      </c>
      <c r="J5" s="4" t="s">
        <v>30</v>
      </c>
    </row>
    <row r="6" customFormat="false" ht="15" hidden="false" customHeight="false" outlineLevel="0" collapsed="false">
      <c r="A6" s="4" t="s">
        <v>476</v>
      </c>
      <c r="B6" s="4" t="s">
        <v>477</v>
      </c>
      <c r="C6" s="4" t="s">
        <v>469</v>
      </c>
      <c r="D6" s="4" t="s">
        <v>109</v>
      </c>
      <c r="E6" s="10" t="n">
        <v>0.8</v>
      </c>
      <c r="H6" s="5" t="n">
        <v>6.8</v>
      </c>
      <c r="I6" s="3" t="n">
        <v>0</v>
      </c>
      <c r="J6" s="4" t="s">
        <v>30</v>
      </c>
    </row>
    <row r="7" customFormat="false" ht="15" hidden="false" customHeight="false" outlineLevel="0" collapsed="false">
      <c r="A7" s="4" t="s">
        <v>478</v>
      </c>
      <c r="B7" s="4" t="s">
        <v>479</v>
      </c>
      <c r="C7" s="4" t="s">
        <v>469</v>
      </c>
      <c r="D7" s="4" t="s">
        <v>109</v>
      </c>
      <c r="E7" s="10" t="n">
        <v>1.2</v>
      </c>
      <c r="H7" s="5" t="n">
        <v>6.8</v>
      </c>
      <c r="I7" s="3" t="n">
        <v>0</v>
      </c>
      <c r="J7" s="4" t="s">
        <v>30</v>
      </c>
    </row>
    <row r="8" customFormat="false" ht="15" hidden="false" customHeight="false" outlineLevel="0" collapsed="false">
      <c r="A8" s="4" t="s">
        <v>480</v>
      </c>
      <c r="B8" s="4" t="s">
        <v>481</v>
      </c>
      <c r="C8" s="4" t="s">
        <v>482</v>
      </c>
      <c r="D8" s="4" t="s">
        <v>79</v>
      </c>
      <c r="H8" s="5" t="n">
        <v>6.1</v>
      </c>
      <c r="I8" s="3" t="n">
        <v>1</v>
      </c>
      <c r="J8" s="4" t="s">
        <v>30</v>
      </c>
    </row>
    <row r="9" customFormat="false" ht="15" hidden="false" customHeight="false" outlineLevel="0" collapsed="false">
      <c r="A9" s="4" t="s">
        <v>483</v>
      </c>
      <c r="B9" s="4" t="s">
        <v>484</v>
      </c>
      <c r="C9" s="4" t="s">
        <v>485</v>
      </c>
      <c r="D9" s="4" t="s">
        <v>17</v>
      </c>
      <c r="H9" s="5" t="n">
        <v>0.9</v>
      </c>
      <c r="I9" s="3" t="n">
        <v>1</v>
      </c>
      <c r="J9" s="4" t="s">
        <v>30</v>
      </c>
    </row>
    <row r="10" customFormat="false" ht="15" hidden="false" customHeight="false" outlineLevel="0" collapsed="false">
      <c r="A10" s="4" t="s">
        <v>486</v>
      </c>
      <c r="B10" s="4" t="s">
        <v>487</v>
      </c>
      <c r="C10" s="4" t="s">
        <v>488</v>
      </c>
      <c r="D10" s="4" t="s">
        <v>17</v>
      </c>
      <c r="E10" s="10" t="n">
        <v>18</v>
      </c>
      <c r="I10" s="3" t="n">
        <v>0</v>
      </c>
      <c r="J10" s="4" t="s">
        <v>145</v>
      </c>
    </row>
    <row r="11" customFormat="false" ht="15" hidden="false" customHeight="false" outlineLevel="0" collapsed="false">
      <c r="A11" s="4" t="s">
        <v>489</v>
      </c>
      <c r="B11" s="4" t="s">
        <v>490</v>
      </c>
      <c r="C11" s="4" t="s">
        <v>488</v>
      </c>
      <c r="D11" s="4" t="s">
        <v>17</v>
      </c>
      <c r="I11" s="3" t="n">
        <v>1</v>
      </c>
      <c r="J11" s="4" t="s">
        <v>145</v>
      </c>
    </row>
    <row r="12" customFormat="false" ht="15" hidden="false" customHeight="false" outlineLevel="0" collapsed="false">
      <c r="A12" s="4" t="s">
        <v>491</v>
      </c>
      <c r="B12" s="4" t="s">
        <v>492</v>
      </c>
      <c r="C12" s="4" t="s">
        <v>493</v>
      </c>
      <c r="D12" s="4" t="s">
        <v>109</v>
      </c>
      <c r="I12" s="3" t="n">
        <v>0</v>
      </c>
      <c r="J12" s="4" t="s">
        <v>145</v>
      </c>
    </row>
    <row r="13" customFormat="false" ht="15" hidden="false" customHeight="false" outlineLevel="0" collapsed="false">
      <c r="A13" s="4" t="s">
        <v>494</v>
      </c>
      <c r="B13" s="4" t="s">
        <v>495</v>
      </c>
      <c r="C13" s="4" t="s">
        <v>493</v>
      </c>
      <c r="D13" s="4" t="s">
        <v>109</v>
      </c>
      <c r="I13" s="3" t="n">
        <v>0</v>
      </c>
      <c r="J13" s="4" t="s">
        <v>145</v>
      </c>
    </row>
    <row r="14" customFormat="false" ht="15" hidden="false" customHeight="false" outlineLevel="0" collapsed="false">
      <c r="A14" s="4" t="s">
        <v>496</v>
      </c>
      <c r="B14" s="4" t="s">
        <v>497</v>
      </c>
      <c r="C14" s="4" t="s">
        <v>498</v>
      </c>
      <c r="D14" s="4" t="s">
        <v>499</v>
      </c>
      <c r="I14" s="3" t="n">
        <v>0</v>
      </c>
      <c r="J14" s="4" t="s">
        <v>145</v>
      </c>
    </row>
    <row r="15" customFormat="false" ht="15" hidden="false" customHeight="false" outlineLevel="0" collapsed="false">
      <c r="A15" s="4" t="s">
        <v>500</v>
      </c>
      <c r="B15" s="4" t="s">
        <v>501</v>
      </c>
      <c r="C15" s="4" t="s">
        <v>502</v>
      </c>
      <c r="D15" s="4" t="s">
        <v>17</v>
      </c>
      <c r="I15" s="3" t="n">
        <v>0</v>
      </c>
      <c r="J15" s="4" t="s">
        <v>145</v>
      </c>
    </row>
    <row r="16" customFormat="false" ht="15" hidden="false" customHeight="false" outlineLevel="0" collapsed="false">
      <c r="A16" s="4" t="s">
        <v>503</v>
      </c>
      <c r="B16" s="4" t="s">
        <v>504</v>
      </c>
      <c r="C16" s="4" t="s">
        <v>502</v>
      </c>
      <c r="D16" s="4" t="s">
        <v>17</v>
      </c>
      <c r="I16" s="3" t="n">
        <v>0</v>
      </c>
      <c r="J16" s="4" t="s">
        <v>145</v>
      </c>
    </row>
    <row r="17" customFormat="false" ht="15" hidden="false" customHeight="false" outlineLevel="0" collapsed="false">
      <c r="A17" s="4" t="s">
        <v>505</v>
      </c>
      <c r="B17" s="4" t="s">
        <v>506</v>
      </c>
      <c r="C17" s="4" t="s">
        <v>507</v>
      </c>
      <c r="D17" s="4" t="s">
        <v>109</v>
      </c>
      <c r="I17" s="3" t="n">
        <v>0</v>
      </c>
      <c r="J17" s="4" t="s">
        <v>145</v>
      </c>
    </row>
    <row r="18" customFormat="false" ht="15" hidden="false" customHeight="false" outlineLevel="0" collapsed="false">
      <c r="A18" s="4" t="s">
        <v>508</v>
      </c>
      <c r="B18" s="4" t="s">
        <v>509</v>
      </c>
      <c r="C18" s="4" t="s">
        <v>507</v>
      </c>
      <c r="D18" s="4" t="s">
        <v>109</v>
      </c>
      <c r="I18" s="3" t="n">
        <v>0</v>
      </c>
      <c r="J18" s="4" t="s">
        <v>145</v>
      </c>
    </row>
    <row r="19" customFormat="false" ht="15" hidden="false" customHeight="false" outlineLevel="0" collapsed="false">
      <c r="A19" s="4" t="s">
        <v>510</v>
      </c>
      <c r="B19" s="4" t="s">
        <v>511</v>
      </c>
      <c r="C19" s="4" t="s">
        <v>507</v>
      </c>
      <c r="D19" s="4" t="s">
        <v>512</v>
      </c>
      <c r="I19" s="3" t="n">
        <v>0</v>
      </c>
      <c r="J19" s="4" t="s">
        <v>145</v>
      </c>
    </row>
    <row r="20" customFormat="false" ht="15" hidden="false" customHeight="false" outlineLevel="0" collapsed="false">
      <c r="A20" s="4" t="s">
        <v>513</v>
      </c>
      <c r="B20" s="4" t="s">
        <v>514</v>
      </c>
      <c r="C20" s="4" t="s">
        <v>482</v>
      </c>
      <c r="D20" s="4" t="s">
        <v>79</v>
      </c>
      <c r="I20" s="3" t="n">
        <v>0</v>
      </c>
      <c r="J20" s="4" t="s">
        <v>145</v>
      </c>
    </row>
    <row r="21" customFormat="false" ht="15" hidden="false" customHeight="false" outlineLevel="0" collapsed="false">
      <c r="A21" s="4" t="s">
        <v>515</v>
      </c>
      <c r="B21" s="4" t="s">
        <v>516</v>
      </c>
      <c r="C21" s="4" t="s">
        <v>482</v>
      </c>
      <c r="D21" s="4" t="s">
        <v>79</v>
      </c>
      <c r="I21" s="3" t="n">
        <v>0</v>
      </c>
      <c r="J21" s="4" t="s">
        <v>145</v>
      </c>
    </row>
    <row r="22" customFormat="false" ht="15" hidden="false" customHeight="false" outlineLevel="0" collapsed="false">
      <c r="A22" s="4" t="s">
        <v>517</v>
      </c>
      <c r="B22" s="4" t="s">
        <v>518</v>
      </c>
      <c r="C22" s="4" t="s">
        <v>482</v>
      </c>
      <c r="D22" s="4" t="s">
        <v>79</v>
      </c>
      <c r="I22" s="3" t="n">
        <v>0</v>
      </c>
      <c r="J22" s="4" t="s">
        <v>145</v>
      </c>
    </row>
    <row r="23" customFormat="false" ht="15" hidden="false" customHeight="false" outlineLevel="0" collapsed="false">
      <c r="A23" s="4" t="s">
        <v>519</v>
      </c>
      <c r="B23" s="4" t="s">
        <v>520</v>
      </c>
      <c r="C23" s="4" t="s">
        <v>482</v>
      </c>
      <c r="D23" s="4" t="s">
        <v>79</v>
      </c>
      <c r="I23" s="3" t="n">
        <v>0</v>
      </c>
      <c r="J23" s="4" t="s">
        <v>145</v>
      </c>
    </row>
    <row r="24" customFormat="false" ht="15" hidden="false" customHeight="false" outlineLevel="0" collapsed="false">
      <c r="A24" s="4" t="s">
        <v>521</v>
      </c>
      <c r="B24" s="4" t="s">
        <v>522</v>
      </c>
      <c r="C24" s="4" t="s">
        <v>523</v>
      </c>
      <c r="D24" s="4" t="s">
        <v>17</v>
      </c>
      <c r="I24" s="3" t="n">
        <v>0</v>
      </c>
      <c r="J24" s="4" t="s">
        <v>145</v>
      </c>
    </row>
    <row r="25" customFormat="false" ht="15" hidden="false" customHeight="false" outlineLevel="0" collapsed="false">
      <c r="A25" s="4" t="s">
        <v>524</v>
      </c>
      <c r="B25" s="4" t="s">
        <v>525</v>
      </c>
      <c r="C25" s="4" t="s">
        <v>523</v>
      </c>
      <c r="D25" s="4" t="s">
        <v>17</v>
      </c>
      <c r="I25" s="3" t="n">
        <v>0</v>
      </c>
      <c r="J25" s="4" t="s">
        <v>145</v>
      </c>
    </row>
    <row r="26" customFormat="false" ht="15" hidden="false" customHeight="false" outlineLevel="0" collapsed="false">
      <c r="A26" s="4" t="s">
        <v>526</v>
      </c>
      <c r="B26" s="4" t="s">
        <v>527</v>
      </c>
      <c r="C26" s="4" t="s">
        <v>523</v>
      </c>
      <c r="D26" s="4" t="s">
        <v>17</v>
      </c>
      <c r="I26" s="3" t="n">
        <v>0</v>
      </c>
      <c r="J26" s="4" t="s">
        <v>145</v>
      </c>
    </row>
    <row r="27" customFormat="false" ht="15" hidden="false" customHeight="false" outlineLevel="0" collapsed="false">
      <c r="A27" s="4" t="s">
        <v>528</v>
      </c>
      <c r="B27" s="4" t="s">
        <v>529</v>
      </c>
      <c r="C27" s="4" t="s">
        <v>523</v>
      </c>
      <c r="D27" s="4" t="s">
        <v>17</v>
      </c>
      <c r="I27" s="3" t="n">
        <v>0</v>
      </c>
      <c r="J27" s="4" t="s">
        <v>145</v>
      </c>
    </row>
    <row r="28" customFormat="false" ht="15" hidden="false" customHeight="false" outlineLevel="0" collapsed="false">
      <c r="A28" s="4" t="s">
        <v>530</v>
      </c>
      <c r="B28" s="4" t="s">
        <v>531</v>
      </c>
      <c r="C28" s="4" t="s">
        <v>523</v>
      </c>
      <c r="D28" s="4" t="s">
        <v>17</v>
      </c>
      <c r="I28" s="3" t="n">
        <v>0</v>
      </c>
      <c r="J28" s="4" t="s">
        <v>145</v>
      </c>
    </row>
    <row r="29" customFormat="false" ht="15" hidden="false" customHeight="false" outlineLevel="0" collapsed="false">
      <c r="A29" s="4" t="s">
        <v>532</v>
      </c>
      <c r="B29" s="4" t="s">
        <v>533</v>
      </c>
      <c r="C29" s="4" t="s">
        <v>523</v>
      </c>
      <c r="D29" s="4" t="s">
        <v>17</v>
      </c>
      <c r="I29" s="3" t="n">
        <v>0</v>
      </c>
      <c r="J29" s="4" t="s">
        <v>145</v>
      </c>
    </row>
    <row r="30" customFormat="false" ht="15" hidden="false" customHeight="false" outlineLevel="0" collapsed="false">
      <c r="A30" s="4" t="s">
        <v>534</v>
      </c>
      <c r="B30" s="4" t="s">
        <v>535</v>
      </c>
      <c r="C30" s="4" t="s">
        <v>523</v>
      </c>
      <c r="D30" s="4" t="s">
        <v>17</v>
      </c>
      <c r="I30" s="3" t="n">
        <v>0</v>
      </c>
      <c r="J30" s="4" t="s">
        <v>145</v>
      </c>
    </row>
    <row r="31" customFormat="false" ht="15" hidden="false" customHeight="false" outlineLevel="0" collapsed="false">
      <c r="A31" s="4" t="s">
        <v>536</v>
      </c>
      <c r="B31" s="4" t="s">
        <v>537</v>
      </c>
      <c r="C31" s="4" t="s">
        <v>485</v>
      </c>
      <c r="D31" s="4" t="s">
        <v>17</v>
      </c>
      <c r="I31" s="3" t="n">
        <v>0</v>
      </c>
      <c r="J31" s="4" t="s">
        <v>145</v>
      </c>
    </row>
    <row r="32" customFormat="false" ht="15" hidden="false" customHeight="false" outlineLevel="0" collapsed="false">
      <c r="A32" s="4" t="s">
        <v>538</v>
      </c>
      <c r="B32" s="4" t="s">
        <v>539</v>
      </c>
      <c r="C32" s="4" t="s">
        <v>485</v>
      </c>
      <c r="D32" s="4" t="s">
        <v>17</v>
      </c>
      <c r="I32" s="3" t="n">
        <v>0</v>
      </c>
      <c r="J32" s="4" t="s">
        <v>145</v>
      </c>
    </row>
    <row r="33" customFormat="false" ht="15" hidden="false" customHeight="false" outlineLevel="0" collapsed="false">
      <c r="A33" s="4" t="s">
        <v>540</v>
      </c>
      <c r="B33" s="4" t="s">
        <v>541</v>
      </c>
      <c r="C33" s="4" t="s">
        <v>485</v>
      </c>
      <c r="D33" s="4" t="s">
        <v>17</v>
      </c>
      <c r="I33" s="3" t="n">
        <v>0</v>
      </c>
      <c r="J33" s="4" t="s">
        <v>145</v>
      </c>
    </row>
    <row r="34" customFormat="false" ht="15" hidden="false" customHeight="false" outlineLevel="0" collapsed="false">
      <c r="A34" s="4" t="s">
        <v>542</v>
      </c>
      <c r="B34" s="4" t="s">
        <v>543</v>
      </c>
      <c r="C34" s="4" t="s">
        <v>544</v>
      </c>
      <c r="D34" s="4" t="s">
        <v>17</v>
      </c>
      <c r="I34" s="3" t="n">
        <v>0</v>
      </c>
      <c r="J34" s="4" t="s">
        <v>145</v>
      </c>
    </row>
    <row r="35" customFormat="false" ht="15" hidden="false" customHeight="false" outlineLevel="0" collapsed="false">
      <c r="A35" s="4" t="s">
        <v>545</v>
      </c>
      <c r="B35" s="4" t="s">
        <v>546</v>
      </c>
      <c r="C35" s="4" t="s">
        <v>544</v>
      </c>
      <c r="D35" s="4" t="s">
        <v>17</v>
      </c>
      <c r="I35" s="3" t="n">
        <v>0</v>
      </c>
      <c r="J35" s="4" t="s">
        <v>145</v>
      </c>
    </row>
    <row r="36" customFormat="false" ht="15" hidden="false" customHeight="false" outlineLevel="0" collapsed="false">
      <c r="A36" s="4" t="s">
        <v>547</v>
      </c>
      <c r="B36" s="4" t="s">
        <v>548</v>
      </c>
      <c r="C36" s="4" t="s">
        <v>544</v>
      </c>
      <c r="D36" s="4" t="s">
        <v>17</v>
      </c>
      <c r="I36" s="3" t="n">
        <v>0</v>
      </c>
      <c r="J36" s="4" t="s">
        <v>145</v>
      </c>
    </row>
    <row r="37" customFormat="false" ht="15" hidden="false" customHeight="false" outlineLevel="0" collapsed="false">
      <c r="A37" s="4" t="s">
        <v>549</v>
      </c>
      <c r="B37" s="4" t="s">
        <v>550</v>
      </c>
      <c r="C37" s="4" t="s">
        <v>544</v>
      </c>
      <c r="D37" s="4" t="s">
        <v>17</v>
      </c>
      <c r="I37" s="3" t="n">
        <v>0</v>
      </c>
      <c r="J37" s="4" t="s">
        <v>145</v>
      </c>
    </row>
    <row r="38" customFormat="false" ht="15" hidden="false" customHeight="false" outlineLevel="0" collapsed="false">
      <c r="A38" s="4" t="s">
        <v>551</v>
      </c>
      <c r="B38" s="4" t="s">
        <v>552</v>
      </c>
      <c r="C38" s="4" t="s">
        <v>544</v>
      </c>
      <c r="D38" s="4" t="s">
        <v>17</v>
      </c>
      <c r="I38" s="3" t="n">
        <v>0</v>
      </c>
      <c r="J38" s="4" t="s">
        <v>145</v>
      </c>
    </row>
    <row r="39" customFormat="false" ht="15" hidden="false" customHeight="false" outlineLevel="0" collapsed="false">
      <c r="A39" s="4" t="s">
        <v>553</v>
      </c>
      <c r="B39" s="4" t="s">
        <v>554</v>
      </c>
      <c r="C39" s="4" t="s">
        <v>555</v>
      </c>
      <c r="D39" s="4" t="s">
        <v>17</v>
      </c>
      <c r="I39" s="3" t="n">
        <v>0</v>
      </c>
      <c r="J39" s="4" t="s">
        <v>145</v>
      </c>
    </row>
    <row r="40" customFormat="false" ht="15" hidden="false" customHeight="false" outlineLevel="0" collapsed="false">
      <c r="A40" s="4" t="s">
        <v>556</v>
      </c>
      <c r="B40" s="4" t="s">
        <v>557</v>
      </c>
      <c r="C40" s="4" t="s">
        <v>555</v>
      </c>
      <c r="D40" s="4" t="s">
        <v>79</v>
      </c>
      <c r="I40" s="3" t="n">
        <v>0</v>
      </c>
      <c r="J40" s="4" t="s">
        <v>145</v>
      </c>
    </row>
    <row r="41" customFormat="false" ht="15" hidden="false" customHeight="false" outlineLevel="0" collapsed="false">
      <c r="A41" s="4" t="s">
        <v>558</v>
      </c>
      <c r="B41" s="4" t="s">
        <v>559</v>
      </c>
      <c r="C41" s="4" t="s">
        <v>555</v>
      </c>
      <c r="D41" s="4" t="s">
        <v>560</v>
      </c>
      <c r="I41" s="3" t="n">
        <v>0</v>
      </c>
      <c r="J41" s="4" t="s">
        <v>145</v>
      </c>
    </row>
    <row r="42" customFormat="false" ht="15" hidden="false" customHeight="false" outlineLevel="0" collapsed="false">
      <c r="A42" s="4" t="s">
        <v>561</v>
      </c>
      <c r="B42" s="4" t="s">
        <v>562</v>
      </c>
      <c r="C42" s="4" t="s">
        <v>563</v>
      </c>
      <c r="D42" s="4" t="s">
        <v>564</v>
      </c>
      <c r="I42" s="3" t="n">
        <v>0</v>
      </c>
      <c r="J42" s="4" t="s">
        <v>145</v>
      </c>
    </row>
  </sheetData>
  <autoFilter ref="A1:J42"/>
  <dataValidations count="2">
    <dataValidation allowBlank="true" error="Debe ser un número mayor o igual que el mínimo." errorStyle="stop" operator="greaterThanOrEqual" showDropDown="false" showErrorMessage="true" showInputMessage="false" sqref="H2:H42" type="decimal">
      <formula1>0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J2:J42" type="list">
      <formula1>"REAL,REFERENCIA,CALCULADO,ESTIMADO,SIMULADO,CONFIGURACION,PENDIENTE"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N2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9" min="6" style="0" width="10"/>
    <col collapsed="false" customWidth="true" hidden="false" outlineLevel="0" max="11" min="10" style="0" width="12"/>
    <col collapsed="false" customWidth="true" hidden="false" outlineLevel="0" max="12" min="12" style="0" width="14"/>
    <col collapsed="false" customWidth="true" hidden="false" outlineLevel="0" max="14" min="13" style="0" width="12"/>
  </cols>
  <sheetData>
    <row r="1" customFormat="false" ht="31.5" hidden="false" customHeight="true" outlineLevel="0" collapsed="false">
      <c r="A1" s="1" t="s">
        <v>89</v>
      </c>
      <c r="B1" s="1" t="s">
        <v>39</v>
      </c>
      <c r="C1" s="1" t="s">
        <v>92</v>
      </c>
      <c r="D1" s="1" t="s">
        <v>67</v>
      </c>
      <c r="E1" s="1" t="s">
        <v>95</v>
      </c>
      <c r="F1" s="1" t="s">
        <v>97</v>
      </c>
      <c r="G1" s="1" t="s">
        <v>100</v>
      </c>
      <c r="H1" s="1" t="s">
        <v>102</v>
      </c>
      <c r="I1" s="1" t="s">
        <v>103</v>
      </c>
      <c r="J1" s="1" t="s">
        <v>105</v>
      </c>
      <c r="K1" s="1" t="s">
        <v>108</v>
      </c>
      <c r="L1" s="1" t="s">
        <v>112</v>
      </c>
      <c r="M1" s="1" t="s">
        <v>114</v>
      </c>
      <c r="N1" s="1" t="s">
        <v>5</v>
      </c>
    </row>
    <row r="2" customFormat="false" ht="15" hidden="false" customHeight="false" outlineLevel="0" collapsed="false">
      <c r="A2" s="4" t="s">
        <v>565</v>
      </c>
      <c r="B2" s="4" t="s">
        <v>340</v>
      </c>
      <c r="C2" s="4" t="s">
        <v>566</v>
      </c>
      <c r="D2" s="4" t="s">
        <v>480</v>
      </c>
      <c r="E2" s="4" t="s">
        <v>567</v>
      </c>
      <c r="F2" s="3" t="n">
        <v>4</v>
      </c>
      <c r="I2" s="11" t="n">
        <v>1.8</v>
      </c>
      <c r="K2" s="12" t="n">
        <f aca="false">IF(E2="CHAPA_AREA",F2*J2*INDEX('03_MATERIALES'!$E$2:$E$42,MATCH(D2,'03_MATERIALES'!$A$2:$A$42,0))/1000*p_densidad_acero,IF(E2="PERFIL_LONGITUD",F2*I2*p_kg_por_m_perfil,""))</f>
        <v>10.8</v>
      </c>
      <c r="L2" s="6" t="n">
        <f aca="false">IF(E2="CHAPA_AREA",K2*INDEX('03_MATERIALES'!$H$2:$H$42,MATCH(D2,'03_MATERIALES'!$A$2:$A$42,0))/p_aprovechamiento_chapa,IF(E2="PERFIL_LONGITUD",K2*INDEX('03_MATERIALES'!$H$2:$H$42,MATCH(D2,'03_MATERIALES'!$A$2:$A$42,0))/p_aprovechamiento_perfil,IF(E2="UNIDAD",F2*INDEX('03_MATERIALES'!$H$2:$H$42,MATCH(D2,'03_MATERIALES'!$A$2:$A$42,0)),"")))</f>
        <v>68.625</v>
      </c>
      <c r="M2" s="12" t="str">
        <f aca="false">IF(N(J2)&gt;0,F2*J2/p_area_plancha_m2,"")</f>
        <v/>
      </c>
      <c r="N2" s="4" t="s">
        <v>30</v>
      </c>
    </row>
    <row r="3" customFormat="false" ht="15" hidden="false" customHeight="false" outlineLevel="0" collapsed="false">
      <c r="A3" s="4" t="s">
        <v>568</v>
      </c>
      <c r="B3" s="4" t="s">
        <v>340</v>
      </c>
      <c r="C3" s="4" t="s">
        <v>569</v>
      </c>
      <c r="D3" s="4" t="s">
        <v>480</v>
      </c>
      <c r="E3" s="4" t="s">
        <v>567</v>
      </c>
      <c r="F3" s="3" t="n">
        <v>8</v>
      </c>
      <c r="I3" s="11" t="n">
        <v>1.2</v>
      </c>
      <c r="K3" s="12" t="n">
        <f aca="false">IF(E3="CHAPA_AREA",F3*J3*INDEX('03_MATERIALES'!$E$2:$E$42,MATCH(D3,'03_MATERIALES'!$A$2:$A$42,0))/1000*p_densidad_acero,IF(E3="PERFIL_LONGITUD",F3*I3*p_kg_por_m_perfil,""))</f>
        <v>14.4</v>
      </c>
      <c r="L3" s="6" t="n">
        <f aca="false">IF(E3="CHAPA_AREA",K3*INDEX('03_MATERIALES'!$H$2:$H$42,MATCH(D3,'03_MATERIALES'!$A$2:$A$42,0))/p_aprovechamiento_chapa,IF(E3="PERFIL_LONGITUD",K3*INDEX('03_MATERIALES'!$H$2:$H$42,MATCH(D3,'03_MATERIALES'!$A$2:$A$42,0))/p_aprovechamiento_perfil,IF(E3="UNIDAD",F3*INDEX('03_MATERIALES'!$H$2:$H$42,MATCH(D3,'03_MATERIALES'!$A$2:$A$42,0)),"")))</f>
        <v>91.5</v>
      </c>
      <c r="M3" s="12" t="str">
        <f aca="false">IF(N(J3)&gt;0,F3*J3/p_area_plancha_m2,"")</f>
        <v/>
      </c>
      <c r="N3" s="4" t="s">
        <v>30</v>
      </c>
    </row>
    <row r="4" customFormat="false" ht="15" hidden="false" customHeight="false" outlineLevel="0" collapsed="false">
      <c r="A4" s="4" t="s">
        <v>570</v>
      </c>
      <c r="B4" s="4" t="s">
        <v>340</v>
      </c>
      <c r="C4" s="4" t="s">
        <v>571</v>
      </c>
      <c r="D4" s="4" t="s">
        <v>480</v>
      </c>
      <c r="E4" s="4" t="s">
        <v>567</v>
      </c>
      <c r="F4" s="3" t="n">
        <v>4</v>
      </c>
      <c r="I4" s="11" t="n">
        <v>0.6</v>
      </c>
      <c r="K4" s="12" t="n">
        <f aca="false">IF(E4="CHAPA_AREA",F4*J4*INDEX('03_MATERIALES'!$E$2:$E$42,MATCH(D4,'03_MATERIALES'!$A$2:$A$42,0))/1000*p_densidad_acero,IF(E4="PERFIL_LONGITUD",F4*I4*p_kg_por_m_perfil,""))</f>
        <v>3.6</v>
      </c>
      <c r="L4" s="6" t="n">
        <f aca="false">IF(E4="CHAPA_AREA",K4*INDEX('03_MATERIALES'!$H$2:$H$42,MATCH(D4,'03_MATERIALES'!$A$2:$A$42,0))/p_aprovechamiento_chapa,IF(E4="PERFIL_LONGITUD",K4*INDEX('03_MATERIALES'!$H$2:$H$42,MATCH(D4,'03_MATERIALES'!$A$2:$A$42,0))/p_aprovechamiento_perfil,IF(E4="UNIDAD",F4*INDEX('03_MATERIALES'!$H$2:$H$42,MATCH(D4,'03_MATERIALES'!$A$2:$A$42,0)),"")))</f>
        <v>22.875</v>
      </c>
      <c r="M4" s="12" t="str">
        <f aca="false">IF(N(J4)&gt;0,F4*J4/p_area_plancha_m2,"")</f>
        <v/>
      </c>
      <c r="N4" s="4" t="s">
        <v>30</v>
      </c>
    </row>
    <row r="5" customFormat="false" ht="15" hidden="false" customHeight="false" outlineLevel="0" collapsed="false">
      <c r="A5" s="4" t="s">
        <v>572</v>
      </c>
      <c r="B5" s="4" t="s">
        <v>340</v>
      </c>
      <c r="C5" s="4" t="s">
        <v>573</v>
      </c>
      <c r="D5" s="4" t="s">
        <v>467</v>
      </c>
      <c r="E5" s="4" t="s">
        <v>574</v>
      </c>
      <c r="F5" s="3" t="n">
        <v>4</v>
      </c>
      <c r="J5" s="13" t="n">
        <v>0.72</v>
      </c>
      <c r="K5" s="12" t="n">
        <f aca="false">IF(E5="CHAPA_AREA",F5*J5*INDEX('03_MATERIALES'!$E$2:$E$42,MATCH(D5,'03_MATERIALES'!$A$2:$A$42,0))/1000*p_densidad_acero,IF(E5="PERFIL_LONGITUD",F5*I5*p_kg_por_m_perfil,""))</f>
        <v>45.216</v>
      </c>
      <c r="L5" s="6" t="n">
        <f aca="false">IF(E5="CHAPA_AREA",K5*INDEX('03_MATERIALES'!$H$2:$H$42,MATCH(D5,'03_MATERIALES'!$A$2:$A$42,0))/p_aprovechamiento_chapa,IF(E5="PERFIL_LONGITUD",K5*INDEX('03_MATERIALES'!$H$2:$H$42,MATCH(D5,'03_MATERIALES'!$A$2:$A$42,0))/p_aprovechamiento_perfil,IF(E5="UNIDAD",F5*INDEX('03_MATERIALES'!$H$2:$H$42,MATCH(D5,'03_MATERIALES'!$A$2:$A$42,0)),"")))</f>
        <v>334.205217391304</v>
      </c>
      <c r="M5" s="12" t="n">
        <f aca="false">IF(N(J5)&gt;0,F5*J5/p_area_plancha_m2,"")</f>
        <v>1</v>
      </c>
      <c r="N5" s="4" t="s">
        <v>30</v>
      </c>
    </row>
    <row r="6" customFormat="false" ht="15" hidden="false" customHeight="false" outlineLevel="0" collapsed="false">
      <c r="A6" s="4" t="s">
        <v>575</v>
      </c>
      <c r="B6" s="4" t="s">
        <v>340</v>
      </c>
      <c r="C6" s="4" t="s">
        <v>576</v>
      </c>
      <c r="D6" s="4" t="s">
        <v>467</v>
      </c>
      <c r="E6" s="4" t="s">
        <v>574</v>
      </c>
      <c r="F6" s="3" t="n">
        <v>8</v>
      </c>
      <c r="J6" s="13" t="n">
        <v>0.025</v>
      </c>
      <c r="K6" s="12" t="n">
        <f aca="false">IF(E6="CHAPA_AREA",F6*J6*INDEX('03_MATERIALES'!$E$2:$E$42,MATCH(D6,'03_MATERIALES'!$A$2:$A$42,0))/1000*p_densidad_acero,IF(E6="PERFIL_LONGITUD",F6*I6*p_kg_por_m_perfil,""))</f>
        <v>3.14</v>
      </c>
      <c r="L6" s="6" t="n">
        <f aca="false">IF(E6="CHAPA_AREA",K6*INDEX('03_MATERIALES'!$H$2:$H$42,MATCH(D6,'03_MATERIALES'!$A$2:$A$42,0))/p_aprovechamiento_chapa,IF(E6="PERFIL_LONGITUD",K6*INDEX('03_MATERIALES'!$H$2:$H$42,MATCH(D6,'03_MATERIALES'!$A$2:$A$42,0))/p_aprovechamiento_perfil,IF(E6="UNIDAD",F6*INDEX('03_MATERIALES'!$H$2:$H$42,MATCH(D6,'03_MATERIALES'!$A$2:$A$42,0)),"")))</f>
        <v>23.2086956521739</v>
      </c>
      <c r="M6" s="12" t="n">
        <f aca="false">IF(N(J6)&gt;0,F6*J6/p_area_plancha_m2,"")</f>
        <v>0.0694444444444445</v>
      </c>
      <c r="N6" s="4" t="s">
        <v>30</v>
      </c>
    </row>
    <row r="7" customFormat="false" ht="15" hidden="false" customHeight="false" outlineLevel="0" collapsed="false">
      <c r="A7" s="4" t="s">
        <v>577</v>
      </c>
      <c r="B7" s="4" t="s">
        <v>340</v>
      </c>
      <c r="C7" s="4" t="s">
        <v>578</v>
      </c>
      <c r="D7" s="4" t="s">
        <v>483</v>
      </c>
      <c r="E7" s="4" t="s">
        <v>579</v>
      </c>
      <c r="F7" s="3" t="n">
        <v>24</v>
      </c>
      <c r="K7" s="12" t="str">
        <f aca="false">IF(E7="CHAPA_AREA",F7*J7*INDEX('03_MATERIALES'!$E$2:$E$42,MATCH(D7,'03_MATERIALES'!$A$2:$A$42,0))/1000*p_densidad_acero,IF(E7="PERFIL_LONGITUD",F7*I7*p_kg_por_m_perfil,""))</f>
        <v/>
      </c>
      <c r="L7" s="6" t="n">
        <f aca="false">IF(E7="CHAPA_AREA",K7*INDEX('03_MATERIALES'!$H$2:$H$42,MATCH(D7,'03_MATERIALES'!$A$2:$A$42,0))/p_aprovechamiento_chapa,IF(E7="PERFIL_LONGITUD",K7*INDEX('03_MATERIALES'!$H$2:$H$42,MATCH(D7,'03_MATERIALES'!$A$2:$A$42,0))/p_aprovechamiento_perfil,IF(E7="UNIDAD",F7*INDEX('03_MATERIALES'!$H$2:$H$42,MATCH(D7,'03_MATERIALES'!$A$2:$A$42,0)),"")))</f>
        <v>21.6</v>
      </c>
      <c r="M7" s="12" t="str">
        <f aca="false">IF(N(J7)&gt;0,F7*J7/p_area_plancha_m2,"")</f>
        <v/>
      </c>
      <c r="N7" s="4" t="s">
        <v>30</v>
      </c>
    </row>
    <row r="8" customFormat="false" ht="15" hidden="false" customHeight="false" outlineLevel="0" collapsed="false">
      <c r="A8" s="4" t="s">
        <v>580</v>
      </c>
      <c r="B8" s="4" t="s">
        <v>340</v>
      </c>
      <c r="C8" s="4" t="s">
        <v>581</v>
      </c>
      <c r="D8" s="4" t="s">
        <v>483</v>
      </c>
      <c r="E8" s="4" t="s">
        <v>579</v>
      </c>
      <c r="F8" s="3" t="n">
        <v>4</v>
      </c>
      <c r="K8" s="12" t="str">
        <f aca="false">IF(E8="CHAPA_AREA",F8*J8*INDEX('03_MATERIALES'!$E$2:$E$42,MATCH(D8,'03_MATERIALES'!$A$2:$A$42,0))/1000*p_densidad_acero,IF(E8="PERFIL_LONGITUD",F8*I8*p_kg_por_m_perfil,""))</f>
        <v/>
      </c>
      <c r="L8" s="6" t="n">
        <f aca="false">IF(E8="CHAPA_AREA",K8*INDEX('03_MATERIALES'!$H$2:$H$42,MATCH(D8,'03_MATERIALES'!$A$2:$A$42,0))/p_aprovechamiento_chapa,IF(E8="PERFIL_LONGITUD",K8*INDEX('03_MATERIALES'!$H$2:$H$42,MATCH(D8,'03_MATERIALES'!$A$2:$A$42,0))/p_aprovechamiento_perfil,IF(E8="UNIDAD",F8*INDEX('03_MATERIALES'!$H$2:$H$42,MATCH(D8,'03_MATERIALES'!$A$2:$A$42,0)),"")))</f>
        <v>3.6</v>
      </c>
      <c r="M8" s="12" t="str">
        <f aca="false">IF(N(J8)&gt;0,F8*J8/p_area_plancha_m2,"")</f>
        <v/>
      </c>
      <c r="N8" s="4" t="s">
        <v>30</v>
      </c>
    </row>
    <row r="9" customFormat="false" ht="15" hidden="false" customHeight="false" outlineLevel="0" collapsed="false">
      <c r="A9" s="4" t="s">
        <v>582</v>
      </c>
      <c r="B9" s="4" t="s">
        <v>343</v>
      </c>
      <c r="C9" s="4" t="s">
        <v>583</v>
      </c>
      <c r="D9" s="4" t="s">
        <v>480</v>
      </c>
      <c r="E9" s="4" t="s">
        <v>567</v>
      </c>
      <c r="F9" s="3" t="n">
        <v>4</v>
      </c>
      <c r="I9" s="11" t="n">
        <v>2</v>
      </c>
      <c r="K9" s="12" t="n">
        <f aca="false">IF(E9="CHAPA_AREA",F9*J9*INDEX('03_MATERIALES'!$E$2:$E$42,MATCH(D9,'03_MATERIALES'!$A$2:$A$42,0))/1000*p_densidad_acero,IF(E9="PERFIL_LONGITUD",F9*I9*p_kg_por_m_perfil,""))</f>
        <v>12</v>
      </c>
      <c r="L9" s="6" t="n">
        <f aca="false">IF(E9="CHAPA_AREA",K9*INDEX('03_MATERIALES'!$H$2:$H$42,MATCH(D9,'03_MATERIALES'!$A$2:$A$42,0))/p_aprovechamiento_chapa,IF(E9="PERFIL_LONGITUD",K9*INDEX('03_MATERIALES'!$H$2:$H$42,MATCH(D9,'03_MATERIALES'!$A$2:$A$42,0))/p_aprovechamiento_perfil,IF(E9="UNIDAD",F9*INDEX('03_MATERIALES'!$H$2:$H$42,MATCH(D9,'03_MATERIALES'!$A$2:$A$42,0)),"")))</f>
        <v>76.25</v>
      </c>
      <c r="M9" s="12" t="str">
        <f aca="false">IF(N(J9)&gt;0,F9*J9/p_area_plancha_m2,"")</f>
        <v/>
      </c>
      <c r="N9" s="4" t="s">
        <v>30</v>
      </c>
    </row>
    <row r="10" customFormat="false" ht="15" hidden="false" customHeight="false" outlineLevel="0" collapsed="false">
      <c r="A10" s="4" t="s">
        <v>584</v>
      </c>
      <c r="B10" s="4" t="s">
        <v>343</v>
      </c>
      <c r="C10" s="4" t="s">
        <v>585</v>
      </c>
      <c r="D10" s="4" t="s">
        <v>480</v>
      </c>
      <c r="E10" s="4" t="s">
        <v>567</v>
      </c>
      <c r="F10" s="3" t="n">
        <v>8</v>
      </c>
      <c r="I10" s="11" t="n">
        <v>1</v>
      </c>
      <c r="K10" s="12" t="n">
        <f aca="false">IF(E10="CHAPA_AREA",F10*J10*INDEX('03_MATERIALES'!$E$2:$E$42,MATCH(D10,'03_MATERIALES'!$A$2:$A$42,0))/1000*p_densidad_acero,IF(E10="PERFIL_LONGITUD",F10*I10*p_kg_por_m_perfil,""))</f>
        <v>12</v>
      </c>
      <c r="L10" s="6" t="n">
        <f aca="false">IF(E10="CHAPA_AREA",K10*INDEX('03_MATERIALES'!$H$2:$H$42,MATCH(D10,'03_MATERIALES'!$A$2:$A$42,0))/p_aprovechamiento_chapa,IF(E10="PERFIL_LONGITUD",K10*INDEX('03_MATERIALES'!$H$2:$H$42,MATCH(D10,'03_MATERIALES'!$A$2:$A$42,0))/p_aprovechamiento_perfil,IF(E10="UNIDAD",F10*INDEX('03_MATERIALES'!$H$2:$H$42,MATCH(D10,'03_MATERIALES'!$A$2:$A$42,0)),"")))</f>
        <v>76.25</v>
      </c>
      <c r="M10" s="12" t="str">
        <f aca="false">IF(N(J10)&gt;0,F10*J10/p_area_plancha_m2,"")</f>
        <v/>
      </c>
      <c r="N10" s="4" t="s">
        <v>30</v>
      </c>
    </row>
    <row r="11" customFormat="false" ht="15" hidden="false" customHeight="false" outlineLevel="0" collapsed="false">
      <c r="A11" s="4" t="s">
        <v>586</v>
      </c>
      <c r="B11" s="4" t="s">
        <v>343</v>
      </c>
      <c r="C11" s="4" t="s">
        <v>587</v>
      </c>
      <c r="D11" s="4" t="s">
        <v>480</v>
      </c>
      <c r="E11" s="4" t="s">
        <v>567</v>
      </c>
      <c r="F11" s="3" t="n">
        <v>8</v>
      </c>
      <c r="I11" s="11" t="n">
        <v>0.5</v>
      </c>
      <c r="K11" s="12" t="n">
        <f aca="false">IF(E11="CHAPA_AREA",F11*J11*INDEX('03_MATERIALES'!$E$2:$E$42,MATCH(D11,'03_MATERIALES'!$A$2:$A$42,0))/1000*p_densidad_acero,IF(E11="PERFIL_LONGITUD",F11*I11*p_kg_por_m_perfil,""))</f>
        <v>6</v>
      </c>
      <c r="L11" s="6" t="n">
        <f aca="false">IF(E11="CHAPA_AREA",K11*INDEX('03_MATERIALES'!$H$2:$H$42,MATCH(D11,'03_MATERIALES'!$A$2:$A$42,0))/p_aprovechamiento_chapa,IF(E11="PERFIL_LONGITUD",K11*INDEX('03_MATERIALES'!$H$2:$H$42,MATCH(D11,'03_MATERIALES'!$A$2:$A$42,0))/p_aprovechamiento_perfil,IF(E11="UNIDAD",F11*INDEX('03_MATERIALES'!$H$2:$H$42,MATCH(D11,'03_MATERIALES'!$A$2:$A$42,0)),"")))</f>
        <v>38.125</v>
      </c>
      <c r="M11" s="12" t="str">
        <f aca="false">IF(N(J11)&gt;0,F11*J11/p_area_plancha_m2,"")</f>
        <v/>
      </c>
      <c r="N11" s="4" t="s">
        <v>30</v>
      </c>
    </row>
    <row r="12" customFormat="false" ht="15" hidden="false" customHeight="false" outlineLevel="0" collapsed="false">
      <c r="A12" s="4" t="s">
        <v>588</v>
      </c>
      <c r="B12" s="4" t="s">
        <v>343</v>
      </c>
      <c r="C12" s="4" t="s">
        <v>589</v>
      </c>
      <c r="D12" s="4" t="s">
        <v>467</v>
      </c>
      <c r="E12" s="4" t="s">
        <v>574</v>
      </c>
      <c r="F12" s="3" t="n">
        <v>5</v>
      </c>
      <c r="J12" s="13" t="n">
        <v>0.5</v>
      </c>
      <c r="K12" s="12" t="n">
        <f aca="false">IF(E12="CHAPA_AREA",F12*J12*INDEX('03_MATERIALES'!$E$2:$E$42,MATCH(D12,'03_MATERIALES'!$A$2:$A$42,0))/1000*p_densidad_acero,IF(E12="PERFIL_LONGITUD",F12*I12*p_kg_por_m_perfil,""))</f>
        <v>39.25</v>
      </c>
      <c r="L12" s="6" t="n">
        <f aca="false">IF(E12="CHAPA_AREA",K12*INDEX('03_MATERIALES'!$H$2:$H$42,MATCH(D12,'03_MATERIALES'!$A$2:$A$42,0))/p_aprovechamiento_chapa,IF(E12="PERFIL_LONGITUD",K12*INDEX('03_MATERIALES'!$H$2:$H$42,MATCH(D12,'03_MATERIALES'!$A$2:$A$42,0))/p_aprovechamiento_perfil,IF(E12="UNIDAD",F12*INDEX('03_MATERIALES'!$H$2:$H$42,MATCH(D12,'03_MATERIALES'!$A$2:$A$42,0)),"")))</f>
        <v>290.108695652174</v>
      </c>
      <c r="M12" s="12" t="n">
        <f aca="false">IF(N(J12)&gt;0,F12*J12/p_area_plancha_m2,"")</f>
        <v>0.868055555555556</v>
      </c>
      <c r="N12" s="4" t="s">
        <v>30</v>
      </c>
    </row>
    <row r="13" customFormat="false" ht="15" hidden="false" customHeight="false" outlineLevel="0" collapsed="false">
      <c r="A13" s="4" t="s">
        <v>590</v>
      </c>
      <c r="B13" s="4" t="s">
        <v>343</v>
      </c>
      <c r="C13" s="4" t="s">
        <v>591</v>
      </c>
      <c r="D13" s="4" t="s">
        <v>467</v>
      </c>
      <c r="E13" s="4" t="s">
        <v>574</v>
      </c>
      <c r="F13" s="3" t="n">
        <v>8</v>
      </c>
      <c r="J13" s="13" t="n">
        <v>0.035</v>
      </c>
      <c r="K13" s="12" t="n">
        <f aca="false">IF(E13="CHAPA_AREA",F13*J13*INDEX('03_MATERIALES'!$E$2:$E$42,MATCH(D13,'03_MATERIALES'!$A$2:$A$42,0))/1000*p_densidad_acero,IF(E13="PERFIL_LONGITUD",F13*I13*p_kg_por_m_perfil,""))</f>
        <v>4.396</v>
      </c>
      <c r="L13" s="6" t="n">
        <f aca="false">IF(E13="CHAPA_AREA",K13*INDEX('03_MATERIALES'!$H$2:$H$42,MATCH(D13,'03_MATERIALES'!$A$2:$A$42,0))/p_aprovechamiento_chapa,IF(E13="PERFIL_LONGITUD",K13*INDEX('03_MATERIALES'!$H$2:$H$42,MATCH(D13,'03_MATERIALES'!$A$2:$A$42,0))/p_aprovechamiento_perfil,IF(E13="UNIDAD",F13*INDEX('03_MATERIALES'!$H$2:$H$42,MATCH(D13,'03_MATERIALES'!$A$2:$A$42,0)),"")))</f>
        <v>32.4921739130435</v>
      </c>
      <c r="M13" s="12" t="n">
        <f aca="false">IF(N(J13)&gt;0,F13*J13/p_area_plancha_m2,"")</f>
        <v>0.0972222222222222</v>
      </c>
      <c r="N13" s="4" t="s">
        <v>30</v>
      </c>
    </row>
    <row r="14" customFormat="false" ht="15" hidden="false" customHeight="false" outlineLevel="0" collapsed="false">
      <c r="A14" s="4" t="s">
        <v>592</v>
      </c>
      <c r="B14" s="4" t="s">
        <v>343</v>
      </c>
      <c r="C14" s="4" t="s">
        <v>593</v>
      </c>
      <c r="D14" s="4" t="s">
        <v>483</v>
      </c>
      <c r="E14" s="4" t="s">
        <v>579</v>
      </c>
      <c r="F14" s="3" t="n">
        <v>28</v>
      </c>
      <c r="K14" s="12" t="str">
        <f aca="false">IF(E14="CHAPA_AREA",F14*J14*INDEX('03_MATERIALES'!$E$2:$E$42,MATCH(D14,'03_MATERIALES'!$A$2:$A$42,0))/1000*p_densidad_acero,IF(E14="PERFIL_LONGITUD",F14*I14*p_kg_por_m_perfil,""))</f>
        <v/>
      </c>
      <c r="L14" s="6" t="n">
        <f aca="false">IF(E14="CHAPA_AREA",K14*INDEX('03_MATERIALES'!$H$2:$H$42,MATCH(D14,'03_MATERIALES'!$A$2:$A$42,0))/p_aprovechamiento_chapa,IF(E14="PERFIL_LONGITUD",K14*INDEX('03_MATERIALES'!$H$2:$H$42,MATCH(D14,'03_MATERIALES'!$A$2:$A$42,0))/p_aprovechamiento_perfil,IF(E14="UNIDAD",F14*INDEX('03_MATERIALES'!$H$2:$H$42,MATCH(D14,'03_MATERIALES'!$A$2:$A$42,0)),"")))</f>
        <v>25.2</v>
      </c>
      <c r="M14" s="12" t="str">
        <f aca="false">IF(N(J14)&gt;0,F14*J14/p_area_plancha_m2,"")</f>
        <v/>
      </c>
      <c r="N14" s="4" t="s">
        <v>30</v>
      </c>
    </row>
    <row r="15" customFormat="false" ht="15" hidden="false" customHeight="false" outlineLevel="0" collapsed="false">
      <c r="A15" s="4" t="s">
        <v>594</v>
      </c>
      <c r="B15" s="4" t="s">
        <v>358</v>
      </c>
      <c r="C15" s="4" t="s">
        <v>595</v>
      </c>
      <c r="D15" s="4" t="s">
        <v>480</v>
      </c>
      <c r="E15" s="4" t="s">
        <v>567</v>
      </c>
      <c r="F15" s="3" t="n">
        <v>2</v>
      </c>
      <c r="I15" s="11" t="n">
        <v>1.65</v>
      </c>
      <c r="K15" s="12" t="n">
        <f aca="false">IF(E15="CHAPA_AREA",F15*J15*INDEX('03_MATERIALES'!$E$2:$E$42,MATCH(D15,'03_MATERIALES'!$A$2:$A$42,0))/1000*p_densidad_acero,IF(E15="PERFIL_LONGITUD",F15*I15*p_kg_por_m_perfil,""))</f>
        <v>4.95</v>
      </c>
      <c r="L15" s="6" t="n">
        <f aca="false">IF(E15="CHAPA_AREA",K15*INDEX('03_MATERIALES'!$H$2:$H$42,MATCH(D15,'03_MATERIALES'!$A$2:$A$42,0))/p_aprovechamiento_chapa,IF(E15="PERFIL_LONGITUD",K15*INDEX('03_MATERIALES'!$H$2:$H$42,MATCH(D15,'03_MATERIALES'!$A$2:$A$42,0))/p_aprovechamiento_perfil,IF(E15="UNIDAD",F15*INDEX('03_MATERIALES'!$H$2:$H$42,MATCH(D15,'03_MATERIALES'!$A$2:$A$42,0)),"")))</f>
        <v>31.453125</v>
      </c>
      <c r="M15" s="12" t="str">
        <f aca="false">IF(N(J15)&gt;0,F15*J15/p_area_plancha_m2,"")</f>
        <v/>
      </c>
      <c r="N15" s="4" t="s">
        <v>30</v>
      </c>
    </row>
    <row r="16" customFormat="false" ht="15" hidden="false" customHeight="false" outlineLevel="0" collapsed="false">
      <c r="A16" s="4" t="s">
        <v>596</v>
      </c>
      <c r="B16" s="4" t="s">
        <v>358</v>
      </c>
      <c r="C16" s="4" t="s">
        <v>597</v>
      </c>
      <c r="D16" s="4" t="s">
        <v>470</v>
      </c>
      <c r="E16" s="4" t="s">
        <v>574</v>
      </c>
      <c r="F16" s="3" t="n">
        <v>2</v>
      </c>
      <c r="J16" s="13" t="n">
        <v>0.3</v>
      </c>
      <c r="K16" s="12" t="n">
        <f aca="false">IF(E16="CHAPA_AREA",F16*J16*INDEX('03_MATERIALES'!$E$2:$E$42,MATCH(D16,'03_MATERIALES'!$A$2:$A$42,0))/1000*p_densidad_acero,IF(E16="PERFIL_LONGITUD",F16*I16*p_kg_por_m_perfil,""))</f>
        <v>4.71</v>
      </c>
      <c r="L16" s="6" t="n">
        <f aca="false">IF(E16="CHAPA_AREA",K16*INDEX('03_MATERIALES'!$H$2:$H$42,MATCH(D16,'03_MATERIALES'!$A$2:$A$42,0))/p_aprovechamiento_chapa,IF(E16="PERFIL_LONGITUD",K16*INDEX('03_MATERIALES'!$H$2:$H$42,MATCH(D16,'03_MATERIALES'!$A$2:$A$42,0))/p_aprovechamiento_perfil,IF(E16="UNIDAD",F16*INDEX('03_MATERIALES'!$H$2:$H$42,MATCH(D16,'03_MATERIALES'!$A$2:$A$42,0)),"")))</f>
        <v>34.8130434782609</v>
      </c>
      <c r="M16" s="12" t="n">
        <f aca="false">IF(N(J16)&gt;0,F16*J16/p_area_plancha_m2,"")</f>
        <v>0.208333333333333</v>
      </c>
      <c r="N16" s="4" t="s">
        <v>30</v>
      </c>
    </row>
    <row r="17" customFormat="false" ht="15" hidden="false" customHeight="false" outlineLevel="0" collapsed="false">
      <c r="A17" s="4" t="s">
        <v>598</v>
      </c>
      <c r="B17" s="4" t="s">
        <v>358</v>
      </c>
      <c r="C17" s="4" t="s">
        <v>599</v>
      </c>
      <c r="D17" s="4" t="s">
        <v>470</v>
      </c>
      <c r="E17" s="4" t="s">
        <v>574</v>
      </c>
      <c r="F17" s="3" t="n">
        <v>4</v>
      </c>
      <c r="J17" s="13" t="n">
        <v>0.56</v>
      </c>
      <c r="K17" s="12" t="n">
        <f aca="false">IF(E17="CHAPA_AREA",F17*J17*INDEX('03_MATERIALES'!$E$2:$E$42,MATCH(D17,'03_MATERIALES'!$A$2:$A$42,0))/1000*p_densidad_acero,IF(E17="PERFIL_LONGITUD",F17*I17*p_kg_por_m_perfil,""))</f>
        <v>17.584</v>
      </c>
      <c r="L17" s="6" t="n">
        <f aca="false">IF(E17="CHAPA_AREA",K17*INDEX('03_MATERIALES'!$H$2:$H$42,MATCH(D17,'03_MATERIALES'!$A$2:$A$42,0))/p_aprovechamiento_chapa,IF(E17="PERFIL_LONGITUD",K17*INDEX('03_MATERIALES'!$H$2:$H$42,MATCH(D17,'03_MATERIALES'!$A$2:$A$42,0))/p_aprovechamiento_perfil,IF(E17="UNIDAD",F17*INDEX('03_MATERIALES'!$H$2:$H$42,MATCH(D17,'03_MATERIALES'!$A$2:$A$42,0)),"")))</f>
        <v>129.968695652174</v>
      </c>
      <c r="M17" s="12" t="n">
        <f aca="false">IF(N(J17)&gt;0,F17*J17/p_area_plancha_m2,"")</f>
        <v>0.777777777777778</v>
      </c>
      <c r="N17" s="4" t="s">
        <v>30</v>
      </c>
    </row>
    <row r="18" customFormat="false" ht="15" hidden="false" customHeight="false" outlineLevel="0" collapsed="false">
      <c r="A18" s="4" t="s">
        <v>600</v>
      </c>
      <c r="B18" s="4" t="s">
        <v>358</v>
      </c>
      <c r="C18" s="4" t="s">
        <v>601</v>
      </c>
      <c r="D18" s="4" t="s">
        <v>470</v>
      </c>
      <c r="E18" s="4" t="s">
        <v>574</v>
      </c>
      <c r="F18" s="3" t="n">
        <v>8</v>
      </c>
      <c r="J18" s="13" t="n">
        <v>0.4</v>
      </c>
      <c r="K18" s="12" t="n">
        <f aca="false">IF(E18="CHAPA_AREA",F18*J18*INDEX('03_MATERIALES'!$E$2:$E$42,MATCH(D18,'03_MATERIALES'!$A$2:$A$42,0))/1000*p_densidad_acero,IF(E18="PERFIL_LONGITUD",F18*I18*p_kg_por_m_perfil,""))</f>
        <v>25.12</v>
      </c>
      <c r="L18" s="6" t="n">
        <f aca="false">IF(E18="CHAPA_AREA",K18*INDEX('03_MATERIALES'!$H$2:$H$42,MATCH(D18,'03_MATERIALES'!$A$2:$A$42,0))/p_aprovechamiento_chapa,IF(E18="PERFIL_LONGITUD",K18*INDEX('03_MATERIALES'!$H$2:$H$42,MATCH(D18,'03_MATERIALES'!$A$2:$A$42,0))/p_aprovechamiento_perfil,IF(E18="UNIDAD",F18*INDEX('03_MATERIALES'!$H$2:$H$42,MATCH(D18,'03_MATERIALES'!$A$2:$A$42,0)),"")))</f>
        <v>185.669565217391</v>
      </c>
      <c r="M18" s="12" t="n">
        <f aca="false">IF(N(J18)&gt;0,F18*J18/p_area_plancha_m2,"")</f>
        <v>1.11111111111111</v>
      </c>
      <c r="N18" s="4" t="s">
        <v>30</v>
      </c>
    </row>
    <row r="19" customFormat="false" ht="15" hidden="false" customHeight="false" outlineLevel="0" collapsed="false">
      <c r="A19" s="4" t="s">
        <v>602</v>
      </c>
      <c r="B19" s="4" t="s">
        <v>358</v>
      </c>
      <c r="C19" s="4" t="s">
        <v>603</v>
      </c>
      <c r="D19" s="4" t="s">
        <v>470</v>
      </c>
      <c r="E19" s="4" t="s">
        <v>574</v>
      </c>
      <c r="F19" s="3" t="n">
        <v>16</v>
      </c>
      <c r="J19" s="13" t="n">
        <v>0.04</v>
      </c>
      <c r="K19" s="12" t="n">
        <f aca="false">IF(E19="CHAPA_AREA",F19*J19*INDEX('03_MATERIALES'!$E$2:$E$42,MATCH(D19,'03_MATERIALES'!$A$2:$A$42,0))/1000*p_densidad_acero,IF(E19="PERFIL_LONGITUD",F19*I19*p_kg_por_m_perfil,""))</f>
        <v>5.024</v>
      </c>
      <c r="L19" s="6" t="n">
        <f aca="false">IF(E19="CHAPA_AREA",K19*INDEX('03_MATERIALES'!$H$2:$H$42,MATCH(D19,'03_MATERIALES'!$A$2:$A$42,0))/p_aprovechamiento_chapa,IF(E19="PERFIL_LONGITUD",K19*INDEX('03_MATERIALES'!$H$2:$H$42,MATCH(D19,'03_MATERIALES'!$A$2:$A$42,0))/p_aprovechamiento_perfil,IF(E19="UNIDAD",F19*INDEX('03_MATERIALES'!$H$2:$H$42,MATCH(D19,'03_MATERIALES'!$A$2:$A$42,0)),"")))</f>
        <v>37.1339130434783</v>
      </c>
      <c r="M19" s="12" t="n">
        <f aca="false">IF(N(J19)&gt;0,F19*J19/p_area_plancha_m2,"")</f>
        <v>0.222222222222222</v>
      </c>
      <c r="N19" s="4" t="s">
        <v>30</v>
      </c>
    </row>
    <row r="20" customFormat="false" ht="15" hidden="false" customHeight="false" outlineLevel="0" collapsed="false">
      <c r="A20" s="4" t="s">
        <v>604</v>
      </c>
      <c r="B20" s="4" t="s">
        <v>358</v>
      </c>
      <c r="C20" s="4" t="s">
        <v>605</v>
      </c>
      <c r="D20" s="4" t="s">
        <v>470</v>
      </c>
      <c r="E20" s="4" t="s">
        <v>574</v>
      </c>
      <c r="F20" s="3" t="n">
        <v>2</v>
      </c>
      <c r="J20" s="13" t="n">
        <v>0.12</v>
      </c>
      <c r="K20" s="12" t="n">
        <f aca="false">IF(E20="CHAPA_AREA",F20*J20*INDEX('03_MATERIALES'!$E$2:$E$42,MATCH(D20,'03_MATERIALES'!$A$2:$A$42,0))/1000*p_densidad_acero,IF(E20="PERFIL_LONGITUD",F20*I20*p_kg_por_m_perfil,""))</f>
        <v>1.884</v>
      </c>
      <c r="L20" s="6" t="n">
        <f aca="false">IF(E20="CHAPA_AREA",K20*INDEX('03_MATERIALES'!$H$2:$H$42,MATCH(D20,'03_MATERIALES'!$A$2:$A$42,0))/p_aprovechamiento_chapa,IF(E20="PERFIL_LONGITUD",K20*INDEX('03_MATERIALES'!$H$2:$H$42,MATCH(D20,'03_MATERIALES'!$A$2:$A$42,0))/p_aprovechamiento_perfil,IF(E20="UNIDAD",F20*INDEX('03_MATERIALES'!$H$2:$H$42,MATCH(D20,'03_MATERIALES'!$A$2:$A$42,0)),"")))</f>
        <v>13.9252173913043</v>
      </c>
      <c r="M20" s="12" t="n">
        <f aca="false">IF(N(J20)&gt;0,F20*J20/p_area_plancha_m2,"")</f>
        <v>0.0833333333333333</v>
      </c>
      <c r="N20" s="4" t="s">
        <v>30</v>
      </c>
    </row>
    <row r="21" customFormat="false" ht="15" hidden="false" customHeight="false" outlineLevel="0" collapsed="false">
      <c r="A21" s="4" t="s">
        <v>606</v>
      </c>
      <c r="B21" s="4" t="s">
        <v>358</v>
      </c>
      <c r="C21" s="4" t="s">
        <v>607</v>
      </c>
      <c r="D21" s="4" t="s">
        <v>483</v>
      </c>
      <c r="E21" s="4" t="s">
        <v>579</v>
      </c>
      <c r="F21" s="3" t="n">
        <v>36</v>
      </c>
      <c r="K21" s="12" t="str">
        <f aca="false">IF(E21="CHAPA_AREA",F21*J21*INDEX('03_MATERIALES'!$E$2:$E$42,MATCH(D21,'03_MATERIALES'!$A$2:$A$42,0))/1000*p_densidad_acero,IF(E21="PERFIL_LONGITUD",F21*I21*p_kg_por_m_perfil,""))</f>
        <v/>
      </c>
      <c r="L21" s="6" t="n">
        <f aca="false">IF(E21="CHAPA_AREA",K21*INDEX('03_MATERIALES'!$H$2:$H$42,MATCH(D21,'03_MATERIALES'!$A$2:$A$42,0))/p_aprovechamiento_chapa,IF(E21="PERFIL_LONGITUD",K21*INDEX('03_MATERIALES'!$H$2:$H$42,MATCH(D21,'03_MATERIALES'!$A$2:$A$42,0))/p_aprovechamiento_perfil,IF(E21="UNIDAD",F21*INDEX('03_MATERIALES'!$H$2:$H$42,MATCH(D21,'03_MATERIALES'!$A$2:$A$42,0)),"")))</f>
        <v>32.4</v>
      </c>
      <c r="M21" s="12" t="str">
        <f aca="false">IF(N(J21)&gt;0,F21*J21/p_area_plancha_m2,"")</f>
        <v/>
      </c>
      <c r="N21" s="4" t="s">
        <v>30</v>
      </c>
    </row>
    <row r="22" customFormat="false" ht="15" hidden="false" customHeight="false" outlineLevel="0" collapsed="false">
      <c r="A22" s="4" t="s">
        <v>608</v>
      </c>
      <c r="B22" s="4" t="s">
        <v>361</v>
      </c>
      <c r="C22" s="4" t="s">
        <v>609</v>
      </c>
      <c r="D22" s="4" t="s">
        <v>480</v>
      </c>
      <c r="E22" s="4" t="s">
        <v>567</v>
      </c>
      <c r="F22" s="3" t="n">
        <v>2</v>
      </c>
      <c r="I22" s="11" t="n">
        <v>1.9</v>
      </c>
      <c r="K22" s="12" t="n">
        <f aca="false">IF(E22="CHAPA_AREA",F22*J22*INDEX('03_MATERIALES'!$E$2:$E$42,MATCH(D22,'03_MATERIALES'!$A$2:$A$42,0))/1000*p_densidad_acero,IF(E22="PERFIL_LONGITUD",F22*I22*p_kg_por_m_perfil,""))</f>
        <v>5.7</v>
      </c>
      <c r="L22" s="6" t="n">
        <f aca="false">IF(E22="CHAPA_AREA",K22*INDEX('03_MATERIALES'!$H$2:$H$42,MATCH(D22,'03_MATERIALES'!$A$2:$A$42,0))/p_aprovechamiento_chapa,IF(E22="PERFIL_LONGITUD",K22*INDEX('03_MATERIALES'!$H$2:$H$42,MATCH(D22,'03_MATERIALES'!$A$2:$A$42,0))/p_aprovechamiento_perfil,IF(E22="UNIDAD",F22*INDEX('03_MATERIALES'!$H$2:$H$42,MATCH(D22,'03_MATERIALES'!$A$2:$A$42,0)),"")))</f>
        <v>36.21875</v>
      </c>
      <c r="M22" s="12" t="str">
        <f aca="false">IF(N(J22)&gt;0,F22*J22/p_area_plancha_m2,"")</f>
        <v/>
      </c>
      <c r="N22" s="4" t="s">
        <v>30</v>
      </c>
    </row>
    <row r="23" customFormat="false" ht="15" hidden="false" customHeight="false" outlineLevel="0" collapsed="false">
      <c r="A23" s="4" t="s">
        <v>610</v>
      </c>
      <c r="B23" s="4" t="s">
        <v>361</v>
      </c>
      <c r="C23" s="4" t="s">
        <v>611</v>
      </c>
      <c r="D23" s="4" t="s">
        <v>470</v>
      </c>
      <c r="E23" s="4" t="s">
        <v>574</v>
      </c>
      <c r="F23" s="3" t="n">
        <v>3</v>
      </c>
      <c r="J23" s="13" t="n">
        <v>0.55</v>
      </c>
      <c r="K23" s="12" t="n">
        <f aca="false">IF(E23="CHAPA_AREA",F23*J23*INDEX('03_MATERIALES'!$E$2:$E$42,MATCH(D23,'03_MATERIALES'!$A$2:$A$42,0))/1000*p_densidad_acero,IF(E23="PERFIL_LONGITUD",F23*I23*p_kg_por_m_perfil,""))</f>
        <v>12.9525</v>
      </c>
      <c r="L23" s="6" t="n">
        <f aca="false">IF(E23="CHAPA_AREA",K23*INDEX('03_MATERIALES'!$H$2:$H$42,MATCH(D23,'03_MATERIALES'!$A$2:$A$42,0))/p_aprovechamiento_chapa,IF(E23="PERFIL_LONGITUD",K23*INDEX('03_MATERIALES'!$H$2:$H$42,MATCH(D23,'03_MATERIALES'!$A$2:$A$42,0))/p_aprovechamiento_perfil,IF(E23="UNIDAD",F23*INDEX('03_MATERIALES'!$H$2:$H$42,MATCH(D23,'03_MATERIALES'!$A$2:$A$42,0)),"")))</f>
        <v>95.7358695652174</v>
      </c>
      <c r="M23" s="12" t="n">
        <f aca="false">IF(N(J23)&gt;0,F23*J23/p_area_plancha_m2,"")</f>
        <v>0.572916666666667</v>
      </c>
      <c r="N23" s="4" t="s">
        <v>30</v>
      </c>
    </row>
    <row r="24" customFormat="false" ht="15" hidden="false" customHeight="false" outlineLevel="0" collapsed="false">
      <c r="A24" s="4" t="s">
        <v>612</v>
      </c>
      <c r="B24" s="4" t="s">
        <v>361</v>
      </c>
      <c r="C24" s="4" t="s">
        <v>613</v>
      </c>
      <c r="D24" s="4" t="s">
        <v>470</v>
      </c>
      <c r="E24" s="4" t="s">
        <v>574</v>
      </c>
      <c r="F24" s="3" t="n">
        <v>5</v>
      </c>
      <c r="J24" s="13" t="n">
        <v>0.42</v>
      </c>
      <c r="K24" s="12" t="n">
        <f aca="false">IF(E24="CHAPA_AREA",F24*J24*INDEX('03_MATERIALES'!$E$2:$E$42,MATCH(D24,'03_MATERIALES'!$A$2:$A$42,0))/1000*p_densidad_acero,IF(E24="PERFIL_LONGITUD",F24*I24*p_kg_por_m_perfil,""))</f>
        <v>16.485</v>
      </c>
      <c r="L24" s="6" t="n">
        <f aca="false">IF(E24="CHAPA_AREA",K24*INDEX('03_MATERIALES'!$H$2:$H$42,MATCH(D24,'03_MATERIALES'!$A$2:$A$42,0))/p_aprovechamiento_chapa,IF(E24="PERFIL_LONGITUD",K24*INDEX('03_MATERIALES'!$H$2:$H$42,MATCH(D24,'03_MATERIALES'!$A$2:$A$42,0))/p_aprovechamiento_perfil,IF(E24="UNIDAD",F24*INDEX('03_MATERIALES'!$H$2:$H$42,MATCH(D24,'03_MATERIALES'!$A$2:$A$42,0)),"")))</f>
        <v>121.845652173913</v>
      </c>
      <c r="M24" s="12" t="n">
        <f aca="false">IF(N(J24)&gt;0,F24*J24/p_area_plancha_m2,"")</f>
        <v>0.729166666666667</v>
      </c>
      <c r="N24" s="4" t="s">
        <v>30</v>
      </c>
    </row>
    <row r="25" customFormat="false" ht="15" hidden="false" customHeight="false" outlineLevel="0" collapsed="false">
      <c r="A25" s="4" t="s">
        <v>614</v>
      </c>
      <c r="B25" s="4" t="s">
        <v>361</v>
      </c>
      <c r="C25" s="4" t="s">
        <v>615</v>
      </c>
      <c r="D25" s="4" t="s">
        <v>470</v>
      </c>
      <c r="E25" s="4" t="s">
        <v>574</v>
      </c>
      <c r="F25" s="3" t="n">
        <v>10</v>
      </c>
      <c r="J25" s="13" t="n">
        <v>0.04</v>
      </c>
      <c r="K25" s="12" t="n">
        <f aca="false">IF(E25="CHAPA_AREA",F25*J25*INDEX('03_MATERIALES'!$E$2:$E$42,MATCH(D25,'03_MATERIALES'!$A$2:$A$42,0))/1000*p_densidad_acero,IF(E25="PERFIL_LONGITUD",F25*I25*p_kg_por_m_perfil,""))</f>
        <v>3.14</v>
      </c>
      <c r="L25" s="6" t="n">
        <f aca="false">IF(E25="CHAPA_AREA",K25*INDEX('03_MATERIALES'!$H$2:$H$42,MATCH(D25,'03_MATERIALES'!$A$2:$A$42,0))/p_aprovechamiento_chapa,IF(E25="PERFIL_LONGITUD",K25*INDEX('03_MATERIALES'!$H$2:$H$42,MATCH(D25,'03_MATERIALES'!$A$2:$A$42,0))/p_aprovechamiento_perfil,IF(E25="UNIDAD",F25*INDEX('03_MATERIALES'!$H$2:$H$42,MATCH(D25,'03_MATERIALES'!$A$2:$A$42,0)),"")))</f>
        <v>23.2086956521739</v>
      </c>
      <c r="M25" s="12" t="n">
        <f aca="false">IF(N(J25)&gt;0,F25*J25/p_area_plancha_m2,"")</f>
        <v>0.138888888888889</v>
      </c>
      <c r="N25" s="4" t="s">
        <v>30</v>
      </c>
    </row>
    <row r="26" customFormat="false" ht="15" hidden="false" customHeight="false" outlineLevel="0" collapsed="false">
      <c r="A26" s="4" t="s">
        <v>616</v>
      </c>
      <c r="B26" s="4" t="s">
        <v>361</v>
      </c>
      <c r="C26" s="4" t="s">
        <v>617</v>
      </c>
      <c r="D26" s="4" t="s">
        <v>470</v>
      </c>
      <c r="E26" s="4" t="s">
        <v>574</v>
      </c>
      <c r="F26" s="3" t="n">
        <v>2</v>
      </c>
      <c r="J26" s="13" t="n">
        <v>0.25</v>
      </c>
      <c r="K26" s="12" t="n">
        <f aca="false">IF(E26="CHAPA_AREA",F26*J26*INDEX('03_MATERIALES'!$E$2:$E$42,MATCH(D26,'03_MATERIALES'!$A$2:$A$42,0))/1000*p_densidad_acero,IF(E26="PERFIL_LONGITUD",F26*I26*p_kg_por_m_perfil,""))</f>
        <v>3.925</v>
      </c>
      <c r="L26" s="6" t="n">
        <f aca="false">IF(E26="CHAPA_AREA",K26*INDEX('03_MATERIALES'!$H$2:$H$42,MATCH(D26,'03_MATERIALES'!$A$2:$A$42,0))/p_aprovechamiento_chapa,IF(E26="PERFIL_LONGITUD",K26*INDEX('03_MATERIALES'!$H$2:$H$42,MATCH(D26,'03_MATERIALES'!$A$2:$A$42,0))/p_aprovechamiento_perfil,IF(E26="UNIDAD",F26*INDEX('03_MATERIALES'!$H$2:$H$42,MATCH(D26,'03_MATERIALES'!$A$2:$A$42,0)),"")))</f>
        <v>29.0108695652174</v>
      </c>
      <c r="M26" s="12" t="n">
        <f aca="false">IF(N(J26)&gt;0,F26*J26/p_area_plancha_m2,"")</f>
        <v>0.173611111111111</v>
      </c>
      <c r="N26" s="4" t="s">
        <v>30</v>
      </c>
    </row>
    <row r="27" customFormat="false" ht="15" hidden="false" customHeight="false" outlineLevel="0" collapsed="false">
      <c r="A27" s="4" t="s">
        <v>618</v>
      </c>
      <c r="B27" s="4" t="s">
        <v>361</v>
      </c>
      <c r="C27" s="4" t="s">
        <v>619</v>
      </c>
      <c r="D27" s="4" t="s">
        <v>483</v>
      </c>
      <c r="E27" s="4" t="s">
        <v>579</v>
      </c>
      <c r="F27" s="3" t="n">
        <v>26</v>
      </c>
      <c r="K27" s="12" t="str">
        <f aca="false">IF(E27="CHAPA_AREA",F27*J27*INDEX('03_MATERIALES'!$E$2:$E$42,MATCH(D27,'03_MATERIALES'!$A$2:$A$42,0))/1000*p_densidad_acero,IF(E27="PERFIL_LONGITUD",F27*I27*p_kg_por_m_perfil,""))</f>
        <v/>
      </c>
      <c r="L27" s="6" t="n">
        <f aca="false">IF(E27="CHAPA_AREA",K27*INDEX('03_MATERIALES'!$H$2:$H$42,MATCH(D27,'03_MATERIALES'!$A$2:$A$42,0))/p_aprovechamiento_chapa,IF(E27="PERFIL_LONGITUD",K27*INDEX('03_MATERIALES'!$H$2:$H$42,MATCH(D27,'03_MATERIALES'!$A$2:$A$42,0))/p_aprovechamiento_perfil,IF(E27="UNIDAD",F27*INDEX('03_MATERIALES'!$H$2:$H$42,MATCH(D27,'03_MATERIALES'!$A$2:$A$42,0)),"")))</f>
        <v>23.4</v>
      </c>
      <c r="M27" s="12" t="str">
        <f aca="false">IF(N(J27)&gt;0,F27*J27/p_area_plancha_m2,"")</f>
        <v/>
      </c>
      <c r="N27" s="4" t="s">
        <v>30</v>
      </c>
    </row>
    <row r="28" customFormat="false" ht="15" hidden="false" customHeight="false" outlineLevel="0" collapsed="false">
      <c r="A28" s="4" t="s">
        <v>620</v>
      </c>
      <c r="B28" s="4" t="s">
        <v>375</v>
      </c>
      <c r="C28" s="4" t="s">
        <v>621</v>
      </c>
      <c r="D28" s="4" t="s">
        <v>472</v>
      </c>
      <c r="E28" s="4" t="s">
        <v>574</v>
      </c>
      <c r="F28" s="3" t="n">
        <v>2</v>
      </c>
      <c r="J28" s="13" t="n">
        <v>0.95</v>
      </c>
      <c r="K28" s="12" t="n">
        <f aca="false">IF(E28="CHAPA_AREA",F28*J28*INDEX('03_MATERIALES'!$E$2:$E$42,MATCH(D28,'03_MATERIALES'!$A$2:$A$42,0))/1000*p_densidad_acero,IF(E28="PERFIL_LONGITUD",F28*I28*p_kg_por_m_perfil,""))</f>
        <v>22.3725</v>
      </c>
      <c r="L28" s="6" t="n">
        <f aca="false">IF(E28="CHAPA_AREA",K28*INDEX('03_MATERIALES'!$H$2:$H$42,MATCH(D28,'03_MATERIALES'!$A$2:$A$42,0))/p_aprovechamiento_chapa,IF(E28="PERFIL_LONGITUD",K28*INDEX('03_MATERIALES'!$H$2:$H$42,MATCH(D28,'03_MATERIALES'!$A$2:$A$42,0))/p_aprovechamiento_perfil,IF(E28="UNIDAD",F28*INDEX('03_MATERIALES'!$H$2:$H$42,MATCH(D28,'03_MATERIALES'!$A$2:$A$42,0)),"")))</f>
        <v>165.361956521739</v>
      </c>
      <c r="M28" s="12" t="n">
        <f aca="false">IF(N(J28)&gt;0,F28*J28/p_area_plancha_m2,"")</f>
        <v>0.659722222222222</v>
      </c>
      <c r="N28" s="4" t="s">
        <v>30</v>
      </c>
    </row>
    <row r="29" customFormat="false" ht="15" hidden="false" customHeight="false" outlineLevel="0" collapsed="false">
      <c r="A29" s="4" t="s">
        <v>622</v>
      </c>
      <c r="B29" s="4" t="s">
        <v>375</v>
      </c>
      <c r="C29" s="4" t="s">
        <v>623</v>
      </c>
      <c r="D29" s="4" t="s">
        <v>472</v>
      </c>
      <c r="E29" s="4" t="s">
        <v>574</v>
      </c>
      <c r="F29" s="3" t="n">
        <v>2</v>
      </c>
      <c r="J29" s="13" t="n">
        <v>0.35</v>
      </c>
      <c r="K29" s="12" t="n">
        <f aca="false">IF(E29="CHAPA_AREA",F29*J29*INDEX('03_MATERIALES'!$E$2:$E$42,MATCH(D29,'03_MATERIALES'!$A$2:$A$42,0))/1000*p_densidad_acero,IF(E29="PERFIL_LONGITUD",F29*I29*p_kg_por_m_perfil,""))</f>
        <v>8.2425</v>
      </c>
      <c r="L29" s="6" t="n">
        <f aca="false">IF(E29="CHAPA_AREA",K29*INDEX('03_MATERIALES'!$H$2:$H$42,MATCH(D29,'03_MATERIALES'!$A$2:$A$42,0))/p_aprovechamiento_chapa,IF(E29="PERFIL_LONGITUD",K29*INDEX('03_MATERIALES'!$H$2:$H$42,MATCH(D29,'03_MATERIALES'!$A$2:$A$42,0))/p_aprovechamiento_perfil,IF(E29="UNIDAD",F29*INDEX('03_MATERIALES'!$H$2:$H$42,MATCH(D29,'03_MATERIALES'!$A$2:$A$42,0)),"")))</f>
        <v>60.9228260869565</v>
      </c>
      <c r="M29" s="12" t="n">
        <f aca="false">IF(N(J29)&gt;0,F29*J29/p_area_plancha_m2,"")</f>
        <v>0.243055555555556</v>
      </c>
      <c r="N29" s="4" t="s">
        <v>30</v>
      </c>
    </row>
    <row r="30" customFormat="false" ht="15" hidden="false" customHeight="false" outlineLevel="0" collapsed="false">
      <c r="A30" s="4" t="s">
        <v>624</v>
      </c>
      <c r="B30" s="4" t="s">
        <v>375</v>
      </c>
      <c r="C30" s="4" t="s">
        <v>625</v>
      </c>
      <c r="D30" s="4" t="s">
        <v>472</v>
      </c>
      <c r="E30" s="4" t="s">
        <v>574</v>
      </c>
      <c r="F30" s="3" t="n">
        <v>1</v>
      </c>
      <c r="J30" s="13" t="n">
        <v>1.7</v>
      </c>
      <c r="K30" s="12" t="n">
        <f aca="false">IF(E30="CHAPA_AREA",F30*J30*INDEX('03_MATERIALES'!$E$2:$E$42,MATCH(D30,'03_MATERIALES'!$A$2:$A$42,0))/1000*p_densidad_acero,IF(E30="PERFIL_LONGITUD",F30*I30*p_kg_por_m_perfil,""))</f>
        <v>20.0175</v>
      </c>
      <c r="L30" s="6" t="n">
        <f aca="false">IF(E30="CHAPA_AREA",K30*INDEX('03_MATERIALES'!$H$2:$H$42,MATCH(D30,'03_MATERIALES'!$A$2:$A$42,0))/p_aprovechamiento_chapa,IF(E30="PERFIL_LONGITUD",K30*INDEX('03_MATERIALES'!$H$2:$H$42,MATCH(D30,'03_MATERIALES'!$A$2:$A$42,0))/p_aprovechamiento_perfil,IF(E30="UNIDAD",F30*INDEX('03_MATERIALES'!$H$2:$H$42,MATCH(D30,'03_MATERIALES'!$A$2:$A$42,0)),"")))</f>
        <v>147.955434782609</v>
      </c>
      <c r="M30" s="12" t="n">
        <f aca="false">IF(N(J30)&gt;0,F30*J30/p_area_plancha_m2,"")</f>
        <v>0.590277777777778</v>
      </c>
      <c r="N30" s="4" t="s">
        <v>30</v>
      </c>
    </row>
    <row r="31" customFormat="false" ht="15" hidden="false" customHeight="false" outlineLevel="0" collapsed="false">
      <c r="A31" s="4" t="s">
        <v>626</v>
      </c>
      <c r="B31" s="4" t="s">
        <v>375</v>
      </c>
      <c r="C31" s="4" t="s">
        <v>627</v>
      </c>
      <c r="D31" s="4" t="s">
        <v>472</v>
      </c>
      <c r="E31" s="4" t="s">
        <v>574</v>
      </c>
      <c r="F31" s="3" t="n">
        <v>4</v>
      </c>
      <c r="J31" s="13" t="n">
        <v>0.37</v>
      </c>
      <c r="K31" s="12" t="n">
        <f aca="false">IF(E31="CHAPA_AREA",F31*J31*INDEX('03_MATERIALES'!$E$2:$E$42,MATCH(D31,'03_MATERIALES'!$A$2:$A$42,0))/1000*p_densidad_acero,IF(E31="PERFIL_LONGITUD",F31*I31*p_kg_por_m_perfil,""))</f>
        <v>17.427</v>
      </c>
      <c r="L31" s="6" t="n">
        <f aca="false">IF(E31="CHAPA_AREA",K31*INDEX('03_MATERIALES'!$H$2:$H$42,MATCH(D31,'03_MATERIALES'!$A$2:$A$42,0))/p_aprovechamiento_chapa,IF(E31="PERFIL_LONGITUD",K31*INDEX('03_MATERIALES'!$H$2:$H$42,MATCH(D31,'03_MATERIALES'!$A$2:$A$42,0))/p_aprovechamiento_perfil,IF(E31="UNIDAD",F31*INDEX('03_MATERIALES'!$H$2:$H$42,MATCH(D31,'03_MATERIALES'!$A$2:$A$42,0)),"")))</f>
        <v>128.808260869565</v>
      </c>
      <c r="M31" s="12" t="n">
        <f aca="false">IF(N(J31)&gt;0,F31*J31/p_area_plancha_m2,"")</f>
        <v>0.513888888888889</v>
      </c>
      <c r="N31" s="4" t="s">
        <v>30</v>
      </c>
    </row>
    <row r="32" customFormat="false" ht="15" hidden="false" customHeight="false" outlineLevel="0" collapsed="false">
      <c r="A32" s="4" t="s">
        <v>628</v>
      </c>
      <c r="B32" s="4" t="s">
        <v>375</v>
      </c>
      <c r="C32" s="4" t="s">
        <v>629</v>
      </c>
      <c r="D32" s="4" t="s">
        <v>472</v>
      </c>
      <c r="E32" s="4" t="s">
        <v>574</v>
      </c>
      <c r="F32" s="3" t="n">
        <v>3</v>
      </c>
      <c r="J32" s="13" t="n">
        <v>0.35</v>
      </c>
      <c r="K32" s="12" t="n">
        <f aca="false">IF(E32="CHAPA_AREA",F32*J32*INDEX('03_MATERIALES'!$E$2:$E$42,MATCH(D32,'03_MATERIALES'!$A$2:$A$42,0))/1000*p_densidad_acero,IF(E32="PERFIL_LONGITUD",F32*I32*p_kg_por_m_perfil,""))</f>
        <v>12.36375</v>
      </c>
      <c r="L32" s="6" t="n">
        <f aca="false">IF(E32="CHAPA_AREA",K32*INDEX('03_MATERIALES'!$H$2:$H$42,MATCH(D32,'03_MATERIALES'!$A$2:$A$42,0))/p_aprovechamiento_chapa,IF(E32="PERFIL_LONGITUD",K32*INDEX('03_MATERIALES'!$H$2:$H$42,MATCH(D32,'03_MATERIALES'!$A$2:$A$42,0))/p_aprovechamiento_perfil,IF(E32="UNIDAD",F32*INDEX('03_MATERIALES'!$H$2:$H$42,MATCH(D32,'03_MATERIALES'!$A$2:$A$42,0)),"")))</f>
        <v>91.3842391304348</v>
      </c>
      <c r="M32" s="12" t="n">
        <f aca="false">IF(N(J32)&gt;0,F32*J32/p_area_plancha_m2,"")</f>
        <v>0.364583333333333</v>
      </c>
      <c r="N32" s="4" t="s">
        <v>30</v>
      </c>
    </row>
    <row r="33" customFormat="false" ht="15" hidden="false" customHeight="false" outlineLevel="0" collapsed="false">
      <c r="A33" s="4" t="s">
        <v>630</v>
      </c>
      <c r="B33" s="4" t="s">
        <v>375</v>
      </c>
      <c r="C33" s="4" t="s">
        <v>631</v>
      </c>
      <c r="D33" s="4" t="s">
        <v>483</v>
      </c>
      <c r="E33" s="4" t="s">
        <v>579</v>
      </c>
      <c r="F33" s="3" t="n">
        <v>8</v>
      </c>
      <c r="K33" s="12" t="str">
        <f aca="false">IF(E33="CHAPA_AREA",F33*J33*INDEX('03_MATERIALES'!$E$2:$E$42,MATCH(D33,'03_MATERIALES'!$A$2:$A$42,0))/1000*p_densidad_acero,IF(E33="PERFIL_LONGITUD",F33*I33*p_kg_por_m_perfil,""))</f>
        <v/>
      </c>
      <c r="L33" s="6" t="n">
        <f aca="false">IF(E33="CHAPA_AREA",K33*INDEX('03_MATERIALES'!$H$2:$H$42,MATCH(D33,'03_MATERIALES'!$A$2:$A$42,0))/p_aprovechamiento_chapa,IF(E33="PERFIL_LONGITUD",K33*INDEX('03_MATERIALES'!$H$2:$H$42,MATCH(D33,'03_MATERIALES'!$A$2:$A$42,0))/p_aprovechamiento_perfil,IF(E33="UNIDAD",F33*INDEX('03_MATERIALES'!$H$2:$H$42,MATCH(D33,'03_MATERIALES'!$A$2:$A$42,0)),"")))</f>
        <v>7.2</v>
      </c>
      <c r="M33" s="12" t="str">
        <f aca="false">IF(N(J33)&gt;0,F33*J33/p_area_plancha_m2,"")</f>
        <v/>
      </c>
      <c r="N33" s="4" t="s">
        <v>30</v>
      </c>
    </row>
    <row r="34" customFormat="false" ht="15" hidden="false" customHeight="false" outlineLevel="0" collapsed="false">
      <c r="A34" s="4" t="s">
        <v>632</v>
      </c>
      <c r="B34" s="4" t="s">
        <v>375</v>
      </c>
      <c r="C34" s="4" t="s">
        <v>633</v>
      </c>
      <c r="D34" s="4" t="s">
        <v>483</v>
      </c>
      <c r="E34" s="4" t="s">
        <v>579</v>
      </c>
      <c r="F34" s="3" t="n">
        <v>4</v>
      </c>
      <c r="K34" s="12" t="str">
        <f aca="false">IF(E34="CHAPA_AREA",F34*J34*INDEX('03_MATERIALES'!$E$2:$E$42,MATCH(D34,'03_MATERIALES'!$A$2:$A$42,0))/1000*p_densidad_acero,IF(E34="PERFIL_LONGITUD",F34*I34*p_kg_por_m_perfil,""))</f>
        <v/>
      </c>
      <c r="L34" s="6" t="n">
        <f aca="false">IF(E34="CHAPA_AREA",K34*INDEX('03_MATERIALES'!$H$2:$H$42,MATCH(D34,'03_MATERIALES'!$A$2:$A$42,0))/p_aprovechamiento_chapa,IF(E34="PERFIL_LONGITUD",K34*INDEX('03_MATERIALES'!$H$2:$H$42,MATCH(D34,'03_MATERIALES'!$A$2:$A$42,0))/p_aprovechamiento_perfil,IF(E34="UNIDAD",F34*INDEX('03_MATERIALES'!$H$2:$H$42,MATCH(D34,'03_MATERIALES'!$A$2:$A$42,0)),"")))</f>
        <v>3.6</v>
      </c>
      <c r="M34" s="12" t="str">
        <f aca="false">IF(N(J34)&gt;0,F34*J34/p_area_plancha_m2,"")</f>
        <v/>
      </c>
      <c r="N34" s="4" t="s">
        <v>30</v>
      </c>
    </row>
    <row r="35" customFormat="false" ht="15" hidden="false" customHeight="false" outlineLevel="0" collapsed="false">
      <c r="A35" s="4" t="s">
        <v>634</v>
      </c>
      <c r="B35" s="4" t="s">
        <v>378</v>
      </c>
      <c r="C35" s="4" t="s">
        <v>635</v>
      </c>
      <c r="D35" s="4" t="s">
        <v>472</v>
      </c>
      <c r="E35" s="4" t="s">
        <v>574</v>
      </c>
      <c r="F35" s="3" t="n">
        <v>2</v>
      </c>
      <c r="J35" s="13" t="n">
        <v>1.1</v>
      </c>
      <c r="K35" s="12" t="n">
        <f aca="false">IF(E35="CHAPA_AREA",F35*J35*INDEX('03_MATERIALES'!$E$2:$E$42,MATCH(D35,'03_MATERIALES'!$A$2:$A$42,0))/1000*p_densidad_acero,IF(E35="PERFIL_LONGITUD",F35*I35*p_kg_por_m_perfil,""))</f>
        <v>25.905</v>
      </c>
      <c r="L35" s="6" t="n">
        <f aca="false">IF(E35="CHAPA_AREA",K35*INDEX('03_MATERIALES'!$H$2:$H$42,MATCH(D35,'03_MATERIALES'!$A$2:$A$42,0))/p_aprovechamiento_chapa,IF(E35="PERFIL_LONGITUD",K35*INDEX('03_MATERIALES'!$H$2:$H$42,MATCH(D35,'03_MATERIALES'!$A$2:$A$42,0))/p_aprovechamiento_perfil,IF(E35="UNIDAD",F35*INDEX('03_MATERIALES'!$H$2:$H$42,MATCH(D35,'03_MATERIALES'!$A$2:$A$42,0)),"")))</f>
        <v>191.471739130435</v>
      </c>
      <c r="M35" s="12" t="n">
        <f aca="false">IF(N(J35)&gt;0,F35*J35/p_area_plancha_m2,"")</f>
        <v>0.763888888888889</v>
      </c>
      <c r="N35" s="4" t="s">
        <v>30</v>
      </c>
    </row>
    <row r="36" customFormat="false" ht="15" hidden="false" customHeight="false" outlineLevel="0" collapsed="false">
      <c r="A36" s="4" t="s">
        <v>636</v>
      </c>
      <c r="B36" s="4" t="s">
        <v>378</v>
      </c>
      <c r="C36" s="4" t="s">
        <v>637</v>
      </c>
      <c r="D36" s="4" t="s">
        <v>472</v>
      </c>
      <c r="E36" s="4" t="s">
        <v>574</v>
      </c>
      <c r="F36" s="3" t="n">
        <v>2</v>
      </c>
      <c r="J36" s="13" t="n">
        <v>0.48</v>
      </c>
      <c r="K36" s="12" t="n">
        <f aca="false">IF(E36="CHAPA_AREA",F36*J36*INDEX('03_MATERIALES'!$E$2:$E$42,MATCH(D36,'03_MATERIALES'!$A$2:$A$42,0))/1000*p_densidad_acero,IF(E36="PERFIL_LONGITUD",F36*I36*p_kg_por_m_perfil,""))</f>
        <v>11.304</v>
      </c>
      <c r="L36" s="6" t="n">
        <f aca="false">IF(E36="CHAPA_AREA",K36*INDEX('03_MATERIALES'!$H$2:$H$42,MATCH(D36,'03_MATERIALES'!$A$2:$A$42,0))/p_aprovechamiento_chapa,IF(E36="PERFIL_LONGITUD",K36*INDEX('03_MATERIALES'!$H$2:$H$42,MATCH(D36,'03_MATERIALES'!$A$2:$A$42,0))/p_aprovechamiento_perfil,IF(E36="UNIDAD",F36*INDEX('03_MATERIALES'!$H$2:$H$42,MATCH(D36,'03_MATERIALES'!$A$2:$A$42,0)),"")))</f>
        <v>83.5513043478261</v>
      </c>
      <c r="M36" s="12" t="n">
        <f aca="false">IF(N(J36)&gt;0,F36*J36/p_area_plancha_m2,"")</f>
        <v>0.333333333333333</v>
      </c>
      <c r="N36" s="4" t="s">
        <v>30</v>
      </c>
    </row>
    <row r="37" customFormat="false" ht="15" hidden="false" customHeight="false" outlineLevel="0" collapsed="false">
      <c r="A37" s="4" t="s">
        <v>638</v>
      </c>
      <c r="B37" s="4" t="s">
        <v>378</v>
      </c>
      <c r="C37" s="4" t="s">
        <v>639</v>
      </c>
      <c r="D37" s="4" t="s">
        <v>472</v>
      </c>
      <c r="E37" s="4" t="s">
        <v>574</v>
      </c>
      <c r="F37" s="3" t="n">
        <v>1</v>
      </c>
      <c r="J37" s="13" t="n">
        <v>1.8</v>
      </c>
      <c r="K37" s="12" t="n">
        <f aca="false">IF(E37="CHAPA_AREA",F37*J37*INDEX('03_MATERIALES'!$E$2:$E$42,MATCH(D37,'03_MATERIALES'!$A$2:$A$42,0))/1000*p_densidad_acero,IF(E37="PERFIL_LONGITUD",F37*I37*p_kg_por_m_perfil,""))</f>
        <v>21.195</v>
      </c>
      <c r="L37" s="6" t="n">
        <f aca="false">IF(E37="CHAPA_AREA",K37*INDEX('03_MATERIALES'!$H$2:$H$42,MATCH(D37,'03_MATERIALES'!$A$2:$A$42,0))/p_aprovechamiento_chapa,IF(E37="PERFIL_LONGITUD",K37*INDEX('03_MATERIALES'!$H$2:$H$42,MATCH(D37,'03_MATERIALES'!$A$2:$A$42,0))/p_aprovechamiento_perfil,IF(E37="UNIDAD",F37*INDEX('03_MATERIALES'!$H$2:$H$42,MATCH(D37,'03_MATERIALES'!$A$2:$A$42,0)),"")))</f>
        <v>156.658695652174</v>
      </c>
      <c r="M37" s="12" t="n">
        <f aca="false">IF(N(J37)&gt;0,F37*J37/p_area_plancha_m2,"")</f>
        <v>0.625</v>
      </c>
      <c r="N37" s="4" t="s">
        <v>30</v>
      </c>
    </row>
    <row r="38" customFormat="false" ht="15" hidden="false" customHeight="false" outlineLevel="0" collapsed="false">
      <c r="A38" s="4" t="s">
        <v>640</v>
      </c>
      <c r="B38" s="4" t="s">
        <v>378</v>
      </c>
      <c r="C38" s="4" t="s">
        <v>641</v>
      </c>
      <c r="D38" s="4" t="s">
        <v>472</v>
      </c>
      <c r="E38" s="4" t="s">
        <v>574</v>
      </c>
      <c r="F38" s="3" t="n">
        <v>6</v>
      </c>
      <c r="J38" s="13" t="n">
        <v>0.3</v>
      </c>
      <c r="K38" s="12" t="n">
        <f aca="false">IF(E38="CHAPA_AREA",F38*J38*INDEX('03_MATERIALES'!$E$2:$E$42,MATCH(D38,'03_MATERIALES'!$A$2:$A$42,0))/1000*p_densidad_acero,IF(E38="PERFIL_LONGITUD",F38*I38*p_kg_por_m_perfil,""))</f>
        <v>21.195</v>
      </c>
      <c r="L38" s="6" t="n">
        <f aca="false">IF(E38="CHAPA_AREA",K38*INDEX('03_MATERIALES'!$H$2:$H$42,MATCH(D38,'03_MATERIALES'!$A$2:$A$42,0))/p_aprovechamiento_chapa,IF(E38="PERFIL_LONGITUD",K38*INDEX('03_MATERIALES'!$H$2:$H$42,MATCH(D38,'03_MATERIALES'!$A$2:$A$42,0))/p_aprovechamiento_perfil,IF(E38="UNIDAD",F38*INDEX('03_MATERIALES'!$H$2:$H$42,MATCH(D38,'03_MATERIALES'!$A$2:$A$42,0)),"")))</f>
        <v>156.658695652174</v>
      </c>
      <c r="M38" s="12" t="n">
        <f aca="false">IF(N(J38)&gt;0,F38*J38/p_area_plancha_m2,"")</f>
        <v>0.625</v>
      </c>
      <c r="N38" s="4" t="s">
        <v>30</v>
      </c>
    </row>
    <row r="39" customFormat="false" ht="15" hidden="false" customHeight="false" outlineLevel="0" collapsed="false">
      <c r="A39" s="4" t="s">
        <v>642</v>
      </c>
      <c r="B39" s="4" t="s">
        <v>378</v>
      </c>
      <c r="C39" s="4" t="s">
        <v>643</v>
      </c>
      <c r="D39" s="4" t="s">
        <v>472</v>
      </c>
      <c r="E39" s="4" t="s">
        <v>574</v>
      </c>
      <c r="F39" s="3" t="n">
        <v>2</v>
      </c>
      <c r="J39" s="13" t="n">
        <v>0.7</v>
      </c>
      <c r="K39" s="12" t="n">
        <f aca="false">IF(E39="CHAPA_AREA",F39*J39*INDEX('03_MATERIALES'!$E$2:$E$42,MATCH(D39,'03_MATERIALES'!$A$2:$A$42,0))/1000*p_densidad_acero,IF(E39="PERFIL_LONGITUD",F39*I39*p_kg_por_m_perfil,""))</f>
        <v>16.485</v>
      </c>
      <c r="L39" s="6" t="n">
        <f aca="false">IF(E39="CHAPA_AREA",K39*INDEX('03_MATERIALES'!$H$2:$H$42,MATCH(D39,'03_MATERIALES'!$A$2:$A$42,0))/p_aprovechamiento_chapa,IF(E39="PERFIL_LONGITUD",K39*INDEX('03_MATERIALES'!$H$2:$H$42,MATCH(D39,'03_MATERIALES'!$A$2:$A$42,0))/p_aprovechamiento_perfil,IF(E39="UNIDAD",F39*INDEX('03_MATERIALES'!$H$2:$H$42,MATCH(D39,'03_MATERIALES'!$A$2:$A$42,0)),"")))</f>
        <v>121.845652173913</v>
      </c>
      <c r="M39" s="12" t="n">
        <f aca="false">IF(N(J39)&gt;0,F39*J39/p_area_plancha_m2,"")</f>
        <v>0.486111111111111</v>
      </c>
      <c r="N39" s="4" t="s">
        <v>30</v>
      </c>
    </row>
    <row r="40" customFormat="false" ht="15" hidden="false" customHeight="false" outlineLevel="0" collapsed="false">
      <c r="A40" s="4" t="s">
        <v>644</v>
      </c>
      <c r="B40" s="4" t="s">
        <v>378</v>
      </c>
      <c r="C40" s="4" t="s">
        <v>645</v>
      </c>
      <c r="D40" s="4" t="s">
        <v>472</v>
      </c>
      <c r="E40" s="4" t="s">
        <v>574</v>
      </c>
      <c r="F40" s="3" t="n">
        <v>4</v>
      </c>
      <c r="J40" s="13" t="n">
        <v>0.4</v>
      </c>
      <c r="K40" s="12" t="n">
        <f aca="false">IF(E40="CHAPA_AREA",F40*J40*INDEX('03_MATERIALES'!$E$2:$E$42,MATCH(D40,'03_MATERIALES'!$A$2:$A$42,0))/1000*p_densidad_acero,IF(E40="PERFIL_LONGITUD",F40*I40*p_kg_por_m_perfil,""))</f>
        <v>18.84</v>
      </c>
      <c r="L40" s="6" t="n">
        <f aca="false">IF(E40="CHAPA_AREA",K40*INDEX('03_MATERIALES'!$H$2:$H$42,MATCH(D40,'03_MATERIALES'!$A$2:$A$42,0))/p_aprovechamiento_chapa,IF(E40="PERFIL_LONGITUD",K40*INDEX('03_MATERIALES'!$H$2:$H$42,MATCH(D40,'03_MATERIALES'!$A$2:$A$42,0))/p_aprovechamiento_perfil,IF(E40="UNIDAD",F40*INDEX('03_MATERIALES'!$H$2:$H$42,MATCH(D40,'03_MATERIALES'!$A$2:$A$42,0)),"")))</f>
        <v>139.252173913044</v>
      </c>
      <c r="M40" s="12" t="n">
        <f aca="false">IF(N(J40)&gt;0,F40*J40/p_area_plancha_m2,"")</f>
        <v>0.555555555555556</v>
      </c>
      <c r="N40" s="4" t="s">
        <v>30</v>
      </c>
    </row>
    <row r="41" customFormat="false" ht="15" hidden="false" customHeight="false" outlineLevel="0" collapsed="false">
      <c r="A41" s="4" t="s">
        <v>646</v>
      </c>
      <c r="B41" s="4" t="s">
        <v>378</v>
      </c>
      <c r="C41" s="4" t="s">
        <v>631</v>
      </c>
      <c r="D41" s="4" t="s">
        <v>483</v>
      </c>
      <c r="E41" s="4" t="s">
        <v>579</v>
      </c>
      <c r="F41" s="3" t="n">
        <v>12</v>
      </c>
      <c r="K41" s="12" t="str">
        <f aca="false">IF(E41="CHAPA_AREA",F41*J41*INDEX('03_MATERIALES'!$E$2:$E$42,MATCH(D41,'03_MATERIALES'!$A$2:$A$42,0))/1000*p_densidad_acero,IF(E41="PERFIL_LONGITUD",F41*I41*p_kg_por_m_perfil,""))</f>
        <v/>
      </c>
      <c r="L41" s="6" t="n">
        <f aca="false">IF(E41="CHAPA_AREA",K41*INDEX('03_MATERIALES'!$H$2:$H$42,MATCH(D41,'03_MATERIALES'!$A$2:$A$42,0))/p_aprovechamiento_chapa,IF(E41="PERFIL_LONGITUD",K41*INDEX('03_MATERIALES'!$H$2:$H$42,MATCH(D41,'03_MATERIALES'!$A$2:$A$42,0))/p_aprovechamiento_perfil,IF(E41="UNIDAD",F41*INDEX('03_MATERIALES'!$H$2:$H$42,MATCH(D41,'03_MATERIALES'!$A$2:$A$42,0)),"")))</f>
        <v>10.8</v>
      </c>
      <c r="M41" s="12" t="str">
        <f aca="false">IF(N(J41)&gt;0,F41*J41/p_area_plancha_m2,"")</f>
        <v/>
      </c>
      <c r="N41" s="4" t="s">
        <v>30</v>
      </c>
    </row>
    <row r="42" customFormat="false" ht="15" hidden="false" customHeight="false" outlineLevel="0" collapsed="false">
      <c r="A42" s="4" t="s">
        <v>647</v>
      </c>
      <c r="B42" s="4" t="s">
        <v>378</v>
      </c>
      <c r="C42" s="4" t="s">
        <v>633</v>
      </c>
      <c r="D42" s="4" t="s">
        <v>483</v>
      </c>
      <c r="E42" s="4" t="s">
        <v>579</v>
      </c>
      <c r="F42" s="3" t="n">
        <v>6</v>
      </c>
      <c r="K42" s="12" t="str">
        <f aca="false">IF(E42="CHAPA_AREA",F42*J42*INDEX('03_MATERIALES'!$E$2:$E$42,MATCH(D42,'03_MATERIALES'!$A$2:$A$42,0))/1000*p_densidad_acero,IF(E42="PERFIL_LONGITUD",F42*I42*p_kg_por_m_perfil,""))</f>
        <v/>
      </c>
      <c r="L42" s="6" t="n">
        <f aca="false">IF(E42="CHAPA_AREA",K42*INDEX('03_MATERIALES'!$H$2:$H$42,MATCH(D42,'03_MATERIALES'!$A$2:$A$42,0))/p_aprovechamiento_chapa,IF(E42="PERFIL_LONGITUD",K42*INDEX('03_MATERIALES'!$H$2:$H$42,MATCH(D42,'03_MATERIALES'!$A$2:$A$42,0))/p_aprovechamiento_perfil,IF(E42="UNIDAD",F42*INDEX('03_MATERIALES'!$H$2:$H$42,MATCH(D42,'03_MATERIALES'!$A$2:$A$42,0)),"")))</f>
        <v>5.4</v>
      </c>
      <c r="M42" s="12" t="str">
        <f aca="false">IF(N(J42)&gt;0,F42*J42/p_area_plancha_m2,"")</f>
        <v/>
      </c>
      <c r="N42" s="4" t="s">
        <v>30</v>
      </c>
    </row>
    <row r="43" customFormat="false" ht="15" hidden="false" customHeight="false" outlineLevel="0" collapsed="false">
      <c r="A43" s="4" t="s">
        <v>648</v>
      </c>
      <c r="B43" s="4" t="s">
        <v>393</v>
      </c>
      <c r="C43" s="4" t="s">
        <v>649</v>
      </c>
      <c r="D43" s="4" t="s">
        <v>470</v>
      </c>
      <c r="E43" s="4" t="s">
        <v>574</v>
      </c>
      <c r="F43" s="3" t="n">
        <v>2</v>
      </c>
      <c r="J43" s="13" t="n">
        <v>0.95</v>
      </c>
      <c r="K43" s="12" t="n">
        <f aca="false">IF(E43="CHAPA_AREA",F43*J43*INDEX('03_MATERIALES'!$E$2:$E$42,MATCH(D43,'03_MATERIALES'!$A$2:$A$42,0))/1000*p_densidad_acero,IF(E43="PERFIL_LONGITUD",F43*I43*p_kg_por_m_perfil,""))</f>
        <v>14.915</v>
      </c>
      <c r="L43" s="6" t="n">
        <f aca="false">IF(E43="CHAPA_AREA",K43*INDEX('03_MATERIALES'!$H$2:$H$42,MATCH(D43,'03_MATERIALES'!$A$2:$A$42,0))/p_aprovechamiento_chapa,IF(E43="PERFIL_LONGITUD",K43*INDEX('03_MATERIALES'!$H$2:$H$42,MATCH(D43,'03_MATERIALES'!$A$2:$A$42,0))/p_aprovechamiento_perfil,IF(E43="UNIDAD",F43*INDEX('03_MATERIALES'!$H$2:$H$42,MATCH(D43,'03_MATERIALES'!$A$2:$A$42,0)),"")))</f>
        <v>110.241304347826</v>
      </c>
      <c r="M43" s="12" t="n">
        <f aca="false">IF(N(J43)&gt;0,F43*J43/p_area_plancha_m2,"")</f>
        <v>0.659722222222222</v>
      </c>
      <c r="N43" s="4" t="s">
        <v>30</v>
      </c>
    </row>
    <row r="44" customFormat="false" ht="15" hidden="false" customHeight="false" outlineLevel="0" collapsed="false">
      <c r="A44" s="4" t="s">
        <v>650</v>
      </c>
      <c r="B44" s="4" t="s">
        <v>393</v>
      </c>
      <c r="C44" s="4" t="s">
        <v>625</v>
      </c>
      <c r="D44" s="4" t="s">
        <v>470</v>
      </c>
      <c r="E44" s="4" t="s">
        <v>574</v>
      </c>
      <c r="F44" s="3" t="n">
        <v>1</v>
      </c>
      <c r="J44" s="13" t="n">
        <v>1.3</v>
      </c>
      <c r="K44" s="12" t="n">
        <f aca="false">IF(E44="CHAPA_AREA",F44*J44*INDEX('03_MATERIALES'!$E$2:$E$42,MATCH(D44,'03_MATERIALES'!$A$2:$A$42,0))/1000*p_densidad_acero,IF(E44="PERFIL_LONGITUD",F44*I44*p_kg_por_m_perfil,""))</f>
        <v>10.205</v>
      </c>
      <c r="L44" s="6" t="n">
        <f aca="false">IF(E44="CHAPA_AREA",K44*INDEX('03_MATERIALES'!$H$2:$H$42,MATCH(D44,'03_MATERIALES'!$A$2:$A$42,0))/p_aprovechamiento_chapa,IF(E44="PERFIL_LONGITUD",K44*INDEX('03_MATERIALES'!$H$2:$H$42,MATCH(D44,'03_MATERIALES'!$A$2:$A$42,0))/p_aprovechamiento_perfil,IF(E44="UNIDAD",F44*INDEX('03_MATERIALES'!$H$2:$H$42,MATCH(D44,'03_MATERIALES'!$A$2:$A$42,0)),"")))</f>
        <v>75.4282608695652</v>
      </c>
      <c r="M44" s="12" t="n">
        <f aca="false">IF(N(J44)&gt;0,F44*J44/p_area_plancha_m2,"")</f>
        <v>0.451388888888889</v>
      </c>
      <c r="N44" s="4" t="s">
        <v>30</v>
      </c>
    </row>
    <row r="45" customFormat="false" ht="15" hidden="false" customHeight="false" outlineLevel="0" collapsed="false">
      <c r="A45" s="4" t="s">
        <v>651</v>
      </c>
      <c r="B45" s="4" t="s">
        <v>393</v>
      </c>
      <c r="C45" s="4" t="s">
        <v>637</v>
      </c>
      <c r="D45" s="4" t="s">
        <v>470</v>
      </c>
      <c r="E45" s="4" t="s">
        <v>574</v>
      </c>
      <c r="F45" s="3" t="n">
        <v>2</v>
      </c>
      <c r="J45" s="13" t="n">
        <v>0.5</v>
      </c>
      <c r="K45" s="12" t="n">
        <f aca="false">IF(E45="CHAPA_AREA",F45*J45*INDEX('03_MATERIALES'!$E$2:$E$42,MATCH(D45,'03_MATERIALES'!$A$2:$A$42,0))/1000*p_densidad_acero,IF(E45="PERFIL_LONGITUD",F45*I45*p_kg_por_m_perfil,""))</f>
        <v>7.85</v>
      </c>
      <c r="L45" s="6" t="n">
        <f aca="false">IF(E45="CHAPA_AREA",K45*INDEX('03_MATERIALES'!$H$2:$H$42,MATCH(D45,'03_MATERIALES'!$A$2:$A$42,0))/p_aprovechamiento_chapa,IF(E45="PERFIL_LONGITUD",K45*INDEX('03_MATERIALES'!$H$2:$H$42,MATCH(D45,'03_MATERIALES'!$A$2:$A$42,0))/p_aprovechamiento_perfil,IF(E45="UNIDAD",F45*INDEX('03_MATERIALES'!$H$2:$H$42,MATCH(D45,'03_MATERIALES'!$A$2:$A$42,0)),"")))</f>
        <v>58.0217391304348</v>
      </c>
      <c r="M45" s="12" t="n">
        <f aca="false">IF(N(J45)&gt;0,F45*J45/p_area_plancha_m2,"")</f>
        <v>0.347222222222222</v>
      </c>
      <c r="N45" s="4" t="s">
        <v>30</v>
      </c>
    </row>
    <row r="46" customFormat="false" ht="15" hidden="false" customHeight="false" outlineLevel="0" collapsed="false">
      <c r="A46" s="4" t="s">
        <v>652</v>
      </c>
      <c r="B46" s="4" t="s">
        <v>393</v>
      </c>
      <c r="C46" s="4" t="s">
        <v>653</v>
      </c>
      <c r="D46" s="4" t="s">
        <v>470</v>
      </c>
      <c r="E46" s="4" t="s">
        <v>574</v>
      </c>
      <c r="F46" s="3" t="n">
        <v>2</v>
      </c>
      <c r="J46" s="13" t="n">
        <v>0.7</v>
      </c>
      <c r="K46" s="12" t="n">
        <f aca="false">IF(E46="CHAPA_AREA",F46*J46*INDEX('03_MATERIALES'!$E$2:$E$42,MATCH(D46,'03_MATERIALES'!$A$2:$A$42,0))/1000*p_densidad_acero,IF(E46="PERFIL_LONGITUD",F46*I46*p_kg_por_m_perfil,""))</f>
        <v>10.99</v>
      </c>
      <c r="L46" s="6" t="n">
        <f aca="false">IF(E46="CHAPA_AREA",K46*INDEX('03_MATERIALES'!$H$2:$H$42,MATCH(D46,'03_MATERIALES'!$A$2:$A$42,0))/p_aprovechamiento_chapa,IF(E46="PERFIL_LONGITUD",K46*INDEX('03_MATERIALES'!$H$2:$H$42,MATCH(D46,'03_MATERIALES'!$A$2:$A$42,0))/p_aprovechamiento_perfil,IF(E46="UNIDAD",F46*INDEX('03_MATERIALES'!$H$2:$H$42,MATCH(D46,'03_MATERIALES'!$A$2:$A$42,0)),"")))</f>
        <v>81.2304347826087</v>
      </c>
      <c r="M46" s="12" t="n">
        <f aca="false">IF(N(J46)&gt;0,F46*J46/p_area_plancha_m2,"")</f>
        <v>0.486111111111111</v>
      </c>
      <c r="N46" s="4" t="s">
        <v>30</v>
      </c>
    </row>
    <row r="47" customFormat="false" ht="15" hidden="false" customHeight="false" outlineLevel="0" collapsed="false">
      <c r="A47" s="4" t="s">
        <v>654</v>
      </c>
      <c r="B47" s="4" t="s">
        <v>393</v>
      </c>
      <c r="C47" s="4" t="s">
        <v>613</v>
      </c>
      <c r="D47" s="4" t="s">
        <v>470</v>
      </c>
      <c r="E47" s="4" t="s">
        <v>574</v>
      </c>
      <c r="F47" s="3" t="n">
        <v>3</v>
      </c>
      <c r="J47" s="13" t="n">
        <v>0.48</v>
      </c>
      <c r="K47" s="12" t="n">
        <f aca="false">IF(E47="CHAPA_AREA",F47*J47*INDEX('03_MATERIALES'!$E$2:$E$42,MATCH(D47,'03_MATERIALES'!$A$2:$A$42,0))/1000*p_densidad_acero,IF(E47="PERFIL_LONGITUD",F47*I47*p_kg_por_m_perfil,""))</f>
        <v>11.304</v>
      </c>
      <c r="L47" s="6" t="n">
        <f aca="false">IF(E47="CHAPA_AREA",K47*INDEX('03_MATERIALES'!$H$2:$H$42,MATCH(D47,'03_MATERIALES'!$A$2:$A$42,0))/p_aprovechamiento_chapa,IF(E47="PERFIL_LONGITUD",K47*INDEX('03_MATERIALES'!$H$2:$H$42,MATCH(D47,'03_MATERIALES'!$A$2:$A$42,0))/p_aprovechamiento_perfil,IF(E47="UNIDAD",F47*INDEX('03_MATERIALES'!$H$2:$H$42,MATCH(D47,'03_MATERIALES'!$A$2:$A$42,0)),"")))</f>
        <v>83.5513043478261</v>
      </c>
      <c r="M47" s="12" t="n">
        <f aca="false">IF(N(J47)&gt;0,F47*J47/p_area_plancha_m2,"")</f>
        <v>0.5</v>
      </c>
      <c r="N47" s="4" t="s">
        <v>30</v>
      </c>
    </row>
    <row r="48" customFormat="false" ht="15" hidden="false" customHeight="false" outlineLevel="0" collapsed="false">
      <c r="A48" s="4" t="s">
        <v>655</v>
      </c>
      <c r="B48" s="4" t="s">
        <v>393</v>
      </c>
      <c r="C48" s="4" t="s">
        <v>631</v>
      </c>
      <c r="D48" s="4" t="s">
        <v>483</v>
      </c>
      <c r="E48" s="4" t="s">
        <v>579</v>
      </c>
      <c r="F48" s="3" t="n">
        <v>4</v>
      </c>
      <c r="K48" s="12" t="str">
        <f aca="false">IF(E48="CHAPA_AREA",F48*J48*INDEX('03_MATERIALES'!$E$2:$E$42,MATCH(D48,'03_MATERIALES'!$A$2:$A$42,0))/1000*p_densidad_acero,IF(E48="PERFIL_LONGITUD",F48*I48*p_kg_por_m_perfil,""))</f>
        <v/>
      </c>
      <c r="L48" s="6" t="n">
        <f aca="false">IF(E48="CHAPA_AREA",K48*INDEX('03_MATERIALES'!$H$2:$H$42,MATCH(D48,'03_MATERIALES'!$A$2:$A$42,0))/p_aprovechamiento_chapa,IF(E48="PERFIL_LONGITUD",K48*INDEX('03_MATERIALES'!$H$2:$H$42,MATCH(D48,'03_MATERIALES'!$A$2:$A$42,0))/p_aprovechamiento_perfil,IF(E48="UNIDAD",F48*INDEX('03_MATERIALES'!$H$2:$H$42,MATCH(D48,'03_MATERIALES'!$A$2:$A$42,0)),"")))</f>
        <v>3.6</v>
      </c>
      <c r="M48" s="12" t="str">
        <f aca="false">IF(N(J48)&gt;0,F48*J48/p_area_plancha_m2,"")</f>
        <v/>
      </c>
      <c r="N48" s="4" t="s">
        <v>30</v>
      </c>
    </row>
    <row r="49" customFormat="false" ht="15" hidden="false" customHeight="false" outlineLevel="0" collapsed="false">
      <c r="A49" s="4" t="s">
        <v>656</v>
      </c>
      <c r="B49" s="4" t="s">
        <v>393</v>
      </c>
      <c r="C49" s="4" t="s">
        <v>633</v>
      </c>
      <c r="D49" s="4" t="s">
        <v>483</v>
      </c>
      <c r="E49" s="4" t="s">
        <v>579</v>
      </c>
      <c r="F49" s="3" t="n">
        <v>2</v>
      </c>
      <c r="K49" s="12" t="str">
        <f aca="false">IF(E49="CHAPA_AREA",F49*J49*INDEX('03_MATERIALES'!$E$2:$E$42,MATCH(D49,'03_MATERIALES'!$A$2:$A$42,0))/1000*p_densidad_acero,IF(E49="PERFIL_LONGITUD",F49*I49*p_kg_por_m_perfil,""))</f>
        <v/>
      </c>
      <c r="L49" s="6" t="n">
        <f aca="false">IF(E49="CHAPA_AREA",K49*INDEX('03_MATERIALES'!$H$2:$H$42,MATCH(D49,'03_MATERIALES'!$A$2:$A$42,0))/p_aprovechamiento_chapa,IF(E49="PERFIL_LONGITUD",K49*INDEX('03_MATERIALES'!$H$2:$H$42,MATCH(D49,'03_MATERIALES'!$A$2:$A$42,0))/p_aprovechamiento_perfil,IF(E49="UNIDAD",F49*INDEX('03_MATERIALES'!$H$2:$H$42,MATCH(D49,'03_MATERIALES'!$A$2:$A$42,0)),"")))</f>
        <v>1.8</v>
      </c>
      <c r="M49" s="12" t="str">
        <f aca="false">IF(N(J49)&gt;0,F49*J49/p_area_plancha_m2,"")</f>
        <v/>
      </c>
      <c r="N49" s="4" t="s">
        <v>30</v>
      </c>
    </row>
    <row r="50" customFormat="false" ht="15" hidden="false" customHeight="false" outlineLevel="0" collapsed="false">
      <c r="A50" s="4" t="s">
        <v>657</v>
      </c>
      <c r="B50" s="4" t="s">
        <v>396</v>
      </c>
      <c r="C50" s="4" t="s">
        <v>658</v>
      </c>
      <c r="D50" s="4" t="s">
        <v>480</v>
      </c>
      <c r="E50" s="4" t="s">
        <v>567</v>
      </c>
      <c r="F50" s="3" t="n">
        <v>4</v>
      </c>
      <c r="I50" s="11" t="n">
        <v>1.65</v>
      </c>
      <c r="K50" s="12" t="n">
        <f aca="false">IF(E50="CHAPA_AREA",F50*J50*INDEX('03_MATERIALES'!$E$2:$E$42,MATCH(D50,'03_MATERIALES'!$A$2:$A$42,0))/1000*p_densidad_acero,IF(E50="PERFIL_LONGITUD",F50*I50*p_kg_por_m_perfil,""))</f>
        <v>9.9</v>
      </c>
      <c r="L50" s="6" t="n">
        <f aca="false">IF(E50="CHAPA_AREA",K50*INDEX('03_MATERIALES'!$H$2:$H$42,MATCH(D50,'03_MATERIALES'!$A$2:$A$42,0))/p_aprovechamiento_chapa,IF(E50="PERFIL_LONGITUD",K50*INDEX('03_MATERIALES'!$H$2:$H$42,MATCH(D50,'03_MATERIALES'!$A$2:$A$42,0))/p_aprovechamiento_perfil,IF(E50="UNIDAD",F50*INDEX('03_MATERIALES'!$H$2:$H$42,MATCH(D50,'03_MATERIALES'!$A$2:$A$42,0)),"")))</f>
        <v>62.90625</v>
      </c>
      <c r="M50" s="12" t="str">
        <f aca="false">IF(N(J50)&gt;0,F50*J50/p_area_plancha_m2,"")</f>
        <v/>
      </c>
      <c r="N50" s="4" t="s">
        <v>30</v>
      </c>
    </row>
    <row r="51" customFormat="false" ht="15" hidden="false" customHeight="false" outlineLevel="0" collapsed="false">
      <c r="A51" s="4" t="s">
        <v>659</v>
      </c>
      <c r="B51" s="4" t="s">
        <v>396</v>
      </c>
      <c r="C51" s="4" t="s">
        <v>660</v>
      </c>
      <c r="D51" s="4" t="s">
        <v>480</v>
      </c>
      <c r="E51" s="4" t="s">
        <v>567</v>
      </c>
      <c r="F51" s="3" t="n">
        <v>8</v>
      </c>
      <c r="I51" s="11" t="n">
        <v>0.9</v>
      </c>
      <c r="K51" s="12" t="n">
        <f aca="false">IF(E51="CHAPA_AREA",F51*J51*INDEX('03_MATERIALES'!$E$2:$E$42,MATCH(D51,'03_MATERIALES'!$A$2:$A$42,0))/1000*p_densidad_acero,IF(E51="PERFIL_LONGITUD",F51*I51*p_kg_por_m_perfil,""))</f>
        <v>10.8</v>
      </c>
      <c r="L51" s="6" t="n">
        <f aca="false">IF(E51="CHAPA_AREA",K51*INDEX('03_MATERIALES'!$H$2:$H$42,MATCH(D51,'03_MATERIALES'!$A$2:$A$42,0))/p_aprovechamiento_chapa,IF(E51="PERFIL_LONGITUD",K51*INDEX('03_MATERIALES'!$H$2:$H$42,MATCH(D51,'03_MATERIALES'!$A$2:$A$42,0))/p_aprovechamiento_perfil,IF(E51="UNIDAD",F51*INDEX('03_MATERIALES'!$H$2:$H$42,MATCH(D51,'03_MATERIALES'!$A$2:$A$42,0)),"")))</f>
        <v>68.625</v>
      </c>
      <c r="M51" s="12" t="str">
        <f aca="false">IF(N(J51)&gt;0,F51*J51/p_area_plancha_m2,"")</f>
        <v/>
      </c>
      <c r="N51" s="4" t="s">
        <v>30</v>
      </c>
    </row>
    <row r="52" customFormat="false" ht="15" hidden="false" customHeight="false" outlineLevel="0" collapsed="false">
      <c r="A52" s="4" t="s">
        <v>661</v>
      </c>
      <c r="B52" s="4" t="s">
        <v>396</v>
      </c>
      <c r="C52" s="4" t="s">
        <v>613</v>
      </c>
      <c r="D52" s="4" t="s">
        <v>470</v>
      </c>
      <c r="E52" s="4" t="s">
        <v>574</v>
      </c>
      <c r="F52" s="3" t="n">
        <v>5</v>
      </c>
      <c r="J52" s="13" t="n">
        <v>0.4</v>
      </c>
      <c r="K52" s="12" t="n">
        <f aca="false">IF(E52="CHAPA_AREA",F52*J52*INDEX('03_MATERIALES'!$E$2:$E$42,MATCH(D52,'03_MATERIALES'!$A$2:$A$42,0))/1000*p_densidad_acero,IF(E52="PERFIL_LONGITUD",F52*I52*p_kg_por_m_perfil,""))</f>
        <v>15.7</v>
      </c>
      <c r="L52" s="6" t="n">
        <f aca="false">IF(E52="CHAPA_AREA",K52*INDEX('03_MATERIALES'!$H$2:$H$42,MATCH(D52,'03_MATERIALES'!$A$2:$A$42,0))/p_aprovechamiento_chapa,IF(E52="PERFIL_LONGITUD",K52*INDEX('03_MATERIALES'!$H$2:$H$42,MATCH(D52,'03_MATERIALES'!$A$2:$A$42,0))/p_aprovechamiento_perfil,IF(E52="UNIDAD",F52*INDEX('03_MATERIALES'!$H$2:$H$42,MATCH(D52,'03_MATERIALES'!$A$2:$A$42,0)),"")))</f>
        <v>116.04347826087</v>
      </c>
      <c r="M52" s="12" t="n">
        <f aca="false">IF(N(J52)&gt;0,F52*J52/p_area_plancha_m2,"")</f>
        <v>0.694444444444444</v>
      </c>
      <c r="N52" s="4" t="s">
        <v>30</v>
      </c>
    </row>
    <row r="53" customFormat="false" ht="15" hidden="false" customHeight="false" outlineLevel="0" collapsed="false">
      <c r="A53" s="4" t="s">
        <v>662</v>
      </c>
      <c r="B53" s="4" t="s">
        <v>396</v>
      </c>
      <c r="C53" s="4" t="s">
        <v>663</v>
      </c>
      <c r="D53" s="4" t="s">
        <v>470</v>
      </c>
      <c r="E53" s="4" t="s">
        <v>574</v>
      </c>
      <c r="F53" s="3" t="n">
        <v>8</v>
      </c>
      <c r="J53" s="13" t="n">
        <v>0.035</v>
      </c>
      <c r="K53" s="12" t="n">
        <f aca="false">IF(E53="CHAPA_AREA",F53*J53*INDEX('03_MATERIALES'!$E$2:$E$42,MATCH(D53,'03_MATERIALES'!$A$2:$A$42,0))/1000*p_densidad_acero,IF(E53="PERFIL_LONGITUD",F53*I53*p_kg_por_m_perfil,""))</f>
        <v>2.198</v>
      </c>
      <c r="L53" s="6" t="n">
        <f aca="false">IF(E53="CHAPA_AREA",K53*INDEX('03_MATERIALES'!$H$2:$H$42,MATCH(D53,'03_MATERIALES'!$A$2:$A$42,0))/p_aprovechamiento_chapa,IF(E53="PERFIL_LONGITUD",K53*INDEX('03_MATERIALES'!$H$2:$H$42,MATCH(D53,'03_MATERIALES'!$A$2:$A$42,0))/p_aprovechamiento_perfil,IF(E53="UNIDAD",F53*INDEX('03_MATERIALES'!$H$2:$H$42,MATCH(D53,'03_MATERIALES'!$A$2:$A$42,0)),"")))</f>
        <v>16.2460869565217</v>
      </c>
      <c r="M53" s="12" t="n">
        <f aca="false">IF(N(J53)&gt;0,F53*J53/p_area_plancha_m2,"")</f>
        <v>0.0972222222222222</v>
      </c>
      <c r="N53" s="4" t="s">
        <v>30</v>
      </c>
    </row>
    <row r="54" customFormat="false" ht="15" hidden="false" customHeight="false" outlineLevel="0" collapsed="false">
      <c r="A54" s="4" t="s">
        <v>664</v>
      </c>
      <c r="B54" s="4" t="s">
        <v>396</v>
      </c>
      <c r="C54" s="4" t="s">
        <v>665</v>
      </c>
      <c r="D54" s="4" t="s">
        <v>483</v>
      </c>
      <c r="E54" s="4" t="s">
        <v>579</v>
      </c>
      <c r="F54" s="3" t="n">
        <v>32</v>
      </c>
      <c r="K54" s="12" t="str">
        <f aca="false">IF(E54="CHAPA_AREA",F54*J54*INDEX('03_MATERIALES'!$E$2:$E$42,MATCH(D54,'03_MATERIALES'!$A$2:$A$42,0))/1000*p_densidad_acero,IF(E54="PERFIL_LONGITUD",F54*I54*p_kg_por_m_perfil,""))</f>
        <v/>
      </c>
      <c r="L54" s="6" t="n">
        <f aca="false">IF(E54="CHAPA_AREA",K54*INDEX('03_MATERIALES'!$H$2:$H$42,MATCH(D54,'03_MATERIALES'!$A$2:$A$42,0))/p_aprovechamiento_chapa,IF(E54="PERFIL_LONGITUD",K54*INDEX('03_MATERIALES'!$H$2:$H$42,MATCH(D54,'03_MATERIALES'!$A$2:$A$42,0))/p_aprovechamiento_perfil,IF(E54="UNIDAD",F54*INDEX('03_MATERIALES'!$H$2:$H$42,MATCH(D54,'03_MATERIALES'!$A$2:$A$42,0)),"")))</f>
        <v>28.8</v>
      </c>
      <c r="M54" s="12" t="str">
        <f aca="false">IF(N(J54)&gt;0,F54*J54/p_area_plancha_m2,"")</f>
        <v/>
      </c>
      <c r="N54" s="4" t="s">
        <v>30</v>
      </c>
    </row>
    <row r="55" customFormat="false" ht="15" hidden="false" customHeight="false" outlineLevel="0" collapsed="false">
      <c r="A55" s="4" t="s">
        <v>666</v>
      </c>
      <c r="B55" s="4" t="s">
        <v>346</v>
      </c>
      <c r="C55" s="4" t="s">
        <v>667</v>
      </c>
      <c r="D55" s="4" t="s">
        <v>480</v>
      </c>
      <c r="E55" s="4" t="s">
        <v>567</v>
      </c>
      <c r="F55" s="3" t="n">
        <v>4</v>
      </c>
      <c r="I55" s="11" t="n">
        <v>4.5</v>
      </c>
      <c r="K55" s="12" t="n">
        <f aca="false">IF(E55="CHAPA_AREA",F55*J55*INDEX('03_MATERIALES'!$E$2:$E$42,MATCH(D55,'03_MATERIALES'!$A$2:$A$42,0))/1000*p_densidad_acero,IF(E55="PERFIL_LONGITUD",F55*I55*p_kg_por_m_perfil,""))</f>
        <v>27</v>
      </c>
      <c r="L55" s="6" t="n">
        <f aca="false">IF(E55="CHAPA_AREA",K55*INDEX('03_MATERIALES'!$H$2:$H$42,MATCH(D55,'03_MATERIALES'!$A$2:$A$42,0))/p_aprovechamiento_chapa,IF(E55="PERFIL_LONGITUD",K55*INDEX('03_MATERIALES'!$H$2:$H$42,MATCH(D55,'03_MATERIALES'!$A$2:$A$42,0))/p_aprovechamiento_perfil,IF(E55="UNIDAD",F55*INDEX('03_MATERIALES'!$H$2:$H$42,MATCH(D55,'03_MATERIALES'!$A$2:$A$42,0)),"")))</f>
        <v>171.5625</v>
      </c>
      <c r="M55" s="12" t="str">
        <f aca="false">IF(N(J55)&gt;0,F55*J55/p_area_plancha_m2,"")</f>
        <v/>
      </c>
      <c r="N55" s="4" t="s">
        <v>30</v>
      </c>
    </row>
    <row r="56" customFormat="false" ht="15" hidden="false" customHeight="false" outlineLevel="0" collapsed="false">
      <c r="A56" s="4" t="s">
        <v>668</v>
      </c>
      <c r="B56" s="4" t="s">
        <v>346</v>
      </c>
      <c r="C56" s="4" t="s">
        <v>669</v>
      </c>
      <c r="D56" s="4" t="s">
        <v>480</v>
      </c>
      <c r="E56" s="4" t="s">
        <v>567</v>
      </c>
      <c r="F56" s="3" t="n">
        <v>8</v>
      </c>
      <c r="I56" s="11" t="n">
        <v>2.7</v>
      </c>
      <c r="K56" s="12" t="n">
        <f aca="false">IF(E56="CHAPA_AREA",F56*J56*INDEX('03_MATERIALES'!$E$2:$E$42,MATCH(D56,'03_MATERIALES'!$A$2:$A$42,0))/1000*p_densidad_acero,IF(E56="PERFIL_LONGITUD",F56*I56*p_kg_por_m_perfil,""))</f>
        <v>32.4</v>
      </c>
      <c r="L56" s="6" t="n">
        <f aca="false">IF(E56="CHAPA_AREA",K56*INDEX('03_MATERIALES'!$H$2:$H$42,MATCH(D56,'03_MATERIALES'!$A$2:$A$42,0))/p_aprovechamiento_chapa,IF(E56="PERFIL_LONGITUD",K56*INDEX('03_MATERIALES'!$H$2:$H$42,MATCH(D56,'03_MATERIALES'!$A$2:$A$42,0))/p_aprovechamiento_perfil,IF(E56="UNIDAD",F56*INDEX('03_MATERIALES'!$H$2:$H$42,MATCH(D56,'03_MATERIALES'!$A$2:$A$42,0)),"")))</f>
        <v>205.875</v>
      </c>
      <c r="M56" s="12" t="str">
        <f aca="false">IF(N(J56)&gt;0,F56*J56/p_area_plancha_m2,"")</f>
        <v/>
      </c>
      <c r="N56" s="4" t="s">
        <v>30</v>
      </c>
    </row>
    <row r="57" customFormat="false" ht="15" hidden="false" customHeight="false" outlineLevel="0" collapsed="false">
      <c r="A57" s="4" t="s">
        <v>670</v>
      </c>
      <c r="B57" s="4" t="s">
        <v>346</v>
      </c>
      <c r="C57" s="4" t="s">
        <v>587</v>
      </c>
      <c r="D57" s="4" t="s">
        <v>480</v>
      </c>
      <c r="E57" s="4" t="s">
        <v>567</v>
      </c>
      <c r="F57" s="3" t="n">
        <v>8</v>
      </c>
      <c r="I57" s="11" t="n">
        <v>1</v>
      </c>
      <c r="K57" s="12" t="n">
        <f aca="false">IF(E57="CHAPA_AREA",F57*J57*INDEX('03_MATERIALES'!$E$2:$E$42,MATCH(D57,'03_MATERIALES'!$A$2:$A$42,0))/1000*p_densidad_acero,IF(E57="PERFIL_LONGITUD",F57*I57*p_kg_por_m_perfil,""))</f>
        <v>12</v>
      </c>
      <c r="L57" s="6" t="n">
        <f aca="false">IF(E57="CHAPA_AREA",K57*INDEX('03_MATERIALES'!$H$2:$H$42,MATCH(D57,'03_MATERIALES'!$A$2:$A$42,0))/p_aprovechamiento_chapa,IF(E57="PERFIL_LONGITUD",K57*INDEX('03_MATERIALES'!$H$2:$H$42,MATCH(D57,'03_MATERIALES'!$A$2:$A$42,0))/p_aprovechamiento_perfil,IF(E57="UNIDAD",F57*INDEX('03_MATERIALES'!$H$2:$H$42,MATCH(D57,'03_MATERIALES'!$A$2:$A$42,0)),"")))</f>
        <v>76.25</v>
      </c>
      <c r="M57" s="12" t="str">
        <f aca="false">IF(N(J57)&gt;0,F57*J57/p_area_plancha_m2,"")</f>
        <v/>
      </c>
      <c r="N57" s="4" t="s">
        <v>30</v>
      </c>
    </row>
    <row r="58" customFormat="false" ht="15" hidden="false" customHeight="false" outlineLevel="0" collapsed="false">
      <c r="A58" s="4" t="s">
        <v>671</v>
      </c>
      <c r="B58" s="4" t="s">
        <v>346</v>
      </c>
      <c r="C58" s="4" t="s">
        <v>672</v>
      </c>
      <c r="D58" s="4" t="s">
        <v>483</v>
      </c>
      <c r="E58" s="4" t="s">
        <v>579</v>
      </c>
      <c r="F58" s="3" t="n">
        <v>16</v>
      </c>
      <c r="K58" s="12" t="str">
        <f aca="false">IF(E58="CHAPA_AREA",F58*J58*INDEX('03_MATERIALES'!$E$2:$E$42,MATCH(D58,'03_MATERIALES'!$A$2:$A$42,0))/1000*p_densidad_acero,IF(E58="PERFIL_LONGITUD",F58*I58*p_kg_por_m_perfil,""))</f>
        <v/>
      </c>
      <c r="L58" s="6" t="n">
        <f aca="false">IF(E58="CHAPA_AREA",K58*INDEX('03_MATERIALES'!$H$2:$H$42,MATCH(D58,'03_MATERIALES'!$A$2:$A$42,0))/p_aprovechamiento_chapa,IF(E58="PERFIL_LONGITUD",K58*INDEX('03_MATERIALES'!$H$2:$H$42,MATCH(D58,'03_MATERIALES'!$A$2:$A$42,0))/p_aprovechamiento_perfil,IF(E58="UNIDAD",F58*INDEX('03_MATERIALES'!$H$2:$H$42,MATCH(D58,'03_MATERIALES'!$A$2:$A$42,0)),"")))</f>
        <v>14.4</v>
      </c>
      <c r="M58" s="12" t="str">
        <f aca="false">IF(N(J58)&gt;0,F58*J58/p_area_plancha_m2,"")</f>
        <v/>
      </c>
      <c r="N58" s="4" t="s">
        <v>30</v>
      </c>
    </row>
    <row r="59" customFormat="false" ht="15" hidden="false" customHeight="false" outlineLevel="0" collapsed="false">
      <c r="A59" s="4" t="s">
        <v>673</v>
      </c>
      <c r="B59" s="4" t="s">
        <v>349</v>
      </c>
      <c r="C59" s="4" t="s">
        <v>667</v>
      </c>
      <c r="D59" s="4" t="s">
        <v>480</v>
      </c>
      <c r="E59" s="4" t="s">
        <v>567</v>
      </c>
      <c r="F59" s="3" t="n">
        <v>4</v>
      </c>
      <c r="I59" s="11" t="n">
        <v>3</v>
      </c>
      <c r="K59" s="12" t="n">
        <f aca="false">IF(E59="CHAPA_AREA",F59*J59*INDEX('03_MATERIALES'!$E$2:$E$42,MATCH(D59,'03_MATERIALES'!$A$2:$A$42,0))/1000*p_densidad_acero,IF(E59="PERFIL_LONGITUD",F59*I59*p_kg_por_m_perfil,""))</f>
        <v>18</v>
      </c>
      <c r="L59" s="6" t="n">
        <f aca="false">IF(E59="CHAPA_AREA",K59*INDEX('03_MATERIALES'!$H$2:$H$42,MATCH(D59,'03_MATERIALES'!$A$2:$A$42,0))/p_aprovechamiento_chapa,IF(E59="PERFIL_LONGITUD",K59*INDEX('03_MATERIALES'!$H$2:$H$42,MATCH(D59,'03_MATERIALES'!$A$2:$A$42,0))/p_aprovechamiento_perfil,IF(E59="UNIDAD",F59*INDEX('03_MATERIALES'!$H$2:$H$42,MATCH(D59,'03_MATERIALES'!$A$2:$A$42,0)),"")))</f>
        <v>114.375</v>
      </c>
      <c r="M59" s="12" t="str">
        <f aca="false">IF(N(J59)&gt;0,F59*J59/p_area_plancha_m2,"")</f>
        <v/>
      </c>
      <c r="N59" s="4" t="s">
        <v>30</v>
      </c>
    </row>
    <row r="60" customFormat="false" ht="15" hidden="false" customHeight="false" outlineLevel="0" collapsed="false">
      <c r="A60" s="4" t="s">
        <v>674</v>
      </c>
      <c r="B60" s="4" t="s">
        <v>349</v>
      </c>
      <c r="C60" s="4" t="s">
        <v>669</v>
      </c>
      <c r="D60" s="4" t="s">
        <v>480</v>
      </c>
      <c r="E60" s="4" t="s">
        <v>567</v>
      </c>
      <c r="F60" s="3" t="n">
        <v>8</v>
      </c>
      <c r="I60" s="11" t="n">
        <v>2</v>
      </c>
      <c r="K60" s="12" t="n">
        <f aca="false">IF(E60="CHAPA_AREA",F60*J60*INDEX('03_MATERIALES'!$E$2:$E$42,MATCH(D60,'03_MATERIALES'!$A$2:$A$42,0))/1000*p_densidad_acero,IF(E60="PERFIL_LONGITUD",F60*I60*p_kg_por_m_perfil,""))</f>
        <v>24</v>
      </c>
      <c r="L60" s="6" t="n">
        <f aca="false">IF(E60="CHAPA_AREA",K60*INDEX('03_MATERIALES'!$H$2:$H$42,MATCH(D60,'03_MATERIALES'!$A$2:$A$42,0))/p_aprovechamiento_chapa,IF(E60="PERFIL_LONGITUD",K60*INDEX('03_MATERIALES'!$H$2:$H$42,MATCH(D60,'03_MATERIALES'!$A$2:$A$42,0))/p_aprovechamiento_perfil,IF(E60="UNIDAD",F60*INDEX('03_MATERIALES'!$H$2:$H$42,MATCH(D60,'03_MATERIALES'!$A$2:$A$42,0)),"")))</f>
        <v>152.5</v>
      </c>
      <c r="M60" s="12" t="str">
        <f aca="false">IF(N(J60)&gt;0,F60*J60/p_area_plancha_m2,"")</f>
        <v/>
      </c>
      <c r="N60" s="4" t="s">
        <v>30</v>
      </c>
    </row>
    <row r="61" customFormat="false" ht="15" hidden="false" customHeight="false" outlineLevel="0" collapsed="false">
      <c r="A61" s="4" t="s">
        <v>675</v>
      </c>
      <c r="B61" s="4" t="s">
        <v>349</v>
      </c>
      <c r="C61" s="4" t="s">
        <v>587</v>
      </c>
      <c r="D61" s="4" t="s">
        <v>480</v>
      </c>
      <c r="E61" s="4" t="s">
        <v>567</v>
      </c>
      <c r="F61" s="3" t="n">
        <v>8</v>
      </c>
      <c r="I61" s="11" t="n">
        <v>1.5</v>
      </c>
      <c r="K61" s="12" t="n">
        <f aca="false">IF(E61="CHAPA_AREA",F61*J61*INDEX('03_MATERIALES'!$E$2:$E$42,MATCH(D61,'03_MATERIALES'!$A$2:$A$42,0))/1000*p_densidad_acero,IF(E61="PERFIL_LONGITUD",F61*I61*p_kg_por_m_perfil,""))</f>
        <v>18</v>
      </c>
      <c r="L61" s="6" t="n">
        <f aca="false">IF(E61="CHAPA_AREA",K61*INDEX('03_MATERIALES'!$H$2:$H$42,MATCH(D61,'03_MATERIALES'!$A$2:$A$42,0))/p_aprovechamiento_chapa,IF(E61="PERFIL_LONGITUD",K61*INDEX('03_MATERIALES'!$H$2:$H$42,MATCH(D61,'03_MATERIALES'!$A$2:$A$42,0))/p_aprovechamiento_perfil,IF(E61="UNIDAD",F61*INDEX('03_MATERIALES'!$H$2:$H$42,MATCH(D61,'03_MATERIALES'!$A$2:$A$42,0)),"")))</f>
        <v>114.375</v>
      </c>
      <c r="M61" s="12" t="str">
        <f aca="false">IF(N(J61)&gt;0,F61*J61/p_area_plancha_m2,"")</f>
        <v/>
      </c>
      <c r="N61" s="4" t="s">
        <v>30</v>
      </c>
    </row>
    <row r="62" customFormat="false" ht="15" hidden="false" customHeight="false" outlineLevel="0" collapsed="false">
      <c r="A62" s="4" t="s">
        <v>676</v>
      </c>
      <c r="B62" s="4" t="s">
        <v>349</v>
      </c>
      <c r="C62" s="4" t="s">
        <v>672</v>
      </c>
      <c r="D62" s="4" t="s">
        <v>483</v>
      </c>
      <c r="E62" s="4" t="s">
        <v>579</v>
      </c>
      <c r="F62" s="3" t="n">
        <v>16</v>
      </c>
      <c r="K62" s="12" t="str">
        <f aca="false">IF(E62="CHAPA_AREA",F62*J62*INDEX('03_MATERIALES'!$E$2:$E$42,MATCH(D62,'03_MATERIALES'!$A$2:$A$42,0))/1000*p_densidad_acero,IF(E62="PERFIL_LONGITUD",F62*I62*p_kg_por_m_perfil,""))</f>
        <v/>
      </c>
      <c r="L62" s="6" t="n">
        <f aca="false">IF(E62="CHAPA_AREA",K62*INDEX('03_MATERIALES'!$H$2:$H$42,MATCH(D62,'03_MATERIALES'!$A$2:$A$42,0))/p_aprovechamiento_chapa,IF(E62="PERFIL_LONGITUD",K62*INDEX('03_MATERIALES'!$H$2:$H$42,MATCH(D62,'03_MATERIALES'!$A$2:$A$42,0))/p_aprovechamiento_perfil,IF(E62="UNIDAD",F62*INDEX('03_MATERIALES'!$H$2:$H$42,MATCH(D62,'03_MATERIALES'!$A$2:$A$42,0)),"")))</f>
        <v>14.4</v>
      </c>
      <c r="M62" s="12" t="str">
        <f aca="false">IF(N(J62)&gt;0,F62*J62/p_area_plancha_m2,"")</f>
        <v/>
      </c>
      <c r="N62" s="4" t="s">
        <v>30</v>
      </c>
    </row>
    <row r="63" customFormat="false" ht="15" hidden="false" customHeight="false" outlineLevel="0" collapsed="false">
      <c r="A63" s="4" t="s">
        <v>677</v>
      </c>
      <c r="B63" s="4" t="s">
        <v>352</v>
      </c>
      <c r="C63" s="4" t="s">
        <v>667</v>
      </c>
      <c r="D63" s="4" t="s">
        <v>480</v>
      </c>
      <c r="E63" s="4" t="s">
        <v>567</v>
      </c>
      <c r="F63" s="3" t="n">
        <v>4</v>
      </c>
      <c r="I63" s="11" t="n">
        <v>1.8</v>
      </c>
      <c r="K63" s="12" t="n">
        <f aca="false">IF(E63="CHAPA_AREA",F63*J63*INDEX('03_MATERIALES'!$E$2:$E$42,MATCH(D63,'03_MATERIALES'!$A$2:$A$42,0))/1000*p_densidad_acero,IF(E63="PERFIL_LONGITUD",F63*I63*p_kg_por_m_perfil,""))</f>
        <v>10.8</v>
      </c>
      <c r="L63" s="6" t="n">
        <f aca="false">IF(E63="CHAPA_AREA",K63*INDEX('03_MATERIALES'!$H$2:$H$42,MATCH(D63,'03_MATERIALES'!$A$2:$A$42,0))/p_aprovechamiento_chapa,IF(E63="PERFIL_LONGITUD",K63*INDEX('03_MATERIALES'!$H$2:$H$42,MATCH(D63,'03_MATERIALES'!$A$2:$A$42,0))/p_aprovechamiento_perfil,IF(E63="UNIDAD",F63*INDEX('03_MATERIALES'!$H$2:$H$42,MATCH(D63,'03_MATERIALES'!$A$2:$A$42,0)),"")))</f>
        <v>68.625</v>
      </c>
      <c r="M63" s="12" t="str">
        <f aca="false">IF(N(J63)&gt;0,F63*J63/p_area_plancha_m2,"")</f>
        <v/>
      </c>
      <c r="N63" s="4" t="s">
        <v>30</v>
      </c>
    </row>
    <row r="64" customFormat="false" ht="15" hidden="false" customHeight="false" outlineLevel="0" collapsed="false">
      <c r="A64" s="4" t="s">
        <v>678</v>
      </c>
      <c r="B64" s="4" t="s">
        <v>352</v>
      </c>
      <c r="C64" s="4" t="s">
        <v>669</v>
      </c>
      <c r="D64" s="4" t="s">
        <v>480</v>
      </c>
      <c r="E64" s="4" t="s">
        <v>567</v>
      </c>
      <c r="F64" s="3" t="n">
        <v>8</v>
      </c>
      <c r="I64" s="11" t="n">
        <v>0.9</v>
      </c>
      <c r="K64" s="12" t="n">
        <f aca="false">IF(E64="CHAPA_AREA",F64*J64*INDEX('03_MATERIALES'!$E$2:$E$42,MATCH(D64,'03_MATERIALES'!$A$2:$A$42,0))/1000*p_densidad_acero,IF(E64="PERFIL_LONGITUD",F64*I64*p_kg_por_m_perfil,""))</f>
        <v>10.8</v>
      </c>
      <c r="L64" s="6" t="n">
        <f aca="false">IF(E64="CHAPA_AREA",K64*INDEX('03_MATERIALES'!$H$2:$H$42,MATCH(D64,'03_MATERIALES'!$A$2:$A$42,0))/p_aprovechamiento_chapa,IF(E64="PERFIL_LONGITUD",K64*INDEX('03_MATERIALES'!$H$2:$H$42,MATCH(D64,'03_MATERIALES'!$A$2:$A$42,0))/p_aprovechamiento_perfil,IF(E64="UNIDAD",F64*INDEX('03_MATERIALES'!$H$2:$H$42,MATCH(D64,'03_MATERIALES'!$A$2:$A$42,0)),"")))</f>
        <v>68.625</v>
      </c>
      <c r="M64" s="12" t="str">
        <f aca="false">IF(N(J64)&gt;0,F64*J64/p_area_plancha_m2,"")</f>
        <v/>
      </c>
      <c r="N64" s="4" t="s">
        <v>30</v>
      </c>
    </row>
    <row r="65" customFormat="false" ht="15" hidden="false" customHeight="false" outlineLevel="0" collapsed="false">
      <c r="A65" s="4" t="s">
        <v>679</v>
      </c>
      <c r="B65" s="4" t="s">
        <v>352</v>
      </c>
      <c r="C65" s="4" t="s">
        <v>587</v>
      </c>
      <c r="D65" s="4" t="s">
        <v>480</v>
      </c>
      <c r="E65" s="4" t="s">
        <v>567</v>
      </c>
      <c r="F65" s="3" t="n">
        <v>8</v>
      </c>
      <c r="I65" s="11" t="n">
        <v>0.45</v>
      </c>
      <c r="K65" s="12" t="n">
        <f aca="false">IF(E65="CHAPA_AREA",F65*J65*INDEX('03_MATERIALES'!$E$2:$E$42,MATCH(D65,'03_MATERIALES'!$A$2:$A$42,0))/1000*p_densidad_acero,IF(E65="PERFIL_LONGITUD",F65*I65*p_kg_por_m_perfil,""))</f>
        <v>5.4</v>
      </c>
      <c r="L65" s="6" t="n">
        <f aca="false">IF(E65="CHAPA_AREA",K65*INDEX('03_MATERIALES'!$H$2:$H$42,MATCH(D65,'03_MATERIALES'!$A$2:$A$42,0))/p_aprovechamiento_chapa,IF(E65="PERFIL_LONGITUD",K65*INDEX('03_MATERIALES'!$H$2:$H$42,MATCH(D65,'03_MATERIALES'!$A$2:$A$42,0))/p_aprovechamiento_perfil,IF(E65="UNIDAD",F65*INDEX('03_MATERIALES'!$H$2:$H$42,MATCH(D65,'03_MATERIALES'!$A$2:$A$42,0)),"")))</f>
        <v>34.3125</v>
      </c>
      <c r="M65" s="12" t="str">
        <f aca="false">IF(N(J65)&gt;0,F65*J65/p_area_plancha_m2,"")</f>
        <v/>
      </c>
      <c r="N65" s="4" t="s">
        <v>30</v>
      </c>
    </row>
    <row r="66" customFormat="false" ht="15" hidden="false" customHeight="false" outlineLevel="0" collapsed="false">
      <c r="A66" s="4" t="s">
        <v>680</v>
      </c>
      <c r="B66" s="4" t="s">
        <v>352</v>
      </c>
      <c r="C66" s="4" t="s">
        <v>681</v>
      </c>
      <c r="D66" s="4" t="s">
        <v>476</v>
      </c>
      <c r="E66" s="4" t="s">
        <v>574</v>
      </c>
      <c r="F66" s="3" t="n">
        <v>4</v>
      </c>
      <c r="G66" s="8" t="n">
        <v>828</v>
      </c>
      <c r="H66" s="8" t="n">
        <v>423</v>
      </c>
      <c r="J66" s="14" t="n">
        <f aca="false">G66*H66/1000000</f>
        <v>0.350244</v>
      </c>
      <c r="K66" s="12" t="n">
        <f aca="false">IF(E66="CHAPA_AREA",F66*J66*INDEX('03_MATERIALES'!$E$2:$E$42,MATCH(D66,'03_MATERIALES'!$A$2:$A$42,0))/1000*p_densidad_acero,IF(E66="PERFIL_LONGITUD",F66*I66*p_kg_por_m_perfil,""))</f>
        <v>8.79812928</v>
      </c>
      <c r="L66" s="6" t="n">
        <f aca="false">IF(E66="CHAPA_AREA",K66*INDEX('03_MATERIALES'!$H$2:$H$42,MATCH(D66,'03_MATERIALES'!$A$2:$A$42,0))/p_aprovechamiento_chapa,IF(E66="PERFIL_LONGITUD",K66*INDEX('03_MATERIALES'!$H$2:$H$42,MATCH(D66,'03_MATERIALES'!$A$2:$A$42,0))/p_aprovechamiento_perfil,IF(E66="UNIDAD",F66*INDEX('03_MATERIALES'!$H$2:$H$42,MATCH(D66,'03_MATERIALES'!$A$2:$A$42,0)),"")))</f>
        <v>65.0296512</v>
      </c>
      <c r="M66" s="12" t="n">
        <f aca="false">IF(N(J66)&gt;0,F66*J66/p_area_plancha_m2,"")</f>
        <v>0.48645</v>
      </c>
      <c r="N66" s="4" t="s">
        <v>30</v>
      </c>
    </row>
    <row r="67" customFormat="false" ht="15" hidden="false" customHeight="false" outlineLevel="0" collapsed="false">
      <c r="A67" s="4" t="s">
        <v>682</v>
      </c>
      <c r="B67" s="4" t="s">
        <v>355</v>
      </c>
      <c r="C67" s="4" t="s">
        <v>667</v>
      </c>
      <c r="D67" s="4" t="s">
        <v>480</v>
      </c>
      <c r="E67" s="4" t="s">
        <v>567</v>
      </c>
      <c r="F67" s="3" t="n">
        <v>4</v>
      </c>
      <c r="I67" s="11" t="n">
        <v>2</v>
      </c>
      <c r="K67" s="12" t="n">
        <f aca="false">IF(E67="CHAPA_AREA",F67*J67*INDEX('03_MATERIALES'!$E$2:$E$42,MATCH(D67,'03_MATERIALES'!$A$2:$A$42,0))/1000*p_densidad_acero,IF(E67="PERFIL_LONGITUD",F67*I67*p_kg_por_m_perfil,""))</f>
        <v>12</v>
      </c>
      <c r="L67" s="6" t="n">
        <f aca="false">IF(E67="CHAPA_AREA",K67*INDEX('03_MATERIALES'!$H$2:$H$42,MATCH(D67,'03_MATERIALES'!$A$2:$A$42,0))/p_aprovechamiento_chapa,IF(E67="PERFIL_LONGITUD",K67*INDEX('03_MATERIALES'!$H$2:$H$42,MATCH(D67,'03_MATERIALES'!$A$2:$A$42,0))/p_aprovechamiento_perfil,IF(E67="UNIDAD",F67*INDEX('03_MATERIALES'!$H$2:$H$42,MATCH(D67,'03_MATERIALES'!$A$2:$A$42,0)),"")))</f>
        <v>76.25</v>
      </c>
      <c r="M67" s="12" t="str">
        <f aca="false">IF(N(J67)&gt;0,F67*J67/p_area_plancha_m2,"")</f>
        <v/>
      </c>
      <c r="N67" s="4" t="s">
        <v>30</v>
      </c>
    </row>
    <row r="68" customFormat="false" ht="15" hidden="false" customHeight="false" outlineLevel="0" collapsed="false">
      <c r="A68" s="4" t="s">
        <v>683</v>
      </c>
      <c r="B68" s="4" t="s">
        <v>355</v>
      </c>
      <c r="C68" s="4" t="s">
        <v>669</v>
      </c>
      <c r="D68" s="4" t="s">
        <v>480</v>
      </c>
      <c r="E68" s="4" t="s">
        <v>567</v>
      </c>
      <c r="F68" s="3" t="n">
        <v>8</v>
      </c>
      <c r="I68" s="11" t="n">
        <v>2</v>
      </c>
      <c r="K68" s="12" t="n">
        <f aca="false">IF(E68="CHAPA_AREA",F68*J68*INDEX('03_MATERIALES'!$E$2:$E$42,MATCH(D68,'03_MATERIALES'!$A$2:$A$42,0))/1000*p_densidad_acero,IF(E68="PERFIL_LONGITUD",F68*I68*p_kg_por_m_perfil,""))</f>
        <v>24</v>
      </c>
      <c r="L68" s="6" t="n">
        <f aca="false">IF(E68="CHAPA_AREA",K68*INDEX('03_MATERIALES'!$H$2:$H$42,MATCH(D68,'03_MATERIALES'!$A$2:$A$42,0))/p_aprovechamiento_chapa,IF(E68="PERFIL_LONGITUD",K68*INDEX('03_MATERIALES'!$H$2:$H$42,MATCH(D68,'03_MATERIALES'!$A$2:$A$42,0))/p_aprovechamiento_perfil,IF(E68="UNIDAD",F68*INDEX('03_MATERIALES'!$H$2:$H$42,MATCH(D68,'03_MATERIALES'!$A$2:$A$42,0)),"")))</f>
        <v>152.5</v>
      </c>
      <c r="M68" s="12" t="str">
        <f aca="false">IF(N(J68)&gt;0,F68*J68/p_area_plancha_m2,"")</f>
        <v/>
      </c>
      <c r="N68" s="4" t="s">
        <v>30</v>
      </c>
    </row>
    <row r="69" customFormat="false" ht="15" hidden="false" customHeight="false" outlineLevel="0" collapsed="false">
      <c r="A69" s="4" t="s">
        <v>684</v>
      </c>
      <c r="B69" s="4" t="s">
        <v>355</v>
      </c>
      <c r="C69" s="4" t="s">
        <v>587</v>
      </c>
      <c r="D69" s="4" t="s">
        <v>480</v>
      </c>
      <c r="E69" s="4" t="s">
        <v>567</v>
      </c>
      <c r="F69" s="3" t="n">
        <v>8</v>
      </c>
      <c r="I69" s="11" t="n">
        <v>0.6</v>
      </c>
      <c r="K69" s="12" t="n">
        <f aca="false">IF(E69="CHAPA_AREA",F69*J69*INDEX('03_MATERIALES'!$E$2:$E$42,MATCH(D69,'03_MATERIALES'!$A$2:$A$42,0))/1000*p_densidad_acero,IF(E69="PERFIL_LONGITUD",F69*I69*p_kg_por_m_perfil,""))</f>
        <v>7.2</v>
      </c>
      <c r="L69" s="6" t="n">
        <f aca="false">IF(E69="CHAPA_AREA",K69*INDEX('03_MATERIALES'!$H$2:$H$42,MATCH(D69,'03_MATERIALES'!$A$2:$A$42,0))/p_aprovechamiento_chapa,IF(E69="PERFIL_LONGITUD",K69*INDEX('03_MATERIALES'!$H$2:$H$42,MATCH(D69,'03_MATERIALES'!$A$2:$A$42,0))/p_aprovechamiento_perfil,IF(E69="UNIDAD",F69*INDEX('03_MATERIALES'!$H$2:$H$42,MATCH(D69,'03_MATERIALES'!$A$2:$A$42,0)),"")))</f>
        <v>45.75</v>
      </c>
      <c r="M69" s="12" t="str">
        <f aca="false">IF(N(J69)&gt;0,F69*J69/p_area_plancha_m2,"")</f>
        <v/>
      </c>
      <c r="N69" s="4" t="s">
        <v>30</v>
      </c>
    </row>
    <row r="70" customFormat="false" ht="15" hidden="false" customHeight="false" outlineLevel="0" collapsed="false">
      <c r="A70" s="4" t="s">
        <v>685</v>
      </c>
      <c r="B70" s="4" t="s">
        <v>355</v>
      </c>
      <c r="C70" s="4" t="s">
        <v>672</v>
      </c>
      <c r="D70" s="4" t="s">
        <v>483</v>
      </c>
      <c r="E70" s="4" t="s">
        <v>579</v>
      </c>
      <c r="F70" s="3" t="n">
        <v>16</v>
      </c>
      <c r="K70" s="12" t="str">
        <f aca="false">IF(E70="CHAPA_AREA",F70*J70*INDEX('03_MATERIALES'!$E$2:$E$42,MATCH(D70,'03_MATERIALES'!$A$2:$A$42,0))/1000*p_densidad_acero,IF(E70="PERFIL_LONGITUD",F70*I70*p_kg_por_m_perfil,""))</f>
        <v/>
      </c>
      <c r="L70" s="6" t="n">
        <f aca="false">IF(E70="CHAPA_AREA",K70*INDEX('03_MATERIALES'!$H$2:$H$42,MATCH(D70,'03_MATERIALES'!$A$2:$A$42,0))/p_aprovechamiento_chapa,IF(E70="PERFIL_LONGITUD",K70*INDEX('03_MATERIALES'!$H$2:$H$42,MATCH(D70,'03_MATERIALES'!$A$2:$A$42,0))/p_aprovechamiento_perfil,IF(E70="UNIDAD",F70*INDEX('03_MATERIALES'!$H$2:$H$42,MATCH(D70,'03_MATERIALES'!$A$2:$A$42,0)),"")))</f>
        <v>14.4</v>
      </c>
      <c r="M70" s="12" t="str">
        <f aca="false">IF(N(J70)&gt;0,F70*J70/p_area_plancha_m2,"")</f>
        <v/>
      </c>
      <c r="N70" s="4" t="s">
        <v>30</v>
      </c>
    </row>
    <row r="71" customFormat="false" ht="15" hidden="false" customHeight="false" outlineLevel="0" collapsed="false">
      <c r="A71" s="4" t="s">
        <v>686</v>
      </c>
      <c r="B71" s="4" t="s">
        <v>363</v>
      </c>
      <c r="C71" s="4" t="s">
        <v>687</v>
      </c>
      <c r="D71" s="4" t="s">
        <v>480</v>
      </c>
      <c r="E71" s="4" t="s">
        <v>567</v>
      </c>
      <c r="F71" s="3" t="n">
        <v>2</v>
      </c>
      <c r="I71" s="11" t="n">
        <v>1.5</v>
      </c>
      <c r="K71" s="12" t="n">
        <f aca="false">IF(E71="CHAPA_AREA",F71*J71*INDEX('03_MATERIALES'!$E$2:$E$42,MATCH(D71,'03_MATERIALES'!$A$2:$A$42,0))/1000*p_densidad_acero,IF(E71="PERFIL_LONGITUD",F71*I71*p_kg_por_m_perfil,""))</f>
        <v>4.5</v>
      </c>
      <c r="L71" s="6" t="n">
        <f aca="false">IF(E71="CHAPA_AREA",K71*INDEX('03_MATERIALES'!$H$2:$H$42,MATCH(D71,'03_MATERIALES'!$A$2:$A$42,0))/p_aprovechamiento_chapa,IF(E71="PERFIL_LONGITUD",K71*INDEX('03_MATERIALES'!$H$2:$H$42,MATCH(D71,'03_MATERIALES'!$A$2:$A$42,0))/p_aprovechamiento_perfil,IF(E71="UNIDAD",F71*INDEX('03_MATERIALES'!$H$2:$H$42,MATCH(D71,'03_MATERIALES'!$A$2:$A$42,0)),"")))</f>
        <v>28.59375</v>
      </c>
      <c r="M71" s="12" t="str">
        <f aca="false">IF(N(J71)&gt;0,F71*J71/p_area_plancha_m2,"")</f>
        <v/>
      </c>
      <c r="N71" s="4" t="s">
        <v>30</v>
      </c>
    </row>
    <row r="72" customFormat="false" ht="15" hidden="false" customHeight="false" outlineLevel="0" collapsed="false">
      <c r="A72" s="4" t="s">
        <v>688</v>
      </c>
      <c r="B72" s="4" t="s">
        <v>363</v>
      </c>
      <c r="C72" s="4" t="s">
        <v>689</v>
      </c>
      <c r="D72" s="4" t="s">
        <v>476</v>
      </c>
      <c r="E72" s="4" t="s">
        <v>574</v>
      </c>
      <c r="F72" s="3" t="n">
        <v>1</v>
      </c>
      <c r="G72" s="8" t="n">
        <v>1092.5</v>
      </c>
      <c r="H72" s="8" t="n">
        <v>1350</v>
      </c>
      <c r="J72" s="14" t="n">
        <f aca="false">G72*H72/1000000</f>
        <v>1.474875</v>
      </c>
      <c r="K72" s="12" t="n">
        <f aca="false">IF(E72="CHAPA_AREA",F72*J72*INDEX('03_MATERIALES'!$E$2:$E$42,MATCH(D72,'03_MATERIALES'!$A$2:$A$42,0))/1000*p_densidad_acero,IF(E72="PERFIL_LONGITUD",F72*I72*p_kg_por_m_perfil,""))</f>
        <v>9.262215</v>
      </c>
      <c r="L72" s="6" t="n">
        <f aca="false">IF(E72="CHAPA_AREA",K72*INDEX('03_MATERIALES'!$H$2:$H$42,MATCH(D72,'03_MATERIALES'!$A$2:$A$42,0))/p_aprovechamiento_chapa,IF(E72="PERFIL_LONGITUD",K72*INDEX('03_MATERIALES'!$H$2:$H$42,MATCH(D72,'03_MATERIALES'!$A$2:$A$42,0))/p_aprovechamiento_perfil,IF(E72="UNIDAD",F72*INDEX('03_MATERIALES'!$H$2:$H$42,MATCH(D72,'03_MATERIALES'!$A$2:$A$42,0)),"")))</f>
        <v>68.45985</v>
      </c>
      <c r="M72" s="12" t="n">
        <f aca="false">IF(N(J72)&gt;0,F72*J72/p_area_plancha_m2,"")</f>
        <v>0.512109375</v>
      </c>
      <c r="N72" s="4" t="s">
        <v>30</v>
      </c>
    </row>
    <row r="73" customFormat="false" ht="15" hidden="false" customHeight="false" outlineLevel="0" collapsed="false">
      <c r="A73" s="4" t="s">
        <v>690</v>
      </c>
      <c r="B73" s="4" t="s">
        <v>363</v>
      </c>
      <c r="C73" s="4" t="s">
        <v>691</v>
      </c>
      <c r="D73" s="4" t="s">
        <v>476</v>
      </c>
      <c r="E73" s="4" t="s">
        <v>574</v>
      </c>
      <c r="F73" s="3" t="n">
        <v>5</v>
      </c>
      <c r="G73" s="8" t="n">
        <v>1058</v>
      </c>
      <c r="H73" s="8" t="n">
        <v>405</v>
      </c>
      <c r="J73" s="14" t="n">
        <f aca="false">G73*H73/1000000</f>
        <v>0.42849</v>
      </c>
      <c r="K73" s="12" t="n">
        <f aca="false">IF(E73="CHAPA_AREA",F73*J73*INDEX('03_MATERIALES'!$E$2:$E$42,MATCH(D73,'03_MATERIALES'!$A$2:$A$42,0))/1000*p_densidad_acero,IF(E73="PERFIL_LONGITUD",F73*I73*p_kg_por_m_perfil,""))</f>
        <v>13.454586</v>
      </c>
      <c r="L73" s="6" t="n">
        <f aca="false">IF(E73="CHAPA_AREA",K73*INDEX('03_MATERIALES'!$H$2:$H$42,MATCH(D73,'03_MATERIALES'!$A$2:$A$42,0))/p_aprovechamiento_chapa,IF(E73="PERFIL_LONGITUD",K73*INDEX('03_MATERIALES'!$H$2:$H$42,MATCH(D73,'03_MATERIALES'!$A$2:$A$42,0))/p_aprovechamiento_perfil,IF(E73="UNIDAD",F73*INDEX('03_MATERIALES'!$H$2:$H$42,MATCH(D73,'03_MATERIALES'!$A$2:$A$42,0)),"")))</f>
        <v>99.44694</v>
      </c>
      <c r="M73" s="12" t="n">
        <f aca="false">IF(N(J73)&gt;0,F73*J73/p_area_plancha_m2,"")</f>
        <v>0.74390625</v>
      </c>
      <c r="N73" s="4" t="s">
        <v>30</v>
      </c>
    </row>
    <row r="74" customFormat="false" ht="15" hidden="false" customHeight="false" outlineLevel="0" collapsed="false">
      <c r="A74" s="4" t="s">
        <v>692</v>
      </c>
      <c r="B74" s="4" t="s">
        <v>363</v>
      </c>
      <c r="C74" s="4" t="s">
        <v>693</v>
      </c>
      <c r="D74" s="4" t="s">
        <v>480</v>
      </c>
      <c r="E74" s="4" t="s">
        <v>567</v>
      </c>
      <c r="F74" s="3" t="n">
        <v>2</v>
      </c>
      <c r="I74" s="11" t="n">
        <v>0.9</v>
      </c>
      <c r="K74" s="12" t="n">
        <f aca="false">IF(E74="CHAPA_AREA",F74*J74*INDEX('03_MATERIALES'!$E$2:$E$42,MATCH(D74,'03_MATERIALES'!$A$2:$A$42,0))/1000*p_densidad_acero,IF(E74="PERFIL_LONGITUD",F74*I74*p_kg_por_m_perfil,""))</f>
        <v>2.7</v>
      </c>
      <c r="L74" s="6" t="n">
        <f aca="false">IF(E74="CHAPA_AREA",K74*INDEX('03_MATERIALES'!$H$2:$H$42,MATCH(D74,'03_MATERIALES'!$A$2:$A$42,0))/p_aprovechamiento_chapa,IF(E74="PERFIL_LONGITUD",K74*INDEX('03_MATERIALES'!$H$2:$H$42,MATCH(D74,'03_MATERIALES'!$A$2:$A$42,0))/p_aprovechamiento_perfil,IF(E74="UNIDAD",F74*INDEX('03_MATERIALES'!$H$2:$H$42,MATCH(D74,'03_MATERIALES'!$A$2:$A$42,0)),"")))</f>
        <v>17.15625</v>
      </c>
      <c r="M74" s="12" t="str">
        <f aca="false">IF(N(J74)&gt;0,F74*J74/p_area_plancha_m2,"")</f>
        <v/>
      </c>
      <c r="N74" s="4" t="s">
        <v>30</v>
      </c>
    </row>
    <row r="75" customFormat="false" ht="15" hidden="false" customHeight="false" outlineLevel="0" collapsed="false">
      <c r="A75" s="4" t="s">
        <v>694</v>
      </c>
      <c r="B75" s="4" t="s">
        <v>363</v>
      </c>
      <c r="C75" s="4" t="s">
        <v>695</v>
      </c>
      <c r="D75" s="4" t="s">
        <v>483</v>
      </c>
      <c r="E75" s="4" t="s">
        <v>579</v>
      </c>
      <c r="F75" s="3" t="n">
        <v>10</v>
      </c>
      <c r="K75" s="12" t="str">
        <f aca="false">IF(E75="CHAPA_AREA",F75*J75*INDEX('03_MATERIALES'!$E$2:$E$42,MATCH(D75,'03_MATERIALES'!$A$2:$A$42,0))/1000*p_densidad_acero,IF(E75="PERFIL_LONGITUD",F75*I75*p_kg_por_m_perfil,""))</f>
        <v/>
      </c>
      <c r="L75" s="6" t="n">
        <f aca="false">IF(E75="CHAPA_AREA",K75*INDEX('03_MATERIALES'!$H$2:$H$42,MATCH(D75,'03_MATERIALES'!$A$2:$A$42,0))/p_aprovechamiento_chapa,IF(E75="PERFIL_LONGITUD",K75*INDEX('03_MATERIALES'!$H$2:$H$42,MATCH(D75,'03_MATERIALES'!$A$2:$A$42,0))/p_aprovechamiento_perfil,IF(E75="UNIDAD",F75*INDEX('03_MATERIALES'!$H$2:$H$42,MATCH(D75,'03_MATERIALES'!$A$2:$A$42,0)),"")))</f>
        <v>9</v>
      </c>
      <c r="M75" s="12" t="str">
        <f aca="false">IF(N(J75)&gt;0,F75*J75/p_area_plancha_m2,"")</f>
        <v/>
      </c>
      <c r="N75" s="4" t="s">
        <v>30</v>
      </c>
    </row>
    <row r="76" customFormat="false" ht="15" hidden="false" customHeight="false" outlineLevel="0" collapsed="false">
      <c r="A76" s="4" t="s">
        <v>696</v>
      </c>
      <c r="B76" s="4" t="s">
        <v>366</v>
      </c>
      <c r="C76" s="4" t="s">
        <v>687</v>
      </c>
      <c r="D76" s="4" t="s">
        <v>480</v>
      </c>
      <c r="E76" s="4" t="s">
        <v>567</v>
      </c>
      <c r="F76" s="3" t="n">
        <v>2</v>
      </c>
      <c r="I76" s="11" t="n">
        <v>1.85</v>
      </c>
      <c r="K76" s="12" t="n">
        <f aca="false">IF(E76="CHAPA_AREA",F76*J76*INDEX('03_MATERIALES'!$E$2:$E$42,MATCH(D76,'03_MATERIALES'!$A$2:$A$42,0))/1000*p_densidad_acero,IF(E76="PERFIL_LONGITUD",F76*I76*p_kg_por_m_perfil,""))</f>
        <v>5.55</v>
      </c>
      <c r="L76" s="6" t="n">
        <f aca="false">IF(E76="CHAPA_AREA",K76*INDEX('03_MATERIALES'!$H$2:$H$42,MATCH(D76,'03_MATERIALES'!$A$2:$A$42,0))/p_aprovechamiento_chapa,IF(E76="PERFIL_LONGITUD",K76*INDEX('03_MATERIALES'!$H$2:$H$42,MATCH(D76,'03_MATERIALES'!$A$2:$A$42,0))/p_aprovechamiento_perfil,IF(E76="UNIDAD",F76*INDEX('03_MATERIALES'!$H$2:$H$42,MATCH(D76,'03_MATERIALES'!$A$2:$A$42,0)),"")))</f>
        <v>35.265625</v>
      </c>
      <c r="M76" s="12" t="str">
        <f aca="false">IF(N(J76)&gt;0,F76*J76/p_area_plancha_m2,"")</f>
        <v/>
      </c>
      <c r="N76" s="4" t="s">
        <v>30</v>
      </c>
    </row>
    <row r="77" customFormat="false" ht="15" hidden="false" customHeight="false" outlineLevel="0" collapsed="false">
      <c r="A77" s="4" t="s">
        <v>697</v>
      </c>
      <c r="B77" s="4" t="s">
        <v>366</v>
      </c>
      <c r="C77" s="4" t="s">
        <v>689</v>
      </c>
      <c r="D77" s="4" t="s">
        <v>476</v>
      </c>
      <c r="E77" s="4" t="s">
        <v>574</v>
      </c>
      <c r="F77" s="3" t="n">
        <v>1</v>
      </c>
      <c r="G77" s="8" t="n">
        <v>1092.5</v>
      </c>
      <c r="H77" s="8" t="n">
        <v>1665</v>
      </c>
      <c r="J77" s="14" t="n">
        <f aca="false">G77*H77/1000000</f>
        <v>1.8190125</v>
      </c>
      <c r="K77" s="12" t="n">
        <f aca="false">IF(E77="CHAPA_AREA",F77*J77*INDEX('03_MATERIALES'!$E$2:$E$42,MATCH(D77,'03_MATERIALES'!$A$2:$A$42,0))/1000*p_densidad_acero,IF(E77="PERFIL_LONGITUD",F77*I77*p_kg_por_m_perfil,""))</f>
        <v>11.4233985</v>
      </c>
      <c r="L77" s="6" t="n">
        <f aca="false">IF(E77="CHAPA_AREA",K77*INDEX('03_MATERIALES'!$H$2:$H$42,MATCH(D77,'03_MATERIALES'!$A$2:$A$42,0))/p_aprovechamiento_chapa,IF(E77="PERFIL_LONGITUD",K77*INDEX('03_MATERIALES'!$H$2:$H$42,MATCH(D77,'03_MATERIALES'!$A$2:$A$42,0))/p_aprovechamiento_perfil,IF(E77="UNIDAD",F77*INDEX('03_MATERIALES'!$H$2:$H$42,MATCH(D77,'03_MATERIALES'!$A$2:$A$42,0)),"")))</f>
        <v>84.433815</v>
      </c>
      <c r="M77" s="12" t="n">
        <f aca="false">IF(N(J77)&gt;0,F77*J77/p_area_plancha_m2,"")</f>
        <v>0.6316015625</v>
      </c>
      <c r="N77" s="4" t="s">
        <v>30</v>
      </c>
    </row>
    <row r="78" customFormat="false" ht="15" hidden="false" customHeight="false" outlineLevel="0" collapsed="false">
      <c r="A78" s="4" t="s">
        <v>698</v>
      </c>
      <c r="B78" s="4" t="s">
        <v>366</v>
      </c>
      <c r="C78" s="4" t="s">
        <v>691</v>
      </c>
      <c r="D78" s="4" t="s">
        <v>476</v>
      </c>
      <c r="E78" s="4" t="s">
        <v>574</v>
      </c>
      <c r="F78" s="3" t="n">
        <v>5</v>
      </c>
      <c r="G78" s="8" t="n">
        <v>1058</v>
      </c>
      <c r="H78" s="8" t="n">
        <v>180</v>
      </c>
      <c r="J78" s="14" t="n">
        <f aca="false">G78*H78/1000000</f>
        <v>0.19044</v>
      </c>
      <c r="K78" s="12" t="n">
        <f aca="false">IF(E78="CHAPA_AREA",F78*J78*INDEX('03_MATERIALES'!$E$2:$E$42,MATCH(D78,'03_MATERIALES'!$A$2:$A$42,0))/1000*p_densidad_acero,IF(E78="PERFIL_LONGITUD",F78*I78*p_kg_por_m_perfil,""))</f>
        <v>5.979816</v>
      </c>
      <c r="L78" s="6" t="n">
        <f aca="false">IF(E78="CHAPA_AREA",K78*INDEX('03_MATERIALES'!$H$2:$H$42,MATCH(D78,'03_MATERIALES'!$A$2:$A$42,0))/p_aprovechamiento_chapa,IF(E78="PERFIL_LONGITUD",K78*INDEX('03_MATERIALES'!$H$2:$H$42,MATCH(D78,'03_MATERIALES'!$A$2:$A$42,0))/p_aprovechamiento_perfil,IF(E78="UNIDAD",F78*INDEX('03_MATERIALES'!$H$2:$H$42,MATCH(D78,'03_MATERIALES'!$A$2:$A$42,0)),"")))</f>
        <v>44.19864</v>
      </c>
      <c r="M78" s="12" t="n">
        <f aca="false">IF(N(J78)&gt;0,F78*J78/p_area_plancha_m2,"")</f>
        <v>0.330625</v>
      </c>
      <c r="N78" s="4" t="s">
        <v>30</v>
      </c>
    </row>
    <row r="79" customFormat="false" ht="15" hidden="false" customHeight="false" outlineLevel="0" collapsed="false">
      <c r="A79" s="4" t="s">
        <v>699</v>
      </c>
      <c r="B79" s="4" t="s">
        <v>366</v>
      </c>
      <c r="C79" s="4" t="s">
        <v>693</v>
      </c>
      <c r="D79" s="4" t="s">
        <v>480</v>
      </c>
      <c r="E79" s="4" t="s">
        <v>567</v>
      </c>
      <c r="F79" s="3" t="n">
        <v>2</v>
      </c>
      <c r="I79" s="11" t="n">
        <v>0.4</v>
      </c>
      <c r="K79" s="12" t="n">
        <f aca="false">IF(E79="CHAPA_AREA",F79*J79*INDEX('03_MATERIALES'!$E$2:$E$42,MATCH(D79,'03_MATERIALES'!$A$2:$A$42,0))/1000*p_densidad_acero,IF(E79="PERFIL_LONGITUD",F79*I79*p_kg_por_m_perfil,""))</f>
        <v>1.2</v>
      </c>
      <c r="L79" s="6" t="n">
        <f aca="false">IF(E79="CHAPA_AREA",K79*INDEX('03_MATERIALES'!$H$2:$H$42,MATCH(D79,'03_MATERIALES'!$A$2:$A$42,0))/p_aprovechamiento_chapa,IF(E79="PERFIL_LONGITUD",K79*INDEX('03_MATERIALES'!$H$2:$H$42,MATCH(D79,'03_MATERIALES'!$A$2:$A$42,0))/p_aprovechamiento_perfil,IF(E79="UNIDAD",F79*INDEX('03_MATERIALES'!$H$2:$H$42,MATCH(D79,'03_MATERIALES'!$A$2:$A$42,0)),"")))</f>
        <v>7.625</v>
      </c>
      <c r="M79" s="12" t="str">
        <f aca="false">IF(N(J79)&gt;0,F79*J79/p_area_plancha_m2,"")</f>
        <v/>
      </c>
      <c r="N79" s="4" t="s">
        <v>30</v>
      </c>
    </row>
    <row r="80" customFormat="false" ht="15" hidden="false" customHeight="false" outlineLevel="0" collapsed="false">
      <c r="A80" s="4" t="s">
        <v>700</v>
      </c>
      <c r="B80" s="4" t="s">
        <v>366</v>
      </c>
      <c r="C80" s="4" t="s">
        <v>695</v>
      </c>
      <c r="D80" s="4" t="s">
        <v>483</v>
      </c>
      <c r="E80" s="4" t="s">
        <v>579</v>
      </c>
      <c r="F80" s="3" t="n">
        <v>10</v>
      </c>
      <c r="K80" s="12" t="str">
        <f aca="false">IF(E80="CHAPA_AREA",F80*J80*INDEX('03_MATERIALES'!$E$2:$E$42,MATCH(D80,'03_MATERIALES'!$A$2:$A$42,0))/1000*p_densidad_acero,IF(E80="PERFIL_LONGITUD",F80*I80*p_kg_por_m_perfil,""))</f>
        <v/>
      </c>
      <c r="L80" s="6" t="n">
        <f aca="false">IF(E80="CHAPA_AREA",K80*INDEX('03_MATERIALES'!$H$2:$H$42,MATCH(D80,'03_MATERIALES'!$A$2:$A$42,0))/p_aprovechamiento_chapa,IF(E80="PERFIL_LONGITUD",K80*INDEX('03_MATERIALES'!$H$2:$H$42,MATCH(D80,'03_MATERIALES'!$A$2:$A$42,0))/p_aprovechamiento_perfil,IF(E80="UNIDAD",F80*INDEX('03_MATERIALES'!$H$2:$H$42,MATCH(D80,'03_MATERIALES'!$A$2:$A$42,0)),"")))</f>
        <v>9</v>
      </c>
      <c r="M80" s="12" t="str">
        <f aca="false">IF(N(J80)&gt;0,F80*J80/p_area_plancha_m2,"")</f>
        <v/>
      </c>
      <c r="N80" s="4" t="s">
        <v>30</v>
      </c>
    </row>
    <row r="81" customFormat="false" ht="15" hidden="false" customHeight="false" outlineLevel="0" collapsed="false">
      <c r="A81" s="4" t="s">
        <v>701</v>
      </c>
      <c r="B81" s="4" t="s">
        <v>369</v>
      </c>
      <c r="C81" s="4" t="s">
        <v>687</v>
      </c>
      <c r="D81" s="4" t="s">
        <v>480</v>
      </c>
      <c r="E81" s="4" t="s">
        <v>567</v>
      </c>
      <c r="F81" s="3" t="n">
        <v>2</v>
      </c>
      <c r="I81" s="11" t="n">
        <v>1.5</v>
      </c>
      <c r="K81" s="12" t="n">
        <f aca="false">IF(E81="CHAPA_AREA",F81*J81*INDEX('03_MATERIALES'!$E$2:$E$42,MATCH(D81,'03_MATERIALES'!$A$2:$A$42,0))/1000*p_densidad_acero,IF(E81="PERFIL_LONGITUD",F81*I81*p_kg_por_m_perfil,""))</f>
        <v>4.5</v>
      </c>
      <c r="L81" s="6" t="n">
        <f aca="false">IF(E81="CHAPA_AREA",K81*INDEX('03_MATERIALES'!$H$2:$H$42,MATCH(D81,'03_MATERIALES'!$A$2:$A$42,0))/p_aprovechamiento_chapa,IF(E81="PERFIL_LONGITUD",K81*INDEX('03_MATERIALES'!$H$2:$H$42,MATCH(D81,'03_MATERIALES'!$A$2:$A$42,0))/p_aprovechamiento_perfil,IF(E81="UNIDAD",F81*INDEX('03_MATERIALES'!$H$2:$H$42,MATCH(D81,'03_MATERIALES'!$A$2:$A$42,0)),"")))</f>
        <v>28.59375</v>
      </c>
      <c r="M81" s="12" t="str">
        <f aca="false">IF(N(J81)&gt;0,F81*J81/p_area_plancha_m2,"")</f>
        <v/>
      </c>
      <c r="N81" s="4" t="s">
        <v>30</v>
      </c>
    </row>
    <row r="82" customFormat="false" ht="15" hidden="false" customHeight="false" outlineLevel="0" collapsed="false">
      <c r="A82" s="4" t="s">
        <v>702</v>
      </c>
      <c r="B82" s="4" t="s">
        <v>369</v>
      </c>
      <c r="C82" s="4" t="s">
        <v>689</v>
      </c>
      <c r="D82" s="4" t="s">
        <v>476</v>
      </c>
      <c r="E82" s="4" t="s">
        <v>574</v>
      </c>
      <c r="F82" s="3" t="n">
        <v>1</v>
      </c>
      <c r="G82" s="8" t="n">
        <v>855</v>
      </c>
      <c r="H82" s="8" t="n">
        <v>1350</v>
      </c>
      <c r="J82" s="14" t="n">
        <f aca="false">G82*H82/1000000</f>
        <v>1.15425</v>
      </c>
      <c r="K82" s="12" t="n">
        <f aca="false">IF(E82="CHAPA_AREA",F82*J82*INDEX('03_MATERIALES'!$E$2:$E$42,MATCH(D82,'03_MATERIALES'!$A$2:$A$42,0))/1000*p_densidad_acero,IF(E82="PERFIL_LONGITUD",F82*I82*p_kg_por_m_perfil,""))</f>
        <v>7.24869</v>
      </c>
      <c r="L82" s="6" t="n">
        <f aca="false">IF(E82="CHAPA_AREA",K82*INDEX('03_MATERIALES'!$H$2:$H$42,MATCH(D82,'03_MATERIALES'!$A$2:$A$42,0))/p_aprovechamiento_chapa,IF(E82="PERFIL_LONGITUD",K82*INDEX('03_MATERIALES'!$H$2:$H$42,MATCH(D82,'03_MATERIALES'!$A$2:$A$42,0))/p_aprovechamiento_perfil,IF(E82="UNIDAD",F82*INDEX('03_MATERIALES'!$H$2:$H$42,MATCH(D82,'03_MATERIALES'!$A$2:$A$42,0)),"")))</f>
        <v>53.5772739130435</v>
      </c>
      <c r="M82" s="12" t="n">
        <f aca="false">IF(N(J82)&gt;0,F82*J82/p_area_plancha_m2,"")</f>
        <v>0.40078125</v>
      </c>
      <c r="N82" s="4" t="s">
        <v>30</v>
      </c>
    </row>
    <row r="83" customFormat="false" ht="15" hidden="false" customHeight="false" outlineLevel="0" collapsed="false">
      <c r="A83" s="4" t="s">
        <v>703</v>
      </c>
      <c r="B83" s="4" t="s">
        <v>369</v>
      </c>
      <c r="C83" s="4" t="s">
        <v>691</v>
      </c>
      <c r="D83" s="4" t="s">
        <v>476</v>
      </c>
      <c r="E83" s="4" t="s">
        <v>574</v>
      </c>
      <c r="F83" s="3" t="n">
        <v>5</v>
      </c>
      <c r="G83" s="8" t="n">
        <v>828</v>
      </c>
      <c r="H83" s="8" t="n">
        <v>180</v>
      </c>
      <c r="J83" s="14" t="n">
        <f aca="false">G83*H83/1000000</f>
        <v>0.14904</v>
      </c>
      <c r="K83" s="12" t="n">
        <f aca="false">IF(E83="CHAPA_AREA",F83*J83*INDEX('03_MATERIALES'!$E$2:$E$42,MATCH(D83,'03_MATERIALES'!$A$2:$A$42,0))/1000*p_densidad_acero,IF(E83="PERFIL_LONGITUD",F83*I83*p_kg_por_m_perfil,""))</f>
        <v>4.679856</v>
      </c>
      <c r="L83" s="6" t="n">
        <f aca="false">IF(E83="CHAPA_AREA",K83*INDEX('03_MATERIALES'!$H$2:$H$42,MATCH(D83,'03_MATERIALES'!$A$2:$A$42,0))/p_aprovechamiento_chapa,IF(E83="PERFIL_LONGITUD",K83*INDEX('03_MATERIALES'!$H$2:$H$42,MATCH(D83,'03_MATERIALES'!$A$2:$A$42,0))/p_aprovechamiento_perfil,IF(E83="UNIDAD",F83*INDEX('03_MATERIALES'!$H$2:$H$42,MATCH(D83,'03_MATERIALES'!$A$2:$A$42,0)),"")))</f>
        <v>34.59024</v>
      </c>
      <c r="M83" s="12" t="n">
        <f aca="false">IF(N(J83)&gt;0,F83*J83/p_area_plancha_m2,"")</f>
        <v>0.25875</v>
      </c>
      <c r="N83" s="4" t="s">
        <v>30</v>
      </c>
    </row>
    <row r="84" customFormat="false" ht="15" hidden="false" customHeight="false" outlineLevel="0" collapsed="false">
      <c r="A84" s="4" t="s">
        <v>704</v>
      </c>
      <c r="B84" s="4" t="s">
        <v>369</v>
      </c>
      <c r="C84" s="4" t="s">
        <v>693</v>
      </c>
      <c r="D84" s="4" t="s">
        <v>480</v>
      </c>
      <c r="E84" s="4" t="s">
        <v>567</v>
      </c>
      <c r="F84" s="3" t="n">
        <v>2</v>
      </c>
      <c r="I84" s="11" t="n">
        <v>0.4</v>
      </c>
      <c r="K84" s="12" t="n">
        <f aca="false">IF(E84="CHAPA_AREA",F84*J84*INDEX('03_MATERIALES'!$E$2:$E$42,MATCH(D84,'03_MATERIALES'!$A$2:$A$42,0))/1000*p_densidad_acero,IF(E84="PERFIL_LONGITUD",F84*I84*p_kg_por_m_perfil,""))</f>
        <v>1.2</v>
      </c>
      <c r="L84" s="6" t="n">
        <f aca="false">IF(E84="CHAPA_AREA",K84*INDEX('03_MATERIALES'!$H$2:$H$42,MATCH(D84,'03_MATERIALES'!$A$2:$A$42,0))/p_aprovechamiento_chapa,IF(E84="PERFIL_LONGITUD",K84*INDEX('03_MATERIALES'!$H$2:$H$42,MATCH(D84,'03_MATERIALES'!$A$2:$A$42,0))/p_aprovechamiento_perfil,IF(E84="UNIDAD",F84*INDEX('03_MATERIALES'!$H$2:$H$42,MATCH(D84,'03_MATERIALES'!$A$2:$A$42,0)),"")))</f>
        <v>7.625</v>
      </c>
      <c r="M84" s="12" t="str">
        <f aca="false">IF(N(J84)&gt;0,F84*J84/p_area_plancha_m2,"")</f>
        <v/>
      </c>
      <c r="N84" s="4" t="s">
        <v>30</v>
      </c>
    </row>
    <row r="85" customFormat="false" ht="15" hidden="false" customHeight="false" outlineLevel="0" collapsed="false">
      <c r="A85" s="4" t="s">
        <v>705</v>
      </c>
      <c r="B85" s="4" t="s">
        <v>369</v>
      </c>
      <c r="C85" s="4" t="s">
        <v>695</v>
      </c>
      <c r="D85" s="4" t="s">
        <v>483</v>
      </c>
      <c r="E85" s="4" t="s">
        <v>579</v>
      </c>
      <c r="F85" s="3" t="n">
        <v>10</v>
      </c>
      <c r="K85" s="12" t="str">
        <f aca="false">IF(E85="CHAPA_AREA",F85*J85*INDEX('03_MATERIALES'!$E$2:$E$42,MATCH(D85,'03_MATERIALES'!$A$2:$A$42,0))/1000*p_densidad_acero,IF(E85="PERFIL_LONGITUD",F85*I85*p_kg_por_m_perfil,""))</f>
        <v/>
      </c>
      <c r="L85" s="6" t="n">
        <f aca="false">IF(E85="CHAPA_AREA",K85*INDEX('03_MATERIALES'!$H$2:$H$42,MATCH(D85,'03_MATERIALES'!$A$2:$A$42,0))/p_aprovechamiento_chapa,IF(E85="PERFIL_LONGITUD",K85*INDEX('03_MATERIALES'!$H$2:$H$42,MATCH(D85,'03_MATERIALES'!$A$2:$A$42,0))/p_aprovechamiento_perfil,IF(E85="UNIDAD",F85*INDEX('03_MATERIALES'!$H$2:$H$42,MATCH(D85,'03_MATERIALES'!$A$2:$A$42,0)),"")))</f>
        <v>9</v>
      </c>
      <c r="M85" s="12" t="str">
        <f aca="false">IF(N(J85)&gt;0,F85*J85/p_area_plancha_m2,"")</f>
        <v/>
      </c>
      <c r="N85" s="4" t="s">
        <v>30</v>
      </c>
    </row>
    <row r="86" customFormat="false" ht="15" hidden="false" customHeight="false" outlineLevel="0" collapsed="false">
      <c r="A86" s="4" t="s">
        <v>706</v>
      </c>
      <c r="B86" s="4" t="s">
        <v>372</v>
      </c>
      <c r="C86" s="4" t="s">
        <v>687</v>
      </c>
      <c r="D86" s="4" t="s">
        <v>480</v>
      </c>
      <c r="E86" s="4" t="s">
        <v>567</v>
      </c>
      <c r="F86" s="3" t="n">
        <v>2</v>
      </c>
      <c r="I86" s="11" t="n">
        <v>1.5</v>
      </c>
      <c r="K86" s="12" t="n">
        <f aca="false">IF(E86="CHAPA_AREA",F86*J86*INDEX('03_MATERIALES'!$E$2:$E$42,MATCH(D86,'03_MATERIALES'!$A$2:$A$42,0))/1000*p_densidad_acero,IF(E86="PERFIL_LONGITUD",F86*I86*p_kg_por_m_perfil,""))</f>
        <v>4.5</v>
      </c>
      <c r="L86" s="6" t="n">
        <f aca="false">IF(E86="CHAPA_AREA",K86*INDEX('03_MATERIALES'!$H$2:$H$42,MATCH(D86,'03_MATERIALES'!$A$2:$A$42,0))/p_aprovechamiento_chapa,IF(E86="PERFIL_LONGITUD",K86*INDEX('03_MATERIALES'!$H$2:$H$42,MATCH(D86,'03_MATERIALES'!$A$2:$A$42,0))/p_aprovechamiento_perfil,IF(E86="UNIDAD",F86*INDEX('03_MATERIALES'!$H$2:$H$42,MATCH(D86,'03_MATERIALES'!$A$2:$A$42,0)),"")))</f>
        <v>28.59375</v>
      </c>
      <c r="M86" s="12" t="str">
        <f aca="false">IF(N(J86)&gt;0,F86*J86/p_area_plancha_m2,"")</f>
        <v/>
      </c>
      <c r="N86" s="4" t="s">
        <v>30</v>
      </c>
    </row>
    <row r="87" customFormat="false" ht="15" hidden="false" customHeight="false" outlineLevel="0" collapsed="false">
      <c r="A87" s="4" t="s">
        <v>707</v>
      </c>
      <c r="B87" s="4" t="s">
        <v>372</v>
      </c>
      <c r="C87" s="4" t="s">
        <v>689</v>
      </c>
      <c r="D87" s="4" t="s">
        <v>476</v>
      </c>
      <c r="E87" s="4" t="s">
        <v>574</v>
      </c>
      <c r="F87" s="3" t="n">
        <v>1</v>
      </c>
      <c r="G87" s="8" t="n">
        <v>665</v>
      </c>
      <c r="H87" s="8" t="n">
        <v>1350</v>
      </c>
      <c r="J87" s="14" t="n">
        <f aca="false">G87*H87/1000000</f>
        <v>0.89775</v>
      </c>
      <c r="K87" s="12" t="n">
        <f aca="false">IF(E87="CHAPA_AREA",F87*J87*INDEX('03_MATERIALES'!$E$2:$E$42,MATCH(D87,'03_MATERIALES'!$A$2:$A$42,0))/1000*p_densidad_acero,IF(E87="PERFIL_LONGITUD",F87*I87*p_kg_por_m_perfil,""))</f>
        <v>5.63787</v>
      </c>
      <c r="L87" s="6" t="n">
        <f aca="false">IF(E87="CHAPA_AREA",K87*INDEX('03_MATERIALES'!$H$2:$H$42,MATCH(D87,'03_MATERIALES'!$A$2:$A$42,0))/p_aprovechamiento_chapa,IF(E87="PERFIL_LONGITUD",K87*INDEX('03_MATERIALES'!$H$2:$H$42,MATCH(D87,'03_MATERIALES'!$A$2:$A$42,0))/p_aprovechamiento_perfil,IF(E87="UNIDAD",F87*INDEX('03_MATERIALES'!$H$2:$H$42,MATCH(D87,'03_MATERIALES'!$A$2:$A$42,0)),"")))</f>
        <v>41.6712130434783</v>
      </c>
      <c r="M87" s="12" t="n">
        <f aca="false">IF(N(J87)&gt;0,F87*J87/p_area_plancha_m2,"")</f>
        <v>0.31171875</v>
      </c>
      <c r="N87" s="4" t="s">
        <v>30</v>
      </c>
    </row>
    <row r="88" customFormat="false" ht="15" hidden="false" customHeight="false" outlineLevel="0" collapsed="false">
      <c r="A88" s="4" t="s">
        <v>708</v>
      </c>
      <c r="B88" s="4" t="s">
        <v>372</v>
      </c>
      <c r="C88" s="4" t="s">
        <v>691</v>
      </c>
      <c r="D88" s="4" t="s">
        <v>476</v>
      </c>
      <c r="E88" s="4" t="s">
        <v>574</v>
      </c>
      <c r="F88" s="3" t="n">
        <v>5</v>
      </c>
      <c r="G88" s="8" t="n">
        <v>644</v>
      </c>
      <c r="H88" s="8" t="n">
        <v>315</v>
      </c>
      <c r="J88" s="14" t="n">
        <f aca="false">G88*H88/1000000</f>
        <v>0.20286</v>
      </c>
      <c r="K88" s="12" t="n">
        <f aca="false">IF(E88="CHAPA_AREA",F88*J88*INDEX('03_MATERIALES'!$E$2:$E$42,MATCH(D88,'03_MATERIALES'!$A$2:$A$42,0))/1000*p_densidad_acero,IF(E88="PERFIL_LONGITUD",F88*I88*p_kg_por_m_perfil,""))</f>
        <v>6.369804</v>
      </c>
      <c r="L88" s="6" t="n">
        <f aca="false">IF(E88="CHAPA_AREA",K88*INDEX('03_MATERIALES'!$H$2:$H$42,MATCH(D88,'03_MATERIALES'!$A$2:$A$42,0))/p_aprovechamiento_chapa,IF(E88="PERFIL_LONGITUD",K88*INDEX('03_MATERIALES'!$H$2:$H$42,MATCH(D88,'03_MATERIALES'!$A$2:$A$42,0))/p_aprovechamiento_perfil,IF(E88="UNIDAD",F88*INDEX('03_MATERIALES'!$H$2:$H$42,MATCH(D88,'03_MATERIALES'!$A$2:$A$42,0)),"")))</f>
        <v>47.08116</v>
      </c>
      <c r="M88" s="12" t="n">
        <f aca="false">IF(N(J88)&gt;0,F88*J88/p_area_plancha_m2,"")</f>
        <v>0.3521875</v>
      </c>
      <c r="N88" s="4" t="s">
        <v>30</v>
      </c>
    </row>
    <row r="89" customFormat="false" ht="15" hidden="false" customHeight="false" outlineLevel="0" collapsed="false">
      <c r="A89" s="4" t="s">
        <v>709</v>
      </c>
      <c r="B89" s="4" t="s">
        <v>372</v>
      </c>
      <c r="C89" s="4" t="s">
        <v>693</v>
      </c>
      <c r="D89" s="4" t="s">
        <v>480</v>
      </c>
      <c r="E89" s="4" t="s">
        <v>567</v>
      </c>
      <c r="F89" s="3" t="n">
        <v>2</v>
      </c>
      <c r="I89" s="11" t="n">
        <v>0.7</v>
      </c>
      <c r="K89" s="12" t="n">
        <f aca="false">IF(E89="CHAPA_AREA",F89*J89*INDEX('03_MATERIALES'!$E$2:$E$42,MATCH(D89,'03_MATERIALES'!$A$2:$A$42,0))/1000*p_densidad_acero,IF(E89="PERFIL_LONGITUD",F89*I89*p_kg_por_m_perfil,""))</f>
        <v>2.1</v>
      </c>
      <c r="L89" s="6" t="n">
        <f aca="false">IF(E89="CHAPA_AREA",K89*INDEX('03_MATERIALES'!$H$2:$H$42,MATCH(D89,'03_MATERIALES'!$A$2:$A$42,0))/p_aprovechamiento_chapa,IF(E89="PERFIL_LONGITUD",K89*INDEX('03_MATERIALES'!$H$2:$H$42,MATCH(D89,'03_MATERIALES'!$A$2:$A$42,0))/p_aprovechamiento_perfil,IF(E89="UNIDAD",F89*INDEX('03_MATERIALES'!$H$2:$H$42,MATCH(D89,'03_MATERIALES'!$A$2:$A$42,0)),"")))</f>
        <v>13.34375</v>
      </c>
      <c r="M89" s="12" t="str">
        <f aca="false">IF(N(J89)&gt;0,F89*J89/p_area_plancha_m2,"")</f>
        <v/>
      </c>
      <c r="N89" s="4" t="s">
        <v>30</v>
      </c>
    </row>
    <row r="90" customFormat="false" ht="15" hidden="false" customHeight="false" outlineLevel="0" collapsed="false">
      <c r="A90" s="4" t="s">
        <v>710</v>
      </c>
      <c r="B90" s="4" t="s">
        <v>372</v>
      </c>
      <c r="C90" s="4" t="s">
        <v>695</v>
      </c>
      <c r="D90" s="4" t="s">
        <v>483</v>
      </c>
      <c r="E90" s="4" t="s">
        <v>579</v>
      </c>
      <c r="F90" s="3" t="n">
        <v>10</v>
      </c>
      <c r="K90" s="12" t="str">
        <f aca="false">IF(E90="CHAPA_AREA",F90*J90*INDEX('03_MATERIALES'!$E$2:$E$42,MATCH(D90,'03_MATERIALES'!$A$2:$A$42,0))/1000*p_densidad_acero,IF(E90="PERFIL_LONGITUD",F90*I90*p_kg_por_m_perfil,""))</f>
        <v/>
      </c>
      <c r="L90" s="6" t="n">
        <f aca="false">IF(E90="CHAPA_AREA",K90*INDEX('03_MATERIALES'!$H$2:$H$42,MATCH(D90,'03_MATERIALES'!$A$2:$A$42,0))/p_aprovechamiento_chapa,IF(E90="PERFIL_LONGITUD",K90*INDEX('03_MATERIALES'!$H$2:$H$42,MATCH(D90,'03_MATERIALES'!$A$2:$A$42,0))/p_aprovechamiento_perfil,IF(E90="UNIDAD",F90*INDEX('03_MATERIALES'!$H$2:$H$42,MATCH(D90,'03_MATERIALES'!$A$2:$A$42,0)),"")))</f>
        <v>9</v>
      </c>
      <c r="M90" s="12" t="str">
        <f aca="false">IF(N(J90)&gt;0,F90*J90/p_area_plancha_m2,"")</f>
        <v/>
      </c>
      <c r="N90" s="4" t="s">
        <v>30</v>
      </c>
    </row>
    <row r="91" customFormat="false" ht="15" hidden="false" customHeight="false" outlineLevel="0" collapsed="false">
      <c r="A91" s="4" t="s">
        <v>711</v>
      </c>
      <c r="B91" s="4" t="s">
        <v>381</v>
      </c>
      <c r="C91" s="4" t="s">
        <v>712</v>
      </c>
      <c r="D91" s="4" t="s">
        <v>474</v>
      </c>
      <c r="E91" s="4" t="s">
        <v>574</v>
      </c>
      <c r="F91" s="3" t="n">
        <v>2</v>
      </c>
      <c r="G91" s="8" t="n">
        <v>376</v>
      </c>
      <c r="H91" s="8" t="n">
        <v>1656</v>
      </c>
      <c r="J91" s="14" t="n">
        <f aca="false">G91*H91/1000000</f>
        <v>0.622656</v>
      </c>
      <c r="K91" s="12" t="n">
        <f aca="false">IF(E91="CHAPA_AREA",F91*J91*INDEX('03_MATERIALES'!$E$2:$E$42,MATCH(D91,'03_MATERIALES'!$A$2:$A$42,0))/1000*p_densidad_acero,IF(E91="PERFIL_LONGITUD",F91*I91*p_kg_por_m_perfil,""))</f>
        <v>5.86541952</v>
      </c>
      <c r="L91" s="6" t="n">
        <f aca="false">IF(E91="CHAPA_AREA",K91*INDEX('03_MATERIALES'!$H$2:$H$42,MATCH(D91,'03_MATERIALES'!$A$2:$A$42,0))/p_aprovechamiento_chapa,IF(E91="PERFIL_LONGITUD",K91*INDEX('03_MATERIALES'!$H$2:$H$42,MATCH(D91,'03_MATERIALES'!$A$2:$A$42,0))/p_aprovechamiento_perfil,IF(E91="UNIDAD",F91*INDEX('03_MATERIALES'!$H$2:$H$42,MATCH(D91,'03_MATERIALES'!$A$2:$A$42,0)),"")))</f>
        <v>43.3531008</v>
      </c>
      <c r="M91" s="12" t="n">
        <f aca="false">IF(N(J91)&gt;0,F91*J91/p_area_plancha_m2,"")</f>
        <v>0.4324</v>
      </c>
      <c r="N91" s="4" t="s">
        <v>30</v>
      </c>
    </row>
    <row r="92" customFormat="false" ht="15" hidden="false" customHeight="false" outlineLevel="0" collapsed="false">
      <c r="A92" s="4" t="s">
        <v>713</v>
      </c>
      <c r="B92" s="4" t="s">
        <v>381</v>
      </c>
      <c r="C92" s="4" t="s">
        <v>714</v>
      </c>
      <c r="D92" s="4" t="s">
        <v>474</v>
      </c>
      <c r="E92" s="4" t="s">
        <v>574</v>
      </c>
      <c r="F92" s="3" t="n">
        <v>1</v>
      </c>
      <c r="G92" s="8" t="n">
        <v>339.5</v>
      </c>
      <c r="H92" s="8" t="n">
        <v>1620</v>
      </c>
      <c r="J92" s="14" t="n">
        <f aca="false">G92*H92/1000000</f>
        <v>0.54999</v>
      </c>
      <c r="K92" s="12" t="n">
        <f aca="false">IF(E92="CHAPA_AREA",F92*J92*INDEX('03_MATERIALES'!$E$2:$E$42,MATCH(D92,'03_MATERIALES'!$A$2:$A$42,0))/1000*p_densidad_acero,IF(E92="PERFIL_LONGITUD",F92*I92*p_kg_por_m_perfil,""))</f>
        <v>2.5904529</v>
      </c>
      <c r="L92" s="6" t="n">
        <f aca="false">IF(E92="CHAPA_AREA",K92*INDEX('03_MATERIALES'!$H$2:$H$42,MATCH(D92,'03_MATERIALES'!$A$2:$A$42,0))/p_aprovechamiento_chapa,IF(E92="PERFIL_LONGITUD",K92*INDEX('03_MATERIALES'!$H$2:$H$42,MATCH(D92,'03_MATERIALES'!$A$2:$A$42,0))/p_aprovechamiento_perfil,IF(E92="UNIDAD",F92*INDEX('03_MATERIALES'!$H$2:$H$42,MATCH(D92,'03_MATERIALES'!$A$2:$A$42,0)),"")))</f>
        <v>19.1468257826087</v>
      </c>
      <c r="M92" s="12" t="n">
        <f aca="false">IF(N(J92)&gt;0,F92*J92/p_area_plancha_m2,"")</f>
        <v>0.19096875</v>
      </c>
      <c r="N92" s="4" t="s">
        <v>30</v>
      </c>
    </row>
    <row r="93" customFormat="false" ht="15" hidden="false" customHeight="false" outlineLevel="0" collapsed="false">
      <c r="A93" s="4" t="s">
        <v>715</v>
      </c>
      <c r="B93" s="4" t="s">
        <v>381</v>
      </c>
      <c r="C93" s="4" t="s">
        <v>716</v>
      </c>
      <c r="D93" s="4" t="s">
        <v>474</v>
      </c>
      <c r="E93" s="4" t="s">
        <v>574</v>
      </c>
      <c r="F93" s="3" t="n">
        <v>1</v>
      </c>
      <c r="G93" s="8" t="n">
        <v>324.8</v>
      </c>
      <c r="H93" s="8" t="n">
        <v>1548</v>
      </c>
      <c r="J93" s="14" t="n">
        <f aca="false">G93*H93/1000000</f>
        <v>0.5027904</v>
      </c>
      <c r="K93" s="12" t="n">
        <f aca="false">IF(E93="CHAPA_AREA",F93*J93*INDEX('03_MATERIALES'!$E$2:$E$42,MATCH(D93,'03_MATERIALES'!$A$2:$A$42,0))/1000*p_densidad_acero,IF(E93="PERFIL_LONGITUD",F93*I93*p_kg_por_m_perfil,""))</f>
        <v>2.368142784</v>
      </c>
      <c r="L93" s="6" t="n">
        <f aca="false">IF(E93="CHAPA_AREA",K93*INDEX('03_MATERIALES'!$H$2:$H$42,MATCH(D93,'03_MATERIALES'!$A$2:$A$42,0))/p_aprovechamiento_chapa,IF(E93="PERFIL_LONGITUD",K93*INDEX('03_MATERIALES'!$H$2:$H$42,MATCH(D93,'03_MATERIALES'!$A$2:$A$42,0))/p_aprovechamiento_perfil,IF(E93="UNIDAD",F93*INDEX('03_MATERIALES'!$H$2:$H$42,MATCH(D93,'03_MATERIALES'!$A$2:$A$42,0)),"")))</f>
        <v>17.5036640556522</v>
      </c>
      <c r="M93" s="12" t="n">
        <f aca="false">IF(N(J93)&gt;0,F93*J93/p_area_plancha_m2,"")</f>
        <v>0.17458</v>
      </c>
      <c r="N93" s="4" t="s">
        <v>30</v>
      </c>
    </row>
    <row r="94" customFormat="false" ht="15" hidden="false" customHeight="false" outlineLevel="0" collapsed="false">
      <c r="A94" s="4" t="s">
        <v>717</v>
      </c>
      <c r="B94" s="4" t="s">
        <v>381</v>
      </c>
      <c r="C94" s="4" t="s">
        <v>718</v>
      </c>
      <c r="D94" s="4" t="s">
        <v>474</v>
      </c>
      <c r="E94" s="4" t="s">
        <v>574</v>
      </c>
      <c r="F94" s="3" t="n">
        <v>2</v>
      </c>
      <c r="G94" s="8" t="n">
        <v>328.5</v>
      </c>
      <c r="H94" s="8" t="n">
        <v>376</v>
      </c>
      <c r="J94" s="14" t="n">
        <f aca="false">G94*H94/1000000</f>
        <v>0.123516</v>
      </c>
      <c r="K94" s="12" t="n">
        <f aca="false">IF(E94="CHAPA_AREA",F94*J94*INDEX('03_MATERIALES'!$E$2:$E$42,MATCH(D94,'03_MATERIALES'!$A$2:$A$42,0))/1000*p_densidad_acero,IF(E94="PERFIL_LONGITUD",F94*I94*p_kg_por_m_perfil,""))</f>
        <v>1.16352072</v>
      </c>
      <c r="L94" s="6" t="n">
        <f aca="false">IF(E94="CHAPA_AREA",K94*INDEX('03_MATERIALES'!$H$2:$H$42,MATCH(D94,'03_MATERIALES'!$A$2:$A$42,0))/p_aprovechamiento_chapa,IF(E94="PERFIL_LONGITUD",K94*INDEX('03_MATERIALES'!$H$2:$H$42,MATCH(D94,'03_MATERIALES'!$A$2:$A$42,0))/p_aprovechamiento_perfil,IF(E94="UNIDAD",F94*INDEX('03_MATERIALES'!$H$2:$H$42,MATCH(D94,'03_MATERIALES'!$A$2:$A$42,0)),"")))</f>
        <v>8.59993575652174</v>
      </c>
      <c r="M94" s="12" t="n">
        <f aca="false">IF(N(J94)&gt;0,F94*J94/p_area_plancha_m2,"")</f>
        <v>0.085775</v>
      </c>
      <c r="N94" s="4" t="s">
        <v>30</v>
      </c>
    </row>
    <row r="95" customFormat="false" ht="15" hidden="false" customHeight="false" outlineLevel="0" collapsed="false">
      <c r="A95" s="4" t="s">
        <v>719</v>
      </c>
      <c r="B95" s="4" t="s">
        <v>381</v>
      </c>
      <c r="C95" s="4" t="s">
        <v>720</v>
      </c>
      <c r="D95" s="4" t="s">
        <v>483</v>
      </c>
      <c r="E95" s="4" t="s">
        <v>579</v>
      </c>
      <c r="F95" s="3" t="n">
        <v>3</v>
      </c>
      <c r="K95" s="12" t="str">
        <f aca="false">IF(E95="CHAPA_AREA",F95*J95*INDEX('03_MATERIALES'!$E$2:$E$42,MATCH(D95,'03_MATERIALES'!$A$2:$A$42,0))/1000*p_densidad_acero,IF(E95="PERFIL_LONGITUD",F95*I95*p_kg_por_m_perfil,""))</f>
        <v/>
      </c>
      <c r="L95" s="6" t="n">
        <f aca="false">IF(E95="CHAPA_AREA",K95*INDEX('03_MATERIALES'!$H$2:$H$42,MATCH(D95,'03_MATERIALES'!$A$2:$A$42,0))/p_aprovechamiento_chapa,IF(E95="PERFIL_LONGITUD",K95*INDEX('03_MATERIALES'!$H$2:$H$42,MATCH(D95,'03_MATERIALES'!$A$2:$A$42,0))/p_aprovechamiento_perfil,IF(E95="UNIDAD",F95*INDEX('03_MATERIALES'!$H$2:$H$42,MATCH(D95,'03_MATERIALES'!$A$2:$A$42,0)),"")))</f>
        <v>2.7</v>
      </c>
      <c r="M95" s="12" t="str">
        <f aca="false">IF(N(J95)&gt;0,F95*J95/p_area_plancha_m2,"")</f>
        <v/>
      </c>
      <c r="N95" s="4" t="s">
        <v>30</v>
      </c>
    </row>
    <row r="96" customFormat="false" ht="15" hidden="false" customHeight="false" outlineLevel="0" collapsed="false">
      <c r="A96" s="4" t="s">
        <v>721</v>
      </c>
      <c r="B96" s="4" t="s">
        <v>384</v>
      </c>
      <c r="C96" s="4" t="s">
        <v>712</v>
      </c>
      <c r="D96" s="4" t="s">
        <v>474</v>
      </c>
      <c r="E96" s="4" t="s">
        <v>574</v>
      </c>
      <c r="F96" s="3" t="n">
        <v>2</v>
      </c>
      <c r="G96" s="8" t="n">
        <v>376</v>
      </c>
      <c r="H96" s="8" t="n">
        <v>1656</v>
      </c>
      <c r="J96" s="14" t="n">
        <f aca="false">G96*H96/1000000</f>
        <v>0.622656</v>
      </c>
      <c r="K96" s="12" t="n">
        <f aca="false">IF(E96="CHAPA_AREA",F96*J96*INDEX('03_MATERIALES'!$E$2:$E$42,MATCH(D96,'03_MATERIALES'!$A$2:$A$42,0))/1000*p_densidad_acero,IF(E96="PERFIL_LONGITUD",F96*I96*p_kg_por_m_perfil,""))</f>
        <v>5.86541952</v>
      </c>
      <c r="L96" s="6" t="n">
        <f aca="false">IF(E96="CHAPA_AREA",K96*INDEX('03_MATERIALES'!$H$2:$H$42,MATCH(D96,'03_MATERIALES'!$A$2:$A$42,0))/p_aprovechamiento_chapa,IF(E96="PERFIL_LONGITUD",K96*INDEX('03_MATERIALES'!$H$2:$H$42,MATCH(D96,'03_MATERIALES'!$A$2:$A$42,0))/p_aprovechamiento_perfil,IF(E96="UNIDAD",F96*INDEX('03_MATERIALES'!$H$2:$H$42,MATCH(D96,'03_MATERIALES'!$A$2:$A$42,0)),"")))</f>
        <v>43.3531008</v>
      </c>
      <c r="M96" s="12" t="n">
        <f aca="false">IF(N(J96)&gt;0,F96*J96/p_area_plancha_m2,"")</f>
        <v>0.4324</v>
      </c>
      <c r="N96" s="4" t="s">
        <v>30</v>
      </c>
    </row>
    <row r="97" customFormat="false" ht="15" hidden="false" customHeight="false" outlineLevel="0" collapsed="false">
      <c r="A97" s="4" t="s">
        <v>722</v>
      </c>
      <c r="B97" s="4" t="s">
        <v>384</v>
      </c>
      <c r="C97" s="4" t="s">
        <v>714</v>
      </c>
      <c r="D97" s="4" t="s">
        <v>474</v>
      </c>
      <c r="E97" s="4" t="s">
        <v>574</v>
      </c>
      <c r="F97" s="3" t="n">
        <v>1</v>
      </c>
      <c r="G97" s="8" t="n">
        <v>651</v>
      </c>
      <c r="H97" s="8" t="n">
        <v>1620</v>
      </c>
      <c r="J97" s="14" t="n">
        <f aca="false">G97*H97/1000000</f>
        <v>1.05462</v>
      </c>
      <c r="K97" s="12" t="n">
        <f aca="false">IF(E97="CHAPA_AREA",F97*J97*INDEX('03_MATERIALES'!$E$2:$E$42,MATCH(D97,'03_MATERIALES'!$A$2:$A$42,0))/1000*p_densidad_acero,IF(E97="PERFIL_LONGITUD",F97*I97*p_kg_por_m_perfil,""))</f>
        <v>4.9672602</v>
      </c>
      <c r="L97" s="6" t="n">
        <f aca="false">IF(E97="CHAPA_AREA",K97*INDEX('03_MATERIALES'!$H$2:$H$42,MATCH(D97,'03_MATERIALES'!$A$2:$A$42,0))/p_aprovechamiento_chapa,IF(E97="PERFIL_LONGITUD",K97*INDEX('03_MATERIALES'!$H$2:$H$42,MATCH(D97,'03_MATERIALES'!$A$2:$A$42,0))/p_aprovechamiento_perfil,IF(E97="UNIDAD",F97*INDEX('03_MATERIALES'!$H$2:$H$42,MATCH(D97,'03_MATERIALES'!$A$2:$A$42,0)),"")))</f>
        <v>36.7145319130435</v>
      </c>
      <c r="M97" s="12" t="n">
        <f aca="false">IF(N(J97)&gt;0,F97*J97/p_area_plancha_m2,"")</f>
        <v>0.3661875</v>
      </c>
      <c r="N97" s="4" t="s">
        <v>30</v>
      </c>
    </row>
    <row r="98" customFormat="false" ht="15" hidden="false" customHeight="false" outlineLevel="0" collapsed="false">
      <c r="A98" s="4" t="s">
        <v>723</v>
      </c>
      <c r="B98" s="4" t="s">
        <v>384</v>
      </c>
      <c r="C98" s="4" t="s">
        <v>716</v>
      </c>
      <c r="D98" s="4" t="s">
        <v>474</v>
      </c>
      <c r="E98" s="4" t="s">
        <v>574</v>
      </c>
      <c r="F98" s="3" t="n">
        <v>2</v>
      </c>
      <c r="G98" s="8" t="n">
        <v>311.5</v>
      </c>
      <c r="H98" s="8" t="n">
        <v>1548</v>
      </c>
      <c r="J98" s="14" t="n">
        <f aca="false">G98*H98/1000000</f>
        <v>0.482202</v>
      </c>
      <c r="K98" s="12" t="n">
        <f aca="false">IF(E98="CHAPA_AREA",F98*J98*INDEX('03_MATERIALES'!$E$2:$E$42,MATCH(D98,'03_MATERIALES'!$A$2:$A$42,0))/1000*p_densidad_acero,IF(E98="PERFIL_LONGITUD",F98*I98*p_kg_por_m_perfil,""))</f>
        <v>4.54234284</v>
      </c>
      <c r="L98" s="6" t="n">
        <f aca="false">IF(E98="CHAPA_AREA",K98*INDEX('03_MATERIALES'!$H$2:$H$42,MATCH(D98,'03_MATERIALES'!$A$2:$A$42,0))/p_aprovechamiento_chapa,IF(E98="PERFIL_LONGITUD",K98*INDEX('03_MATERIALES'!$H$2:$H$42,MATCH(D98,'03_MATERIALES'!$A$2:$A$42,0))/p_aprovechamiento_perfil,IF(E98="UNIDAD",F98*INDEX('03_MATERIALES'!$H$2:$H$42,MATCH(D98,'03_MATERIALES'!$A$2:$A$42,0)),"")))</f>
        <v>33.5738383826087</v>
      </c>
      <c r="M98" s="12" t="n">
        <f aca="false">IF(N(J98)&gt;0,F98*J98/p_area_plancha_m2,"")</f>
        <v>0.3348625</v>
      </c>
      <c r="N98" s="4" t="s">
        <v>30</v>
      </c>
    </row>
    <row r="99" customFormat="false" ht="15" hidden="false" customHeight="false" outlineLevel="0" collapsed="false">
      <c r="A99" s="4" t="s">
        <v>724</v>
      </c>
      <c r="B99" s="4" t="s">
        <v>384</v>
      </c>
      <c r="C99" s="4" t="s">
        <v>718</v>
      </c>
      <c r="D99" s="4" t="s">
        <v>474</v>
      </c>
      <c r="E99" s="4" t="s">
        <v>574</v>
      </c>
      <c r="F99" s="3" t="n">
        <v>2</v>
      </c>
      <c r="G99" s="8" t="n">
        <v>630</v>
      </c>
      <c r="H99" s="8" t="n">
        <v>376</v>
      </c>
      <c r="J99" s="14" t="n">
        <f aca="false">G99*H99/1000000</f>
        <v>0.23688</v>
      </c>
      <c r="K99" s="12" t="n">
        <f aca="false">IF(E99="CHAPA_AREA",F99*J99*INDEX('03_MATERIALES'!$E$2:$E$42,MATCH(D99,'03_MATERIALES'!$A$2:$A$42,0))/1000*p_densidad_acero,IF(E99="PERFIL_LONGITUD",F99*I99*p_kg_por_m_perfil,""))</f>
        <v>2.2314096</v>
      </c>
      <c r="L99" s="6" t="n">
        <f aca="false">IF(E99="CHAPA_AREA",K99*INDEX('03_MATERIALES'!$H$2:$H$42,MATCH(D99,'03_MATERIALES'!$A$2:$A$42,0))/p_aprovechamiento_chapa,IF(E99="PERFIL_LONGITUD",K99*INDEX('03_MATERIALES'!$H$2:$H$42,MATCH(D99,'03_MATERIALES'!$A$2:$A$42,0))/p_aprovechamiento_perfil,IF(E99="UNIDAD",F99*INDEX('03_MATERIALES'!$H$2:$H$42,MATCH(D99,'03_MATERIALES'!$A$2:$A$42,0)),"")))</f>
        <v>16.4930274782609</v>
      </c>
      <c r="M99" s="12" t="n">
        <f aca="false">IF(N(J99)&gt;0,F99*J99/p_area_plancha_m2,"")</f>
        <v>0.1645</v>
      </c>
      <c r="N99" s="4" t="s">
        <v>30</v>
      </c>
    </row>
    <row r="100" customFormat="false" ht="15" hidden="false" customHeight="false" outlineLevel="0" collapsed="false">
      <c r="A100" s="4" t="s">
        <v>725</v>
      </c>
      <c r="B100" s="4" t="s">
        <v>384</v>
      </c>
      <c r="C100" s="4" t="s">
        <v>720</v>
      </c>
      <c r="D100" s="4" t="s">
        <v>483</v>
      </c>
      <c r="E100" s="4" t="s">
        <v>579</v>
      </c>
      <c r="F100" s="3" t="n">
        <v>6</v>
      </c>
      <c r="K100" s="12" t="str">
        <f aca="false">IF(E100="CHAPA_AREA",F100*J100*INDEX('03_MATERIALES'!$E$2:$E$42,MATCH(D100,'03_MATERIALES'!$A$2:$A$42,0))/1000*p_densidad_acero,IF(E100="PERFIL_LONGITUD",F100*I100*p_kg_por_m_perfil,""))</f>
        <v/>
      </c>
      <c r="L100" s="6" t="n">
        <f aca="false">IF(E100="CHAPA_AREA",K100*INDEX('03_MATERIALES'!$H$2:$H$42,MATCH(D100,'03_MATERIALES'!$A$2:$A$42,0))/p_aprovechamiento_chapa,IF(E100="PERFIL_LONGITUD",K100*INDEX('03_MATERIALES'!$H$2:$H$42,MATCH(D100,'03_MATERIALES'!$A$2:$A$42,0))/p_aprovechamiento_perfil,IF(E100="UNIDAD",F100*INDEX('03_MATERIALES'!$H$2:$H$42,MATCH(D100,'03_MATERIALES'!$A$2:$A$42,0)),"")))</f>
        <v>5.4</v>
      </c>
      <c r="M100" s="12" t="str">
        <f aca="false">IF(N(J100)&gt;0,F100*J100/p_area_plancha_m2,"")</f>
        <v/>
      </c>
      <c r="N100" s="4" t="s">
        <v>30</v>
      </c>
    </row>
    <row r="101" customFormat="false" ht="15" hidden="false" customHeight="false" outlineLevel="0" collapsed="false">
      <c r="A101" s="4" t="s">
        <v>726</v>
      </c>
      <c r="B101" s="4" t="s">
        <v>387</v>
      </c>
      <c r="C101" s="4" t="s">
        <v>712</v>
      </c>
      <c r="D101" s="4" t="s">
        <v>474</v>
      </c>
      <c r="E101" s="4" t="s">
        <v>574</v>
      </c>
      <c r="F101" s="3" t="n">
        <v>2</v>
      </c>
      <c r="G101" s="8" t="n">
        <v>376</v>
      </c>
      <c r="H101" s="8" t="n">
        <v>1656</v>
      </c>
      <c r="J101" s="14" t="n">
        <f aca="false">G101*H101/1000000</f>
        <v>0.622656</v>
      </c>
      <c r="K101" s="12" t="n">
        <f aca="false">IF(E101="CHAPA_AREA",F101*J101*INDEX('03_MATERIALES'!$E$2:$E$42,MATCH(D101,'03_MATERIALES'!$A$2:$A$42,0))/1000*p_densidad_acero,IF(E101="PERFIL_LONGITUD",F101*I101*p_kg_por_m_perfil,""))</f>
        <v>5.86541952</v>
      </c>
      <c r="L101" s="6" t="n">
        <f aca="false">IF(E101="CHAPA_AREA",K101*INDEX('03_MATERIALES'!$H$2:$H$42,MATCH(D101,'03_MATERIALES'!$A$2:$A$42,0))/p_aprovechamiento_chapa,IF(E101="PERFIL_LONGITUD",K101*INDEX('03_MATERIALES'!$H$2:$H$42,MATCH(D101,'03_MATERIALES'!$A$2:$A$42,0))/p_aprovechamiento_perfil,IF(E101="UNIDAD",F101*INDEX('03_MATERIALES'!$H$2:$H$42,MATCH(D101,'03_MATERIALES'!$A$2:$A$42,0)),"")))</f>
        <v>43.3531008</v>
      </c>
      <c r="M101" s="12" t="n">
        <f aca="false">IF(N(J101)&gt;0,F101*J101/p_area_plancha_m2,"")</f>
        <v>0.4324</v>
      </c>
      <c r="N101" s="4" t="s">
        <v>30</v>
      </c>
    </row>
    <row r="102" customFormat="false" ht="15" hidden="false" customHeight="false" outlineLevel="0" collapsed="false">
      <c r="A102" s="4" t="s">
        <v>727</v>
      </c>
      <c r="B102" s="4" t="s">
        <v>387</v>
      </c>
      <c r="C102" s="4" t="s">
        <v>714</v>
      </c>
      <c r="D102" s="4" t="s">
        <v>474</v>
      </c>
      <c r="E102" s="4" t="s">
        <v>574</v>
      </c>
      <c r="F102" s="3" t="n">
        <v>1</v>
      </c>
      <c r="G102" s="8" t="n">
        <v>967.2</v>
      </c>
      <c r="H102" s="8" t="n">
        <v>1620</v>
      </c>
      <c r="J102" s="14" t="n">
        <f aca="false">G102*H102/1000000</f>
        <v>1.566864</v>
      </c>
      <c r="K102" s="12" t="n">
        <f aca="false">IF(E102="CHAPA_AREA",F102*J102*INDEX('03_MATERIALES'!$E$2:$E$42,MATCH(D102,'03_MATERIALES'!$A$2:$A$42,0))/1000*p_densidad_acero,IF(E102="PERFIL_LONGITUD",F102*I102*p_kg_por_m_perfil,""))</f>
        <v>7.37992944</v>
      </c>
      <c r="L102" s="6" t="n">
        <f aca="false">IF(E102="CHAPA_AREA",K102*INDEX('03_MATERIALES'!$H$2:$H$42,MATCH(D102,'03_MATERIALES'!$A$2:$A$42,0))/p_aprovechamiento_chapa,IF(E102="PERFIL_LONGITUD",K102*INDEX('03_MATERIALES'!$H$2:$H$42,MATCH(D102,'03_MATERIALES'!$A$2:$A$42,0))/p_aprovechamiento_perfil,IF(E102="UNIDAD",F102*INDEX('03_MATERIALES'!$H$2:$H$42,MATCH(D102,'03_MATERIALES'!$A$2:$A$42,0)),"")))</f>
        <v>54.5473045565217</v>
      </c>
      <c r="M102" s="12" t="n">
        <f aca="false">IF(N(J102)&gt;0,F102*J102/p_area_plancha_m2,"")</f>
        <v>0.54405</v>
      </c>
      <c r="N102" s="4" t="s">
        <v>30</v>
      </c>
    </row>
    <row r="103" customFormat="false" ht="15" hidden="false" customHeight="false" outlineLevel="0" collapsed="false">
      <c r="A103" s="4" t="s">
        <v>728</v>
      </c>
      <c r="B103" s="4" t="s">
        <v>387</v>
      </c>
      <c r="C103" s="4" t="s">
        <v>716</v>
      </c>
      <c r="D103" s="4" t="s">
        <v>474</v>
      </c>
      <c r="E103" s="4" t="s">
        <v>574</v>
      </c>
      <c r="F103" s="3" t="n">
        <v>3</v>
      </c>
      <c r="G103" s="8" t="n">
        <v>308.5</v>
      </c>
      <c r="H103" s="8" t="n">
        <v>1548</v>
      </c>
      <c r="J103" s="14" t="n">
        <f aca="false">G103*H103/1000000</f>
        <v>0.477558</v>
      </c>
      <c r="K103" s="12" t="n">
        <f aca="false">IF(E103="CHAPA_AREA",F103*J103*INDEX('03_MATERIALES'!$E$2:$E$42,MATCH(D103,'03_MATERIALES'!$A$2:$A$42,0))/1000*p_densidad_acero,IF(E103="PERFIL_LONGITUD",F103*I103*p_kg_por_m_perfil,""))</f>
        <v>6.74789454</v>
      </c>
      <c r="L103" s="6" t="n">
        <f aca="false">IF(E103="CHAPA_AREA",K103*INDEX('03_MATERIALES'!$H$2:$H$42,MATCH(D103,'03_MATERIALES'!$A$2:$A$42,0))/p_aprovechamiento_chapa,IF(E103="PERFIL_LONGITUD",K103*INDEX('03_MATERIALES'!$H$2:$H$42,MATCH(D103,'03_MATERIALES'!$A$2:$A$42,0))/p_aprovechamiento_perfil,IF(E103="UNIDAD",F103*INDEX('03_MATERIALES'!$H$2:$H$42,MATCH(D103,'03_MATERIALES'!$A$2:$A$42,0)),"")))</f>
        <v>49.8757422521739</v>
      </c>
      <c r="M103" s="12" t="n">
        <f aca="false">IF(N(J103)&gt;0,F103*J103/p_area_plancha_m2,"")</f>
        <v>0.49745625</v>
      </c>
      <c r="N103" s="4" t="s">
        <v>30</v>
      </c>
    </row>
    <row r="104" customFormat="false" ht="15" hidden="false" customHeight="false" outlineLevel="0" collapsed="false">
      <c r="A104" s="4" t="s">
        <v>729</v>
      </c>
      <c r="B104" s="4" t="s">
        <v>387</v>
      </c>
      <c r="C104" s="4" t="s">
        <v>718</v>
      </c>
      <c r="D104" s="4" t="s">
        <v>474</v>
      </c>
      <c r="E104" s="4" t="s">
        <v>574</v>
      </c>
      <c r="F104" s="3" t="n">
        <v>2</v>
      </c>
      <c r="G104" s="8" t="n">
        <v>936</v>
      </c>
      <c r="H104" s="8" t="n">
        <v>376</v>
      </c>
      <c r="J104" s="14" t="n">
        <f aca="false">G104*H104/1000000</f>
        <v>0.351936</v>
      </c>
      <c r="K104" s="12" t="n">
        <f aca="false">IF(E104="CHAPA_AREA",F104*J104*INDEX('03_MATERIALES'!$E$2:$E$42,MATCH(D104,'03_MATERIALES'!$A$2:$A$42,0))/1000*p_densidad_acero,IF(E104="PERFIL_LONGITUD",F104*I104*p_kg_por_m_perfil,""))</f>
        <v>3.31523712</v>
      </c>
      <c r="L104" s="6" t="n">
        <f aca="false">IF(E104="CHAPA_AREA",K104*INDEX('03_MATERIALES'!$H$2:$H$42,MATCH(D104,'03_MATERIALES'!$A$2:$A$42,0))/p_aprovechamiento_chapa,IF(E104="PERFIL_LONGITUD",K104*INDEX('03_MATERIALES'!$H$2:$H$42,MATCH(D104,'03_MATERIALES'!$A$2:$A$42,0))/p_aprovechamiento_perfil,IF(E104="UNIDAD",F104*INDEX('03_MATERIALES'!$H$2:$H$42,MATCH(D104,'03_MATERIALES'!$A$2:$A$42,0)),"")))</f>
        <v>24.5039265391304</v>
      </c>
      <c r="M104" s="12" t="n">
        <f aca="false">IF(N(J104)&gt;0,F104*J104/p_area_plancha_m2,"")</f>
        <v>0.2444</v>
      </c>
      <c r="N104" s="4" t="s">
        <v>30</v>
      </c>
    </row>
    <row r="105" customFormat="false" ht="15" hidden="false" customHeight="false" outlineLevel="0" collapsed="false">
      <c r="A105" s="4" t="s">
        <v>730</v>
      </c>
      <c r="B105" s="4" t="s">
        <v>387</v>
      </c>
      <c r="C105" s="4" t="s">
        <v>720</v>
      </c>
      <c r="D105" s="4" t="s">
        <v>483</v>
      </c>
      <c r="E105" s="4" t="s">
        <v>579</v>
      </c>
      <c r="F105" s="3" t="n">
        <v>9</v>
      </c>
      <c r="K105" s="12" t="str">
        <f aca="false">IF(E105="CHAPA_AREA",F105*J105*INDEX('03_MATERIALES'!$E$2:$E$42,MATCH(D105,'03_MATERIALES'!$A$2:$A$42,0))/1000*p_densidad_acero,IF(E105="PERFIL_LONGITUD",F105*I105*p_kg_por_m_perfil,""))</f>
        <v/>
      </c>
      <c r="L105" s="6" t="n">
        <f aca="false">IF(E105="CHAPA_AREA",K105*INDEX('03_MATERIALES'!$H$2:$H$42,MATCH(D105,'03_MATERIALES'!$A$2:$A$42,0))/p_aprovechamiento_chapa,IF(E105="PERFIL_LONGITUD",K105*INDEX('03_MATERIALES'!$H$2:$H$42,MATCH(D105,'03_MATERIALES'!$A$2:$A$42,0))/p_aprovechamiento_perfil,IF(E105="UNIDAD",F105*INDEX('03_MATERIALES'!$H$2:$H$42,MATCH(D105,'03_MATERIALES'!$A$2:$A$42,0)),"")))</f>
        <v>8.1</v>
      </c>
      <c r="M105" s="12" t="str">
        <f aca="false">IF(N(J105)&gt;0,F105*J105/p_area_plancha_m2,"")</f>
        <v/>
      </c>
      <c r="N105" s="4" t="s">
        <v>30</v>
      </c>
    </row>
    <row r="106" customFormat="false" ht="15" hidden="false" customHeight="false" outlineLevel="0" collapsed="false">
      <c r="A106" s="4" t="s">
        <v>731</v>
      </c>
      <c r="B106" s="4" t="s">
        <v>390</v>
      </c>
      <c r="C106" s="4" t="s">
        <v>712</v>
      </c>
      <c r="D106" s="4" t="s">
        <v>474</v>
      </c>
      <c r="E106" s="4" t="s">
        <v>574</v>
      </c>
      <c r="F106" s="3" t="n">
        <v>2</v>
      </c>
      <c r="G106" s="8" t="n">
        <v>376</v>
      </c>
      <c r="H106" s="8" t="n">
        <v>1656</v>
      </c>
      <c r="J106" s="14" t="n">
        <f aca="false">G106*H106/1000000</f>
        <v>0.622656</v>
      </c>
      <c r="K106" s="12" t="n">
        <f aca="false">IF(E106="CHAPA_AREA",F106*J106*INDEX('03_MATERIALES'!$E$2:$E$42,MATCH(D106,'03_MATERIALES'!$A$2:$A$42,0))/1000*p_densidad_acero,IF(E106="PERFIL_LONGITUD",F106*I106*p_kg_por_m_perfil,""))</f>
        <v>5.86541952</v>
      </c>
      <c r="L106" s="6" t="n">
        <f aca="false">IF(E106="CHAPA_AREA",K106*INDEX('03_MATERIALES'!$H$2:$H$42,MATCH(D106,'03_MATERIALES'!$A$2:$A$42,0))/p_aprovechamiento_chapa,IF(E106="PERFIL_LONGITUD",K106*INDEX('03_MATERIALES'!$H$2:$H$42,MATCH(D106,'03_MATERIALES'!$A$2:$A$42,0))/p_aprovechamiento_perfil,IF(E106="UNIDAD",F106*INDEX('03_MATERIALES'!$H$2:$H$42,MATCH(D106,'03_MATERIALES'!$A$2:$A$42,0)),"")))</f>
        <v>43.3531008</v>
      </c>
      <c r="M106" s="12" t="n">
        <f aca="false">IF(N(J106)&gt;0,F106*J106/p_area_plancha_m2,"")</f>
        <v>0.4324</v>
      </c>
      <c r="N106" s="4" t="s">
        <v>30</v>
      </c>
    </row>
    <row r="107" customFormat="false" ht="15" hidden="false" customHeight="false" outlineLevel="0" collapsed="false">
      <c r="A107" s="4" t="s">
        <v>732</v>
      </c>
      <c r="B107" s="4" t="s">
        <v>390</v>
      </c>
      <c r="C107" s="4" t="s">
        <v>714</v>
      </c>
      <c r="D107" s="4" t="s">
        <v>474</v>
      </c>
      <c r="E107" s="4" t="s">
        <v>574</v>
      </c>
      <c r="F107" s="3" t="n">
        <v>2</v>
      </c>
      <c r="G107" s="8" t="n">
        <v>641.7</v>
      </c>
      <c r="H107" s="8" t="n">
        <v>1620</v>
      </c>
      <c r="J107" s="14" t="n">
        <f aca="false">G107*H107/1000000</f>
        <v>1.039554</v>
      </c>
      <c r="K107" s="12" t="n">
        <f aca="false">IF(E107="CHAPA_AREA",F107*J107*INDEX('03_MATERIALES'!$E$2:$E$42,MATCH(D107,'03_MATERIALES'!$A$2:$A$42,0))/1000*p_densidad_acero,IF(E107="PERFIL_LONGITUD",F107*I107*p_kg_por_m_perfil,""))</f>
        <v>9.79259868</v>
      </c>
      <c r="L107" s="6" t="n">
        <f aca="false">IF(E107="CHAPA_AREA",K107*INDEX('03_MATERIALES'!$H$2:$H$42,MATCH(D107,'03_MATERIALES'!$A$2:$A$42,0))/p_aprovechamiento_chapa,IF(E107="PERFIL_LONGITUD",K107*INDEX('03_MATERIALES'!$H$2:$H$42,MATCH(D107,'03_MATERIALES'!$A$2:$A$42,0))/p_aprovechamiento_perfil,IF(E107="UNIDAD",F107*INDEX('03_MATERIALES'!$H$2:$H$42,MATCH(D107,'03_MATERIALES'!$A$2:$A$42,0)),"")))</f>
        <v>72.3800772</v>
      </c>
      <c r="M107" s="12" t="n">
        <f aca="false">IF(N(J107)&gt;0,F107*J107/p_area_plancha_m2,"")</f>
        <v>0.7219125</v>
      </c>
      <c r="N107" s="4" t="s">
        <v>30</v>
      </c>
    </row>
    <row r="108" customFormat="false" ht="15" hidden="false" customHeight="false" outlineLevel="0" collapsed="false">
      <c r="A108" s="4" t="s">
        <v>733</v>
      </c>
      <c r="B108" s="4" t="s">
        <v>390</v>
      </c>
      <c r="C108" s="4" t="s">
        <v>716</v>
      </c>
      <c r="D108" s="4" t="s">
        <v>474</v>
      </c>
      <c r="E108" s="4" t="s">
        <v>574</v>
      </c>
      <c r="F108" s="3" t="n">
        <v>4</v>
      </c>
      <c r="G108" s="8" t="n">
        <v>307.1</v>
      </c>
      <c r="H108" s="8" t="n">
        <v>1548</v>
      </c>
      <c r="J108" s="14" t="n">
        <f aca="false">G108*H108/1000000</f>
        <v>0.4753908</v>
      </c>
      <c r="K108" s="12" t="n">
        <f aca="false">IF(E108="CHAPA_AREA",F108*J108*INDEX('03_MATERIALES'!$E$2:$E$42,MATCH(D108,'03_MATERIALES'!$A$2:$A$42,0))/1000*p_densidad_acero,IF(E108="PERFIL_LONGITUD",F108*I108*p_kg_por_m_perfil,""))</f>
        <v>8.956362672</v>
      </c>
      <c r="L108" s="6" t="n">
        <f aca="false">IF(E108="CHAPA_AREA",K108*INDEX('03_MATERIALES'!$H$2:$H$42,MATCH(D108,'03_MATERIALES'!$A$2:$A$42,0))/p_aprovechamiento_chapa,IF(E108="PERFIL_LONGITUD",K108*INDEX('03_MATERIALES'!$H$2:$H$42,MATCH(D108,'03_MATERIALES'!$A$2:$A$42,0))/p_aprovechamiento_perfil,IF(E108="UNIDAD",F108*INDEX('03_MATERIALES'!$H$2:$H$42,MATCH(D108,'03_MATERIALES'!$A$2:$A$42,0)),"")))</f>
        <v>66.1992023582609</v>
      </c>
      <c r="M108" s="12" t="n">
        <f aca="false">IF(N(J108)&gt;0,F108*J108/p_area_plancha_m2,"")</f>
        <v>0.660265</v>
      </c>
      <c r="N108" s="4" t="s">
        <v>30</v>
      </c>
    </row>
    <row r="109" customFormat="false" ht="15" hidden="false" customHeight="false" outlineLevel="0" collapsed="false">
      <c r="A109" s="4" t="s">
        <v>734</v>
      </c>
      <c r="B109" s="4" t="s">
        <v>390</v>
      </c>
      <c r="C109" s="4" t="s">
        <v>718</v>
      </c>
      <c r="D109" s="4" t="s">
        <v>474</v>
      </c>
      <c r="E109" s="4" t="s">
        <v>574</v>
      </c>
      <c r="F109" s="3" t="n">
        <v>4</v>
      </c>
      <c r="G109" s="8" t="n">
        <v>621</v>
      </c>
      <c r="H109" s="8" t="n">
        <v>376</v>
      </c>
      <c r="J109" s="14" t="n">
        <f aca="false">G109*H109/1000000</f>
        <v>0.233496</v>
      </c>
      <c r="K109" s="12" t="n">
        <f aca="false">IF(E109="CHAPA_AREA",F109*J109*INDEX('03_MATERIALES'!$E$2:$E$42,MATCH(D109,'03_MATERIALES'!$A$2:$A$42,0))/1000*p_densidad_acero,IF(E109="PERFIL_LONGITUD",F109*I109*p_kg_por_m_perfil,""))</f>
        <v>4.39906464</v>
      </c>
      <c r="L109" s="6" t="n">
        <f aca="false">IF(E109="CHAPA_AREA",K109*INDEX('03_MATERIALES'!$H$2:$H$42,MATCH(D109,'03_MATERIALES'!$A$2:$A$42,0))/p_aprovechamiento_chapa,IF(E109="PERFIL_LONGITUD",K109*INDEX('03_MATERIALES'!$H$2:$H$42,MATCH(D109,'03_MATERIALES'!$A$2:$A$42,0))/p_aprovechamiento_perfil,IF(E109="UNIDAD",F109*INDEX('03_MATERIALES'!$H$2:$H$42,MATCH(D109,'03_MATERIALES'!$A$2:$A$42,0)),"")))</f>
        <v>32.5148256</v>
      </c>
      <c r="M109" s="12" t="n">
        <f aca="false">IF(N(J109)&gt;0,F109*J109/p_area_plancha_m2,"")</f>
        <v>0.3243</v>
      </c>
      <c r="N109" s="4" t="s">
        <v>30</v>
      </c>
    </row>
    <row r="110" customFormat="false" ht="15" hidden="false" customHeight="false" outlineLevel="0" collapsed="false">
      <c r="A110" s="4" t="s">
        <v>735</v>
      </c>
      <c r="B110" s="4" t="s">
        <v>390</v>
      </c>
      <c r="C110" s="4" t="s">
        <v>720</v>
      </c>
      <c r="D110" s="4" t="s">
        <v>483</v>
      </c>
      <c r="E110" s="4" t="s">
        <v>579</v>
      </c>
      <c r="F110" s="3" t="n">
        <v>12</v>
      </c>
      <c r="K110" s="12" t="str">
        <f aca="false">IF(E110="CHAPA_AREA",F110*J110*INDEX('03_MATERIALES'!$E$2:$E$42,MATCH(D110,'03_MATERIALES'!$A$2:$A$42,0))/1000*p_densidad_acero,IF(E110="PERFIL_LONGITUD",F110*I110*p_kg_por_m_perfil,""))</f>
        <v/>
      </c>
      <c r="L110" s="6" t="n">
        <f aca="false">IF(E110="CHAPA_AREA",K110*INDEX('03_MATERIALES'!$H$2:$H$42,MATCH(D110,'03_MATERIALES'!$A$2:$A$42,0))/p_aprovechamiento_chapa,IF(E110="PERFIL_LONGITUD",K110*INDEX('03_MATERIALES'!$H$2:$H$42,MATCH(D110,'03_MATERIALES'!$A$2:$A$42,0))/p_aprovechamiento_perfil,IF(E110="UNIDAD",F110*INDEX('03_MATERIALES'!$H$2:$H$42,MATCH(D110,'03_MATERIALES'!$A$2:$A$42,0)),"")))</f>
        <v>10.8</v>
      </c>
      <c r="M110" s="12" t="str">
        <f aca="false">IF(N(J110)&gt;0,F110*J110/p_area_plancha_m2,"")</f>
        <v/>
      </c>
      <c r="N110" s="4" t="s">
        <v>30</v>
      </c>
    </row>
    <row r="111" customFormat="false" ht="15" hidden="false" customHeight="false" outlineLevel="0" collapsed="false">
      <c r="A111" s="4" t="s">
        <v>736</v>
      </c>
      <c r="B111" s="4" t="s">
        <v>398</v>
      </c>
      <c r="C111" s="4" t="s">
        <v>737</v>
      </c>
      <c r="D111" s="4" t="s">
        <v>480</v>
      </c>
      <c r="E111" s="4" t="s">
        <v>567</v>
      </c>
      <c r="F111" s="3" t="n">
        <v>4</v>
      </c>
      <c r="I111" s="11" t="n">
        <v>0.5775</v>
      </c>
      <c r="K111" s="12" t="n">
        <f aca="false">IF(E111="CHAPA_AREA",F111*J111*INDEX('03_MATERIALES'!$E$2:$E$42,MATCH(D111,'03_MATERIALES'!$A$2:$A$42,0))/1000*p_densidad_acero,IF(E111="PERFIL_LONGITUD",F111*I111*p_kg_por_m_perfil,""))</f>
        <v>3.465</v>
      </c>
      <c r="L111" s="6" t="n">
        <f aca="false">IF(E111="CHAPA_AREA",K111*INDEX('03_MATERIALES'!$H$2:$H$42,MATCH(D111,'03_MATERIALES'!$A$2:$A$42,0))/p_aprovechamiento_chapa,IF(E111="PERFIL_LONGITUD",K111*INDEX('03_MATERIALES'!$H$2:$H$42,MATCH(D111,'03_MATERIALES'!$A$2:$A$42,0))/p_aprovechamiento_perfil,IF(E111="UNIDAD",F111*INDEX('03_MATERIALES'!$H$2:$H$42,MATCH(D111,'03_MATERIALES'!$A$2:$A$42,0)),"")))</f>
        <v>22.0171875</v>
      </c>
      <c r="M111" s="12" t="str">
        <f aca="false">IF(N(J111)&gt;0,F111*J111/p_area_plancha_m2,"")</f>
        <v/>
      </c>
      <c r="N111" s="4" t="s">
        <v>30</v>
      </c>
    </row>
    <row r="112" customFormat="false" ht="15" hidden="false" customHeight="false" outlineLevel="0" collapsed="false">
      <c r="A112" s="4" t="s">
        <v>738</v>
      </c>
      <c r="B112" s="4" t="s">
        <v>398</v>
      </c>
      <c r="C112" s="4" t="s">
        <v>739</v>
      </c>
      <c r="D112" s="4" t="s">
        <v>489</v>
      </c>
      <c r="E112" s="4" t="s">
        <v>740</v>
      </c>
      <c r="F112" s="3" t="n">
        <v>1</v>
      </c>
      <c r="K112" s="12" t="str">
        <f aca="false">IF(E112="CHAPA_AREA",F112*J112*INDEX('03_MATERIALES'!$E$2:$E$42,MATCH(D112,'03_MATERIALES'!$A$2:$A$42,0))/1000*p_densidad_acero,IF(E112="PERFIL_LONGITUD",F112*I112*p_kg_por_m_perfil,""))</f>
        <v/>
      </c>
      <c r="L112" s="6" t="str">
        <f aca="false">IF(E112="CHAPA_AREA",K112*INDEX('03_MATERIALES'!$H$2:$H$42,MATCH(D112,'03_MATERIALES'!$A$2:$A$42,0))/p_aprovechamiento_chapa,IF(E112="PERFIL_LONGITUD",K112*INDEX('03_MATERIALES'!$H$2:$H$42,MATCH(D112,'03_MATERIALES'!$A$2:$A$42,0))/p_aprovechamiento_perfil,IF(E112="UNIDAD",F112*INDEX('03_MATERIALES'!$H$2:$H$42,MATCH(D112,'03_MATERIALES'!$A$2:$A$42,0)),"")))</f>
        <v/>
      </c>
      <c r="M112" s="12" t="str">
        <f aca="false">IF(N(J112)&gt;0,F112*J112/p_area_plancha_m2,"")</f>
        <v/>
      </c>
      <c r="N112" s="4" t="s">
        <v>30</v>
      </c>
    </row>
    <row r="113" customFormat="false" ht="15" hidden="false" customHeight="false" outlineLevel="0" collapsed="false">
      <c r="A113" s="4" t="s">
        <v>741</v>
      </c>
      <c r="B113" s="4" t="s">
        <v>398</v>
      </c>
      <c r="C113" s="4" t="s">
        <v>742</v>
      </c>
      <c r="D113" s="4" t="s">
        <v>483</v>
      </c>
      <c r="E113" s="4" t="s">
        <v>579</v>
      </c>
      <c r="F113" s="3" t="n">
        <v>8</v>
      </c>
      <c r="K113" s="12" t="str">
        <f aca="false">IF(E113="CHAPA_AREA",F113*J113*INDEX('03_MATERIALES'!$E$2:$E$42,MATCH(D113,'03_MATERIALES'!$A$2:$A$42,0))/1000*p_densidad_acero,IF(E113="PERFIL_LONGITUD",F113*I113*p_kg_por_m_perfil,""))</f>
        <v/>
      </c>
      <c r="L113" s="6" t="n">
        <f aca="false">IF(E113="CHAPA_AREA",K113*INDEX('03_MATERIALES'!$H$2:$H$42,MATCH(D113,'03_MATERIALES'!$A$2:$A$42,0))/p_aprovechamiento_chapa,IF(E113="PERFIL_LONGITUD",K113*INDEX('03_MATERIALES'!$H$2:$H$42,MATCH(D113,'03_MATERIALES'!$A$2:$A$42,0))/p_aprovechamiento_perfil,IF(E113="UNIDAD",F113*INDEX('03_MATERIALES'!$H$2:$H$42,MATCH(D113,'03_MATERIALES'!$A$2:$A$42,0)),"")))</f>
        <v>7.2</v>
      </c>
      <c r="M113" s="12" t="str">
        <f aca="false">IF(N(J113)&gt;0,F113*J113/p_area_plancha_m2,"")</f>
        <v/>
      </c>
      <c r="N113" s="4" t="s">
        <v>30</v>
      </c>
    </row>
    <row r="114" customFormat="false" ht="15" hidden="false" customHeight="false" outlineLevel="0" collapsed="false">
      <c r="A114" s="4" t="s">
        <v>743</v>
      </c>
      <c r="B114" s="4" t="s">
        <v>401</v>
      </c>
      <c r="C114" s="4" t="s">
        <v>737</v>
      </c>
      <c r="D114" s="4" t="s">
        <v>480</v>
      </c>
      <c r="E114" s="4" t="s">
        <v>567</v>
      </c>
      <c r="F114" s="3" t="n">
        <v>4</v>
      </c>
      <c r="I114" s="11" t="n">
        <v>0.595</v>
      </c>
      <c r="K114" s="12" t="n">
        <f aca="false">IF(E114="CHAPA_AREA",F114*J114*INDEX('03_MATERIALES'!$E$2:$E$42,MATCH(D114,'03_MATERIALES'!$A$2:$A$42,0))/1000*p_densidad_acero,IF(E114="PERFIL_LONGITUD",F114*I114*p_kg_por_m_perfil,""))</f>
        <v>3.57</v>
      </c>
      <c r="L114" s="6" t="n">
        <f aca="false">IF(E114="CHAPA_AREA",K114*INDEX('03_MATERIALES'!$H$2:$H$42,MATCH(D114,'03_MATERIALES'!$A$2:$A$42,0))/p_aprovechamiento_chapa,IF(E114="PERFIL_LONGITUD",K114*INDEX('03_MATERIALES'!$H$2:$H$42,MATCH(D114,'03_MATERIALES'!$A$2:$A$42,0))/p_aprovechamiento_perfil,IF(E114="UNIDAD",F114*INDEX('03_MATERIALES'!$H$2:$H$42,MATCH(D114,'03_MATERIALES'!$A$2:$A$42,0)),"")))</f>
        <v>22.684375</v>
      </c>
      <c r="M114" s="12" t="str">
        <f aca="false">IF(N(J114)&gt;0,F114*J114/p_area_plancha_m2,"")</f>
        <v/>
      </c>
      <c r="N114" s="4" t="s">
        <v>30</v>
      </c>
    </row>
    <row r="115" customFormat="false" ht="15" hidden="false" customHeight="false" outlineLevel="0" collapsed="false">
      <c r="A115" s="4" t="s">
        <v>744</v>
      </c>
      <c r="B115" s="4" t="s">
        <v>401</v>
      </c>
      <c r="C115" s="4" t="s">
        <v>739</v>
      </c>
      <c r="D115" s="4" t="s">
        <v>489</v>
      </c>
      <c r="E115" s="4" t="s">
        <v>740</v>
      </c>
      <c r="F115" s="3" t="n">
        <v>1</v>
      </c>
      <c r="K115" s="12" t="str">
        <f aca="false">IF(E115="CHAPA_AREA",F115*J115*INDEX('03_MATERIALES'!$E$2:$E$42,MATCH(D115,'03_MATERIALES'!$A$2:$A$42,0))/1000*p_densidad_acero,IF(E115="PERFIL_LONGITUD",F115*I115*p_kg_por_m_perfil,""))</f>
        <v/>
      </c>
      <c r="L115" s="6" t="str">
        <f aca="false">IF(E115="CHAPA_AREA",K115*INDEX('03_MATERIALES'!$H$2:$H$42,MATCH(D115,'03_MATERIALES'!$A$2:$A$42,0))/p_aprovechamiento_chapa,IF(E115="PERFIL_LONGITUD",K115*INDEX('03_MATERIALES'!$H$2:$H$42,MATCH(D115,'03_MATERIALES'!$A$2:$A$42,0))/p_aprovechamiento_perfil,IF(E115="UNIDAD",F115*INDEX('03_MATERIALES'!$H$2:$H$42,MATCH(D115,'03_MATERIALES'!$A$2:$A$42,0)),"")))</f>
        <v/>
      </c>
      <c r="M115" s="12" t="str">
        <f aca="false">IF(N(J115)&gt;0,F115*J115/p_area_plancha_m2,"")</f>
        <v/>
      </c>
      <c r="N115" s="4" t="s">
        <v>30</v>
      </c>
    </row>
    <row r="116" customFormat="false" ht="15" hidden="false" customHeight="false" outlineLevel="0" collapsed="false">
      <c r="A116" s="4" t="s">
        <v>745</v>
      </c>
      <c r="B116" s="4" t="s">
        <v>401</v>
      </c>
      <c r="C116" s="4" t="s">
        <v>742</v>
      </c>
      <c r="D116" s="4" t="s">
        <v>483</v>
      </c>
      <c r="E116" s="4" t="s">
        <v>579</v>
      </c>
      <c r="F116" s="3" t="n">
        <v>8</v>
      </c>
      <c r="K116" s="12" t="str">
        <f aca="false">IF(E116="CHAPA_AREA",F116*J116*INDEX('03_MATERIALES'!$E$2:$E$42,MATCH(D116,'03_MATERIALES'!$A$2:$A$42,0))/1000*p_densidad_acero,IF(E116="PERFIL_LONGITUD",F116*I116*p_kg_por_m_perfil,""))</f>
        <v/>
      </c>
      <c r="L116" s="6" t="n">
        <f aca="false">IF(E116="CHAPA_AREA",K116*INDEX('03_MATERIALES'!$H$2:$H$42,MATCH(D116,'03_MATERIALES'!$A$2:$A$42,0))/p_aprovechamiento_chapa,IF(E116="PERFIL_LONGITUD",K116*INDEX('03_MATERIALES'!$H$2:$H$42,MATCH(D116,'03_MATERIALES'!$A$2:$A$42,0))/p_aprovechamiento_perfil,IF(E116="UNIDAD",F116*INDEX('03_MATERIALES'!$H$2:$H$42,MATCH(D116,'03_MATERIALES'!$A$2:$A$42,0)),"")))</f>
        <v>7.2</v>
      </c>
      <c r="M116" s="12" t="str">
        <f aca="false">IF(N(J116)&gt;0,F116*J116/p_area_plancha_m2,"")</f>
        <v/>
      </c>
      <c r="N116" s="4" t="s">
        <v>30</v>
      </c>
    </row>
    <row r="117" customFormat="false" ht="15" hidden="false" customHeight="false" outlineLevel="0" collapsed="false">
      <c r="A117" s="4" t="s">
        <v>746</v>
      </c>
      <c r="B117" s="4" t="s">
        <v>403</v>
      </c>
      <c r="C117" s="4" t="s">
        <v>747</v>
      </c>
      <c r="D117" s="4" t="s">
        <v>476</v>
      </c>
      <c r="E117" s="4" t="s">
        <v>574</v>
      </c>
      <c r="F117" s="3" t="n">
        <v>2</v>
      </c>
      <c r="G117" s="8" t="n">
        <v>468</v>
      </c>
      <c r="H117" s="8" t="n">
        <v>552</v>
      </c>
      <c r="J117" s="14" t="n">
        <f aca="false">G117*H117/1000000</f>
        <v>0.258336</v>
      </c>
      <c r="K117" s="12" t="n">
        <f aca="false">IF(E117="CHAPA_AREA",F117*J117*INDEX('03_MATERIALES'!$E$2:$E$42,MATCH(D117,'03_MATERIALES'!$A$2:$A$42,0))/1000*p_densidad_acero,IF(E117="PERFIL_LONGITUD",F117*I117*p_kg_por_m_perfil,""))</f>
        <v>3.24470016</v>
      </c>
      <c r="L117" s="6" t="n">
        <f aca="false">IF(E117="CHAPA_AREA",K117*INDEX('03_MATERIALES'!$H$2:$H$42,MATCH(D117,'03_MATERIALES'!$A$2:$A$42,0))/p_aprovechamiento_chapa,IF(E117="PERFIL_LONGITUD",K117*INDEX('03_MATERIALES'!$H$2:$H$42,MATCH(D117,'03_MATERIALES'!$A$2:$A$42,0))/p_aprovechamiento_perfil,IF(E117="UNIDAD",F117*INDEX('03_MATERIALES'!$H$2:$H$42,MATCH(D117,'03_MATERIALES'!$A$2:$A$42,0)),"")))</f>
        <v>23.9825664</v>
      </c>
      <c r="M117" s="12" t="n">
        <f aca="false">IF(N(J117)&gt;0,F117*J117/p_area_plancha_m2,"")</f>
        <v>0.1794</v>
      </c>
      <c r="N117" s="4" t="s">
        <v>30</v>
      </c>
    </row>
    <row r="118" customFormat="false" ht="15" hidden="false" customHeight="false" outlineLevel="0" collapsed="false">
      <c r="A118" s="4" t="s">
        <v>748</v>
      </c>
      <c r="B118" s="4" t="s">
        <v>403</v>
      </c>
      <c r="C118" s="4" t="s">
        <v>611</v>
      </c>
      <c r="D118" s="4" t="s">
        <v>476</v>
      </c>
      <c r="E118" s="4" t="s">
        <v>574</v>
      </c>
      <c r="F118" s="3" t="n">
        <v>1</v>
      </c>
      <c r="G118" s="8" t="n">
        <v>846.3</v>
      </c>
      <c r="H118" s="8" t="n">
        <v>540</v>
      </c>
      <c r="J118" s="14" t="n">
        <f aca="false">G118*H118/1000000</f>
        <v>0.457002</v>
      </c>
      <c r="K118" s="12" t="n">
        <f aca="false">IF(E118="CHAPA_AREA",F118*J118*INDEX('03_MATERIALES'!$E$2:$E$42,MATCH(D118,'03_MATERIALES'!$A$2:$A$42,0))/1000*p_densidad_acero,IF(E118="PERFIL_LONGITUD",F118*I118*p_kg_por_m_perfil,""))</f>
        <v>2.86997256</v>
      </c>
      <c r="L118" s="6" t="n">
        <f aca="false">IF(E118="CHAPA_AREA",K118*INDEX('03_MATERIALES'!$H$2:$H$42,MATCH(D118,'03_MATERIALES'!$A$2:$A$42,0))/p_aprovechamiento_chapa,IF(E118="PERFIL_LONGITUD",K118*INDEX('03_MATERIALES'!$H$2:$H$42,MATCH(D118,'03_MATERIALES'!$A$2:$A$42,0))/p_aprovechamiento_perfil,IF(E118="UNIDAD",F118*INDEX('03_MATERIALES'!$H$2:$H$42,MATCH(D118,'03_MATERIALES'!$A$2:$A$42,0)),"")))</f>
        <v>21.2128406608696</v>
      </c>
      <c r="M118" s="12" t="n">
        <f aca="false">IF(N(J118)&gt;0,F118*J118/p_area_plancha_m2,"")</f>
        <v>0.15868125</v>
      </c>
      <c r="N118" s="4" t="s">
        <v>30</v>
      </c>
    </row>
    <row r="119" customFormat="false" ht="15" hidden="false" customHeight="false" outlineLevel="0" collapsed="false">
      <c r="A119" s="4" t="s">
        <v>749</v>
      </c>
      <c r="B119" s="4" t="s">
        <v>403</v>
      </c>
      <c r="C119" s="4" t="s">
        <v>750</v>
      </c>
      <c r="D119" s="4" t="s">
        <v>476</v>
      </c>
      <c r="E119" s="4" t="s">
        <v>574</v>
      </c>
      <c r="F119" s="3" t="n">
        <v>3</v>
      </c>
      <c r="G119" s="8" t="n">
        <v>348.8</v>
      </c>
      <c r="H119" s="8" t="n">
        <v>324</v>
      </c>
      <c r="J119" s="14" t="n">
        <f aca="false">G119*H119/1000000</f>
        <v>0.1130112</v>
      </c>
      <c r="K119" s="12" t="n">
        <f aca="false">IF(E119="CHAPA_AREA",F119*J119*INDEX('03_MATERIALES'!$E$2:$E$42,MATCH(D119,'03_MATERIALES'!$A$2:$A$42,0))/1000*p_densidad_acero,IF(E119="PERFIL_LONGITUD",F119*I119*p_kg_por_m_perfil,""))</f>
        <v>2.129131008</v>
      </c>
      <c r="L119" s="6" t="n">
        <f aca="false">IF(E119="CHAPA_AREA",K119*INDEX('03_MATERIALES'!$H$2:$H$42,MATCH(D119,'03_MATERIALES'!$A$2:$A$42,0))/p_aprovechamiento_chapa,IF(E119="PERFIL_LONGITUD",K119*INDEX('03_MATERIALES'!$H$2:$H$42,MATCH(D119,'03_MATERIALES'!$A$2:$A$42,0))/p_aprovechamiento_perfil,IF(E119="UNIDAD",F119*INDEX('03_MATERIALES'!$H$2:$H$42,MATCH(D119,'03_MATERIALES'!$A$2:$A$42,0)),"")))</f>
        <v>15.7370552765217</v>
      </c>
      <c r="M119" s="12" t="n">
        <f aca="false">IF(N(J119)&gt;0,F119*J119/p_area_plancha_m2,"")</f>
        <v>0.11772</v>
      </c>
      <c r="N119" s="4" t="s">
        <v>30</v>
      </c>
    </row>
    <row r="120" customFormat="false" ht="15" hidden="false" customHeight="false" outlineLevel="0" collapsed="false">
      <c r="A120" s="4" t="s">
        <v>751</v>
      </c>
      <c r="B120" s="4" t="s">
        <v>403</v>
      </c>
      <c r="C120" s="4" t="s">
        <v>752</v>
      </c>
      <c r="D120" s="4" t="s">
        <v>483</v>
      </c>
      <c r="E120" s="4" t="s">
        <v>579</v>
      </c>
      <c r="F120" s="3" t="n">
        <v>12</v>
      </c>
      <c r="K120" s="12" t="str">
        <f aca="false">IF(E120="CHAPA_AREA",F120*J120*INDEX('03_MATERIALES'!$E$2:$E$42,MATCH(D120,'03_MATERIALES'!$A$2:$A$42,0))/1000*p_densidad_acero,IF(E120="PERFIL_LONGITUD",F120*I120*p_kg_por_m_perfil,""))</f>
        <v/>
      </c>
      <c r="L120" s="6" t="n">
        <f aca="false">IF(E120="CHAPA_AREA",K120*INDEX('03_MATERIALES'!$H$2:$H$42,MATCH(D120,'03_MATERIALES'!$A$2:$A$42,0))/p_aprovechamiento_chapa,IF(E120="PERFIL_LONGITUD",K120*INDEX('03_MATERIALES'!$H$2:$H$42,MATCH(D120,'03_MATERIALES'!$A$2:$A$42,0))/p_aprovechamiento_perfil,IF(E120="UNIDAD",F120*INDEX('03_MATERIALES'!$H$2:$H$42,MATCH(D120,'03_MATERIALES'!$A$2:$A$42,0)),"")))</f>
        <v>10.8</v>
      </c>
      <c r="M120" s="12" t="str">
        <f aca="false">IF(N(J120)&gt;0,F120*J120/p_area_plancha_m2,"")</f>
        <v/>
      </c>
      <c r="N120" s="4" t="s">
        <v>30</v>
      </c>
    </row>
    <row r="121" customFormat="false" ht="15" hidden="false" customHeight="false" outlineLevel="0" collapsed="false">
      <c r="A121" s="4" t="s">
        <v>753</v>
      </c>
      <c r="B121" s="4" t="s">
        <v>406</v>
      </c>
      <c r="C121" s="4" t="s">
        <v>747</v>
      </c>
      <c r="D121" s="4" t="s">
        <v>476</v>
      </c>
      <c r="E121" s="4" t="s">
        <v>574</v>
      </c>
      <c r="F121" s="3" t="n">
        <v>2</v>
      </c>
      <c r="G121" s="8" t="n">
        <v>558</v>
      </c>
      <c r="H121" s="8" t="n">
        <v>938.4</v>
      </c>
      <c r="J121" s="14" t="n">
        <f aca="false">G121*H121/1000000</f>
        <v>0.5236272</v>
      </c>
      <c r="K121" s="12" t="n">
        <f aca="false">IF(E121="CHAPA_AREA",F121*J121*INDEX('03_MATERIALES'!$E$2:$E$42,MATCH(D121,'03_MATERIALES'!$A$2:$A$42,0))/1000*p_densidad_acero,IF(E121="PERFIL_LONGITUD",F121*I121*p_kg_por_m_perfil,""))</f>
        <v>6.576757632</v>
      </c>
      <c r="L121" s="6" t="n">
        <f aca="false">IF(E121="CHAPA_AREA",K121*INDEX('03_MATERIALES'!$H$2:$H$42,MATCH(D121,'03_MATERIALES'!$A$2:$A$42,0))/p_aprovechamiento_chapa,IF(E121="PERFIL_LONGITUD",K121*INDEX('03_MATERIALES'!$H$2:$H$42,MATCH(D121,'03_MATERIALES'!$A$2:$A$42,0))/p_aprovechamiento_perfil,IF(E121="UNIDAD",F121*INDEX('03_MATERIALES'!$H$2:$H$42,MATCH(D121,'03_MATERIALES'!$A$2:$A$42,0)),"")))</f>
        <v>48.61081728</v>
      </c>
      <c r="M121" s="12" t="n">
        <f aca="false">IF(N(J121)&gt;0,F121*J121/p_area_plancha_m2,"")</f>
        <v>0.36363</v>
      </c>
      <c r="N121" s="4" t="s">
        <v>30</v>
      </c>
    </row>
    <row r="122" customFormat="false" ht="15" hidden="false" customHeight="false" outlineLevel="0" collapsed="false">
      <c r="A122" s="4" t="s">
        <v>754</v>
      </c>
      <c r="B122" s="4" t="s">
        <v>406</v>
      </c>
      <c r="C122" s="4" t="s">
        <v>611</v>
      </c>
      <c r="D122" s="4" t="s">
        <v>476</v>
      </c>
      <c r="E122" s="4" t="s">
        <v>574</v>
      </c>
      <c r="F122" s="3" t="n">
        <v>1</v>
      </c>
      <c r="G122" s="8" t="n">
        <v>405</v>
      </c>
      <c r="H122" s="8" t="n">
        <v>918</v>
      </c>
      <c r="J122" s="14" t="n">
        <f aca="false">G122*H122/1000000</f>
        <v>0.37179</v>
      </c>
      <c r="K122" s="12" t="n">
        <f aca="false">IF(E122="CHAPA_AREA",F122*J122*INDEX('03_MATERIALES'!$E$2:$E$42,MATCH(D122,'03_MATERIALES'!$A$2:$A$42,0))/1000*p_densidad_acero,IF(E122="PERFIL_LONGITUD",F122*I122*p_kg_por_m_perfil,""))</f>
        <v>2.3348412</v>
      </c>
      <c r="L122" s="6" t="n">
        <f aca="false">IF(E122="CHAPA_AREA",K122*INDEX('03_MATERIALES'!$H$2:$H$42,MATCH(D122,'03_MATERIALES'!$A$2:$A$42,0))/p_aprovechamiento_chapa,IF(E122="PERFIL_LONGITUD",K122*INDEX('03_MATERIALES'!$H$2:$H$42,MATCH(D122,'03_MATERIALES'!$A$2:$A$42,0))/p_aprovechamiento_perfil,IF(E122="UNIDAD",F122*INDEX('03_MATERIALES'!$H$2:$H$42,MATCH(D122,'03_MATERIALES'!$A$2:$A$42,0)),"")))</f>
        <v>17.2575219130435</v>
      </c>
      <c r="M122" s="12" t="n">
        <f aca="false">IF(N(J122)&gt;0,F122*J122/p_area_plancha_m2,"")</f>
        <v>0.12909375</v>
      </c>
      <c r="N122" s="4" t="s">
        <v>30</v>
      </c>
    </row>
    <row r="123" customFormat="false" ht="15" hidden="false" customHeight="false" outlineLevel="0" collapsed="false">
      <c r="A123" s="4" t="s">
        <v>755</v>
      </c>
      <c r="B123" s="4" t="s">
        <v>406</v>
      </c>
      <c r="C123" s="4" t="s">
        <v>750</v>
      </c>
      <c r="D123" s="4" t="s">
        <v>476</v>
      </c>
      <c r="E123" s="4" t="s">
        <v>574</v>
      </c>
      <c r="F123" s="3" t="n">
        <v>3</v>
      </c>
      <c r="G123" s="8" t="n">
        <v>166.9</v>
      </c>
      <c r="H123" s="8" t="n">
        <v>550.8</v>
      </c>
      <c r="J123" s="14" t="n">
        <f aca="false">G123*H123/1000000</f>
        <v>0.09192852</v>
      </c>
      <c r="K123" s="12" t="n">
        <f aca="false">IF(E123="CHAPA_AREA",F123*J123*INDEX('03_MATERIALES'!$E$2:$E$42,MATCH(D123,'03_MATERIALES'!$A$2:$A$42,0))/1000*p_densidad_acero,IF(E123="PERFIL_LONGITUD",F123*I123*p_kg_por_m_perfil,""))</f>
        <v>1.7319333168</v>
      </c>
      <c r="L123" s="6" t="n">
        <f aca="false">IF(E123="CHAPA_AREA",K123*INDEX('03_MATERIALES'!$H$2:$H$42,MATCH(D123,'03_MATERIALES'!$A$2:$A$42,0))/p_aprovechamiento_chapa,IF(E123="PERFIL_LONGITUD",K123*INDEX('03_MATERIALES'!$H$2:$H$42,MATCH(D123,'03_MATERIALES'!$A$2:$A$42,0))/p_aprovechamiento_perfil,IF(E123="UNIDAD",F123*INDEX('03_MATERIALES'!$H$2:$H$42,MATCH(D123,'03_MATERIALES'!$A$2:$A$42,0)),"")))</f>
        <v>12.8012462546087</v>
      </c>
      <c r="M123" s="12" t="n">
        <f aca="false">IF(N(J123)&gt;0,F123*J123/p_area_plancha_m2,"")</f>
        <v>0.095758875</v>
      </c>
      <c r="N123" s="4" t="s">
        <v>30</v>
      </c>
    </row>
    <row r="124" customFormat="false" ht="15" hidden="false" customHeight="false" outlineLevel="0" collapsed="false">
      <c r="A124" s="4" t="s">
        <v>756</v>
      </c>
      <c r="B124" s="4" t="s">
        <v>406</v>
      </c>
      <c r="C124" s="4" t="s">
        <v>752</v>
      </c>
      <c r="D124" s="4" t="s">
        <v>483</v>
      </c>
      <c r="E124" s="4" t="s">
        <v>579</v>
      </c>
      <c r="F124" s="3" t="n">
        <v>12</v>
      </c>
      <c r="K124" s="12" t="str">
        <f aca="false">IF(E124="CHAPA_AREA",F124*J124*INDEX('03_MATERIALES'!$E$2:$E$42,MATCH(D124,'03_MATERIALES'!$A$2:$A$42,0))/1000*p_densidad_acero,IF(E124="PERFIL_LONGITUD",F124*I124*p_kg_por_m_perfil,""))</f>
        <v/>
      </c>
      <c r="L124" s="6" t="n">
        <f aca="false">IF(E124="CHAPA_AREA",K124*INDEX('03_MATERIALES'!$H$2:$H$42,MATCH(D124,'03_MATERIALES'!$A$2:$A$42,0))/p_aprovechamiento_chapa,IF(E124="PERFIL_LONGITUD",K124*INDEX('03_MATERIALES'!$H$2:$H$42,MATCH(D124,'03_MATERIALES'!$A$2:$A$42,0))/p_aprovechamiento_perfil,IF(E124="UNIDAD",F124*INDEX('03_MATERIALES'!$H$2:$H$42,MATCH(D124,'03_MATERIALES'!$A$2:$A$42,0)),"")))</f>
        <v>10.8</v>
      </c>
      <c r="M124" s="12" t="str">
        <f aca="false">IF(N(J124)&gt;0,F124*J124/p_area_plancha_m2,"")</f>
        <v/>
      </c>
      <c r="N124" s="4" t="s">
        <v>30</v>
      </c>
    </row>
    <row r="125" customFormat="false" ht="15" hidden="false" customHeight="false" outlineLevel="0" collapsed="false">
      <c r="A125" s="4" t="s">
        <v>757</v>
      </c>
      <c r="B125" s="4" t="s">
        <v>408</v>
      </c>
      <c r="C125" s="4" t="s">
        <v>747</v>
      </c>
      <c r="D125" s="4" t="s">
        <v>476</v>
      </c>
      <c r="E125" s="4" t="s">
        <v>574</v>
      </c>
      <c r="F125" s="3" t="n">
        <v>2</v>
      </c>
      <c r="G125" s="8" t="n">
        <v>558</v>
      </c>
      <c r="H125" s="8" t="n">
        <v>1219</v>
      </c>
      <c r="J125" s="14" t="n">
        <f aca="false">G125*H125/1000000</f>
        <v>0.680202</v>
      </c>
      <c r="K125" s="12" t="n">
        <f aca="false">IF(E125="CHAPA_AREA",F125*J125*INDEX('03_MATERIALES'!$E$2:$E$42,MATCH(D125,'03_MATERIALES'!$A$2:$A$42,0))/1000*p_densidad_acero,IF(E125="PERFIL_LONGITUD",F125*I125*p_kg_por_m_perfil,""))</f>
        <v>8.54333712</v>
      </c>
      <c r="L125" s="6" t="n">
        <f aca="false">IF(E125="CHAPA_AREA",K125*INDEX('03_MATERIALES'!$H$2:$H$42,MATCH(D125,'03_MATERIALES'!$A$2:$A$42,0))/p_aprovechamiento_chapa,IF(E125="PERFIL_LONGITUD",K125*INDEX('03_MATERIALES'!$H$2:$H$42,MATCH(D125,'03_MATERIALES'!$A$2:$A$42,0))/p_aprovechamiento_perfil,IF(E125="UNIDAD",F125*INDEX('03_MATERIALES'!$H$2:$H$42,MATCH(D125,'03_MATERIALES'!$A$2:$A$42,0)),"")))</f>
        <v>63.1464048</v>
      </c>
      <c r="M125" s="12" t="n">
        <f aca="false">IF(N(J125)&gt;0,F125*J125/p_area_plancha_m2,"")</f>
        <v>0.4723625</v>
      </c>
      <c r="N125" s="4" t="s">
        <v>30</v>
      </c>
    </row>
    <row r="126" customFormat="false" ht="15" hidden="false" customHeight="false" outlineLevel="0" collapsed="false">
      <c r="A126" s="4" t="s">
        <v>758</v>
      </c>
      <c r="B126" s="4" t="s">
        <v>408</v>
      </c>
      <c r="C126" s="4" t="s">
        <v>611</v>
      </c>
      <c r="D126" s="4" t="s">
        <v>476</v>
      </c>
      <c r="E126" s="4" t="s">
        <v>574</v>
      </c>
      <c r="F126" s="3" t="n">
        <v>1</v>
      </c>
      <c r="G126" s="8" t="n">
        <v>405</v>
      </c>
      <c r="H126" s="8" t="n">
        <v>1192.5</v>
      </c>
      <c r="J126" s="14" t="n">
        <f aca="false">G126*H126/1000000</f>
        <v>0.4829625</v>
      </c>
      <c r="K126" s="12" t="n">
        <f aca="false">IF(E126="CHAPA_AREA",F126*J126*INDEX('03_MATERIALES'!$E$2:$E$42,MATCH(D126,'03_MATERIALES'!$A$2:$A$42,0))/1000*p_densidad_acero,IF(E126="PERFIL_LONGITUD",F126*I126*p_kg_por_m_perfil,""))</f>
        <v>3.0330045</v>
      </c>
      <c r="L126" s="6" t="n">
        <f aca="false">IF(E126="CHAPA_AREA",K126*INDEX('03_MATERIALES'!$H$2:$H$42,MATCH(D126,'03_MATERIALES'!$A$2:$A$42,0))/p_aprovechamiento_chapa,IF(E126="PERFIL_LONGITUD",K126*INDEX('03_MATERIALES'!$H$2:$H$42,MATCH(D126,'03_MATERIALES'!$A$2:$A$42,0))/p_aprovechamiento_perfil,IF(E126="UNIDAD",F126*INDEX('03_MATERIALES'!$H$2:$H$42,MATCH(D126,'03_MATERIALES'!$A$2:$A$42,0)),"")))</f>
        <v>22.4178593478261</v>
      </c>
      <c r="M126" s="12" t="n">
        <f aca="false">IF(N(J126)&gt;0,F126*J126/p_area_plancha_m2,"")</f>
        <v>0.1676953125</v>
      </c>
      <c r="N126" s="4" t="s">
        <v>30</v>
      </c>
    </row>
    <row r="127" customFormat="false" ht="15" hidden="false" customHeight="false" outlineLevel="0" collapsed="false">
      <c r="A127" s="4" t="s">
        <v>759</v>
      </c>
      <c r="B127" s="4" t="s">
        <v>408</v>
      </c>
      <c r="C127" s="4" t="s">
        <v>750</v>
      </c>
      <c r="D127" s="4" t="s">
        <v>476</v>
      </c>
      <c r="E127" s="4" t="s">
        <v>574</v>
      </c>
      <c r="F127" s="3" t="n">
        <v>3</v>
      </c>
      <c r="G127" s="8" t="n">
        <v>166.9</v>
      </c>
      <c r="H127" s="8" t="n">
        <v>715.5</v>
      </c>
      <c r="J127" s="14" t="n">
        <f aca="false">G127*H127/1000000</f>
        <v>0.11941695</v>
      </c>
      <c r="K127" s="12" t="n">
        <f aca="false">IF(E127="CHAPA_AREA",F127*J127*INDEX('03_MATERIALES'!$E$2:$E$42,MATCH(D127,'03_MATERIALES'!$A$2:$A$42,0))/1000*p_densidad_acero,IF(E127="PERFIL_LONGITUD",F127*I127*p_kg_por_m_perfil,""))</f>
        <v>2.249815338</v>
      </c>
      <c r="L127" s="6" t="n">
        <f aca="false">IF(E127="CHAPA_AREA",K127*INDEX('03_MATERIALES'!$H$2:$H$42,MATCH(D127,'03_MATERIALES'!$A$2:$A$42,0))/p_aprovechamiento_chapa,IF(E127="PERFIL_LONGITUD",K127*INDEX('03_MATERIALES'!$H$2:$H$42,MATCH(D127,'03_MATERIALES'!$A$2:$A$42,0))/p_aprovechamiento_perfil,IF(E127="UNIDAD",F127*INDEX('03_MATERIALES'!$H$2:$H$42,MATCH(D127,'03_MATERIALES'!$A$2:$A$42,0)),"")))</f>
        <v>16.6290698895652</v>
      </c>
      <c r="M127" s="12" t="n">
        <f aca="false">IF(N(J127)&gt;0,F127*J127/p_area_plancha_m2,"")</f>
        <v>0.12439265625</v>
      </c>
      <c r="N127" s="4" t="s">
        <v>30</v>
      </c>
    </row>
    <row r="128" customFormat="false" ht="15" hidden="false" customHeight="false" outlineLevel="0" collapsed="false">
      <c r="A128" s="4" t="s">
        <v>760</v>
      </c>
      <c r="B128" s="4" t="s">
        <v>408</v>
      </c>
      <c r="C128" s="4" t="s">
        <v>752</v>
      </c>
      <c r="D128" s="4" t="s">
        <v>483</v>
      </c>
      <c r="E128" s="4" t="s">
        <v>579</v>
      </c>
      <c r="F128" s="3" t="n">
        <v>12</v>
      </c>
      <c r="K128" s="12" t="str">
        <f aca="false">IF(E128="CHAPA_AREA",F128*J128*INDEX('03_MATERIALES'!$E$2:$E$42,MATCH(D128,'03_MATERIALES'!$A$2:$A$42,0))/1000*p_densidad_acero,IF(E128="PERFIL_LONGITUD",F128*I128*p_kg_por_m_perfil,""))</f>
        <v/>
      </c>
      <c r="L128" s="6" t="n">
        <f aca="false">IF(E128="CHAPA_AREA",K128*INDEX('03_MATERIALES'!$H$2:$H$42,MATCH(D128,'03_MATERIALES'!$A$2:$A$42,0))/p_aprovechamiento_chapa,IF(E128="PERFIL_LONGITUD",K128*INDEX('03_MATERIALES'!$H$2:$H$42,MATCH(D128,'03_MATERIALES'!$A$2:$A$42,0))/p_aprovechamiento_perfil,IF(E128="UNIDAD",F128*INDEX('03_MATERIALES'!$H$2:$H$42,MATCH(D128,'03_MATERIALES'!$A$2:$A$42,0)),"")))</f>
        <v>10.8</v>
      </c>
      <c r="M128" s="12" t="str">
        <f aca="false">IF(N(J128)&gt;0,F128*J128/p_area_plancha_m2,"")</f>
        <v/>
      </c>
      <c r="N128" s="4" t="s">
        <v>30</v>
      </c>
    </row>
    <row r="129" customFormat="false" ht="15" hidden="false" customHeight="false" outlineLevel="0" collapsed="false">
      <c r="A129" s="4" t="s">
        <v>761</v>
      </c>
      <c r="B129" s="4" t="s">
        <v>410</v>
      </c>
      <c r="C129" s="4" t="s">
        <v>747</v>
      </c>
      <c r="D129" s="4" t="s">
        <v>476</v>
      </c>
      <c r="E129" s="4" t="s">
        <v>574</v>
      </c>
      <c r="F129" s="3" t="n">
        <v>2</v>
      </c>
      <c r="G129" s="8" t="n">
        <v>360</v>
      </c>
      <c r="H129" s="8" t="n">
        <v>1702</v>
      </c>
      <c r="J129" s="14" t="n">
        <f aca="false">G129*H129/1000000</f>
        <v>0.61272</v>
      </c>
      <c r="K129" s="12" t="n">
        <f aca="false">IF(E129="CHAPA_AREA",F129*J129*INDEX('03_MATERIALES'!$E$2:$E$42,MATCH(D129,'03_MATERIALES'!$A$2:$A$42,0))/1000*p_densidad_acero,IF(E129="PERFIL_LONGITUD",F129*I129*p_kg_por_m_perfil,""))</f>
        <v>7.6957632</v>
      </c>
      <c r="L129" s="6" t="n">
        <f aca="false">IF(E129="CHAPA_AREA",K129*INDEX('03_MATERIALES'!$H$2:$H$42,MATCH(D129,'03_MATERIALES'!$A$2:$A$42,0))/p_aprovechamiento_chapa,IF(E129="PERFIL_LONGITUD",K129*INDEX('03_MATERIALES'!$H$2:$H$42,MATCH(D129,'03_MATERIALES'!$A$2:$A$42,0))/p_aprovechamiento_perfil,IF(E129="UNIDAD",F129*INDEX('03_MATERIALES'!$H$2:$H$42,MATCH(D129,'03_MATERIALES'!$A$2:$A$42,0)),"")))</f>
        <v>56.881728</v>
      </c>
      <c r="M129" s="12" t="n">
        <f aca="false">IF(N(J129)&gt;0,F129*J129/p_area_plancha_m2,"")</f>
        <v>0.4255</v>
      </c>
      <c r="N129" s="4" t="s">
        <v>30</v>
      </c>
    </row>
    <row r="130" customFormat="false" ht="15" hidden="false" customHeight="false" outlineLevel="0" collapsed="false">
      <c r="A130" s="4" t="s">
        <v>762</v>
      </c>
      <c r="B130" s="4" t="s">
        <v>410</v>
      </c>
      <c r="C130" s="4" t="s">
        <v>611</v>
      </c>
      <c r="D130" s="4" t="s">
        <v>476</v>
      </c>
      <c r="E130" s="4" t="s">
        <v>574</v>
      </c>
      <c r="F130" s="3" t="n">
        <v>1</v>
      </c>
      <c r="G130" s="8" t="n">
        <v>819</v>
      </c>
      <c r="H130" s="8" t="n">
        <v>1665</v>
      </c>
      <c r="J130" s="14" t="n">
        <f aca="false">G130*H130/1000000</f>
        <v>1.363635</v>
      </c>
      <c r="K130" s="12" t="n">
        <f aca="false">IF(E130="CHAPA_AREA",F130*J130*INDEX('03_MATERIALES'!$E$2:$E$42,MATCH(D130,'03_MATERIALES'!$A$2:$A$42,0))/1000*p_densidad_acero,IF(E130="PERFIL_LONGITUD",F130*I130*p_kg_por_m_perfil,""))</f>
        <v>8.5636278</v>
      </c>
      <c r="L130" s="6" t="n">
        <f aca="false">IF(E130="CHAPA_AREA",K130*INDEX('03_MATERIALES'!$H$2:$H$42,MATCH(D130,'03_MATERIALES'!$A$2:$A$42,0))/p_aprovechamiento_chapa,IF(E130="PERFIL_LONGITUD",K130*INDEX('03_MATERIALES'!$H$2:$H$42,MATCH(D130,'03_MATERIALES'!$A$2:$A$42,0))/p_aprovechamiento_perfil,IF(E130="UNIDAD",F130*INDEX('03_MATERIALES'!$H$2:$H$42,MATCH(D130,'03_MATERIALES'!$A$2:$A$42,0)),"")))</f>
        <v>63.2963793913044</v>
      </c>
      <c r="M130" s="12" t="n">
        <f aca="false">IF(N(J130)&gt;0,F130*J130/p_area_plancha_m2,"")</f>
        <v>0.473484375</v>
      </c>
      <c r="N130" s="4" t="s">
        <v>30</v>
      </c>
    </row>
    <row r="131" customFormat="false" ht="15" hidden="false" customHeight="false" outlineLevel="0" collapsed="false">
      <c r="A131" s="4" t="s">
        <v>763</v>
      </c>
      <c r="B131" s="4" t="s">
        <v>410</v>
      </c>
      <c r="C131" s="4" t="s">
        <v>750</v>
      </c>
      <c r="D131" s="4" t="s">
        <v>476</v>
      </c>
      <c r="E131" s="4" t="s">
        <v>574</v>
      </c>
      <c r="F131" s="3" t="n">
        <v>3</v>
      </c>
      <c r="G131" s="8" t="n">
        <v>337.5</v>
      </c>
      <c r="H131" s="8" t="n">
        <v>999</v>
      </c>
      <c r="J131" s="14" t="n">
        <f aca="false">G131*H131/1000000</f>
        <v>0.3371625</v>
      </c>
      <c r="K131" s="12" t="n">
        <f aca="false">IF(E131="CHAPA_AREA",F131*J131*INDEX('03_MATERIALES'!$E$2:$E$42,MATCH(D131,'03_MATERIALES'!$A$2:$A$42,0))/1000*p_densidad_acero,IF(E131="PERFIL_LONGITUD",F131*I131*p_kg_por_m_perfil,""))</f>
        <v>6.3521415</v>
      </c>
      <c r="L131" s="6" t="n">
        <f aca="false">IF(E131="CHAPA_AREA",K131*INDEX('03_MATERIALES'!$H$2:$H$42,MATCH(D131,'03_MATERIALES'!$A$2:$A$42,0))/p_aprovechamiento_chapa,IF(E131="PERFIL_LONGITUD",K131*INDEX('03_MATERIALES'!$H$2:$H$42,MATCH(D131,'03_MATERIALES'!$A$2:$A$42,0))/p_aprovechamiento_perfil,IF(E131="UNIDAD",F131*INDEX('03_MATERIALES'!$H$2:$H$42,MATCH(D131,'03_MATERIALES'!$A$2:$A$42,0)),"")))</f>
        <v>46.9506110869565</v>
      </c>
      <c r="M131" s="12" t="n">
        <f aca="false">IF(N(J131)&gt;0,F131*J131/p_area_plancha_m2,"")</f>
        <v>0.3512109375</v>
      </c>
      <c r="N131" s="4" t="s">
        <v>30</v>
      </c>
    </row>
    <row r="132" customFormat="false" ht="15" hidden="false" customHeight="false" outlineLevel="0" collapsed="false">
      <c r="A132" s="4" t="s">
        <v>764</v>
      </c>
      <c r="B132" s="4" t="s">
        <v>410</v>
      </c>
      <c r="C132" s="4" t="s">
        <v>752</v>
      </c>
      <c r="D132" s="4" t="s">
        <v>483</v>
      </c>
      <c r="E132" s="4" t="s">
        <v>579</v>
      </c>
      <c r="F132" s="3" t="n">
        <v>12</v>
      </c>
      <c r="K132" s="12" t="str">
        <f aca="false">IF(E132="CHAPA_AREA",F132*J132*INDEX('03_MATERIALES'!$E$2:$E$42,MATCH(D132,'03_MATERIALES'!$A$2:$A$42,0))/1000*p_densidad_acero,IF(E132="PERFIL_LONGITUD",F132*I132*p_kg_por_m_perfil,""))</f>
        <v/>
      </c>
      <c r="L132" s="6" t="n">
        <f aca="false">IF(E132="CHAPA_AREA",K132*INDEX('03_MATERIALES'!$H$2:$H$42,MATCH(D132,'03_MATERIALES'!$A$2:$A$42,0))/p_aprovechamiento_chapa,IF(E132="PERFIL_LONGITUD",K132*INDEX('03_MATERIALES'!$H$2:$H$42,MATCH(D132,'03_MATERIALES'!$A$2:$A$42,0))/p_aprovechamiento_perfil,IF(E132="UNIDAD",F132*INDEX('03_MATERIALES'!$H$2:$H$42,MATCH(D132,'03_MATERIALES'!$A$2:$A$42,0)),"")))</f>
        <v>10.8</v>
      </c>
      <c r="M132" s="12" t="str">
        <f aca="false">IF(N(J132)&gt;0,F132*J132/p_area_plancha_m2,"")</f>
        <v/>
      </c>
      <c r="N132" s="4" t="s">
        <v>30</v>
      </c>
    </row>
    <row r="133" customFormat="false" ht="15" hidden="false" customHeight="false" outlineLevel="0" collapsed="false">
      <c r="A133" s="4" t="s">
        <v>765</v>
      </c>
      <c r="B133" s="4" t="s">
        <v>413</v>
      </c>
      <c r="C133" s="4" t="s">
        <v>766</v>
      </c>
      <c r="D133" s="4" t="s">
        <v>480</v>
      </c>
      <c r="E133" s="4" t="s">
        <v>567</v>
      </c>
      <c r="F133" s="3" t="n">
        <v>4</v>
      </c>
      <c r="I133" s="11" t="n">
        <v>0.432</v>
      </c>
      <c r="K133" s="12" t="n">
        <f aca="false">IF(E133="CHAPA_AREA",F133*J133*INDEX('03_MATERIALES'!$E$2:$E$42,MATCH(D133,'03_MATERIALES'!$A$2:$A$42,0))/1000*p_densidad_acero,IF(E133="PERFIL_LONGITUD",F133*I133*p_kg_por_m_perfil,""))</f>
        <v>2.592</v>
      </c>
      <c r="L133" s="6" t="n">
        <f aca="false">IF(E133="CHAPA_AREA",K133*INDEX('03_MATERIALES'!$H$2:$H$42,MATCH(D133,'03_MATERIALES'!$A$2:$A$42,0))/p_aprovechamiento_chapa,IF(E133="PERFIL_LONGITUD",K133*INDEX('03_MATERIALES'!$H$2:$H$42,MATCH(D133,'03_MATERIALES'!$A$2:$A$42,0))/p_aprovechamiento_perfil,IF(E133="UNIDAD",F133*INDEX('03_MATERIALES'!$H$2:$H$42,MATCH(D133,'03_MATERIALES'!$A$2:$A$42,0)),"")))</f>
        <v>16.47</v>
      </c>
      <c r="M133" s="12" t="str">
        <f aca="false">IF(N(J133)&gt;0,F133*J133/p_area_plancha_m2,"")</f>
        <v/>
      </c>
      <c r="N133" s="4" t="s">
        <v>30</v>
      </c>
    </row>
    <row r="134" customFormat="false" ht="15" hidden="false" customHeight="false" outlineLevel="0" collapsed="false">
      <c r="A134" s="4" t="s">
        <v>767</v>
      </c>
      <c r="B134" s="4" t="s">
        <v>413</v>
      </c>
      <c r="C134" s="4" t="s">
        <v>768</v>
      </c>
      <c r="D134" s="4" t="s">
        <v>480</v>
      </c>
      <c r="E134" s="4" t="s">
        <v>567</v>
      </c>
      <c r="F134" s="3" t="n">
        <v>4</v>
      </c>
      <c r="I134" s="11" t="n">
        <v>1.35</v>
      </c>
      <c r="K134" s="12" t="n">
        <f aca="false">IF(E134="CHAPA_AREA",F134*J134*INDEX('03_MATERIALES'!$E$2:$E$42,MATCH(D134,'03_MATERIALES'!$A$2:$A$42,0))/1000*p_densidad_acero,IF(E134="PERFIL_LONGITUD",F134*I134*p_kg_por_m_perfil,""))</f>
        <v>8.1</v>
      </c>
      <c r="L134" s="6" t="n">
        <f aca="false">IF(E134="CHAPA_AREA",K134*INDEX('03_MATERIALES'!$H$2:$H$42,MATCH(D134,'03_MATERIALES'!$A$2:$A$42,0))/p_aprovechamiento_chapa,IF(E134="PERFIL_LONGITUD",K134*INDEX('03_MATERIALES'!$H$2:$H$42,MATCH(D134,'03_MATERIALES'!$A$2:$A$42,0))/p_aprovechamiento_perfil,IF(E134="UNIDAD",F134*INDEX('03_MATERIALES'!$H$2:$H$42,MATCH(D134,'03_MATERIALES'!$A$2:$A$42,0)),"")))</f>
        <v>51.46875</v>
      </c>
      <c r="M134" s="12" t="str">
        <f aca="false">IF(N(J134)&gt;0,F134*J134/p_area_plancha_m2,"")</f>
        <v/>
      </c>
      <c r="N134" s="4" t="s">
        <v>30</v>
      </c>
    </row>
    <row r="135" customFormat="false" ht="15" hidden="false" customHeight="false" outlineLevel="0" collapsed="false">
      <c r="A135" s="4" t="s">
        <v>769</v>
      </c>
      <c r="B135" s="4" t="s">
        <v>413</v>
      </c>
      <c r="C135" s="4" t="s">
        <v>770</v>
      </c>
      <c r="D135" s="4" t="s">
        <v>489</v>
      </c>
      <c r="E135" s="4" t="s">
        <v>740</v>
      </c>
      <c r="F135" s="3" t="n">
        <v>1</v>
      </c>
      <c r="K135" s="12" t="str">
        <f aca="false">IF(E135="CHAPA_AREA",F135*J135*INDEX('03_MATERIALES'!$E$2:$E$42,MATCH(D135,'03_MATERIALES'!$A$2:$A$42,0))/1000*p_densidad_acero,IF(E135="PERFIL_LONGITUD",F135*I135*p_kg_por_m_perfil,""))</f>
        <v/>
      </c>
      <c r="L135" s="6" t="str">
        <f aca="false">IF(E135="CHAPA_AREA",K135*INDEX('03_MATERIALES'!$H$2:$H$42,MATCH(D135,'03_MATERIALES'!$A$2:$A$42,0))/p_aprovechamiento_chapa,IF(E135="PERFIL_LONGITUD",K135*INDEX('03_MATERIALES'!$H$2:$H$42,MATCH(D135,'03_MATERIALES'!$A$2:$A$42,0))/p_aprovechamiento_perfil,IF(E135="UNIDAD",F135*INDEX('03_MATERIALES'!$H$2:$H$42,MATCH(D135,'03_MATERIALES'!$A$2:$A$42,0)),"")))</f>
        <v/>
      </c>
      <c r="M135" s="12" t="str">
        <f aca="false">IF(N(J135)&gt;0,F135*J135/p_area_plancha_m2,"")</f>
        <v/>
      </c>
      <c r="N135" s="4" t="s">
        <v>30</v>
      </c>
    </row>
    <row r="136" customFormat="false" ht="15" hidden="false" customHeight="false" outlineLevel="0" collapsed="false">
      <c r="A136" s="4" t="s">
        <v>771</v>
      </c>
      <c r="B136" s="4" t="s">
        <v>413</v>
      </c>
      <c r="C136" s="4" t="s">
        <v>772</v>
      </c>
      <c r="D136" s="4" t="s">
        <v>483</v>
      </c>
      <c r="E136" s="4" t="s">
        <v>579</v>
      </c>
      <c r="F136" s="3" t="n">
        <v>12</v>
      </c>
      <c r="K136" s="12" t="str">
        <f aca="false">IF(E136="CHAPA_AREA",F136*J136*INDEX('03_MATERIALES'!$E$2:$E$42,MATCH(D136,'03_MATERIALES'!$A$2:$A$42,0))/1000*p_densidad_acero,IF(E136="PERFIL_LONGITUD",F136*I136*p_kg_por_m_perfil,""))</f>
        <v/>
      </c>
      <c r="L136" s="6" t="n">
        <f aca="false">IF(E136="CHAPA_AREA",K136*INDEX('03_MATERIALES'!$H$2:$H$42,MATCH(D136,'03_MATERIALES'!$A$2:$A$42,0))/p_aprovechamiento_chapa,IF(E136="PERFIL_LONGITUD",K136*INDEX('03_MATERIALES'!$H$2:$H$42,MATCH(D136,'03_MATERIALES'!$A$2:$A$42,0))/p_aprovechamiento_perfil,IF(E136="UNIDAD",F136*INDEX('03_MATERIALES'!$H$2:$H$42,MATCH(D136,'03_MATERIALES'!$A$2:$A$42,0)),"")))</f>
        <v>10.8</v>
      </c>
      <c r="M136" s="12" t="str">
        <f aca="false">IF(N(J136)&gt;0,F136*J136/p_area_plancha_m2,"")</f>
        <v/>
      </c>
      <c r="N136" s="4" t="s">
        <v>30</v>
      </c>
    </row>
    <row r="137" customFormat="false" ht="15" hidden="false" customHeight="false" outlineLevel="0" collapsed="false">
      <c r="A137" s="4" t="s">
        <v>773</v>
      </c>
      <c r="B137" s="4" t="s">
        <v>416</v>
      </c>
      <c r="C137" s="4" t="s">
        <v>747</v>
      </c>
      <c r="D137" s="4" t="s">
        <v>478</v>
      </c>
      <c r="E137" s="4" t="s">
        <v>574</v>
      </c>
      <c r="F137" s="3" t="n">
        <v>2</v>
      </c>
      <c r="G137" s="8" t="n">
        <v>450</v>
      </c>
      <c r="H137" s="8" t="n">
        <v>1702</v>
      </c>
      <c r="J137" s="14" t="n">
        <f aca="false">G137*H137/1000000</f>
        <v>0.7659</v>
      </c>
      <c r="K137" s="12" t="n">
        <f aca="false">IF(E137="CHAPA_AREA",F137*J137*INDEX('03_MATERIALES'!$E$2:$E$42,MATCH(D137,'03_MATERIALES'!$A$2:$A$42,0))/1000*p_densidad_acero,IF(E137="PERFIL_LONGITUD",F137*I137*p_kg_por_m_perfil,""))</f>
        <v>14.429556</v>
      </c>
      <c r="L137" s="6" t="n">
        <f aca="false">IF(E137="CHAPA_AREA",K137*INDEX('03_MATERIALES'!$H$2:$H$42,MATCH(D137,'03_MATERIALES'!$A$2:$A$42,0))/p_aprovechamiento_chapa,IF(E137="PERFIL_LONGITUD",K137*INDEX('03_MATERIALES'!$H$2:$H$42,MATCH(D137,'03_MATERIALES'!$A$2:$A$42,0))/p_aprovechamiento_perfil,IF(E137="UNIDAD",F137*INDEX('03_MATERIALES'!$H$2:$H$42,MATCH(D137,'03_MATERIALES'!$A$2:$A$42,0)),"")))</f>
        <v>106.65324</v>
      </c>
      <c r="M137" s="12" t="n">
        <f aca="false">IF(N(J137)&gt;0,F137*J137/p_area_plancha_m2,"")</f>
        <v>0.531875</v>
      </c>
      <c r="N137" s="4" t="s">
        <v>30</v>
      </c>
    </row>
    <row r="138" customFormat="false" ht="15" hidden="false" customHeight="false" outlineLevel="0" collapsed="false">
      <c r="A138" s="4" t="s">
        <v>774</v>
      </c>
      <c r="B138" s="4" t="s">
        <v>416</v>
      </c>
      <c r="C138" s="4" t="s">
        <v>611</v>
      </c>
      <c r="D138" s="4" t="s">
        <v>476</v>
      </c>
      <c r="E138" s="4" t="s">
        <v>574</v>
      </c>
      <c r="F138" s="3" t="n">
        <v>1</v>
      </c>
      <c r="G138" s="8" t="n">
        <v>910</v>
      </c>
      <c r="H138" s="8" t="n">
        <v>1665</v>
      </c>
      <c r="J138" s="14" t="n">
        <f aca="false">G138*H138/1000000</f>
        <v>1.51515</v>
      </c>
      <c r="K138" s="12" t="n">
        <f aca="false">IF(E138="CHAPA_AREA",F138*J138*INDEX('03_MATERIALES'!$E$2:$E$42,MATCH(D138,'03_MATERIALES'!$A$2:$A$42,0))/1000*p_densidad_acero,IF(E138="PERFIL_LONGITUD",F138*I138*p_kg_por_m_perfil,""))</f>
        <v>9.515142</v>
      </c>
      <c r="L138" s="6" t="n">
        <f aca="false">IF(E138="CHAPA_AREA",K138*INDEX('03_MATERIALES'!$H$2:$H$42,MATCH(D138,'03_MATERIALES'!$A$2:$A$42,0))/p_aprovechamiento_chapa,IF(E138="PERFIL_LONGITUD",K138*INDEX('03_MATERIALES'!$H$2:$H$42,MATCH(D138,'03_MATERIALES'!$A$2:$A$42,0))/p_aprovechamiento_perfil,IF(E138="UNIDAD",F138*INDEX('03_MATERIALES'!$H$2:$H$42,MATCH(D138,'03_MATERIALES'!$A$2:$A$42,0)),"")))</f>
        <v>70.3293104347826</v>
      </c>
      <c r="M138" s="12" t="n">
        <f aca="false">IF(N(J138)&gt;0,F138*J138/p_area_plancha_m2,"")</f>
        <v>0.52609375</v>
      </c>
      <c r="N138" s="4" t="s">
        <v>30</v>
      </c>
    </row>
    <row r="139" customFormat="false" ht="15" hidden="false" customHeight="false" outlineLevel="0" collapsed="false">
      <c r="A139" s="4" t="s">
        <v>775</v>
      </c>
      <c r="B139" s="4" t="s">
        <v>416</v>
      </c>
      <c r="C139" s="4" t="s">
        <v>750</v>
      </c>
      <c r="D139" s="4" t="s">
        <v>476</v>
      </c>
      <c r="E139" s="4" t="s">
        <v>574</v>
      </c>
      <c r="F139" s="3" t="n">
        <v>3</v>
      </c>
      <c r="G139" s="8" t="n">
        <v>375</v>
      </c>
      <c r="H139" s="8" t="n">
        <v>999</v>
      </c>
      <c r="J139" s="14" t="n">
        <f aca="false">G139*H139/1000000</f>
        <v>0.374625</v>
      </c>
      <c r="K139" s="12" t="n">
        <f aca="false">IF(E139="CHAPA_AREA",F139*J139*INDEX('03_MATERIALES'!$E$2:$E$42,MATCH(D139,'03_MATERIALES'!$A$2:$A$42,0))/1000*p_densidad_acero,IF(E139="PERFIL_LONGITUD",F139*I139*p_kg_por_m_perfil,""))</f>
        <v>7.057935</v>
      </c>
      <c r="L139" s="6" t="n">
        <f aca="false">IF(E139="CHAPA_AREA",K139*INDEX('03_MATERIALES'!$H$2:$H$42,MATCH(D139,'03_MATERIALES'!$A$2:$A$42,0))/p_aprovechamiento_chapa,IF(E139="PERFIL_LONGITUD",K139*INDEX('03_MATERIALES'!$H$2:$H$42,MATCH(D139,'03_MATERIALES'!$A$2:$A$42,0))/p_aprovechamiento_perfil,IF(E139="UNIDAD",F139*INDEX('03_MATERIALES'!$H$2:$H$42,MATCH(D139,'03_MATERIALES'!$A$2:$A$42,0)),"")))</f>
        <v>52.1673456521739</v>
      </c>
      <c r="M139" s="12" t="n">
        <f aca="false">IF(N(J139)&gt;0,F139*J139/p_area_plancha_m2,"")</f>
        <v>0.390234375</v>
      </c>
      <c r="N139" s="4" t="s">
        <v>30</v>
      </c>
    </row>
    <row r="140" customFormat="false" ht="15" hidden="false" customHeight="false" outlineLevel="0" collapsed="false">
      <c r="A140" s="4" t="s">
        <v>776</v>
      </c>
      <c r="B140" s="4" t="s">
        <v>416</v>
      </c>
      <c r="C140" s="4" t="s">
        <v>752</v>
      </c>
      <c r="D140" s="4" t="s">
        <v>483</v>
      </c>
      <c r="E140" s="4" t="s">
        <v>579</v>
      </c>
      <c r="F140" s="3" t="n">
        <v>12</v>
      </c>
      <c r="K140" s="12" t="str">
        <f aca="false">IF(E140="CHAPA_AREA",F140*J140*INDEX('03_MATERIALES'!$E$2:$E$42,MATCH(D140,'03_MATERIALES'!$A$2:$A$42,0))/1000*p_densidad_acero,IF(E140="PERFIL_LONGITUD",F140*I140*p_kg_por_m_perfil,""))</f>
        <v/>
      </c>
      <c r="L140" s="6" t="n">
        <f aca="false">IF(E140="CHAPA_AREA",K140*INDEX('03_MATERIALES'!$H$2:$H$42,MATCH(D140,'03_MATERIALES'!$A$2:$A$42,0))/p_aprovechamiento_chapa,IF(E140="PERFIL_LONGITUD",K140*INDEX('03_MATERIALES'!$H$2:$H$42,MATCH(D140,'03_MATERIALES'!$A$2:$A$42,0))/p_aprovechamiento_perfil,IF(E140="UNIDAD",F140*INDEX('03_MATERIALES'!$H$2:$H$42,MATCH(D140,'03_MATERIALES'!$A$2:$A$42,0)),"")))</f>
        <v>10.8</v>
      </c>
      <c r="M140" s="12" t="str">
        <f aca="false">IF(N(J140)&gt;0,F140*J140/p_area_plancha_m2,"")</f>
        <v/>
      </c>
      <c r="N140" s="4" t="s">
        <v>30</v>
      </c>
    </row>
    <row r="141" customFormat="false" ht="15" hidden="false" customHeight="false" outlineLevel="0" collapsed="false">
      <c r="A141" s="4" t="s">
        <v>777</v>
      </c>
      <c r="B141" s="4" t="s">
        <v>418</v>
      </c>
      <c r="C141" s="4" t="s">
        <v>747</v>
      </c>
      <c r="D141" s="4" t="s">
        <v>478</v>
      </c>
      <c r="E141" s="4" t="s">
        <v>574</v>
      </c>
      <c r="F141" s="3" t="n">
        <v>2</v>
      </c>
      <c r="G141" s="8" t="n">
        <v>450</v>
      </c>
      <c r="H141" s="8" t="n">
        <v>1702</v>
      </c>
      <c r="J141" s="14" t="n">
        <f aca="false">G141*H141/1000000</f>
        <v>0.7659</v>
      </c>
      <c r="K141" s="12" t="n">
        <f aca="false">IF(E141="CHAPA_AREA",F141*J141*INDEX('03_MATERIALES'!$E$2:$E$42,MATCH(D141,'03_MATERIALES'!$A$2:$A$42,0))/1000*p_densidad_acero,IF(E141="PERFIL_LONGITUD",F141*I141*p_kg_por_m_perfil,""))</f>
        <v>14.429556</v>
      </c>
      <c r="L141" s="6" t="n">
        <f aca="false">IF(E141="CHAPA_AREA",K141*INDEX('03_MATERIALES'!$H$2:$H$42,MATCH(D141,'03_MATERIALES'!$A$2:$A$42,0))/p_aprovechamiento_chapa,IF(E141="PERFIL_LONGITUD",K141*INDEX('03_MATERIALES'!$H$2:$H$42,MATCH(D141,'03_MATERIALES'!$A$2:$A$42,0))/p_aprovechamiento_perfil,IF(E141="UNIDAD",F141*INDEX('03_MATERIALES'!$H$2:$H$42,MATCH(D141,'03_MATERIALES'!$A$2:$A$42,0)),"")))</f>
        <v>106.65324</v>
      </c>
      <c r="M141" s="12" t="n">
        <f aca="false">IF(N(J141)&gt;0,F141*J141/p_area_plancha_m2,"")</f>
        <v>0.531875</v>
      </c>
      <c r="N141" s="4" t="s">
        <v>30</v>
      </c>
    </row>
    <row r="142" customFormat="false" ht="15" hidden="false" customHeight="false" outlineLevel="0" collapsed="false">
      <c r="A142" s="4" t="s">
        <v>778</v>
      </c>
      <c r="B142" s="4" t="s">
        <v>418</v>
      </c>
      <c r="C142" s="4" t="s">
        <v>611</v>
      </c>
      <c r="D142" s="4" t="s">
        <v>476</v>
      </c>
      <c r="E142" s="4" t="s">
        <v>574</v>
      </c>
      <c r="F142" s="3" t="n">
        <v>1</v>
      </c>
      <c r="G142" s="8" t="n">
        <v>910</v>
      </c>
      <c r="H142" s="8" t="n">
        <v>1665</v>
      </c>
      <c r="J142" s="14" t="n">
        <f aca="false">G142*H142/1000000</f>
        <v>1.51515</v>
      </c>
      <c r="K142" s="12" t="n">
        <f aca="false">IF(E142="CHAPA_AREA",F142*J142*INDEX('03_MATERIALES'!$E$2:$E$42,MATCH(D142,'03_MATERIALES'!$A$2:$A$42,0))/1000*p_densidad_acero,IF(E142="PERFIL_LONGITUD",F142*I142*p_kg_por_m_perfil,""))</f>
        <v>9.515142</v>
      </c>
      <c r="L142" s="6" t="n">
        <f aca="false">IF(E142="CHAPA_AREA",K142*INDEX('03_MATERIALES'!$H$2:$H$42,MATCH(D142,'03_MATERIALES'!$A$2:$A$42,0))/p_aprovechamiento_chapa,IF(E142="PERFIL_LONGITUD",K142*INDEX('03_MATERIALES'!$H$2:$H$42,MATCH(D142,'03_MATERIALES'!$A$2:$A$42,0))/p_aprovechamiento_perfil,IF(E142="UNIDAD",F142*INDEX('03_MATERIALES'!$H$2:$H$42,MATCH(D142,'03_MATERIALES'!$A$2:$A$42,0)),"")))</f>
        <v>70.3293104347826</v>
      </c>
      <c r="M142" s="12" t="n">
        <f aca="false">IF(N(J142)&gt;0,F142*J142/p_area_plancha_m2,"")</f>
        <v>0.52609375</v>
      </c>
      <c r="N142" s="4" t="s">
        <v>30</v>
      </c>
    </row>
    <row r="143" customFormat="false" ht="15" hidden="false" customHeight="false" outlineLevel="0" collapsed="false">
      <c r="A143" s="4" t="s">
        <v>779</v>
      </c>
      <c r="B143" s="4" t="s">
        <v>418</v>
      </c>
      <c r="C143" s="4" t="s">
        <v>750</v>
      </c>
      <c r="D143" s="4" t="s">
        <v>476</v>
      </c>
      <c r="E143" s="4" t="s">
        <v>574</v>
      </c>
      <c r="F143" s="3" t="n">
        <v>3</v>
      </c>
      <c r="G143" s="8" t="n">
        <v>375</v>
      </c>
      <c r="H143" s="8" t="n">
        <v>999</v>
      </c>
      <c r="J143" s="14" t="n">
        <f aca="false">G143*H143/1000000</f>
        <v>0.374625</v>
      </c>
      <c r="K143" s="12" t="n">
        <f aca="false">IF(E143="CHAPA_AREA",F143*J143*INDEX('03_MATERIALES'!$E$2:$E$42,MATCH(D143,'03_MATERIALES'!$A$2:$A$42,0))/1000*p_densidad_acero,IF(E143="PERFIL_LONGITUD",F143*I143*p_kg_por_m_perfil,""))</f>
        <v>7.057935</v>
      </c>
      <c r="L143" s="6" t="n">
        <f aca="false">IF(E143="CHAPA_AREA",K143*INDEX('03_MATERIALES'!$H$2:$H$42,MATCH(D143,'03_MATERIALES'!$A$2:$A$42,0))/p_aprovechamiento_chapa,IF(E143="PERFIL_LONGITUD",K143*INDEX('03_MATERIALES'!$H$2:$H$42,MATCH(D143,'03_MATERIALES'!$A$2:$A$42,0))/p_aprovechamiento_perfil,IF(E143="UNIDAD",F143*INDEX('03_MATERIALES'!$H$2:$H$42,MATCH(D143,'03_MATERIALES'!$A$2:$A$42,0)),"")))</f>
        <v>52.1673456521739</v>
      </c>
      <c r="M143" s="12" t="n">
        <f aca="false">IF(N(J143)&gt;0,F143*J143/p_area_plancha_m2,"")</f>
        <v>0.390234375</v>
      </c>
      <c r="N143" s="4" t="s">
        <v>30</v>
      </c>
    </row>
    <row r="144" customFormat="false" ht="15" hidden="false" customHeight="false" outlineLevel="0" collapsed="false">
      <c r="A144" s="4" t="s">
        <v>780</v>
      </c>
      <c r="B144" s="4" t="s">
        <v>418</v>
      </c>
      <c r="C144" s="4" t="s">
        <v>752</v>
      </c>
      <c r="D144" s="4" t="s">
        <v>483</v>
      </c>
      <c r="E144" s="4" t="s">
        <v>579</v>
      </c>
      <c r="F144" s="3" t="n">
        <v>12</v>
      </c>
      <c r="K144" s="12" t="str">
        <f aca="false">IF(E144="CHAPA_AREA",F144*J144*INDEX('03_MATERIALES'!$E$2:$E$42,MATCH(D144,'03_MATERIALES'!$A$2:$A$42,0))/1000*p_densidad_acero,IF(E144="PERFIL_LONGITUD",F144*I144*p_kg_por_m_perfil,""))</f>
        <v/>
      </c>
      <c r="L144" s="6" t="n">
        <f aca="false">IF(E144="CHAPA_AREA",K144*INDEX('03_MATERIALES'!$H$2:$H$42,MATCH(D144,'03_MATERIALES'!$A$2:$A$42,0))/p_aprovechamiento_chapa,IF(E144="PERFIL_LONGITUD",K144*INDEX('03_MATERIALES'!$H$2:$H$42,MATCH(D144,'03_MATERIALES'!$A$2:$A$42,0))/p_aprovechamiento_perfil,IF(E144="UNIDAD",F144*INDEX('03_MATERIALES'!$H$2:$H$42,MATCH(D144,'03_MATERIALES'!$A$2:$A$42,0)),"")))</f>
        <v>10.8</v>
      </c>
      <c r="M144" s="12" t="str">
        <f aca="false">IF(N(J144)&gt;0,F144*J144/p_area_plancha_m2,"")</f>
        <v/>
      </c>
      <c r="N144" s="4" t="s">
        <v>30</v>
      </c>
    </row>
    <row r="145" customFormat="false" ht="15" hidden="false" customHeight="false" outlineLevel="0" collapsed="false">
      <c r="A145" s="4" t="s">
        <v>781</v>
      </c>
      <c r="B145" s="4" t="s">
        <v>420</v>
      </c>
      <c r="C145" s="4" t="s">
        <v>747</v>
      </c>
      <c r="D145" s="4" t="s">
        <v>478</v>
      </c>
      <c r="E145" s="4" t="s">
        <v>574</v>
      </c>
      <c r="F145" s="3" t="n">
        <v>2</v>
      </c>
      <c r="G145" s="8" t="n">
        <v>450</v>
      </c>
      <c r="H145" s="8" t="n">
        <v>1702</v>
      </c>
      <c r="J145" s="14" t="n">
        <f aca="false">G145*H145/1000000</f>
        <v>0.7659</v>
      </c>
      <c r="K145" s="12" t="n">
        <f aca="false">IF(E145="CHAPA_AREA",F145*J145*INDEX('03_MATERIALES'!$E$2:$E$42,MATCH(D145,'03_MATERIALES'!$A$2:$A$42,0))/1000*p_densidad_acero,IF(E145="PERFIL_LONGITUD",F145*I145*p_kg_por_m_perfil,""))</f>
        <v>14.429556</v>
      </c>
      <c r="L145" s="6" t="n">
        <f aca="false">IF(E145="CHAPA_AREA",K145*INDEX('03_MATERIALES'!$H$2:$H$42,MATCH(D145,'03_MATERIALES'!$A$2:$A$42,0))/p_aprovechamiento_chapa,IF(E145="PERFIL_LONGITUD",K145*INDEX('03_MATERIALES'!$H$2:$H$42,MATCH(D145,'03_MATERIALES'!$A$2:$A$42,0))/p_aprovechamiento_perfil,IF(E145="UNIDAD",F145*INDEX('03_MATERIALES'!$H$2:$H$42,MATCH(D145,'03_MATERIALES'!$A$2:$A$42,0)),"")))</f>
        <v>106.65324</v>
      </c>
      <c r="M145" s="12" t="n">
        <f aca="false">IF(N(J145)&gt;0,F145*J145/p_area_plancha_m2,"")</f>
        <v>0.531875</v>
      </c>
      <c r="N145" s="4" t="s">
        <v>30</v>
      </c>
    </row>
    <row r="146" customFormat="false" ht="15" hidden="false" customHeight="false" outlineLevel="0" collapsed="false">
      <c r="A146" s="4" t="s">
        <v>782</v>
      </c>
      <c r="B146" s="4" t="s">
        <v>420</v>
      </c>
      <c r="C146" s="4" t="s">
        <v>611</v>
      </c>
      <c r="D146" s="4" t="s">
        <v>476</v>
      </c>
      <c r="E146" s="4" t="s">
        <v>574</v>
      </c>
      <c r="F146" s="3" t="n">
        <v>1</v>
      </c>
      <c r="G146" s="8" t="n">
        <v>910</v>
      </c>
      <c r="H146" s="8" t="n">
        <v>1665</v>
      </c>
      <c r="J146" s="14" t="n">
        <f aca="false">G146*H146/1000000</f>
        <v>1.51515</v>
      </c>
      <c r="K146" s="12" t="n">
        <f aca="false">IF(E146="CHAPA_AREA",F146*J146*INDEX('03_MATERIALES'!$E$2:$E$42,MATCH(D146,'03_MATERIALES'!$A$2:$A$42,0))/1000*p_densidad_acero,IF(E146="PERFIL_LONGITUD",F146*I146*p_kg_por_m_perfil,""))</f>
        <v>9.515142</v>
      </c>
      <c r="L146" s="6" t="n">
        <f aca="false">IF(E146="CHAPA_AREA",K146*INDEX('03_MATERIALES'!$H$2:$H$42,MATCH(D146,'03_MATERIALES'!$A$2:$A$42,0))/p_aprovechamiento_chapa,IF(E146="PERFIL_LONGITUD",K146*INDEX('03_MATERIALES'!$H$2:$H$42,MATCH(D146,'03_MATERIALES'!$A$2:$A$42,0))/p_aprovechamiento_perfil,IF(E146="UNIDAD",F146*INDEX('03_MATERIALES'!$H$2:$H$42,MATCH(D146,'03_MATERIALES'!$A$2:$A$42,0)),"")))</f>
        <v>70.3293104347826</v>
      </c>
      <c r="M146" s="12" t="n">
        <f aca="false">IF(N(J146)&gt;0,F146*J146/p_area_plancha_m2,"")</f>
        <v>0.52609375</v>
      </c>
      <c r="N146" s="4" t="s">
        <v>30</v>
      </c>
    </row>
    <row r="147" customFormat="false" ht="15" hidden="false" customHeight="false" outlineLevel="0" collapsed="false">
      <c r="A147" s="4" t="s">
        <v>783</v>
      </c>
      <c r="B147" s="4" t="s">
        <v>420</v>
      </c>
      <c r="C147" s="4" t="s">
        <v>750</v>
      </c>
      <c r="D147" s="4" t="s">
        <v>476</v>
      </c>
      <c r="E147" s="4" t="s">
        <v>574</v>
      </c>
      <c r="F147" s="3" t="n">
        <v>3</v>
      </c>
      <c r="G147" s="8" t="n">
        <v>375</v>
      </c>
      <c r="H147" s="8" t="n">
        <v>999</v>
      </c>
      <c r="J147" s="14" t="n">
        <f aca="false">G147*H147/1000000</f>
        <v>0.374625</v>
      </c>
      <c r="K147" s="12" t="n">
        <f aca="false">IF(E147="CHAPA_AREA",F147*J147*INDEX('03_MATERIALES'!$E$2:$E$42,MATCH(D147,'03_MATERIALES'!$A$2:$A$42,0))/1000*p_densidad_acero,IF(E147="PERFIL_LONGITUD",F147*I147*p_kg_por_m_perfil,""))</f>
        <v>7.057935</v>
      </c>
      <c r="L147" s="6" t="n">
        <f aca="false">IF(E147="CHAPA_AREA",K147*INDEX('03_MATERIALES'!$H$2:$H$42,MATCH(D147,'03_MATERIALES'!$A$2:$A$42,0))/p_aprovechamiento_chapa,IF(E147="PERFIL_LONGITUD",K147*INDEX('03_MATERIALES'!$H$2:$H$42,MATCH(D147,'03_MATERIALES'!$A$2:$A$42,0))/p_aprovechamiento_perfil,IF(E147="UNIDAD",F147*INDEX('03_MATERIALES'!$H$2:$H$42,MATCH(D147,'03_MATERIALES'!$A$2:$A$42,0)),"")))</f>
        <v>52.1673456521739</v>
      </c>
      <c r="M147" s="12" t="n">
        <f aca="false">IF(N(J147)&gt;0,F147*J147/p_area_plancha_m2,"")</f>
        <v>0.390234375</v>
      </c>
      <c r="N147" s="4" t="s">
        <v>30</v>
      </c>
    </row>
    <row r="148" customFormat="false" ht="15" hidden="false" customHeight="false" outlineLevel="0" collapsed="false">
      <c r="A148" s="4" t="s">
        <v>784</v>
      </c>
      <c r="B148" s="4" t="s">
        <v>420</v>
      </c>
      <c r="C148" s="4" t="s">
        <v>752</v>
      </c>
      <c r="D148" s="4" t="s">
        <v>483</v>
      </c>
      <c r="E148" s="4" t="s">
        <v>579</v>
      </c>
      <c r="F148" s="3" t="n">
        <v>12</v>
      </c>
      <c r="K148" s="12" t="str">
        <f aca="false">IF(E148="CHAPA_AREA",F148*J148*INDEX('03_MATERIALES'!$E$2:$E$42,MATCH(D148,'03_MATERIALES'!$A$2:$A$42,0))/1000*p_densidad_acero,IF(E148="PERFIL_LONGITUD",F148*I148*p_kg_por_m_perfil,""))</f>
        <v/>
      </c>
      <c r="L148" s="6" t="n">
        <f aca="false">IF(E148="CHAPA_AREA",K148*INDEX('03_MATERIALES'!$H$2:$H$42,MATCH(D148,'03_MATERIALES'!$A$2:$A$42,0))/p_aprovechamiento_chapa,IF(E148="PERFIL_LONGITUD",K148*INDEX('03_MATERIALES'!$H$2:$H$42,MATCH(D148,'03_MATERIALES'!$A$2:$A$42,0))/p_aprovechamiento_perfil,IF(E148="UNIDAD",F148*INDEX('03_MATERIALES'!$H$2:$H$42,MATCH(D148,'03_MATERIALES'!$A$2:$A$42,0)),"")))</f>
        <v>10.8</v>
      </c>
      <c r="M148" s="12" t="str">
        <f aca="false">IF(N(J148)&gt;0,F148*J148/p_area_plancha_m2,"")</f>
        <v/>
      </c>
      <c r="N148" s="4" t="s">
        <v>30</v>
      </c>
    </row>
    <row r="149" customFormat="false" ht="15" hidden="false" customHeight="false" outlineLevel="0" collapsed="false">
      <c r="A149" s="4" t="s">
        <v>785</v>
      </c>
      <c r="B149" s="4" t="s">
        <v>422</v>
      </c>
      <c r="C149" s="4" t="s">
        <v>747</v>
      </c>
      <c r="D149" s="4" t="s">
        <v>478</v>
      </c>
      <c r="E149" s="4" t="s">
        <v>574</v>
      </c>
      <c r="F149" s="3" t="n">
        <v>2</v>
      </c>
      <c r="G149" s="8" t="n">
        <v>450</v>
      </c>
      <c r="H149" s="8" t="n">
        <v>1702</v>
      </c>
      <c r="J149" s="14" t="n">
        <f aca="false">G149*H149/1000000</f>
        <v>0.7659</v>
      </c>
      <c r="K149" s="12" t="n">
        <f aca="false">IF(E149="CHAPA_AREA",F149*J149*INDEX('03_MATERIALES'!$E$2:$E$42,MATCH(D149,'03_MATERIALES'!$A$2:$A$42,0))/1000*p_densidad_acero,IF(E149="PERFIL_LONGITUD",F149*I149*p_kg_por_m_perfil,""))</f>
        <v>14.429556</v>
      </c>
      <c r="L149" s="6" t="n">
        <f aca="false">IF(E149="CHAPA_AREA",K149*INDEX('03_MATERIALES'!$H$2:$H$42,MATCH(D149,'03_MATERIALES'!$A$2:$A$42,0))/p_aprovechamiento_chapa,IF(E149="PERFIL_LONGITUD",K149*INDEX('03_MATERIALES'!$H$2:$H$42,MATCH(D149,'03_MATERIALES'!$A$2:$A$42,0))/p_aprovechamiento_perfil,IF(E149="UNIDAD",F149*INDEX('03_MATERIALES'!$H$2:$H$42,MATCH(D149,'03_MATERIALES'!$A$2:$A$42,0)),"")))</f>
        <v>106.65324</v>
      </c>
      <c r="M149" s="12" t="n">
        <f aca="false">IF(N(J149)&gt;0,F149*J149/p_area_plancha_m2,"")</f>
        <v>0.531875</v>
      </c>
      <c r="N149" s="4" t="s">
        <v>30</v>
      </c>
    </row>
    <row r="150" customFormat="false" ht="15" hidden="false" customHeight="false" outlineLevel="0" collapsed="false">
      <c r="A150" s="4" t="s">
        <v>786</v>
      </c>
      <c r="B150" s="4" t="s">
        <v>422</v>
      </c>
      <c r="C150" s="4" t="s">
        <v>611</v>
      </c>
      <c r="D150" s="4" t="s">
        <v>476</v>
      </c>
      <c r="E150" s="4" t="s">
        <v>574</v>
      </c>
      <c r="F150" s="3" t="n">
        <v>1</v>
      </c>
      <c r="G150" s="8" t="n">
        <v>910</v>
      </c>
      <c r="H150" s="8" t="n">
        <v>1665</v>
      </c>
      <c r="J150" s="14" t="n">
        <f aca="false">G150*H150/1000000</f>
        <v>1.51515</v>
      </c>
      <c r="K150" s="12" t="n">
        <f aca="false">IF(E150="CHAPA_AREA",F150*J150*INDEX('03_MATERIALES'!$E$2:$E$42,MATCH(D150,'03_MATERIALES'!$A$2:$A$42,0))/1000*p_densidad_acero,IF(E150="PERFIL_LONGITUD",F150*I150*p_kg_por_m_perfil,""))</f>
        <v>9.515142</v>
      </c>
      <c r="L150" s="6" t="n">
        <f aca="false">IF(E150="CHAPA_AREA",K150*INDEX('03_MATERIALES'!$H$2:$H$42,MATCH(D150,'03_MATERIALES'!$A$2:$A$42,0))/p_aprovechamiento_chapa,IF(E150="PERFIL_LONGITUD",K150*INDEX('03_MATERIALES'!$H$2:$H$42,MATCH(D150,'03_MATERIALES'!$A$2:$A$42,0))/p_aprovechamiento_perfil,IF(E150="UNIDAD",F150*INDEX('03_MATERIALES'!$H$2:$H$42,MATCH(D150,'03_MATERIALES'!$A$2:$A$42,0)),"")))</f>
        <v>70.3293104347826</v>
      </c>
      <c r="M150" s="12" t="n">
        <f aca="false">IF(N(J150)&gt;0,F150*J150/p_area_plancha_m2,"")</f>
        <v>0.52609375</v>
      </c>
      <c r="N150" s="4" t="s">
        <v>30</v>
      </c>
    </row>
    <row r="151" customFormat="false" ht="15" hidden="false" customHeight="false" outlineLevel="0" collapsed="false">
      <c r="A151" s="4" t="s">
        <v>787</v>
      </c>
      <c r="B151" s="4" t="s">
        <v>422</v>
      </c>
      <c r="C151" s="4" t="s">
        <v>750</v>
      </c>
      <c r="D151" s="4" t="s">
        <v>476</v>
      </c>
      <c r="E151" s="4" t="s">
        <v>574</v>
      </c>
      <c r="F151" s="3" t="n">
        <v>3</v>
      </c>
      <c r="G151" s="8" t="n">
        <v>375</v>
      </c>
      <c r="H151" s="8" t="n">
        <v>999</v>
      </c>
      <c r="J151" s="14" t="n">
        <f aca="false">G151*H151/1000000</f>
        <v>0.374625</v>
      </c>
      <c r="K151" s="12" t="n">
        <f aca="false">IF(E151="CHAPA_AREA",F151*J151*INDEX('03_MATERIALES'!$E$2:$E$42,MATCH(D151,'03_MATERIALES'!$A$2:$A$42,0))/1000*p_densidad_acero,IF(E151="PERFIL_LONGITUD",F151*I151*p_kg_por_m_perfil,""))</f>
        <v>7.057935</v>
      </c>
      <c r="L151" s="6" t="n">
        <f aca="false">IF(E151="CHAPA_AREA",K151*INDEX('03_MATERIALES'!$H$2:$H$42,MATCH(D151,'03_MATERIALES'!$A$2:$A$42,0))/p_aprovechamiento_chapa,IF(E151="PERFIL_LONGITUD",K151*INDEX('03_MATERIALES'!$H$2:$H$42,MATCH(D151,'03_MATERIALES'!$A$2:$A$42,0))/p_aprovechamiento_perfil,IF(E151="UNIDAD",F151*INDEX('03_MATERIALES'!$H$2:$H$42,MATCH(D151,'03_MATERIALES'!$A$2:$A$42,0)),"")))</f>
        <v>52.1673456521739</v>
      </c>
      <c r="M151" s="12" t="n">
        <f aca="false">IF(N(J151)&gt;0,F151*J151/p_area_plancha_m2,"")</f>
        <v>0.390234375</v>
      </c>
      <c r="N151" s="4" t="s">
        <v>30</v>
      </c>
    </row>
    <row r="152" customFormat="false" ht="15" hidden="false" customHeight="false" outlineLevel="0" collapsed="false">
      <c r="A152" s="4" t="s">
        <v>788</v>
      </c>
      <c r="B152" s="4" t="s">
        <v>422</v>
      </c>
      <c r="C152" s="4" t="s">
        <v>752</v>
      </c>
      <c r="D152" s="4" t="s">
        <v>483</v>
      </c>
      <c r="E152" s="4" t="s">
        <v>579</v>
      </c>
      <c r="F152" s="3" t="n">
        <v>12</v>
      </c>
      <c r="K152" s="12" t="str">
        <f aca="false">IF(E152="CHAPA_AREA",F152*J152*INDEX('03_MATERIALES'!$E$2:$E$42,MATCH(D152,'03_MATERIALES'!$A$2:$A$42,0))/1000*p_densidad_acero,IF(E152="PERFIL_LONGITUD",F152*I152*p_kg_por_m_perfil,""))</f>
        <v/>
      </c>
      <c r="L152" s="6" t="n">
        <f aca="false">IF(E152="CHAPA_AREA",K152*INDEX('03_MATERIALES'!$H$2:$H$42,MATCH(D152,'03_MATERIALES'!$A$2:$A$42,0))/p_aprovechamiento_chapa,IF(E152="PERFIL_LONGITUD",K152*INDEX('03_MATERIALES'!$H$2:$H$42,MATCH(D152,'03_MATERIALES'!$A$2:$A$42,0))/p_aprovechamiento_perfil,IF(E152="UNIDAD",F152*INDEX('03_MATERIALES'!$H$2:$H$42,MATCH(D152,'03_MATERIALES'!$A$2:$A$42,0)),"")))</f>
        <v>10.8</v>
      </c>
      <c r="M152" s="12" t="str">
        <f aca="false">IF(N(J152)&gt;0,F152*J152/p_area_plancha_m2,"")</f>
        <v/>
      </c>
      <c r="N152" s="4" t="s">
        <v>30</v>
      </c>
    </row>
    <row r="153" customFormat="false" ht="15" hidden="false" customHeight="false" outlineLevel="0" collapsed="false">
      <c r="A153" s="4" t="s">
        <v>789</v>
      </c>
      <c r="B153" s="4" t="s">
        <v>424</v>
      </c>
      <c r="C153" s="4" t="s">
        <v>747</v>
      </c>
      <c r="D153" s="4" t="s">
        <v>476</v>
      </c>
      <c r="E153" s="4" t="s">
        <v>574</v>
      </c>
      <c r="F153" s="3" t="n">
        <v>2</v>
      </c>
      <c r="G153" s="8" t="n">
        <v>450</v>
      </c>
      <c r="H153" s="8" t="n">
        <v>878.6</v>
      </c>
      <c r="J153" s="14" t="n">
        <f aca="false">G153*H153/1000000</f>
        <v>0.39537</v>
      </c>
      <c r="K153" s="12" t="n">
        <f aca="false">IF(E153="CHAPA_AREA",F153*J153*INDEX('03_MATERIALES'!$E$2:$E$42,MATCH(D153,'03_MATERIALES'!$A$2:$A$42,0))/1000*p_densidad_acero,IF(E153="PERFIL_LONGITUD",F153*I153*p_kg_por_m_perfil,""))</f>
        <v>4.9658472</v>
      </c>
      <c r="L153" s="6" t="n">
        <f aca="false">IF(E153="CHAPA_AREA",K153*INDEX('03_MATERIALES'!$H$2:$H$42,MATCH(D153,'03_MATERIALES'!$A$2:$A$42,0))/p_aprovechamiento_chapa,IF(E153="PERFIL_LONGITUD",K153*INDEX('03_MATERIALES'!$H$2:$H$42,MATCH(D153,'03_MATERIALES'!$A$2:$A$42,0))/p_aprovechamiento_perfil,IF(E153="UNIDAD",F153*INDEX('03_MATERIALES'!$H$2:$H$42,MATCH(D153,'03_MATERIALES'!$A$2:$A$42,0)),"")))</f>
        <v>36.704088</v>
      </c>
      <c r="M153" s="12" t="n">
        <f aca="false">IF(N(J153)&gt;0,F153*J153/p_area_plancha_m2,"")</f>
        <v>0.2745625</v>
      </c>
      <c r="N153" s="4" t="s">
        <v>30</v>
      </c>
    </row>
    <row r="154" customFormat="false" ht="15" hidden="false" customHeight="false" outlineLevel="0" collapsed="false">
      <c r="A154" s="4" t="s">
        <v>790</v>
      </c>
      <c r="B154" s="4" t="s">
        <v>424</v>
      </c>
      <c r="C154" s="4" t="s">
        <v>611</v>
      </c>
      <c r="D154" s="4" t="s">
        <v>476</v>
      </c>
      <c r="E154" s="4" t="s">
        <v>574</v>
      </c>
      <c r="F154" s="3" t="n">
        <v>1</v>
      </c>
      <c r="G154" s="8" t="n">
        <v>650.6</v>
      </c>
      <c r="H154" s="8" t="n">
        <v>859.5</v>
      </c>
      <c r="J154" s="14" t="n">
        <f aca="false">G154*H154/1000000</f>
        <v>0.5591907</v>
      </c>
      <c r="K154" s="12" t="n">
        <f aca="false">IF(E154="CHAPA_AREA",F154*J154*INDEX('03_MATERIALES'!$E$2:$E$42,MATCH(D154,'03_MATERIALES'!$A$2:$A$42,0))/1000*p_densidad_acero,IF(E154="PERFIL_LONGITUD",F154*I154*p_kg_por_m_perfil,""))</f>
        <v>3.511717596</v>
      </c>
      <c r="L154" s="6" t="n">
        <f aca="false">IF(E154="CHAPA_AREA",K154*INDEX('03_MATERIALES'!$H$2:$H$42,MATCH(D154,'03_MATERIALES'!$A$2:$A$42,0))/p_aprovechamiento_chapa,IF(E154="PERFIL_LONGITUD",K154*INDEX('03_MATERIALES'!$H$2:$H$42,MATCH(D154,'03_MATERIALES'!$A$2:$A$42,0))/p_aprovechamiento_perfil,IF(E154="UNIDAD",F154*INDEX('03_MATERIALES'!$H$2:$H$42,MATCH(D154,'03_MATERIALES'!$A$2:$A$42,0)),"")))</f>
        <v>25.9561735356522</v>
      </c>
      <c r="M154" s="12" t="n">
        <f aca="false">IF(N(J154)&gt;0,F154*J154/p_area_plancha_m2,"")</f>
        <v>0.1941634375</v>
      </c>
      <c r="N154" s="4" t="s">
        <v>30</v>
      </c>
    </row>
    <row r="155" customFormat="false" ht="15" hidden="false" customHeight="false" outlineLevel="0" collapsed="false">
      <c r="A155" s="4" t="s">
        <v>791</v>
      </c>
      <c r="B155" s="4" t="s">
        <v>424</v>
      </c>
      <c r="C155" s="4" t="s">
        <v>750</v>
      </c>
      <c r="D155" s="4" t="s">
        <v>476</v>
      </c>
      <c r="E155" s="4" t="s">
        <v>574</v>
      </c>
      <c r="F155" s="3" t="n">
        <v>3</v>
      </c>
      <c r="G155" s="8" t="n">
        <v>268.1</v>
      </c>
      <c r="H155" s="8" t="n">
        <v>515.7</v>
      </c>
      <c r="J155" s="14" t="n">
        <f aca="false">G155*H155/1000000</f>
        <v>0.13825917</v>
      </c>
      <c r="K155" s="12" t="n">
        <f aca="false">IF(E155="CHAPA_AREA",F155*J155*INDEX('03_MATERIALES'!$E$2:$E$42,MATCH(D155,'03_MATERIALES'!$A$2:$A$42,0))/1000*p_densidad_acero,IF(E155="PERFIL_LONGITUD",F155*I155*p_kg_por_m_perfil,""))</f>
        <v>2.6048027628</v>
      </c>
      <c r="L155" s="6" t="n">
        <f aca="false">IF(E155="CHAPA_AREA",K155*INDEX('03_MATERIALES'!$H$2:$H$42,MATCH(D155,'03_MATERIALES'!$A$2:$A$42,0))/p_aprovechamiento_chapa,IF(E155="PERFIL_LONGITUD",K155*INDEX('03_MATERIALES'!$H$2:$H$42,MATCH(D155,'03_MATERIALES'!$A$2:$A$42,0))/p_aprovechamiento_perfil,IF(E155="UNIDAD",F155*INDEX('03_MATERIALES'!$H$2:$H$42,MATCH(D155,'03_MATERIALES'!$A$2:$A$42,0)),"")))</f>
        <v>19.252889985913</v>
      </c>
      <c r="M155" s="12" t="n">
        <f aca="false">IF(N(J155)&gt;0,F155*J155/p_area_plancha_m2,"")</f>
        <v>0.14401996875</v>
      </c>
      <c r="N155" s="4" t="s">
        <v>30</v>
      </c>
    </row>
    <row r="156" customFormat="false" ht="15" hidden="false" customHeight="false" outlineLevel="0" collapsed="false">
      <c r="A156" s="4" t="s">
        <v>792</v>
      </c>
      <c r="B156" s="4" t="s">
        <v>424</v>
      </c>
      <c r="C156" s="4" t="s">
        <v>752</v>
      </c>
      <c r="D156" s="4" t="s">
        <v>483</v>
      </c>
      <c r="E156" s="4" t="s">
        <v>579</v>
      </c>
      <c r="F156" s="3" t="n">
        <v>12</v>
      </c>
      <c r="K156" s="12" t="str">
        <f aca="false">IF(E156="CHAPA_AREA",F156*J156*INDEX('03_MATERIALES'!$E$2:$E$42,MATCH(D156,'03_MATERIALES'!$A$2:$A$42,0))/1000*p_densidad_acero,IF(E156="PERFIL_LONGITUD",F156*I156*p_kg_por_m_perfil,""))</f>
        <v/>
      </c>
      <c r="L156" s="6" t="n">
        <f aca="false">IF(E156="CHAPA_AREA",K156*INDEX('03_MATERIALES'!$H$2:$H$42,MATCH(D156,'03_MATERIALES'!$A$2:$A$42,0))/p_aprovechamiento_chapa,IF(E156="PERFIL_LONGITUD",K156*INDEX('03_MATERIALES'!$H$2:$H$42,MATCH(D156,'03_MATERIALES'!$A$2:$A$42,0))/p_aprovechamiento_perfil,IF(E156="UNIDAD",F156*INDEX('03_MATERIALES'!$H$2:$H$42,MATCH(D156,'03_MATERIALES'!$A$2:$A$42,0)),"")))</f>
        <v>10.8</v>
      </c>
      <c r="M156" s="12" t="str">
        <f aca="false">IF(N(J156)&gt;0,F156*J156/p_area_plancha_m2,"")</f>
        <v/>
      </c>
      <c r="N156" s="4" t="s">
        <v>30</v>
      </c>
    </row>
    <row r="157" customFormat="false" ht="15" hidden="false" customHeight="false" outlineLevel="0" collapsed="false">
      <c r="A157" s="4" t="s">
        <v>793</v>
      </c>
      <c r="B157" s="4" t="s">
        <v>424</v>
      </c>
      <c r="C157" s="4" t="s">
        <v>794</v>
      </c>
      <c r="D157" s="4" t="s">
        <v>489</v>
      </c>
      <c r="E157" s="4" t="s">
        <v>740</v>
      </c>
      <c r="F157" s="3" t="n">
        <v>4</v>
      </c>
      <c r="K157" s="12" t="str">
        <f aca="false">IF(E157="CHAPA_AREA",F157*J157*INDEX('03_MATERIALES'!$E$2:$E$42,MATCH(D157,'03_MATERIALES'!$A$2:$A$42,0))/1000*p_densidad_acero,IF(E157="PERFIL_LONGITUD",F157*I157*p_kg_por_m_perfil,""))</f>
        <v/>
      </c>
      <c r="L157" s="6" t="str">
        <f aca="false">IF(E157="CHAPA_AREA",K157*INDEX('03_MATERIALES'!$H$2:$H$42,MATCH(D157,'03_MATERIALES'!$A$2:$A$42,0))/p_aprovechamiento_chapa,IF(E157="PERFIL_LONGITUD",K157*INDEX('03_MATERIALES'!$H$2:$H$42,MATCH(D157,'03_MATERIALES'!$A$2:$A$42,0))/p_aprovechamiento_perfil,IF(E157="UNIDAD",F157*INDEX('03_MATERIALES'!$H$2:$H$42,MATCH(D157,'03_MATERIALES'!$A$2:$A$42,0)),"")))</f>
        <v/>
      </c>
      <c r="M157" s="12" t="str">
        <f aca="false">IF(N(J157)&gt;0,F157*J157/p_area_plancha_m2,"")</f>
        <v/>
      </c>
      <c r="N157" s="4" t="s">
        <v>30</v>
      </c>
    </row>
    <row r="158" customFormat="false" ht="15" hidden="false" customHeight="false" outlineLevel="0" collapsed="false">
      <c r="A158" s="4" t="s">
        <v>795</v>
      </c>
      <c r="B158" s="4" t="s">
        <v>427</v>
      </c>
      <c r="C158" s="4" t="s">
        <v>747</v>
      </c>
      <c r="D158" s="4" t="s">
        <v>476</v>
      </c>
      <c r="E158" s="4" t="s">
        <v>574</v>
      </c>
      <c r="F158" s="3" t="n">
        <v>2</v>
      </c>
      <c r="G158" s="8" t="n">
        <v>450</v>
      </c>
      <c r="H158" s="8" t="n">
        <v>878.6</v>
      </c>
      <c r="J158" s="14" t="n">
        <f aca="false">G158*H158/1000000</f>
        <v>0.39537</v>
      </c>
      <c r="K158" s="12" t="n">
        <f aca="false">IF(E158="CHAPA_AREA",F158*J158*INDEX('03_MATERIALES'!$E$2:$E$42,MATCH(D158,'03_MATERIALES'!$A$2:$A$42,0))/1000*p_densidad_acero,IF(E158="PERFIL_LONGITUD",F158*I158*p_kg_por_m_perfil,""))</f>
        <v>4.9658472</v>
      </c>
      <c r="L158" s="6" t="n">
        <f aca="false">IF(E158="CHAPA_AREA",K158*INDEX('03_MATERIALES'!$H$2:$H$42,MATCH(D158,'03_MATERIALES'!$A$2:$A$42,0))/p_aprovechamiento_chapa,IF(E158="PERFIL_LONGITUD",K158*INDEX('03_MATERIALES'!$H$2:$H$42,MATCH(D158,'03_MATERIALES'!$A$2:$A$42,0))/p_aprovechamiento_perfil,IF(E158="UNIDAD",F158*INDEX('03_MATERIALES'!$H$2:$H$42,MATCH(D158,'03_MATERIALES'!$A$2:$A$42,0)),"")))</f>
        <v>36.704088</v>
      </c>
      <c r="M158" s="12" t="n">
        <f aca="false">IF(N(J158)&gt;0,F158*J158/p_area_plancha_m2,"")</f>
        <v>0.2745625</v>
      </c>
      <c r="N158" s="4" t="s">
        <v>30</v>
      </c>
    </row>
    <row r="159" customFormat="false" ht="15" hidden="false" customHeight="false" outlineLevel="0" collapsed="false">
      <c r="A159" s="4" t="s">
        <v>796</v>
      </c>
      <c r="B159" s="4" t="s">
        <v>427</v>
      </c>
      <c r="C159" s="4" t="s">
        <v>611</v>
      </c>
      <c r="D159" s="4" t="s">
        <v>476</v>
      </c>
      <c r="E159" s="4" t="s">
        <v>574</v>
      </c>
      <c r="F159" s="3" t="n">
        <v>1</v>
      </c>
      <c r="G159" s="8" t="n">
        <v>650.6</v>
      </c>
      <c r="H159" s="8" t="n">
        <v>859.5</v>
      </c>
      <c r="J159" s="14" t="n">
        <f aca="false">G159*H159/1000000</f>
        <v>0.5591907</v>
      </c>
      <c r="K159" s="12" t="n">
        <f aca="false">IF(E159="CHAPA_AREA",F159*J159*INDEX('03_MATERIALES'!$E$2:$E$42,MATCH(D159,'03_MATERIALES'!$A$2:$A$42,0))/1000*p_densidad_acero,IF(E159="PERFIL_LONGITUD",F159*I159*p_kg_por_m_perfil,""))</f>
        <v>3.511717596</v>
      </c>
      <c r="L159" s="6" t="n">
        <f aca="false">IF(E159="CHAPA_AREA",K159*INDEX('03_MATERIALES'!$H$2:$H$42,MATCH(D159,'03_MATERIALES'!$A$2:$A$42,0))/p_aprovechamiento_chapa,IF(E159="PERFIL_LONGITUD",K159*INDEX('03_MATERIALES'!$H$2:$H$42,MATCH(D159,'03_MATERIALES'!$A$2:$A$42,0))/p_aprovechamiento_perfil,IF(E159="UNIDAD",F159*INDEX('03_MATERIALES'!$H$2:$H$42,MATCH(D159,'03_MATERIALES'!$A$2:$A$42,0)),"")))</f>
        <v>25.9561735356522</v>
      </c>
      <c r="M159" s="12" t="n">
        <f aca="false">IF(N(J159)&gt;0,F159*J159/p_area_plancha_m2,"")</f>
        <v>0.1941634375</v>
      </c>
      <c r="N159" s="4" t="s">
        <v>30</v>
      </c>
    </row>
    <row r="160" customFormat="false" ht="15" hidden="false" customHeight="false" outlineLevel="0" collapsed="false">
      <c r="A160" s="4" t="s">
        <v>797</v>
      </c>
      <c r="B160" s="4" t="s">
        <v>427</v>
      </c>
      <c r="C160" s="4" t="s">
        <v>750</v>
      </c>
      <c r="D160" s="4" t="s">
        <v>476</v>
      </c>
      <c r="E160" s="4" t="s">
        <v>574</v>
      </c>
      <c r="F160" s="3" t="n">
        <v>3</v>
      </c>
      <c r="G160" s="8" t="n">
        <v>268.1</v>
      </c>
      <c r="H160" s="8" t="n">
        <v>515.7</v>
      </c>
      <c r="J160" s="14" t="n">
        <f aca="false">G160*H160/1000000</f>
        <v>0.13825917</v>
      </c>
      <c r="K160" s="12" t="n">
        <f aca="false">IF(E160="CHAPA_AREA",F160*J160*INDEX('03_MATERIALES'!$E$2:$E$42,MATCH(D160,'03_MATERIALES'!$A$2:$A$42,0))/1000*p_densidad_acero,IF(E160="PERFIL_LONGITUD",F160*I160*p_kg_por_m_perfil,""))</f>
        <v>2.6048027628</v>
      </c>
      <c r="L160" s="6" t="n">
        <f aca="false">IF(E160="CHAPA_AREA",K160*INDEX('03_MATERIALES'!$H$2:$H$42,MATCH(D160,'03_MATERIALES'!$A$2:$A$42,0))/p_aprovechamiento_chapa,IF(E160="PERFIL_LONGITUD",K160*INDEX('03_MATERIALES'!$H$2:$H$42,MATCH(D160,'03_MATERIALES'!$A$2:$A$42,0))/p_aprovechamiento_perfil,IF(E160="UNIDAD",F160*INDEX('03_MATERIALES'!$H$2:$H$42,MATCH(D160,'03_MATERIALES'!$A$2:$A$42,0)),"")))</f>
        <v>19.252889985913</v>
      </c>
      <c r="M160" s="12" t="n">
        <f aca="false">IF(N(J160)&gt;0,F160*J160/p_area_plancha_m2,"")</f>
        <v>0.14401996875</v>
      </c>
      <c r="N160" s="4" t="s">
        <v>30</v>
      </c>
    </row>
    <row r="161" customFormat="false" ht="15" hidden="false" customHeight="false" outlineLevel="0" collapsed="false">
      <c r="A161" s="4" t="s">
        <v>798</v>
      </c>
      <c r="B161" s="4" t="s">
        <v>427</v>
      </c>
      <c r="C161" s="4" t="s">
        <v>752</v>
      </c>
      <c r="D161" s="4" t="s">
        <v>483</v>
      </c>
      <c r="E161" s="4" t="s">
        <v>579</v>
      </c>
      <c r="F161" s="3" t="n">
        <v>12</v>
      </c>
      <c r="K161" s="12" t="str">
        <f aca="false">IF(E161="CHAPA_AREA",F161*J161*INDEX('03_MATERIALES'!$E$2:$E$42,MATCH(D161,'03_MATERIALES'!$A$2:$A$42,0))/1000*p_densidad_acero,IF(E161="PERFIL_LONGITUD",F161*I161*p_kg_por_m_perfil,""))</f>
        <v/>
      </c>
      <c r="L161" s="6" t="n">
        <f aca="false">IF(E161="CHAPA_AREA",K161*INDEX('03_MATERIALES'!$H$2:$H$42,MATCH(D161,'03_MATERIALES'!$A$2:$A$42,0))/p_aprovechamiento_chapa,IF(E161="PERFIL_LONGITUD",K161*INDEX('03_MATERIALES'!$H$2:$H$42,MATCH(D161,'03_MATERIALES'!$A$2:$A$42,0))/p_aprovechamiento_perfil,IF(E161="UNIDAD",F161*INDEX('03_MATERIALES'!$H$2:$H$42,MATCH(D161,'03_MATERIALES'!$A$2:$A$42,0)),"")))</f>
        <v>10.8</v>
      </c>
      <c r="M161" s="12" t="str">
        <f aca="false">IF(N(J161)&gt;0,F161*J161/p_area_plancha_m2,"")</f>
        <v/>
      </c>
      <c r="N161" s="4" t="s">
        <v>30</v>
      </c>
    </row>
    <row r="162" customFormat="false" ht="15" hidden="false" customHeight="false" outlineLevel="0" collapsed="false">
      <c r="A162" s="4" t="s">
        <v>799</v>
      </c>
      <c r="B162" s="4" t="s">
        <v>427</v>
      </c>
      <c r="C162" s="4" t="s">
        <v>794</v>
      </c>
      <c r="D162" s="4" t="s">
        <v>489</v>
      </c>
      <c r="E162" s="4" t="s">
        <v>740</v>
      </c>
      <c r="F162" s="3" t="n">
        <v>4</v>
      </c>
      <c r="K162" s="12" t="str">
        <f aca="false">IF(E162="CHAPA_AREA",F162*J162*INDEX('03_MATERIALES'!$E$2:$E$42,MATCH(D162,'03_MATERIALES'!$A$2:$A$42,0))/1000*p_densidad_acero,IF(E162="PERFIL_LONGITUD",F162*I162*p_kg_por_m_perfil,""))</f>
        <v/>
      </c>
      <c r="L162" s="6" t="str">
        <f aca="false">IF(E162="CHAPA_AREA",K162*INDEX('03_MATERIALES'!$H$2:$H$42,MATCH(D162,'03_MATERIALES'!$A$2:$A$42,0))/p_aprovechamiento_chapa,IF(E162="PERFIL_LONGITUD",K162*INDEX('03_MATERIALES'!$H$2:$H$42,MATCH(D162,'03_MATERIALES'!$A$2:$A$42,0))/p_aprovechamiento_perfil,IF(E162="UNIDAD",F162*INDEX('03_MATERIALES'!$H$2:$H$42,MATCH(D162,'03_MATERIALES'!$A$2:$A$42,0)),"")))</f>
        <v/>
      </c>
      <c r="M162" s="12" t="str">
        <f aca="false">IF(N(J162)&gt;0,F162*J162/p_area_plancha_m2,"")</f>
        <v/>
      </c>
      <c r="N162" s="4" t="s">
        <v>30</v>
      </c>
    </row>
    <row r="163" customFormat="false" ht="15" hidden="false" customHeight="false" outlineLevel="0" collapsed="false">
      <c r="A163" s="4" t="s">
        <v>800</v>
      </c>
      <c r="B163" s="4" t="s">
        <v>429</v>
      </c>
      <c r="C163" s="4" t="s">
        <v>747</v>
      </c>
      <c r="D163" s="4" t="s">
        <v>476</v>
      </c>
      <c r="E163" s="4" t="s">
        <v>574</v>
      </c>
      <c r="F163" s="3" t="n">
        <v>2</v>
      </c>
      <c r="G163" s="8" t="n">
        <v>459</v>
      </c>
      <c r="H163" s="8" t="n">
        <v>796.7</v>
      </c>
      <c r="J163" s="14" t="n">
        <f aca="false">G163*H163/1000000</f>
        <v>0.3656853</v>
      </c>
      <c r="K163" s="12" t="n">
        <f aca="false">IF(E163="CHAPA_AREA",F163*J163*INDEX('03_MATERIALES'!$E$2:$E$42,MATCH(D163,'03_MATERIALES'!$A$2:$A$42,0))/1000*p_densidad_acero,IF(E163="PERFIL_LONGITUD",F163*I163*p_kg_por_m_perfil,""))</f>
        <v>4.593007368</v>
      </c>
      <c r="L163" s="6" t="n">
        <f aca="false">IF(E163="CHAPA_AREA",K163*INDEX('03_MATERIALES'!$H$2:$H$42,MATCH(D163,'03_MATERIALES'!$A$2:$A$42,0))/p_aprovechamiento_chapa,IF(E163="PERFIL_LONGITUD",K163*INDEX('03_MATERIALES'!$H$2:$H$42,MATCH(D163,'03_MATERIALES'!$A$2:$A$42,0))/p_aprovechamiento_perfil,IF(E163="UNIDAD",F163*INDEX('03_MATERIALES'!$H$2:$H$42,MATCH(D163,'03_MATERIALES'!$A$2:$A$42,0)),"")))</f>
        <v>33.9483153286957</v>
      </c>
      <c r="M163" s="12" t="n">
        <f aca="false">IF(N(J163)&gt;0,F163*J163/p_area_plancha_m2,"")</f>
        <v>0.253948125</v>
      </c>
      <c r="N163" s="4" t="s">
        <v>30</v>
      </c>
    </row>
    <row r="164" customFormat="false" ht="15" hidden="false" customHeight="false" outlineLevel="0" collapsed="false">
      <c r="A164" s="4" t="s">
        <v>801</v>
      </c>
      <c r="B164" s="4" t="s">
        <v>429</v>
      </c>
      <c r="C164" s="4" t="s">
        <v>611</v>
      </c>
      <c r="D164" s="4" t="s">
        <v>476</v>
      </c>
      <c r="E164" s="4" t="s">
        <v>574</v>
      </c>
      <c r="F164" s="3" t="n">
        <v>2</v>
      </c>
      <c r="G164" s="8" t="n">
        <v>671.1</v>
      </c>
      <c r="H164" s="8" t="n">
        <v>779.4</v>
      </c>
      <c r="J164" s="14" t="n">
        <f aca="false">G164*H164/1000000</f>
        <v>0.52305534</v>
      </c>
      <c r="K164" s="12" t="n">
        <f aca="false">IF(E164="CHAPA_AREA",F164*J164*INDEX('03_MATERIALES'!$E$2:$E$42,MATCH(D164,'03_MATERIALES'!$A$2:$A$42,0))/1000*p_densidad_acero,IF(E164="PERFIL_LONGITUD",F164*I164*p_kg_por_m_perfil,""))</f>
        <v>6.5695750704</v>
      </c>
      <c r="L164" s="6" t="n">
        <f aca="false">IF(E164="CHAPA_AREA",K164*INDEX('03_MATERIALES'!$H$2:$H$42,MATCH(D164,'03_MATERIALES'!$A$2:$A$42,0))/p_aprovechamiento_chapa,IF(E164="PERFIL_LONGITUD",K164*INDEX('03_MATERIALES'!$H$2:$H$42,MATCH(D164,'03_MATERIALES'!$A$2:$A$42,0))/p_aprovechamiento_perfil,IF(E164="UNIDAD",F164*INDEX('03_MATERIALES'!$H$2:$H$42,MATCH(D164,'03_MATERIALES'!$A$2:$A$42,0)),"")))</f>
        <v>48.5577287812174</v>
      </c>
      <c r="M164" s="12" t="n">
        <f aca="false">IF(N(J164)&gt;0,F164*J164/p_area_plancha_m2,"")</f>
        <v>0.363232875</v>
      </c>
      <c r="N164" s="4" t="s">
        <v>30</v>
      </c>
    </row>
    <row r="165" customFormat="false" ht="15" hidden="false" customHeight="false" outlineLevel="0" collapsed="false">
      <c r="A165" s="4" t="s">
        <v>802</v>
      </c>
      <c r="B165" s="4" t="s">
        <v>429</v>
      </c>
      <c r="C165" s="4" t="s">
        <v>750</v>
      </c>
      <c r="D165" s="4" t="s">
        <v>476</v>
      </c>
      <c r="E165" s="4" t="s">
        <v>574</v>
      </c>
      <c r="F165" s="3" t="n">
        <v>3</v>
      </c>
      <c r="G165" s="8" t="n">
        <v>553.1</v>
      </c>
      <c r="H165" s="8" t="n">
        <v>467.6</v>
      </c>
      <c r="J165" s="14" t="n">
        <f aca="false">G165*H165/1000000</f>
        <v>0.25862956</v>
      </c>
      <c r="K165" s="12" t="n">
        <f aca="false">IF(E165="CHAPA_AREA",F165*J165*INDEX('03_MATERIALES'!$E$2:$E$42,MATCH(D165,'03_MATERIALES'!$A$2:$A$42,0))/1000*p_densidad_acero,IF(E165="PERFIL_LONGITUD",F165*I165*p_kg_por_m_perfil,""))</f>
        <v>4.8725809104</v>
      </c>
      <c r="L165" s="6" t="n">
        <f aca="false">IF(E165="CHAPA_AREA",K165*INDEX('03_MATERIALES'!$H$2:$H$42,MATCH(D165,'03_MATERIALES'!$A$2:$A$42,0))/p_aprovechamiento_chapa,IF(E165="PERFIL_LONGITUD",K165*INDEX('03_MATERIALES'!$H$2:$H$42,MATCH(D165,'03_MATERIALES'!$A$2:$A$42,0))/p_aprovechamiento_perfil,IF(E165="UNIDAD",F165*INDEX('03_MATERIALES'!$H$2:$H$42,MATCH(D165,'03_MATERIALES'!$A$2:$A$42,0)),"")))</f>
        <v>36.0147284681739</v>
      </c>
      <c r="M165" s="12" t="n">
        <f aca="false">IF(N(J165)&gt;0,F165*J165/p_area_plancha_m2,"")</f>
        <v>0.269405791666667</v>
      </c>
      <c r="N165" s="4" t="s">
        <v>30</v>
      </c>
    </row>
    <row r="166" customFormat="false" ht="15" hidden="false" customHeight="false" outlineLevel="0" collapsed="false">
      <c r="A166" s="4" t="s">
        <v>803</v>
      </c>
      <c r="B166" s="4" t="s">
        <v>429</v>
      </c>
      <c r="C166" s="4" t="s">
        <v>752</v>
      </c>
      <c r="D166" s="4" t="s">
        <v>483</v>
      </c>
      <c r="E166" s="4" t="s">
        <v>579</v>
      </c>
      <c r="F166" s="3" t="n">
        <v>12</v>
      </c>
      <c r="K166" s="12" t="str">
        <f aca="false">IF(E166="CHAPA_AREA",F166*J166*INDEX('03_MATERIALES'!$E$2:$E$42,MATCH(D166,'03_MATERIALES'!$A$2:$A$42,0))/1000*p_densidad_acero,IF(E166="PERFIL_LONGITUD",F166*I166*p_kg_por_m_perfil,""))</f>
        <v/>
      </c>
      <c r="L166" s="6" t="n">
        <f aca="false">IF(E166="CHAPA_AREA",K166*INDEX('03_MATERIALES'!$H$2:$H$42,MATCH(D166,'03_MATERIALES'!$A$2:$A$42,0))/p_aprovechamiento_chapa,IF(E166="PERFIL_LONGITUD",K166*INDEX('03_MATERIALES'!$H$2:$H$42,MATCH(D166,'03_MATERIALES'!$A$2:$A$42,0))/p_aprovechamiento_perfil,IF(E166="UNIDAD",F166*INDEX('03_MATERIALES'!$H$2:$H$42,MATCH(D166,'03_MATERIALES'!$A$2:$A$42,0)),"")))</f>
        <v>10.8</v>
      </c>
      <c r="M166" s="12" t="str">
        <f aca="false">IF(N(J166)&gt;0,F166*J166/p_area_plancha_m2,"")</f>
        <v/>
      </c>
      <c r="N166" s="4" t="s">
        <v>30</v>
      </c>
    </row>
    <row r="167" customFormat="false" ht="15" hidden="false" customHeight="false" outlineLevel="0" collapsed="false">
      <c r="A167" s="4" t="s">
        <v>804</v>
      </c>
      <c r="B167" s="4" t="s">
        <v>429</v>
      </c>
      <c r="C167" s="4" t="s">
        <v>794</v>
      </c>
      <c r="D167" s="4" t="s">
        <v>489</v>
      </c>
      <c r="E167" s="4" t="s">
        <v>740</v>
      </c>
      <c r="F167" s="3" t="n">
        <v>4</v>
      </c>
      <c r="K167" s="12" t="str">
        <f aca="false">IF(E167="CHAPA_AREA",F167*J167*INDEX('03_MATERIALES'!$E$2:$E$42,MATCH(D167,'03_MATERIALES'!$A$2:$A$42,0))/1000*p_densidad_acero,IF(E167="PERFIL_LONGITUD",F167*I167*p_kg_por_m_perfil,""))</f>
        <v/>
      </c>
      <c r="L167" s="6" t="str">
        <f aca="false">IF(E167="CHAPA_AREA",K167*INDEX('03_MATERIALES'!$H$2:$H$42,MATCH(D167,'03_MATERIALES'!$A$2:$A$42,0))/p_aprovechamiento_chapa,IF(E167="PERFIL_LONGITUD",K167*INDEX('03_MATERIALES'!$H$2:$H$42,MATCH(D167,'03_MATERIALES'!$A$2:$A$42,0))/p_aprovechamiento_perfil,IF(E167="UNIDAD",F167*INDEX('03_MATERIALES'!$H$2:$H$42,MATCH(D167,'03_MATERIALES'!$A$2:$A$42,0)),"")))</f>
        <v/>
      </c>
      <c r="M167" s="12" t="str">
        <f aca="false">IF(N(J167)&gt;0,F167*J167/p_area_plancha_m2,"")</f>
        <v/>
      </c>
      <c r="N167" s="4" t="s">
        <v>30</v>
      </c>
    </row>
    <row r="168" customFormat="false" ht="15" hidden="false" customHeight="false" outlineLevel="0" collapsed="false">
      <c r="A168" s="4" t="s">
        <v>805</v>
      </c>
      <c r="B168" s="4" t="s">
        <v>431</v>
      </c>
      <c r="C168" s="4" t="s">
        <v>747</v>
      </c>
      <c r="D168" s="4" t="s">
        <v>476</v>
      </c>
      <c r="E168" s="4" t="s">
        <v>574</v>
      </c>
      <c r="F168" s="3" t="n">
        <v>2</v>
      </c>
      <c r="G168" s="8" t="n">
        <v>405</v>
      </c>
      <c r="H168" s="8" t="n">
        <v>1656</v>
      </c>
      <c r="J168" s="14" t="n">
        <f aca="false">G168*H168/1000000</f>
        <v>0.67068</v>
      </c>
      <c r="K168" s="12" t="n">
        <f aca="false">IF(E168="CHAPA_AREA",F168*J168*INDEX('03_MATERIALES'!$E$2:$E$42,MATCH(D168,'03_MATERIALES'!$A$2:$A$42,0))/1000*p_densidad_acero,IF(E168="PERFIL_LONGITUD",F168*I168*p_kg_por_m_perfil,""))</f>
        <v>8.4237408</v>
      </c>
      <c r="L168" s="6" t="n">
        <f aca="false">IF(E168="CHAPA_AREA",K168*INDEX('03_MATERIALES'!$H$2:$H$42,MATCH(D168,'03_MATERIALES'!$A$2:$A$42,0))/p_aprovechamiento_chapa,IF(E168="PERFIL_LONGITUD",K168*INDEX('03_MATERIALES'!$H$2:$H$42,MATCH(D168,'03_MATERIALES'!$A$2:$A$42,0))/p_aprovechamiento_perfil,IF(E168="UNIDAD",F168*INDEX('03_MATERIALES'!$H$2:$H$42,MATCH(D168,'03_MATERIALES'!$A$2:$A$42,0)),"")))</f>
        <v>62.262432</v>
      </c>
      <c r="M168" s="12" t="n">
        <f aca="false">IF(N(J168)&gt;0,F168*J168/p_area_plancha_m2,"")</f>
        <v>0.46575</v>
      </c>
      <c r="N168" s="4" t="s">
        <v>30</v>
      </c>
    </row>
    <row r="169" customFormat="false" ht="15" hidden="false" customHeight="false" outlineLevel="0" collapsed="false">
      <c r="A169" s="4" t="s">
        <v>806</v>
      </c>
      <c r="B169" s="4" t="s">
        <v>431</v>
      </c>
      <c r="C169" s="4" t="s">
        <v>611</v>
      </c>
      <c r="D169" s="4" t="s">
        <v>476</v>
      </c>
      <c r="E169" s="4" t="s">
        <v>574</v>
      </c>
      <c r="F169" s="3" t="n">
        <v>1</v>
      </c>
      <c r="G169" s="8" t="n">
        <v>819</v>
      </c>
      <c r="H169" s="8" t="n">
        <v>1620</v>
      </c>
      <c r="J169" s="14" t="n">
        <f aca="false">G169*H169/1000000</f>
        <v>1.32678</v>
      </c>
      <c r="K169" s="12" t="n">
        <f aca="false">IF(E169="CHAPA_AREA",F169*J169*INDEX('03_MATERIALES'!$E$2:$E$42,MATCH(D169,'03_MATERIALES'!$A$2:$A$42,0))/1000*p_densidad_acero,IF(E169="PERFIL_LONGITUD",F169*I169*p_kg_por_m_perfil,""))</f>
        <v>8.3321784</v>
      </c>
      <c r="L169" s="6" t="n">
        <f aca="false">IF(E169="CHAPA_AREA",K169*INDEX('03_MATERIALES'!$H$2:$H$42,MATCH(D169,'03_MATERIALES'!$A$2:$A$42,0))/p_aprovechamiento_chapa,IF(E169="PERFIL_LONGITUD",K169*INDEX('03_MATERIALES'!$H$2:$H$42,MATCH(D169,'03_MATERIALES'!$A$2:$A$42,0))/p_aprovechamiento_perfil,IF(E169="UNIDAD",F169*INDEX('03_MATERIALES'!$H$2:$H$42,MATCH(D169,'03_MATERIALES'!$A$2:$A$42,0)),"")))</f>
        <v>61.5856664347826</v>
      </c>
      <c r="M169" s="12" t="n">
        <f aca="false">IF(N(J169)&gt;0,F169*J169/p_area_plancha_m2,"")</f>
        <v>0.4606875</v>
      </c>
      <c r="N169" s="4" t="s">
        <v>30</v>
      </c>
    </row>
    <row r="170" customFormat="false" ht="15" hidden="false" customHeight="false" outlineLevel="0" collapsed="false">
      <c r="A170" s="4" t="s">
        <v>807</v>
      </c>
      <c r="B170" s="4" t="s">
        <v>431</v>
      </c>
      <c r="C170" s="4" t="s">
        <v>750</v>
      </c>
      <c r="D170" s="4" t="s">
        <v>476</v>
      </c>
      <c r="E170" s="4" t="s">
        <v>574</v>
      </c>
      <c r="F170" s="3" t="n">
        <v>3</v>
      </c>
      <c r="G170" s="8" t="n">
        <v>337.5</v>
      </c>
      <c r="H170" s="8" t="n">
        <v>972</v>
      </c>
      <c r="J170" s="14" t="n">
        <f aca="false">G170*H170/1000000</f>
        <v>0.32805</v>
      </c>
      <c r="K170" s="12" t="n">
        <f aca="false">IF(E170="CHAPA_AREA",F170*J170*INDEX('03_MATERIALES'!$E$2:$E$42,MATCH(D170,'03_MATERIALES'!$A$2:$A$42,0))/1000*p_densidad_acero,IF(E170="PERFIL_LONGITUD",F170*I170*p_kg_por_m_perfil,""))</f>
        <v>6.180462</v>
      </c>
      <c r="L170" s="6" t="n">
        <f aca="false">IF(E170="CHAPA_AREA",K170*INDEX('03_MATERIALES'!$H$2:$H$42,MATCH(D170,'03_MATERIALES'!$A$2:$A$42,0))/p_aprovechamiento_chapa,IF(E170="PERFIL_LONGITUD",K170*INDEX('03_MATERIALES'!$H$2:$H$42,MATCH(D170,'03_MATERIALES'!$A$2:$A$42,0))/p_aprovechamiento_perfil,IF(E170="UNIDAD",F170*INDEX('03_MATERIALES'!$H$2:$H$42,MATCH(D170,'03_MATERIALES'!$A$2:$A$42,0)),"")))</f>
        <v>45.6816756521739</v>
      </c>
      <c r="M170" s="12" t="n">
        <f aca="false">IF(N(J170)&gt;0,F170*J170/p_area_plancha_m2,"")</f>
        <v>0.34171875</v>
      </c>
      <c r="N170" s="4" t="s">
        <v>30</v>
      </c>
    </row>
    <row r="171" customFormat="false" ht="15" hidden="false" customHeight="false" outlineLevel="0" collapsed="false">
      <c r="A171" s="4" t="s">
        <v>808</v>
      </c>
      <c r="B171" s="4" t="s">
        <v>431</v>
      </c>
      <c r="C171" s="4" t="s">
        <v>752</v>
      </c>
      <c r="D171" s="4" t="s">
        <v>483</v>
      </c>
      <c r="E171" s="4" t="s">
        <v>579</v>
      </c>
      <c r="F171" s="3" t="n">
        <v>12</v>
      </c>
      <c r="K171" s="12" t="str">
        <f aca="false">IF(E171="CHAPA_AREA",F171*J171*INDEX('03_MATERIALES'!$E$2:$E$42,MATCH(D171,'03_MATERIALES'!$A$2:$A$42,0))/1000*p_densidad_acero,IF(E171="PERFIL_LONGITUD",F171*I171*p_kg_por_m_perfil,""))</f>
        <v/>
      </c>
      <c r="L171" s="6" t="n">
        <f aca="false">IF(E171="CHAPA_AREA",K171*INDEX('03_MATERIALES'!$H$2:$H$42,MATCH(D171,'03_MATERIALES'!$A$2:$A$42,0))/p_aprovechamiento_chapa,IF(E171="PERFIL_LONGITUD",K171*INDEX('03_MATERIALES'!$H$2:$H$42,MATCH(D171,'03_MATERIALES'!$A$2:$A$42,0))/p_aprovechamiento_perfil,IF(E171="UNIDAD",F171*INDEX('03_MATERIALES'!$H$2:$H$42,MATCH(D171,'03_MATERIALES'!$A$2:$A$42,0)),"")))</f>
        <v>10.8</v>
      </c>
      <c r="M171" s="12" t="str">
        <f aca="false">IF(N(J171)&gt;0,F171*J171/p_area_plancha_m2,"")</f>
        <v/>
      </c>
      <c r="N171" s="4" t="s">
        <v>30</v>
      </c>
    </row>
    <row r="172" customFormat="false" ht="15" hidden="false" customHeight="false" outlineLevel="0" collapsed="false">
      <c r="A172" s="4" t="s">
        <v>809</v>
      </c>
      <c r="B172" s="4" t="s">
        <v>434</v>
      </c>
      <c r="C172" s="4" t="s">
        <v>737</v>
      </c>
      <c r="D172" s="4" t="s">
        <v>480</v>
      </c>
      <c r="E172" s="4" t="s">
        <v>567</v>
      </c>
      <c r="F172" s="3" t="n">
        <v>4</v>
      </c>
      <c r="I172" s="11" t="n">
        <v>0.847</v>
      </c>
      <c r="K172" s="12" t="n">
        <f aca="false">IF(E172="CHAPA_AREA",F172*J172*INDEX('03_MATERIALES'!$E$2:$E$42,MATCH(D172,'03_MATERIALES'!$A$2:$A$42,0))/1000*p_densidad_acero,IF(E172="PERFIL_LONGITUD",F172*I172*p_kg_por_m_perfil,""))</f>
        <v>5.082</v>
      </c>
      <c r="L172" s="6" t="n">
        <f aca="false">IF(E172="CHAPA_AREA",K172*INDEX('03_MATERIALES'!$H$2:$H$42,MATCH(D172,'03_MATERIALES'!$A$2:$A$42,0))/p_aprovechamiento_chapa,IF(E172="PERFIL_LONGITUD",K172*INDEX('03_MATERIALES'!$H$2:$H$42,MATCH(D172,'03_MATERIALES'!$A$2:$A$42,0))/p_aprovechamiento_perfil,IF(E172="UNIDAD",F172*INDEX('03_MATERIALES'!$H$2:$H$42,MATCH(D172,'03_MATERIALES'!$A$2:$A$42,0)),"")))</f>
        <v>32.291875</v>
      </c>
      <c r="M172" s="12" t="str">
        <f aca="false">IF(N(J172)&gt;0,F172*J172/p_area_plancha_m2,"")</f>
        <v/>
      </c>
      <c r="N172" s="4" t="s">
        <v>30</v>
      </c>
    </row>
    <row r="173" customFormat="false" ht="15" hidden="false" customHeight="false" outlineLevel="0" collapsed="false">
      <c r="A173" s="4" t="s">
        <v>810</v>
      </c>
      <c r="B173" s="4" t="s">
        <v>434</v>
      </c>
      <c r="C173" s="4" t="s">
        <v>739</v>
      </c>
      <c r="D173" s="4" t="s">
        <v>489</v>
      </c>
      <c r="E173" s="4" t="s">
        <v>740</v>
      </c>
      <c r="F173" s="3" t="n">
        <v>1</v>
      </c>
      <c r="K173" s="12" t="str">
        <f aca="false">IF(E173="CHAPA_AREA",F173*J173*INDEX('03_MATERIALES'!$E$2:$E$42,MATCH(D173,'03_MATERIALES'!$A$2:$A$42,0))/1000*p_densidad_acero,IF(E173="PERFIL_LONGITUD",F173*I173*p_kg_por_m_perfil,""))</f>
        <v/>
      </c>
      <c r="L173" s="6" t="str">
        <f aca="false">IF(E173="CHAPA_AREA",K173*INDEX('03_MATERIALES'!$H$2:$H$42,MATCH(D173,'03_MATERIALES'!$A$2:$A$42,0))/p_aprovechamiento_chapa,IF(E173="PERFIL_LONGITUD",K173*INDEX('03_MATERIALES'!$H$2:$H$42,MATCH(D173,'03_MATERIALES'!$A$2:$A$42,0))/p_aprovechamiento_perfil,IF(E173="UNIDAD",F173*INDEX('03_MATERIALES'!$H$2:$H$42,MATCH(D173,'03_MATERIALES'!$A$2:$A$42,0)),"")))</f>
        <v/>
      </c>
      <c r="M173" s="12" t="str">
        <f aca="false">IF(N(J173)&gt;0,F173*J173/p_area_plancha_m2,"")</f>
        <v/>
      </c>
      <c r="N173" s="4" t="s">
        <v>30</v>
      </c>
    </row>
    <row r="174" customFormat="false" ht="15" hidden="false" customHeight="false" outlineLevel="0" collapsed="false">
      <c r="A174" s="4" t="s">
        <v>811</v>
      </c>
      <c r="B174" s="4" t="s">
        <v>434</v>
      </c>
      <c r="C174" s="4" t="s">
        <v>742</v>
      </c>
      <c r="D174" s="4" t="s">
        <v>483</v>
      </c>
      <c r="E174" s="4" t="s">
        <v>579</v>
      </c>
      <c r="F174" s="3" t="n">
        <v>8</v>
      </c>
      <c r="K174" s="12" t="str">
        <f aca="false">IF(E174="CHAPA_AREA",F174*J174*INDEX('03_MATERIALES'!$E$2:$E$42,MATCH(D174,'03_MATERIALES'!$A$2:$A$42,0))/1000*p_densidad_acero,IF(E174="PERFIL_LONGITUD",F174*I174*p_kg_por_m_perfil,""))</f>
        <v/>
      </c>
      <c r="L174" s="6" t="n">
        <f aca="false">IF(E174="CHAPA_AREA",K174*INDEX('03_MATERIALES'!$H$2:$H$42,MATCH(D174,'03_MATERIALES'!$A$2:$A$42,0))/p_aprovechamiento_chapa,IF(E174="PERFIL_LONGITUD",K174*INDEX('03_MATERIALES'!$H$2:$H$42,MATCH(D174,'03_MATERIALES'!$A$2:$A$42,0))/p_aprovechamiento_perfil,IF(E174="UNIDAD",F174*INDEX('03_MATERIALES'!$H$2:$H$42,MATCH(D174,'03_MATERIALES'!$A$2:$A$42,0)),"")))</f>
        <v>7.2</v>
      </c>
      <c r="M174" s="12" t="str">
        <f aca="false">IF(N(J174)&gt;0,F174*J174/p_area_plancha_m2,"")</f>
        <v/>
      </c>
      <c r="N174" s="4" t="s">
        <v>30</v>
      </c>
    </row>
    <row r="175" customFormat="false" ht="15" hidden="false" customHeight="false" outlineLevel="0" collapsed="false">
      <c r="A175" s="4" t="s">
        <v>812</v>
      </c>
      <c r="B175" s="4" t="s">
        <v>436</v>
      </c>
      <c r="C175" s="4" t="s">
        <v>737</v>
      </c>
      <c r="D175" s="4" t="s">
        <v>480</v>
      </c>
      <c r="E175" s="4" t="s">
        <v>567</v>
      </c>
      <c r="F175" s="3" t="n">
        <v>4</v>
      </c>
      <c r="I175" s="11" t="n">
        <v>0.847</v>
      </c>
      <c r="K175" s="12" t="n">
        <f aca="false">IF(E175="CHAPA_AREA",F175*J175*INDEX('03_MATERIALES'!$E$2:$E$42,MATCH(D175,'03_MATERIALES'!$A$2:$A$42,0))/1000*p_densidad_acero,IF(E175="PERFIL_LONGITUD",F175*I175*p_kg_por_m_perfil,""))</f>
        <v>5.082</v>
      </c>
      <c r="L175" s="6" t="n">
        <f aca="false">IF(E175="CHAPA_AREA",K175*INDEX('03_MATERIALES'!$H$2:$H$42,MATCH(D175,'03_MATERIALES'!$A$2:$A$42,0))/p_aprovechamiento_chapa,IF(E175="PERFIL_LONGITUD",K175*INDEX('03_MATERIALES'!$H$2:$H$42,MATCH(D175,'03_MATERIALES'!$A$2:$A$42,0))/p_aprovechamiento_perfil,IF(E175="UNIDAD",F175*INDEX('03_MATERIALES'!$H$2:$H$42,MATCH(D175,'03_MATERIALES'!$A$2:$A$42,0)),"")))</f>
        <v>32.291875</v>
      </c>
      <c r="M175" s="12" t="str">
        <f aca="false">IF(N(J175)&gt;0,F175*J175/p_area_plancha_m2,"")</f>
        <v/>
      </c>
      <c r="N175" s="4" t="s">
        <v>30</v>
      </c>
    </row>
    <row r="176" customFormat="false" ht="15" hidden="false" customHeight="false" outlineLevel="0" collapsed="false">
      <c r="A176" s="4" t="s">
        <v>813</v>
      </c>
      <c r="B176" s="4" t="s">
        <v>436</v>
      </c>
      <c r="C176" s="4" t="s">
        <v>739</v>
      </c>
      <c r="D176" s="4" t="s">
        <v>489</v>
      </c>
      <c r="E176" s="4" t="s">
        <v>740</v>
      </c>
      <c r="F176" s="3" t="n">
        <v>1</v>
      </c>
      <c r="K176" s="12" t="str">
        <f aca="false">IF(E176="CHAPA_AREA",F176*J176*INDEX('03_MATERIALES'!$E$2:$E$42,MATCH(D176,'03_MATERIALES'!$A$2:$A$42,0))/1000*p_densidad_acero,IF(E176="PERFIL_LONGITUD",F176*I176*p_kg_por_m_perfil,""))</f>
        <v/>
      </c>
      <c r="L176" s="6" t="str">
        <f aca="false">IF(E176="CHAPA_AREA",K176*INDEX('03_MATERIALES'!$H$2:$H$42,MATCH(D176,'03_MATERIALES'!$A$2:$A$42,0))/p_aprovechamiento_chapa,IF(E176="PERFIL_LONGITUD",K176*INDEX('03_MATERIALES'!$H$2:$H$42,MATCH(D176,'03_MATERIALES'!$A$2:$A$42,0))/p_aprovechamiento_perfil,IF(E176="UNIDAD",F176*INDEX('03_MATERIALES'!$H$2:$H$42,MATCH(D176,'03_MATERIALES'!$A$2:$A$42,0)),"")))</f>
        <v/>
      </c>
      <c r="M176" s="12" t="str">
        <f aca="false">IF(N(J176)&gt;0,F176*J176/p_area_plancha_m2,"")</f>
        <v/>
      </c>
      <c r="N176" s="4" t="s">
        <v>30</v>
      </c>
    </row>
    <row r="177" customFormat="false" ht="15" hidden="false" customHeight="false" outlineLevel="0" collapsed="false">
      <c r="A177" s="4" t="s">
        <v>814</v>
      </c>
      <c r="B177" s="4" t="s">
        <v>436</v>
      </c>
      <c r="C177" s="4" t="s">
        <v>742</v>
      </c>
      <c r="D177" s="4" t="s">
        <v>483</v>
      </c>
      <c r="E177" s="4" t="s">
        <v>579</v>
      </c>
      <c r="F177" s="3" t="n">
        <v>8</v>
      </c>
      <c r="K177" s="12" t="str">
        <f aca="false">IF(E177="CHAPA_AREA",F177*J177*INDEX('03_MATERIALES'!$E$2:$E$42,MATCH(D177,'03_MATERIALES'!$A$2:$A$42,0))/1000*p_densidad_acero,IF(E177="PERFIL_LONGITUD",F177*I177*p_kg_por_m_perfil,""))</f>
        <v/>
      </c>
      <c r="L177" s="6" t="n">
        <f aca="false">IF(E177="CHAPA_AREA",K177*INDEX('03_MATERIALES'!$H$2:$H$42,MATCH(D177,'03_MATERIALES'!$A$2:$A$42,0))/p_aprovechamiento_chapa,IF(E177="PERFIL_LONGITUD",K177*INDEX('03_MATERIALES'!$H$2:$H$42,MATCH(D177,'03_MATERIALES'!$A$2:$A$42,0))/p_aprovechamiento_perfil,IF(E177="UNIDAD",F177*INDEX('03_MATERIALES'!$H$2:$H$42,MATCH(D177,'03_MATERIALES'!$A$2:$A$42,0)),"")))</f>
        <v>7.2</v>
      </c>
      <c r="M177" s="12" t="str">
        <f aca="false">IF(N(J177)&gt;0,F177*J177/p_area_plancha_m2,"")</f>
        <v/>
      </c>
      <c r="N177" s="4" t="s">
        <v>30</v>
      </c>
    </row>
    <row r="178" customFormat="false" ht="15" hidden="false" customHeight="false" outlineLevel="0" collapsed="false">
      <c r="A178" s="4" t="s">
        <v>815</v>
      </c>
      <c r="B178" s="4" t="s">
        <v>438</v>
      </c>
      <c r="C178" s="4" t="s">
        <v>766</v>
      </c>
      <c r="D178" s="4" t="s">
        <v>480</v>
      </c>
      <c r="E178" s="4" t="s">
        <v>567</v>
      </c>
      <c r="F178" s="3" t="n">
        <v>4</v>
      </c>
      <c r="I178" s="11" t="n">
        <v>0.7296</v>
      </c>
      <c r="K178" s="12" t="n">
        <f aca="false">IF(E178="CHAPA_AREA",F178*J178*INDEX('03_MATERIALES'!$E$2:$E$42,MATCH(D178,'03_MATERIALES'!$A$2:$A$42,0))/1000*p_densidad_acero,IF(E178="PERFIL_LONGITUD",F178*I178*p_kg_por_m_perfil,""))</f>
        <v>4.3776</v>
      </c>
      <c r="L178" s="6" t="n">
        <f aca="false">IF(E178="CHAPA_AREA",K178*INDEX('03_MATERIALES'!$H$2:$H$42,MATCH(D178,'03_MATERIALES'!$A$2:$A$42,0))/p_aprovechamiento_chapa,IF(E178="PERFIL_LONGITUD",K178*INDEX('03_MATERIALES'!$H$2:$H$42,MATCH(D178,'03_MATERIALES'!$A$2:$A$42,0))/p_aprovechamiento_perfil,IF(E178="UNIDAD",F178*INDEX('03_MATERIALES'!$H$2:$H$42,MATCH(D178,'03_MATERIALES'!$A$2:$A$42,0)),"")))</f>
        <v>27.816</v>
      </c>
      <c r="M178" s="12" t="str">
        <f aca="false">IF(N(J178)&gt;0,F178*J178/p_area_plancha_m2,"")</f>
        <v/>
      </c>
      <c r="N178" s="4" t="s">
        <v>30</v>
      </c>
    </row>
    <row r="179" customFormat="false" ht="15" hidden="false" customHeight="false" outlineLevel="0" collapsed="false">
      <c r="A179" s="4" t="s">
        <v>816</v>
      </c>
      <c r="B179" s="4" t="s">
        <v>438</v>
      </c>
      <c r="C179" s="4" t="s">
        <v>768</v>
      </c>
      <c r="D179" s="4" t="s">
        <v>480</v>
      </c>
      <c r="E179" s="4" t="s">
        <v>567</v>
      </c>
      <c r="F179" s="3" t="n">
        <v>4</v>
      </c>
      <c r="I179" s="11" t="n">
        <v>1.062</v>
      </c>
      <c r="K179" s="12" t="n">
        <f aca="false">IF(E179="CHAPA_AREA",F179*J179*INDEX('03_MATERIALES'!$E$2:$E$42,MATCH(D179,'03_MATERIALES'!$A$2:$A$42,0))/1000*p_densidad_acero,IF(E179="PERFIL_LONGITUD",F179*I179*p_kg_por_m_perfil,""))</f>
        <v>6.372</v>
      </c>
      <c r="L179" s="6" t="n">
        <f aca="false">IF(E179="CHAPA_AREA",K179*INDEX('03_MATERIALES'!$H$2:$H$42,MATCH(D179,'03_MATERIALES'!$A$2:$A$42,0))/p_aprovechamiento_chapa,IF(E179="PERFIL_LONGITUD",K179*INDEX('03_MATERIALES'!$H$2:$H$42,MATCH(D179,'03_MATERIALES'!$A$2:$A$42,0))/p_aprovechamiento_perfil,IF(E179="UNIDAD",F179*INDEX('03_MATERIALES'!$H$2:$H$42,MATCH(D179,'03_MATERIALES'!$A$2:$A$42,0)),"")))</f>
        <v>40.48875</v>
      </c>
      <c r="M179" s="12" t="str">
        <f aca="false">IF(N(J179)&gt;0,F179*J179/p_area_plancha_m2,"")</f>
        <v/>
      </c>
      <c r="N179" s="4" t="s">
        <v>30</v>
      </c>
    </row>
    <row r="180" customFormat="false" ht="15" hidden="false" customHeight="false" outlineLevel="0" collapsed="false">
      <c r="A180" s="4" t="s">
        <v>817</v>
      </c>
      <c r="B180" s="4" t="s">
        <v>438</v>
      </c>
      <c r="C180" s="4" t="s">
        <v>818</v>
      </c>
      <c r="D180" s="4" t="s">
        <v>486</v>
      </c>
      <c r="E180" s="4" t="s">
        <v>740</v>
      </c>
      <c r="F180" s="3" t="n">
        <v>1</v>
      </c>
      <c r="G180" s="8" t="n">
        <v>1132.8</v>
      </c>
      <c r="H180" s="8" t="n">
        <v>576</v>
      </c>
      <c r="J180" s="14" t="n">
        <f aca="false">G180*H180/1000000</f>
        <v>0.6524928</v>
      </c>
      <c r="K180" s="12" t="str">
        <f aca="false">IF(E180="CHAPA_AREA",F180*J180*INDEX('03_MATERIALES'!$E$2:$E$42,MATCH(D180,'03_MATERIALES'!$A$2:$A$42,0))/1000*p_densidad_acero,IF(E180="PERFIL_LONGITUD",F180*I180*p_kg_por_m_perfil,""))</f>
        <v/>
      </c>
      <c r="L180" s="6" t="str">
        <f aca="false">IF(E180="CHAPA_AREA",K180*INDEX('03_MATERIALES'!$H$2:$H$42,MATCH(D180,'03_MATERIALES'!$A$2:$A$42,0))/p_aprovechamiento_chapa,IF(E180="PERFIL_LONGITUD",K180*INDEX('03_MATERIALES'!$H$2:$H$42,MATCH(D180,'03_MATERIALES'!$A$2:$A$42,0))/p_aprovechamiento_perfil,IF(E180="UNIDAD",F180*INDEX('03_MATERIALES'!$H$2:$H$42,MATCH(D180,'03_MATERIALES'!$A$2:$A$42,0)),"")))</f>
        <v/>
      </c>
      <c r="M180" s="12" t="n">
        <f aca="false">IF(N(J180)&gt;0,F180*J180/p_area_plancha_m2,"")</f>
        <v>0.22656</v>
      </c>
      <c r="N180" s="4" t="s">
        <v>30</v>
      </c>
    </row>
    <row r="181" customFormat="false" ht="15" hidden="false" customHeight="false" outlineLevel="0" collapsed="false">
      <c r="A181" s="4" t="s">
        <v>819</v>
      </c>
      <c r="B181" s="4" t="s">
        <v>438</v>
      </c>
      <c r="C181" s="4" t="s">
        <v>772</v>
      </c>
      <c r="D181" s="4" t="s">
        <v>483</v>
      </c>
      <c r="E181" s="4" t="s">
        <v>579</v>
      </c>
      <c r="F181" s="3" t="n">
        <v>12</v>
      </c>
      <c r="K181" s="12" t="str">
        <f aca="false">IF(E181="CHAPA_AREA",F181*J181*INDEX('03_MATERIALES'!$E$2:$E$42,MATCH(D181,'03_MATERIALES'!$A$2:$A$42,0))/1000*p_densidad_acero,IF(E181="PERFIL_LONGITUD",F181*I181*p_kg_por_m_perfil,""))</f>
        <v/>
      </c>
      <c r="L181" s="6" t="n">
        <f aca="false">IF(E181="CHAPA_AREA",K181*INDEX('03_MATERIALES'!$H$2:$H$42,MATCH(D181,'03_MATERIALES'!$A$2:$A$42,0))/p_aprovechamiento_chapa,IF(E181="PERFIL_LONGITUD",K181*INDEX('03_MATERIALES'!$H$2:$H$42,MATCH(D181,'03_MATERIALES'!$A$2:$A$42,0))/p_aprovechamiento_perfil,IF(E181="UNIDAD",F181*INDEX('03_MATERIALES'!$H$2:$H$42,MATCH(D181,'03_MATERIALES'!$A$2:$A$42,0)),"")))</f>
        <v>10.8</v>
      </c>
      <c r="M181" s="12" t="str">
        <f aca="false">IF(N(J181)&gt;0,F181*J181/p_area_plancha_m2,"")</f>
        <v/>
      </c>
      <c r="N181" s="4" t="s">
        <v>30</v>
      </c>
    </row>
    <row r="182" customFormat="false" ht="15" hidden="false" customHeight="false" outlineLevel="0" collapsed="false">
      <c r="A182" s="4" t="s">
        <v>820</v>
      </c>
      <c r="B182" s="4" t="s">
        <v>441</v>
      </c>
      <c r="C182" s="4" t="s">
        <v>766</v>
      </c>
      <c r="D182" s="4" t="s">
        <v>480</v>
      </c>
      <c r="E182" s="4" t="s">
        <v>567</v>
      </c>
      <c r="F182" s="3" t="n">
        <v>4</v>
      </c>
      <c r="I182" s="11" t="n">
        <v>1.344</v>
      </c>
      <c r="K182" s="12" t="n">
        <f aca="false">IF(E182="CHAPA_AREA",F182*J182*INDEX('03_MATERIALES'!$E$2:$E$42,MATCH(D182,'03_MATERIALES'!$A$2:$A$42,0))/1000*p_densidad_acero,IF(E182="PERFIL_LONGITUD",F182*I182*p_kg_por_m_perfil,""))</f>
        <v>8.064</v>
      </c>
      <c r="L182" s="6" t="n">
        <f aca="false">IF(E182="CHAPA_AREA",K182*INDEX('03_MATERIALES'!$H$2:$H$42,MATCH(D182,'03_MATERIALES'!$A$2:$A$42,0))/p_aprovechamiento_chapa,IF(E182="PERFIL_LONGITUD",K182*INDEX('03_MATERIALES'!$H$2:$H$42,MATCH(D182,'03_MATERIALES'!$A$2:$A$42,0))/p_aprovechamiento_perfil,IF(E182="UNIDAD",F182*INDEX('03_MATERIALES'!$H$2:$H$42,MATCH(D182,'03_MATERIALES'!$A$2:$A$42,0)),"")))</f>
        <v>51.24</v>
      </c>
      <c r="M182" s="12" t="str">
        <f aca="false">IF(N(J182)&gt;0,F182*J182/p_area_plancha_m2,"")</f>
        <v/>
      </c>
      <c r="N182" s="4" t="s">
        <v>30</v>
      </c>
    </row>
    <row r="183" customFormat="false" ht="15" hidden="false" customHeight="false" outlineLevel="0" collapsed="false">
      <c r="A183" s="4" t="s">
        <v>821</v>
      </c>
      <c r="B183" s="4" t="s">
        <v>441</v>
      </c>
      <c r="C183" s="4" t="s">
        <v>768</v>
      </c>
      <c r="D183" s="4" t="s">
        <v>480</v>
      </c>
      <c r="E183" s="4" t="s">
        <v>567</v>
      </c>
      <c r="F183" s="3" t="n">
        <v>4</v>
      </c>
      <c r="I183" s="11" t="n">
        <v>0.972</v>
      </c>
      <c r="K183" s="12" t="n">
        <f aca="false">IF(E183="CHAPA_AREA",F183*J183*INDEX('03_MATERIALES'!$E$2:$E$42,MATCH(D183,'03_MATERIALES'!$A$2:$A$42,0))/1000*p_densidad_acero,IF(E183="PERFIL_LONGITUD",F183*I183*p_kg_por_m_perfil,""))</f>
        <v>5.832</v>
      </c>
      <c r="L183" s="6" t="n">
        <f aca="false">IF(E183="CHAPA_AREA",K183*INDEX('03_MATERIALES'!$H$2:$H$42,MATCH(D183,'03_MATERIALES'!$A$2:$A$42,0))/p_aprovechamiento_chapa,IF(E183="PERFIL_LONGITUD",K183*INDEX('03_MATERIALES'!$H$2:$H$42,MATCH(D183,'03_MATERIALES'!$A$2:$A$42,0))/p_aprovechamiento_perfil,IF(E183="UNIDAD",F183*INDEX('03_MATERIALES'!$H$2:$H$42,MATCH(D183,'03_MATERIALES'!$A$2:$A$42,0)),"")))</f>
        <v>37.0575</v>
      </c>
      <c r="M183" s="12" t="str">
        <f aca="false">IF(N(J183)&gt;0,F183*J183/p_area_plancha_m2,"")</f>
        <v/>
      </c>
      <c r="N183" s="4" t="s">
        <v>30</v>
      </c>
    </row>
    <row r="184" customFormat="false" ht="15" hidden="false" customHeight="false" outlineLevel="0" collapsed="false">
      <c r="A184" s="4" t="s">
        <v>822</v>
      </c>
      <c r="B184" s="4" t="s">
        <v>441</v>
      </c>
      <c r="C184" s="4" t="s">
        <v>818</v>
      </c>
      <c r="D184" s="4" t="s">
        <v>486</v>
      </c>
      <c r="E184" s="4" t="s">
        <v>740</v>
      </c>
      <c r="F184" s="3" t="n">
        <v>1</v>
      </c>
      <c r="G184" s="8" t="n">
        <v>1036.8</v>
      </c>
      <c r="H184" s="8" t="n">
        <v>595.2</v>
      </c>
      <c r="J184" s="14" t="n">
        <f aca="false">G184*H184/1000000</f>
        <v>0.61710336</v>
      </c>
      <c r="K184" s="12" t="str">
        <f aca="false">IF(E184="CHAPA_AREA",F184*J184*INDEX('03_MATERIALES'!$E$2:$E$42,MATCH(D184,'03_MATERIALES'!$A$2:$A$42,0))/1000*p_densidad_acero,IF(E184="PERFIL_LONGITUD",F184*I184*p_kg_por_m_perfil,""))</f>
        <v/>
      </c>
      <c r="L184" s="6" t="str">
        <f aca="false">IF(E184="CHAPA_AREA",K184*INDEX('03_MATERIALES'!$H$2:$H$42,MATCH(D184,'03_MATERIALES'!$A$2:$A$42,0))/p_aprovechamiento_chapa,IF(E184="PERFIL_LONGITUD",K184*INDEX('03_MATERIALES'!$H$2:$H$42,MATCH(D184,'03_MATERIALES'!$A$2:$A$42,0))/p_aprovechamiento_perfil,IF(E184="UNIDAD",F184*INDEX('03_MATERIALES'!$H$2:$H$42,MATCH(D184,'03_MATERIALES'!$A$2:$A$42,0)),"")))</f>
        <v/>
      </c>
      <c r="M184" s="12" t="n">
        <f aca="false">IF(N(J184)&gt;0,F184*J184/p_area_plancha_m2,"")</f>
        <v>0.214272</v>
      </c>
      <c r="N184" s="4" t="s">
        <v>30</v>
      </c>
    </row>
    <row r="185" customFormat="false" ht="15" hidden="false" customHeight="false" outlineLevel="0" collapsed="false">
      <c r="A185" s="4" t="s">
        <v>823</v>
      </c>
      <c r="B185" s="4" t="s">
        <v>441</v>
      </c>
      <c r="C185" s="4" t="s">
        <v>772</v>
      </c>
      <c r="D185" s="4" t="s">
        <v>483</v>
      </c>
      <c r="E185" s="4" t="s">
        <v>579</v>
      </c>
      <c r="F185" s="3" t="n">
        <v>12</v>
      </c>
      <c r="K185" s="12" t="str">
        <f aca="false">IF(E185="CHAPA_AREA",F185*J185*INDEX('03_MATERIALES'!$E$2:$E$42,MATCH(D185,'03_MATERIALES'!$A$2:$A$42,0))/1000*p_densidad_acero,IF(E185="PERFIL_LONGITUD",F185*I185*p_kg_por_m_perfil,""))</f>
        <v/>
      </c>
      <c r="L185" s="6" t="n">
        <f aca="false">IF(E185="CHAPA_AREA",K185*INDEX('03_MATERIALES'!$H$2:$H$42,MATCH(D185,'03_MATERIALES'!$A$2:$A$42,0))/p_aprovechamiento_chapa,IF(E185="PERFIL_LONGITUD",K185*INDEX('03_MATERIALES'!$H$2:$H$42,MATCH(D185,'03_MATERIALES'!$A$2:$A$42,0))/p_aprovechamiento_perfil,IF(E185="UNIDAD",F185*INDEX('03_MATERIALES'!$H$2:$H$42,MATCH(D185,'03_MATERIALES'!$A$2:$A$42,0)),"")))</f>
        <v>10.8</v>
      </c>
      <c r="M185" s="12" t="str">
        <f aca="false">IF(N(J185)&gt;0,F185*J185/p_area_plancha_m2,"")</f>
        <v/>
      </c>
      <c r="N185" s="4" t="s">
        <v>30</v>
      </c>
    </row>
    <row r="186" customFormat="false" ht="15" hidden="false" customHeight="false" outlineLevel="0" collapsed="false">
      <c r="A186" s="4" t="s">
        <v>824</v>
      </c>
      <c r="B186" s="4" t="s">
        <v>443</v>
      </c>
      <c r="C186" s="4" t="s">
        <v>737</v>
      </c>
      <c r="D186" s="4" t="s">
        <v>480</v>
      </c>
      <c r="E186" s="4" t="s">
        <v>567</v>
      </c>
      <c r="F186" s="3" t="n">
        <v>4</v>
      </c>
      <c r="I186" s="11" t="n">
        <v>0.847</v>
      </c>
      <c r="K186" s="12" t="n">
        <f aca="false">IF(E186="CHAPA_AREA",F186*J186*INDEX('03_MATERIALES'!$E$2:$E$42,MATCH(D186,'03_MATERIALES'!$A$2:$A$42,0))/1000*p_densidad_acero,IF(E186="PERFIL_LONGITUD",F186*I186*p_kg_por_m_perfil,""))</f>
        <v>5.082</v>
      </c>
      <c r="L186" s="6" t="n">
        <f aca="false">IF(E186="CHAPA_AREA",K186*INDEX('03_MATERIALES'!$H$2:$H$42,MATCH(D186,'03_MATERIALES'!$A$2:$A$42,0))/p_aprovechamiento_chapa,IF(E186="PERFIL_LONGITUD",K186*INDEX('03_MATERIALES'!$H$2:$H$42,MATCH(D186,'03_MATERIALES'!$A$2:$A$42,0))/p_aprovechamiento_perfil,IF(E186="UNIDAD",F186*INDEX('03_MATERIALES'!$H$2:$H$42,MATCH(D186,'03_MATERIALES'!$A$2:$A$42,0)),"")))</f>
        <v>32.291875</v>
      </c>
      <c r="M186" s="12" t="str">
        <f aca="false">IF(N(J186)&gt;0,F186*J186/p_area_plancha_m2,"")</f>
        <v/>
      </c>
      <c r="N186" s="4" t="s">
        <v>30</v>
      </c>
    </row>
    <row r="187" customFormat="false" ht="15" hidden="false" customHeight="false" outlineLevel="0" collapsed="false">
      <c r="A187" s="4" t="s">
        <v>825</v>
      </c>
      <c r="B187" s="4" t="s">
        <v>443</v>
      </c>
      <c r="C187" s="4" t="s">
        <v>739</v>
      </c>
      <c r="D187" s="4" t="s">
        <v>489</v>
      </c>
      <c r="E187" s="4" t="s">
        <v>740</v>
      </c>
      <c r="F187" s="3" t="n">
        <v>1</v>
      </c>
      <c r="K187" s="12" t="str">
        <f aca="false">IF(E187="CHAPA_AREA",F187*J187*INDEX('03_MATERIALES'!$E$2:$E$42,MATCH(D187,'03_MATERIALES'!$A$2:$A$42,0))/1000*p_densidad_acero,IF(E187="PERFIL_LONGITUD",F187*I187*p_kg_por_m_perfil,""))</f>
        <v/>
      </c>
      <c r="L187" s="6" t="str">
        <f aca="false">IF(E187="CHAPA_AREA",K187*INDEX('03_MATERIALES'!$H$2:$H$42,MATCH(D187,'03_MATERIALES'!$A$2:$A$42,0))/p_aprovechamiento_chapa,IF(E187="PERFIL_LONGITUD",K187*INDEX('03_MATERIALES'!$H$2:$H$42,MATCH(D187,'03_MATERIALES'!$A$2:$A$42,0))/p_aprovechamiento_perfil,IF(E187="UNIDAD",F187*INDEX('03_MATERIALES'!$H$2:$H$42,MATCH(D187,'03_MATERIALES'!$A$2:$A$42,0)),"")))</f>
        <v/>
      </c>
      <c r="M187" s="12" t="str">
        <f aca="false">IF(N(J187)&gt;0,F187*J187/p_area_plancha_m2,"")</f>
        <v/>
      </c>
      <c r="N187" s="4" t="s">
        <v>30</v>
      </c>
    </row>
    <row r="188" customFormat="false" ht="15" hidden="false" customHeight="false" outlineLevel="0" collapsed="false">
      <c r="A188" s="4" t="s">
        <v>826</v>
      </c>
      <c r="B188" s="4" t="s">
        <v>443</v>
      </c>
      <c r="C188" s="4" t="s">
        <v>742</v>
      </c>
      <c r="D188" s="4" t="s">
        <v>483</v>
      </c>
      <c r="E188" s="4" t="s">
        <v>579</v>
      </c>
      <c r="F188" s="3" t="n">
        <v>8</v>
      </c>
      <c r="K188" s="12" t="str">
        <f aca="false">IF(E188="CHAPA_AREA",F188*J188*INDEX('03_MATERIALES'!$E$2:$E$42,MATCH(D188,'03_MATERIALES'!$A$2:$A$42,0))/1000*p_densidad_acero,IF(E188="PERFIL_LONGITUD",F188*I188*p_kg_por_m_perfil,""))</f>
        <v/>
      </c>
      <c r="L188" s="6" t="n">
        <f aca="false">IF(E188="CHAPA_AREA",K188*INDEX('03_MATERIALES'!$H$2:$H$42,MATCH(D188,'03_MATERIALES'!$A$2:$A$42,0))/p_aprovechamiento_chapa,IF(E188="PERFIL_LONGITUD",K188*INDEX('03_MATERIALES'!$H$2:$H$42,MATCH(D188,'03_MATERIALES'!$A$2:$A$42,0))/p_aprovechamiento_perfil,IF(E188="UNIDAD",F188*INDEX('03_MATERIALES'!$H$2:$H$42,MATCH(D188,'03_MATERIALES'!$A$2:$A$42,0)),"")))</f>
        <v>7.2</v>
      </c>
      <c r="M188" s="12" t="str">
        <f aca="false">IF(N(J188)&gt;0,F188*J188/p_area_plancha_m2,"")</f>
        <v/>
      </c>
      <c r="N188" s="4" t="s">
        <v>30</v>
      </c>
    </row>
    <row r="189" customFormat="false" ht="15" hidden="false" customHeight="false" outlineLevel="0" collapsed="false">
      <c r="A189" s="4" t="s">
        <v>827</v>
      </c>
      <c r="B189" s="4" t="s">
        <v>445</v>
      </c>
      <c r="C189" s="4" t="s">
        <v>766</v>
      </c>
      <c r="D189" s="4" t="s">
        <v>480</v>
      </c>
      <c r="E189" s="4" t="s">
        <v>567</v>
      </c>
      <c r="F189" s="3" t="n">
        <v>4</v>
      </c>
      <c r="I189" s="11" t="n">
        <v>1.68</v>
      </c>
      <c r="K189" s="12" t="n">
        <f aca="false">IF(E189="CHAPA_AREA",F189*J189*INDEX('03_MATERIALES'!$E$2:$E$42,MATCH(D189,'03_MATERIALES'!$A$2:$A$42,0))/1000*p_densidad_acero,IF(E189="PERFIL_LONGITUD",F189*I189*p_kg_por_m_perfil,""))</f>
        <v>10.08</v>
      </c>
      <c r="L189" s="6" t="n">
        <f aca="false">IF(E189="CHAPA_AREA",K189*INDEX('03_MATERIALES'!$H$2:$H$42,MATCH(D189,'03_MATERIALES'!$A$2:$A$42,0))/p_aprovechamiento_chapa,IF(E189="PERFIL_LONGITUD",K189*INDEX('03_MATERIALES'!$H$2:$H$42,MATCH(D189,'03_MATERIALES'!$A$2:$A$42,0))/p_aprovechamiento_perfil,IF(E189="UNIDAD",F189*INDEX('03_MATERIALES'!$H$2:$H$42,MATCH(D189,'03_MATERIALES'!$A$2:$A$42,0)),"")))</f>
        <v>64.05</v>
      </c>
      <c r="M189" s="12" t="str">
        <f aca="false">IF(N(J189)&gt;0,F189*J189/p_area_plancha_m2,"")</f>
        <v/>
      </c>
      <c r="N189" s="4" t="s">
        <v>30</v>
      </c>
    </row>
    <row r="190" customFormat="false" ht="15" hidden="false" customHeight="false" outlineLevel="0" collapsed="false">
      <c r="A190" s="4" t="s">
        <v>828</v>
      </c>
      <c r="B190" s="4" t="s">
        <v>445</v>
      </c>
      <c r="C190" s="4" t="s">
        <v>768</v>
      </c>
      <c r="D190" s="4" t="s">
        <v>480</v>
      </c>
      <c r="E190" s="4" t="s">
        <v>567</v>
      </c>
      <c r="F190" s="3" t="n">
        <v>4</v>
      </c>
      <c r="I190" s="11" t="n">
        <v>0.945</v>
      </c>
      <c r="K190" s="12" t="n">
        <f aca="false">IF(E190="CHAPA_AREA",F190*J190*INDEX('03_MATERIALES'!$E$2:$E$42,MATCH(D190,'03_MATERIALES'!$A$2:$A$42,0))/1000*p_densidad_acero,IF(E190="PERFIL_LONGITUD",F190*I190*p_kg_por_m_perfil,""))</f>
        <v>5.67</v>
      </c>
      <c r="L190" s="6" t="n">
        <f aca="false">IF(E190="CHAPA_AREA",K190*INDEX('03_MATERIALES'!$H$2:$H$42,MATCH(D190,'03_MATERIALES'!$A$2:$A$42,0))/p_aprovechamiento_chapa,IF(E190="PERFIL_LONGITUD",K190*INDEX('03_MATERIALES'!$H$2:$H$42,MATCH(D190,'03_MATERIALES'!$A$2:$A$42,0))/p_aprovechamiento_perfil,IF(E190="UNIDAD",F190*INDEX('03_MATERIALES'!$H$2:$H$42,MATCH(D190,'03_MATERIALES'!$A$2:$A$42,0)),"")))</f>
        <v>36.028125</v>
      </c>
      <c r="M190" s="12" t="str">
        <f aca="false">IF(N(J190)&gt;0,F190*J190/p_area_plancha_m2,"")</f>
        <v/>
      </c>
      <c r="N190" s="4" t="s">
        <v>30</v>
      </c>
    </row>
    <row r="191" customFormat="false" ht="15" hidden="false" customHeight="false" outlineLevel="0" collapsed="false">
      <c r="A191" s="4" t="s">
        <v>829</v>
      </c>
      <c r="B191" s="4" t="s">
        <v>445</v>
      </c>
      <c r="C191" s="4" t="s">
        <v>830</v>
      </c>
      <c r="D191" s="4" t="s">
        <v>489</v>
      </c>
      <c r="E191" s="4" t="s">
        <v>740</v>
      </c>
      <c r="F191" s="3" t="n">
        <v>2</v>
      </c>
      <c r="K191" s="12" t="str">
        <f aca="false">IF(E191="CHAPA_AREA",F191*J191*INDEX('03_MATERIALES'!$E$2:$E$42,MATCH(D191,'03_MATERIALES'!$A$2:$A$42,0))/1000*p_densidad_acero,IF(E191="PERFIL_LONGITUD",F191*I191*p_kg_por_m_perfil,""))</f>
        <v/>
      </c>
      <c r="L191" s="6" t="str">
        <f aca="false">IF(E191="CHAPA_AREA",K191*INDEX('03_MATERIALES'!$H$2:$H$42,MATCH(D191,'03_MATERIALES'!$A$2:$A$42,0))/p_aprovechamiento_chapa,IF(E191="PERFIL_LONGITUD",K191*INDEX('03_MATERIALES'!$H$2:$H$42,MATCH(D191,'03_MATERIALES'!$A$2:$A$42,0))/p_aprovechamiento_perfil,IF(E191="UNIDAD",F191*INDEX('03_MATERIALES'!$H$2:$H$42,MATCH(D191,'03_MATERIALES'!$A$2:$A$42,0)),"")))</f>
        <v/>
      </c>
      <c r="M191" s="12" t="str">
        <f aca="false">IF(N(J191)&gt;0,F191*J191/p_area_plancha_m2,"")</f>
        <v/>
      </c>
      <c r="N191" s="4" t="s">
        <v>30</v>
      </c>
    </row>
    <row r="192" customFormat="false" ht="15" hidden="false" customHeight="false" outlineLevel="0" collapsed="false">
      <c r="A192" s="4" t="s">
        <v>831</v>
      </c>
      <c r="B192" s="4" t="s">
        <v>445</v>
      </c>
      <c r="C192" s="4" t="s">
        <v>772</v>
      </c>
      <c r="D192" s="4" t="s">
        <v>483</v>
      </c>
      <c r="E192" s="4" t="s">
        <v>579</v>
      </c>
      <c r="F192" s="3" t="n">
        <v>12</v>
      </c>
      <c r="K192" s="12" t="str">
        <f aca="false">IF(E192="CHAPA_AREA",F192*J192*INDEX('03_MATERIALES'!$E$2:$E$42,MATCH(D192,'03_MATERIALES'!$A$2:$A$42,0))/1000*p_densidad_acero,IF(E192="PERFIL_LONGITUD",F192*I192*p_kg_por_m_perfil,""))</f>
        <v/>
      </c>
      <c r="L192" s="6" t="n">
        <f aca="false">IF(E192="CHAPA_AREA",K192*INDEX('03_MATERIALES'!$H$2:$H$42,MATCH(D192,'03_MATERIALES'!$A$2:$A$42,0))/p_aprovechamiento_chapa,IF(E192="PERFIL_LONGITUD",K192*INDEX('03_MATERIALES'!$H$2:$H$42,MATCH(D192,'03_MATERIALES'!$A$2:$A$42,0))/p_aprovechamiento_perfil,IF(E192="UNIDAD",F192*INDEX('03_MATERIALES'!$H$2:$H$42,MATCH(D192,'03_MATERIALES'!$A$2:$A$42,0)),"")))</f>
        <v>10.8</v>
      </c>
      <c r="M192" s="12" t="str">
        <f aca="false">IF(N(J192)&gt;0,F192*J192/p_area_plancha_m2,"")</f>
        <v/>
      </c>
      <c r="N192" s="4" t="s">
        <v>30</v>
      </c>
    </row>
    <row r="193" customFormat="false" ht="15" hidden="false" customHeight="false" outlineLevel="0" collapsed="false">
      <c r="A193" s="4" t="s">
        <v>832</v>
      </c>
      <c r="B193" s="4" t="s">
        <v>448</v>
      </c>
      <c r="C193" s="4" t="s">
        <v>766</v>
      </c>
      <c r="D193" s="4" t="s">
        <v>480</v>
      </c>
      <c r="E193" s="4" t="s">
        <v>567</v>
      </c>
      <c r="F193" s="3" t="n">
        <v>4</v>
      </c>
      <c r="I193" s="11" t="n">
        <v>0.4032</v>
      </c>
      <c r="K193" s="12" t="n">
        <f aca="false">IF(E193="CHAPA_AREA",F193*J193*INDEX('03_MATERIALES'!$E$2:$E$42,MATCH(D193,'03_MATERIALES'!$A$2:$A$42,0))/1000*p_densidad_acero,IF(E193="PERFIL_LONGITUD",F193*I193*p_kg_por_m_perfil,""))</f>
        <v>2.4192</v>
      </c>
      <c r="L193" s="6" t="n">
        <f aca="false">IF(E193="CHAPA_AREA",K193*INDEX('03_MATERIALES'!$H$2:$H$42,MATCH(D193,'03_MATERIALES'!$A$2:$A$42,0))/p_aprovechamiento_chapa,IF(E193="PERFIL_LONGITUD",K193*INDEX('03_MATERIALES'!$H$2:$H$42,MATCH(D193,'03_MATERIALES'!$A$2:$A$42,0))/p_aprovechamiento_perfil,IF(E193="UNIDAD",F193*INDEX('03_MATERIALES'!$H$2:$H$42,MATCH(D193,'03_MATERIALES'!$A$2:$A$42,0)),"")))</f>
        <v>15.372</v>
      </c>
      <c r="M193" s="12" t="str">
        <f aca="false">IF(N(J193)&gt;0,F193*J193/p_area_plancha_m2,"")</f>
        <v/>
      </c>
      <c r="N193" s="4" t="s">
        <v>30</v>
      </c>
    </row>
    <row r="194" customFormat="false" ht="15" hidden="false" customHeight="false" outlineLevel="0" collapsed="false">
      <c r="A194" s="4" t="s">
        <v>833</v>
      </c>
      <c r="B194" s="4" t="s">
        <v>448</v>
      </c>
      <c r="C194" s="4" t="s">
        <v>768</v>
      </c>
      <c r="D194" s="4" t="s">
        <v>480</v>
      </c>
      <c r="E194" s="4" t="s">
        <v>567</v>
      </c>
      <c r="F194" s="3" t="n">
        <v>4</v>
      </c>
      <c r="I194" s="11" t="n">
        <v>0.945</v>
      </c>
      <c r="K194" s="12" t="n">
        <f aca="false">IF(E194="CHAPA_AREA",F194*J194*INDEX('03_MATERIALES'!$E$2:$E$42,MATCH(D194,'03_MATERIALES'!$A$2:$A$42,0))/1000*p_densidad_acero,IF(E194="PERFIL_LONGITUD",F194*I194*p_kg_por_m_perfil,""))</f>
        <v>5.67</v>
      </c>
      <c r="L194" s="6" t="n">
        <f aca="false">IF(E194="CHAPA_AREA",K194*INDEX('03_MATERIALES'!$H$2:$H$42,MATCH(D194,'03_MATERIALES'!$A$2:$A$42,0))/p_aprovechamiento_chapa,IF(E194="PERFIL_LONGITUD",K194*INDEX('03_MATERIALES'!$H$2:$H$42,MATCH(D194,'03_MATERIALES'!$A$2:$A$42,0))/p_aprovechamiento_perfil,IF(E194="UNIDAD",F194*INDEX('03_MATERIALES'!$H$2:$H$42,MATCH(D194,'03_MATERIALES'!$A$2:$A$42,0)),"")))</f>
        <v>36.028125</v>
      </c>
      <c r="M194" s="12" t="str">
        <f aca="false">IF(N(J194)&gt;0,F194*J194/p_area_plancha_m2,"")</f>
        <v/>
      </c>
      <c r="N194" s="4" t="s">
        <v>30</v>
      </c>
    </row>
    <row r="195" customFormat="false" ht="15" hidden="false" customHeight="false" outlineLevel="0" collapsed="false">
      <c r="A195" s="4" t="s">
        <v>834</v>
      </c>
      <c r="B195" s="4" t="s">
        <v>448</v>
      </c>
      <c r="C195" s="4" t="s">
        <v>818</v>
      </c>
      <c r="D195" s="4" t="s">
        <v>486</v>
      </c>
      <c r="E195" s="4" t="s">
        <v>740</v>
      </c>
      <c r="F195" s="3" t="n">
        <v>1</v>
      </c>
      <c r="G195" s="8" t="n">
        <v>1008</v>
      </c>
      <c r="H195" s="8" t="n">
        <v>480</v>
      </c>
      <c r="J195" s="14" t="n">
        <f aca="false">G195*H195/1000000</f>
        <v>0.48384</v>
      </c>
      <c r="K195" s="12" t="str">
        <f aca="false">IF(E195="CHAPA_AREA",F195*J195*INDEX('03_MATERIALES'!$E$2:$E$42,MATCH(D195,'03_MATERIALES'!$A$2:$A$42,0))/1000*p_densidad_acero,IF(E195="PERFIL_LONGITUD",F195*I195*p_kg_por_m_perfil,""))</f>
        <v/>
      </c>
      <c r="L195" s="6" t="str">
        <f aca="false">IF(E195="CHAPA_AREA",K195*INDEX('03_MATERIALES'!$H$2:$H$42,MATCH(D195,'03_MATERIALES'!$A$2:$A$42,0))/p_aprovechamiento_chapa,IF(E195="PERFIL_LONGITUD",K195*INDEX('03_MATERIALES'!$H$2:$H$42,MATCH(D195,'03_MATERIALES'!$A$2:$A$42,0))/p_aprovechamiento_perfil,IF(E195="UNIDAD",F195*INDEX('03_MATERIALES'!$H$2:$H$42,MATCH(D195,'03_MATERIALES'!$A$2:$A$42,0)),"")))</f>
        <v/>
      </c>
      <c r="M195" s="12" t="n">
        <f aca="false">IF(N(J195)&gt;0,F195*J195/p_area_plancha_m2,"")</f>
        <v>0.168</v>
      </c>
      <c r="N195" s="4" t="s">
        <v>30</v>
      </c>
    </row>
    <row r="196" customFormat="false" ht="15" hidden="false" customHeight="false" outlineLevel="0" collapsed="false">
      <c r="A196" s="4" t="s">
        <v>835</v>
      </c>
      <c r="B196" s="4" t="s">
        <v>448</v>
      </c>
      <c r="C196" s="4" t="s">
        <v>772</v>
      </c>
      <c r="D196" s="4" t="s">
        <v>483</v>
      </c>
      <c r="E196" s="4" t="s">
        <v>579</v>
      </c>
      <c r="F196" s="3" t="n">
        <v>12</v>
      </c>
      <c r="K196" s="12" t="str">
        <f aca="false">IF(E196="CHAPA_AREA",F196*J196*INDEX('03_MATERIALES'!$E$2:$E$42,MATCH(D196,'03_MATERIALES'!$A$2:$A$42,0))/1000*p_densidad_acero,IF(E196="PERFIL_LONGITUD",F196*I196*p_kg_por_m_perfil,""))</f>
        <v/>
      </c>
      <c r="L196" s="6" t="n">
        <f aca="false">IF(E196="CHAPA_AREA",K196*INDEX('03_MATERIALES'!$H$2:$H$42,MATCH(D196,'03_MATERIALES'!$A$2:$A$42,0))/p_aprovechamiento_chapa,IF(E196="PERFIL_LONGITUD",K196*INDEX('03_MATERIALES'!$H$2:$H$42,MATCH(D196,'03_MATERIALES'!$A$2:$A$42,0))/p_aprovechamiento_perfil,IF(E196="UNIDAD",F196*INDEX('03_MATERIALES'!$H$2:$H$42,MATCH(D196,'03_MATERIALES'!$A$2:$A$42,0)),"")))</f>
        <v>10.8</v>
      </c>
      <c r="M196" s="12" t="str">
        <f aca="false">IF(N(J196)&gt;0,F196*J196/p_area_plancha_m2,"")</f>
        <v/>
      </c>
      <c r="N196" s="4" t="s">
        <v>30</v>
      </c>
    </row>
    <row r="197" customFormat="false" ht="15" hidden="false" customHeight="false" outlineLevel="0" collapsed="false">
      <c r="A197" s="4" t="s">
        <v>836</v>
      </c>
      <c r="B197" s="4" t="s">
        <v>451</v>
      </c>
      <c r="C197" s="4" t="s">
        <v>766</v>
      </c>
      <c r="D197" s="4" t="s">
        <v>480</v>
      </c>
      <c r="E197" s="4" t="s">
        <v>567</v>
      </c>
      <c r="F197" s="3" t="n">
        <v>4</v>
      </c>
      <c r="I197" s="11" t="n">
        <v>0.3936</v>
      </c>
      <c r="K197" s="12" t="n">
        <f aca="false">IF(E197="CHAPA_AREA",F197*J197*INDEX('03_MATERIALES'!$E$2:$E$42,MATCH(D197,'03_MATERIALES'!$A$2:$A$42,0))/1000*p_densidad_acero,IF(E197="PERFIL_LONGITUD",F197*I197*p_kg_por_m_perfil,""))</f>
        <v>2.3616</v>
      </c>
      <c r="L197" s="6" t="n">
        <f aca="false">IF(E197="CHAPA_AREA",K197*INDEX('03_MATERIALES'!$H$2:$H$42,MATCH(D197,'03_MATERIALES'!$A$2:$A$42,0))/p_aprovechamiento_chapa,IF(E197="PERFIL_LONGITUD",K197*INDEX('03_MATERIALES'!$H$2:$H$42,MATCH(D197,'03_MATERIALES'!$A$2:$A$42,0))/p_aprovechamiento_perfil,IF(E197="UNIDAD",F197*INDEX('03_MATERIALES'!$H$2:$H$42,MATCH(D197,'03_MATERIALES'!$A$2:$A$42,0)),"")))</f>
        <v>15.006</v>
      </c>
      <c r="M197" s="12" t="str">
        <f aca="false">IF(N(J197)&gt;0,F197*J197/p_area_plancha_m2,"")</f>
        <v/>
      </c>
      <c r="N197" s="4" t="s">
        <v>30</v>
      </c>
    </row>
    <row r="198" customFormat="false" ht="15" hidden="false" customHeight="false" outlineLevel="0" collapsed="false">
      <c r="A198" s="4" t="s">
        <v>837</v>
      </c>
      <c r="B198" s="4" t="s">
        <v>451</v>
      </c>
      <c r="C198" s="4" t="s">
        <v>768</v>
      </c>
      <c r="D198" s="4" t="s">
        <v>480</v>
      </c>
      <c r="E198" s="4" t="s">
        <v>567</v>
      </c>
      <c r="F198" s="3" t="n">
        <v>4</v>
      </c>
      <c r="I198" s="11" t="n">
        <v>0.819</v>
      </c>
      <c r="K198" s="12" t="n">
        <f aca="false">IF(E198="CHAPA_AREA",F198*J198*INDEX('03_MATERIALES'!$E$2:$E$42,MATCH(D198,'03_MATERIALES'!$A$2:$A$42,0))/1000*p_densidad_acero,IF(E198="PERFIL_LONGITUD",F198*I198*p_kg_por_m_perfil,""))</f>
        <v>4.914</v>
      </c>
      <c r="L198" s="6" t="n">
        <f aca="false">IF(E198="CHAPA_AREA",K198*INDEX('03_MATERIALES'!$H$2:$H$42,MATCH(D198,'03_MATERIALES'!$A$2:$A$42,0))/p_aprovechamiento_chapa,IF(E198="PERFIL_LONGITUD",K198*INDEX('03_MATERIALES'!$H$2:$H$42,MATCH(D198,'03_MATERIALES'!$A$2:$A$42,0))/p_aprovechamiento_perfil,IF(E198="UNIDAD",F198*INDEX('03_MATERIALES'!$H$2:$H$42,MATCH(D198,'03_MATERIALES'!$A$2:$A$42,0)),"")))</f>
        <v>31.224375</v>
      </c>
      <c r="M198" s="12" t="str">
        <f aca="false">IF(N(J198)&gt;0,F198*J198/p_area_plancha_m2,"")</f>
        <v/>
      </c>
      <c r="N198" s="4" t="s">
        <v>30</v>
      </c>
    </row>
    <row r="199" customFormat="false" ht="15" hidden="false" customHeight="false" outlineLevel="0" collapsed="false">
      <c r="A199" s="4" t="s">
        <v>838</v>
      </c>
      <c r="B199" s="4" t="s">
        <v>451</v>
      </c>
      <c r="C199" s="4" t="s">
        <v>818</v>
      </c>
      <c r="D199" s="4" t="s">
        <v>486</v>
      </c>
      <c r="E199" s="4" t="s">
        <v>740</v>
      </c>
      <c r="F199" s="3" t="n">
        <v>1</v>
      </c>
      <c r="G199" s="8" t="n">
        <v>873.6</v>
      </c>
      <c r="H199" s="8" t="n">
        <v>432</v>
      </c>
      <c r="J199" s="14" t="n">
        <f aca="false">G199*H199/1000000</f>
        <v>0.3773952</v>
      </c>
      <c r="K199" s="12" t="str">
        <f aca="false">IF(E199="CHAPA_AREA",F199*J199*INDEX('03_MATERIALES'!$E$2:$E$42,MATCH(D199,'03_MATERIALES'!$A$2:$A$42,0))/1000*p_densidad_acero,IF(E199="PERFIL_LONGITUD",F199*I199*p_kg_por_m_perfil,""))</f>
        <v/>
      </c>
      <c r="L199" s="6" t="str">
        <f aca="false">IF(E199="CHAPA_AREA",K199*INDEX('03_MATERIALES'!$H$2:$H$42,MATCH(D199,'03_MATERIALES'!$A$2:$A$42,0))/p_aprovechamiento_chapa,IF(E199="PERFIL_LONGITUD",K199*INDEX('03_MATERIALES'!$H$2:$H$42,MATCH(D199,'03_MATERIALES'!$A$2:$A$42,0))/p_aprovechamiento_perfil,IF(E199="UNIDAD",F199*INDEX('03_MATERIALES'!$H$2:$H$42,MATCH(D199,'03_MATERIALES'!$A$2:$A$42,0)),"")))</f>
        <v/>
      </c>
      <c r="M199" s="12" t="n">
        <f aca="false">IF(N(J199)&gt;0,F199*J199/p_area_plancha_m2,"")</f>
        <v>0.13104</v>
      </c>
      <c r="N199" s="4" t="s">
        <v>30</v>
      </c>
    </row>
    <row r="200" customFormat="false" ht="15" hidden="false" customHeight="false" outlineLevel="0" collapsed="false">
      <c r="A200" s="4" t="s">
        <v>839</v>
      </c>
      <c r="B200" s="4" t="s">
        <v>451</v>
      </c>
      <c r="C200" s="4" t="s">
        <v>772</v>
      </c>
      <c r="D200" s="4" t="s">
        <v>483</v>
      </c>
      <c r="E200" s="4" t="s">
        <v>579</v>
      </c>
      <c r="F200" s="3" t="n">
        <v>12</v>
      </c>
      <c r="K200" s="12" t="str">
        <f aca="false">IF(E200="CHAPA_AREA",F200*J200*INDEX('03_MATERIALES'!$E$2:$E$42,MATCH(D200,'03_MATERIALES'!$A$2:$A$42,0))/1000*p_densidad_acero,IF(E200="PERFIL_LONGITUD",F200*I200*p_kg_por_m_perfil,""))</f>
        <v/>
      </c>
      <c r="L200" s="6" t="n">
        <f aca="false">IF(E200="CHAPA_AREA",K200*INDEX('03_MATERIALES'!$H$2:$H$42,MATCH(D200,'03_MATERIALES'!$A$2:$A$42,0))/p_aprovechamiento_chapa,IF(E200="PERFIL_LONGITUD",K200*INDEX('03_MATERIALES'!$H$2:$H$42,MATCH(D200,'03_MATERIALES'!$A$2:$A$42,0))/p_aprovechamiento_perfil,IF(E200="UNIDAD",F200*INDEX('03_MATERIALES'!$H$2:$H$42,MATCH(D200,'03_MATERIALES'!$A$2:$A$42,0)),"")))</f>
        <v>10.8</v>
      </c>
      <c r="M200" s="12" t="str">
        <f aca="false">IF(N(J200)&gt;0,F200*J200/p_area_plancha_m2,"")</f>
        <v/>
      </c>
      <c r="N200" s="4" t="s">
        <v>30</v>
      </c>
    </row>
    <row r="201" customFormat="false" ht="15" hidden="false" customHeight="false" outlineLevel="0" collapsed="false">
      <c r="A201" s="4" t="s">
        <v>840</v>
      </c>
      <c r="B201" s="4" t="s">
        <v>453</v>
      </c>
      <c r="C201" s="4" t="s">
        <v>766</v>
      </c>
      <c r="D201" s="4" t="s">
        <v>480</v>
      </c>
      <c r="E201" s="4" t="s">
        <v>567</v>
      </c>
      <c r="F201" s="3" t="n">
        <v>4</v>
      </c>
      <c r="I201" s="11" t="n">
        <v>0.9792</v>
      </c>
      <c r="K201" s="12" t="n">
        <f aca="false">IF(E201="CHAPA_AREA",F201*J201*INDEX('03_MATERIALES'!$E$2:$E$42,MATCH(D201,'03_MATERIALES'!$A$2:$A$42,0))/1000*p_densidad_acero,IF(E201="PERFIL_LONGITUD",F201*I201*p_kg_por_m_perfil,""))</f>
        <v>5.8752</v>
      </c>
      <c r="L201" s="6" t="n">
        <f aca="false">IF(E201="CHAPA_AREA",K201*INDEX('03_MATERIALES'!$H$2:$H$42,MATCH(D201,'03_MATERIALES'!$A$2:$A$42,0))/p_aprovechamiento_chapa,IF(E201="PERFIL_LONGITUD",K201*INDEX('03_MATERIALES'!$H$2:$H$42,MATCH(D201,'03_MATERIALES'!$A$2:$A$42,0))/p_aprovechamiento_perfil,IF(E201="UNIDAD",F201*INDEX('03_MATERIALES'!$H$2:$H$42,MATCH(D201,'03_MATERIALES'!$A$2:$A$42,0)),"")))</f>
        <v>37.332</v>
      </c>
      <c r="M201" s="12" t="str">
        <f aca="false">IF(N(J201)&gt;0,F201*J201/p_area_plancha_m2,"")</f>
        <v/>
      </c>
      <c r="N201" s="4" t="s">
        <v>30</v>
      </c>
    </row>
    <row r="202" customFormat="false" ht="15" hidden="false" customHeight="false" outlineLevel="0" collapsed="false">
      <c r="A202" s="4" t="s">
        <v>841</v>
      </c>
      <c r="B202" s="4" t="s">
        <v>453</v>
      </c>
      <c r="C202" s="4" t="s">
        <v>768</v>
      </c>
      <c r="D202" s="4" t="s">
        <v>480</v>
      </c>
      <c r="E202" s="4" t="s">
        <v>567</v>
      </c>
      <c r="F202" s="3" t="n">
        <v>4</v>
      </c>
      <c r="I202" s="11" t="n">
        <v>0.405</v>
      </c>
      <c r="K202" s="12" t="n">
        <f aca="false">IF(E202="CHAPA_AREA",F202*J202*INDEX('03_MATERIALES'!$E$2:$E$42,MATCH(D202,'03_MATERIALES'!$A$2:$A$42,0))/1000*p_densidad_acero,IF(E202="PERFIL_LONGITUD",F202*I202*p_kg_por_m_perfil,""))</f>
        <v>2.43</v>
      </c>
      <c r="L202" s="6" t="n">
        <f aca="false">IF(E202="CHAPA_AREA",K202*INDEX('03_MATERIALES'!$H$2:$H$42,MATCH(D202,'03_MATERIALES'!$A$2:$A$42,0))/p_aprovechamiento_chapa,IF(E202="PERFIL_LONGITUD",K202*INDEX('03_MATERIALES'!$H$2:$H$42,MATCH(D202,'03_MATERIALES'!$A$2:$A$42,0))/p_aprovechamiento_perfil,IF(E202="UNIDAD",F202*INDEX('03_MATERIALES'!$H$2:$H$42,MATCH(D202,'03_MATERIALES'!$A$2:$A$42,0)),"")))</f>
        <v>15.440625</v>
      </c>
      <c r="M202" s="12" t="str">
        <f aca="false">IF(N(J202)&gt;0,F202*J202/p_area_plancha_m2,"")</f>
        <v/>
      </c>
      <c r="N202" s="4" t="s">
        <v>30</v>
      </c>
    </row>
    <row r="203" customFormat="false" ht="15" hidden="false" customHeight="false" outlineLevel="0" collapsed="false">
      <c r="A203" s="4" t="s">
        <v>842</v>
      </c>
      <c r="B203" s="4" t="s">
        <v>453</v>
      </c>
      <c r="C203" s="4" t="s">
        <v>770</v>
      </c>
      <c r="D203" s="4" t="s">
        <v>489</v>
      </c>
      <c r="E203" s="4" t="s">
        <v>740</v>
      </c>
      <c r="F203" s="3" t="n">
        <v>1</v>
      </c>
      <c r="K203" s="12" t="str">
        <f aca="false">IF(E203="CHAPA_AREA",F203*J203*INDEX('03_MATERIALES'!$E$2:$E$42,MATCH(D203,'03_MATERIALES'!$A$2:$A$42,0))/1000*p_densidad_acero,IF(E203="PERFIL_LONGITUD",F203*I203*p_kg_por_m_perfil,""))</f>
        <v/>
      </c>
      <c r="L203" s="6" t="str">
        <f aca="false">IF(E203="CHAPA_AREA",K203*INDEX('03_MATERIALES'!$H$2:$H$42,MATCH(D203,'03_MATERIALES'!$A$2:$A$42,0))/p_aprovechamiento_chapa,IF(E203="PERFIL_LONGITUD",K203*INDEX('03_MATERIALES'!$H$2:$H$42,MATCH(D203,'03_MATERIALES'!$A$2:$A$42,0))/p_aprovechamiento_perfil,IF(E203="UNIDAD",F203*INDEX('03_MATERIALES'!$H$2:$H$42,MATCH(D203,'03_MATERIALES'!$A$2:$A$42,0)),"")))</f>
        <v/>
      </c>
      <c r="M203" s="12" t="str">
        <f aca="false">IF(N(J203)&gt;0,F203*J203/p_area_plancha_m2,"")</f>
        <v/>
      </c>
      <c r="N203" s="4" t="s">
        <v>30</v>
      </c>
    </row>
    <row r="204" customFormat="false" ht="15" hidden="false" customHeight="false" outlineLevel="0" collapsed="false">
      <c r="A204" s="4" t="s">
        <v>843</v>
      </c>
      <c r="B204" s="4" t="s">
        <v>453</v>
      </c>
      <c r="C204" s="4" t="s">
        <v>772</v>
      </c>
      <c r="D204" s="4" t="s">
        <v>483</v>
      </c>
      <c r="E204" s="4" t="s">
        <v>579</v>
      </c>
      <c r="F204" s="3" t="n">
        <v>12</v>
      </c>
      <c r="K204" s="12" t="str">
        <f aca="false">IF(E204="CHAPA_AREA",F204*J204*INDEX('03_MATERIALES'!$E$2:$E$42,MATCH(D204,'03_MATERIALES'!$A$2:$A$42,0))/1000*p_densidad_acero,IF(E204="PERFIL_LONGITUD",F204*I204*p_kg_por_m_perfil,""))</f>
        <v/>
      </c>
      <c r="L204" s="6" t="n">
        <f aca="false">IF(E204="CHAPA_AREA",K204*INDEX('03_MATERIALES'!$H$2:$H$42,MATCH(D204,'03_MATERIALES'!$A$2:$A$42,0))/p_aprovechamiento_chapa,IF(E204="PERFIL_LONGITUD",K204*INDEX('03_MATERIALES'!$H$2:$H$42,MATCH(D204,'03_MATERIALES'!$A$2:$A$42,0))/p_aprovechamiento_perfil,IF(E204="UNIDAD",F204*INDEX('03_MATERIALES'!$H$2:$H$42,MATCH(D204,'03_MATERIALES'!$A$2:$A$42,0)),"")))</f>
        <v>10.8</v>
      </c>
      <c r="M204" s="12" t="str">
        <f aca="false">IF(N(J204)&gt;0,F204*J204/p_area_plancha_m2,"")</f>
        <v/>
      </c>
      <c r="N204" s="4" t="s">
        <v>30</v>
      </c>
    </row>
    <row r="205" customFormat="false" ht="15" hidden="false" customHeight="false" outlineLevel="0" collapsed="false">
      <c r="A205" s="4" t="s">
        <v>844</v>
      </c>
      <c r="B205" s="4" t="s">
        <v>455</v>
      </c>
      <c r="C205" s="4" t="s">
        <v>737</v>
      </c>
      <c r="D205" s="4" t="s">
        <v>480</v>
      </c>
      <c r="E205" s="4" t="s">
        <v>567</v>
      </c>
      <c r="F205" s="3" t="n">
        <v>4</v>
      </c>
      <c r="I205" s="11" t="n">
        <v>0.588</v>
      </c>
      <c r="K205" s="12" t="n">
        <f aca="false">IF(E205="CHAPA_AREA",F205*J205*INDEX('03_MATERIALES'!$E$2:$E$42,MATCH(D205,'03_MATERIALES'!$A$2:$A$42,0))/1000*p_densidad_acero,IF(E205="PERFIL_LONGITUD",F205*I205*p_kg_por_m_perfil,""))</f>
        <v>3.528</v>
      </c>
      <c r="L205" s="6" t="n">
        <f aca="false">IF(E205="CHAPA_AREA",K205*INDEX('03_MATERIALES'!$H$2:$H$42,MATCH(D205,'03_MATERIALES'!$A$2:$A$42,0))/p_aprovechamiento_chapa,IF(E205="PERFIL_LONGITUD",K205*INDEX('03_MATERIALES'!$H$2:$H$42,MATCH(D205,'03_MATERIALES'!$A$2:$A$42,0))/p_aprovechamiento_perfil,IF(E205="UNIDAD",F205*INDEX('03_MATERIALES'!$H$2:$H$42,MATCH(D205,'03_MATERIALES'!$A$2:$A$42,0)),"")))</f>
        <v>22.4175</v>
      </c>
      <c r="M205" s="12" t="str">
        <f aca="false">IF(N(J205)&gt;0,F205*J205/p_area_plancha_m2,"")</f>
        <v/>
      </c>
      <c r="N205" s="4" t="s">
        <v>30</v>
      </c>
    </row>
    <row r="206" customFormat="false" ht="15" hidden="false" customHeight="false" outlineLevel="0" collapsed="false">
      <c r="A206" s="4" t="s">
        <v>845</v>
      </c>
      <c r="B206" s="4" t="s">
        <v>455</v>
      </c>
      <c r="C206" s="4" t="s">
        <v>739</v>
      </c>
      <c r="D206" s="4" t="s">
        <v>489</v>
      </c>
      <c r="E206" s="4" t="s">
        <v>740</v>
      </c>
      <c r="F206" s="3" t="n">
        <v>1</v>
      </c>
      <c r="K206" s="12" t="str">
        <f aca="false">IF(E206="CHAPA_AREA",F206*J206*INDEX('03_MATERIALES'!$E$2:$E$42,MATCH(D206,'03_MATERIALES'!$A$2:$A$42,0))/1000*p_densidad_acero,IF(E206="PERFIL_LONGITUD",F206*I206*p_kg_por_m_perfil,""))</f>
        <v/>
      </c>
      <c r="L206" s="6" t="str">
        <f aca="false">IF(E206="CHAPA_AREA",K206*INDEX('03_MATERIALES'!$H$2:$H$42,MATCH(D206,'03_MATERIALES'!$A$2:$A$42,0))/p_aprovechamiento_chapa,IF(E206="PERFIL_LONGITUD",K206*INDEX('03_MATERIALES'!$H$2:$H$42,MATCH(D206,'03_MATERIALES'!$A$2:$A$42,0))/p_aprovechamiento_perfil,IF(E206="UNIDAD",F206*INDEX('03_MATERIALES'!$H$2:$H$42,MATCH(D206,'03_MATERIALES'!$A$2:$A$42,0)),"")))</f>
        <v/>
      </c>
      <c r="M206" s="12" t="str">
        <f aca="false">IF(N(J206)&gt;0,F206*J206/p_area_plancha_m2,"")</f>
        <v/>
      </c>
      <c r="N206" s="4" t="s">
        <v>30</v>
      </c>
    </row>
    <row r="207" customFormat="false" ht="15" hidden="false" customHeight="false" outlineLevel="0" collapsed="false">
      <c r="A207" s="4" t="s">
        <v>846</v>
      </c>
      <c r="B207" s="4" t="s">
        <v>455</v>
      </c>
      <c r="C207" s="4" t="s">
        <v>742</v>
      </c>
      <c r="D207" s="4" t="s">
        <v>483</v>
      </c>
      <c r="E207" s="4" t="s">
        <v>579</v>
      </c>
      <c r="F207" s="3" t="n">
        <v>8</v>
      </c>
      <c r="K207" s="12" t="str">
        <f aca="false">IF(E207="CHAPA_AREA",F207*J207*INDEX('03_MATERIALES'!$E$2:$E$42,MATCH(D207,'03_MATERIALES'!$A$2:$A$42,0))/1000*p_densidad_acero,IF(E207="PERFIL_LONGITUD",F207*I207*p_kg_por_m_perfil,""))</f>
        <v/>
      </c>
      <c r="L207" s="6" t="n">
        <f aca="false">IF(E207="CHAPA_AREA",K207*INDEX('03_MATERIALES'!$H$2:$H$42,MATCH(D207,'03_MATERIALES'!$A$2:$A$42,0))/p_aprovechamiento_chapa,IF(E207="PERFIL_LONGITUD",K207*INDEX('03_MATERIALES'!$H$2:$H$42,MATCH(D207,'03_MATERIALES'!$A$2:$A$42,0))/p_aprovechamiento_perfil,IF(E207="UNIDAD",F207*INDEX('03_MATERIALES'!$H$2:$H$42,MATCH(D207,'03_MATERIALES'!$A$2:$A$42,0)),"")))</f>
        <v>7.2</v>
      </c>
      <c r="M207" s="12" t="str">
        <f aca="false">IF(N(J207)&gt;0,F207*J207/p_area_plancha_m2,"")</f>
        <v/>
      </c>
      <c r="N207" s="4" t="s">
        <v>30</v>
      </c>
    </row>
    <row r="208" customFormat="false" ht="15" hidden="false" customHeight="false" outlineLevel="0" collapsed="false">
      <c r="A208" s="4" t="s">
        <v>847</v>
      </c>
      <c r="B208" s="4" t="s">
        <v>457</v>
      </c>
      <c r="C208" s="4" t="s">
        <v>737</v>
      </c>
      <c r="D208" s="4" t="s">
        <v>480</v>
      </c>
      <c r="E208" s="4" t="s">
        <v>567</v>
      </c>
      <c r="F208" s="3" t="n">
        <v>4</v>
      </c>
      <c r="I208" s="11" t="n">
        <v>0.679</v>
      </c>
      <c r="K208" s="12" t="n">
        <f aca="false">IF(E208="CHAPA_AREA",F208*J208*INDEX('03_MATERIALES'!$E$2:$E$42,MATCH(D208,'03_MATERIALES'!$A$2:$A$42,0))/1000*p_densidad_acero,IF(E208="PERFIL_LONGITUD",F208*I208*p_kg_por_m_perfil,""))</f>
        <v>4.074</v>
      </c>
      <c r="L208" s="6" t="n">
        <f aca="false">IF(E208="CHAPA_AREA",K208*INDEX('03_MATERIALES'!$H$2:$H$42,MATCH(D208,'03_MATERIALES'!$A$2:$A$42,0))/p_aprovechamiento_chapa,IF(E208="PERFIL_LONGITUD",K208*INDEX('03_MATERIALES'!$H$2:$H$42,MATCH(D208,'03_MATERIALES'!$A$2:$A$42,0))/p_aprovechamiento_perfil,IF(E208="UNIDAD",F208*INDEX('03_MATERIALES'!$H$2:$H$42,MATCH(D208,'03_MATERIALES'!$A$2:$A$42,0)),"")))</f>
        <v>25.886875</v>
      </c>
      <c r="M208" s="12" t="str">
        <f aca="false">IF(N(J208)&gt;0,F208*J208/p_area_plancha_m2,"")</f>
        <v/>
      </c>
      <c r="N208" s="4" t="s">
        <v>30</v>
      </c>
    </row>
    <row r="209" customFormat="false" ht="15" hidden="false" customHeight="false" outlineLevel="0" collapsed="false">
      <c r="A209" s="4" t="s">
        <v>848</v>
      </c>
      <c r="B209" s="4" t="s">
        <v>457</v>
      </c>
      <c r="C209" s="4" t="s">
        <v>739</v>
      </c>
      <c r="D209" s="4" t="s">
        <v>489</v>
      </c>
      <c r="E209" s="4" t="s">
        <v>740</v>
      </c>
      <c r="F209" s="3" t="n">
        <v>1</v>
      </c>
      <c r="K209" s="12" t="str">
        <f aca="false">IF(E209="CHAPA_AREA",F209*J209*INDEX('03_MATERIALES'!$E$2:$E$42,MATCH(D209,'03_MATERIALES'!$A$2:$A$42,0))/1000*p_densidad_acero,IF(E209="PERFIL_LONGITUD",F209*I209*p_kg_por_m_perfil,""))</f>
        <v/>
      </c>
      <c r="L209" s="6" t="str">
        <f aca="false">IF(E209="CHAPA_AREA",K209*INDEX('03_MATERIALES'!$H$2:$H$42,MATCH(D209,'03_MATERIALES'!$A$2:$A$42,0))/p_aprovechamiento_chapa,IF(E209="PERFIL_LONGITUD",K209*INDEX('03_MATERIALES'!$H$2:$H$42,MATCH(D209,'03_MATERIALES'!$A$2:$A$42,0))/p_aprovechamiento_perfil,IF(E209="UNIDAD",F209*INDEX('03_MATERIALES'!$H$2:$H$42,MATCH(D209,'03_MATERIALES'!$A$2:$A$42,0)),"")))</f>
        <v/>
      </c>
      <c r="M209" s="12" t="str">
        <f aca="false">IF(N(J209)&gt;0,F209*J209/p_area_plancha_m2,"")</f>
        <v/>
      </c>
      <c r="N209" s="4" t="s">
        <v>30</v>
      </c>
    </row>
    <row r="210" customFormat="false" ht="15" hidden="false" customHeight="false" outlineLevel="0" collapsed="false">
      <c r="A210" s="4" t="s">
        <v>849</v>
      </c>
      <c r="B210" s="4" t="s">
        <v>457</v>
      </c>
      <c r="C210" s="4" t="s">
        <v>742</v>
      </c>
      <c r="D210" s="4" t="s">
        <v>483</v>
      </c>
      <c r="E210" s="4" t="s">
        <v>579</v>
      </c>
      <c r="F210" s="3" t="n">
        <v>8</v>
      </c>
      <c r="K210" s="12" t="str">
        <f aca="false">IF(E210="CHAPA_AREA",F210*J210*INDEX('03_MATERIALES'!$E$2:$E$42,MATCH(D210,'03_MATERIALES'!$A$2:$A$42,0))/1000*p_densidad_acero,IF(E210="PERFIL_LONGITUD",F210*I210*p_kg_por_m_perfil,""))</f>
        <v/>
      </c>
      <c r="L210" s="6" t="n">
        <f aca="false">IF(E210="CHAPA_AREA",K210*INDEX('03_MATERIALES'!$H$2:$H$42,MATCH(D210,'03_MATERIALES'!$A$2:$A$42,0))/p_aprovechamiento_chapa,IF(E210="PERFIL_LONGITUD",K210*INDEX('03_MATERIALES'!$H$2:$H$42,MATCH(D210,'03_MATERIALES'!$A$2:$A$42,0))/p_aprovechamiento_perfil,IF(E210="UNIDAD",F210*INDEX('03_MATERIALES'!$H$2:$H$42,MATCH(D210,'03_MATERIALES'!$A$2:$A$42,0)),"")))</f>
        <v>7.2</v>
      </c>
      <c r="M210" s="12" t="str">
        <f aca="false">IF(N(J210)&gt;0,F210*J210/p_area_plancha_m2,"")</f>
        <v/>
      </c>
      <c r="N210" s="4" t="s">
        <v>30</v>
      </c>
    </row>
    <row r="211" customFormat="false" ht="15" hidden="false" customHeight="false" outlineLevel="0" collapsed="false">
      <c r="A211" s="4" t="s">
        <v>850</v>
      </c>
      <c r="B211" s="4" t="s">
        <v>459</v>
      </c>
      <c r="C211" s="4" t="s">
        <v>766</v>
      </c>
      <c r="D211" s="4" t="s">
        <v>480</v>
      </c>
      <c r="E211" s="4" t="s">
        <v>567</v>
      </c>
      <c r="F211" s="3" t="n">
        <v>4</v>
      </c>
      <c r="I211" s="11" t="n">
        <v>0.8256</v>
      </c>
      <c r="K211" s="12" t="n">
        <f aca="false">IF(E211="CHAPA_AREA",F211*J211*INDEX('03_MATERIALES'!$E$2:$E$42,MATCH(D211,'03_MATERIALES'!$A$2:$A$42,0))/1000*p_densidad_acero,IF(E211="PERFIL_LONGITUD",F211*I211*p_kg_por_m_perfil,""))</f>
        <v>4.9536</v>
      </c>
      <c r="L211" s="6" t="n">
        <f aca="false">IF(E211="CHAPA_AREA",K211*INDEX('03_MATERIALES'!$H$2:$H$42,MATCH(D211,'03_MATERIALES'!$A$2:$A$42,0))/p_aprovechamiento_chapa,IF(E211="PERFIL_LONGITUD",K211*INDEX('03_MATERIALES'!$H$2:$H$42,MATCH(D211,'03_MATERIALES'!$A$2:$A$42,0))/p_aprovechamiento_perfil,IF(E211="UNIDAD",F211*INDEX('03_MATERIALES'!$H$2:$H$42,MATCH(D211,'03_MATERIALES'!$A$2:$A$42,0)),"")))</f>
        <v>31.476</v>
      </c>
      <c r="M211" s="12" t="str">
        <f aca="false">IF(N(J211)&gt;0,F211*J211/p_area_plancha_m2,"")</f>
        <v/>
      </c>
      <c r="N211" s="4" t="s">
        <v>30</v>
      </c>
    </row>
    <row r="212" customFormat="false" ht="15" hidden="false" customHeight="false" outlineLevel="0" collapsed="false">
      <c r="A212" s="4" t="s">
        <v>851</v>
      </c>
      <c r="B212" s="4" t="s">
        <v>459</v>
      </c>
      <c r="C212" s="4" t="s">
        <v>768</v>
      </c>
      <c r="D212" s="4" t="s">
        <v>480</v>
      </c>
      <c r="E212" s="4" t="s">
        <v>567</v>
      </c>
      <c r="F212" s="3" t="n">
        <v>4</v>
      </c>
      <c r="I212" s="11" t="n">
        <v>0.315</v>
      </c>
      <c r="K212" s="12" t="n">
        <f aca="false">IF(E212="CHAPA_AREA",F212*J212*INDEX('03_MATERIALES'!$E$2:$E$42,MATCH(D212,'03_MATERIALES'!$A$2:$A$42,0))/1000*p_densidad_acero,IF(E212="PERFIL_LONGITUD",F212*I212*p_kg_por_m_perfil,""))</f>
        <v>1.89</v>
      </c>
      <c r="L212" s="6" t="n">
        <f aca="false">IF(E212="CHAPA_AREA",K212*INDEX('03_MATERIALES'!$H$2:$H$42,MATCH(D212,'03_MATERIALES'!$A$2:$A$42,0))/p_aprovechamiento_chapa,IF(E212="PERFIL_LONGITUD",K212*INDEX('03_MATERIALES'!$H$2:$H$42,MATCH(D212,'03_MATERIALES'!$A$2:$A$42,0))/p_aprovechamiento_perfil,IF(E212="UNIDAD",F212*INDEX('03_MATERIALES'!$H$2:$H$42,MATCH(D212,'03_MATERIALES'!$A$2:$A$42,0)),"")))</f>
        <v>12.009375</v>
      </c>
      <c r="M212" s="12" t="str">
        <f aca="false">IF(N(J212)&gt;0,F212*J212/p_area_plancha_m2,"")</f>
        <v/>
      </c>
      <c r="N212" s="4" t="s">
        <v>30</v>
      </c>
    </row>
    <row r="213" customFormat="false" ht="15" hidden="false" customHeight="false" outlineLevel="0" collapsed="false">
      <c r="A213" s="4" t="s">
        <v>852</v>
      </c>
      <c r="B213" s="4" t="s">
        <v>459</v>
      </c>
      <c r="C213" s="4" t="s">
        <v>770</v>
      </c>
      <c r="D213" s="4" t="s">
        <v>489</v>
      </c>
      <c r="E213" s="4" t="s">
        <v>740</v>
      </c>
      <c r="F213" s="3" t="n">
        <v>1</v>
      </c>
      <c r="K213" s="12" t="str">
        <f aca="false">IF(E213="CHAPA_AREA",F213*J213*INDEX('03_MATERIALES'!$E$2:$E$42,MATCH(D213,'03_MATERIALES'!$A$2:$A$42,0))/1000*p_densidad_acero,IF(E213="PERFIL_LONGITUD",F213*I213*p_kg_por_m_perfil,""))</f>
        <v/>
      </c>
      <c r="L213" s="6" t="str">
        <f aca="false">IF(E213="CHAPA_AREA",K213*INDEX('03_MATERIALES'!$H$2:$H$42,MATCH(D213,'03_MATERIALES'!$A$2:$A$42,0))/p_aprovechamiento_chapa,IF(E213="PERFIL_LONGITUD",K213*INDEX('03_MATERIALES'!$H$2:$H$42,MATCH(D213,'03_MATERIALES'!$A$2:$A$42,0))/p_aprovechamiento_perfil,IF(E213="UNIDAD",F213*INDEX('03_MATERIALES'!$H$2:$H$42,MATCH(D213,'03_MATERIALES'!$A$2:$A$42,0)),"")))</f>
        <v/>
      </c>
      <c r="M213" s="12" t="str">
        <f aca="false">IF(N(J213)&gt;0,F213*J213/p_area_plancha_m2,"")</f>
        <v/>
      </c>
      <c r="N213" s="4" t="s">
        <v>30</v>
      </c>
    </row>
    <row r="214" customFormat="false" ht="15" hidden="false" customHeight="false" outlineLevel="0" collapsed="false">
      <c r="A214" s="4" t="s">
        <v>853</v>
      </c>
      <c r="B214" s="4" t="s">
        <v>459</v>
      </c>
      <c r="C214" s="4" t="s">
        <v>772</v>
      </c>
      <c r="D214" s="4" t="s">
        <v>483</v>
      </c>
      <c r="E214" s="4" t="s">
        <v>579</v>
      </c>
      <c r="F214" s="3" t="n">
        <v>12</v>
      </c>
      <c r="K214" s="12" t="str">
        <f aca="false">IF(E214="CHAPA_AREA",F214*J214*INDEX('03_MATERIALES'!$E$2:$E$42,MATCH(D214,'03_MATERIALES'!$A$2:$A$42,0))/1000*p_densidad_acero,IF(E214="PERFIL_LONGITUD",F214*I214*p_kg_por_m_perfil,""))</f>
        <v/>
      </c>
      <c r="L214" s="6" t="n">
        <f aca="false">IF(E214="CHAPA_AREA",K214*INDEX('03_MATERIALES'!$H$2:$H$42,MATCH(D214,'03_MATERIALES'!$A$2:$A$42,0))/p_aprovechamiento_chapa,IF(E214="PERFIL_LONGITUD",K214*INDEX('03_MATERIALES'!$H$2:$H$42,MATCH(D214,'03_MATERIALES'!$A$2:$A$42,0))/p_aprovechamiento_perfil,IF(E214="UNIDAD",F214*INDEX('03_MATERIALES'!$H$2:$H$42,MATCH(D214,'03_MATERIALES'!$A$2:$A$42,0)),"")))</f>
        <v>10.8</v>
      </c>
      <c r="M214" s="12" t="str">
        <f aca="false">IF(N(J214)&gt;0,F214*J214/p_area_plancha_m2,"")</f>
        <v/>
      </c>
      <c r="N214" s="4" t="s">
        <v>30</v>
      </c>
    </row>
    <row r="215" customFormat="false" ht="15" hidden="false" customHeight="false" outlineLevel="0" collapsed="false">
      <c r="A215" s="4" t="s">
        <v>854</v>
      </c>
      <c r="B215" s="4" t="s">
        <v>461</v>
      </c>
      <c r="C215" s="4" t="s">
        <v>766</v>
      </c>
      <c r="D215" s="4" t="s">
        <v>480</v>
      </c>
      <c r="E215" s="4" t="s">
        <v>567</v>
      </c>
      <c r="F215" s="3" t="n">
        <v>4</v>
      </c>
      <c r="I215" s="11" t="n">
        <v>0.7296</v>
      </c>
      <c r="K215" s="12" t="n">
        <f aca="false">IF(E215="CHAPA_AREA",F215*J215*INDEX('03_MATERIALES'!$E$2:$E$42,MATCH(D215,'03_MATERIALES'!$A$2:$A$42,0))/1000*p_densidad_acero,IF(E215="PERFIL_LONGITUD",F215*I215*p_kg_por_m_perfil,""))</f>
        <v>4.3776</v>
      </c>
      <c r="L215" s="6" t="n">
        <f aca="false">IF(E215="CHAPA_AREA",K215*INDEX('03_MATERIALES'!$H$2:$H$42,MATCH(D215,'03_MATERIALES'!$A$2:$A$42,0))/p_aprovechamiento_chapa,IF(E215="PERFIL_LONGITUD",K215*INDEX('03_MATERIALES'!$H$2:$H$42,MATCH(D215,'03_MATERIALES'!$A$2:$A$42,0))/p_aprovechamiento_perfil,IF(E215="UNIDAD",F215*INDEX('03_MATERIALES'!$H$2:$H$42,MATCH(D215,'03_MATERIALES'!$A$2:$A$42,0)),"")))</f>
        <v>27.816</v>
      </c>
      <c r="M215" s="12" t="str">
        <f aca="false">IF(N(J215)&gt;0,F215*J215/p_area_plancha_m2,"")</f>
        <v/>
      </c>
      <c r="N215" s="4" t="s">
        <v>30</v>
      </c>
    </row>
    <row r="216" customFormat="false" ht="15" hidden="false" customHeight="false" outlineLevel="0" collapsed="false">
      <c r="A216" s="4" t="s">
        <v>855</v>
      </c>
      <c r="B216" s="4" t="s">
        <v>461</v>
      </c>
      <c r="C216" s="4" t="s">
        <v>768</v>
      </c>
      <c r="D216" s="4" t="s">
        <v>480</v>
      </c>
      <c r="E216" s="4" t="s">
        <v>567</v>
      </c>
      <c r="F216" s="3" t="n">
        <v>4</v>
      </c>
      <c r="I216" s="11" t="n">
        <v>0.99</v>
      </c>
      <c r="K216" s="12" t="n">
        <f aca="false">IF(E216="CHAPA_AREA",F216*J216*INDEX('03_MATERIALES'!$E$2:$E$42,MATCH(D216,'03_MATERIALES'!$A$2:$A$42,0))/1000*p_densidad_acero,IF(E216="PERFIL_LONGITUD",F216*I216*p_kg_por_m_perfil,""))</f>
        <v>5.94</v>
      </c>
      <c r="L216" s="6" t="n">
        <f aca="false">IF(E216="CHAPA_AREA",K216*INDEX('03_MATERIALES'!$H$2:$H$42,MATCH(D216,'03_MATERIALES'!$A$2:$A$42,0))/p_aprovechamiento_chapa,IF(E216="PERFIL_LONGITUD",K216*INDEX('03_MATERIALES'!$H$2:$H$42,MATCH(D216,'03_MATERIALES'!$A$2:$A$42,0))/p_aprovechamiento_perfil,IF(E216="UNIDAD",F216*INDEX('03_MATERIALES'!$H$2:$H$42,MATCH(D216,'03_MATERIALES'!$A$2:$A$42,0)),"")))</f>
        <v>37.74375</v>
      </c>
      <c r="M216" s="12" t="str">
        <f aca="false">IF(N(J216)&gt;0,F216*J216/p_area_plancha_m2,"")</f>
        <v/>
      </c>
      <c r="N216" s="4" t="s">
        <v>30</v>
      </c>
    </row>
    <row r="217" customFormat="false" ht="15" hidden="false" customHeight="false" outlineLevel="0" collapsed="false">
      <c r="A217" s="4" t="s">
        <v>856</v>
      </c>
      <c r="B217" s="4" t="s">
        <v>461</v>
      </c>
      <c r="C217" s="4" t="s">
        <v>818</v>
      </c>
      <c r="D217" s="4" t="s">
        <v>486</v>
      </c>
      <c r="E217" s="4" t="s">
        <v>740</v>
      </c>
      <c r="F217" s="3" t="n">
        <v>1</v>
      </c>
      <c r="G217" s="8" t="n">
        <v>1056</v>
      </c>
      <c r="H217" s="8" t="n">
        <v>672</v>
      </c>
      <c r="J217" s="14" t="n">
        <f aca="false">G217*H217/1000000</f>
        <v>0.709632</v>
      </c>
      <c r="K217" s="12" t="str">
        <f aca="false">IF(E217="CHAPA_AREA",F217*J217*INDEX('03_MATERIALES'!$E$2:$E$42,MATCH(D217,'03_MATERIALES'!$A$2:$A$42,0))/1000*p_densidad_acero,IF(E217="PERFIL_LONGITUD",F217*I217*p_kg_por_m_perfil,""))</f>
        <v/>
      </c>
      <c r="L217" s="6" t="str">
        <f aca="false">IF(E217="CHAPA_AREA",K217*INDEX('03_MATERIALES'!$H$2:$H$42,MATCH(D217,'03_MATERIALES'!$A$2:$A$42,0))/p_aprovechamiento_chapa,IF(E217="PERFIL_LONGITUD",K217*INDEX('03_MATERIALES'!$H$2:$H$42,MATCH(D217,'03_MATERIALES'!$A$2:$A$42,0))/p_aprovechamiento_perfil,IF(E217="UNIDAD",F217*INDEX('03_MATERIALES'!$H$2:$H$42,MATCH(D217,'03_MATERIALES'!$A$2:$A$42,0)),"")))</f>
        <v/>
      </c>
      <c r="M217" s="12" t="n">
        <f aca="false">IF(N(J217)&gt;0,F217*J217/p_area_plancha_m2,"")</f>
        <v>0.2464</v>
      </c>
      <c r="N217" s="4" t="s">
        <v>30</v>
      </c>
    </row>
    <row r="218" customFormat="false" ht="15" hidden="false" customHeight="false" outlineLevel="0" collapsed="false">
      <c r="A218" s="4" t="s">
        <v>857</v>
      </c>
      <c r="B218" s="4" t="s">
        <v>461</v>
      </c>
      <c r="C218" s="4" t="s">
        <v>772</v>
      </c>
      <c r="D218" s="4" t="s">
        <v>483</v>
      </c>
      <c r="E218" s="4" t="s">
        <v>579</v>
      </c>
      <c r="F218" s="3" t="n">
        <v>12</v>
      </c>
      <c r="K218" s="12" t="str">
        <f aca="false">IF(E218="CHAPA_AREA",F218*J218*INDEX('03_MATERIALES'!$E$2:$E$42,MATCH(D218,'03_MATERIALES'!$A$2:$A$42,0))/1000*p_densidad_acero,IF(E218="PERFIL_LONGITUD",F218*I218*p_kg_por_m_perfil,""))</f>
        <v/>
      </c>
      <c r="L218" s="6" t="n">
        <f aca="false">IF(E218="CHAPA_AREA",K218*INDEX('03_MATERIALES'!$H$2:$H$42,MATCH(D218,'03_MATERIALES'!$A$2:$A$42,0))/p_aprovechamiento_chapa,IF(E218="PERFIL_LONGITUD",K218*INDEX('03_MATERIALES'!$H$2:$H$42,MATCH(D218,'03_MATERIALES'!$A$2:$A$42,0))/p_aprovechamiento_perfil,IF(E218="UNIDAD",F218*INDEX('03_MATERIALES'!$H$2:$H$42,MATCH(D218,'03_MATERIALES'!$A$2:$A$42,0)),"")))</f>
        <v>10.8</v>
      </c>
      <c r="M218" s="12" t="str">
        <f aca="false">IF(N(J218)&gt;0,F218*J218/p_area_plancha_m2,"")</f>
        <v/>
      </c>
      <c r="N218" s="4" t="s">
        <v>30</v>
      </c>
    </row>
    <row r="219" customFormat="false" ht="15" hidden="false" customHeight="false" outlineLevel="0" collapsed="false">
      <c r="A219" s="4" t="s">
        <v>858</v>
      </c>
      <c r="B219" s="4" t="s">
        <v>463</v>
      </c>
      <c r="C219" s="4" t="s">
        <v>766</v>
      </c>
      <c r="D219" s="4" t="s">
        <v>480</v>
      </c>
      <c r="E219" s="4" t="s">
        <v>567</v>
      </c>
      <c r="F219" s="3" t="n">
        <v>4</v>
      </c>
      <c r="I219" s="11" t="n">
        <v>0.6816</v>
      </c>
      <c r="K219" s="12" t="n">
        <f aca="false">IF(E219="CHAPA_AREA",F219*J219*INDEX('03_MATERIALES'!$E$2:$E$42,MATCH(D219,'03_MATERIALES'!$A$2:$A$42,0))/1000*p_densidad_acero,IF(E219="PERFIL_LONGITUD",F219*I219*p_kg_por_m_perfil,""))</f>
        <v>4.0896</v>
      </c>
      <c r="L219" s="6" t="n">
        <f aca="false">IF(E219="CHAPA_AREA",K219*INDEX('03_MATERIALES'!$H$2:$H$42,MATCH(D219,'03_MATERIALES'!$A$2:$A$42,0))/p_aprovechamiento_chapa,IF(E219="PERFIL_LONGITUD",K219*INDEX('03_MATERIALES'!$H$2:$H$42,MATCH(D219,'03_MATERIALES'!$A$2:$A$42,0))/p_aprovechamiento_perfil,IF(E219="UNIDAD",F219*INDEX('03_MATERIALES'!$H$2:$H$42,MATCH(D219,'03_MATERIALES'!$A$2:$A$42,0)),"")))</f>
        <v>25.986</v>
      </c>
      <c r="M219" s="12" t="str">
        <f aca="false">IF(N(J219)&gt;0,F219*J219/p_area_plancha_m2,"")</f>
        <v/>
      </c>
      <c r="N219" s="4" t="s">
        <v>30</v>
      </c>
    </row>
    <row r="220" customFormat="false" ht="15" hidden="false" customHeight="false" outlineLevel="0" collapsed="false">
      <c r="A220" s="4" t="s">
        <v>859</v>
      </c>
      <c r="B220" s="4" t="s">
        <v>463</v>
      </c>
      <c r="C220" s="4" t="s">
        <v>768</v>
      </c>
      <c r="D220" s="4" t="s">
        <v>480</v>
      </c>
      <c r="E220" s="4" t="s">
        <v>567</v>
      </c>
      <c r="F220" s="3" t="n">
        <v>4</v>
      </c>
      <c r="I220" s="11" t="n">
        <v>0.54</v>
      </c>
      <c r="K220" s="12" t="n">
        <f aca="false">IF(E220="CHAPA_AREA",F220*J220*INDEX('03_MATERIALES'!$E$2:$E$42,MATCH(D220,'03_MATERIALES'!$A$2:$A$42,0))/1000*p_densidad_acero,IF(E220="PERFIL_LONGITUD",F220*I220*p_kg_por_m_perfil,""))</f>
        <v>3.24</v>
      </c>
      <c r="L220" s="6" t="n">
        <f aca="false">IF(E220="CHAPA_AREA",K220*INDEX('03_MATERIALES'!$H$2:$H$42,MATCH(D220,'03_MATERIALES'!$A$2:$A$42,0))/p_aprovechamiento_chapa,IF(E220="PERFIL_LONGITUD",K220*INDEX('03_MATERIALES'!$H$2:$H$42,MATCH(D220,'03_MATERIALES'!$A$2:$A$42,0))/p_aprovechamiento_perfil,IF(E220="UNIDAD",F220*INDEX('03_MATERIALES'!$H$2:$H$42,MATCH(D220,'03_MATERIALES'!$A$2:$A$42,0)),"")))</f>
        <v>20.5875</v>
      </c>
      <c r="M220" s="12" t="str">
        <f aca="false">IF(N(J220)&gt;0,F220*J220/p_area_plancha_m2,"")</f>
        <v/>
      </c>
      <c r="N220" s="4" t="s">
        <v>30</v>
      </c>
    </row>
    <row r="221" customFormat="false" ht="15" hidden="false" customHeight="false" outlineLevel="0" collapsed="false">
      <c r="A221" s="4" t="s">
        <v>860</v>
      </c>
      <c r="B221" s="4" t="s">
        <v>463</v>
      </c>
      <c r="C221" s="4" t="s">
        <v>818</v>
      </c>
      <c r="D221" s="4" t="s">
        <v>486</v>
      </c>
      <c r="E221" s="4" t="s">
        <v>740</v>
      </c>
      <c r="F221" s="3" t="n">
        <v>1</v>
      </c>
      <c r="G221" s="8" t="n">
        <v>576</v>
      </c>
      <c r="H221" s="8" t="n">
        <v>576</v>
      </c>
      <c r="J221" s="14" t="n">
        <f aca="false">G221*H221/1000000</f>
        <v>0.331776</v>
      </c>
      <c r="K221" s="12" t="str">
        <f aca="false">IF(E221="CHAPA_AREA",F221*J221*INDEX('03_MATERIALES'!$E$2:$E$42,MATCH(D221,'03_MATERIALES'!$A$2:$A$42,0))/1000*p_densidad_acero,IF(E221="PERFIL_LONGITUD",F221*I221*p_kg_por_m_perfil,""))</f>
        <v/>
      </c>
      <c r="L221" s="6" t="str">
        <f aca="false">IF(E221="CHAPA_AREA",K221*INDEX('03_MATERIALES'!$H$2:$H$42,MATCH(D221,'03_MATERIALES'!$A$2:$A$42,0))/p_aprovechamiento_chapa,IF(E221="PERFIL_LONGITUD",K221*INDEX('03_MATERIALES'!$H$2:$H$42,MATCH(D221,'03_MATERIALES'!$A$2:$A$42,0))/p_aprovechamiento_perfil,IF(E221="UNIDAD",F221*INDEX('03_MATERIALES'!$H$2:$H$42,MATCH(D221,'03_MATERIALES'!$A$2:$A$42,0)),"")))</f>
        <v/>
      </c>
      <c r="M221" s="12" t="n">
        <f aca="false">IF(N(J221)&gt;0,F221*J221/p_area_plancha_m2,"")</f>
        <v>0.1152</v>
      </c>
      <c r="N221" s="4" t="s">
        <v>30</v>
      </c>
    </row>
    <row r="222" customFormat="false" ht="15" hidden="false" customHeight="false" outlineLevel="0" collapsed="false">
      <c r="A222" s="4" t="s">
        <v>861</v>
      </c>
      <c r="B222" s="4" t="s">
        <v>463</v>
      </c>
      <c r="C222" s="4" t="s">
        <v>772</v>
      </c>
      <c r="D222" s="4" t="s">
        <v>483</v>
      </c>
      <c r="E222" s="4" t="s">
        <v>579</v>
      </c>
      <c r="F222" s="3" t="n">
        <v>12</v>
      </c>
      <c r="K222" s="12" t="str">
        <f aca="false">IF(E222="CHAPA_AREA",F222*J222*INDEX('03_MATERIALES'!$E$2:$E$42,MATCH(D222,'03_MATERIALES'!$A$2:$A$42,0))/1000*p_densidad_acero,IF(E222="PERFIL_LONGITUD",F222*I222*p_kg_por_m_perfil,""))</f>
        <v/>
      </c>
      <c r="L222" s="6" t="n">
        <f aca="false">IF(E222="CHAPA_AREA",K222*INDEX('03_MATERIALES'!$H$2:$H$42,MATCH(D222,'03_MATERIALES'!$A$2:$A$42,0))/p_aprovechamiento_chapa,IF(E222="PERFIL_LONGITUD",K222*INDEX('03_MATERIALES'!$H$2:$H$42,MATCH(D222,'03_MATERIALES'!$A$2:$A$42,0))/p_aprovechamiento_perfil,IF(E222="UNIDAD",F222*INDEX('03_MATERIALES'!$H$2:$H$42,MATCH(D222,'03_MATERIALES'!$A$2:$A$42,0)),"")))</f>
        <v>10.8</v>
      </c>
      <c r="M222" s="12" t="str">
        <f aca="false">IF(N(J222)&gt;0,F222*J222/p_area_plancha_m2,"")</f>
        <v/>
      </c>
      <c r="N222" s="4" t="s">
        <v>30</v>
      </c>
    </row>
    <row r="223" customFormat="false" ht="15" hidden="false" customHeight="false" outlineLevel="0" collapsed="false">
      <c r="A223" s="4" t="s">
        <v>862</v>
      </c>
      <c r="B223" s="4" t="s">
        <v>465</v>
      </c>
      <c r="C223" s="4" t="s">
        <v>737</v>
      </c>
      <c r="D223" s="4" t="s">
        <v>480</v>
      </c>
      <c r="E223" s="4" t="s">
        <v>567</v>
      </c>
      <c r="F223" s="3" t="n">
        <v>4</v>
      </c>
      <c r="I223" s="11" t="n">
        <v>0.504</v>
      </c>
      <c r="K223" s="12" t="n">
        <f aca="false">IF(E223="CHAPA_AREA",F223*J223*INDEX('03_MATERIALES'!$E$2:$E$42,MATCH(D223,'03_MATERIALES'!$A$2:$A$42,0))/1000*p_densidad_acero,IF(E223="PERFIL_LONGITUD",F223*I223*p_kg_por_m_perfil,""))</f>
        <v>3.024</v>
      </c>
      <c r="L223" s="6" t="n">
        <f aca="false">IF(E223="CHAPA_AREA",K223*INDEX('03_MATERIALES'!$H$2:$H$42,MATCH(D223,'03_MATERIALES'!$A$2:$A$42,0))/p_aprovechamiento_chapa,IF(E223="PERFIL_LONGITUD",K223*INDEX('03_MATERIALES'!$H$2:$H$42,MATCH(D223,'03_MATERIALES'!$A$2:$A$42,0))/p_aprovechamiento_perfil,IF(E223="UNIDAD",F223*INDEX('03_MATERIALES'!$H$2:$H$42,MATCH(D223,'03_MATERIALES'!$A$2:$A$42,0)),"")))</f>
        <v>19.215</v>
      </c>
      <c r="M223" s="12" t="str">
        <f aca="false">IF(N(J223)&gt;0,F223*J223/p_area_plancha_m2,"")</f>
        <v/>
      </c>
      <c r="N223" s="4" t="s">
        <v>30</v>
      </c>
    </row>
    <row r="224" customFormat="false" ht="15" hidden="false" customHeight="false" outlineLevel="0" collapsed="false">
      <c r="A224" s="4" t="s">
        <v>863</v>
      </c>
      <c r="B224" s="4" t="s">
        <v>465</v>
      </c>
      <c r="C224" s="4" t="s">
        <v>739</v>
      </c>
      <c r="D224" s="4" t="s">
        <v>489</v>
      </c>
      <c r="E224" s="4" t="s">
        <v>740</v>
      </c>
      <c r="F224" s="3" t="n">
        <v>1</v>
      </c>
      <c r="K224" s="12" t="str">
        <f aca="false">IF(E224="CHAPA_AREA",F224*J224*INDEX('03_MATERIALES'!$E$2:$E$42,MATCH(D224,'03_MATERIALES'!$A$2:$A$42,0))/1000*p_densidad_acero,IF(E224="PERFIL_LONGITUD",F224*I224*p_kg_por_m_perfil,""))</f>
        <v/>
      </c>
      <c r="L224" s="6" t="str">
        <f aca="false">IF(E224="CHAPA_AREA",K224*INDEX('03_MATERIALES'!$H$2:$H$42,MATCH(D224,'03_MATERIALES'!$A$2:$A$42,0))/p_aprovechamiento_chapa,IF(E224="PERFIL_LONGITUD",K224*INDEX('03_MATERIALES'!$H$2:$H$42,MATCH(D224,'03_MATERIALES'!$A$2:$A$42,0))/p_aprovechamiento_perfil,IF(E224="UNIDAD",F224*INDEX('03_MATERIALES'!$H$2:$H$42,MATCH(D224,'03_MATERIALES'!$A$2:$A$42,0)),"")))</f>
        <v/>
      </c>
      <c r="M224" s="12" t="str">
        <f aca="false">IF(N(J224)&gt;0,F224*J224/p_area_plancha_m2,"")</f>
        <v/>
      </c>
      <c r="N224" s="4" t="s">
        <v>30</v>
      </c>
    </row>
    <row r="225" customFormat="false" ht="15" hidden="false" customHeight="false" outlineLevel="0" collapsed="false">
      <c r="A225" s="4" t="s">
        <v>864</v>
      </c>
      <c r="B225" s="4" t="s">
        <v>465</v>
      </c>
      <c r="C225" s="4" t="s">
        <v>742</v>
      </c>
      <c r="D225" s="4" t="s">
        <v>483</v>
      </c>
      <c r="E225" s="4" t="s">
        <v>579</v>
      </c>
      <c r="F225" s="3" t="n">
        <v>8</v>
      </c>
      <c r="K225" s="12" t="str">
        <f aca="false">IF(E225="CHAPA_AREA",F225*J225*INDEX('03_MATERIALES'!$E$2:$E$42,MATCH(D225,'03_MATERIALES'!$A$2:$A$42,0))/1000*p_densidad_acero,IF(E225="PERFIL_LONGITUD",F225*I225*p_kg_por_m_perfil,""))</f>
        <v/>
      </c>
      <c r="L225" s="6" t="n">
        <f aca="false">IF(E225="CHAPA_AREA",K225*INDEX('03_MATERIALES'!$H$2:$H$42,MATCH(D225,'03_MATERIALES'!$A$2:$A$42,0))/p_aprovechamiento_chapa,IF(E225="PERFIL_LONGITUD",K225*INDEX('03_MATERIALES'!$H$2:$H$42,MATCH(D225,'03_MATERIALES'!$A$2:$A$42,0))/p_aprovechamiento_perfil,IF(E225="UNIDAD",F225*INDEX('03_MATERIALES'!$H$2:$H$42,MATCH(D225,'03_MATERIALES'!$A$2:$A$42,0)),"")))</f>
        <v>7.2</v>
      </c>
      <c r="M225" s="12" t="str">
        <f aca="false">IF(N(J225)&gt;0,F225*J225/p_area_plancha_m2,"")</f>
        <v/>
      </c>
      <c r="N225" s="4" t="s">
        <v>30</v>
      </c>
    </row>
  </sheetData>
  <autoFilter ref="A1:N225"/>
  <dataValidations count="4">
    <dataValidation allowBlank="true" error="Debe ser un número entero en el rango permitido." errorStyle="stop" operator="greaterThanOrEqual" showDropDown="false" showErrorMessage="true" showInputMessage="false" sqref="F2:F225" type="whole">
      <formula1>1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B2:B225" type="list">
      <formula1>'02_PRODUCTOS'!$A$2:$A$51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D2:D225" type="list">
      <formula1>'03_MATERIALES'!$A$2:$A$42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E2:E225" type="list">
      <formula1>"CHAPA_AREA,PERFIL_LONGITUD,UNIDAD,SIN_PRECIO"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40"/>
    <col collapsed="false" customWidth="true" hidden="false" outlineLevel="0" max="4" min="4" style="0" width="15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8"/>
    <col collapsed="false" customWidth="true" hidden="false" outlineLevel="0" max="10" min="10" style="0" width="10"/>
    <col collapsed="false" customWidth="true" hidden="false" outlineLevel="0" max="12" min="11" style="0" width="12"/>
  </cols>
  <sheetData>
    <row r="1" customFormat="false" ht="31.5" hidden="false" customHeight="true" outlineLevel="0" collapsed="false">
      <c r="A1" s="1" t="s">
        <v>119</v>
      </c>
      <c r="B1" s="1" t="s">
        <v>121</v>
      </c>
      <c r="C1" s="1" t="s">
        <v>124</v>
      </c>
      <c r="D1" s="1" t="s">
        <v>126</v>
      </c>
      <c r="E1" s="1" t="s">
        <v>128</v>
      </c>
      <c r="F1" s="1" t="s">
        <v>131</v>
      </c>
      <c r="G1" s="1" t="s">
        <v>134</v>
      </c>
      <c r="H1" s="1" t="s">
        <v>138</v>
      </c>
      <c r="I1" s="1" t="s">
        <v>140</v>
      </c>
      <c r="J1" s="1" t="s">
        <v>142</v>
      </c>
      <c r="K1" s="1" t="s">
        <v>144</v>
      </c>
      <c r="L1" s="1" t="s">
        <v>5</v>
      </c>
    </row>
    <row r="2" customFormat="false" ht="15" hidden="false" customHeight="false" outlineLevel="0" collapsed="false">
      <c r="A2" s="4" t="s">
        <v>865</v>
      </c>
      <c r="B2" s="4" t="s">
        <v>866</v>
      </c>
      <c r="C2" s="4" t="s">
        <v>867</v>
      </c>
      <c r="D2" s="4" t="s">
        <v>868</v>
      </c>
      <c r="E2" s="3" t="n">
        <v>1</v>
      </c>
      <c r="F2" s="5" t="n">
        <v>24</v>
      </c>
      <c r="G2" s="10" t="n">
        <v>5.5</v>
      </c>
      <c r="H2" s="10" t="n">
        <v>0.5</v>
      </c>
      <c r="I2" s="4" t="s">
        <v>869</v>
      </c>
      <c r="J2" s="3" t="n">
        <v>0</v>
      </c>
      <c r="K2" s="3" t="n">
        <v>0</v>
      </c>
      <c r="L2" s="4" t="s">
        <v>30</v>
      </c>
    </row>
    <row r="3" customFormat="false" ht="15" hidden="false" customHeight="false" outlineLevel="0" collapsed="false">
      <c r="A3" s="4" t="s">
        <v>870</v>
      </c>
      <c r="B3" s="4" t="s">
        <v>871</v>
      </c>
      <c r="C3" s="4" t="s">
        <v>872</v>
      </c>
      <c r="D3" s="4" t="s">
        <v>868</v>
      </c>
      <c r="E3" s="3" t="n">
        <v>1</v>
      </c>
      <c r="F3" s="5" t="n">
        <v>22</v>
      </c>
      <c r="G3" s="10" t="n">
        <v>0.75</v>
      </c>
      <c r="H3" s="10" t="n">
        <v>0.6</v>
      </c>
      <c r="I3" s="4" t="s">
        <v>869</v>
      </c>
      <c r="J3" s="3" t="n">
        <v>0</v>
      </c>
      <c r="K3" s="3" t="n">
        <v>0</v>
      </c>
      <c r="L3" s="4" t="s">
        <v>30</v>
      </c>
    </row>
    <row r="4" customFormat="false" ht="15" hidden="false" customHeight="false" outlineLevel="0" collapsed="false">
      <c r="A4" s="4" t="s">
        <v>873</v>
      </c>
      <c r="B4" s="4" t="s">
        <v>874</v>
      </c>
      <c r="C4" s="4" t="s">
        <v>875</v>
      </c>
      <c r="D4" s="4" t="s">
        <v>868</v>
      </c>
      <c r="E4" s="3" t="n">
        <v>1</v>
      </c>
      <c r="F4" s="5" t="n">
        <v>22</v>
      </c>
      <c r="G4" s="10" t="n">
        <v>0.55</v>
      </c>
      <c r="H4" s="10" t="n">
        <v>0.5</v>
      </c>
      <c r="I4" s="4" t="s">
        <v>876</v>
      </c>
      <c r="J4" s="3" t="n">
        <v>0</v>
      </c>
      <c r="K4" s="3" t="n">
        <v>0</v>
      </c>
      <c r="L4" s="4" t="s">
        <v>30</v>
      </c>
    </row>
    <row r="5" customFormat="false" ht="15" hidden="false" customHeight="false" outlineLevel="0" collapsed="false">
      <c r="A5" s="4" t="s">
        <v>877</v>
      </c>
      <c r="B5" s="4" t="s">
        <v>878</v>
      </c>
      <c r="C5" s="4" t="s">
        <v>879</v>
      </c>
      <c r="D5" s="4" t="s">
        <v>868</v>
      </c>
      <c r="E5" s="3" t="n">
        <v>1</v>
      </c>
      <c r="F5" s="5" t="n">
        <v>28</v>
      </c>
      <c r="G5" s="10" t="n">
        <v>5.5</v>
      </c>
      <c r="H5" s="10" t="n">
        <v>0.45</v>
      </c>
      <c r="I5" s="4" t="s">
        <v>880</v>
      </c>
      <c r="J5" s="3" t="n">
        <v>1</v>
      </c>
      <c r="K5" s="3" t="n">
        <v>0</v>
      </c>
      <c r="L5" s="4" t="s">
        <v>30</v>
      </c>
    </row>
    <row r="6" customFormat="false" ht="15" hidden="false" customHeight="false" outlineLevel="0" collapsed="false">
      <c r="A6" s="4" t="s">
        <v>881</v>
      </c>
      <c r="B6" s="4" t="s">
        <v>882</v>
      </c>
      <c r="C6" s="4" t="s">
        <v>883</v>
      </c>
      <c r="D6" s="4" t="s">
        <v>868</v>
      </c>
      <c r="E6" s="3" t="n">
        <v>1</v>
      </c>
      <c r="F6" s="5" t="n">
        <v>32</v>
      </c>
      <c r="G6" s="10" t="n">
        <v>5</v>
      </c>
      <c r="H6" s="10" t="n">
        <v>0.35</v>
      </c>
      <c r="I6" s="4" t="s">
        <v>884</v>
      </c>
      <c r="J6" s="3" t="n">
        <v>0</v>
      </c>
      <c r="K6" s="3" t="n">
        <v>0</v>
      </c>
      <c r="L6" s="4" t="s">
        <v>30</v>
      </c>
    </row>
    <row r="7" customFormat="false" ht="15" hidden="false" customHeight="false" outlineLevel="0" collapsed="false">
      <c r="A7" s="4" t="s">
        <v>885</v>
      </c>
      <c r="B7" s="4" t="s">
        <v>886</v>
      </c>
      <c r="C7" s="4" t="s">
        <v>886</v>
      </c>
      <c r="D7" s="4" t="s">
        <v>887</v>
      </c>
      <c r="E7" s="3" t="n">
        <v>1</v>
      </c>
      <c r="F7" s="5" t="n">
        <v>21</v>
      </c>
      <c r="G7" s="10" t="n">
        <v>1.5</v>
      </c>
      <c r="H7" s="10" t="n">
        <v>0.5</v>
      </c>
      <c r="I7" s="4" t="s">
        <v>888</v>
      </c>
      <c r="J7" s="3" t="n">
        <v>0</v>
      </c>
      <c r="K7" s="3" t="n">
        <v>0</v>
      </c>
      <c r="L7" s="4" t="s">
        <v>30</v>
      </c>
    </row>
    <row r="8" customFormat="false" ht="15" hidden="false" customHeight="false" outlineLevel="0" collapsed="false">
      <c r="A8" s="4" t="s">
        <v>889</v>
      </c>
      <c r="B8" s="4" t="s">
        <v>890</v>
      </c>
      <c r="C8" s="4" t="s">
        <v>890</v>
      </c>
      <c r="D8" s="4" t="s">
        <v>891</v>
      </c>
      <c r="E8" s="3" t="n">
        <v>1</v>
      </c>
      <c r="F8" s="5" t="n">
        <v>19</v>
      </c>
      <c r="G8" s="10" t="n">
        <v>2.2</v>
      </c>
      <c r="H8" s="10" t="n">
        <v>0.4</v>
      </c>
      <c r="I8" s="4" t="s">
        <v>888</v>
      </c>
      <c r="J8" s="3" t="n">
        <v>0</v>
      </c>
      <c r="K8" s="3" t="n">
        <v>0</v>
      </c>
      <c r="L8" s="4" t="s">
        <v>30</v>
      </c>
    </row>
    <row r="9" customFormat="false" ht="15" hidden="false" customHeight="false" outlineLevel="0" collapsed="false">
      <c r="A9" s="4" t="s">
        <v>892</v>
      </c>
      <c r="B9" s="4" t="s">
        <v>893</v>
      </c>
      <c r="C9" s="4" t="s">
        <v>893</v>
      </c>
      <c r="D9" s="4" t="s">
        <v>894</v>
      </c>
      <c r="E9" s="3" t="n">
        <v>1</v>
      </c>
      <c r="F9" s="5" t="n">
        <v>32</v>
      </c>
      <c r="G9" s="10" t="n">
        <v>1.5</v>
      </c>
      <c r="H9" s="10" t="n">
        <v>0.7</v>
      </c>
      <c r="I9" s="4" t="s">
        <v>895</v>
      </c>
      <c r="J9" s="3" t="n">
        <v>0</v>
      </c>
      <c r="K9" s="3" t="n">
        <v>0</v>
      </c>
      <c r="L9" s="4" t="s">
        <v>30</v>
      </c>
    </row>
    <row r="10" customFormat="false" ht="15" hidden="false" customHeight="false" outlineLevel="0" collapsed="false">
      <c r="A10" s="4" t="s">
        <v>896</v>
      </c>
      <c r="B10" s="4" t="s">
        <v>897</v>
      </c>
      <c r="C10" s="4" t="s">
        <v>897</v>
      </c>
      <c r="D10" s="4" t="s">
        <v>887</v>
      </c>
      <c r="E10" s="3" t="n">
        <v>1</v>
      </c>
      <c r="F10" s="5" t="n">
        <v>19</v>
      </c>
      <c r="G10" s="10" t="n">
        <v>1</v>
      </c>
      <c r="H10" s="10" t="n">
        <v>0.3</v>
      </c>
      <c r="I10" s="4" t="s">
        <v>884</v>
      </c>
      <c r="J10" s="3" t="n">
        <v>0</v>
      </c>
      <c r="K10" s="3" t="n">
        <v>0</v>
      </c>
      <c r="L10" s="4" t="s">
        <v>30</v>
      </c>
    </row>
    <row r="11" customFormat="false" ht="15" hidden="false" customHeight="false" outlineLevel="0" collapsed="false">
      <c r="A11" s="4" t="s">
        <v>898</v>
      </c>
      <c r="B11" s="4" t="s">
        <v>899</v>
      </c>
      <c r="C11" s="4" t="s">
        <v>899</v>
      </c>
      <c r="D11" s="4" t="s">
        <v>891</v>
      </c>
      <c r="E11" s="3" t="n">
        <v>1</v>
      </c>
      <c r="F11" s="5" t="n">
        <v>20</v>
      </c>
      <c r="G11" s="10" t="n">
        <v>0.2</v>
      </c>
      <c r="H11" s="10" t="n">
        <v>0.5</v>
      </c>
      <c r="I11" s="4" t="s">
        <v>900</v>
      </c>
      <c r="J11" s="3" t="n">
        <v>0</v>
      </c>
      <c r="K11" s="3" t="n">
        <v>0</v>
      </c>
      <c r="L11" s="4" t="s">
        <v>30</v>
      </c>
    </row>
    <row r="12" customFormat="false" ht="15" hidden="false" customHeight="false" outlineLevel="0" collapsed="false">
      <c r="A12" s="4" t="s">
        <v>901</v>
      </c>
      <c r="B12" s="4" t="s">
        <v>902</v>
      </c>
      <c r="C12" s="4" t="s">
        <v>902</v>
      </c>
      <c r="D12" s="4" t="s">
        <v>891</v>
      </c>
      <c r="E12" s="3" t="n">
        <v>1</v>
      </c>
      <c r="F12" s="5" t="n">
        <v>18</v>
      </c>
      <c r="G12" s="10" t="n">
        <v>0.3</v>
      </c>
      <c r="H12" s="10" t="n">
        <v>0.3</v>
      </c>
      <c r="I12" s="4" t="s">
        <v>900</v>
      </c>
      <c r="J12" s="3" t="n">
        <v>0</v>
      </c>
      <c r="K12" s="3" t="n">
        <v>0</v>
      </c>
      <c r="L12" s="4" t="s">
        <v>30</v>
      </c>
    </row>
    <row r="13" customFormat="false" ht="15" hidden="false" customHeight="false" outlineLevel="0" collapsed="false">
      <c r="A13" s="4" t="s">
        <v>903</v>
      </c>
      <c r="B13" s="4" t="s">
        <v>904</v>
      </c>
      <c r="C13" s="4" t="s">
        <v>904</v>
      </c>
      <c r="D13" s="4" t="s">
        <v>868</v>
      </c>
      <c r="E13" s="3" t="n">
        <v>1</v>
      </c>
      <c r="F13" s="5" t="n">
        <v>22</v>
      </c>
      <c r="G13" s="10" t="n">
        <v>0.75</v>
      </c>
      <c r="H13" s="10" t="n">
        <v>0.5</v>
      </c>
      <c r="I13" s="4" t="s">
        <v>876</v>
      </c>
      <c r="J13" s="3" t="n">
        <v>0</v>
      </c>
      <c r="K13" s="3" t="n">
        <v>0</v>
      </c>
      <c r="L13" s="4" t="s">
        <v>30</v>
      </c>
    </row>
    <row r="14" customFormat="false" ht="15" hidden="false" customHeight="false" outlineLevel="0" collapsed="false">
      <c r="A14" s="4" t="s">
        <v>905</v>
      </c>
      <c r="B14" s="4" t="s">
        <v>906</v>
      </c>
      <c r="C14" s="4" t="s">
        <v>906</v>
      </c>
      <c r="D14" s="4" t="s">
        <v>868</v>
      </c>
      <c r="E14" s="3" t="n">
        <v>1</v>
      </c>
      <c r="F14" s="5" t="n">
        <v>32</v>
      </c>
      <c r="G14" s="10" t="n">
        <v>5</v>
      </c>
      <c r="H14" s="10" t="n">
        <v>0.35</v>
      </c>
      <c r="I14" s="4" t="s">
        <v>884</v>
      </c>
      <c r="J14" s="3" t="n">
        <v>0</v>
      </c>
      <c r="K14" s="3" t="n">
        <v>0</v>
      </c>
      <c r="L14" s="4" t="s">
        <v>30</v>
      </c>
    </row>
    <row r="15" customFormat="false" ht="15" hidden="false" customHeight="false" outlineLevel="0" collapsed="false">
      <c r="A15" s="4" t="s">
        <v>907</v>
      </c>
      <c r="B15" s="4" t="s">
        <v>908</v>
      </c>
      <c r="C15" s="4" t="s">
        <v>908</v>
      </c>
      <c r="D15" s="4" t="s">
        <v>909</v>
      </c>
      <c r="E15" s="3" t="n">
        <v>0</v>
      </c>
      <c r="G15" s="10" t="n">
        <v>0</v>
      </c>
      <c r="H15" s="10" t="n">
        <v>0</v>
      </c>
      <c r="I15" s="4" t="s">
        <v>910</v>
      </c>
      <c r="J15" s="3" t="n">
        <v>0</v>
      </c>
      <c r="K15" s="3" t="n">
        <v>0</v>
      </c>
      <c r="L15" s="4" t="s">
        <v>30</v>
      </c>
    </row>
    <row r="16" customFormat="false" ht="15" hidden="false" customHeight="false" outlineLevel="0" collapsed="false">
      <c r="A16" s="4" t="s">
        <v>911</v>
      </c>
      <c r="B16" s="4" t="s">
        <v>912</v>
      </c>
      <c r="C16" s="4" t="s">
        <v>912</v>
      </c>
      <c r="D16" s="4" t="s">
        <v>868</v>
      </c>
      <c r="E16" s="3" t="n">
        <v>1</v>
      </c>
      <c r="F16" s="5" t="n">
        <v>26</v>
      </c>
      <c r="G16" s="10" t="n">
        <v>24</v>
      </c>
      <c r="H16" s="10" t="n">
        <v>0.6</v>
      </c>
      <c r="I16" s="4" t="s">
        <v>895</v>
      </c>
      <c r="J16" s="3" t="n">
        <v>0</v>
      </c>
      <c r="K16" s="3" t="n">
        <v>0</v>
      </c>
      <c r="L16" s="4" t="s">
        <v>30</v>
      </c>
    </row>
    <row r="17" customFormat="false" ht="15" hidden="false" customHeight="false" outlineLevel="0" collapsed="false">
      <c r="A17" s="4" t="s">
        <v>913</v>
      </c>
      <c r="B17" s="4" t="s">
        <v>914</v>
      </c>
      <c r="C17" s="4" t="s">
        <v>914</v>
      </c>
      <c r="D17" s="4" t="s">
        <v>887</v>
      </c>
      <c r="E17" s="3" t="n">
        <v>1</v>
      </c>
      <c r="F17" s="5" t="n">
        <v>16</v>
      </c>
      <c r="G17" s="10" t="n">
        <v>0.5</v>
      </c>
      <c r="H17" s="10" t="n">
        <v>0.5</v>
      </c>
      <c r="I17" s="4" t="s">
        <v>895</v>
      </c>
      <c r="J17" s="3" t="n">
        <v>0</v>
      </c>
      <c r="K17" s="3" t="n">
        <v>0</v>
      </c>
      <c r="L17" s="4" t="s">
        <v>30</v>
      </c>
    </row>
    <row r="18" customFormat="false" ht="15" hidden="false" customHeight="false" outlineLevel="0" collapsed="false">
      <c r="A18" s="4" t="s">
        <v>915</v>
      </c>
      <c r="B18" s="4" t="s">
        <v>916</v>
      </c>
      <c r="C18" s="4" t="s">
        <v>916</v>
      </c>
      <c r="D18" s="4" t="s">
        <v>891</v>
      </c>
      <c r="E18" s="3" t="n">
        <v>1</v>
      </c>
      <c r="G18" s="10" t="n">
        <v>3</v>
      </c>
      <c r="H18" s="10" t="n">
        <v>0.5</v>
      </c>
      <c r="I18" s="4" t="s">
        <v>895</v>
      </c>
      <c r="J18" s="3" t="n">
        <v>0</v>
      </c>
      <c r="K18" s="3" t="n">
        <v>0</v>
      </c>
      <c r="L18" s="4" t="s">
        <v>30</v>
      </c>
    </row>
  </sheetData>
  <autoFilter ref="A1:L18"/>
  <dataValidations count="3">
    <dataValidation allowBlank="true" error="Elija un valor de la lista." errorStyle="stop" errorTitle="Valor no válido" operator="between" showDropDown="false" showErrorMessage="true" showInputMessage="false" sqref="D2:D18" type="list">
      <formula1>"MAQUINA,EQUIPO_MANUAL,PUESTO_MANUAL,AREA,EXTERNO"</formula1>
      <formula2>0</formula2>
    </dataValidation>
    <dataValidation allowBlank="true" error="Debe ser un número entero en el rango permitido." errorStyle="stop" operator="greaterThanOrEqual" showDropDown="false" showErrorMessage="true" showInputMessage="false" sqref="E2:E18" type="whole">
      <formula1>0</formula1>
      <formula2>0</formula2>
    </dataValidation>
    <dataValidation allowBlank="true" error="Debe ser un número entero en el rango permitido." errorStyle="stop" operator="between" showDropDown="false" showErrorMessage="true" showInputMessage="false" sqref="J2:K18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K4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7" min="4" style="0" width="10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26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1" t="s">
        <v>39</v>
      </c>
      <c r="B1" s="1" t="s">
        <v>148</v>
      </c>
      <c r="C1" s="1" t="s">
        <v>150</v>
      </c>
      <c r="D1" s="1" t="s">
        <v>119</v>
      </c>
      <c r="E1" s="1" t="s">
        <v>153</v>
      </c>
      <c r="F1" s="1" t="s">
        <v>155</v>
      </c>
      <c r="G1" s="1" t="s">
        <v>159</v>
      </c>
      <c r="H1" s="1" t="s">
        <v>163</v>
      </c>
      <c r="I1" s="1" t="s">
        <v>166</v>
      </c>
      <c r="J1" s="1" t="s">
        <v>169</v>
      </c>
      <c r="K1" s="1" t="s">
        <v>5</v>
      </c>
    </row>
    <row r="2" customFormat="false" ht="15" hidden="false" customHeight="false" outlineLevel="0" collapsed="false">
      <c r="A2" s="4" t="s">
        <v>340</v>
      </c>
      <c r="B2" s="3" t="n">
        <v>1</v>
      </c>
      <c r="C2" s="4" t="s">
        <v>917</v>
      </c>
      <c r="D2" s="4" t="s">
        <v>865</v>
      </c>
      <c r="F2" s="10" t="n">
        <v>8</v>
      </c>
      <c r="G2" s="15" t="n">
        <v>34.62</v>
      </c>
      <c r="H2" s="4" t="s">
        <v>918</v>
      </c>
      <c r="I2" s="8" t="n">
        <v>0</v>
      </c>
      <c r="J2" s="4" t="s">
        <v>919</v>
      </c>
      <c r="K2" s="4" t="s">
        <v>30</v>
      </c>
    </row>
    <row r="3" customFormat="false" ht="15" hidden="false" customHeight="false" outlineLevel="0" collapsed="false">
      <c r="A3" s="4" t="s">
        <v>340</v>
      </c>
      <c r="B3" s="3" t="n">
        <v>2</v>
      </c>
      <c r="C3" s="4" t="s">
        <v>920</v>
      </c>
      <c r="D3" s="4" t="s">
        <v>870</v>
      </c>
      <c r="E3" s="3" t="n">
        <v>1</v>
      </c>
      <c r="F3" s="10" t="n">
        <v>8</v>
      </c>
      <c r="G3" s="15" t="n">
        <v>43.52</v>
      </c>
      <c r="H3" s="4" t="s">
        <v>918</v>
      </c>
      <c r="I3" s="8" t="n">
        <v>0</v>
      </c>
      <c r="J3" s="4" t="s">
        <v>919</v>
      </c>
      <c r="K3" s="4" t="s">
        <v>30</v>
      </c>
    </row>
    <row r="4" customFormat="false" ht="15" hidden="false" customHeight="false" outlineLevel="0" collapsed="false">
      <c r="A4" s="4" t="s">
        <v>340</v>
      </c>
      <c r="B4" s="3" t="n">
        <v>3</v>
      </c>
      <c r="C4" s="4" t="s">
        <v>876</v>
      </c>
      <c r="D4" s="4" t="s">
        <v>873</v>
      </c>
      <c r="E4" s="3" t="n">
        <v>2</v>
      </c>
      <c r="F4" s="10" t="n">
        <v>10</v>
      </c>
      <c r="G4" s="15" t="n">
        <v>63.2</v>
      </c>
      <c r="H4" s="4" t="s">
        <v>918</v>
      </c>
      <c r="I4" s="8" t="n">
        <v>0</v>
      </c>
      <c r="J4" s="4" t="s">
        <v>919</v>
      </c>
      <c r="K4" s="4" t="s">
        <v>30</v>
      </c>
    </row>
    <row r="5" customFormat="false" ht="15" hidden="false" customHeight="false" outlineLevel="0" collapsed="false">
      <c r="A5" s="4" t="s">
        <v>340</v>
      </c>
      <c r="B5" s="3" t="n">
        <v>4</v>
      </c>
      <c r="C5" s="4" t="s">
        <v>880</v>
      </c>
      <c r="D5" s="4" t="s">
        <v>877</v>
      </c>
      <c r="E5" s="3" t="n">
        <v>3</v>
      </c>
      <c r="F5" s="10" t="n">
        <v>12</v>
      </c>
      <c r="G5" s="15" t="n">
        <v>60</v>
      </c>
      <c r="H5" s="4" t="s">
        <v>918</v>
      </c>
      <c r="I5" s="8" t="n">
        <v>0</v>
      </c>
      <c r="J5" s="4" t="s">
        <v>919</v>
      </c>
      <c r="K5" s="4" t="s">
        <v>30</v>
      </c>
    </row>
    <row r="6" customFormat="false" ht="15" hidden="false" customHeight="false" outlineLevel="0" collapsed="false">
      <c r="A6" s="4" t="s">
        <v>340</v>
      </c>
      <c r="B6" s="3" t="n">
        <v>5</v>
      </c>
      <c r="C6" s="4" t="s">
        <v>921</v>
      </c>
      <c r="D6" s="4" t="s">
        <v>881</v>
      </c>
      <c r="E6" s="3" t="n">
        <v>4</v>
      </c>
      <c r="F6" s="10" t="n">
        <v>10</v>
      </c>
      <c r="G6" s="15" t="n">
        <v>78.4</v>
      </c>
      <c r="H6" s="4" t="s">
        <v>918</v>
      </c>
      <c r="I6" s="8" t="n">
        <v>0</v>
      </c>
      <c r="J6" s="4" t="s">
        <v>919</v>
      </c>
      <c r="K6" s="4" t="s">
        <v>30</v>
      </c>
    </row>
    <row r="7" customFormat="false" ht="15" hidden="false" customHeight="false" outlineLevel="0" collapsed="false">
      <c r="A7" s="4" t="s">
        <v>340</v>
      </c>
      <c r="B7" s="3" t="n">
        <v>6</v>
      </c>
      <c r="C7" s="4" t="s">
        <v>922</v>
      </c>
      <c r="D7" s="4" t="s">
        <v>885</v>
      </c>
      <c r="E7" s="3" t="n">
        <v>5</v>
      </c>
      <c r="F7" s="10" t="n">
        <v>3</v>
      </c>
      <c r="G7" s="15" t="n">
        <v>42</v>
      </c>
      <c r="H7" s="4" t="s">
        <v>918</v>
      </c>
      <c r="I7" s="8" t="n">
        <v>0</v>
      </c>
      <c r="J7" s="4" t="s">
        <v>919</v>
      </c>
      <c r="K7" s="4" t="s">
        <v>30</v>
      </c>
    </row>
    <row r="8" customFormat="false" ht="15" hidden="false" customHeight="false" outlineLevel="0" collapsed="false">
      <c r="A8" s="4" t="s">
        <v>340</v>
      </c>
      <c r="B8" s="3" t="n">
        <v>7</v>
      </c>
      <c r="C8" s="4" t="s">
        <v>923</v>
      </c>
      <c r="D8" s="4" t="s">
        <v>889</v>
      </c>
      <c r="E8" s="3" t="n">
        <v>6</v>
      </c>
      <c r="F8" s="10" t="n">
        <v>6</v>
      </c>
      <c r="G8" s="15" t="n">
        <v>29.7248</v>
      </c>
      <c r="H8" s="4" t="s">
        <v>918</v>
      </c>
      <c r="I8" s="8" t="n">
        <v>0</v>
      </c>
      <c r="J8" s="4" t="s">
        <v>919</v>
      </c>
      <c r="K8" s="4" t="s">
        <v>30</v>
      </c>
    </row>
    <row r="9" customFormat="false" ht="15" hidden="false" customHeight="false" outlineLevel="0" collapsed="false">
      <c r="A9" s="4" t="s">
        <v>340</v>
      </c>
      <c r="B9" s="3" t="n">
        <v>8</v>
      </c>
      <c r="C9" s="4" t="s">
        <v>924</v>
      </c>
      <c r="D9" s="4" t="s">
        <v>892</v>
      </c>
      <c r="E9" s="3" t="n">
        <v>7</v>
      </c>
      <c r="F9" s="10" t="n">
        <v>12</v>
      </c>
      <c r="G9" s="15" t="n">
        <v>8.02</v>
      </c>
      <c r="H9" s="4" t="s">
        <v>918</v>
      </c>
      <c r="I9" s="8" t="n">
        <v>0</v>
      </c>
      <c r="J9" s="4" t="s">
        <v>925</v>
      </c>
      <c r="K9" s="4" t="s">
        <v>30</v>
      </c>
    </row>
    <row r="10" customFormat="false" ht="15" hidden="false" customHeight="false" outlineLevel="0" collapsed="false">
      <c r="A10" s="4" t="s">
        <v>340</v>
      </c>
      <c r="B10" s="3" t="n">
        <v>9</v>
      </c>
      <c r="C10" s="4" t="s">
        <v>926</v>
      </c>
      <c r="D10" s="4" t="s">
        <v>911</v>
      </c>
      <c r="E10" s="3" t="n">
        <v>8</v>
      </c>
      <c r="F10" s="10" t="n">
        <v>45</v>
      </c>
      <c r="G10" s="15" t="n">
        <v>0</v>
      </c>
      <c r="H10" s="4" t="s">
        <v>927</v>
      </c>
      <c r="I10" s="8" t="n">
        <v>40</v>
      </c>
      <c r="J10" s="4" t="s">
        <v>925</v>
      </c>
      <c r="K10" s="4" t="s">
        <v>30</v>
      </c>
    </row>
    <row r="11" customFormat="false" ht="15" hidden="false" customHeight="false" outlineLevel="0" collapsed="false">
      <c r="A11" s="4" t="s">
        <v>340</v>
      </c>
      <c r="B11" s="3" t="n">
        <v>10</v>
      </c>
      <c r="C11" s="4" t="s">
        <v>928</v>
      </c>
      <c r="D11" s="4" t="s">
        <v>913</v>
      </c>
      <c r="E11" s="3" t="n">
        <v>9</v>
      </c>
      <c r="F11" s="10" t="n">
        <v>8</v>
      </c>
      <c r="G11" s="15" t="n">
        <v>2.69</v>
      </c>
      <c r="H11" s="4" t="s">
        <v>918</v>
      </c>
      <c r="I11" s="8" t="n">
        <v>0</v>
      </c>
      <c r="J11" s="4" t="s">
        <v>925</v>
      </c>
      <c r="K11" s="4" t="s">
        <v>30</v>
      </c>
    </row>
    <row r="12" customFormat="false" ht="15" hidden="false" customHeight="false" outlineLevel="0" collapsed="false">
      <c r="A12" s="4" t="s">
        <v>340</v>
      </c>
      <c r="B12" s="3" t="n">
        <v>11</v>
      </c>
      <c r="C12" s="4" t="s">
        <v>929</v>
      </c>
      <c r="D12" s="4" t="s">
        <v>896</v>
      </c>
      <c r="E12" s="3" t="n">
        <v>10</v>
      </c>
      <c r="F12" s="10" t="n">
        <v>6</v>
      </c>
      <c r="G12" s="15" t="n">
        <v>60</v>
      </c>
      <c r="H12" s="4" t="s">
        <v>918</v>
      </c>
      <c r="I12" s="8" t="n">
        <v>0</v>
      </c>
      <c r="J12" s="4" t="s">
        <v>919</v>
      </c>
      <c r="K12" s="4" t="s">
        <v>30</v>
      </c>
    </row>
    <row r="13" customFormat="false" ht="15" hidden="false" customHeight="false" outlineLevel="0" collapsed="false">
      <c r="A13" s="4" t="s">
        <v>340</v>
      </c>
      <c r="B13" s="3" t="n">
        <v>12</v>
      </c>
      <c r="C13" s="4" t="s">
        <v>930</v>
      </c>
      <c r="D13" s="4" t="s">
        <v>898</v>
      </c>
      <c r="E13" s="3" t="n">
        <v>11</v>
      </c>
      <c r="F13" s="10" t="n">
        <v>2</v>
      </c>
      <c r="G13" s="15" t="n">
        <v>3.86</v>
      </c>
      <c r="H13" s="4" t="s">
        <v>918</v>
      </c>
      <c r="I13" s="8" t="n">
        <v>0</v>
      </c>
      <c r="J13" s="4" t="s">
        <v>925</v>
      </c>
      <c r="K13" s="4" t="s">
        <v>30</v>
      </c>
    </row>
    <row r="14" customFormat="false" ht="15" hidden="false" customHeight="false" outlineLevel="0" collapsed="false">
      <c r="A14" s="4" t="s">
        <v>340</v>
      </c>
      <c r="B14" s="3" t="n">
        <v>13</v>
      </c>
      <c r="C14" s="4" t="s">
        <v>931</v>
      </c>
      <c r="D14" s="4" t="s">
        <v>901</v>
      </c>
      <c r="E14" s="3" t="n">
        <v>12</v>
      </c>
      <c r="F14" s="10" t="n">
        <v>2</v>
      </c>
      <c r="G14" s="15" t="n">
        <v>5.3</v>
      </c>
      <c r="H14" s="4" t="s">
        <v>918</v>
      </c>
      <c r="I14" s="8" t="n">
        <v>0</v>
      </c>
      <c r="J14" s="4" t="s">
        <v>925</v>
      </c>
      <c r="K14" s="4" t="s">
        <v>30</v>
      </c>
    </row>
    <row r="15" customFormat="false" ht="15" hidden="false" customHeight="false" outlineLevel="0" collapsed="false">
      <c r="A15" s="4" t="s">
        <v>343</v>
      </c>
      <c r="B15" s="3" t="n">
        <v>1</v>
      </c>
      <c r="C15" s="4" t="s">
        <v>917</v>
      </c>
      <c r="D15" s="4" t="s">
        <v>865</v>
      </c>
      <c r="F15" s="10" t="n">
        <v>8</v>
      </c>
      <c r="G15" s="15" t="n">
        <v>36.67</v>
      </c>
      <c r="H15" s="4" t="s">
        <v>918</v>
      </c>
      <c r="I15" s="8" t="n">
        <v>0</v>
      </c>
      <c r="J15" s="4" t="s">
        <v>919</v>
      </c>
      <c r="K15" s="4" t="s">
        <v>30</v>
      </c>
    </row>
    <row r="16" customFormat="false" ht="15" hidden="false" customHeight="false" outlineLevel="0" collapsed="false">
      <c r="A16" s="4" t="s">
        <v>343</v>
      </c>
      <c r="B16" s="3" t="n">
        <v>2</v>
      </c>
      <c r="C16" s="4" t="s">
        <v>920</v>
      </c>
      <c r="D16" s="4" t="s">
        <v>870</v>
      </c>
      <c r="E16" s="3" t="n">
        <v>1</v>
      </c>
      <c r="F16" s="10" t="n">
        <v>8</v>
      </c>
      <c r="G16" s="15" t="n">
        <v>52</v>
      </c>
      <c r="H16" s="4" t="s">
        <v>918</v>
      </c>
      <c r="I16" s="8" t="n">
        <v>0</v>
      </c>
      <c r="J16" s="4" t="s">
        <v>919</v>
      </c>
      <c r="K16" s="4" t="s">
        <v>30</v>
      </c>
    </row>
    <row r="17" customFormat="false" ht="15" hidden="false" customHeight="false" outlineLevel="0" collapsed="false">
      <c r="A17" s="4" t="s">
        <v>343</v>
      </c>
      <c r="B17" s="3" t="n">
        <v>3</v>
      </c>
      <c r="C17" s="4" t="s">
        <v>876</v>
      </c>
      <c r="D17" s="4" t="s">
        <v>873</v>
      </c>
      <c r="E17" s="3" t="n">
        <v>2</v>
      </c>
      <c r="F17" s="10" t="n">
        <v>10</v>
      </c>
      <c r="G17" s="15" t="n">
        <v>82.1</v>
      </c>
      <c r="H17" s="4" t="s">
        <v>918</v>
      </c>
      <c r="I17" s="8" t="n">
        <v>0</v>
      </c>
      <c r="J17" s="4" t="s">
        <v>919</v>
      </c>
      <c r="K17" s="4" t="s">
        <v>30</v>
      </c>
    </row>
    <row r="18" customFormat="false" ht="15" hidden="false" customHeight="false" outlineLevel="0" collapsed="false">
      <c r="A18" s="4" t="s">
        <v>343</v>
      </c>
      <c r="B18" s="3" t="n">
        <v>4</v>
      </c>
      <c r="C18" s="4" t="s">
        <v>880</v>
      </c>
      <c r="D18" s="4" t="s">
        <v>877</v>
      </c>
      <c r="E18" s="3" t="n">
        <v>3</v>
      </c>
      <c r="F18" s="10" t="n">
        <v>12</v>
      </c>
      <c r="G18" s="15" t="n">
        <v>69</v>
      </c>
      <c r="H18" s="4" t="s">
        <v>918</v>
      </c>
      <c r="I18" s="8" t="n">
        <v>0</v>
      </c>
      <c r="J18" s="4" t="s">
        <v>919</v>
      </c>
      <c r="K18" s="4" t="s">
        <v>30</v>
      </c>
    </row>
    <row r="19" customFormat="false" ht="15" hidden="false" customHeight="false" outlineLevel="0" collapsed="false">
      <c r="A19" s="4" t="s">
        <v>343</v>
      </c>
      <c r="B19" s="3" t="n">
        <v>5</v>
      </c>
      <c r="C19" s="4" t="s">
        <v>921</v>
      </c>
      <c r="D19" s="4" t="s">
        <v>881</v>
      </c>
      <c r="E19" s="3" t="n">
        <v>4</v>
      </c>
      <c r="F19" s="10" t="n">
        <v>10</v>
      </c>
      <c r="G19" s="15" t="n">
        <v>78.4</v>
      </c>
      <c r="H19" s="4" t="s">
        <v>918</v>
      </c>
      <c r="I19" s="8" t="n">
        <v>0</v>
      </c>
      <c r="J19" s="4" t="s">
        <v>919</v>
      </c>
      <c r="K19" s="4" t="s">
        <v>30</v>
      </c>
    </row>
    <row r="20" customFormat="false" ht="15" hidden="false" customHeight="false" outlineLevel="0" collapsed="false">
      <c r="A20" s="4" t="s">
        <v>343</v>
      </c>
      <c r="B20" s="3" t="n">
        <v>6</v>
      </c>
      <c r="C20" s="4" t="s">
        <v>922</v>
      </c>
      <c r="D20" s="4" t="s">
        <v>885</v>
      </c>
      <c r="E20" s="3" t="n">
        <v>5</v>
      </c>
      <c r="F20" s="10" t="n">
        <v>3</v>
      </c>
      <c r="G20" s="15" t="n">
        <v>49.5</v>
      </c>
      <c r="H20" s="4" t="s">
        <v>918</v>
      </c>
      <c r="I20" s="8" t="n">
        <v>0</v>
      </c>
      <c r="J20" s="4" t="s">
        <v>919</v>
      </c>
      <c r="K20" s="4" t="s">
        <v>30</v>
      </c>
    </row>
    <row r="21" customFormat="false" ht="15" hidden="false" customHeight="false" outlineLevel="0" collapsed="false">
      <c r="A21" s="4" t="s">
        <v>343</v>
      </c>
      <c r="B21" s="3" t="n">
        <v>7</v>
      </c>
      <c r="C21" s="4" t="s">
        <v>923</v>
      </c>
      <c r="D21" s="4" t="s">
        <v>889</v>
      </c>
      <c r="E21" s="3" t="n">
        <v>6</v>
      </c>
      <c r="F21" s="10" t="n">
        <v>6</v>
      </c>
      <c r="G21" s="15" t="n">
        <v>32.064</v>
      </c>
      <c r="H21" s="4" t="s">
        <v>918</v>
      </c>
      <c r="I21" s="8" t="n">
        <v>0</v>
      </c>
      <c r="J21" s="4" t="s">
        <v>919</v>
      </c>
      <c r="K21" s="4" t="s">
        <v>30</v>
      </c>
    </row>
    <row r="22" customFormat="false" ht="15" hidden="false" customHeight="false" outlineLevel="0" collapsed="false">
      <c r="A22" s="4" t="s">
        <v>343</v>
      </c>
      <c r="B22" s="3" t="n">
        <v>8</v>
      </c>
      <c r="C22" s="4" t="s">
        <v>924</v>
      </c>
      <c r="D22" s="4" t="s">
        <v>892</v>
      </c>
      <c r="E22" s="3" t="n">
        <v>7</v>
      </c>
      <c r="F22" s="10" t="n">
        <v>12</v>
      </c>
      <c r="G22" s="15" t="n">
        <v>8.02</v>
      </c>
      <c r="H22" s="4" t="s">
        <v>918</v>
      </c>
      <c r="I22" s="8" t="n">
        <v>0</v>
      </c>
      <c r="J22" s="4" t="s">
        <v>925</v>
      </c>
      <c r="K22" s="4" t="s">
        <v>30</v>
      </c>
    </row>
    <row r="23" customFormat="false" ht="15" hidden="false" customHeight="false" outlineLevel="0" collapsed="false">
      <c r="A23" s="4" t="s">
        <v>343</v>
      </c>
      <c r="B23" s="3" t="n">
        <v>9</v>
      </c>
      <c r="C23" s="4" t="s">
        <v>926</v>
      </c>
      <c r="D23" s="4" t="s">
        <v>911</v>
      </c>
      <c r="E23" s="3" t="n">
        <v>8</v>
      </c>
      <c r="F23" s="10" t="n">
        <v>45</v>
      </c>
      <c r="G23" s="15" t="n">
        <v>0</v>
      </c>
      <c r="H23" s="4" t="s">
        <v>927</v>
      </c>
      <c r="I23" s="8" t="n">
        <v>40</v>
      </c>
      <c r="J23" s="4" t="s">
        <v>925</v>
      </c>
      <c r="K23" s="4" t="s">
        <v>30</v>
      </c>
    </row>
    <row r="24" customFormat="false" ht="15" hidden="false" customHeight="false" outlineLevel="0" collapsed="false">
      <c r="A24" s="4" t="s">
        <v>343</v>
      </c>
      <c r="B24" s="3" t="n">
        <v>10</v>
      </c>
      <c r="C24" s="4" t="s">
        <v>928</v>
      </c>
      <c r="D24" s="4" t="s">
        <v>913</v>
      </c>
      <c r="E24" s="3" t="n">
        <v>9</v>
      </c>
      <c r="F24" s="10" t="n">
        <v>8</v>
      </c>
      <c r="G24" s="15" t="n">
        <v>2.69</v>
      </c>
      <c r="H24" s="4" t="s">
        <v>918</v>
      </c>
      <c r="I24" s="8" t="n">
        <v>0</v>
      </c>
      <c r="J24" s="4" t="s">
        <v>925</v>
      </c>
      <c r="K24" s="4" t="s">
        <v>30</v>
      </c>
    </row>
    <row r="25" customFormat="false" ht="15" hidden="false" customHeight="false" outlineLevel="0" collapsed="false">
      <c r="A25" s="4" t="s">
        <v>343</v>
      </c>
      <c r="B25" s="3" t="n">
        <v>11</v>
      </c>
      <c r="C25" s="4" t="s">
        <v>929</v>
      </c>
      <c r="D25" s="4" t="s">
        <v>896</v>
      </c>
      <c r="E25" s="3" t="n">
        <v>10</v>
      </c>
      <c r="F25" s="10" t="n">
        <v>6</v>
      </c>
      <c r="G25" s="15" t="n">
        <v>62.25</v>
      </c>
      <c r="H25" s="4" t="s">
        <v>918</v>
      </c>
      <c r="I25" s="8" t="n">
        <v>0</v>
      </c>
      <c r="J25" s="4" t="s">
        <v>919</v>
      </c>
      <c r="K25" s="4" t="s">
        <v>30</v>
      </c>
    </row>
    <row r="26" customFormat="false" ht="15" hidden="false" customHeight="false" outlineLevel="0" collapsed="false">
      <c r="A26" s="4" t="s">
        <v>343</v>
      </c>
      <c r="B26" s="3" t="n">
        <v>12</v>
      </c>
      <c r="C26" s="4" t="s">
        <v>930</v>
      </c>
      <c r="D26" s="4" t="s">
        <v>898</v>
      </c>
      <c r="E26" s="3" t="n">
        <v>11</v>
      </c>
      <c r="F26" s="10" t="n">
        <v>2</v>
      </c>
      <c r="G26" s="15" t="n">
        <v>3.86</v>
      </c>
      <c r="H26" s="4" t="s">
        <v>918</v>
      </c>
      <c r="I26" s="8" t="n">
        <v>0</v>
      </c>
      <c r="J26" s="4" t="s">
        <v>925</v>
      </c>
      <c r="K26" s="4" t="s">
        <v>30</v>
      </c>
    </row>
    <row r="27" customFormat="false" ht="15" hidden="false" customHeight="false" outlineLevel="0" collapsed="false">
      <c r="A27" s="4" t="s">
        <v>343</v>
      </c>
      <c r="B27" s="3" t="n">
        <v>13</v>
      </c>
      <c r="C27" s="4" t="s">
        <v>931</v>
      </c>
      <c r="D27" s="4" t="s">
        <v>901</v>
      </c>
      <c r="E27" s="3" t="n">
        <v>12</v>
      </c>
      <c r="F27" s="10" t="n">
        <v>2</v>
      </c>
      <c r="G27" s="15" t="n">
        <v>5.3</v>
      </c>
      <c r="H27" s="4" t="s">
        <v>918</v>
      </c>
      <c r="I27" s="8" t="n">
        <v>0</v>
      </c>
      <c r="J27" s="4" t="s">
        <v>925</v>
      </c>
      <c r="K27" s="4" t="s">
        <v>30</v>
      </c>
    </row>
    <row r="28" customFormat="false" ht="15" hidden="false" customHeight="false" outlineLevel="0" collapsed="false">
      <c r="A28" s="4" t="s">
        <v>358</v>
      </c>
      <c r="B28" s="3" t="n">
        <v>1</v>
      </c>
      <c r="C28" s="4" t="s">
        <v>917</v>
      </c>
      <c r="D28" s="4" t="s">
        <v>865</v>
      </c>
      <c r="F28" s="10" t="n">
        <v>8</v>
      </c>
      <c r="G28" s="15" t="n">
        <v>90.38</v>
      </c>
      <c r="H28" s="4" t="s">
        <v>918</v>
      </c>
      <c r="I28" s="8" t="n">
        <v>0</v>
      </c>
      <c r="J28" s="4" t="s">
        <v>919</v>
      </c>
      <c r="K28" s="4" t="s">
        <v>30</v>
      </c>
    </row>
    <row r="29" customFormat="false" ht="15" hidden="false" customHeight="false" outlineLevel="0" collapsed="false">
      <c r="A29" s="4" t="s">
        <v>358</v>
      </c>
      <c r="B29" s="3" t="n">
        <v>2</v>
      </c>
      <c r="C29" s="4" t="s">
        <v>920</v>
      </c>
      <c r="D29" s="4" t="s">
        <v>870</v>
      </c>
      <c r="E29" s="3" t="n">
        <v>1</v>
      </c>
      <c r="F29" s="10" t="n">
        <v>8</v>
      </c>
      <c r="G29" s="15" t="n">
        <v>5.98</v>
      </c>
      <c r="H29" s="4" t="s">
        <v>918</v>
      </c>
      <c r="I29" s="8" t="n">
        <v>0</v>
      </c>
      <c r="J29" s="4" t="s">
        <v>919</v>
      </c>
      <c r="K29" s="4" t="s">
        <v>30</v>
      </c>
    </row>
    <row r="30" customFormat="false" ht="15" hidden="false" customHeight="false" outlineLevel="0" collapsed="false">
      <c r="A30" s="4" t="s">
        <v>358</v>
      </c>
      <c r="B30" s="3" t="n">
        <v>3</v>
      </c>
      <c r="C30" s="4" t="s">
        <v>876</v>
      </c>
      <c r="D30" s="4" t="s">
        <v>873</v>
      </c>
      <c r="E30" s="3" t="n">
        <v>2</v>
      </c>
      <c r="F30" s="10" t="n">
        <v>10</v>
      </c>
      <c r="G30" s="15" t="n">
        <v>97</v>
      </c>
      <c r="H30" s="4" t="s">
        <v>918</v>
      </c>
      <c r="I30" s="8" t="n">
        <v>0</v>
      </c>
      <c r="J30" s="4" t="s">
        <v>919</v>
      </c>
      <c r="K30" s="4" t="s">
        <v>30</v>
      </c>
    </row>
    <row r="31" customFormat="false" ht="15" hidden="false" customHeight="false" outlineLevel="0" collapsed="false">
      <c r="A31" s="4" t="s">
        <v>358</v>
      </c>
      <c r="B31" s="3" t="n">
        <v>4</v>
      </c>
      <c r="C31" s="4" t="s">
        <v>880</v>
      </c>
      <c r="D31" s="4" t="s">
        <v>877</v>
      </c>
      <c r="E31" s="3" t="n">
        <v>3</v>
      </c>
      <c r="F31" s="10" t="n">
        <v>12</v>
      </c>
      <c r="G31" s="15" t="n">
        <v>196</v>
      </c>
      <c r="H31" s="4" t="s">
        <v>918</v>
      </c>
      <c r="I31" s="8" t="n">
        <v>0</v>
      </c>
      <c r="J31" s="4" t="s">
        <v>919</v>
      </c>
      <c r="K31" s="4" t="s">
        <v>30</v>
      </c>
    </row>
    <row r="32" customFormat="false" ht="15" hidden="false" customHeight="false" outlineLevel="0" collapsed="false">
      <c r="A32" s="4" t="s">
        <v>358</v>
      </c>
      <c r="B32" s="3" t="n">
        <v>5</v>
      </c>
      <c r="C32" s="4" t="s">
        <v>922</v>
      </c>
      <c r="D32" s="4" t="s">
        <v>885</v>
      </c>
      <c r="E32" s="3" t="n">
        <v>4</v>
      </c>
      <c r="F32" s="10" t="n">
        <v>3</v>
      </c>
      <c r="G32" s="15" t="n">
        <v>51</v>
      </c>
      <c r="H32" s="4" t="s">
        <v>918</v>
      </c>
      <c r="I32" s="8" t="n">
        <v>0</v>
      </c>
      <c r="J32" s="4" t="s">
        <v>919</v>
      </c>
      <c r="K32" s="4" t="s">
        <v>30</v>
      </c>
    </row>
    <row r="33" customFormat="false" ht="15" hidden="false" customHeight="false" outlineLevel="0" collapsed="false">
      <c r="A33" s="4" t="s">
        <v>358</v>
      </c>
      <c r="B33" s="3" t="n">
        <v>6</v>
      </c>
      <c r="C33" s="4" t="s">
        <v>923</v>
      </c>
      <c r="D33" s="4" t="s">
        <v>889</v>
      </c>
      <c r="E33" s="3" t="n">
        <v>5</v>
      </c>
      <c r="F33" s="10" t="n">
        <v>6</v>
      </c>
      <c r="G33" s="15" t="n">
        <v>40.5152</v>
      </c>
      <c r="H33" s="4" t="s">
        <v>918</v>
      </c>
      <c r="I33" s="8" t="n">
        <v>0</v>
      </c>
      <c r="J33" s="4" t="s">
        <v>919</v>
      </c>
      <c r="K33" s="4" t="s">
        <v>30</v>
      </c>
    </row>
    <row r="34" customFormat="false" ht="15" hidden="false" customHeight="false" outlineLevel="0" collapsed="false">
      <c r="A34" s="4" t="s">
        <v>358</v>
      </c>
      <c r="B34" s="3" t="n">
        <v>7</v>
      </c>
      <c r="C34" s="4" t="s">
        <v>924</v>
      </c>
      <c r="D34" s="4" t="s">
        <v>892</v>
      </c>
      <c r="E34" s="3" t="n">
        <v>6</v>
      </c>
      <c r="F34" s="10" t="n">
        <v>12</v>
      </c>
      <c r="G34" s="15" t="n">
        <v>7.76</v>
      </c>
      <c r="H34" s="4" t="s">
        <v>918</v>
      </c>
      <c r="I34" s="8" t="n">
        <v>0</v>
      </c>
      <c r="J34" s="4" t="s">
        <v>925</v>
      </c>
      <c r="K34" s="4" t="s">
        <v>30</v>
      </c>
    </row>
    <row r="35" customFormat="false" ht="15" hidden="false" customHeight="false" outlineLevel="0" collapsed="false">
      <c r="A35" s="4" t="s">
        <v>358</v>
      </c>
      <c r="B35" s="3" t="n">
        <v>8</v>
      </c>
      <c r="C35" s="4" t="s">
        <v>926</v>
      </c>
      <c r="D35" s="4" t="s">
        <v>911</v>
      </c>
      <c r="E35" s="3" t="n">
        <v>7</v>
      </c>
      <c r="F35" s="10" t="n">
        <v>45</v>
      </c>
      <c r="G35" s="15" t="n">
        <v>0</v>
      </c>
      <c r="H35" s="4" t="s">
        <v>927</v>
      </c>
      <c r="I35" s="8" t="n">
        <v>40</v>
      </c>
      <c r="J35" s="4" t="s">
        <v>925</v>
      </c>
      <c r="K35" s="4" t="s">
        <v>30</v>
      </c>
    </row>
    <row r="36" customFormat="false" ht="15" hidden="false" customHeight="false" outlineLevel="0" collapsed="false">
      <c r="A36" s="4" t="s">
        <v>358</v>
      </c>
      <c r="B36" s="3" t="n">
        <v>9</v>
      </c>
      <c r="C36" s="4" t="s">
        <v>928</v>
      </c>
      <c r="D36" s="4" t="s">
        <v>913</v>
      </c>
      <c r="E36" s="3" t="n">
        <v>8</v>
      </c>
      <c r="F36" s="10" t="n">
        <v>8</v>
      </c>
      <c r="G36" s="15" t="n">
        <v>2.63</v>
      </c>
      <c r="H36" s="4" t="s">
        <v>918</v>
      </c>
      <c r="I36" s="8" t="n">
        <v>0</v>
      </c>
      <c r="J36" s="4" t="s">
        <v>925</v>
      </c>
      <c r="K36" s="4" t="s">
        <v>30</v>
      </c>
    </row>
    <row r="37" customFormat="false" ht="15" hidden="false" customHeight="false" outlineLevel="0" collapsed="false">
      <c r="A37" s="4" t="s">
        <v>358</v>
      </c>
      <c r="B37" s="3" t="n">
        <v>10</v>
      </c>
      <c r="C37" s="4" t="s">
        <v>929</v>
      </c>
      <c r="D37" s="4" t="s">
        <v>896</v>
      </c>
      <c r="E37" s="3" t="n">
        <v>9</v>
      </c>
      <c r="F37" s="10" t="n">
        <v>6</v>
      </c>
      <c r="G37" s="15" t="n">
        <v>69</v>
      </c>
      <c r="H37" s="4" t="s">
        <v>918</v>
      </c>
      <c r="I37" s="8" t="n">
        <v>0</v>
      </c>
      <c r="J37" s="4" t="s">
        <v>919</v>
      </c>
      <c r="K37" s="4" t="s">
        <v>30</v>
      </c>
    </row>
    <row r="38" customFormat="false" ht="15" hidden="false" customHeight="false" outlineLevel="0" collapsed="false">
      <c r="A38" s="4" t="s">
        <v>358</v>
      </c>
      <c r="B38" s="3" t="n">
        <v>11</v>
      </c>
      <c r="C38" s="4" t="s">
        <v>930</v>
      </c>
      <c r="D38" s="4" t="s">
        <v>898</v>
      </c>
      <c r="E38" s="3" t="n">
        <v>10</v>
      </c>
      <c r="F38" s="10" t="n">
        <v>2</v>
      </c>
      <c r="G38" s="15" t="n">
        <v>3.79</v>
      </c>
      <c r="H38" s="4" t="s">
        <v>918</v>
      </c>
      <c r="I38" s="8" t="n">
        <v>0</v>
      </c>
      <c r="J38" s="4" t="s">
        <v>925</v>
      </c>
      <c r="K38" s="4" t="s">
        <v>30</v>
      </c>
    </row>
    <row r="39" customFormat="false" ht="15" hidden="false" customHeight="false" outlineLevel="0" collapsed="false">
      <c r="A39" s="4" t="s">
        <v>358</v>
      </c>
      <c r="B39" s="3" t="n">
        <v>12</v>
      </c>
      <c r="C39" s="4" t="s">
        <v>931</v>
      </c>
      <c r="D39" s="4" t="s">
        <v>901</v>
      </c>
      <c r="E39" s="3" t="n">
        <v>11</v>
      </c>
      <c r="F39" s="10" t="n">
        <v>2</v>
      </c>
      <c r="G39" s="15" t="n">
        <v>5.18</v>
      </c>
      <c r="H39" s="4" t="s">
        <v>918</v>
      </c>
      <c r="I39" s="8" t="n">
        <v>0</v>
      </c>
      <c r="J39" s="4" t="s">
        <v>925</v>
      </c>
      <c r="K39" s="4" t="s">
        <v>30</v>
      </c>
    </row>
    <row r="40" customFormat="false" ht="15" hidden="false" customHeight="false" outlineLevel="0" collapsed="false">
      <c r="A40" s="4" t="s">
        <v>361</v>
      </c>
      <c r="B40" s="3" t="n">
        <v>1</v>
      </c>
      <c r="C40" s="4" t="s">
        <v>917</v>
      </c>
      <c r="D40" s="4" t="s">
        <v>865</v>
      </c>
      <c r="F40" s="10" t="n">
        <v>8</v>
      </c>
      <c r="G40" s="15" t="n">
        <v>56.975</v>
      </c>
      <c r="H40" s="4" t="s">
        <v>918</v>
      </c>
      <c r="I40" s="8" t="n">
        <v>0</v>
      </c>
      <c r="J40" s="4" t="s">
        <v>919</v>
      </c>
      <c r="K40" s="4" t="s">
        <v>30</v>
      </c>
    </row>
    <row r="41" customFormat="false" ht="15" hidden="false" customHeight="false" outlineLevel="0" collapsed="false">
      <c r="A41" s="4" t="s">
        <v>361</v>
      </c>
      <c r="B41" s="3" t="n">
        <v>2</v>
      </c>
      <c r="C41" s="4" t="s">
        <v>920</v>
      </c>
      <c r="D41" s="4" t="s">
        <v>870</v>
      </c>
      <c r="E41" s="3" t="n">
        <v>1</v>
      </c>
      <c r="F41" s="10" t="n">
        <v>8</v>
      </c>
      <c r="G41" s="15" t="n">
        <v>6.28</v>
      </c>
      <c r="H41" s="4" t="s">
        <v>918</v>
      </c>
      <c r="I41" s="8" t="n">
        <v>0</v>
      </c>
      <c r="J41" s="4" t="s">
        <v>919</v>
      </c>
      <c r="K41" s="4" t="s">
        <v>30</v>
      </c>
    </row>
    <row r="42" customFormat="false" ht="15" hidden="false" customHeight="false" outlineLevel="0" collapsed="false">
      <c r="A42" s="4" t="s">
        <v>361</v>
      </c>
      <c r="B42" s="3" t="n">
        <v>3</v>
      </c>
      <c r="C42" s="4" t="s">
        <v>876</v>
      </c>
      <c r="D42" s="4" t="s">
        <v>873</v>
      </c>
      <c r="E42" s="3" t="n">
        <v>2</v>
      </c>
      <c r="F42" s="10" t="n">
        <v>10</v>
      </c>
      <c r="G42" s="15" t="n">
        <v>67</v>
      </c>
      <c r="H42" s="4" t="s">
        <v>918</v>
      </c>
      <c r="I42" s="8" t="n">
        <v>0</v>
      </c>
      <c r="J42" s="4" t="s">
        <v>919</v>
      </c>
      <c r="K42" s="4" t="s">
        <v>30</v>
      </c>
    </row>
    <row r="43" customFormat="false" ht="15" hidden="false" customHeight="false" outlineLevel="0" collapsed="false">
      <c r="A43" s="4" t="s">
        <v>361</v>
      </c>
      <c r="B43" s="3" t="n">
        <v>4</v>
      </c>
      <c r="C43" s="4" t="s">
        <v>880</v>
      </c>
      <c r="D43" s="4" t="s">
        <v>877</v>
      </c>
      <c r="E43" s="3" t="n">
        <v>3</v>
      </c>
      <c r="F43" s="10" t="n">
        <v>12</v>
      </c>
      <c r="G43" s="15" t="n">
        <v>124</v>
      </c>
      <c r="H43" s="4" t="s">
        <v>918</v>
      </c>
      <c r="I43" s="8" t="n">
        <v>0</v>
      </c>
      <c r="J43" s="4" t="s">
        <v>919</v>
      </c>
      <c r="K43" s="4" t="s">
        <v>30</v>
      </c>
    </row>
    <row r="44" customFormat="false" ht="15" hidden="false" customHeight="false" outlineLevel="0" collapsed="false">
      <c r="A44" s="4" t="s">
        <v>361</v>
      </c>
      <c r="B44" s="3" t="n">
        <v>5</v>
      </c>
      <c r="C44" s="4" t="s">
        <v>921</v>
      </c>
      <c r="D44" s="4" t="s">
        <v>881</v>
      </c>
      <c r="E44" s="3" t="n">
        <v>4</v>
      </c>
      <c r="F44" s="10" t="n">
        <v>10</v>
      </c>
      <c r="G44" s="15" t="n">
        <v>5.6</v>
      </c>
      <c r="H44" s="4" t="s">
        <v>918</v>
      </c>
      <c r="I44" s="8" t="n">
        <v>0</v>
      </c>
      <c r="J44" s="4" t="s">
        <v>919</v>
      </c>
      <c r="K44" s="4" t="s">
        <v>30</v>
      </c>
    </row>
    <row r="45" customFormat="false" ht="15" hidden="false" customHeight="false" outlineLevel="0" collapsed="false">
      <c r="A45" s="4" t="s">
        <v>361</v>
      </c>
      <c r="B45" s="3" t="n">
        <v>6</v>
      </c>
      <c r="C45" s="4" t="s">
        <v>922</v>
      </c>
      <c r="D45" s="4" t="s">
        <v>885</v>
      </c>
      <c r="E45" s="3" t="n">
        <v>5</v>
      </c>
      <c r="F45" s="10" t="n">
        <v>3</v>
      </c>
      <c r="G45" s="15" t="n">
        <v>33</v>
      </c>
      <c r="H45" s="4" t="s">
        <v>918</v>
      </c>
      <c r="I45" s="8" t="n">
        <v>0</v>
      </c>
      <c r="J45" s="4" t="s">
        <v>919</v>
      </c>
      <c r="K45" s="4" t="s">
        <v>30</v>
      </c>
    </row>
    <row r="46" customFormat="false" ht="15" hidden="false" customHeight="false" outlineLevel="0" collapsed="false">
      <c r="A46" s="4" t="s">
        <v>361</v>
      </c>
      <c r="B46" s="3" t="n">
        <v>7</v>
      </c>
      <c r="C46" s="4" t="s">
        <v>923</v>
      </c>
      <c r="D46" s="4" t="s">
        <v>889</v>
      </c>
      <c r="E46" s="3" t="n">
        <v>6</v>
      </c>
      <c r="F46" s="10" t="n">
        <v>6</v>
      </c>
      <c r="G46" s="15" t="n">
        <v>27.0712</v>
      </c>
      <c r="H46" s="4" t="s">
        <v>918</v>
      </c>
      <c r="I46" s="8" t="n">
        <v>0</v>
      </c>
      <c r="J46" s="4" t="s">
        <v>919</v>
      </c>
      <c r="K46" s="4" t="s">
        <v>30</v>
      </c>
    </row>
    <row r="47" customFormat="false" ht="15" hidden="false" customHeight="false" outlineLevel="0" collapsed="false">
      <c r="A47" s="4" t="s">
        <v>361</v>
      </c>
      <c r="B47" s="3" t="n">
        <v>8</v>
      </c>
      <c r="C47" s="4" t="s">
        <v>924</v>
      </c>
      <c r="D47" s="4" t="s">
        <v>892</v>
      </c>
      <c r="E47" s="3" t="n">
        <v>7</v>
      </c>
      <c r="F47" s="10" t="n">
        <v>12</v>
      </c>
      <c r="G47" s="15" t="n">
        <v>7.34</v>
      </c>
      <c r="H47" s="4" t="s">
        <v>918</v>
      </c>
      <c r="I47" s="8" t="n">
        <v>0</v>
      </c>
      <c r="J47" s="4" t="s">
        <v>925</v>
      </c>
      <c r="K47" s="4" t="s">
        <v>30</v>
      </c>
    </row>
    <row r="48" customFormat="false" ht="15" hidden="false" customHeight="false" outlineLevel="0" collapsed="false">
      <c r="A48" s="4" t="s">
        <v>361</v>
      </c>
      <c r="B48" s="3" t="n">
        <v>9</v>
      </c>
      <c r="C48" s="4" t="s">
        <v>926</v>
      </c>
      <c r="D48" s="4" t="s">
        <v>911</v>
      </c>
      <c r="E48" s="3" t="n">
        <v>8</v>
      </c>
      <c r="F48" s="10" t="n">
        <v>45</v>
      </c>
      <c r="G48" s="15" t="n">
        <v>0</v>
      </c>
      <c r="H48" s="4" t="s">
        <v>927</v>
      </c>
      <c r="I48" s="8" t="n">
        <v>40</v>
      </c>
      <c r="J48" s="4" t="s">
        <v>925</v>
      </c>
      <c r="K48" s="4" t="s">
        <v>30</v>
      </c>
    </row>
    <row r="49" customFormat="false" ht="15" hidden="false" customHeight="false" outlineLevel="0" collapsed="false">
      <c r="A49" s="4" t="s">
        <v>361</v>
      </c>
      <c r="B49" s="3" t="n">
        <v>10</v>
      </c>
      <c r="C49" s="4" t="s">
        <v>928</v>
      </c>
      <c r="D49" s="4" t="s">
        <v>913</v>
      </c>
      <c r="E49" s="3" t="n">
        <v>9</v>
      </c>
      <c r="F49" s="10" t="n">
        <v>8</v>
      </c>
      <c r="G49" s="15" t="n">
        <v>2.54</v>
      </c>
      <c r="H49" s="4" t="s">
        <v>918</v>
      </c>
      <c r="I49" s="8" t="n">
        <v>0</v>
      </c>
      <c r="J49" s="4" t="s">
        <v>925</v>
      </c>
      <c r="K49" s="4" t="s">
        <v>30</v>
      </c>
    </row>
    <row r="50" customFormat="false" ht="15" hidden="false" customHeight="false" outlineLevel="0" collapsed="false">
      <c r="A50" s="4" t="s">
        <v>361</v>
      </c>
      <c r="B50" s="3" t="n">
        <v>11</v>
      </c>
      <c r="C50" s="4" t="s">
        <v>929</v>
      </c>
      <c r="D50" s="4" t="s">
        <v>896</v>
      </c>
      <c r="E50" s="3" t="n">
        <v>10</v>
      </c>
      <c r="F50" s="10" t="n">
        <v>6</v>
      </c>
      <c r="G50" s="15" t="n">
        <v>48.75</v>
      </c>
      <c r="H50" s="4" t="s">
        <v>918</v>
      </c>
      <c r="I50" s="8" t="n">
        <v>0</v>
      </c>
      <c r="J50" s="4" t="s">
        <v>919</v>
      </c>
      <c r="K50" s="4" t="s">
        <v>30</v>
      </c>
    </row>
    <row r="51" customFormat="false" ht="15" hidden="false" customHeight="false" outlineLevel="0" collapsed="false">
      <c r="A51" s="4" t="s">
        <v>361</v>
      </c>
      <c r="B51" s="3" t="n">
        <v>12</v>
      </c>
      <c r="C51" s="4" t="s">
        <v>930</v>
      </c>
      <c r="D51" s="4" t="s">
        <v>898</v>
      </c>
      <c r="E51" s="3" t="n">
        <v>11</v>
      </c>
      <c r="F51" s="10" t="n">
        <v>2</v>
      </c>
      <c r="G51" s="15" t="n">
        <v>3.67</v>
      </c>
      <c r="H51" s="4" t="s">
        <v>918</v>
      </c>
      <c r="I51" s="8" t="n">
        <v>0</v>
      </c>
      <c r="J51" s="4" t="s">
        <v>925</v>
      </c>
      <c r="K51" s="4" t="s">
        <v>30</v>
      </c>
    </row>
    <row r="52" customFormat="false" ht="15" hidden="false" customHeight="false" outlineLevel="0" collapsed="false">
      <c r="A52" s="4" t="s">
        <v>361</v>
      </c>
      <c r="B52" s="3" t="n">
        <v>13</v>
      </c>
      <c r="C52" s="4" t="s">
        <v>931</v>
      </c>
      <c r="D52" s="4" t="s">
        <v>901</v>
      </c>
      <c r="E52" s="3" t="n">
        <v>12</v>
      </c>
      <c r="F52" s="10" t="n">
        <v>2</v>
      </c>
      <c r="G52" s="15" t="n">
        <v>5</v>
      </c>
      <c r="H52" s="4" t="s">
        <v>918</v>
      </c>
      <c r="I52" s="8" t="n">
        <v>0</v>
      </c>
      <c r="J52" s="4" t="s">
        <v>925</v>
      </c>
      <c r="K52" s="4" t="s">
        <v>30</v>
      </c>
    </row>
    <row r="53" customFormat="false" ht="15" hidden="false" customHeight="false" outlineLevel="0" collapsed="false">
      <c r="A53" s="4" t="s">
        <v>375</v>
      </c>
      <c r="B53" s="3" t="n">
        <v>1</v>
      </c>
      <c r="C53" s="4" t="s">
        <v>917</v>
      </c>
      <c r="D53" s="4" t="s">
        <v>865</v>
      </c>
      <c r="F53" s="10" t="n">
        <v>8</v>
      </c>
      <c r="G53" s="15" t="n">
        <v>40.245</v>
      </c>
      <c r="H53" s="4" t="s">
        <v>918</v>
      </c>
      <c r="I53" s="8" t="n">
        <v>0</v>
      </c>
      <c r="J53" s="4" t="s">
        <v>919</v>
      </c>
      <c r="K53" s="4" t="s">
        <v>30</v>
      </c>
    </row>
    <row r="54" customFormat="false" ht="15" hidden="false" customHeight="false" outlineLevel="0" collapsed="false">
      <c r="A54" s="4" t="s">
        <v>375</v>
      </c>
      <c r="B54" s="3" t="n">
        <v>2</v>
      </c>
      <c r="C54" s="4" t="s">
        <v>876</v>
      </c>
      <c r="D54" s="4" t="s">
        <v>873</v>
      </c>
      <c r="E54" s="3" t="n">
        <v>1</v>
      </c>
      <c r="F54" s="10" t="n">
        <v>10</v>
      </c>
      <c r="G54" s="15" t="n">
        <v>14.8</v>
      </c>
      <c r="H54" s="4" t="s">
        <v>918</v>
      </c>
      <c r="I54" s="8" t="n">
        <v>0</v>
      </c>
      <c r="J54" s="4" t="s">
        <v>919</v>
      </c>
      <c r="K54" s="4" t="s">
        <v>30</v>
      </c>
    </row>
    <row r="55" customFormat="false" ht="15" hidden="false" customHeight="false" outlineLevel="0" collapsed="false">
      <c r="A55" s="4" t="s">
        <v>375</v>
      </c>
      <c r="B55" s="3" t="n">
        <v>3</v>
      </c>
      <c r="C55" s="4" t="s">
        <v>880</v>
      </c>
      <c r="D55" s="4" t="s">
        <v>877</v>
      </c>
      <c r="E55" s="3" t="n">
        <v>2</v>
      </c>
      <c r="F55" s="10" t="n">
        <v>12</v>
      </c>
      <c r="G55" s="15" t="n">
        <v>104</v>
      </c>
      <c r="H55" s="4" t="s">
        <v>918</v>
      </c>
      <c r="I55" s="8" t="n">
        <v>0</v>
      </c>
      <c r="J55" s="4" t="s">
        <v>919</v>
      </c>
      <c r="K55" s="4" t="s">
        <v>30</v>
      </c>
    </row>
    <row r="56" customFormat="false" ht="15" hidden="false" customHeight="false" outlineLevel="0" collapsed="false">
      <c r="A56" s="4" t="s">
        <v>375</v>
      </c>
      <c r="B56" s="3" t="n">
        <v>4</v>
      </c>
      <c r="C56" s="4" t="s">
        <v>922</v>
      </c>
      <c r="D56" s="4" t="s">
        <v>885</v>
      </c>
      <c r="E56" s="3" t="n">
        <v>3</v>
      </c>
      <c r="F56" s="10" t="n">
        <v>3</v>
      </c>
      <c r="G56" s="15" t="n">
        <v>18</v>
      </c>
      <c r="H56" s="4" t="s">
        <v>918</v>
      </c>
      <c r="I56" s="8" t="n">
        <v>0</v>
      </c>
      <c r="J56" s="4" t="s">
        <v>919</v>
      </c>
      <c r="K56" s="4" t="s">
        <v>30</v>
      </c>
    </row>
    <row r="57" customFormat="false" ht="15" hidden="false" customHeight="false" outlineLevel="0" collapsed="false">
      <c r="A57" s="4" t="s">
        <v>375</v>
      </c>
      <c r="B57" s="3" t="n">
        <v>5</v>
      </c>
      <c r="C57" s="4" t="s">
        <v>923</v>
      </c>
      <c r="D57" s="4" t="s">
        <v>889</v>
      </c>
      <c r="E57" s="3" t="n">
        <v>4</v>
      </c>
      <c r="F57" s="10" t="n">
        <v>6</v>
      </c>
      <c r="G57" s="15" t="n">
        <v>26.324</v>
      </c>
      <c r="H57" s="4" t="s">
        <v>918</v>
      </c>
      <c r="I57" s="8" t="n">
        <v>0</v>
      </c>
      <c r="J57" s="4" t="s">
        <v>919</v>
      </c>
      <c r="K57" s="4" t="s">
        <v>30</v>
      </c>
    </row>
    <row r="58" customFormat="false" ht="15" hidden="false" customHeight="false" outlineLevel="0" collapsed="false">
      <c r="A58" s="4" t="s">
        <v>375</v>
      </c>
      <c r="B58" s="3" t="n">
        <v>6</v>
      </c>
      <c r="C58" s="4" t="s">
        <v>924</v>
      </c>
      <c r="D58" s="4" t="s">
        <v>892</v>
      </c>
      <c r="E58" s="3" t="n">
        <v>5</v>
      </c>
      <c r="F58" s="10" t="n">
        <v>12</v>
      </c>
      <c r="G58" s="15" t="n">
        <v>6.83</v>
      </c>
      <c r="H58" s="4" t="s">
        <v>918</v>
      </c>
      <c r="I58" s="8" t="n">
        <v>0</v>
      </c>
      <c r="J58" s="4" t="s">
        <v>925</v>
      </c>
      <c r="K58" s="4" t="s">
        <v>30</v>
      </c>
    </row>
    <row r="59" customFormat="false" ht="15" hidden="false" customHeight="false" outlineLevel="0" collapsed="false">
      <c r="A59" s="4" t="s">
        <v>375</v>
      </c>
      <c r="B59" s="3" t="n">
        <v>7</v>
      </c>
      <c r="C59" s="4" t="s">
        <v>926</v>
      </c>
      <c r="D59" s="4" t="s">
        <v>911</v>
      </c>
      <c r="E59" s="3" t="n">
        <v>6</v>
      </c>
      <c r="F59" s="10" t="n">
        <v>45</v>
      </c>
      <c r="G59" s="15" t="n">
        <v>0</v>
      </c>
      <c r="H59" s="4" t="s">
        <v>927</v>
      </c>
      <c r="I59" s="8" t="n">
        <v>40</v>
      </c>
      <c r="J59" s="4" t="s">
        <v>925</v>
      </c>
      <c r="K59" s="4" t="s">
        <v>30</v>
      </c>
    </row>
    <row r="60" customFormat="false" ht="15" hidden="false" customHeight="false" outlineLevel="0" collapsed="false">
      <c r="A60" s="4" t="s">
        <v>375</v>
      </c>
      <c r="B60" s="3" t="n">
        <v>8</v>
      </c>
      <c r="C60" s="4" t="s">
        <v>928</v>
      </c>
      <c r="D60" s="4" t="s">
        <v>913</v>
      </c>
      <c r="E60" s="3" t="n">
        <v>7</v>
      </c>
      <c r="F60" s="10" t="n">
        <v>8</v>
      </c>
      <c r="G60" s="15" t="n">
        <v>2.42</v>
      </c>
      <c r="H60" s="4" t="s">
        <v>918</v>
      </c>
      <c r="I60" s="8" t="n">
        <v>0</v>
      </c>
      <c r="J60" s="4" t="s">
        <v>925</v>
      </c>
      <c r="K60" s="4" t="s">
        <v>30</v>
      </c>
    </row>
    <row r="61" customFormat="false" ht="15" hidden="false" customHeight="false" outlineLevel="0" collapsed="false">
      <c r="A61" s="4" t="s">
        <v>375</v>
      </c>
      <c r="B61" s="3" t="n">
        <v>9</v>
      </c>
      <c r="C61" s="4" t="s">
        <v>929</v>
      </c>
      <c r="D61" s="4" t="s">
        <v>896</v>
      </c>
      <c r="E61" s="3" t="n">
        <v>8</v>
      </c>
      <c r="F61" s="10" t="n">
        <v>6</v>
      </c>
      <c r="G61" s="15" t="n">
        <v>42</v>
      </c>
      <c r="H61" s="4" t="s">
        <v>918</v>
      </c>
      <c r="I61" s="8" t="n">
        <v>0</v>
      </c>
      <c r="J61" s="4" t="s">
        <v>919</v>
      </c>
      <c r="K61" s="4" t="s">
        <v>30</v>
      </c>
    </row>
    <row r="62" customFormat="false" ht="15" hidden="false" customHeight="false" outlineLevel="0" collapsed="false">
      <c r="A62" s="4" t="s">
        <v>375</v>
      </c>
      <c r="B62" s="3" t="n">
        <v>10</v>
      </c>
      <c r="C62" s="4" t="s">
        <v>930</v>
      </c>
      <c r="D62" s="4" t="s">
        <v>898</v>
      </c>
      <c r="E62" s="3" t="n">
        <v>9</v>
      </c>
      <c r="F62" s="10" t="n">
        <v>2</v>
      </c>
      <c r="G62" s="15" t="n">
        <v>3.52</v>
      </c>
      <c r="H62" s="4" t="s">
        <v>918</v>
      </c>
      <c r="I62" s="8" t="n">
        <v>0</v>
      </c>
      <c r="J62" s="4" t="s">
        <v>925</v>
      </c>
      <c r="K62" s="4" t="s">
        <v>30</v>
      </c>
    </row>
    <row r="63" customFormat="false" ht="15" hidden="false" customHeight="false" outlineLevel="0" collapsed="false">
      <c r="A63" s="4" t="s">
        <v>375</v>
      </c>
      <c r="B63" s="3" t="n">
        <v>11</v>
      </c>
      <c r="C63" s="4" t="s">
        <v>931</v>
      </c>
      <c r="D63" s="4" t="s">
        <v>901</v>
      </c>
      <c r="E63" s="3" t="n">
        <v>10</v>
      </c>
      <c r="F63" s="10" t="n">
        <v>2</v>
      </c>
      <c r="G63" s="15" t="n">
        <v>4.78</v>
      </c>
      <c r="H63" s="4" t="s">
        <v>918</v>
      </c>
      <c r="I63" s="8" t="n">
        <v>0</v>
      </c>
      <c r="J63" s="4" t="s">
        <v>925</v>
      </c>
      <c r="K63" s="4" t="s">
        <v>30</v>
      </c>
    </row>
    <row r="64" customFormat="false" ht="15" hidden="false" customHeight="false" outlineLevel="0" collapsed="false">
      <c r="A64" s="4" t="s">
        <v>378</v>
      </c>
      <c r="B64" s="3" t="n">
        <v>1</v>
      </c>
      <c r="C64" s="4" t="s">
        <v>917</v>
      </c>
      <c r="D64" s="4" t="s">
        <v>865</v>
      </c>
      <c r="F64" s="10" t="n">
        <v>8</v>
      </c>
      <c r="G64" s="15" t="n">
        <v>57.14</v>
      </c>
      <c r="H64" s="4" t="s">
        <v>918</v>
      </c>
      <c r="I64" s="8" t="n">
        <v>0</v>
      </c>
      <c r="J64" s="4" t="s">
        <v>919</v>
      </c>
      <c r="K64" s="4" t="s">
        <v>30</v>
      </c>
    </row>
    <row r="65" customFormat="false" ht="15" hidden="false" customHeight="false" outlineLevel="0" collapsed="false">
      <c r="A65" s="4" t="s">
        <v>378</v>
      </c>
      <c r="B65" s="3" t="n">
        <v>2</v>
      </c>
      <c r="C65" s="4" t="s">
        <v>876</v>
      </c>
      <c r="D65" s="4" t="s">
        <v>873</v>
      </c>
      <c r="E65" s="3" t="n">
        <v>1</v>
      </c>
      <c r="F65" s="10" t="n">
        <v>10</v>
      </c>
      <c r="G65" s="15" t="n">
        <v>27</v>
      </c>
      <c r="H65" s="4" t="s">
        <v>918</v>
      </c>
      <c r="I65" s="8" t="n">
        <v>0</v>
      </c>
      <c r="J65" s="4" t="s">
        <v>919</v>
      </c>
      <c r="K65" s="4" t="s">
        <v>30</v>
      </c>
    </row>
    <row r="66" customFormat="false" ht="15" hidden="false" customHeight="false" outlineLevel="0" collapsed="false">
      <c r="A66" s="4" t="s">
        <v>378</v>
      </c>
      <c r="B66" s="3" t="n">
        <v>3</v>
      </c>
      <c r="C66" s="4" t="s">
        <v>880</v>
      </c>
      <c r="D66" s="4" t="s">
        <v>877</v>
      </c>
      <c r="E66" s="3" t="n">
        <v>2</v>
      </c>
      <c r="F66" s="10" t="n">
        <v>12</v>
      </c>
      <c r="G66" s="15" t="n">
        <v>149</v>
      </c>
      <c r="H66" s="4" t="s">
        <v>918</v>
      </c>
      <c r="I66" s="8" t="n">
        <v>0</v>
      </c>
      <c r="J66" s="4" t="s">
        <v>919</v>
      </c>
      <c r="K66" s="4" t="s">
        <v>30</v>
      </c>
    </row>
    <row r="67" customFormat="false" ht="15" hidden="false" customHeight="false" outlineLevel="0" collapsed="false">
      <c r="A67" s="4" t="s">
        <v>378</v>
      </c>
      <c r="B67" s="3" t="n">
        <v>4</v>
      </c>
      <c r="C67" s="4" t="s">
        <v>922</v>
      </c>
      <c r="D67" s="4" t="s">
        <v>885</v>
      </c>
      <c r="E67" s="3" t="n">
        <v>3</v>
      </c>
      <c r="F67" s="10" t="n">
        <v>3</v>
      </c>
      <c r="G67" s="15" t="n">
        <v>25.5</v>
      </c>
      <c r="H67" s="4" t="s">
        <v>918</v>
      </c>
      <c r="I67" s="8" t="n">
        <v>0</v>
      </c>
      <c r="J67" s="4" t="s">
        <v>919</v>
      </c>
      <c r="K67" s="4" t="s">
        <v>30</v>
      </c>
    </row>
    <row r="68" customFormat="false" ht="15" hidden="false" customHeight="false" outlineLevel="0" collapsed="false">
      <c r="A68" s="4" t="s">
        <v>378</v>
      </c>
      <c r="B68" s="3" t="n">
        <v>5</v>
      </c>
      <c r="C68" s="4" t="s">
        <v>923</v>
      </c>
      <c r="D68" s="4" t="s">
        <v>889</v>
      </c>
      <c r="E68" s="3" t="n">
        <v>4</v>
      </c>
      <c r="F68" s="10" t="n">
        <v>6</v>
      </c>
      <c r="G68" s="15" t="n">
        <v>37.528</v>
      </c>
      <c r="H68" s="4" t="s">
        <v>918</v>
      </c>
      <c r="I68" s="8" t="n">
        <v>0</v>
      </c>
      <c r="J68" s="4" t="s">
        <v>919</v>
      </c>
      <c r="K68" s="4" t="s">
        <v>30</v>
      </c>
    </row>
    <row r="69" customFormat="false" ht="15" hidden="false" customHeight="false" outlineLevel="0" collapsed="false">
      <c r="A69" s="4" t="s">
        <v>378</v>
      </c>
      <c r="B69" s="3" t="n">
        <v>6</v>
      </c>
      <c r="C69" s="4" t="s">
        <v>924</v>
      </c>
      <c r="D69" s="4" t="s">
        <v>892</v>
      </c>
      <c r="E69" s="3" t="n">
        <v>5</v>
      </c>
      <c r="F69" s="10" t="n">
        <v>12</v>
      </c>
      <c r="G69" s="15" t="n">
        <v>6.83</v>
      </c>
      <c r="H69" s="4" t="s">
        <v>918</v>
      </c>
      <c r="I69" s="8" t="n">
        <v>0</v>
      </c>
      <c r="J69" s="4" t="s">
        <v>925</v>
      </c>
      <c r="K69" s="4" t="s">
        <v>30</v>
      </c>
    </row>
    <row r="70" customFormat="false" ht="15" hidden="false" customHeight="false" outlineLevel="0" collapsed="false">
      <c r="A70" s="4" t="s">
        <v>378</v>
      </c>
      <c r="B70" s="3" t="n">
        <v>7</v>
      </c>
      <c r="C70" s="4" t="s">
        <v>926</v>
      </c>
      <c r="D70" s="4" t="s">
        <v>911</v>
      </c>
      <c r="E70" s="3" t="n">
        <v>6</v>
      </c>
      <c r="F70" s="10" t="n">
        <v>45</v>
      </c>
      <c r="G70" s="15" t="n">
        <v>0</v>
      </c>
      <c r="H70" s="4" t="s">
        <v>927</v>
      </c>
      <c r="I70" s="8" t="n">
        <v>40</v>
      </c>
      <c r="J70" s="4" t="s">
        <v>925</v>
      </c>
      <c r="K70" s="4" t="s">
        <v>30</v>
      </c>
    </row>
    <row r="71" customFormat="false" ht="15" hidden="false" customHeight="false" outlineLevel="0" collapsed="false">
      <c r="A71" s="4" t="s">
        <v>378</v>
      </c>
      <c r="B71" s="3" t="n">
        <v>8</v>
      </c>
      <c r="C71" s="4" t="s">
        <v>928</v>
      </c>
      <c r="D71" s="4" t="s">
        <v>913</v>
      </c>
      <c r="E71" s="3" t="n">
        <v>7</v>
      </c>
      <c r="F71" s="10" t="n">
        <v>8</v>
      </c>
      <c r="G71" s="15" t="n">
        <v>2.42</v>
      </c>
      <c r="H71" s="4" t="s">
        <v>918</v>
      </c>
      <c r="I71" s="8" t="n">
        <v>0</v>
      </c>
      <c r="J71" s="4" t="s">
        <v>925</v>
      </c>
      <c r="K71" s="4" t="s">
        <v>30</v>
      </c>
    </row>
    <row r="72" customFormat="false" ht="15" hidden="false" customHeight="false" outlineLevel="0" collapsed="false">
      <c r="A72" s="4" t="s">
        <v>378</v>
      </c>
      <c r="B72" s="3" t="n">
        <v>9</v>
      </c>
      <c r="C72" s="4" t="s">
        <v>929</v>
      </c>
      <c r="D72" s="4" t="s">
        <v>896</v>
      </c>
      <c r="E72" s="3" t="n">
        <v>8</v>
      </c>
      <c r="F72" s="10" t="n">
        <v>6</v>
      </c>
      <c r="G72" s="15" t="n">
        <v>56.25</v>
      </c>
      <c r="H72" s="4" t="s">
        <v>918</v>
      </c>
      <c r="I72" s="8" t="n">
        <v>0</v>
      </c>
      <c r="J72" s="4" t="s">
        <v>919</v>
      </c>
      <c r="K72" s="4" t="s">
        <v>30</v>
      </c>
    </row>
    <row r="73" customFormat="false" ht="15" hidden="false" customHeight="false" outlineLevel="0" collapsed="false">
      <c r="A73" s="4" t="s">
        <v>378</v>
      </c>
      <c r="B73" s="3" t="n">
        <v>10</v>
      </c>
      <c r="C73" s="4" t="s">
        <v>930</v>
      </c>
      <c r="D73" s="4" t="s">
        <v>898</v>
      </c>
      <c r="E73" s="3" t="n">
        <v>9</v>
      </c>
      <c r="F73" s="10" t="n">
        <v>2</v>
      </c>
      <c r="G73" s="15" t="n">
        <v>3.52</v>
      </c>
      <c r="H73" s="4" t="s">
        <v>918</v>
      </c>
      <c r="I73" s="8" t="n">
        <v>0</v>
      </c>
      <c r="J73" s="4" t="s">
        <v>925</v>
      </c>
      <c r="K73" s="4" t="s">
        <v>30</v>
      </c>
    </row>
    <row r="74" customFormat="false" ht="15" hidden="false" customHeight="false" outlineLevel="0" collapsed="false">
      <c r="A74" s="4" t="s">
        <v>378</v>
      </c>
      <c r="B74" s="3" t="n">
        <v>11</v>
      </c>
      <c r="C74" s="4" t="s">
        <v>931</v>
      </c>
      <c r="D74" s="4" t="s">
        <v>901</v>
      </c>
      <c r="E74" s="3" t="n">
        <v>10</v>
      </c>
      <c r="F74" s="10" t="n">
        <v>2</v>
      </c>
      <c r="G74" s="15" t="n">
        <v>4.78</v>
      </c>
      <c r="H74" s="4" t="s">
        <v>918</v>
      </c>
      <c r="I74" s="8" t="n">
        <v>0</v>
      </c>
      <c r="J74" s="4" t="s">
        <v>925</v>
      </c>
      <c r="K74" s="4" t="s">
        <v>30</v>
      </c>
    </row>
    <row r="75" customFormat="false" ht="15" hidden="false" customHeight="false" outlineLevel="0" collapsed="false">
      <c r="A75" s="4" t="s">
        <v>393</v>
      </c>
      <c r="B75" s="3" t="n">
        <v>1</v>
      </c>
      <c r="C75" s="4" t="s">
        <v>917</v>
      </c>
      <c r="D75" s="4" t="s">
        <v>865</v>
      </c>
      <c r="F75" s="10" t="n">
        <v>8</v>
      </c>
      <c r="G75" s="15" t="n">
        <v>35.56</v>
      </c>
      <c r="H75" s="4" t="s">
        <v>918</v>
      </c>
      <c r="I75" s="8" t="n">
        <v>0</v>
      </c>
      <c r="J75" s="4" t="s">
        <v>919</v>
      </c>
      <c r="K75" s="4" t="s">
        <v>30</v>
      </c>
    </row>
    <row r="76" customFormat="false" ht="15" hidden="false" customHeight="false" outlineLevel="0" collapsed="false">
      <c r="A76" s="4" t="s">
        <v>393</v>
      </c>
      <c r="B76" s="3" t="n">
        <v>2</v>
      </c>
      <c r="C76" s="4" t="s">
        <v>876</v>
      </c>
      <c r="D76" s="4" t="s">
        <v>873</v>
      </c>
      <c r="E76" s="3" t="n">
        <v>1</v>
      </c>
      <c r="F76" s="10" t="n">
        <v>10</v>
      </c>
      <c r="G76" s="15" t="n">
        <v>5.8</v>
      </c>
      <c r="H76" s="4" t="s">
        <v>918</v>
      </c>
      <c r="I76" s="8" t="n">
        <v>0</v>
      </c>
      <c r="J76" s="4" t="s">
        <v>919</v>
      </c>
      <c r="K76" s="4" t="s">
        <v>30</v>
      </c>
    </row>
    <row r="77" customFormat="false" ht="15" hidden="false" customHeight="false" outlineLevel="0" collapsed="false">
      <c r="A77" s="4" t="s">
        <v>393</v>
      </c>
      <c r="B77" s="3" t="n">
        <v>3</v>
      </c>
      <c r="C77" s="4" t="s">
        <v>880</v>
      </c>
      <c r="D77" s="4" t="s">
        <v>877</v>
      </c>
      <c r="E77" s="3" t="n">
        <v>2</v>
      </c>
      <c r="F77" s="10" t="n">
        <v>12</v>
      </c>
      <c r="G77" s="15" t="n">
        <v>86</v>
      </c>
      <c r="H77" s="4" t="s">
        <v>918</v>
      </c>
      <c r="I77" s="8" t="n">
        <v>0</v>
      </c>
      <c r="J77" s="4" t="s">
        <v>919</v>
      </c>
      <c r="K77" s="4" t="s">
        <v>30</v>
      </c>
    </row>
    <row r="78" customFormat="false" ht="15" hidden="false" customHeight="false" outlineLevel="0" collapsed="false">
      <c r="A78" s="4" t="s">
        <v>393</v>
      </c>
      <c r="B78" s="3" t="n">
        <v>4</v>
      </c>
      <c r="C78" s="4" t="s">
        <v>922</v>
      </c>
      <c r="D78" s="4" t="s">
        <v>885</v>
      </c>
      <c r="E78" s="3" t="n">
        <v>3</v>
      </c>
      <c r="F78" s="10" t="n">
        <v>3</v>
      </c>
      <c r="G78" s="15" t="n">
        <v>15</v>
      </c>
      <c r="H78" s="4" t="s">
        <v>918</v>
      </c>
      <c r="I78" s="8" t="n">
        <v>0</v>
      </c>
      <c r="J78" s="4" t="s">
        <v>919</v>
      </c>
      <c r="K78" s="4" t="s">
        <v>30</v>
      </c>
    </row>
    <row r="79" customFormat="false" ht="15" hidden="false" customHeight="false" outlineLevel="0" collapsed="false">
      <c r="A79" s="4" t="s">
        <v>393</v>
      </c>
      <c r="B79" s="3" t="n">
        <v>5</v>
      </c>
      <c r="C79" s="4" t="s">
        <v>923</v>
      </c>
      <c r="D79" s="4" t="s">
        <v>889</v>
      </c>
      <c r="E79" s="3" t="n">
        <v>4</v>
      </c>
      <c r="F79" s="10" t="n">
        <v>6</v>
      </c>
      <c r="G79" s="15" t="n">
        <v>25.712</v>
      </c>
      <c r="H79" s="4" t="s">
        <v>918</v>
      </c>
      <c r="I79" s="8" t="n">
        <v>0</v>
      </c>
      <c r="J79" s="4" t="s">
        <v>919</v>
      </c>
      <c r="K79" s="4" t="s">
        <v>30</v>
      </c>
    </row>
    <row r="80" customFormat="false" ht="15" hidden="false" customHeight="false" outlineLevel="0" collapsed="false">
      <c r="A80" s="4" t="s">
        <v>393</v>
      </c>
      <c r="B80" s="3" t="n">
        <v>6</v>
      </c>
      <c r="C80" s="4" t="s">
        <v>924</v>
      </c>
      <c r="D80" s="4" t="s">
        <v>892</v>
      </c>
      <c r="E80" s="3" t="n">
        <v>5</v>
      </c>
      <c r="F80" s="10" t="n">
        <v>12</v>
      </c>
      <c r="G80" s="15" t="n">
        <v>6.58</v>
      </c>
      <c r="H80" s="4" t="s">
        <v>918</v>
      </c>
      <c r="I80" s="8" t="n">
        <v>0</v>
      </c>
      <c r="J80" s="4" t="s">
        <v>925</v>
      </c>
      <c r="K80" s="4" t="s">
        <v>30</v>
      </c>
    </row>
    <row r="81" customFormat="false" ht="15" hidden="false" customHeight="false" outlineLevel="0" collapsed="false">
      <c r="A81" s="4" t="s">
        <v>393</v>
      </c>
      <c r="B81" s="3" t="n">
        <v>7</v>
      </c>
      <c r="C81" s="4" t="s">
        <v>926</v>
      </c>
      <c r="D81" s="4" t="s">
        <v>911</v>
      </c>
      <c r="E81" s="3" t="n">
        <v>6</v>
      </c>
      <c r="F81" s="10" t="n">
        <v>45</v>
      </c>
      <c r="G81" s="15" t="n">
        <v>0</v>
      </c>
      <c r="H81" s="4" t="s">
        <v>927</v>
      </c>
      <c r="I81" s="8" t="n">
        <v>40</v>
      </c>
      <c r="J81" s="4" t="s">
        <v>925</v>
      </c>
      <c r="K81" s="4" t="s">
        <v>30</v>
      </c>
    </row>
    <row r="82" customFormat="false" ht="15" hidden="false" customHeight="false" outlineLevel="0" collapsed="false">
      <c r="A82" s="4" t="s">
        <v>393</v>
      </c>
      <c r="B82" s="3" t="n">
        <v>8</v>
      </c>
      <c r="C82" s="4" t="s">
        <v>928</v>
      </c>
      <c r="D82" s="4" t="s">
        <v>913</v>
      </c>
      <c r="E82" s="3" t="n">
        <v>7</v>
      </c>
      <c r="F82" s="10" t="n">
        <v>8</v>
      </c>
      <c r="G82" s="15" t="n">
        <v>2.36</v>
      </c>
      <c r="H82" s="4" t="s">
        <v>918</v>
      </c>
      <c r="I82" s="8" t="n">
        <v>0</v>
      </c>
      <c r="J82" s="4" t="s">
        <v>925</v>
      </c>
      <c r="K82" s="4" t="s">
        <v>30</v>
      </c>
    </row>
    <row r="83" customFormat="false" ht="15" hidden="false" customHeight="false" outlineLevel="0" collapsed="false">
      <c r="A83" s="4" t="s">
        <v>393</v>
      </c>
      <c r="B83" s="3" t="n">
        <v>9</v>
      </c>
      <c r="C83" s="4" t="s">
        <v>929</v>
      </c>
      <c r="D83" s="4" t="s">
        <v>896</v>
      </c>
      <c r="E83" s="3" t="n">
        <v>8</v>
      </c>
      <c r="F83" s="10" t="n">
        <v>6</v>
      </c>
      <c r="G83" s="15" t="n">
        <v>27</v>
      </c>
      <c r="H83" s="4" t="s">
        <v>918</v>
      </c>
      <c r="I83" s="8" t="n">
        <v>0</v>
      </c>
      <c r="J83" s="4" t="s">
        <v>919</v>
      </c>
      <c r="K83" s="4" t="s">
        <v>30</v>
      </c>
    </row>
    <row r="84" customFormat="false" ht="15" hidden="false" customHeight="false" outlineLevel="0" collapsed="false">
      <c r="A84" s="4" t="s">
        <v>393</v>
      </c>
      <c r="B84" s="3" t="n">
        <v>10</v>
      </c>
      <c r="C84" s="4" t="s">
        <v>930</v>
      </c>
      <c r="D84" s="4" t="s">
        <v>898</v>
      </c>
      <c r="E84" s="3" t="n">
        <v>9</v>
      </c>
      <c r="F84" s="10" t="n">
        <v>2</v>
      </c>
      <c r="G84" s="15" t="n">
        <v>3.45</v>
      </c>
      <c r="H84" s="4" t="s">
        <v>918</v>
      </c>
      <c r="I84" s="8" t="n">
        <v>0</v>
      </c>
      <c r="J84" s="4" t="s">
        <v>925</v>
      </c>
      <c r="K84" s="4" t="s">
        <v>30</v>
      </c>
    </row>
    <row r="85" customFormat="false" ht="15" hidden="false" customHeight="false" outlineLevel="0" collapsed="false">
      <c r="A85" s="4" t="s">
        <v>393</v>
      </c>
      <c r="B85" s="3" t="n">
        <v>11</v>
      </c>
      <c r="C85" s="4" t="s">
        <v>931</v>
      </c>
      <c r="D85" s="4" t="s">
        <v>901</v>
      </c>
      <c r="E85" s="3" t="n">
        <v>10</v>
      </c>
      <c r="F85" s="10" t="n">
        <v>2</v>
      </c>
      <c r="G85" s="15" t="n">
        <v>4.67</v>
      </c>
      <c r="H85" s="4" t="s">
        <v>918</v>
      </c>
      <c r="I85" s="8" t="n">
        <v>0</v>
      </c>
      <c r="J85" s="4" t="s">
        <v>925</v>
      </c>
      <c r="K85" s="4" t="s">
        <v>30</v>
      </c>
    </row>
    <row r="86" customFormat="false" ht="15" hidden="false" customHeight="false" outlineLevel="0" collapsed="false">
      <c r="A86" s="4" t="s">
        <v>396</v>
      </c>
      <c r="B86" s="3" t="n">
        <v>1</v>
      </c>
      <c r="C86" s="4" t="s">
        <v>917</v>
      </c>
      <c r="D86" s="4" t="s">
        <v>865</v>
      </c>
      <c r="F86" s="10" t="n">
        <v>8</v>
      </c>
      <c r="G86" s="15" t="n">
        <v>35.92</v>
      </c>
      <c r="H86" s="4" t="s">
        <v>918</v>
      </c>
      <c r="I86" s="8" t="n">
        <v>0</v>
      </c>
      <c r="J86" s="4" t="s">
        <v>919</v>
      </c>
      <c r="K86" s="4" t="s">
        <v>30</v>
      </c>
    </row>
    <row r="87" customFormat="false" ht="15" hidden="false" customHeight="false" outlineLevel="0" collapsed="false">
      <c r="A87" s="4" t="s">
        <v>396</v>
      </c>
      <c r="B87" s="3" t="n">
        <v>2</v>
      </c>
      <c r="C87" s="4" t="s">
        <v>920</v>
      </c>
      <c r="D87" s="4" t="s">
        <v>870</v>
      </c>
      <c r="E87" s="3" t="n">
        <v>1</v>
      </c>
      <c r="F87" s="10" t="n">
        <v>8</v>
      </c>
      <c r="G87" s="15" t="n">
        <v>32.28</v>
      </c>
      <c r="H87" s="4" t="s">
        <v>918</v>
      </c>
      <c r="I87" s="8" t="n">
        <v>0</v>
      </c>
      <c r="J87" s="4" t="s">
        <v>919</v>
      </c>
      <c r="K87" s="4" t="s">
        <v>30</v>
      </c>
    </row>
    <row r="88" customFormat="false" ht="15" hidden="false" customHeight="false" outlineLevel="0" collapsed="false">
      <c r="A88" s="4" t="s">
        <v>396</v>
      </c>
      <c r="B88" s="3" t="n">
        <v>3</v>
      </c>
      <c r="C88" s="4" t="s">
        <v>876</v>
      </c>
      <c r="D88" s="4" t="s">
        <v>873</v>
      </c>
      <c r="E88" s="3" t="n">
        <v>2</v>
      </c>
      <c r="F88" s="10" t="n">
        <v>10</v>
      </c>
      <c r="G88" s="15" t="n">
        <v>54.8</v>
      </c>
      <c r="H88" s="4" t="s">
        <v>918</v>
      </c>
      <c r="I88" s="8" t="n">
        <v>0</v>
      </c>
      <c r="J88" s="4" t="s">
        <v>919</v>
      </c>
      <c r="K88" s="4" t="s">
        <v>30</v>
      </c>
    </row>
    <row r="89" customFormat="false" ht="15" hidden="false" customHeight="false" outlineLevel="0" collapsed="false">
      <c r="A89" s="4" t="s">
        <v>396</v>
      </c>
      <c r="B89" s="3" t="n">
        <v>4</v>
      </c>
      <c r="C89" s="4" t="s">
        <v>880</v>
      </c>
      <c r="D89" s="4" t="s">
        <v>877</v>
      </c>
      <c r="E89" s="3" t="n">
        <v>3</v>
      </c>
      <c r="F89" s="10" t="n">
        <v>12</v>
      </c>
      <c r="G89" s="15" t="n">
        <v>85</v>
      </c>
      <c r="H89" s="4" t="s">
        <v>918</v>
      </c>
      <c r="I89" s="8" t="n">
        <v>0</v>
      </c>
      <c r="J89" s="4" t="s">
        <v>919</v>
      </c>
      <c r="K89" s="4" t="s">
        <v>30</v>
      </c>
    </row>
    <row r="90" customFormat="false" ht="15" hidden="false" customHeight="false" outlineLevel="0" collapsed="false">
      <c r="A90" s="4" t="s">
        <v>396</v>
      </c>
      <c r="B90" s="3" t="n">
        <v>5</v>
      </c>
      <c r="C90" s="4" t="s">
        <v>922</v>
      </c>
      <c r="D90" s="4" t="s">
        <v>885</v>
      </c>
      <c r="E90" s="3" t="n">
        <v>4</v>
      </c>
      <c r="F90" s="10" t="n">
        <v>3</v>
      </c>
      <c r="G90" s="15" t="n">
        <v>37.5</v>
      </c>
      <c r="H90" s="4" t="s">
        <v>918</v>
      </c>
      <c r="I90" s="8" t="n">
        <v>0</v>
      </c>
      <c r="J90" s="4" t="s">
        <v>919</v>
      </c>
      <c r="K90" s="4" t="s">
        <v>30</v>
      </c>
    </row>
    <row r="91" customFormat="false" ht="15" hidden="false" customHeight="false" outlineLevel="0" collapsed="false">
      <c r="A91" s="4" t="s">
        <v>396</v>
      </c>
      <c r="B91" s="3" t="n">
        <v>6</v>
      </c>
      <c r="C91" s="4" t="s">
        <v>923</v>
      </c>
      <c r="D91" s="4" t="s">
        <v>889</v>
      </c>
      <c r="E91" s="3" t="n">
        <v>5</v>
      </c>
      <c r="F91" s="10" t="n">
        <v>6</v>
      </c>
      <c r="G91" s="15" t="n">
        <v>24.4752</v>
      </c>
      <c r="H91" s="4" t="s">
        <v>918</v>
      </c>
      <c r="I91" s="8" t="n">
        <v>0</v>
      </c>
      <c r="J91" s="4" t="s">
        <v>919</v>
      </c>
      <c r="K91" s="4" t="s">
        <v>30</v>
      </c>
    </row>
    <row r="92" customFormat="false" ht="15" hidden="false" customHeight="false" outlineLevel="0" collapsed="false">
      <c r="A92" s="4" t="s">
        <v>396</v>
      </c>
      <c r="B92" s="3" t="n">
        <v>7</v>
      </c>
      <c r="C92" s="4" t="s">
        <v>924</v>
      </c>
      <c r="D92" s="4" t="s">
        <v>892</v>
      </c>
      <c r="E92" s="3" t="n">
        <v>6</v>
      </c>
      <c r="F92" s="10" t="n">
        <v>12</v>
      </c>
      <c r="G92" s="15" t="n">
        <v>6.58</v>
      </c>
      <c r="H92" s="4" t="s">
        <v>918</v>
      </c>
      <c r="I92" s="8" t="n">
        <v>0</v>
      </c>
      <c r="J92" s="4" t="s">
        <v>925</v>
      </c>
      <c r="K92" s="4" t="s">
        <v>30</v>
      </c>
    </row>
    <row r="93" customFormat="false" ht="15" hidden="false" customHeight="false" outlineLevel="0" collapsed="false">
      <c r="A93" s="4" t="s">
        <v>396</v>
      </c>
      <c r="B93" s="3" t="n">
        <v>8</v>
      </c>
      <c r="C93" s="4" t="s">
        <v>926</v>
      </c>
      <c r="D93" s="4" t="s">
        <v>911</v>
      </c>
      <c r="E93" s="3" t="n">
        <v>7</v>
      </c>
      <c r="F93" s="10" t="n">
        <v>45</v>
      </c>
      <c r="G93" s="15" t="n">
        <v>0</v>
      </c>
      <c r="H93" s="4" t="s">
        <v>927</v>
      </c>
      <c r="I93" s="8" t="n">
        <v>40</v>
      </c>
      <c r="J93" s="4" t="s">
        <v>925</v>
      </c>
      <c r="K93" s="4" t="s">
        <v>30</v>
      </c>
    </row>
    <row r="94" customFormat="false" ht="15" hidden="false" customHeight="false" outlineLevel="0" collapsed="false">
      <c r="A94" s="4" t="s">
        <v>396</v>
      </c>
      <c r="B94" s="3" t="n">
        <v>9</v>
      </c>
      <c r="C94" s="4" t="s">
        <v>928</v>
      </c>
      <c r="D94" s="4" t="s">
        <v>913</v>
      </c>
      <c r="E94" s="3" t="n">
        <v>8</v>
      </c>
      <c r="F94" s="10" t="n">
        <v>8</v>
      </c>
      <c r="G94" s="15" t="n">
        <v>2.36</v>
      </c>
      <c r="H94" s="4" t="s">
        <v>918</v>
      </c>
      <c r="I94" s="8" t="n">
        <v>0</v>
      </c>
      <c r="J94" s="4" t="s">
        <v>925</v>
      </c>
      <c r="K94" s="4" t="s">
        <v>30</v>
      </c>
    </row>
    <row r="95" customFormat="false" ht="15" hidden="false" customHeight="false" outlineLevel="0" collapsed="false">
      <c r="A95" s="4" t="s">
        <v>396</v>
      </c>
      <c r="B95" s="3" t="n">
        <v>10</v>
      </c>
      <c r="C95" s="4" t="s">
        <v>929</v>
      </c>
      <c r="D95" s="4" t="s">
        <v>896</v>
      </c>
      <c r="E95" s="3" t="n">
        <v>9</v>
      </c>
      <c r="F95" s="10" t="n">
        <v>6</v>
      </c>
      <c r="G95" s="15" t="n">
        <v>61.5</v>
      </c>
      <c r="H95" s="4" t="s">
        <v>918</v>
      </c>
      <c r="I95" s="8" t="n">
        <v>0</v>
      </c>
      <c r="J95" s="4" t="s">
        <v>919</v>
      </c>
      <c r="K95" s="4" t="s">
        <v>30</v>
      </c>
    </row>
    <row r="96" customFormat="false" ht="15" hidden="false" customHeight="false" outlineLevel="0" collapsed="false">
      <c r="A96" s="4" t="s">
        <v>396</v>
      </c>
      <c r="B96" s="3" t="n">
        <v>11</v>
      </c>
      <c r="C96" s="4" t="s">
        <v>930</v>
      </c>
      <c r="D96" s="4" t="s">
        <v>898</v>
      </c>
      <c r="E96" s="3" t="n">
        <v>10</v>
      </c>
      <c r="F96" s="10" t="n">
        <v>2</v>
      </c>
      <c r="G96" s="15" t="n">
        <v>3.45</v>
      </c>
      <c r="H96" s="4" t="s">
        <v>918</v>
      </c>
      <c r="I96" s="8" t="n">
        <v>0</v>
      </c>
      <c r="J96" s="4" t="s">
        <v>925</v>
      </c>
      <c r="K96" s="4" t="s">
        <v>30</v>
      </c>
    </row>
    <row r="97" customFormat="false" ht="15" hidden="false" customHeight="false" outlineLevel="0" collapsed="false">
      <c r="A97" s="4" t="s">
        <v>396</v>
      </c>
      <c r="B97" s="3" t="n">
        <v>12</v>
      </c>
      <c r="C97" s="4" t="s">
        <v>931</v>
      </c>
      <c r="D97" s="4" t="s">
        <v>901</v>
      </c>
      <c r="E97" s="3" t="n">
        <v>11</v>
      </c>
      <c r="F97" s="10" t="n">
        <v>2</v>
      </c>
      <c r="G97" s="15" t="n">
        <v>4.67</v>
      </c>
      <c r="H97" s="4" t="s">
        <v>918</v>
      </c>
      <c r="I97" s="8" t="n">
        <v>0</v>
      </c>
      <c r="J97" s="4" t="s">
        <v>925</v>
      </c>
      <c r="K97" s="4" t="s">
        <v>30</v>
      </c>
    </row>
    <row r="98" customFormat="false" ht="15" hidden="false" customHeight="false" outlineLevel="0" collapsed="false">
      <c r="A98" s="4" t="s">
        <v>346</v>
      </c>
      <c r="B98" s="3" t="n">
        <v>1</v>
      </c>
      <c r="C98" s="4" t="s">
        <v>920</v>
      </c>
      <c r="D98" s="4" t="s">
        <v>870</v>
      </c>
      <c r="F98" s="10" t="n">
        <v>8</v>
      </c>
      <c r="G98" s="15" t="n">
        <v>68.56</v>
      </c>
      <c r="H98" s="4" t="s">
        <v>918</v>
      </c>
      <c r="I98" s="8" t="n">
        <v>0</v>
      </c>
      <c r="J98" s="4" t="s">
        <v>919</v>
      </c>
      <c r="K98" s="4" t="s">
        <v>30</v>
      </c>
    </row>
    <row r="99" customFormat="false" ht="15" hidden="false" customHeight="false" outlineLevel="0" collapsed="false">
      <c r="A99" s="4" t="s">
        <v>346</v>
      </c>
      <c r="B99" s="3" t="n">
        <v>2</v>
      </c>
      <c r="C99" s="4" t="s">
        <v>876</v>
      </c>
      <c r="D99" s="4" t="s">
        <v>903</v>
      </c>
      <c r="E99" s="3" t="n">
        <v>1</v>
      </c>
      <c r="F99" s="10" t="n">
        <v>10</v>
      </c>
      <c r="G99" s="15" t="n">
        <v>35.6</v>
      </c>
      <c r="H99" s="4" t="s">
        <v>918</v>
      </c>
      <c r="I99" s="8" t="n">
        <v>0</v>
      </c>
      <c r="J99" s="4" t="s">
        <v>919</v>
      </c>
      <c r="K99" s="4" t="s">
        <v>30</v>
      </c>
    </row>
    <row r="100" customFormat="false" ht="15" hidden="false" customHeight="false" outlineLevel="0" collapsed="false">
      <c r="A100" s="4" t="s">
        <v>346</v>
      </c>
      <c r="B100" s="3" t="n">
        <v>3</v>
      </c>
      <c r="C100" s="4" t="s">
        <v>921</v>
      </c>
      <c r="D100" s="4" t="s">
        <v>905</v>
      </c>
      <c r="E100" s="3" t="n">
        <v>2</v>
      </c>
      <c r="F100" s="10" t="n">
        <v>10</v>
      </c>
      <c r="G100" s="15" t="n">
        <v>89.6</v>
      </c>
      <c r="H100" s="4" t="s">
        <v>918</v>
      </c>
      <c r="I100" s="8" t="n">
        <v>0</v>
      </c>
      <c r="J100" s="4" t="s">
        <v>919</v>
      </c>
      <c r="K100" s="4" t="s">
        <v>30</v>
      </c>
    </row>
    <row r="101" customFormat="false" ht="15" hidden="false" customHeight="false" outlineLevel="0" collapsed="false">
      <c r="A101" s="4" t="s">
        <v>346</v>
      </c>
      <c r="B101" s="3" t="n">
        <v>4</v>
      </c>
      <c r="C101" s="4" t="s">
        <v>924</v>
      </c>
      <c r="D101" s="4" t="s">
        <v>892</v>
      </c>
      <c r="E101" s="3" t="n">
        <v>3</v>
      </c>
      <c r="F101" s="10" t="n">
        <v>12</v>
      </c>
      <c r="G101" s="15" t="n">
        <v>17.72</v>
      </c>
      <c r="H101" s="4" t="s">
        <v>918</v>
      </c>
      <c r="I101" s="8" t="n">
        <v>0</v>
      </c>
      <c r="J101" s="4" t="s">
        <v>925</v>
      </c>
      <c r="K101" s="4" t="s">
        <v>30</v>
      </c>
    </row>
    <row r="102" customFormat="false" ht="15" hidden="false" customHeight="false" outlineLevel="0" collapsed="false">
      <c r="A102" s="4" t="s">
        <v>346</v>
      </c>
      <c r="B102" s="3" t="n">
        <v>5</v>
      </c>
      <c r="C102" s="4" t="s">
        <v>926</v>
      </c>
      <c r="D102" s="4" t="s">
        <v>911</v>
      </c>
      <c r="E102" s="3" t="n">
        <v>4</v>
      </c>
      <c r="F102" s="10" t="n">
        <v>45</v>
      </c>
      <c r="G102" s="15" t="n">
        <v>0</v>
      </c>
      <c r="H102" s="4" t="s">
        <v>927</v>
      </c>
      <c r="I102" s="8" t="n">
        <v>40</v>
      </c>
      <c r="J102" s="4" t="s">
        <v>925</v>
      </c>
      <c r="K102" s="4" t="s">
        <v>30</v>
      </c>
    </row>
    <row r="103" customFormat="false" ht="15" hidden="false" customHeight="false" outlineLevel="0" collapsed="false">
      <c r="A103" s="4" t="s">
        <v>346</v>
      </c>
      <c r="B103" s="3" t="n">
        <v>6</v>
      </c>
      <c r="C103" s="4" t="s">
        <v>928</v>
      </c>
      <c r="D103" s="4" t="s">
        <v>913</v>
      </c>
      <c r="E103" s="3" t="n">
        <v>5</v>
      </c>
      <c r="F103" s="10" t="n">
        <v>8</v>
      </c>
      <c r="G103" s="15" t="n">
        <v>4.91</v>
      </c>
      <c r="H103" s="4" t="s">
        <v>918</v>
      </c>
      <c r="I103" s="8" t="n">
        <v>0</v>
      </c>
      <c r="J103" s="4" t="s">
        <v>925</v>
      </c>
      <c r="K103" s="4" t="s">
        <v>30</v>
      </c>
    </row>
    <row r="104" customFormat="false" ht="15" hidden="false" customHeight="false" outlineLevel="0" collapsed="false">
      <c r="A104" s="4" t="s">
        <v>346</v>
      </c>
      <c r="B104" s="3" t="n">
        <v>7</v>
      </c>
      <c r="C104" s="4" t="s">
        <v>929</v>
      </c>
      <c r="D104" s="4" t="s">
        <v>896</v>
      </c>
      <c r="E104" s="3" t="n">
        <v>6</v>
      </c>
      <c r="F104" s="10" t="n">
        <v>6</v>
      </c>
      <c r="G104" s="15" t="n">
        <v>192</v>
      </c>
      <c r="H104" s="4" t="s">
        <v>918</v>
      </c>
      <c r="I104" s="8" t="n">
        <v>0</v>
      </c>
      <c r="J104" s="4" t="s">
        <v>919</v>
      </c>
      <c r="K104" s="4" t="s">
        <v>30</v>
      </c>
    </row>
    <row r="105" customFormat="false" ht="15" hidden="false" customHeight="false" outlineLevel="0" collapsed="false">
      <c r="A105" s="4" t="s">
        <v>346</v>
      </c>
      <c r="B105" s="3" t="n">
        <v>8</v>
      </c>
      <c r="C105" s="4" t="s">
        <v>932</v>
      </c>
      <c r="D105" s="4" t="s">
        <v>896</v>
      </c>
      <c r="E105" s="3" t="n">
        <v>7</v>
      </c>
      <c r="F105" s="10" t="n">
        <v>0</v>
      </c>
      <c r="G105" s="15" t="n">
        <v>4</v>
      </c>
      <c r="H105" s="4" t="s">
        <v>918</v>
      </c>
      <c r="I105" s="8" t="n">
        <v>0</v>
      </c>
      <c r="J105" s="4" t="s">
        <v>925</v>
      </c>
      <c r="K105" s="4" t="s">
        <v>30</v>
      </c>
    </row>
    <row r="106" customFormat="false" ht="15" hidden="false" customHeight="false" outlineLevel="0" collapsed="false">
      <c r="A106" s="4" t="s">
        <v>349</v>
      </c>
      <c r="B106" s="3" t="n">
        <v>1</v>
      </c>
      <c r="C106" s="4" t="s">
        <v>920</v>
      </c>
      <c r="D106" s="4" t="s">
        <v>870</v>
      </c>
      <c r="F106" s="10" t="n">
        <v>8</v>
      </c>
      <c r="G106" s="15" t="n">
        <v>64</v>
      </c>
      <c r="H106" s="4" t="s">
        <v>918</v>
      </c>
      <c r="I106" s="8" t="n">
        <v>0</v>
      </c>
      <c r="J106" s="4" t="s">
        <v>919</v>
      </c>
      <c r="K106" s="4" t="s">
        <v>30</v>
      </c>
    </row>
    <row r="107" customFormat="false" ht="15" hidden="false" customHeight="false" outlineLevel="0" collapsed="false">
      <c r="A107" s="4" t="s">
        <v>349</v>
      </c>
      <c r="B107" s="3" t="n">
        <v>2</v>
      </c>
      <c r="C107" s="4" t="s">
        <v>876</v>
      </c>
      <c r="D107" s="4" t="s">
        <v>903</v>
      </c>
      <c r="E107" s="3" t="n">
        <v>1</v>
      </c>
      <c r="F107" s="10" t="n">
        <v>10</v>
      </c>
      <c r="G107" s="15" t="n">
        <v>35.6</v>
      </c>
      <c r="H107" s="4" t="s">
        <v>918</v>
      </c>
      <c r="I107" s="8" t="n">
        <v>0</v>
      </c>
      <c r="J107" s="4" t="s">
        <v>919</v>
      </c>
      <c r="K107" s="4" t="s">
        <v>30</v>
      </c>
    </row>
    <row r="108" customFormat="false" ht="15" hidden="false" customHeight="false" outlineLevel="0" collapsed="false">
      <c r="A108" s="4" t="s">
        <v>349</v>
      </c>
      <c r="B108" s="3" t="n">
        <v>3</v>
      </c>
      <c r="C108" s="4" t="s">
        <v>921</v>
      </c>
      <c r="D108" s="4" t="s">
        <v>905</v>
      </c>
      <c r="E108" s="3" t="n">
        <v>2</v>
      </c>
      <c r="F108" s="10" t="n">
        <v>10</v>
      </c>
      <c r="G108" s="15" t="n">
        <v>89.6</v>
      </c>
      <c r="H108" s="4" t="s">
        <v>918</v>
      </c>
      <c r="I108" s="8" t="n">
        <v>0</v>
      </c>
      <c r="J108" s="4" t="s">
        <v>919</v>
      </c>
      <c r="K108" s="4" t="s">
        <v>30</v>
      </c>
    </row>
    <row r="109" customFormat="false" ht="15" hidden="false" customHeight="false" outlineLevel="0" collapsed="false">
      <c r="A109" s="4" t="s">
        <v>349</v>
      </c>
      <c r="B109" s="3" t="n">
        <v>4</v>
      </c>
      <c r="C109" s="4" t="s">
        <v>924</v>
      </c>
      <c r="D109" s="4" t="s">
        <v>892</v>
      </c>
      <c r="E109" s="3" t="n">
        <v>3</v>
      </c>
      <c r="F109" s="10" t="n">
        <v>12</v>
      </c>
      <c r="G109" s="15" t="n">
        <v>11.3</v>
      </c>
      <c r="H109" s="4" t="s">
        <v>918</v>
      </c>
      <c r="I109" s="8" t="n">
        <v>0</v>
      </c>
      <c r="J109" s="4" t="s">
        <v>925</v>
      </c>
      <c r="K109" s="4" t="s">
        <v>30</v>
      </c>
    </row>
    <row r="110" customFormat="false" ht="15" hidden="false" customHeight="false" outlineLevel="0" collapsed="false">
      <c r="A110" s="4" t="s">
        <v>349</v>
      </c>
      <c r="B110" s="3" t="n">
        <v>5</v>
      </c>
      <c r="C110" s="4" t="s">
        <v>926</v>
      </c>
      <c r="D110" s="4" t="s">
        <v>911</v>
      </c>
      <c r="E110" s="3" t="n">
        <v>4</v>
      </c>
      <c r="F110" s="10" t="n">
        <v>45</v>
      </c>
      <c r="G110" s="15" t="n">
        <v>0</v>
      </c>
      <c r="H110" s="4" t="s">
        <v>927</v>
      </c>
      <c r="I110" s="8" t="n">
        <v>40</v>
      </c>
      <c r="J110" s="4" t="s">
        <v>925</v>
      </c>
      <c r="K110" s="4" t="s">
        <v>30</v>
      </c>
    </row>
    <row r="111" customFormat="false" ht="15" hidden="false" customHeight="false" outlineLevel="0" collapsed="false">
      <c r="A111" s="4" t="s">
        <v>349</v>
      </c>
      <c r="B111" s="3" t="n">
        <v>6</v>
      </c>
      <c r="C111" s="4" t="s">
        <v>928</v>
      </c>
      <c r="D111" s="4" t="s">
        <v>913</v>
      </c>
      <c r="E111" s="3" t="n">
        <v>5</v>
      </c>
      <c r="F111" s="10" t="n">
        <v>8</v>
      </c>
      <c r="G111" s="15" t="n">
        <v>3.44</v>
      </c>
      <c r="H111" s="4" t="s">
        <v>918</v>
      </c>
      <c r="I111" s="8" t="n">
        <v>0</v>
      </c>
      <c r="J111" s="4" t="s">
        <v>925</v>
      </c>
      <c r="K111" s="4" t="s">
        <v>30</v>
      </c>
    </row>
    <row r="112" customFormat="false" ht="15" hidden="false" customHeight="false" outlineLevel="0" collapsed="false">
      <c r="A112" s="4" t="s">
        <v>349</v>
      </c>
      <c r="B112" s="3" t="n">
        <v>7</v>
      </c>
      <c r="C112" s="4" t="s">
        <v>929</v>
      </c>
      <c r="D112" s="4" t="s">
        <v>896</v>
      </c>
      <c r="E112" s="3" t="n">
        <v>6</v>
      </c>
      <c r="F112" s="10" t="n">
        <v>6</v>
      </c>
      <c r="G112" s="15" t="n">
        <v>192</v>
      </c>
      <c r="H112" s="4" t="s">
        <v>918</v>
      </c>
      <c r="I112" s="8" t="n">
        <v>0</v>
      </c>
      <c r="J112" s="4" t="s">
        <v>919</v>
      </c>
      <c r="K112" s="4" t="s">
        <v>30</v>
      </c>
    </row>
    <row r="113" customFormat="false" ht="15" hidden="false" customHeight="false" outlineLevel="0" collapsed="false">
      <c r="A113" s="4" t="s">
        <v>349</v>
      </c>
      <c r="B113" s="3" t="n">
        <v>8</v>
      </c>
      <c r="C113" s="4" t="s">
        <v>932</v>
      </c>
      <c r="D113" s="4" t="s">
        <v>896</v>
      </c>
      <c r="E113" s="3" t="n">
        <v>7</v>
      </c>
      <c r="F113" s="10" t="n">
        <v>0</v>
      </c>
      <c r="G113" s="15" t="n">
        <v>4</v>
      </c>
      <c r="H113" s="4" t="s">
        <v>918</v>
      </c>
      <c r="I113" s="8" t="n">
        <v>0</v>
      </c>
      <c r="J113" s="4" t="s">
        <v>925</v>
      </c>
      <c r="K113" s="4" t="s">
        <v>30</v>
      </c>
    </row>
    <row r="114" customFormat="false" ht="15" hidden="false" customHeight="false" outlineLevel="0" collapsed="false">
      <c r="A114" s="4" t="s">
        <v>352</v>
      </c>
      <c r="B114" s="3" t="n">
        <v>1</v>
      </c>
      <c r="C114" s="4" t="s">
        <v>917</v>
      </c>
      <c r="D114" s="4" t="s">
        <v>865</v>
      </c>
      <c r="F114" s="10" t="n">
        <v>8</v>
      </c>
      <c r="G114" s="15" t="n">
        <v>12.101464</v>
      </c>
      <c r="H114" s="4" t="s">
        <v>918</v>
      </c>
      <c r="I114" s="8" t="n">
        <v>0</v>
      </c>
      <c r="J114" s="4" t="s">
        <v>919</v>
      </c>
      <c r="K114" s="4" t="s">
        <v>30</v>
      </c>
    </row>
    <row r="115" customFormat="false" ht="15" hidden="false" customHeight="false" outlineLevel="0" collapsed="false">
      <c r="A115" s="4" t="s">
        <v>352</v>
      </c>
      <c r="B115" s="3" t="n">
        <v>2</v>
      </c>
      <c r="C115" s="4" t="s">
        <v>920</v>
      </c>
      <c r="D115" s="4" t="s">
        <v>870</v>
      </c>
      <c r="E115" s="3" t="n">
        <v>1</v>
      </c>
      <c r="F115" s="10" t="n">
        <v>8</v>
      </c>
      <c r="G115" s="15" t="n">
        <v>50.8</v>
      </c>
      <c r="H115" s="4" t="s">
        <v>918</v>
      </c>
      <c r="I115" s="8" t="n">
        <v>0</v>
      </c>
      <c r="J115" s="4" t="s">
        <v>919</v>
      </c>
      <c r="K115" s="4" t="s">
        <v>30</v>
      </c>
    </row>
    <row r="116" customFormat="false" ht="15" hidden="false" customHeight="false" outlineLevel="0" collapsed="false">
      <c r="A116" s="4" t="s">
        <v>352</v>
      </c>
      <c r="B116" s="3" t="n">
        <v>3</v>
      </c>
      <c r="C116" s="4" t="s">
        <v>876</v>
      </c>
      <c r="D116" s="4" t="s">
        <v>903</v>
      </c>
      <c r="E116" s="3" t="n">
        <v>2</v>
      </c>
      <c r="F116" s="10" t="n">
        <v>10</v>
      </c>
      <c r="G116" s="15" t="n">
        <v>44</v>
      </c>
      <c r="H116" s="4" t="s">
        <v>918</v>
      </c>
      <c r="I116" s="8" t="n">
        <v>0</v>
      </c>
      <c r="J116" s="4" t="s">
        <v>919</v>
      </c>
      <c r="K116" s="4" t="s">
        <v>30</v>
      </c>
    </row>
    <row r="117" customFormat="false" ht="15" hidden="false" customHeight="false" outlineLevel="0" collapsed="false">
      <c r="A117" s="4" t="s">
        <v>352</v>
      </c>
      <c r="B117" s="3" t="n">
        <v>4</v>
      </c>
      <c r="C117" s="4" t="s">
        <v>880</v>
      </c>
      <c r="D117" s="4" t="s">
        <v>877</v>
      </c>
      <c r="E117" s="3" t="n">
        <v>3</v>
      </c>
      <c r="F117" s="10" t="n">
        <v>12</v>
      </c>
      <c r="G117" s="15" t="n">
        <v>20</v>
      </c>
      <c r="H117" s="4" t="s">
        <v>918</v>
      </c>
      <c r="I117" s="8" t="n">
        <v>0</v>
      </c>
      <c r="J117" s="4" t="s">
        <v>919</v>
      </c>
      <c r="K117" s="4" t="s">
        <v>30</v>
      </c>
    </row>
    <row r="118" customFormat="false" ht="15" hidden="false" customHeight="false" outlineLevel="0" collapsed="false">
      <c r="A118" s="4" t="s">
        <v>352</v>
      </c>
      <c r="B118" s="3" t="n">
        <v>5</v>
      </c>
      <c r="C118" s="4" t="s">
        <v>921</v>
      </c>
      <c r="D118" s="4" t="s">
        <v>905</v>
      </c>
      <c r="E118" s="3" t="n">
        <v>4</v>
      </c>
      <c r="F118" s="10" t="n">
        <v>10</v>
      </c>
      <c r="G118" s="15" t="n">
        <v>89.6</v>
      </c>
      <c r="H118" s="4" t="s">
        <v>918</v>
      </c>
      <c r="I118" s="8" t="n">
        <v>0</v>
      </c>
      <c r="J118" s="4" t="s">
        <v>919</v>
      </c>
      <c r="K118" s="4" t="s">
        <v>30</v>
      </c>
    </row>
    <row r="119" customFormat="false" ht="15" hidden="false" customHeight="false" outlineLevel="0" collapsed="false">
      <c r="A119" s="4" t="s">
        <v>352</v>
      </c>
      <c r="B119" s="3" t="n">
        <v>6</v>
      </c>
      <c r="C119" s="4" t="s">
        <v>924</v>
      </c>
      <c r="D119" s="4" t="s">
        <v>892</v>
      </c>
      <c r="E119" s="3" t="n">
        <v>5</v>
      </c>
      <c r="F119" s="10" t="n">
        <v>12</v>
      </c>
      <c r="G119" s="15" t="n">
        <v>8.02</v>
      </c>
      <c r="H119" s="4" t="s">
        <v>918</v>
      </c>
      <c r="I119" s="8" t="n">
        <v>0</v>
      </c>
      <c r="J119" s="4" t="s">
        <v>925</v>
      </c>
      <c r="K119" s="4" t="s">
        <v>30</v>
      </c>
    </row>
    <row r="120" customFormat="false" ht="15" hidden="false" customHeight="false" outlineLevel="0" collapsed="false">
      <c r="A120" s="4" t="s">
        <v>352</v>
      </c>
      <c r="B120" s="3" t="n">
        <v>7</v>
      </c>
      <c r="C120" s="4" t="s">
        <v>926</v>
      </c>
      <c r="D120" s="4" t="s">
        <v>911</v>
      </c>
      <c r="E120" s="3" t="n">
        <v>6</v>
      </c>
      <c r="F120" s="10" t="n">
        <v>45</v>
      </c>
      <c r="G120" s="15" t="n">
        <v>0</v>
      </c>
      <c r="H120" s="4" t="s">
        <v>927</v>
      </c>
      <c r="I120" s="8" t="n">
        <v>40</v>
      </c>
      <c r="J120" s="4" t="s">
        <v>925</v>
      </c>
      <c r="K120" s="4" t="s">
        <v>30</v>
      </c>
    </row>
    <row r="121" customFormat="false" ht="15" hidden="false" customHeight="false" outlineLevel="0" collapsed="false">
      <c r="A121" s="4" t="s">
        <v>352</v>
      </c>
      <c r="B121" s="3" t="n">
        <v>8</v>
      </c>
      <c r="C121" s="4" t="s">
        <v>928</v>
      </c>
      <c r="D121" s="4" t="s">
        <v>913</v>
      </c>
      <c r="E121" s="3" t="n">
        <v>7</v>
      </c>
      <c r="F121" s="10" t="n">
        <v>8</v>
      </c>
      <c r="G121" s="15" t="n">
        <v>2.69</v>
      </c>
      <c r="H121" s="4" t="s">
        <v>918</v>
      </c>
      <c r="I121" s="8" t="n">
        <v>0</v>
      </c>
      <c r="J121" s="4" t="s">
        <v>925</v>
      </c>
      <c r="K121" s="4" t="s">
        <v>30</v>
      </c>
    </row>
    <row r="122" customFormat="false" ht="15" hidden="false" customHeight="false" outlineLevel="0" collapsed="false">
      <c r="A122" s="4" t="s">
        <v>352</v>
      </c>
      <c r="B122" s="3" t="n">
        <v>9</v>
      </c>
      <c r="C122" s="4" t="s">
        <v>929</v>
      </c>
      <c r="D122" s="4" t="s">
        <v>896</v>
      </c>
      <c r="E122" s="3" t="n">
        <v>8</v>
      </c>
      <c r="F122" s="10" t="n">
        <v>6</v>
      </c>
      <c r="G122" s="15" t="n">
        <v>4</v>
      </c>
      <c r="H122" s="4" t="s">
        <v>918</v>
      </c>
      <c r="I122" s="8" t="n">
        <v>0</v>
      </c>
      <c r="J122" s="4" t="s">
        <v>925</v>
      </c>
      <c r="K122" s="4" t="s">
        <v>30</v>
      </c>
    </row>
    <row r="123" customFormat="false" ht="15" hidden="false" customHeight="false" outlineLevel="0" collapsed="false">
      <c r="A123" s="4" t="s">
        <v>352</v>
      </c>
      <c r="B123" s="3" t="n">
        <v>10</v>
      </c>
      <c r="C123" s="4" t="s">
        <v>932</v>
      </c>
      <c r="D123" s="4" t="s">
        <v>896</v>
      </c>
      <c r="E123" s="3" t="n">
        <v>9</v>
      </c>
      <c r="F123" s="10" t="n">
        <v>0</v>
      </c>
      <c r="G123" s="15" t="n">
        <v>4</v>
      </c>
      <c r="H123" s="4" t="s">
        <v>918</v>
      </c>
      <c r="I123" s="8" t="n">
        <v>0</v>
      </c>
      <c r="J123" s="4" t="s">
        <v>925</v>
      </c>
      <c r="K123" s="4" t="s">
        <v>30</v>
      </c>
    </row>
    <row r="124" customFormat="false" ht="15" hidden="false" customHeight="false" outlineLevel="0" collapsed="false">
      <c r="A124" s="4" t="s">
        <v>355</v>
      </c>
      <c r="B124" s="3" t="n">
        <v>1</v>
      </c>
      <c r="C124" s="4" t="s">
        <v>920</v>
      </c>
      <c r="D124" s="4" t="s">
        <v>870</v>
      </c>
      <c r="F124" s="10" t="n">
        <v>8</v>
      </c>
      <c r="G124" s="15" t="n">
        <v>57.28</v>
      </c>
      <c r="H124" s="4" t="s">
        <v>918</v>
      </c>
      <c r="I124" s="8" t="n">
        <v>0</v>
      </c>
      <c r="J124" s="4" t="s">
        <v>919</v>
      </c>
      <c r="K124" s="4" t="s">
        <v>30</v>
      </c>
    </row>
    <row r="125" customFormat="false" ht="15" hidden="false" customHeight="false" outlineLevel="0" collapsed="false">
      <c r="A125" s="4" t="s">
        <v>355</v>
      </c>
      <c r="B125" s="3" t="n">
        <v>2</v>
      </c>
      <c r="C125" s="4" t="s">
        <v>876</v>
      </c>
      <c r="D125" s="4" t="s">
        <v>903</v>
      </c>
      <c r="E125" s="3" t="n">
        <v>1</v>
      </c>
      <c r="F125" s="10" t="n">
        <v>10</v>
      </c>
      <c r="G125" s="15" t="n">
        <v>35.6</v>
      </c>
      <c r="H125" s="4" t="s">
        <v>918</v>
      </c>
      <c r="I125" s="8" t="n">
        <v>0</v>
      </c>
      <c r="J125" s="4" t="s">
        <v>919</v>
      </c>
      <c r="K125" s="4" t="s">
        <v>30</v>
      </c>
    </row>
    <row r="126" customFormat="false" ht="15" hidden="false" customHeight="false" outlineLevel="0" collapsed="false">
      <c r="A126" s="4" t="s">
        <v>355</v>
      </c>
      <c r="B126" s="3" t="n">
        <v>3</v>
      </c>
      <c r="C126" s="4" t="s">
        <v>921</v>
      </c>
      <c r="D126" s="4" t="s">
        <v>905</v>
      </c>
      <c r="E126" s="3" t="n">
        <v>2</v>
      </c>
      <c r="F126" s="10" t="n">
        <v>10</v>
      </c>
      <c r="G126" s="15" t="n">
        <v>89.6</v>
      </c>
      <c r="H126" s="4" t="s">
        <v>918</v>
      </c>
      <c r="I126" s="8" t="n">
        <v>0</v>
      </c>
      <c r="J126" s="4" t="s">
        <v>919</v>
      </c>
      <c r="K126" s="4" t="s">
        <v>30</v>
      </c>
    </row>
    <row r="127" customFormat="false" ht="15" hidden="false" customHeight="false" outlineLevel="0" collapsed="false">
      <c r="A127" s="4" t="s">
        <v>355</v>
      </c>
      <c r="B127" s="3" t="n">
        <v>4</v>
      </c>
      <c r="C127" s="4" t="s">
        <v>924</v>
      </c>
      <c r="D127" s="4" t="s">
        <v>892</v>
      </c>
      <c r="E127" s="3" t="n">
        <v>3</v>
      </c>
      <c r="F127" s="10" t="n">
        <v>12</v>
      </c>
      <c r="G127" s="15" t="n">
        <v>8.02</v>
      </c>
      <c r="H127" s="4" t="s">
        <v>918</v>
      </c>
      <c r="I127" s="8" t="n">
        <v>0</v>
      </c>
      <c r="J127" s="4" t="s">
        <v>925</v>
      </c>
      <c r="K127" s="4" t="s">
        <v>30</v>
      </c>
    </row>
    <row r="128" customFormat="false" ht="15" hidden="false" customHeight="false" outlineLevel="0" collapsed="false">
      <c r="A128" s="4" t="s">
        <v>355</v>
      </c>
      <c r="B128" s="3" t="n">
        <v>5</v>
      </c>
      <c r="C128" s="4" t="s">
        <v>926</v>
      </c>
      <c r="D128" s="4" t="s">
        <v>911</v>
      </c>
      <c r="E128" s="3" t="n">
        <v>4</v>
      </c>
      <c r="F128" s="10" t="n">
        <v>45</v>
      </c>
      <c r="G128" s="15" t="n">
        <v>0</v>
      </c>
      <c r="H128" s="4" t="s">
        <v>927</v>
      </c>
      <c r="I128" s="8" t="n">
        <v>40</v>
      </c>
      <c r="J128" s="4" t="s">
        <v>925</v>
      </c>
      <c r="K128" s="4" t="s">
        <v>30</v>
      </c>
    </row>
    <row r="129" customFormat="false" ht="15" hidden="false" customHeight="false" outlineLevel="0" collapsed="false">
      <c r="A129" s="4" t="s">
        <v>355</v>
      </c>
      <c r="B129" s="3" t="n">
        <v>6</v>
      </c>
      <c r="C129" s="4" t="s">
        <v>928</v>
      </c>
      <c r="D129" s="4" t="s">
        <v>913</v>
      </c>
      <c r="E129" s="3" t="n">
        <v>5</v>
      </c>
      <c r="F129" s="10" t="n">
        <v>8</v>
      </c>
      <c r="G129" s="15" t="n">
        <v>2.69</v>
      </c>
      <c r="H129" s="4" t="s">
        <v>918</v>
      </c>
      <c r="I129" s="8" t="n">
        <v>0</v>
      </c>
      <c r="J129" s="4" t="s">
        <v>925</v>
      </c>
      <c r="K129" s="4" t="s">
        <v>30</v>
      </c>
    </row>
    <row r="130" customFormat="false" ht="15" hidden="false" customHeight="false" outlineLevel="0" collapsed="false">
      <c r="A130" s="4" t="s">
        <v>355</v>
      </c>
      <c r="B130" s="3" t="n">
        <v>7</v>
      </c>
      <c r="C130" s="4" t="s">
        <v>929</v>
      </c>
      <c r="D130" s="4" t="s">
        <v>896</v>
      </c>
      <c r="E130" s="3" t="n">
        <v>6</v>
      </c>
      <c r="F130" s="10" t="n">
        <v>6</v>
      </c>
      <c r="G130" s="15" t="n">
        <v>192</v>
      </c>
      <c r="H130" s="4" t="s">
        <v>918</v>
      </c>
      <c r="I130" s="8" t="n">
        <v>0</v>
      </c>
      <c r="J130" s="4" t="s">
        <v>919</v>
      </c>
      <c r="K130" s="4" t="s">
        <v>30</v>
      </c>
    </row>
    <row r="131" customFormat="false" ht="15" hidden="false" customHeight="false" outlineLevel="0" collapsed="false">
      <c r="A131" s="4" t="s">
        <v>355</v>
      </c>
      <c r="B131" s="3" t="n">
        <v>8</v>
      </c>
      <c r="C131" s="4" t="s">
        <v>932</v>
      </c>
      <c r="D131" s="4" t="s">
        <v>896</v>
      </c>
      <c r="E131" s="3" t="n">
        <v>7</v>
      </c>
      <c r="F131" s="10" t="n">
        <v>0</v>
      </c>
      <c r="G131" s="15" t="n">
        <v>4</v>
      </c>
      <c r="H131" s="4" t="s">
        <v>918</v>
      </c>
      <c r="I131" s="8" t="n">
        <v>0</v>
      </c>
      <c r="J131" s="4" t="s">
        <v>925</v>
      </c>
      <c r="K131" s="4" t="s">
        <v>30</v>
      </c>
    </row>
    <row r="132" customFormat="false" ht="15" hidden="false" customHeight="false" outlineLevel="0" collapsed="false">
      <c r="A132" s="4" t="s">
        <v>363</v>
      </c>
      <c r="B132" s="3" t="n">
        <v>1</v>
      </c>
      <c r="C132" s="4" t="s">
        <v>917</v>
      </c>
      <c r="D132" s="4" t="s">
        <v>865</v>
      </c>
      <c r="F132" s="10" t="n">
        <v>8</v>
      </c>
      <c r="G132" s="15" t="n">
        <v>20.4259875</v>
      </c>
      <c r="H132" s="4" t="s">
        <v>918</v>
      </c>
      <c r="I132" s="8" t="n">
        <v>0</v>
      </c>
      <c r="J132" s="4" t="s">
        <v>919</v>
      </c>
      <c r="K132" s="4" t="s">
        <v>30</v>
      </c>
    </row>
    <row r="133" customFormat="false" ht="15" hidden="false" customHeight="false" outlineLevel="0" collapsed="false">
      <c r="A133" s="4" t="s">
        <v>363</v>
      </c>
      <c r="B133" s="3" t="n">
        <v>2</v>
      </c>
      <c r="C133" s="4" t="s">
        <v>920</v>
      </c>
      <c r="D133" s="4" t="s">
        <v>870</v>
      </c>
      <c r="E133" s="3" t="n">
        <v>1</v>
      </c>
      <c r="F133" s="10" t="n">
        <v>8</v>
      </c>
      <c r="G133" s="15" t="n">
        <v>10.88</v>
      </c>
      <c r="H133" s="4" t="s">
        <v>918</v>
      </c>
      <c r="I133" s="8" t="n">
        <v>0</v>
      </c>
      <c r="J133" s="4" t="s">
        <v>919</v>
      </c>
      <c r="K133" s="4" t="s">
        <v>30</v>
      </c>
    </row>
    <row r="134" customFormat="false" ht="15" hidden="false" customHeight="false" outlineLevel="0" collapsed="false">
      <c r="A134" s="4" t="s">
        <v>363</v>
      </c>
      <c r="B134" s="3" t="n">
        <v>3</v>
      </c>
      <c r="C134" s="4" t="s">
        <v>876</v>
      </c>
      <c r="D134" s="4" t="s">
        <v>903</v>
      </c>
      <c r="E134" s="3" t="n">
        <v>2</v>
      </c>
      <c r="F134" s="10" t="n">
        <v>10</v>
      </c>
      <c r="G134" s="15" t="n">
        <v>24.2</v>
      </c>
      <c r="H134" s="4" t="s">
        <v>918</v>
      </c>
      <c r="I134" s="8" t="n">
        <v>0</v>
      </c>
      <c r="J134" s="4" t="s">
        <v>919</v>
      </c>
      <c r="K134" s="4" t="s">
        <v>30</v>
      </c>
    </row>
    <row r="135" customFormat="false" ht="15" hidden="false" customHeight="false" outlineLevel="0" collapsed="false">
      <c r="A135" s="4" t="s">
        <v>363</v>
      </c>
      <c r="B135" s="3" t="n">
        <v>4</v>
      </c>
      <c r="C135" s="4" t="s">
        <v>880</v>
      </c>
      <c r="D135" s="4" t="s">
        <v>877</v>
      </c>
      <c r="E135" s="3" t="n">
        <v>3</v>
      </c>
      <c r="F135" s="10" t="n">
        <v>12</v>
      </c>
      <c r="G135" s="15" t="n">
        <v>30</v>
      </c>
      <c r="H135" s="4" t="s">
        <v>918</v>
      </c>
      <c r="I135" s="8" t="n">
        <v>0</v>
      </c>
      <c r="J135" s="4" t="s">
        <v>919</v>
      </c>
      <c r="K135" s="4" t="s">
        <v>30</v>
      </c>
    </row>
    <row r="136" customFormat="false" ht="15" hidden="false" customHeight="false" outlineLevel="0" collapsed="false">
      <c r="A136" s="4" t="s">
        <v>363</v>
      </c>
      <c r="B136" s="3" t="n">
        <v>5</v>
      </c>
      <c r="C136" s="4" t="s">
        <v>921</v>
      </c>
      <c r="D136" s="4" t="s">
        <v>905</v>
      </c>
      <c r="E136" s="3" t="n">
        <v>4</v>
      </c>
      <c r="F136" s="10" t="n">
        <v>10</v>
      </c>
      <c r="G136" s="15" t="n">
        <v>22.4</v>
      </c>
      <c r="H136" s="4" t="s">
        <v>918</v>
      </c>
      <c r="I136" s="8" t="n">
        <v>0</v>
      </c>
      <c r="J136" s="4" t="s">
        <v>919</v>
      </c>
      <c r="K136" s="4" t="s">
        <v>30</v>
      </c>
    </row>
    <row r="137" customFormat="false" ht="15" hidden="false" customHeight="false" outlineLevel="0" collapsed="false">
      <c r="A137" s="4" t="s">
        <v>363</v>
      </c>
      <c r="B137" s="3" t="n">
        <v>6</v>
      </c>
      <c r="C137" s="4" t="s">
        <v>924</v>
      </c>
      <c r="D137" s="4" t="s">
        <v>892</v>
      </c>
      <c r="E137" s="3" t="n">
        <v>5</v>
      </c>
      <c r="F137" s="10" t="n">
        <v>12</v>
      </c>
      <c r="G137" s="15" t="n">
        <v>7.76</v>
      </c>
      <c r="H137" s="4" t="s">
        <v>918</v>
      </c>
      <c r="I137" s="8" t="n">
        <v>0</v>
      </c>
      <c r="J137" s="4" t="s">
        <v>925</v>
      </c>
      <c r="K137" s="4" t="s">
        <v>30</v>
      </c>
    </row>
    <row r="138" customFormat="false" ht="15" hidden="false" customHeight="false" outlineLevel="0" collapsed="false">
      <c r="A138" s="4" t="s">
        <v>363</v>
      </c>
      <c r="B138" s="3" t="n">
        <v>7</v>
      </c>
      <c r="C138" s="4" t="s">
        <v>926</v>
      </c>
      <c r="D138" s="4" t="s">
        <v>911</v>
      </c>
      <c r="E138" s="3" t="n">
        <v>6</v>
      </c>
      <c r="F138" s="10" t="n">
        <v>45</v>
      </c>
      <c r="G138" s="15" t="n">
        <v>0</v>
      </c>
      <c r="H138" s="4" t="s">
        <v>927</v>
      </c>
      <c r="I138" s="8" t="n">
        <v>40</v>
      </c>
      <c r="J138" s="4" t="s">
        <v>925</v>
      </c>
      <c r="K138" s="4" t="s">
        <v>30</v>
      </c>
    </row>
    <row r="139" customFormat="false" ht="15" hidden="false" customHeight="false" outlineLevel="0" collapsed="false">
      <c r="A139" s="4" t="s">
        <v>363</v>
      </c>
      <c r="B139" s="3" t="n">
        <v>8</v>
      </c>
      <c r="C139" s="4" t="s">
        <v>928</v>
      </c>
      <c r="D139" s="4" t="s">
        <v>913</v>
      </c>
      <c r="E139" s="3" t="n">
        <v>7</v>
      </c>
      <c r="F139" s="10" t="n">
        <v>8</v>
      </c>
      <c r="G139" s="15" t="n">
        <v>2.63</v>
      </c>
      <c r="H139" s="4" t="s">
        <v>918</v>
      </c>
      <c r="I139" s="8" t="n">
        <v>0</v>
      </c>
      <c r="J139" s="4" t="s">
        <v>925</v>
      </c>
      <c r="K139" s="4" t="s">
        <v>30</v>
      </c>
    </row>
    <row r="140" customFormat="false" ht="15" hidden="false" customHeight="false" outlineLevel="0" collapsed="false">
      <c r="A140" s="4" t="s">
        <v>363</v>
      </c>
      <c r="B140" s="3" t="n">
        <v>9</v>
      </c>
      <c r="C140" s="4" t="s">
        <v>929</v>
      </c>
      <c r="D140" s="4" t="s">
        <v>896</v>
      </c>
      <c r="E140" s="3" t="n">
        <v>8</v>
      </c>
      <c r="F140" s="10" t="n">
        <v>6</v>
      </c>
      <c r="G140" s="15" t="n">
        <v>75</v>
      </c>
      <c r="H140" s="4" t="s">
        <v>918</v>
      </c>
      <c r="I140" s="8" t="n">
        <v>0</v>
      </c>
      <c r="J140" s="4" t="s">
        <v>919</v>
      </c>
      <c r="K140" s="4" t="s">
        <v>30</v>
      </c>
    </row>
    <row r="141" customFormat="false" ht="15" hidden="false" customHeight="false" outlineLevel="0" collapsed="false">
      <c r="A141" s="4" t="s">
        <v>363</v>
      </c>
      <c r="B141" s="3" t="n">
        <v>10</v>
      </c>
      <c r="C141" s="4" t="s">
        <v>932</v>
      </c>
      <c r="D141" s="4" t="s">
        <v>896</v>
      </c>
      <c r="E141" s="3" t="n">
        <v>9</v>
      </c>
      <c r="F141" s="10" t="n">
        <v>0</v>
      </c>
      <c r="G141" s="15" t="n">
        <v>4</v>
      </c>
      <c r="H141" s="4" t="s">
        <v>918</v>
      </c>
      <c r="I141" s="8" t="n">
        <v>0</v>
      </c>
      <c r="J141" s="4" t="s">
        <v>925</v>
      </c>
      <c r="K141" s="4" t="s">
        <v>30</v>
      </c>
    </row>
    <row r="142" customFormat="false" ht="15" hidden="false" customHeight="false" outlineLevel="0" collapsed="false">
      <c r="A142" s="4" t="s">
        <v>366</v>
      </c>
      <c r="B142" s="3" t="n">
        <v>1</v>
      </c>
      <c r="C142" s="4" t="s">
        <v>917</v>
      </c>
      <c r="D142" s="4" t="s">
        <v>865</v>
      </c>
      <c r="F142" s="10" t="n">
        <v>8</v>
      </c>
      <c r="G142" s="15" t="n">
        <v>19.15681875</v>
      </c>
      <c r="H142" s="4" t="s">
        <v>918</v>
      </c>
      <c r="I142" s="8" t="n">
        <v>0</v>
      </c>
      <c r="J142" s="4" t="s">
        <v>919</v>
      </c>
      <c r="K142" s="4" t="s">
        <v>30</v>
      </c>
    </row>
    <row r="143" customFormat="false" ht="15" hidden="false" customHeight="false" outlineLevel="0" collapsed="false">
      <c r="A143" s="4" t="s">
        <v>366</v>
      </c>
      <c r="B143" s="3" t="n">
        <v>2</v>
      </c>
      <c r="C143" s="4" t="s">
        <v>920</v>
      </c>
      <c r="D143" s="4" t="s">
        <v>870</v>
      </c>
      <c r="E143" s="3" t="n">
        <v>1</v>
      </c>
      <c r="F143" s="10" t="n">
        <v>8</v>
      </c>
      <c r="G143" s="15" t="n">
        <v>10.7</v>
      </c>
      <c r="H143" s="4" t="s">
        <v>918</v>
      </c>
      <c r="I143" s="8" t="n">
        <v>0</v>
      </c>
      <c r="J143" s="4" t="s">
        <v>919</v>
      </c>
      <c r="K143" s="4" t="s">
        <v>30</v>
      </c>
    </row>
    <row r="144" customFormat="false" ht="15" hidden="false" customHeight="false" outlineLevel="0" collapsed="false">
      <c r="A144" s="4" t="s">
        <v>366</v>
      </c>
      <c r="B144" s="3" t="n">
        <v>3</v>
      </c>
      <c r="C144" s="4" t="s">
        <v>876</v>
      </c>
      <c r="D144" s="4" t="s">
        <v>903</v>
      </c>
      <c r="E144" s="3" t="n">
        <v>2</v>
      </c>
      <c r="F144" s="10" t="n">
        <v>10</v>
      </c>
      <c r="G144" s="15" t="n">
        <v>24.2</v>
      </c>
      <c r="H144" s="4" t="s">
        <v>918</v>
      </c>
      <c r="I144" s="8" t="n">
        <v>0</v>
      </c>
      <c r="J144" s="4" t="s">
        <v>919</v>
      </c>
      <c r="K144" s="4" t="s">
        <v>30</v>
      </c>
    </row>
    <row r="145" customFormat="false" ht="15" hidden="false" customHeight="false" outlineLevel="0" collapsed="false">
      <c r="A145" s="4" t="s">
        <v>366</v>
      </c>
      <c r="B145" s="3" t="n">
        <v>4</v>
      </c>
      <c r="C145" s="4" t="s">
        <v>880</v>
      </c>
      <c r="D145" s="4" t="s">
        <v>877</v>
      </c>
      <c r="E145" s="3" t="n">
        <v>3</v>
      </c>
      <c r="F145" s="10" t="n">
        <v>12</v>
      </c>
      <c r="G145" s="15" t="n">
        <v>30</v>
      </c>
      <c r="H145" s="4" t="s">
        <v>918</v>
      </c>
      <c r="I145" s="8" t="n">
        <v>0</v>
      </c>
      <c r="J145" s="4" t="s">
        <v>919</v>
      </c>
      <c r="K145" s="4" t="s">
        <v>30</v>
      </c>
    </row>
    <row r="146" customFormat="false" ht="15" hidden="false" customHeight="false" outlineLevel="0" collapsed="false">
      <c r="A146" s="4" t="s">
        <v>366</v>
      </c>
      <c r="B146" s="3" t="n">
        <v>5</v>
      </c>
      <c r="C146" s="4" t="s">
        <v>921</v>
      </c>
      <c r="D146" s="4" t="s">
        <v>905</v>
      </c>
      <c r="E146" s="3" t="n">
        <v>4</v>
      </c>
      <c r="F146" s="10" t="n">
        <v>10</v>
      </c>
      <c r="G146" s="15" t="n">
        <v>22.4</v>
      </c>
      <c r="H146" s="4" t="s">
        <v>918</v>
      </c>
      <c r="I146" s="8" t="n">
        <v>0</v>
      </c>
      <c r="J146" s="4" t="s">
        <v>919</v>
      </c>
      <c r="K146" s="4" t="s">
        <v>30</v>
      </c>
    </row>
    <row r="147" customFormat="false" ht="15" hidden="false" customHeight="false" outlineLevel="0" collapsed="false">
      <c r="A147" s="4" t="s">
        <v>366</v>
      </c>
      <c r="B147" s="3" t="n">
        <v>6</v>
      </c>
      <c r="C147" s="4" t="s">
        <v>924</v>
      </c>
      <c r="D147" s="4" t="s">
        <v>892</v>
      </c>
      <c r="E147" s="3" t="n">
        <v>5</v>
      </c>
      <c r="F147" s="10" t="n">
        <v>12</v>
      </c>
      <c r="G147" s="15" t="n">
        <v>7.34</v>
      </c>
      <c r="H147" s="4" t="s">
        <v>918</v>
      </c>
      <c r="I147" s="8" t="n">
        <v>0</v>
      </c>
      <c r="J147" s="4" t="s">
        <v>925</v>
      </c>
      <c r="K147" s="4" t="s">
        <v>30</v>
      </c>
    </row>
    <row r="148" customFormat="false" ht="15" hidden="false" customHeight="false" outlineLevel="0" collapsed="false">
      <c r="A148" s="4" t="s">
        <v>366</v>
      </c>
      <c r="B148" s="3" t="n">
        <v>7</v>
      </c>
      <c r="C148" s="4" t="s">
        <v>926</v>
      </c>
      <c r="D148" s="4" t="s">
        <v>911</v>
      </c>
      <c r="E148" s="3" t="n">
        <v>6</v>
      </c>
      <c r="F148" s="10" t="n">
        <v>45</v>
      </c>
      <c r="G148" s="15" t="n">
        <v>0</v>
      </c>
      <c r="H148" s="4" t="s">
        <v>927</v>
      </c>
      <c r="I148" s="8" t="n">
        <v>40</v>
      </c>
      <c r="J148" s="4" t="s">
        <v>925</v>
      </c>
      <c r="K148" s="4" t="s">
        <v>30</v>
      </c>
    </row>
    <row r="149" customFormat="false" ht="15" hidden="false" customHeight="false" outlineLevel="0" collapsed="false">
      <c r="A149" s="4" t="s">
        <v>366</v>
      </c>
      <c r="B149" s="3" t="n">
        <v>8</v>
      </c>
      <c r="C149" s="4" t="s">
        <v>928</v>
      </c>
      <c r="D149" s="4" t="s">
        <v>913</v>
      </c>
      <c r="E149" s="3" t="n">
        <v>7</v>
      </c>
      <c r="F149" s="10" t="n">
        <v>8</v>
      </c>
      <c r="G149" s="15" t="n">
        <v>2.54</v>
      </c>
      <c r="H149" s="4" t="s">
        <v>918</v>
      </c>
      <c r="I149" s="8" t="n">
        <v>0</v>
      </c>
      <c r="J149" s="4" t="s">
        <v>925</v>
      </c>
      <c r="K149" s="4" t="s">
        <v>30</v>
      </c>
    </row>
    <row r="150" customFormat="false" ht="15" hidden="false" customHeight="false" outlineLevel="0" collapsed="false">
      <c r="A150" s="4" t="s">
        <v>366</v>
      </c>
      <c r="B150" s="3" t="n">
        <v>9</v>
      </c>
      <c r="C150" s="4" t="s">
        <v>929</v>
      </c>
      <c r="D150" s="4" t="s">
        <v>896</v>
      </c>
      <c r="E150" s="3" t="n">
        <v>8</v>
      </c>
      <c r="F150" s="10" t="n">
        <v>6</v>
      </c>
      <c r="G150" s="15" t="n">
        <v>75</v>
      </c>
      <c r="H150" s="4" t="s">
        <v>918</v>
      </c>
      <c r="I150" s="8" t="n">
        <v>0</v>
      </c>
      <c r="J150" s="4" t="s">
        <v>919</v>
      </c>
      <c r="K150" s="4" t="s">
        <v>30</v>
      </c>
    </row>
    <row r="151" customFormat="false" ht="15" hidden="false" customHeight="false" outlineLevel="0" collapsed="false">
      <c r="A151" s="4" t="s">
        <v>366</v>
      </c>
      <c r="B151" s="3" t="n">
        <v>10</v>
      </c>
      <c r="C151" s="4" t="s">
        <v>932</v>
      </c>
      <c r="D151" s="4" t="s">
        <v>896</v>
      </c>
      <c r="E151" s="3" t="n">
        <v>9</v>
      </c>
      <c r="F151" s="10" t="n">
        <v>0</v>
      </c>
      <c r="G151" s="15" t="n">
        <v>4</v>
      </c>
      <c r="H151" s="4" t="s">
        <v>918</v>
      </c>
      <c r="I151" s="8" t="n">
        <v>0</v>
      </c>
      <c r="J151" s="4" t="s">
        <v>925</v>
      </c>
      <c r="K151" s="4" t="s">
        <v>30</v>
      </c>
    </row>
    <row r="152" customFormat="false" ht="15" hidden="false" customHeight="false" outlineLevel="0" collapsed="false">
      <c r="A152" s="4" t="s">
        <v>369</v>
      </c>
      <c r="B152" s="3" t="n">
        <v>1</v>
      </c>
      <c r="C152" s="4" t="s">
        <v>917</v>
      </c>
      <c r="D152" s="4" t="s">
        <v>865</v>
      </c>
      <c r="F152" s="10" t="n">
        <v>8</v>
      </c>
      <c r="G152" s="15" t="n">
        <v>17.849175</v>
      </c>
      <c r="H152" s="4" t="s">
        <v>918</v>
      </c>
      <c r="I152" s="8" t="n">
        <v>0</v>
      </c>
      <c r="J152" s="4" t="s">
        <v>919</v>
      </c>
      <c r="K152" s="4" t="s">
        <v>30</v>
      </c>
    </row>
    <row r="153" customFormat="false" ht="15" hidden="false" customHeight="false" outlineLevel="0" collapsed="false">
      <c r="A153" s="4" t="s">
        <v>369</v>
      </c>
      <c r="B153" s="3" t="n">
        <v>2</v>
      </c>
      <c r="C153" s="4" t="s">
        <v>920</v>
      </c>
      <c r="D153" s="4" t="s">
        <v>870</v>
      </c>
      <c r="E153" s="3" t="n">
        <v>1</v>
      </c>
      <c r="F153" s="10" t="n">
        <v>8</v>
      </c>
      <c r="G153" s="15" t="n">
        <v>10.28</v>
      </c>
      <c r="H153" s="4" t="s">
        <v>918</v>
      </c>
      <c r="I153" s="8" t="n">
        <v>0</v>
      </c>
      <c r="J153" s="4" t="s">
        <v>919</v>
      </c>
      <c r="K153" s="4" t="s">
        <v>30</v>
      </c>
    </row>
    <row r="154" customFormat="false" ht="15" hidden="false" customHeight="false" outlineLevel="0" collapsed="false">
      <c r="A154" s="4" t="s">
        <v>369</v>
      </c>
      <c r="B154" s="3" t="n">
        <v>3</v>
      </c>
      <c r="C154" s="4" t="s">
        <v>876</v>
      </c>
      <c r="D154" s="4" t="s">
        <v>903</v>
      </c>
      <c r="E154" s="3" t="n">
        <v>2</v>
      </c>
      <c r="F154" s="10" t="n">
        <v>10</v>
      </c>
      <c r="G154" s="15" t="n">
        <v>24.2</v>
      </c>
      <c r="H154" s="4" t="s">
        <v>918</v>
      </c>
      <c r="I154" s="8" t="n">
        <v>0</v>
      </c>
      <c r="J154" s="4" t="s">
        <v>919</v>
      </c>
      <c r="K154" s="4" t="s">
        <v>30</v>
      </c>
    </row>
    <row r="155" customFormat="false" ht="15" hidden="false" customHeight="false" outlineLevel="0" collapsed="false">
      <c r="A155" s="4" t="s">
        <v>369</v>
      </c>
      <c r="B155" s="3" t="n">
        <v>4</v>
      </c>
      <c r="C155" s="4" t="s">
        <v>880</v>
      </c>
      <c r="D155" s="4" t="s">
        <v>877</v>
      </c>
      <c r="E155" s="3" t="n">
        <v>3</v>
      </c>
      <c r="F155" s="10" t="n">
        <v>12</v>
      </c>
      <c r="G155" s="15" t="n">
        <v>30</v>
      </c>
      <c r="H155" s="4" t="s">
        <v>918</v>
      </c>
      <c r="I155" s="8" t="n">
        <v>0</v>
      </c>
      <c r="J155" s="4" t="s">
        <v>919</v>
      </c>
      <c r="K155" s="4" t="s">
        <v>30</v>
      </c>
    </row>
    <row r="156" customFormat="false" ht="15" hidden="false" customHeight="false" outlineLevel="0" collapsed="false">
      <c r="A156" s="4" t="s">
        <v>369</v>
      </c>
      <c r="B156" s="3" t="n">
        <v>5</v>
      </c>
      <c r="C156" s="4" t="s">
        <v>921</v>
      </c>
      <c r="D156" s="4" t="s">
        <v>905</v>
      </c>
      <c r="E156" s="3" t="n">
        <v>4</v>
      </c>
      <c r="F156" s="10" t="n">
        <v>10</v>
      </c>
      <c r="G156" s="15" t="n">
        <v>22.4</v>
      </c>
      <c r="H156" s="4" t="s">
        <v>918</v>
      </c>
      <c r="I156" s="8" t="n">
        <v>0</v>
      </c>
      <c r="J156" s="4" t="s">
        <v>919</v>
      </c>
      <c r="K156" s="4" t="s">
        <v>30</v>
      </c>
    </row>
    <row r="157" customFormat="false" ht="15" hidden="false" customHeight="false" outlineLevel="0" collapsed="false">
      <c r="A157" s="4" t="s">
        <v>369</v>
      </c>
      <c r="B157" s="3" t="n">
        <v>6</v>
      </c>
      <c r="C157" s="4" t="s">
        <v>924</v>
      </c>
      <c r="D157" s="4" t="s">
        <v>892</v>
      </c>
      <c r="E157" s="3" t="n">
        <v>5</v>
      </c>
      <c r="F157" s="10" t="n">
        <v>12</v>
      </c>
      <c r="G157" s="15" t="n">
        <v>6.7</v>
      </c>
      <c r="H157" s="4" t="s">
        <v>918</v>
      </c>
      <c r="I157" s="8" t="n">
        <v>0</v>
      </c>
      <c r="J157" s="4" t="s">
        <v>925</v>
      </c>
      <c r="K157" s="4" t="s">
        <v>30</v>
      </c>
    </row>
    <row r="158" customFormat="false" ht="15" hidden="false" customHeight="false" outlineLevel="0" collapsed="false">
      <c r="A158" s="4" t="s">
        <v>369</v>
      </c>
      <c r="B158" s="3" t="n">
        <v>7</v>
      </c>
      <c r="C158" s="4" t="s">
        <v>926</v>
      </c>
      <c r="D158" s="4" t="s">
        <v>911</v>
      </c>
      <c r="E158" s="3" t="n">
        <v>6</v>
      </c>
      <c r="F158" s="10" t="n">
        <v>45</v>
      </c>
      <c r="G158" s="15" t="n">
        <v>0</v>
      </c>
      <c r="H158" s="4" t="s">
        <v>927</v>
      </c>
      <c r="I158" s="8" t="n">
        <v>40</v>
      </c>
      <c r="J158" s="4" t="s">
        <v>925</v>
      </c>
      <c r="K158" s="4" t="s">
        <v>30</v>
      </c>
    </row>
    <row r="159" customFormat="false" ht="15" hidden="false" customHeight="false" outlineLevel="0" collapsed="false">
      <c r="A159" s="4" t="s">
        <v>369</v>
      </c>
      <c r="B159" s="3" t="n">
        <v>8</v>
      </c>
      <c r="C159" s="4" t="s">
        <v>928</v>
      </c>
      <c r="D159" s="4" t="s">
        <v>913</v>
      </c>
      <c r="E159" s="3" t="n">
        <v>7</v>
      </c>
      <c r="F159" s="10" t="n">
        <v>8</v>
      </c>
      <c r="G159" s="15" t="n">
        <v>2.39</v>
      </c>
      <c r="H159" s="4" t="s">
        <v>918</v>
      </c>
      <c r="I159" s="8" t="n">
        <v>0</v>
      </c>
      <c r="J159" s="4" t="s">
        <v>925</v>
      </c>
      <c r="K159" s="4" t="s">
        <v>30</v>
      </c>
    </row>
    <row r="160" customFormat="false" ht="15" hidden="false" customHeight="false" outlineLevel="0" collapsed="false">
      <c r="A160" s="4" t="s">
        <v>369</v>
      </c>
      <c r="B160" s="3" t="n">
        <v>9</v>
      </c>
      <c r="C160" s="4" t="s">
        <v>929</v>
      </c>
      <c r="D160" s="4" t="s">
        <v>896</v>
      </c>
      <c r="E160" s="3" t="n">
        <v>8</v>
      </c>
      <c r="F160" s="10" t="n">
        <v>6</v>
      </c>
      <c r="G160" s="15" t="n">
        <v>75</v>
      </c>
      <c r="H160" s="4" t="s">
        <v>918</v>
      </c>
      <c r="I160" s="8" t="n">
        <v>0</v>
      </c>
      <c r="J160" s="4" t="s">
        <v>919</v>
      </c>
      <c r="K160" s="4" t="s">
        <v>30</v>
      </c>
    </row>
    <row r="161" customFormat="false" ht="15" hidden="false" customHeight="false" outlineLevel="0" collapsed="false">
      <c r="A161" s="4" t="s">
        <v>369</v>
      </c>
      <c r="B161" s="3" t="n">
        <v>10</v>
      </c>
      <c r="C161" s="4" t="s">
        <v>932</v>
      </c>
      <c r="D161" s="4" t="s">
        <v>896</v>
      </c>
      <c r="E161" s="3" t="n">
        <v>9</v>
      </c>
      <c r="F161" s="10" t="n">
        <v>0</v>
      </c>
      <c r="G161" s="15" t="n">
        <v>4</v>
      </c>
      <c r="H161" s="4" t="s">
        <v>918</v>
      </c>
      <c r="I161" s="8" t="n">
        <v>0</v>
      </c>
      <c r="J161" s="4" t="s">
        <v>925</v>
      </c>
      <c r="K161" s="4" t="s">
        <v>30</v>
      </c>
    </row>
    <row r="162" customFormat="false" ht="15" hidden="false" customHeight="false" outlineLevel="0" collapsed="false">
      <c r="A162" s="4" t="s">
        <v>372</v>
      </c>
      <c r="B162" s="3" t="n">
        <v>1</v>
      </c>
      <c r="C162" s="4" t="s">
        <v>917</v>
      </c>
      <c r="D162" s="4" t="s">
        <v>865</v>
      </c>
      <c r="F162" s="10" t="n">
        <v>8</v>
      </c>
      <c r="G162" s="15" t="n">
        <v>17.868075</v>
      </c>
      <c r="H162" s="4" t="s">
        <v>918</v>
      </c>
      <c r="I162" s="8" t="n">
        <v>0</v>
      </c>
      <c r="J162" s="4" t="s">
        <v>919</v>
      </c>
      <c r="K162" s="4" t="s">
        <v>30</v>
      </c>
    </row>
    <row r="163" customFormat="false" ht="15" hidden="false" customHeight="false" outlineLevel="0" collapsed="false">
      <c r="A163" s="4" t="s">
        <v>372</v>
      </c>
      <c r="B163" s="3" t="n">
        <v>2</v>
      </c>
      <c r="C163" s="4" t="s">
        <v>920</v>
      </c>
      <c r="D163" s="4" t="s">
        <v>870</v>
      </c>
      <c r="E163" s="3" t="n">
        <v>1</v>
      </c>
      <c r="F163" s="10" t="n">
        <v>8</v>
      </c>
      <c r="G163" s="15" t="n">
        <v>10.64</v>
      </c>
      <c r="H163" s="4" t="s">
        <v>918</v>
      </c>
      <c r="I163" s="8" t="n">
        <v>0</v>
      </c>
      <c r="J163" s="4" t="s">
        <v>919</v>
      </c>
      <c r="K163" s="4" t="s">
        <v>30</v>
      </c>
    </row>
    <row r="164" customFormat="false" ht="15" hidden="false" customHeight="false" outlineLevel="0" collapsed="false">
      <c r="A164" s="4" t="s">
        <v>372</v>
      </c>
      <c r="B164" s="3" t="n">
        <v>3</v>
      </c>
      <c r="C164" s="4" t="s">
        <v>876</v>
      </c>
      <c r="D164" s="4" t="s">
        <v>903</v>
      </c>
      <c r="E164" s="3" t="n">
        <v>2</v>
      </c>
      <c r="F164" s="10" t="n">
        <v>10</v>
      </c>
      <c r="G164" s="15" t="n">
        <v>24.2</v>
      </c>
      <c r="H164" s="4" t="s">
        <v>918</v>
      </c>
      <c r="I164" s="8" t="n">
        <v>0</v>
      </c>
      <c r="J164" s="4" t="s">
        <v>919</v>
      </c>
      <c r="K164" s="4" t="s">
        <v>30</v>
      </c>
    </row>
    <row r="165" customFormat="false" ht="15" hidden="false" customHeight="false" outlineLevel="0" collapsed="false">
      <c r="A165" s="4" t="s">
        <v>372</v>
      </c>
      <c r="B165" s="3" t="n">
        <v>4</v>
      </c>
      <c r="C165" s="4" t="s">
        <v>880</v>
      </c>
      <c r="D165" s="4" t="s">
        <v>877</v>
      </c>
      <c r="E165" s="3" t="n">
        <v>3</v>
      </c>
      <c r="F165" s="10" t="n">
        <v>12</v>
      </c>
      <c r="G165" s="15" t="n">
        <v>30</v>
      </c>
      <c r="H165" s="4" t="s">
        <v>918</v>
      </c>
      <c r="I165" s="8" t="n">
        <v>0</v>
      </c>
      <c r="J165" s="4" t="s">
        <v>919</v>
      </c>
      <c r="K165" s="4" t="s">
        <v>30</v>
      </c>
    </row>
    <row r="166" customFormat="false" ht="15" hidden="false" customHeight="false" outlineLevel="0" collapsed="false">
      <c r="A166" s="4" t="s">
        <v>372</v>
      </c>
      <c r="B166" s="3" t="n">
        <v>5</v>
      </c>
      <c r="C166" s="4" t="s">
        <v>921</v>
      </c>
      <c r="D166" s="4" t="s">
        <v>905</v>
      </c>
      <c r="E166" s="3" t="n">
        <v>4</v>
      </c>
      <c r="F166" s="10" t="n">
        <v>10</v>
      </c>
      <c r="G166" s="15" t="n">
        <v>22.4</v>
      </c>
      <c r="H166" s="4" t="s">
        <v>918</v>
      </c>
      <c r="I166" s="8" t="n">
        <v>0</v>
      </c>
      <c r="J166" s="4" t="s">
        <v>919</v>
      </c>
      <c r="K166" s="4" t="s">
        <v>30</v>
      </c>
    </row>
    <row r="167" customFormat="false" ht="15" hidden="false" customHeight="false" outlineLevel="0" collapsed="false">
      <c r="A167" s="4" t="s">
        <v>372</v>
      </c>
      <c r="B167" s="3" t="n">
        <v>6</v>
      </c>
      <c r="C167" s="4" t="s">
        <v>924</v>
      </c>
      <c r="D167" s="4" t="s">
        <v>892</v>
      </c>
      <c r="E167" s="3" t="n">
        <v>5</v>
      </c>
      <c r="F167" s="10" t="n">
        <v>12</v>
      </c>
      <c r="G167" s="15" t="n">
        <v>7.76</v>
      </c>
      <c r="H167" s="4" t="s">
        <v>918</v>
      </c>
      <c r="I167" s="8" t="n">
        <v>0</v>
      </c>
      <c r="J167" s="4" t="s">
        <v>925</v>
      </c>
      <c r="K167" s="4" t="s">
        <v>30</v>
      </c>
    </row>
    <row r="168" customFormat="false" ht="15" hidden="false" customHeight="false" outlineLevel="0" collapsed="false">
      <c r="A168" s="4" t="s">
        <v>372</v>
      </c>
      <c r="B168" s="3" t="n">
        <v>7</v>
      </c>
      <c r="C168" s="4" t="s">
        <v>926</v>
      </c>
      <c r="D168" s="4" t="s">
        <v>911</v>
      </c>
      <c r="E168" s="3" t="n">
        <v>6</v>
      </c>
      <c r="F168" s="10" t="n">
        <v>45</v>
      </c>
      <c r="G168" s="15" t="n">
        <v>0</v>
      </c>
      <c r="H168" s="4" t="s">
        <v>927</v>
      </c>
      <c r="I168" s="8" t="n">
        <v>40</v>
      </c>
      <c r="J168" s="4" t="s">
        <v>925</v>
      </c>
      <c r="K168" s="4" t="s">
        <v>30</v>
      </c>
    </row>
    <row r="169" customFormat="false" ht="15" hidden="false" customHeight="false" outlineLevel="0" collapsed="false">
      <c r="A169" s="4" t="s">
        <v>372</v>
      </c>
      <c r="B169" s="3" t="n">
        <v>8</v>
      </c>
      <c r="C169" s="4" t="s">
        <v>928</v>
      </c>
      <c r="D169" s="4" t="s">
        <v>913</v>
      </c>
      <c r="E169" s="3" t="n">
        <v>7</v>
      </c>
      <c r="F169" s="10" t="n">
        <v>8</v>
      </c>
      <c r="G169" s="15" t="n">
        <v>2.63</v>
      </c>
      <c r="H169" s="4" t="s">
        <v>918</v>
      </c>
      <c r="I169" s="8" t="n">
        <v>0</v>
      </c>
      <c r="J169" s="4" t="s">
        <v>925</v>
      </c>
      <c r="K169" s="4" t="s">
        <v>30</v>
      </c>
    </row>
    <row r="170" customFormat="false" ht="15" hidden="false" customHeight="false" outlineLevel="0" collapsed="false">
      <c r="A170" s="4" t="s">
        <v>372</v>
      </c>
      <c r="B170" s="3" t="n">
        <v>9</v>
      </c>
      <c r="C170" s="4" t="s">
        <v>929</v>
      </c>
      <c r="D170" s="4" t="s">
        <v>896</v>
      </c>
      <c r="E170" s="3" t="n">
        <v>8</v>
      </c>
      <c r="F170" s="10" t="n">
        <v>6</v>
      </c>
      <c r="G170" s="15" t="n">
        <v>75</v>
      </c>
      <c r="H170" s="4" t="s">
        <v>918</v>
      </c>
      <c r="I170" s="8" t="n">
        <v>0</v>
      </c>
      <c r="J170" s="4" t="s">
        <v>919</v>
      </c>
      <c r="K170" s="4" t="s">
        <v>30</v>
      </c>
    </row>
    <row r="171" customFormat="false" ht="15" hidden="false" customHeight="false" outlineLevel="0" collapsed="false">
      <c r="A171" s="4" t="s">
        <v>372</v>
      </c>
      <c r="B171" s="3" t="n">
        <v>10</v>
      </c>
      <c r="C171" s="4" t="s">
        <v>932</v>
      </c>
      <c r="D171" s="4" t="s">
        <v>896</v>
      </c>
      <c r="E171" s="3" t="n">
        <v>9</v>
      </c>
      <c r="F171" s="10" t="n">
        <v>0</v>
      </c>
      <c r="G171" s="15" t="n">
        <v>4</v>
      </c>
      <c r="H171" s="4" t="s">
        <v>918</v>
      </c>
      <c r="I171" s="8" t="n">
        <v>0</v>
      </c>
      <c r="J171" s="4" t="s">
        <v>925</v>
      </c>
      <c r="K171" s="4" t="s">
        <v>30</v>
      </c>
    </row>
    <row r="172" customFormat="false" ht="15" hidden="false" customHeight="false" outlineLevel="0" collapsed="false">
      <c r="A172" s="4" t="s">
        <v>381</v>
      </c>
      <c r="B172" s="3" t="n">
        <v>1</v>
      </c>
      <c r="C172" s="4" t="s">
        <v>917</v>
      </c>
      <c r="D172" s="4" t="s">
        <v>865</v>
      </c>
      <c r="F172" s="10" t="n">
        <v>8</v>
      </c>
      <c r="G172" s="15" t="n">
        <v>18.8176866</v>
      </c>
      <c r="H172" s="4" t="s">
        <v>918</v>
      </c>
      <c r="I172" s="8" t="n">
        <v>0</v>
      </c>
      <c r="J172" s="4" t="s">
        <v>919</v>
      </c>
      <c r="K172" s="4" t="s">
        <v>30</v>
      </c>
    </row>
    <row r="173" customFormat="false" ht="15" hidden="false" customHeight="false" outlineLevel="0" collapsed="false">
      <c r="A173" s="4" t="s">
        <v>381</v>
      </c>
      <c r="B173" s="3" t="n">
        <v>2</v>
      </c>
      <c r="C173" s="4" t="s">
        <v>876</v>
      </c>
      <c r="D173" s="4" t="s">
        <v>903</v>
      </c>
      <c r="E173" s="3" t="n">
        <v>1</v>
      </c>
      <c r="F173" s="10" t="n">
        <v>10</v>
      </c>
      <c r="G173" s="15" t="n">
        <v>7.9</v>
      </c>
      <c r="H173" s="4" t="s">
        <v>918</v>
      </c>
      <c r="I173" s="8" t="n">
        <v>0</v>
      </c>
      <c r="J173" s="4" t="s">
        <v>919</v>
      </c>
      <c r="K173" s="4" t="s">
        <v>30</v>
      </c>
    </row>
    <row r="174" customFormat="false" ht="15" hidden="false" customHeight="false" outlineLevel="0" collapsed="false">
      <c r="A174" s="4" t="s">
        <v>381</v>
      </c>
      <c r="B174" s="3" t="n">
        <v>3</v>
      </c>
      <c r="C174" s="4" t="s">
        <v>880</v>
      </c>
      <c r="D174" s="4" t="s">
        <v>877</v>
      </c>
      <c r="E174" s="3" t="n">
        <v>2</v>
      </c>
      <c r="F174" s="10" t="n">
        <v>12</v>
      </c>
      <c r="G174" s="15" t="n">
        <v>34</v>
      </c>
      <c r="H174" s="4" t="s">
        <v>918</v>
      </c>
      <c r="I174" s="8" t="n">
        <v>0</v>
      </c>
      <c r="J174" s="4" t="s">
        <v>919</v>
      </c>
      <c r="K174" s="4" t="s">
        <v>30</v>
      </c>
    </row>
    <row r="175" customFormat="false" ht="15" hidden="false" customHeight="false" outlineLevel="0" collapsed="false">
      <c r="A175" s="4" t="s">
        <v>381</v>
      </c>
      <c r="B175" s="3" t="n">
        <v>4</v>
      </c>
      <c r="C175" s="4" t="s">
        <v>924</v>
      </c>
      <c r="D175" s="4" t="s">
        <v>892</v>
      </c>
      <c r="E175" s="3" t="n">
        <v>3</v>
      </c>
      <c r="F175" s="10" t="n">
        <v>12</v>
      </c>
      <c r="G175" s="15" t="n">
        <v>6.2</v>
      </c>
      <c r="H175" s="4" t="s">
        <v>918</v>
      </c>
      <c r="I175" s="8" t="n">
        <v>0</v>
      </c>
      <c r="J175" s="4" t="s">
        <v>925</v>
      </c>
      <c r="K175" s="4" t="s">
        <v>30</v>
      </c>
    </row>
    <row r="176" customFormat="false" ht="15" hidden="false" customHeight="false" outlineLevel="0" collapsed="false">
      <c r="A176" s="4" t="s">
        <v>381</v>
      </c>
      <c r="B176" s="3" t="n">
        <v>5</v>
      </c>
      <c r="C176" s="4" t="s">
        <v>926</v>
      </c>
      <c r="D176" s="4" t="s">
        <v>911</v>
      </c>
      <c r="E176" s="3" t="n">
        <v>4</v>
      </c>
      <c r="F176" s="10" t="n">
        <v>45</v>
      </c>
      <c r="G176" s="15" t="n">
        <v>0</v>
      </c>
      <c r="H176" s="4" t="s">
        <v>927</v>
      </c>
      <c r="I176" s="8" t="n">
        <v>40</v>
      </c>
      <c r="J176" s="4" t="s">
        <v>925</v>
      </c>
      <c r="K176" s="4" t="s">
        <v>30</v>
      </c>
    </row>
    <row r="177" customFormat="false" ht="15" hidden="false" customHeight="false" outlineLevel="0" collapsed="false">
      <c r="A177" s="4" t="s">
        <v>381</v>
      </c>
      <c r="B177" s="3" t="n">
        <v>6</v>
      </c>
      <c r="C177" s="4" t="s">
        <v>928</v>
      </c>
      <c r="D177" s="4" t="s">
        <v>913</v>
      </c>
      <c r="E177" s="3" t="n">
        <v>5</v>
      </c>
      <c r="F177" s="10" t="n">
        <v>8</v>
      </c>
      <c r="G177" s="15" t="n">
        <v>2.27</v>
      </c>
      <c r="H177" s="4" t="s">
        <v>918</v>
      </c>
      <c r="I177" s="8" t="n">
        <v>0</v>
      </c>
      <c r="J177" s="4" t="s">
        <v>925</v>
      </c>
      <c r="K177" s="4" t="s">
        <v>30</v>
      </c>
    </row>
    <row r="178" customFormat="false" ht="15" hidden="false" customHeight="false" outlineLevel="0" collapsed="false">
      <c r="A178" s="4" t="s">
        <v>381</v>
      </c>
      <c r="B178" s="3" t="n">
        <v>7</v>
      </c>
      <c r="C178" s="4" t="s">
        <v>929</v>
      </c>
      <c r="D178" s="4" t="s">
        <v>896</v>
      </c>
      <c r="E178" s="3" t="n">
        <v>6</v>
      </c>
      <c r="F178" s="10" t="n">
        <v>6</v>
      </c>
      <c r="G178" s="15" t="n">
        <v>6.75</v>
      </c>
      <c r="H178" s="4" t="s">
        <v>918</v>
      </c>
      <c r="I178" s="8" t="n">
        <v>0</v>
      </c>
      <c r="J178" s="4" t="s">
        <v>919</v>
      </c>
      <c r="K178" s="4" t="s">
        <v>30</v>
      </c>
    </row>
    <row r="179" customFormat="false" ht="15" hidden="false" customHeight="false" outlineLevel="0" collapsed="false">
      <c r="A179" s="4" t="s">
        <v>381</v>
      </c>
      <c r="B179" s="3" t="n">
        <v>8</v>
      </c>
      <c r="C179" s="4" t="s">
        <v>932</v>
      </c>
      <c r="D179" s="4" t="s">
        <v>896</v>
      </c>
      <c r="E179" s="3" t="n">
        <v>7</v>
      </c>
      <c r="F179" s="10" t="n">
        <v>0</v>
      </c>
      <c r="G179" s="15" t="n">
        <v>4</v>
      </c>
      <c r="H179" s="4" t="s">
        <v>918</v>
      </c>
      <c r="I179" s="8" t="n">
        <v>0</v>
      </c>
      <c r="J179" s="4" t="s">
        <v>925</v>
      </c>
      <c r="K179" s="4" t="s">
        <v>30</v>
      </c>
    </row>
    <row r="180" customFormat="false" ht="15" hidden="false" customHeight="false" outlineLevel="0" collapsed="false">
      <c r="A180" s="4" t="s">
        <v>384</v>
      </c>
      <c r="B180" s="3" t="n">
        <v>1</v>
      </c>
      <c r="C180" s="4" t="s">
        <v>917</v>
      </c>
      <c r="D180" s="4" t="s">
        <v>865</v>
      </c>
      <c r="F180" s="10" t="n">
        <v>8</v>
      </c>
      <c r="G180" s="15" t="n">
        <v>23.107144</v>
      </c>
      <c r="H180" s="4" t="s">
        <v>918</v>
      </c>
      <c r="I180" s="8" t="n">
        <v>0</v>
      </c>
      <c r="J180" s="4" t="s">
        <v>919</v>
      </c>
      <c r="K180" s="4" t="s">
        <v>30</v>
      </c>
    </row>
    <row r="181" customFormat="false" ht="15" hidden="false" customHeight="false" outlineLevel="0" collapsed="false">
      <c r="A181" s="4" t="s">
        <v>384</v>
      </c>
      <c r="B181" s="3" t="n">
        <v>2</v>
      </c>
      <c r="C181" s="4" t="s">
        <v>876</v>
      </c>
      <c r="D181" s="4" t="s">
        <v>903</v>
      </c>
      <c r="E181" s="3" t="n">
        <v>1</v>
      </c>
      <c r="F181" s="10" t="n">
        <v>10</v>
      </c>
      <c r="G181" s="15" t="n">
        <v>11.6</v>
      </c>
      <c r="H181" s="4" t="s">
        <v>918</v>
      </c>
      <c r="I181" s="8" t="n">
        <v>0</v>
      </c>
      <c r="J181" s="4" t="s">
        <v>919</v>
      </c>
      <c r="K181" s="4" t="s">
        <v>30</v>
      </c>
    </row>
    <row r="182" customFormat="false" ht="15" hidden="false" customHeight="false" outlineLevel="0" collapsed="false">
      <c r="A182" s="4" t="s">
        <v>384</v>
      </c>
      <c r="B182" s="3" t="n">
        <v>3</v>
      </c>
      <c r="C182" s="4" t="s">
        <v>880</v>
      </c>
      <c r="D182" s="4" t="s">
        <v>877</v>
      </c>
      <c r="E182" s="3" t="n">
        <v>2</v>
      </c>
      <c r="F182" s="10" t="n">
        <v>12</v>
      </c>
      <c r="G182" s="15" t="n">
        <v>43</v>
      </c>
      <c r="H182" s="4" t="s">
        <v>918</v>
      </c>
      <c r="I182" s="8" t="n">
        <v>0</v>
      </c>
      <c r="J182" s="4" t="s">
        <v>919</v>
      </c>
      <c r="K182" s="4" t="s">
        <v>30</v>
      </c>
    </row>
    <row r="183" customFormat="false" ht="15" hidden="false" customHeight="false" outlineLevel="0" collapsed="false">
      <c r="A183" s="4" t="s">
        <v>384</v>
      </c>
      <c r="B183" s="3" t="n">
        <v>4</v>
      </c>
      <c r="C183" s="4" t="s">
        <v>924</v>
      </c>
      <c r="D183" s="4" t="s">
        <v>892</v>
      </c>
      <c r="E183" s="3" t="n">
        <v>3</v>
      </c>
      <c r="F183" s="10" t="n">
        <v>12</v>
      </c>
      <c r="G183" s="15" t="n">
        <v>6.2</v>
      </c>
      <c r="H183" s="4" t="s">
        <v>918</v>
      </c>
      <c r="I183" s="8" t="n">
        <v>0</v>
      </c>
      <c r="J183" s="4" t="s">
        <v>925</v>
      </c>
      <c r="K183" s="4" t="s">
        <v>30</v>
      </c>
    </row>
    <row r="184" customFormat="false" ht="15" hidden="false" customHeight="false" outlineLevel="0" collapsed="false">
      <c r="A184" s="4" t="s">
        <v>384</v>
      </c>
      <c r="B184" s="3" t="n">
        <v>5</v>
      </c>
      <c r="C184" s="4" t="s">
        <v>926</v>
      </c>
      <c r="D184" s="4" t="s">
        <v>911</v>
      </c>
      <c r="E184" s="3" t="n">
        <v>4</v>
      </c>
      <c r="F184" s="10" t="n">
        <v>45</v>
      </c>
      <c r="G184" s="15" t="n">
        <v>0</v>
      </c>
      <c r="H184" s="4" t="s">
        <v>927</v>
      </c>
      <c r="I184" s="8" t="n">
        <v>40</v>
      </c>
      <c r="J184" s="4" t="s">
        <v>925</v>
      </c>
      <c r="K184" s="4" t="s">
        <v>30</v>
      </c>
    </row>
    <row r="185" customFormat="false" ht="15" hidden="false" customHeight="false" outlineLevel="0" collapsed="false">
      <c r="A185" s="4" t="s">
        <v>384</v>
      </c>
      <c r="B185" s="3" t="n">
        <v>6</v>
      </c>
      <c r="C185" s="4" t="s">
        <v>928</v>
      </c>
      <c r="D185" s="4" t="s">
        <v>913</v>
      </c>
      <c r="E185" s="3" t="n">
        <v>5</v>
      </c>
      <c r="F185" s="10" t="n">
        <v>8</v>
      </c>
      <c r="G185" s="15" t="n">
        <v>2.27</v>
      </c>
      <c r="H185" s="4" t="s">
        <v>918</v>
      </c>
      <c r="I185" s="8" t="n">
        <v>0</v>
      </c>
      <c r="J185" s="4" t="s">
        <v>925</v>
      </c>
      <c r="K185" s="4" t="s">
        <v>30</v>
      </c>
    </row>
    <row r="186" customFormat="false" ht="15" hidden="false" customHeight="false" outlineLevel="0" collapsed="false">
      <c r="A186" s="4" t="s">
        <v>384</v>
      </c>
      <c r="B186" s="3" t="n">
        <v>7</v>
      </c>
      <c r="C186" s="4" t="s">
        <v>929</v>
      </c>
      <c r="D186" s="4" t="s">
        <v>896</v>
      </c>
      <c r="E186" s="3" t="n">
        <v>6</v>
      </c>
      <c r="F186" s="10" t="n">
        <v>6</v>
      </c>
      <c r="G186" s="15" t="n">
        <v>27</v>
      </c>
      <c r="H186" s="4" t="s">
        <v>918</v>
      </c>
      <c r="I186" s="8" t="n">
        <v>0</v>
      </c>
      <c r="J186" s="4" t="s">
        <v>919</v>
      </c>
      <c r="K186" s="4" t="s">
        <v>30</v>
      </c>
    </row>
    <row r="187" customFormat="false" ht="15" hidden="false" customHeight="false" outlineLevel="0" collapsed="false">
      <c r="A187" s="4" t="s">
        <v>384</v>
      </c>
      <c r="B187" s="3" t="n">
        <v>8</v>
      </c>
      <c r="C187" s="4" t="s">
        <v>932</v>
      </c>
      <c r="D187" s="4" t="s">
        <v>896</v>
      </c>
      <c r="E187" s="3" t="n">
        <v>7</v>
      </c>
      <c r="F187" s="10" t="n">
        <v>0</v>
      </c>
      <c r="G187" s="15" t="n">
        <v>4</v>
      </c>
      <c r="H187" s="4" t="s">
        <v>918</v>
      </c>
      <c r="I187" s="8" t="n">
        <v>0</v>
      </c>
      <c r="J187" s="4" t="s">
        <v>925</v>
      </c>
      <c r="K187" s="4" t="s">
        <v>30</v>
      </c>
    </row>
    <row r="188" customFormat="false" ht="15" hidden="false" customHeight="false" outlineLevel="0" collapsed="false">
      <c r="A188" s="4" t="s">
        <v>387</v>
      </c>
      <c r="B188" s="3" t="n">
        <v>1</v>
      </c>
      <c r="C188" s="4" t="s">
        <v>917</v>
      </c>
      <c r="D188" s="4" t="s">
        <v>865</v>
      </c>
      <c r="F188" s="10" t="n">
        <v>8</v>
      </c>
      <c r="G188" s="15" t="n">
        <v>27.423083</v>
      </c>
      <c r="H188" s="4" t="s">
        <v>918</v>
      </c>
      <c r="I188" s="8" t="n">
        <v>0</v>
      </c>
      <c r="J188" s="4" t="s">
        <v>919</v>
      </c>
      <c r="K188" s="4" t="s">
        <v>30</v>
      </c>
    </row>
    <row r="189" customFormat="false" ht="15" hidden="false" customHeight="false" outlineLevel="0" collapsed="false">
      <c r="A189" s="4" t="s">
        <v>387</v>
      </c>
      <c r="B189" s="3" t="n">
        <v>2</v>
      </c>
      <c r="C189" s="4" t="s">
        <v>876</v>
      </c>
      <c r="D189" s="4" t="s">
        <v>903</v>
      </c>
      <c r="E189" s="3" t="n">
        <v>1</v>
      </c>
      <c r="F189" s="10" t="n">
        <v>10</v>
      </c>
      <c r="G189" s="15" t="n">
        <v>15.3</v>
      </c>
      <c r="H189" s="4" t="s">
        <v>918</v>
      </c>
      <c r="I189" s="8" t="n">
        <v>0</v>
      </c>
      <c r="J189" s="4" t="s">
        <v>919</v>
      </c>
      <c r="K189" s="4" t="s">
        <v>30</v>
      </c>
    </row>
    <row r="190" customFormat="false" ht="15" hidden="false" customHeight="false" outlineLevel="0" collapsed="false">
      <c r="A190" s="4" t="s">
        <v>387</v>
      </c>
      <c r="B190" s="3" t="n">
        <v>3</v>
      </c>
      <c r="C190" s="4" t="s">
        <v>880</v>
      </c>
      <c r="D190" s="4" t="s">
        <v>877</v>
      </c>
      <c r="E190" s="3" t="n">
        <v>2</v>
      </c>
      <c r="F190" s="10" t="n">
        <v>12</v>
      </c>
      <c r="G190" s="15" t="n">
        <v>52</v>
      </c>
      <c r="H190" s="4" t="s">
        <v>918</v>
      </c>
      <c r="I190" s="8" t="n">
        <v>0</v>
      </c>
      <c r="J190" s="4" t="s">
        <v>919</v>
      </c>
      <c r="K190" s="4" t="s">
        <v>30</v>
      </c>
    </row>
    <row r="191" customFormat="false" ht="15" hidden="false" customHeight="false" outlineLevel="0" collapsed="false">
      <c r="A191" s="4" t="s">
        <v>387</v>
      </c>
      <c r="B191" s="3" t="n">
        <v>4</v>
      </c>
      <c r="C191" s="4" t="s">
        <v>924</v>
      </c>
      <c r="D191" s="4" t="s">
        <v>892</v>
      </c>
      <c r="E191" s="3" t="n">
        <v>3</v>
      </c>
      <c r="F191" s="10" t="n">
        <v>12</v>
      </c>
      <c r="G191" s="15" t="n">
        <v>6.2</v>
      </c>
      <c r="H191" s="4" t="s">
        <v>918</v>
      </c>
      <c r="I191" s="8" t="n">
        <v>0</v>
      </c>
      <c r="J191" s="4" t="s">
        <v>925</v>
      </c>
      <c r="K191" s="4" t="s">
        <v>30</v>
      </c>
    </row>
    <row r="192" customFormat="false" ht="15" hidden="false" customHeight="false" outlineLevel="0" collapsed="false">
      <c r="A192" s="4" t="s">
        <v>387</v>
      </c>
      <c r="B192" s="3" t="n">
        <v>5</v>
      </c>
      <c r="C192" s="4" t="s">
        <v>926</v>
      </c>
      <c r="D192" s="4" t="s">
        <v>911</v>
      </c>
      <c r="E192" s="3" t="n">
        <v>4</v>
      </c>
      <c r="F192" s="10" t="n">
        <v>45</v>
      </c>
      <c r="G192" s="15" t="n">
        <v>0</v>
      </c>
      <c r="H192" s="4" t="s">
        <v>927</v>
      </c>
      <c r="I192" s="8" t="n">
        <v>40</v>
      </c>
      <c r="J192" s="4" t="s">
        <v>925</v>
      </c>
      <c r="K192" s="4" t="s">
        <v>30</v>
      </c>
    </row>
    <row r="193" customFormat="false" ht="15" hidden="false" customHeight="false" outlineLevel="0" collapsed="false">
      <c r="A193" s="4" t="s">
        <v>387</v>
      </c>
      <c r="B193" s="3" t="n">
        <v>6</v>
      </c>
      <c r="C193" s="4" t="s">
        <v>928</v>
      </c>
      <c r="D193" s="4" t="s">
        <v>913</v>
      </c>
      <c r="E193" s="3" t="n">
        <v>5</v>
      </c>
      <c r="F193" s="10" t="n">
        <v>8</v>
      </c>
      <c r="G193" s="15" t="n">
        <v>2.27</v>
      </c>
      <c r="H193" s="4" t="s">
        <v>918</v>
      </c>
      <c r="I193" s="8" t="n">
        <v>0</v>
      </c>
      <c r="J193" s="4" t="s">
        <v>925</v>
      </c>
      <c r="K193" s="4" t="s">
        <v>30</v>
      </c>
    </row>
    <row r="194" customFormat="false" ht="15" hidden="false" customHeight="false" outlineLevel="0" collapsed="false">
      <c r="A194" s="4" t="s">
        <v>387</v>
      </c>
      <c r="B194" s="3" t="n">
        <v>7</v>
      </c>
      <c r="C194" s="4" t="s">
        <v>929</v>
      </c>
      <c r="D194" s="4" t="s">
        <v>896</v>
      </c>
      <c r="E194" s="3" t="n">
        <v>6</v>
      </c>
      <c r="F194" s="10" t="n">
        <v>6</v>
      </c>
      <c r="G194" s="15" t="n">
        <v>60.75</v>
      </c>
      <c r="H194" s="4" t="s">
        <v>918</v>
      </c>
      <c r="I194" s="8" t="n">
        <v>0</v>
      </c>
      <c r="J194" s="4" t="s">
        <v>919</v>
      </c>
      <c r="K194" s="4" t="s">
        <v>30</v>
      </c>
    </row>
    <row r="195" customFormat="false" ht="15" hidden="false" customHeight="false" outlineLevel="0" collapsed="false">
      <c r="A195" s="4" t="s">
        <v>387</v>
      </c>
      <c r="B195" s="3" t="n">
        <v>8</v>
      </c>
      <c r="C195" s="4" t="s">
        <v>932</v>
      </c>
      <c r="D195" s="4" t="s">
        <v>896</v>
      </c>
      <c r="E195" s="3" t="n">
        <v>7</v>
      </c>
      <c r="F195" s="10" t="n">
        <v>0</v>
      </c>
      <c r="G195" s="15" t="n">
        <v>4</v>
      </c>
      <c r="H195" s="4" t="s">
        <v>918</v>
      </c>
      <c r="I195" s="8" t="n">
        <v>0</v>
      </c>
      <c r="J195" s="4" t="s">
        <v>925</v>
      </c>
      <c r="K195" s="4" t="s">
        <v>30</v>
      </c>
    </row>
    <row r="196" customFormat="false" ht="15" hidden="false" customHeight="false" outlineLevel="0" collapsed="false">
      <c r="A196" s="4" t="s">
        <v>390</v>
      </c>
      <c r="B196" s="3" t="n">
        <v>1</v>
      </c>
      <c r="C196" s="4" t="s">
        <v>917</v>
      </c>
      <c r="D196" s="4" t="s">
        <v>865</v>
      </c>
      <c r="F196" s="10" t="n">
        <v>8</v>
      </c>
      <c r="G196" s="15" t="n">
        <v>39.2399508</v>
      </c>
      <c r="H196" s="4" t="s">
        <v>918</v>
      </c>
      <c r="I196" s="8" t="n">
        <v>0</v>
      </c>
      <c r="J196" s="4" t="s">
        <v>919</v>
      </c>
      <c r="K196" s="4" t="s">
        <v>30</v>
      </c>
    </row>
    <row r="197" customFormat="false" ht="15" hidden="false" customHeight="false" outlineLevel="0" collapsed="false">
      <c r="A197" s="4" t="s">
        <v>390</v>
      </c>
      <c r="B197" s="3" t="n">
        <v>2</v>
      </c>
      <c r="C197" s="4" t="s">
        <v>876</v>
      </c>
      <c r="D197" s="4" t="s">
        <v>903</v>
      </c>
      <c r="E197" s="3" t="n">
        <v>1</v>
      </c>
      <c r="F197" s="10" t="n">
        <v>10</v>
      </c>
      <c r="G197" s="15" t="n">
        <v>19</v>
      </c>
      <c r="H197" s="4" t="s">
        <v>918</v>
      </c>
      <c r="I197" s="8" t="n">
        <v>0</v>
      </c>
      <c r="J197" s="4" t="s">
        <v>919</v>
      </c>
      <c r="K197" s="4" t="s">
        <v>30</v>
      </c>
    </row>
    <row r="198" customFormat="false" ht="15" hidden="false" customHeight="false" outlineLevel="0" collapsed="false">
      <c r="A198" s="4" t="s">
        <v>390</v>
      </c>
      <c r="B198" s="3" t="n">
        <v>3</v>
      </c>
      <c r="C198" s="4" t="s">
        <v>880</v>
      </c>
      <c r="D198" s="4" t="s">
        <v>877</v>
      </c>
      <c r="E198" s="3" t="n">
        <v>2</v>
      </c>
      <c r="F198" s="10" t="n">
        <v>12</v>
      </c>
      <c r="G198" s="15" t="n">
        <v>76</v>
      </c>
      <c r="H198" s="4" t="s">
        <v>918</v>
      </c>
      <c r="I198" s="8" t="n">
        <v>0</v>
      </c>
      <c r="J198" s="4" t="s">
        <v>919</v>
      </c>
      <c r="K198" s="4" t="s">
        <v>30</v>
      </c>
    </row>
    <row r="199" customFormat="false" ht="15" hidden="false" customHeight="false" outlineLevel="0" collapsed="false">
      <c r="A199" s="4" t="s">
        <v>390</v>
      </c>
      <c r="B199" s="3" t="n">
        <v>4</v>
      </c>
      <c r="C199" s="4" t="s">
        <v>924</v>
      </c>
      <c r="D199" s="4" t="s">
        <v>892</v>
      </c>
      <c r="E199" s="3" t="n">
        <v>3</v>
      </c>
      <c r="F199" s="10" t="n">
        <v>12</v>
      </c>
      <c r="G199" s="15" t="n">
        <v>6.2</v>
      </c>
      <c r="H199" s="4" t="s">
        <v>918</v>
      </c>
      <c r="I199" s="8" t="n">
        <v>0</v>
      </c>
      <c r="J199" s="4" t="s">
        <v>925</v>
      </c>
      <c r="K199" s="4" t="s">
        <v>30</v>
      </c>
    </row>
    <row r="200" customFormat="false" ht="15" hidden="false" customHeight="false" outlineLevel="0" collapsed="false">
      <c r="A200" s="4" t="s">
        <v>390</v>
      </c>
      <c r="B200" s="3" t="n">
        <v>5</v>
      </c>
      <c r="C200" s="4" t="s">
        <v>926</v>
      </c>
      <c r="D200" s="4" t="s">
        <v>911</v>
      </c>
      <c r="E200" s="3" t="n">
        <v>4</v>
      </c>
      <c r="F200" s="10" t="n">
        <v>45</v>
      </c>
      <c r="G200" s="15" t="n">
        <v>0</v>
      </c>
      <c r="H200" s="4" t="s">
        <v>927</v>
      </c>
      <c r="I200" s="8" t="n">
        <v>40</v>
      </c>
      <c r="J200" s="4" t="s">
        <v>925</v>
      </c>
      <c r="K200" s="4" t="s">
        <v>30</v>
      </c>
    </row>
    <row r="201" customFormat="false" ht="15" hidden="false" customHeight="false" outlineLevel="0" collapsed="false">
      <c r="A201" s="4" t="s">
        <v>390</v>
      </c>
      <c r="B201" s="3" t="n">
        <v>6</v>
      </c>
      <c r="C201" s="4" t="s">
        <v>928</v>
      </c>
      <c r="D201" s="4" t="s">
        <v>913</v>
      </c>
      <c r="E201" s="3" t="n">
        <v>5</v>
      </c>
      <c r="F201" s="10" t="n">
        <v>8</v>
      </c>
      <c r="G201" s="15" t="n">
        <v>2.27</v>
      </c>
      <c r="H201" s="4" t="s">
        <v>918</v>
      </c>
      <c r="I201" s="8" t="n">
        <v>0</v>
      </c>
      <c r="J201" s="4" t="s">
        <v>925</v>
      </c>
      <c r="K201" s="4" t="s">
        <v>30</v>
      </c>
    </row>
    <row r="202" customFormat="false" ht="15" hidden="false" customHeight="false" outlineLevel="0" collapsed="false">
      <c r="A202" s="4" t="s">
        <v>390</v>
      </c>
      <c r="B202" s="3" t="n">
        <v>7</v>
      </c>
      <c r="C202" s="4" t="s">
        <v>929</v>
      </c>
      <c r="D202" s="4" t="s">
        <v>896</v>
      </c>
      <c r="E202" s="3" t="n">
        <v>6</v>
      </c>
      <c r="F202" s="10" t="n">
        <v>6</v>
      </c>
      <c r="G202" s="15" t="n">
        <v>108</v>
      </c>
      <c r="H202" s="4" t="s">
        <v>918</v>
      </c>
      <c r="I202" s="8" t="n">
        <v>0</v>
      </c>
      <c r="J202" s="4" t="s">
        <v>919</v>
      </c>
      <c r="K202" s="4" t="s">
        <v>30</v>
      </c>
    </row>
    <row r="203" customFormat="false" ht="15" hidden="false" customHeight="false" outlineLevel="0" collapsed="false">
      <c r="A203" s="4" t="s">
        <v>390</v>
      </c>
      <c r="B203" s="3" t="n">
        <v>8</v>
      </c>
      <c r="C203" s="4" t="s">
        <v>932</v>
      </c>
      <c r="D203" s="4" t="s">
        <v>896</v>
      </c>
      <c r="E203" s="3" t="n">
        <v>7</v>
      </c>
      <c r="F203" s="10" t="n">
        <v>0</v>
      </c>
      <c r="G203" s="15" t="n">
        <v>4</v>
      </c>
      <c r="H203" s="4" t="s">
        <v>918</v>
      </c>
      <c r="I203" s="8" t="n">
        <v>0</v>
      </c>
      <c r="J203" s="4" t="s">
        <v>925</v>
      </c>
      <c r="K203" s="4" t="s">
        <v>30</v>
      </c>
    </row>
    <row r="204" customFormat="false" ht="15" hidden="false" customHeight="false" outlineLevel="0" collapsed="false">
      <c r="A204" s="4" t="s">
        <v>398</v>
      </c>
      <c r="B204" s="3" t="n">
        <v>1</v>
      </c>
      <c r="C204" s="4" t="s">
        <v>920</v>
      </c>
      <c r="D204" s="4" t="s">
        <v>870</v>
      </c>
      <c r="F204" s="10" t="n">
        <v>8</v>
      </c>
      <c r="G204" s="15" t="n">
        <v>9.386</v>
      </c>
      <c r="H204" s="4" t="s">
        <v>918</v>
      </c>
      <c r="I204" s="8" t="n">
        <v>0</v>
      </c>
      <c r="J204" s="4" t="s">
        <v>919</v>
      </c>
      <c r="K204" s="4" t="s">
        <v>30</v>
      </c>
    </row>
    <row r="205" customFormat="false" ht="15" hidden="false" customHeight="false" outlineLevel="0" collapsed="false">
      <c r="A205" s="4" t="s">
        <v>398</v>
      </c>
      <c r="B205" s="3" t="n">
        <v>2</v>
      </c>
      <c r="C205" s="4" t="s">
        <v>876</v>
      </c>
      <c r="D205" s="4" t="s">
        <v>903</v>
      </c>
      <c r="E205" s="3" t="n">
        <v>1</v>
      </c>
      <c r="F205" s="10" t="n">
        <v>10</v>
      </c>
      <c r="G205" s="15" t="n">
        <v>8.4</v>
      </c>
      <c r="H205" s="4" t="s">
        <v>918</v>
      </c>
      <c r="I205" s="8" t="n">
        <v>0</v>
      </c>
      <c r="J205" s="4" t="s">
        <v>919</v>
      </c>
      <c r="K205" s="4" t="s">
        <v>30</v>
      </c>
    </row>
    <row r="206" customFormat="false" ht="15" hidden="false" customHeight="false" outlineLevel="0" collapsed="false">
      <c r="A206" s="4" t="s">
        <v>398</v>
      </c>
      <c r="B206" s="3" t="n">
        <v>3</v>
      </c>
      <c r="C206" s="4" t="s">
        <v>921</v>
      </c>
      <c r="D206" s="4" t="s">
        <v>905</v>
      </c>
      <c r="E206" s="3" t="n">
        <v>2</v>
      </c>
      <c r="F206" s="10" t="n">
        <v>10</v>
      </c>
      <c r="G206" s="15" t="n">
        <v>22.4</v>
      </c>
      <c r="H206" s="4" t="s">
        <v>918</v>
      </c>
      <c r="I206" s="8" t="n">
        <v>0</v>
      </c>
      <c r="J206" s="4" t="s">
        <v>919</v>
      </c>
      <c r="K206" s="4" t="s">
        <v>30</v>
      </c>
    </row>
    <row r="207" customFormat="false" ht="15" hidden="false" customHeight="false" outlineLevel="0" collapsed="false">
      <c r="A207" s="4" t="s">
        <v>398</v>
      </c>
      <c r="B207" s="3" t="n">
        <v>4</v>
      </c>
      <c r="C207" s="4" t="s">
        <v>924</v>
      </c>
      <c r="D207" s="4" t="s">
        <v>892</v>
      </c>
      <c r="E207" s="3" t="n">
        <v>3</v>
      </c>
      <c r="F207" s="10" t="n">
        <v>12</v>
      </c>
      <c r="G207" s="15" t="n">
        <v>5.72</v>
      </c>
      <c r="H207" s="4" t="s">
        <v>918</v>
      </c>
      <c r="I207" s="8" t="n">
        <v>0</v>
      </c>
      <c r="J207" s="4" t="s">
        <v>925</v>
      </c>
      <c r="K207" s="4" t="s">
        <v>30</v>
      </c>
    </row>
    <row r="208" customFormat="false" ht="15" hidden="false" customHeight="false" outlineLevel="0" collapsed="false">
      <c r="A208" s="4" t="s">
        <v>398</v>
      </c>
      <c r="B208" s="3" t="n">
        <v>5</v>
      </c>
      <c r="C208" s="4" t="s">
        <v>926</v>
      </c>
      <c r="D208" s="4" t="s">
        <v>911</v>
      </c>
      <c r="E208" s="3" t="n">
        <v>4</v>
      </c>
      <c r="F208" s="10" t="n">
        <v>45</v>
      </c>
      <c r="G208" s="15" t="n">
        <v>0</v>
      </c>
      <c r="H208" s="4" t="s">
        <v>927</v>
      </c>
      <c r="I208" s="8" t="n">
        <v>40</v>
      </c>
      <c r="J208" s="4" t="s">
        <v>925</v>
      </c>
      <c r="K208" s="4" t="s">
        <v>30</v>
      </c>
    </row>
    <row r="209" customFormat="false" ht="15" hidden="false" customHeight="false" outlineLevel="0" collapsed="false">
      <c r="A209" s="4" t="s">
        <v>398</v>
      </c>
      <c r="B209" s="3" t="n">
        <v>6</v>
      </c>
      <c r="C209" s="4" t="s">
        <v>928</v>
      </c>
      <c r="D209" s="4" t="s">
        <v>913</v>
      </c>
      <c r="E209" s="3" t="n">
        <v>5</v>
      </c>
      <c r="F209" s="10" t="n">
        <v>8</v>
      </c>
      <c r="G209" s="15" t="n">
        <v>2.17</v>
      </c>
      <c r="H209" s="4" t="s">
        <v>918</v>
      </c>
      <c r="I209" s="8" t="n">
        <v>0</v>
      </c>
      <c r="J209" s="4" t="s">
        <v>925</v>
      </c>
      <c r="K209" s="4" t="s">
        <v>30</v>
      </c>
    </row>
    <row r="210" customFormat="false" ht="15" hidden="false" customHeight="false" outlineLevel="0" collapsed="false">
      <c r="A210" s="4" t="s">
        <v>398</v>
      </c>
      <c r="B210" s="3" t="n">
        <v>7</v>
      </c>
      <c r="C210" s="4" t="s">
        <v>929</v>
      </c>
      <c r="D210" s="4" t="s">
        <v>896</v>
      </c>
      <c r="E210" s="3" t="n">
        <v>6</v>
      </c>
      <c r="F210" s="10" t="n">
        <v>6</v>
      </c>
      <c r="G210" s="15" t="n">
        <v>48.75</v>
      </c>
      <c r="H210" s="4" t="s">
        <v>918</v>
      </c>
      <c r="I210" s="8" t="n">
        <v>0</v>
      </c>
      <c r="J210" s="4" t="s">
        <v>919</v>
      </c>
      <c r="K210" s="4" t="s">
        <v>30</v>
      </c>
    </row>
    <row r="211" customFormat="false" ht="15" hidden="false" customHeight="false" outlineLevel="0" collapsed="false">
      <c r="A211" s="4" t="s">
        <v>398</v>
      </c>
      <c r="B211" s="3" t="n">
        <v>8</v>
      </c>
      <c r="C211" s="4" t="s">
        <v>932</v>
      </c>
      <c r="D211" s="4" t="s">
        <v>896</v>
      </c>
      <c r="E211" s="3" t="n">
        <v>7</v>
      </c>
      <c r="F211" s="10" t="n">
        <v>0</v>
      </c>
      <c r="G211" s="15" t="n">
        <v>4</v>
      </c>
      <c r="H211" s="4" t="s">
        <v>918</v>
      </c>
      <c r="I211" s="8" t="n">
        <v>0</v>
      </c>
      <c r="J211" s="4" t="s">
        <v>925</v>
      </c>
      <c r="K211" s="4" t="s">
        <v>30</v>
      </c>
    </row>
    <row r="212" customFormat="false" ht="15" hidden="false" customHeight="false" outlineLevel="0" collapsed="false">
      <c r="A212" s="4" t="s">
        <v>401</v>
      </c>
      <c r="B212" s="3" t="n">
        <v>1</v>
      </c>
      <c r="C212" s="4" t="s">
        <v>929</v>
      </c>
      <c r="D212" s="4" t="s">
        <v>896</v>
      </c>
      <c r="F212" s="10" t="n">
        <v>6</v>
      </c>
      <c r="G212" s="15" t="n">
        <v>48.75</v>
      </c>
      <c r="H212" s="4" t="s">
        <v>918</v>
      </c>
      <c r="I212" s="8" t="n">
        <v>0</v>
      </c>
      <c r="J212" s="4" t="s">
        <v>919</v>
      </c>
      <c r="K212" s="4" t="s">
        <v>30</v>
      </c>
    </row>
    <row r="213" customFormat="false" ht="15" hidden="false" customHeight="false" outlineLevel="0" collapsed="false">
      <c r="A213" s="4" t="s">
        <v>401</v>
      </c>
      <c r="B213" s="3" t="n">
        <v>2</v>
      </c>
      <c r="C213" s="4" t="s">
        <v>932</v>
      </c>
      <c r="D213" s="4" t="s">
        <v>896</v>
      </c>
      <c r="E213" s="3" t="n">
        <v>1</v>
      </c>
      <c r="F213" s="10" t="n">
        <v>0</v>
      </c>
      <c r="G213" s="15" t="n">
        <v>4</v>
      </c>
      <c r="H213" s="4" t="s">
        <v>918</v>
      </c>
      <c r="I213" s="8" t="n">
        <v>0</v>
      </c>
      <c r="J213" s="4" t="s">
        <v>925</v>
      </c>
      <c r="K213" s="4" t="s">
        <v>30</v>
      </c>
    </row>
    <row r="214" customFormat="false" ht="15" hidden="false" customHeight="false" outlineLevel="0" collapsed="false">
      <c r="A214" s="4" t="s">
        <v>403</v>
      </c>
      <c r="B214" s="3" t="n">
        <v>1</v>
      </c>
      <c r="C214" s="4" t="s">
        <v>917</v>
      </c>
      <c r="D214" s="4" t="s">
        <v>865</v>
      </c>
      <c r="F214" s="10" t="n">
        <v>8</v>
      </c>
      <c r="G214" s="15" t="n">
        <v>16.9690614</v>
      </c>
      <c r="H214" s="4" t="s">
        <v>918</v>
      </c>
      <c r="I214" s="8" t="n">
        <v>0</v>
      </c>
      <c r="J214" s="4" t="s">
        <v>919</v>
      </c>
      <c r="K214" s="4" t="s">
        <v>30</v>
      </c>
    </row>
    <row r="215" customFormat="false" ht="15" hidden="false" customHeight="false" outlineLevel="0" collapsed="false">
      <c r="A215" s="4" t="s">
        <v>403</v>
      </c>
      <c r="B215" s="3" t="n">
        <v>2</v>
      </c>
      <c r="C215" s="4" t="s">
        <v>876</v>
      </c>
      <c r="D215" s="4" t="s">
        <v>903</v>
      </c>
      <c r="E215" s="3" t="n">
        <v>1</v>
      </c>
      <c r="F215" s="10" t="n">
        <v>10</v>
      </c>
      <c r="G215" s="15" t="n">
        <v>10.5</v>
      </c>
      <c r="H215" s="4" t="s">
        <v>918</v>
      </c>
      <c r="I215" s="8" t="n">
        <v>0</v>
      </c>
      <c r="J215" s="4" t="s">
        <v>919</v>
      </c>
      <c r="K215" s="4" t="s">
        <v>30</v>
      </c>
    </row>
    <row r="216" customFormat="false" ht="15" hidden="false" customHeight="false" outlineLevel="0" collapsed="false">
      <c r="A216" s="4" t="s">
        <v>403</v>
      </c>
      <c r="B216" s="3" t="n">
        <v>3</v>
      </c>
      <c r="C216" s="4" t="s">
        <v>880</v>
      </c>
      <c r="D216" s="4" t="s">
        <v>877</v>
      </c>
      <c r="E216" s="3" t="n">
        <v>2</v>
      </c>
      <c r="F216" s="10" t="n">
        <v>12</v>
      </c>
      <c r="G216" s="15" t="n">
        <v>36</v>
      </c>
      <c r="H216" s="4" t="s">
        <v>918</v>
      </c>
      <c r="I216" s="8" t="n">
        <v>0</v>
      </c>
      <c r="J216" s="4" t="s">
        <v>919</v>
      </c>
      <c r="K216" s="4" t="s">
        <v>30</v>
      </c>
    </row>
    <row r="217" customFormat="false" ht="15" hidden="false" customHeight="false" outlineLevel="0" collapsed="false">
      <c r="A217" s="4" t="s">
        <v>403</v>
      </c>
      <c r="B217" s="3" t="n">
        <v>4</v>
      </c>
      <c r="C217" s="4" t="s">
        <v>924</v>
      </c>
      <c r="D217" s="4" t="s">
        <v>892</v>
      </c>
      <c r="E217" s="3" t="n">
        <v>3</v>
      </c>
      <c r="F217" s="10" t="n">
        <v>12</v>
      </c>
      <c r="G217" s="15" t="n">
        <v>6.58</v>
      </c>
      <c r="H217" s="4" t="s">
        <v>918</v>
      </c>
      <c r="I217" s="8" t="n">
        <v>0</v>
      </c>
      <c r="J217" s="4" t="s">
        <v>925</v>
      </c>
      <c r="K217" s="4" t="s">
        <v>30</v>
      </c>
    </row>
    <row r="218" customFormat="false" ht="15" hidden="false" customHeight="false" outlineLevel="0" collapsed="false">
      <c r="A218" s="4" t="s">
        <v>403</v>
      </c>
      <c r="B218" s="3" t="n">
        <v>5</v>
      </c>
      <c r="C218" s="4" t="s">
        <v>926</v>
      </c>
      <c r="D218" s="4" t="s">
        <v>911</v>
      </c>
      <c r="E218" s="3" t="n">
        <v>4</v>
      </c>
      <c r="F218" s="10" t="n">
        <v>45</v>
      </c>
      <c r="G218" s="15" t="n">
        <v>0</v>
      </c>
      <c r="H218" s="4" t="s">
        <v>927</v>
      </c>
      <c r="I218" s="8" t="n">
        <v>40</v>
      </c>
      <c r="J218" s="4" t="s">
        <v>925</v>
      </c>
      <c r="K218" s="4" t="s">
        <v>30</v>
      </c>
    </row>
    <row r="219" customFormat="false" ht="15" hidden="false" customHeight="false" outlineLevel="0" collapsed="false">
      <c r="A219" s="4" t="s">
        <v>403</v>
      </c>
      <c r="B219" s="3" t="n">
        <v>6</v>
      </c>
      <c r="C219" s="4" t="s">
        <v>928</v>
      </c>
      <c r="D219" s="4" t="s">
        <v>913</v>
      </c>
      <c r="E219" s="3" t="n">
        <v>5</v>
      </c>
      <c r="F219" s="10" t="n">
        <v>8</v>
      </c>
      <c r="G219" s="15" t="n">
        <v>2.36</v>
      </c>
      <c r="H219" s="4" t="s">
        <v>918</v>
      </c>
      <c r="I219" s="8" t="n">
        <v>0</v>
      </c>
      <c r="J219" s="4" t="s">
        <v>925</v>
      </c>
      <c r="K219" s="4" t="s">
        <v>30</v>
      </c>
    </row>
    <row r="220" customFormat="false" ht="15" hidden="false" customHeight="false" outlineLevel="0" collapsed="false">
      <c r="A220" s="4" t="s">
        <v>403</v>
      </c>
      <c r="B220" s="3" t="n">
        <v>7</v>
      </c>
      <c r="C220" s="4" t="s">
        <v>929</v>
      </c>
      <c r="D220" s="4" t="s">
        <v>896</v>
      </c>
      <c r="E220" s="3" t="n">
        <v>6</v>
      </c>
      <c r="F220" s="10" t="n">
        <v>6</v>
      </c>
      <c r="G220" s="15" t="n">
        <v>108</v>
      </c>
      <c r="H220" s="4" t="s">
        <v>918</v>
      </c>
      <c r="I220" s="8" t="n">
        <v>0</v>
      </c>
      <c r="J220" s="4" t="s">
        <v>919</v>
      </c>
      <c r="K220" s="4" t="s">
        <v>30</v>
      </c>
    </row>
    <row r="221" customFormat="false" ht="15" hidden="false" customHeight="false" outlineLevel="0" collapsed="false">
      <c r="A221" s="4" t="s">
        <v>403</v>
      </c>
      <c r="B221" s="3" t="n">
        <v>8</v>
      </c>
      <c r="C221" s="4" t="s">
        <v>932</v>
      </c>
      <c r="D221" s="4" t="s">
        <v>896</v>
      </c>
      <c r="E221" s="3" t="n">
        <v>7</v>
      </c>
      <c r="F221" s="10" t="n">
        <v>0</v>
      </c>
      <c r="G221" s="15" t="n">
        <v>4</v>
      </c>
      <c r="H221" s="4" t="s">
        <v>918</v>
      </c>
      <c r="I221" s="8" t="n">
        <v>0</v>
      </c>
      <c r="J221" s="4" t="s">
        <v>925</v>
      </c>
      <c r="K221" s="4" t="s">
        <v>30</v>
      </c>
    </row>
    <row r="222" customFormat="false" ht="15" hidden="false" customHeight="false" outlineLevel="0" collapsed="false">
      <c r="A222" s="4" t="s">
        <v>406</v>
      </c>
      <c r="B222" s="3" t="n">
        <v>1</v>
      </c>
      <c r="C222" s="4" t="s">
        <v>917</v>
      </c>
      <c r="D222" s="4" t="s">
        <v>865</v>
      </c>
      <c r="F222" s="10" t="n">
        <v>8</v>
      </c>
      <c r="G222" s="15" t="n">
        <v>17.54224494</v>
      </c>
      <c r="H222" s="4" t="s">
        <v>918</v>
      </c>
      <c r="I222" s="8" t="n">
        <v>0</v>
      </c>
      <c r="J222" s="4" t="s">
        <v>919</v>
      </c>
      <c r="K222" s="4" t="s">
        <v>30</v>
      </c>
    </row>
    <row r="223" customFormat="false" ht="15" hidden="false" customHeight="false" outlineLevel="0" collapsed="false">
      <c r="A223" s="4" t="s">
        <v>406</v>
      </c>
      <c r="B223" s="3" t="n">
        <v>2</v>
      </c>
      <c r="C223" s="4" t="s">
        <v>876</v>
      </c>
      <c r="D223" s="4" t="s">
        <v>903</v>
      </c>
      <c r="E223" s="3" t="n">
        <v>1</v>
      </c>
      <c r="F223" s="10" t="n">
        <v>10</v>
      </c>
      <c r="G223" s="15" t="n">
        <v>10.5</v>
      </c>
      <c r="H223" s="4" t="s">
        <v>918</v>
      </c>
      <c r="I223" s="8" t="n">
        <v>0</v>
      </c>
      <c r="J223" s="4" t="s">
        <v>919</v>
      </c>
      <c r="K223" s="4" t="s">
        <v>30</v>
      </c>
    </row>
    <row r="224" customFormat="false" ht="15" hidden="false" customHeight="false" outlineLevel="0" collapsed="false">
      <c r="A224" s="4" t="s">
        <v>406</v>
      </c>
      <c r="B224" s="3" t="n">
        <v>3</v>
      </c>
      <c r="C224" s="4" t="s">
        <v>880</v>
      </c>
      <c r="D224" s="4" t="s">
        <v>877</v>
      </c>
      <c r="E224" s="3" t="n">
        <v>2</v>
      </c>
      <c r="F224" s="10" t="n">
        <v>12</v>
      </c>
      <c r="G224" s="15" t="n">
        <v>36</v>
      </c>
      <c r="H224" s="4" t="s">
        <v>918</v>
      </c>
      <c r="I224" s="8" t="n">
        <v>0</v>
      </c>
      <c r="J224" s="4" t="s">
        <v>919</v>
      </c>
      <c r="K224" s="4" t="s">
        <v>30</v>
      </c>
    </row>
    <row r="225" customFormat="false" ht="15" hidden="false" customHeight="false" outlineLevel="0" collapsed="false">
      <c r="A225" s="4" t="s">
        <v>406</v>
      </c>
      <c r="B225" s="3" t="n">
        <v>4</v>
      </c>
      <c r="C225" s="4" t="s">
        <v>924</v>
      </c>
      <c r="D225" s="4" t="s">
        <v>892</v>
      </c>
      <c r="E225" s="3" t="n">
        <v>3</v>
      </c>
      <c r="F225" s="10" t="n">
        <v>12</v>
      </c>
      <c r="G225" s="15" t="n">
        <v>6.58</v>
      </c>
      <c r="H225" s="4" t="s">
        <v>918</v>
      </c>
      <c r="I225" s="8" t="n">
        <v>0</v>
      </c>
      <c r="J225" s="4" t="s">
        <v>925</v>
      </c>
      <c r="K225" s="4" t="s">
        <v>30</v>
      </c>
    </row>
    <row r="226" customFormat="false" ht="15" hidden="false" customHeight="false" outlineLevel="0" collapsed="false">
      <c r="A226" s="4" t="s">
        <v>406</v>
      </c>
      <c r="B226" s="3" t="n">
        <v>5</v>
      </c>
      <c r="C226" s="4" t="s">
        <v>926</v>
      </c>
      <c r="D226" s="4" t="s">
        <v>911</v>
      </c>
      <c r="E226" s="3" t="n">
        <v>4</v>
      </c>
      <c r="F226" s="10" t="n">
        <v>45</v>
      </c>
      <c r="G226" s="15" t="n">
        <v>0</v>
      </c>
      <c r="H226" s="4" t="s">
        <v>927</v>
      </c>
      <c r="I226" s="8" t="n">
        <v>40</v>
      </c>
      <c r="J226" s="4" t="s">
        <v>925</v>
      </c>
      <c r="K226" s="4" t="s">
        <v>30</v>
      </c>
    </row>
    <row r="227" customFormat="false" ht="15" hidden="false" customHeight="false" outlineLevel="0" collapsed="false">
      <c r="A227" s="4" t="s">
        <v>406</v>
      </c>
      <c r="B227" s="3" t="n">
        <v>6</v>
      </c>
      <c r="C227" s="4" t="s">
        <v>928</v>
      </c>
      <c r="D227" s="4" t="s">
        <v>913</v>
      </c>
      <c r="E227" s="3" t="n">
        <v>5</v>
      </c>
      <c r="F227" s="10" t="n">
        <v>8</v>
      </c>
      <c r="G227" s="15" t="n">
        <v>2.36</v>
      </c>
      <c r="H227" s="4" t="s">
        <v>918</v>
      </c>
      <c r="I227" s="8" t="n">
        <v>0</v>
      </c>
      <c r="J227" s="4" t="s">
        <v>925</v>
      </c>
      <c r="K227" s="4" t="s">
        <v>30</v>
      </c>
    </row>
    <row r="228" customFormat="false" ht="15" hidden="false" customHeight="false" outlineLevel="0" collapsed="false">
      <c r="A228" s="4" t="s">
        <v>406</v>
      </c>
      <c r="B228" s="3" t="n">
        <v>7</v>
      </c>
      <c r="C228" s="4" t="s">
        <v>929</v>
      </c>
      <c r="D228" s="4" t="s">
        <v>896</v>
      </c>
      <c r="E228" s="3" t="n">
        <v>6</v>
      </c>
      <c r="F228" s="10" t="n">
        <v>6</v>
      </c>
      <c r="G228" s="15" t="n">
        <v>108</v>
      </c>
      <c r="H228" s="4" t="s">
        <v>918</v>
      </c>
      <c r="I228" s="8" t="n">
        <v>0</v>
      </c>
      <c r="J228" s="4" t="s">
        <v>919</v>
      </c>
      <c r="K228" s="4" t="s">
        <v>30</v>
      </c>
    </row>
    <row r="229" customFormat="false" ht="15" hidden="false" customHeight="false" outlineLevel="0" collapsed="false">
      <c r="A229" s="4" t="s">
        <v>406</v>
      </c>
      <c r="B229" s="3" t="n">
        <v>8</v>
      </c>
      <c r="C229" s="4" t="s">
        <v>932</v>
      </c>
      <c r="D229" s="4" t="s">
        <v>896</v>
      </c>
      <c r="E229" s="3" t="n">
        <v>7</v>
      </c>
      <c r="F229" s="10" t="n">
        <v>0</v>
      </c>
      <c r="G229" s="15" t="n">
        <v>4</v>
      </c>
      <c r="H229" s="4" t="s">
        <v>918</v>
      </c>
      <c r="I229" s="8" t="n">
        <v>0</v>
      </c>
      <c r="J229" s="4" t="s">
        <v>925</v>
      </c>
      <c r="K229" s="4" t="s">
        <v>30</v>
      </c>
    </row>
    <row r="230" customFormat="false" ht="15" hidden="false" customHeight="false" outlineLevel="0" collapsed="false">
      <c r="A230" s="4" t="s">
        <v>408</v>
      </c>
      <c r="B230" s="3" t="n">
        <v>1</v>
      </c>
      <c r="C230" s="4" t="s">
        <v>917</v>
      </c>
      <c r="D230" s="4" t="s">
        <v>865</v>
      </c>
      <c r="F230" s="10" t="n">
        <v>8</v>
      </c>
      <c r="G230" s="15" t="n">
        <v>18.302426025</v>
      </c>
      <c r="H230" s="4" t="s">
        <v>918</v>
      </c>
      <c r="I230" s="8" t="n">
        <v>0</v>
      </c>
      <c r="J230" s="4" t="s">
        <v>919</v>
      </c>
      <c r="K230" s="4" t="s">
        <v>30</v>
      </c>
    </row>
    <row r="231" customFormat="false" ht="15" hidden="false" customHeight="false" outlineLevel="0" collapsed="false">
      <c r="A231" s="4" t="s">
        <v>408</v>
      </c>
      <c r="B231" s="3" t="n">
        <v>2</v>
      </c>
      <c r="C231" s="4" t="s">
        <v>876</v>
      </c>
      <c r="D231" s="4" t="s">
        <v>903</v>
      </c>
      <c r="E231" s="3" t="n">
        <v>1</v>
      </c>
      <c r="F231" s="10" t="n">
        <v>10</v>
      </c>
      <c r="G231" s="15" t="n">
        <v>10.5</v>
      </c>
      <c r="H231" s="4" t="s">
        <v>918</v>
      </c>
      <c r="I231" s="8" t="n">
        <v>0</v>
      </c>
      <c r="J231" s="4" t="s">
        <v>919</v>
      </c>
      <c r="K231" s="4" t="s">
        <v>30</v>
      </c>
    </row>
    <row r="232" customFormat="false" ht="15" hidden="false" customHeight="false" outlineLevel="0" collapsed="false">
      <c r="A232" s="4" t="s">
        <v>408</v>
      </c>
      <c r="B232" s="3" t="n">
        <v>3</v>
      </c>
      <c r="C232" s="4" t="s">
        <v>880</v>
      </c>
      <c r="D232" s="4" t="s">
        <v>877</v>
      </c>
      <c r="E232" s="3" t="n">
        <v>2</v>
      </c>
      <c r="F232" s="10" t="n">
        <v>12</v>
      </c>
      <c r="G232" s="15" t="n">
        <v>36</v>
      </c>
      <c r="H232" s="4" t="s">
        <v>918</v>
      </c>
      <c r="I232" s="8" t="n">
        <v>0</v>
      </c>
      <c r="J232" s="4" t="s">
        <v>919</v>
      </c>
      <c r="K232" s="4" t="s">
        <v>30</v>
      </c>
    </row>
    <row r="233" customFormat="false" ht="15" hidden="false" customHeight="false" outlineLevel="0" collapsed="false">
      <c r="A233" s="4" t="s">
        <v>408</v>
      </c>
      <c r="B233" s="3" t="n">
        <v>4</v>
      </c>
      <c r="C233" s="4" t="s">
        <v>924</v>
      </c>
      <c r="D233" s="4" t="s">
        <v>892</v>
      </c>
      <c r="E233" s="3" t="n">
        <v>3</v>
      </c>
      <c r="F233" s="10" t="n">
        <v>12</v>
      </c>
      <c r="G233" s="15" t="n">
        <v>6.58</v>
      </c>
      <c r="H233" s="4" t="s">
        <v>918</v>
      </c>
      <c r="I233" s="8" t="n">
        <v>0</v>
      </c>
      <c r="J233" s="4" t="s">
        <v>925</v>
      </c>
      <c r="K233" s="4" t="s">
        <v>30</v>
      </c>
    </row>
    <row r="234" customFormat="false" ht="15" hidden="false" customHeight="false" outlineLevel="0" collapsed="false">
      <c r="A234" s="4" t="s">
        <v>408</v>
      </c>
      <c r="B234" s="3" t="n">
        <v>5</v>
      </c>
      <c r="C234" s="4" t="s">
        <v>926</v>
      </c>
      <c r="D234" s="4" t="s">
        <v>911</v>
      </c>
      <c r="E234" s="3" t="n">
        <v>4</v>
      </c>
      <c r="F234" s="10" t="n">
        <v>45</v>
      </c>
      <c r="G234" s="15" t="n">
        <v>0</v>
      </c>
      <c r="H234" s="4" t="s">
        <v>927</v>
      </c>
      <c r="I234" s="8" t="n">
        <v>40</v>
      </c>
      <c r="J234" s="4" t="s">
        <v>925</v>
      </c>
      <c r="K234" s="4" t="s">
        <v>30</v>
      </c>
    </row>
    <row r="235" customFormat="false" ht="15" hidden="false" customHeight="false" outlineLevel="0" collapsed="false">
      <c r="A235" s="4" t="s">
        <v>408</v>
      </c>
      <c r="B235" s="3" t="n">
        <v>6</v>
      </c>
      <c r="C235" s="4" t="s">
        <v>928</v>
      </c>
      <c r="D235" s="4" t="s">
        <v>913</v>
      </c>
      <c r="E235" s="3" t="n">
        <v>5</v>
      </c>
      <c r="F235" s="10" t="n">
        <v>8</v>
      </c>
      <c r="G235" s="15" t="n">
        <v>2.36</v>
      </c>
      <c r="H235" s="4" t="s">
        <v>918</v>
      </c>
      <c r="I235" s="8" t="n">
        <v>0</v>
      </c>
      <c r="J235" s="4" t="s">
        <v>925</v>
      </c>
      <c r="K235" s="4" t="s">
        <v>30</v>
      </c>
    </row>
    <row r="236" customFormat="false" ht="15" hidden="false" customHeight="false" outlineLevel="0" collapsed="false">
      <c r="A236" s="4" t="s">
        <v>408</v>
      </c>
      <c r="B236" s="3" t="n">
        <v>7</v>
      </c>
      <c r="C236" s="4" t="s">
        <v>929</v>
      </c>
      <c r="D236" s="4" t="s">
        <v>896</v>
      </c>
      <c r="E236" s="3" t="n">
        <v>6</v>
      </c>
      <c r="F236" s="10" t="n">
        <v>6</v>
      </c>
      <c r="G236" s="15" t="n">
        <v>108</v>
      </c>
      <c r="H236" s="4" t="s">
        <v>918</v>
      </c>
      <c r="I236" s="8" t="n">
        <v>0</v>
      </c>
      <c r="J236" s="4" t="s">
        <v>919</v>
      </c>
      <c r="K236" s="4" t="s">
        <v>30</v>
      </c>
    </row>
    <row r="237" customFormat="false" ht="15" hidden="false" customHeight="false" outlineLevel="0" collapsed="false">
      <c r="A237" s="4" t="s">
        <v>408</v>
      </c>
      <c r="B237" s="3" t="n">
        <v>8</v>
      </c>
      <c r="C237" s="4" t="s">
        <v>932</v>
      </c>
      <c r="D237" s="4" t="s">
        <v>896</v>
      </c>
      <c r="E237" s="3" t="n">
        <v>7</v>
      </c>
      <c r="F237" s="10" t="n">
        <v>0</v>
      </c>
      <c r="G237" s="15" t="n">
        <v>4</v>
      </c>
      <c r="H237" s="4" t="s">
        <v>918</v>
      </c>
      <c r="I237" s="8" t="n">
        <v>0</v>
      </c>
      <c r="J237" s="4" t="s">
        <v>925</v>
      </c>
      <c r="K237" s="4" t="s">
        <v>30</v>
      </c>
    </row>
    <row r="238" customFormat="false" ht="15" hidden="false" customHeight="false" outlineLevel="0" collapsed="false">
      <c r="A238" s="4" t="s">
        <v>410</v>
      </c>
      <c r="B238" s="3" t="n">
        <v>1</v>
      </c>
      <c r="C238" s="4" t="s">
        <v>917</v>
      </c>
      <c r="D238" s="4" t="s">
        <v>865</v>
      </c>
      <c r="F238" s="10" t="n">
        <v>8</v>
      </c>
      <c r="G238" s="15" t="n">
        <v>20.40084375</v>
      </c>
      <c r="H238" s="4" t="s">
        <v>918</v>
      </c>
      <c r="I238" s="8" t="n">
        <v>0</v>
      </c>
      <c r="J238" s="4" t="s">
        <v>919</v>
      </c>
      <c r="K238" s="4" t="s">
        <v>30</v>
      </c>
    </row>
    <row r="239" customFormat="false" ht="15" hidden="false" customHeight="false" outlineLevel="0" collapsed="false">
      <c r="A239" s="4" t="s">
        <v>410</v>
      </c>
      <c r="B239" s="3" t="n">
        <v>2</v>
      </c>
      <c r="C239" s="4" t="s">
        <v>876</v>
      </c>
      <c r="D239" s="4" t="s">
        <v>903</v>
      </c>
      <c r="E239" s="3" t="n">
        <v>1</v>
      </c>
      <c r="F239" s="10" t="n">
        <v>10</v>
      </c>
      <c r="G239" s="15" t="n">
        <v>10.5</v>
      </c>
      <c r="H239" s="4" t="s">
        <v>918</v>
      </c>
      <c r="I239" s="8" t="n">
        <v>0</v>
      </c>
      <c r="J239" s="4" t="s">
        <v>919</v>
      </c>
      <c r="K239" s="4" t="s">
        <v>30</v>
      </c>
    </row>
    <row r="240" customFormat="false" ht="15" hidden="false" customHeight="false" outlineLevel="0" collapsed="false">
      <c r="A240" s="4" t="s">
        <v>410</v>
      </c>
      <c r="B240" s="3" t="n">
        <v>3</v>
      </c>
      <c r="C240" s="4" t="s">
        <v>880</v>
      </c>
      <c r="D240" s="4" t="s">
        <v>877</v>
      </c>
      <c r="E240" s="3" t="n">
        <v>2</v>
      </c>
      <c r="F240" s="10" t="n">
        <v>12</v>
      </c>
      <c r="G240" s="15" t="n">
        <v>36</v>
      </c>
      <c r="H240" s="4" t="s">
        <v>918</v>
      </c>
      <c r="I240" s="8" t="n">
        <v>0</v>
      </c>
      <c r="J240" s="4" t="s">
        <v>919</v>
      </c>
      <c r="K240" s="4" t="s">
        <v>30</v>
      </c>
    </row>
    <row r="241" customFormat="false" ht="15" hidden="false" customHeight="false" outlineLevel="0" collapsed="false">
      <c r="A241" s="4" t="s">
        <v>410</v>
      </c>
      <c r="B241" s="3" t="n">
        <v>4</v>
      </c>
      <c r="C241" s="4" t="s">
        <v>924</v>
      </c>
      <c r="D241" s="4" t="s">
        <v>892</v>
      </c>
      <c r="E241" s="3" t="n">
        <v>3</v>
      </c>
      <c r="F241" s="10" t="n">
        <v>12</v>
      </c>
      <c r="G241" s="15" t="n">
        <v>6.58</v>
      </c>
      <c r="H241" s="4" t="s">
        <v>918</v>
      </c>
      <c r="I241" s="8" t="n">
        <v>0</v>
      </c>
      <c r="J241" s="4" t="s">
        <v>925</v>
      </c>
      <c r="K241" s="4" t="s">
        <v>30</v>
      </c>
    </row>
    <row r="242" customFormat="false" ht="15" hidden="false" customHeight="false" outlineLevel="0" collapsed="false">
      <c r="A242" s="4" t="s">
        <v>410</v>
      </c>
      <c r="B242" s="3" t="n">
        <v>5</v>
      </c>
      <c r="C242" s="4" t="s">
        <v>926</v>
      </c>
      <c r="D242" s="4" t="s">
        <v>911</v>
      </c>
      <c r="E242" s="3" t="n">
        <v>4</v>
      </c>
      <c r="F242" s="10" t="n">
        <v>45</v>
      </c>
      <c r="G242" s="15" t="n">
        <v>0</v>
      </c>
      <c r="H242" s="4" t="s">
        <v>927</v>
      </c>
      <c r="I242" s="8" t="n">
        <v>40</v>
      </c>
      <c r="J242" s="4" t="s">
        <v>925</v>
      </c>
      <c r="K242" s="4" t="s">
        <v>30</v>
      </c>
    </row>
    <row r="243" customFormat="false" ht="15" hidden="false" customHeight="false" outlineLevel="0" collapsed="false">
      <c r="A243" s="4" t="s">
        <v>410</v>
      </c>
      <c r="B243" s="3" t="n">
        <v>6</v>
      </c>
      <c r="C243" s="4" t="s">
        <v>928</v>
      </c>
      <c r="D243" s="4" t="s">
        <v>913</v>
      </c>
      <c r="E243" s="3" t="n">
        <v>5</v>
      </c>
      <c r="F243" s="10" t="n">
        <v>8</v>
      </c>
      <c r="G243" s="15" t="n">
        <v>2.36</v>
      </c>
      <c r="H243" s="4" t="s">
        <v>918</v>
      </c>
      <c r="I243" s="8" t="n">
        <v>0</v>
      </c>
      <c r="J243" s="4" t="s">
        <v>925</v>
      </c>
      <c r="K243" s="4" t="s">
        <v>30</v>
      </c>
    </row>
    <row r="244" customFormat="false" ht="15" hidden="false" customHeight="false" outlineLevel="0" collapsed="false">
      <c r="A244" s="4" t="s">
        <v>410</v>
      </c>
      <c r="B244" s="3" t="n">
        <v>7</v>
      </c>
      <c r="C244" s="4" t="s">
        <v>929</v>
      </c>
      <c r="D244" s="4" t="s">
        <v>896</v>
      </c>
      <c r="E244" s="3" t="n">
        <v>6</v>
      </c>
      <c r="F244" s="10" t="n">
        <v>6</v>
      </c>
      <c r="G244" s="15" t="n">
        <v>108</v>
      </c>
      <c r="H244" s="4" t="s">
        <v>918</v>
      </c>
      <c r="I244" s="8" t="n">
        <v>0</v>
      </c>
      <c r="J244" s="4" t="s">
        <v>919</v>
      </c>
      <c r="K244" s="4" t="s">
        <v>30</v>
      </c>
    </row>
    <row r="245" customFormat="false" ht="15" hidden="false" customHeight="false" outlineLevel="0" collapsed="false">
      <c r="A245" s="4" t="s">
        <v>410</v>
      </c>
      <c r="B245" s="3" t="n">
        <v>8</v>
      </c>
      <c r="C245" s="4" t="s">
        <v>932</v>
      </c>
      <c r="D245" s="4" t="s">
        <v>896</v>
      </c>
      <c r="E245" s="3" t="n">
        <v>7</v>
      </c>
      <c r="F245" s="10" t="n">
        <v>0</v>
      </c>
      <c r="G245" s="15" t="n">
        <v>4</v>
      </c>
      <c r="H245" s="4" t="s">
        <v>918</v>
      </c>
      <c r="I245" s="8" t="n">
        <v>0</v>
      </c>
      <c r="J245" s="4" t="s">
        <v>925</v>
      </c>
      <c r="K245" s="4" t="s">
        <v>30</v>
      </c>
    </row>
    <row r="246" customFormat="false" ht="15" hidden="false" customHeight="false" outlineLevel="0" collapsed="false">
      <c r="A246" s="4" t="s">
        <v>413</v>
      </c>
      <c r="B246" s="3" t="n">
        <v>1</v>
      </c>
      <c r="C246" s="4" t="s">
        <v>920</v>
      </c>
      <c r="D246" s="4" t="s">
        <v>870</v>
      </c>
      <c r="F246" s="10" t="n">
        <v>8</v>
      </c>
      <c r="G246" s="15" t="n">
        <v>20.2768</v>
      </c>
      <c r="H246" s="4" t="s">
        <v>918</v>
      </c>
      <c r="I246" s="8" t="n">
        <v>0</v>
      </c>
      <c r="J246" s="4" t="s">
        <v>919</v>
      </c>
      <c r="K246" s="4" t="s">
        <v>30</v>
      </c>
    </row>
    <row r="247" customFormat="false" ht="15" hidden="false" customHeight="false" outlineLevel="0" collapsed="false">
      <c r="A247" s="4" t="s">
        <v>413</v>
      </c>
      <c r="B247" s="3" t="n">
        <v>2</v>
      </c>
      <c r="C247" s="4" t="s">
        <v>876</v>
      </c>
      <c r="D247" s="4" t="s">
        <v>903</v>
      </c>
      <c r="E247" s="3" t="n">
        <v>1</v>
      </c>
      <c r="F247" s="10" t="n">
        <v>10</v>
      </c>
      <c r="G247" s="15" t="n">
        <v>13.6</v>
      </c>
      <c r="H247" s="4" t="s">
        <v>918</v>
      </c>
      <c r="I247" s="8" t="n">
        <v>0</v>
      </c>
      <c r="J247" s="4" t="s">
        <v>919</v>
      </c>
      <c r="K247" s="4" t="s">
        <v>30</v>
      </c>
    </row>
    <row r="248" customFormat="false" ht="15" hidden="false" customHeight="false" outlineLevel="0" collapsed="false">
      <c r="A248" s="4" t="s">
        <v>413</v>
      </c>
      <c r="B248" s="3" t="n">
        <v>3</v>
      </c>
      <c r="C248" s="4" t="s">
        <v>921</v>
      </c>
      <c r="D248" s="4" t="s">
        <v>905</v>
      </c>
      <c r="E248" s="3" t="n">
        <v>2</v>
      </c>
      <c r="F248" s="10" t="n">
        <v>10</v>
      </c>
      <c r="G248" s="15" t="n">
        <v>33.6</v>
      </c>
      <c r="H248" s="4" t="s">
        <v>918</v>
      </c>
      <c r="I248" s="8" t="n">
        <v>0</v>
      </c>
      <c r="J248" s="4" t="s">
        <v>919</v>
      </c>
      <c r="K248" s="4" t="s">
        <v>30</v>
      </c>
    </row>
    <row r="249" customFormat="false" ht="15" hidden="false" customHeight="false" outlineLevel="0" collapsed="false">
      <c r="A249" s="4" t="s">
        <v>413</v>
      </c>
      <c r="B249" s="3" t="n">
        <v>4</v>
      </c>
      <c r="C249" s="4" t="s">
        <v>924</v>
      </c>
      <c r="D249" s="4" t="s">
        <v>892</v>
      </c>
      <c r="E249" s="3" t="n">
        <v>3</v>
      </c>
      <c r="F249" s="10" t="n">
        <v>12</v>
      </c>
      <c r="G249" s="15" t="n">
        <v>6.58</v>
      </c>
      <c r="H249" s="4" t="s">
        <v>918</v>
      </c>
      <c r="I249" s="8" t="n">
        <v>0</v>
      </c>
      <c r="J249" s="4" t="s">
        <v>925</v>
      </c>
      <c r="K249" s="4" t="s">
        <v>30</v>
      </c>
    </row>
    <row r="250" customFormat="false" ht="15" hidden="false" customHeight="false" outlineLevel="0" collapsed="false">
      <c r="A250" s="4" t="s">
        <v>413</v>
      </c>
      <c r="B250" s="3" t="n">
        <v>5</v>
      </c>
      <c r="C250" s="4" t="s">
        <v>926</v>
      </c>
      <c r="D250" s="4" t="s">
        <v>911</v>
      </c>
      <c r="E250" s="3" t="n">
        <v>4</v>
      </c>
      <c r="F250" s="10" t="n">
        <v>45</v>
      </c>
      <c r="G250" s="15" t="n">
        <v>0</v>
      </c>
      <c r="H250" s="4" t="s">
        <v>927</v>
      </c>
      <c r="I250" s="8" t="n">
        <v>40</v>
      </c>
      <c r="J250" s="4" t="s">
        <v>925</v>
      </c>
      <c r="K250" s="4" t="s">
        <v>30</v>
      </c>
    </row>
    <row r="251" customFormat="false" ht="15" hidden="false" customHeight="false" outlineLevel="0" collapsed="false">
      <c r="A251" s="4" t="s">
        <v>413</v>
      </c>
      <c r="B251" s="3" t="n">
        <v>6</v>
      </c>
      <c r="C251" s="4" t="s">
        <v>928</v>
      </c>
      <c r="D251" s="4" t="s">
        <v>913</v>
      </c>
      <c r="E251" s="3" t="n">
        <v>5</v>
      </c>
      <c r="F251" s="10" t="n">
        <v>8</v>
      </c>
      <c r="G251" s="15" t="n">
        <v>2.36</v>
      </c>
      <c r="H251" s="4" t="s">
        <v>918</v>
      </c>
      <c r="I251" s="8" t="n">
        <v>0</v>
      </c>
      <c r="J251" s="4" t="s">
        <v>925</v>
      </c>
      <c r="K251" s="4" t="s">
        <v>30</v>
      </c>
    </row>
    <row r="252" customFormat="false" ht="15" hidden="false" customHeight="false" outlineLevel="0" collapsed="false">
      <c r="A252" s="4" t="s">
        <v>413</v>
      </c>
      <c r="B252" s="3" t="n">
        <v>7</v>
      </c>
      <c r="C252" s="4" t="s">
        <v>929</v>
      </c>
      <c r="D252" s="4" t="s">
        <v>896</v>
      </c>
      <c r="E252" s="3" t="n">
        <v>6</v>
      </c>
      <c r="F252" s="10" t="n">
        <v>6</v>
      </c>
      <c r="G252" s="15" t="n">
        <v>108.75</v>
      </c>
      <c r="H252" s="4" t="s">
        <v>918</v>
      </c>
      <c r="I252" s="8" t="n">
        <v>0</v>
      </c>
      <c r="J252" s="4" t="s">
        <v>919</v>
      </c>
      <c r="K252" s="4" t="s">
        <v>30</v>
      </c>
    </row>
    <row r="253" customFormat="false" ht="15" hidden="false" customHeight="false" outlineLevel="0" collapsed="false">
      <c r="A253" s="4" t="s">
        <v>413</v>
      </c>
      <c r="B253" s="3" t="n">
        <v>8</v>
      </c>
      <c r="C253" s="4" t="s">
        <v>932</v>
      </c>
      <c r="D253" s="4" t="s">
        <v>896</v>
      </c>
      <c r="E253" s="3" t="n">
        <v>7</v>
      </c>
      <c r="F253" s="10" t="n">
        <v>0</v>
      </c>
      <c r="G253" s="15" t="n">
        <v>4</v>
      </c>
      <c r="H253" s="4" t="s">
        <v>918</v>
      </c>
      <c r="I253" s="8" t="n">
        <v>0</v>
      </c>
      <c r="J253" s="4" t="s">
        <v>925</v>
      </c>
      <c r="K253" s="4" t="s">
        <v>30</v>
      </c>
    </row>
    <row r="254" customFormat="false" ht="15" hidden="false" customHeight="false" outlineLevel="0" collapsed="false">
      <c r="A254" s="4" t="s">
        <v>416</v>
      </c>
      <c r="B254" s="3" t="n">
        <v>1</v>
      </c>
      <c r="C254" s="4" t="s">
        <v>917</v>
      </c>
      <c r="D254" s="4" t="s">
        <v>865</v>
      </c>
      <c r="F254" s="10" t="n">
        <v>8</v>
      </c>
      <c r="G254" s="15" t="n">
        <v>21.2562375</v>
      </c>
      <c r="H254" s="4" t="s">
        <v>918</v>
      </c>
      <c r="I254" s="8" t="n">
        <v>0</v>
      </c>
      <c r="J254" s="4" t="s">
        <v>919</v>
      </c>
      <c r="K254" s="4" t="s">
        <v>30</v>
      </c>
    </row>
    <row r="255" customFormat="false" ht="15" hidden="false" customHeight="false" outlineLevel="0" collapsed="false">
      <c r="A255" s="4" t="s">
        <v>416</v>
      </c>
      <c r="B255" s="3" t="n">
        <v>2</v>
      </c>
      <c r="C255" s="4" t="s">
        <v>876</v>
      </c>
      <c r="D255" s="4" t="s">
        <v>903</v>
      </c>
      <c r="E255" s="3" t="n">
        <v>1</v>
      </c>
      <c r="F255" s="10" t="n">
        <v>10</v>
      </c>
      <c r="G255" s="15" t="n">
        <v>10.5</v>
      </c>
      <c r="H255" s="4" t="s">
        <v>918</v>
      </c>
      <c r="I255" s="8" t="n">
        <v>0</v>
      </c>
      <c r="J255" s="4" t="s">
        <v>919</v>
      </c>
      <c r="K255" s="4" t="s">
        <v>30</v>
      </c>
    </row>
    <row r="256" customFormat="false" ht="15" hidden="false" customHeight="false" outlineLevel="0" collapsed="false">
      <c r="A256" s="4" t="s">
        <v>416</v>
      </c>
      <c r="B256" s="3" t="n">
        <v>3</v>
      </c>
      <c r="C256" s="4" t="s">
        <v>880</v>
      </c>
      <c r="D256" s="4" t="s">
        <v>877</v>
      </c>
      <c r="E256" s="3" t="n">
        <v>2</v>
      </c>
      <c r="F256" s="10" t="n">
        <v>12</v>
      </c>
      <c r="G256" s="15" t="n">
        <v>36</v>
      </c>
      <c r="H256" s="4" t="s">
        <v>918</v>
      </c>
      <c r="I256" s="8" t="n">
        <v>0</v>
      </c>
      <c r="J256" s="4" t="s">
        <v>919</v>
      </c>
      <c r="K256" s="4" t="s">
        <v>30</v>
      </c>
    </row>
    <row r="257" customFormat="false" ht="15" hidden="false" customHeight="false" outlineLevel="0" collapsed="false">
      <c r="A257" s="4" t="s">
        <v>416</v>
      </c>
      <c r="B257" s="3" t="n">
        <v>4</v>
      </c>
      <c r="C257" s="4" t="s">
        <v>924</v>
      </c>
      <c r="D257" s="4" t="s">
        <v>892</v>
      </c>
      <c r="E257" s="3" t="n">
        <v>3</v>
      </c>
      <c r="F257" s="10" t="n">
        <v>12</v>
      </c>
      <c r="G257" s="15" t="n">
        <v>6.58</v>
      </c>
      <c r="H257" s="4" t="s">
        <v>918</v>
      </c>
      <c r="I257" s="8" t="n">
        <v>0</v>
      </c>
      <c r="J257" s="4" t="s">
        <v>925</v>
      </c>
      <c r="K257" s="4" t="s">
        <v>30</v>
      </c>
    </row>
    <row r="258" customFormat="false" ht="15" hidden="false" customHeight="false" outlineLevel="0" collapsed="false">
      <c r="A258" s="4" t="s">
        <v>416</v>
      </c>
      <c r="B258" s="3" t="n">
        <v>5</v>
      </c>
      <c r="C258" s="4" t="s">
        <v>926</v>
      </c>
      <c r="D258" s="4" t="s">
        <v>911</v>
      </c>
      <c r="E258" s="3" t="n">
        <v>4</v>
      </c>
      <c r="F258" s="10" t="n">
        <v>45</v>
      </c>
      <c r="G258" s="15" t="n">
        <v>0</v>
      </c>
      <c r="H258" s="4" t="s">
        <v>927</v>
      </c>
      <c r="I258" s="8" t="n">
        <v>40</v>
      </c>
      <c r="J258" s="4" t="s">
        <v>925</v>
      </c>
      <c r="K258" s="4" t="s">
        <v>30</v>
      </c>
    </row>
    <row r="259" customFormat="false" ht="15" hidden="false" customHeight="false" outlineLevel="0" collapsed="false">
      <c r="A259" s="4" t="s">
        <v>416</v>
      </c>
      <c r="B259" s="3" t="n">
        <v>6</v>
      </c>
      <c r="C259" s="4" t="s">
        <v>928</v>
      </c>
      <c r="D259" s="4" t="s">
        <v>913</v>
      </c>
      <c r="E259" s="3" t="n">
        <v>5</v>
      </c>
      <c r="F259" s="10" t="n">
        <v>8</v>
      </c>
      <c r="G259" s="15" t="n">
        <v>2.36</v>
      </c>
      <c r="H259" s="4" t="s">
        <v>918</v>
      </c>
      <c r="I259" s="8" t="n">
        <v>0</v>
      </c>
      <c r="J259" s="4" t="s">
        <v>925</v>
      </c>
      <c r="K259" s="4" t="s">
        <v>30</v>
      </c>
    </row>
    <row r="260" customFormat="false" ht="15" hidden="false" customHeight="false" outlineLevel="0" collapsed="false">
      <c r="A260" s="4" t="s">
        <v>416</v>
      </c>
      <c r="B260" s="3" t="n">
        <v>7</v>
      </c>
      <c r="C260" s="4" t="s">
        <v>929</v>
      </c>
      <c r="D260" s="4" t="s">
        <v>896</v>
      </c>
      <c r="E260" s="3" t="n">
        <v>6</v>
      </c>
      <c r="F260" s="10" t="n">
        <v>6</v>
      </c>
      <c r="G260" s="15" t="n">
        <v>108</v>
      </c>
      <c r="H260" s="4" t="s">
        <v>918</v>
      </c>
      <c r="I260" s="8" t="n">
        <v>0</v>
      </c>
      <c r="J260" s="4" t="s">
        <v>919</v>
      </c>
      <c r="K260" s="4" t="s">
        <v>30</v>
      </c>
    </row>
    <row r="261" customFormat="false" ht="15" hidden="false" customHeight="false" outlineLevel="0" collapsed="false">
      <c r="A261" s="4" t="s">
        <v>416</v>
      </c>
      <c r="B261" s="3" t="n">
        <v>8</v>
      </c>
      <c r="C261" s="4" t="s">
        <v>932</v>
      </c>
      <c r="D261" s="4" t="s">
        <v>896</v>
      </c>
      <c r="E261" s="3" t="n">
        <v>7</v>
      </c>
      <c r="F261" s="10" t="n">
        <v>0</v>
      </c>
      <c r="G261" s="15" t="n">
        <v>4</v>
      </c>
      <c r="H261" s="4" t="s">
        <v>918</v>
      </c>
      <c r="I261" s="8" t="n">
        <v>0</v>
      </c>
      <c r="J261" s="4" t="s">
        <v>925</v>
      </c>
      <c r="K261" s="4" t="s">
        <v>30</v>
      </c>
    </row>
    <row r="262" customFormat="false" ht="15" hidden="false" customHeight="false" outlineLevel="0" collapsed="false">
      <c r="A262" s="4" t="s">
        <v>418</v>
      </c>
      <c r="B262" s="3" t="n">
        <v>1</v>
      </c>
      <c r="C262" s="4" t="s">
        <v>917</v>
      </c>
      <c r="D262" s="4" t="s">
        <v>865</v>
      </c>
      <c r="F262" s="10" t="n">
        <v>8</v>
      </c>
      <c r="G262" s="15" t="n">
        <v>21.2562375</v>
      </c>
      <c r="H262" s="4" t="s">
        <v>918</v>
      </c>
      <c r="I262" s="8" t="n">
        <v>0</v>
      </c>
      <c r="J262" s="4" t="s">
        <v>919</v>
      </c>
      <c r="K262" s="4" t="s">
        <v>30</v>
      </c>
    </row>
    <row r="263" customFormat="false" ht="15" hidden="false" customHeight="false" outlineLevel="0" collapsed="false">
      <c r="A263" s="4" t="s">
        <v>418</v>
      </c>
      <c r="B263" s="3" t="n">
        <v>2</v>
      </c>
      <c r="C263" s="4" t="s">
        <v>876</v>
      </c>
      <c r="D263" s="4" t="s">
        <v>903</v>
      </c>
      <c r="E263" s="3" t="n">
        <v>1</v>
      </c>
      <c r="F263" s="10" t="n">
        <v>10</v>
      </c>
      <c r="G263" s="15" t="n">
        <v>10.5</v>
      </c>
      <c r="H263" s="4" t="s">
        <v>918</v>
      </c>
      <c r="I263" s="8" t="n">
        <v>0</v>
      </c>
      <c r="J263" s="4" t="s">
        <v>919</v>
      </c>
      <c r="K263" s="4" t="s">
        <v>30</v>
      </c>
    </row>
    <row r="264" customFormat="false" ht="15" hidden="false" customHeight="false" outlineLevel="0" collapsed="false">
      <c r="A264" s="4" t="s">
        <v>418</v>
      </c>
      <c r="B264" s="3" t="n">
        <v>3</v>
      </c>
      <c r="C264" s="4" t="s">
        <v>880</v>
      </c>
      <c r="D264" s="4" t="s">
        <v>877</v>
      </c>
      <c r="E264" s="3" t="n">
        <v>2</v>
      </c>
      <c r="F264" s="10" t="n">
        <v>12</v>
      </c>
      <c r="G264" s="15" t="n">
        <v>36</v>
      </c>
      <c r="H264" s="4" t="s">
        <v>918</v>
      </c>
      <c r="I264" s="8" t="n">
        <v>0</v>
      </c>
      <c r="J264" s="4" t="s">
        <v>919</v>
      </c>
      <c r="K264" s="4" t="s">
        <v>30</v>
      </c>
    </row>
    <row r="265" customFormat="false" ht="15" hidden="false" customHeight="false" outlineLevel="0" collapsed="false">
      <c r="A265" s="4" t="s">
        <v>418</v>
      </c>
      <c r="B265" s="3" t="n">
        <v>4</v>
      </c>
      <c r="C265" s="4" t="s">
        <v>924</v>
      </c>
      <c r="D265" s="4" t="s">
        <v>892</v>
      </c>
      <c r="E265" s="3" t="n">
        <v>3</v>
      </c>
      <c r="F265" s="10" t="n">
        <v>12</v>
      </c>
      <c r="G265" s="15" t="n">
        <v>6.58</v>
      </c>
      <c r="H265" s="4" t="s">
        <v>918</v>
      </c>
      <c r="I265" s="8" t="n">
        <v>0</v>
      </c>
      <c r="J265" s="4" t="s">
        <v>925</v>
      </c>
      <c r="K265" s="4" t="s">
        <v>30</v>
      </c>
    </row>
    <row r="266" customFormat="false" ht="15" hidden="false" customHeight="false" outlineLevel="0" collapsed="false">
      <c r="A266" s="4" t="s">
        <v>418</v>
      </c>
      <c r="B266" s="3" t="n">
        <v>5</v>
      </c>
      <c r="C266" s="4" t="s">
        <v>926</v>
      </c>
      <c r="D266" s="4" t="s">
        <v>911</v>
      </c>
      <c r="E266" s="3" t="n">
        <v>4</v>
      </c>
      <c r="F266" s="10" t="n">
        <v>45</v>
      </c>
      <c r="G266" s="15" t="n">
        <v>0</v>
      </c>
      <c r="H266" s="4" t="s">
        <v>927</v>
      </c>
      <c r="I266" s="8" t="n">
        <v>40</v>
      </c>
      <c r="J266" s="4" t="s">
        <v>925</v>
      </c>
      <c r="K266" s="4" t="s">
        <v>30</v>
      </c>
    </row>
    <row r="267" customFormat="false" ht="15" hidden="false" customHeight="false" outlineLevel="0" collapsed="false">
      <c r="A267" s="4" t="s">
        <v>418</v>
      </c>
      <c r="B267" s="3" t="n">
        <v>6</v>
      </c>
      <c r="C267" s="4" t="s">
        <v>928</v>
      </c>
      <c r="D267" s="4" t="s">
        <v>913</v>
      </c>
      <c r="E267" s="3" t="n">
        <v>5</v>
      </c>
      <c r="F267" s="10" t="n">
        <v>8</v>
      </c>
      <c r="G267" s="15" t="n">
        <v>2.36</v>
      </c>
      <c r="H267" s="4" t="s">
        <v>918</v>
      </c>
      <c r="I267" s="8" t="n">
        <v>0</v>
      </c>
      <c r="J267" s="4" t="s">
        <v>925</v>
      </c>
      <c r="K267" s="4" t="s">
        <v>30</v>
      </c>
    </row>
    <row r="268" customFormat="false" ht="15" hidden="false" customHeight="false" outlineLevel="0" collapsed="false">
      <c r="A268" s="4" t="s">
        <v>418</v>
      </c>
      <c r="B268" s="3" t="n">
        <v>7</v>
      </c>
      <c r="C268" s="4" t="s">
        <v>929</v>
      </c>
      <c r="D268" s="4" t="s">
        <v>896</v>
      </c>
      <c r="E268" s="3" t="n">
        <v>6</v>
      </c>
      <c r="F268" s="10" t="n">
        <v>6</v>
      </c>
      <c r="G268" s="15" t="n">
        <v>108</v>
      </c>
      <c r="H268" s="4" t="s">
        <v>918</v>
      </c>
      <c r="I268" s="8" t="n">
        <v>0</v>
      </c>
      <c r="J268" s="4" t="s">
        <v>919</v>
      </c>
      <c r="K268" s="4" t="s">
        <v>30</v>
      </c>
    </row>
    <row r="269" customFormat="false" ht="15" hidden="false" customHeight="false" outlineLevel="0" collapsed="false">
      <c r="A269" s="4" t="s">
        <v>418</v>
      </c>
      <c r="B269" s="3" t="n">
        <v>8</v>
      </c>
      <c r="C269" s="4" t="s">
        <v>932</v>
      </c>
      <c r="D269" s="4" t="s">
        <v>896</v>
      </c>
      <c r="E269" s="3" t="n">
        <v>7</v>
      </c>
      <c r="F269" s="10" t="n">
        <v>0</v>
      </c>
      <c r="G269" s="15" t="n">
        <v>4</v>
      </c>
      <c r="H269" s="4" t="s">
        <v>918</v>
      </c>
      <c r="I269" s="8" t="n">
        <v>0</v>
      </c>
      <c r="J269" s="4" t="s">
        <v>925</v>
      </c>
      <c r="K269" s="4" t="s">
        <v>30</v>
      </c>
    </row>
    <row r="270" customFormat="false" ht="15" hidden="false" customHeight="false" outlineLevel="0" collapsed="false">
      <c r="A270" s="4" t="s">
        <v>420</v>
      </c>
      <c r="B270" s="3" t="n">
        <v>1</v>
      </c>
      <c r="C270" s="4" t="s">
        <v>917</v>
      </c>
      <c r="D270" s="4" t="s">
        <v>865</v>
      </c>
      <c r="F270" s="10" t="n">
        <v>8</v>
      </c>
      <c r="G270" s="15" t="n">
        <v>21.2562375</v>
      </c>
      <c r="H270" s="4" t="s">
        <v>918</v>
      </c>
      <c r="I270" s="8" t="n">
        <v>0</v>
      </c>
      <c r="J270" s="4" t="s">
        <v>919</v>
      </c>
      <c r="K270" s="4" t="s">
        <v>30</v>
      </c>
    </row>
    <row r="271" customFormat="false" ht="15" hidden="false" customHeight="false" outlineLevel="0" collapsed="false">
      <c r="A271" s="4" t="s">
        <v>420</v>
      </c>
      <c r="B271" s="3" t="n">
        <v>2</v>
      </c>
      <c r="C271" s="4" t="s">
        <v>876</v>
      </c>
      <c r="D271" s="4" t="s">
        <v>903</v>
      </c>
      <c r="E271" s="3" t="n">
        <v>1</v>
      </c>
      <c r="F271" s="10" t="n">
        <v>10</v>
      </c>
      <c r="G271" s="15" t="n">
        <v>10.5</v>
      </c>
      <c r="H271" s="4" t="s">
        <v>918</v>
      </c>
      <c r="I271" s="8" t="n">
        <v>0</v>
      </c>
      <c r="J271" s="4" t="s">
        <v>919</v>
      </c>
      <c r="K271" s="4" t="s">
        <v>30</v>
      </c>
    </row>
    <row r="272" customFormat="false" ht="15" hidden="false" customHeight="false" outlineLevel="0" collapsed="false">
      <c r="A272" s="4" t="s">
        <v>420</v>
      </c>
      <c r="B272" s="3" t="n">
        <v>3</v>
      </c>
      <c r="C272" s="4" t="s">
        <v>880</v>
      </c>
      <c r="D272" s="4" t="s">
        <v>877</v>
      </c>
      <c r="E272" s="3" t="n">
        <v>2</v>
      </c>
      <c r="F272" s="10" t="n">
        <v>12</v>
      </c>
      <c r="G272" s="15" t="n">
        <v>36</v>
      </c>
      <c r="H272" s="4" t="s">
        <v>918</v>
      </c>
      <c r="I272" s="8" t="n">
        <v>0</v>
      </c>
      <c r="J272" s="4" t="s">
        <v>919</v>
      </c>
      <c r="K272" s="4" t="s">
        <v>30</v>
      </c>
    </row>
    <row r="273" customFormat="false" ht="15" hidden="false" customHeight="false" outlineLevel="0" collapsed="false">
      <c r="A273" s="4" t="s">
        <v>420</v>
      </c>
      <c r="B273" s="3" t="n">
        <v>4</v>
      </c>
      <c r="C273" s="4" t="s">
        <v>924</v>
      </c>
      <c r="D273" s="4" t="s">
        <v>892</v>
      </c>
      <c r="E273" s="3" t="n">
        <v>3</v>
      </c>
      <c r="F273" s="10" t="n">
        <v>12</v>
      </c>
      <c r="G273" s="15" t="n">
        <v>6.58</v>
      </c>
      <c r="H273" s="4" t="s">
        <v>918</v>
      </c>
      <c r="I273" s="8" t="n">
        <v>0</v>
      </c>
      <c r="J273" s="4" t="s">
        <v>925</v>
      </c>
      <c r="K273" s="4" t="s">
        <v>30</v>
      </c>
    </row>
    <row r="274" customFormat="false" ht="15" hidden="false" customHeight="false" outlineLevel="0" collapsed="false">
      <c r="A274" s="4" t="s">
        <v>420</v>
      </c>
      <c r="B274" s="3" t="n">
        <v>5</v>
      </c>
      <c r="C274" s="4" t="s">
        <v>926</v>
      </c>
      <c r="D274" s="4" t="s">
        <v>911</v>
      </c>
      <c r="E274" s="3" t="n">
        <v>4</v>
      </c>
      <c r="F274" s="10" t="n">
        <v>45</v>
      </c>
      <c r="G274" s="15" t="n">
        <v>0</v>
      </c>
      <c r="H274" s="4" t="s">
        <v>927</v>
      </c>
      <c r="I274" s="8" t="n">
        <v>40</v>
      </c>
      <c r="J274" s="4" t="s">
        <v>925</v>
      </c>
      <c r="K274" s="4" t="s">
        <v>30</v>
      </c>
    </row>
    <row r="275" customFormat="false" ht="15" hidden="false" customHeight="false" outlineLevel="0" collapsed="false">
      <c r="A275" s="4" t="s">
        <v>420</v>
      </c>
      <c r="B275" s="3" t="n">
        <v>6</v>
      </c>
      <c r="C275" s="4" t="s">
        <v>928</v>
      </c>
      <c r="D275" s="4" t="s">
        <v>913</v>
      </c>
      <c r="E275" s="3" t="n">
        <v>5</v>
      </c>
      <c r="F275" s="10" t="n">
        <v>8</v>
      </c>
      <c r="G275" s="15" t="n">
        <v>2.36</v>
      </c>
      <c r="H275" s="4" t="s">
        <v>918</v>
      </c>
      <c r="I275" s="8" t="n">
        <v>0</v>
      </c>
      <c r="J275" s="4" t="s">
        <v>925</v>
      </c>
      <c r="K275" s="4" t="s">
        <v>30</v>
      </c>
    </row>
    <row r="276" customFormat="false" ht="15" hidden="false" customHeight="false" outlineLevel="0" collapsed="false">
      <c r="A276" s="4" t="s">
        <v>420</v>
      </c>
      <c r="B276" s="3" t="n">
        <v>7</v>
      </c>
      <c r="C276" s="4" t="s">
        <v>929</v>
      </c>
      <c r="D276" s="4" t="s">
        <v>896</v>
      </c>
      <c r="E276" s="3" t="n">
        <v>6</v>
      </c>
      <c r="F276" s="10" t="n">
        <v>6</v>
      </c>
      <c r="G276" s="15" t="n">
        <v>108</v>
      </c>
      <c r="H276" s="4" t="s">
        <v>918</v>
      </c>
      <c r="I276" s="8" t="n">
        <v>0</v>
      </c>
      <c r="J276" s="4" t="s">
        <v>919</v>
      </c>
      <c r="K276" s="4" t="s">
        <v>30</v>
      </c>
    </row>
    <row r="277" customFormat="false" ht="15" hidden="false" customHeight="false" outlineLevel="0" collapsed="false">
      <c r="A277" s="4" t="s">
        <v>420</v>
      </c>
      <c r="B277" s="3" t="n">
        <v>8</v>
      </c>
      <c r="C277" s="4" t="s">
        <v>932</v>
      </c>
      <c r="D277" s="4" t="s">
        <v>896</v>
      </c>
      <c r="E277" s="3" t="n">
        <v>7</v>
      </c>
      <c r="F277" s="10" t="n">
        <v>0</v>
      </c>
      <c r="G277" s="15" t="n">
        <v>4</v>
      </c>
      <c r="H277" s="4" t="s">
        <v>918</v>
      </c>
      <c r="I277" s="8" t="n">
        <v>0</v>
      </c>
      <c r="J277" s="4" t="s">
        <v>925</v>
      </c>
      <c r="K277" s="4" t="s">
        <v>30</v>
      </c>
    </row>
    <row r="278" customFormat="false" ht="15" hidden="false" customHeight="false" outlineLevel="0" collapsed="false">
      <c r="A278" s="4" t="s">
        <v>422</v>
      </c>
      <c r="B278" s="3" t="n">
        <v>1</v>
      </c>
      <c r="C278" s="4" t="s">
        <v>917</v>
      </c>
      <c r="D278" s="4" t="s">
        <v>865</v>
      </c>
      <c r="F278" s="10" t="n">
        <v>8</v>
      </c>
      <c r="G278" s="15" t="n">
        <v>21.2562375</v>
      </c>
      <c r="H278" s="4" t="s">
        <v>918</v>
      </c>
      <c r="I278" s="8" t="n">
        <v>0</v>
      </c>
      <c r="J278" s="4" t="s">
        <v>919</v>
      </c>
      <c r="K278" s="4" t="s">
        <v>30</v>
      </c>
    </row>
    <row r="279" customFormat="false" ht="15" hidden="false" customHeight="false" outlineLevel="0" collapsed="false">
      <c r="A279" s="4" t="s">
        <v>422</v>
      </c>
      <c r="B279" s="3" t="n">
        <v>2</v>
      </c>
      <c r="C279" s="4" t="s">
        <v>876</v>
      </c>
      <c r="D279" s="4" t="s">
        <v>903</v>
      </c>
      <c r="E279" s="3" t="n">
        <v>1</v>
      </c>
      <c r="F279" s="10" t="n">
        <v>10</v>
      </c>
      <c r="G279" s="15" t="n">
        <v>10.5</v>
      </c>
      <c r="H279" s="4" t="s">
        <v>918</v>
      </c>
      <c r="I279" s="8" t="n">
        <v>0</v>
      </c>
      <c r="J279" s="4" t="s">
        <v>919</v>
      </c>
      <c r="K279" s="4" t="s">
        <v>30</v>
      </c>
    </row>
    <row r="280" customFormat="false" ht="15" hidden="false" customHeight="false" outlineLevel="0" collapsed="false">
      <c r="A280" s="4" t="s">
        <v>422</v>
      </c>
      <c r="B280" s="3" t="n">
        <v>3</v>
      </c>
      <c r="C280" s="4" t="s">
        <v>880</v>
      </c>
      <c r="D280" s="4" t="s">
        <v>877</v>
      </c>
      <c r="E280" s="3" t="n">
        <v>2</v>
      </c>
      <c r="F280" s="10" t="n">
        <v>12</v>
      </c>
      <c r="G280" s="15" t="n">
        <v>36</v>
      </c>
      <c r="H280" s="4" t="s">
        <v>918</v>
      </c>
      <c r="I280" s="8" t="n">
        <v>0</v>
      </c>
      <c r="J280" s="4" t="s">
        <v>919</v>
      </c>
      <c r="K280" s="4" t="s">
        <v>30</v>
      </c>
    </row>
    <row r="281" customFormat="false" ht="15" hidden="false" customHeight="false" outlineLevel="0" collapsed="false">
      <c r="A281" s="4" t="s">
        <v>422</v>
      </c>
      <c r="B281" s="3" t="n">
        <v>4</v>
      </c>
      <c r="C281" s="4" t="s">
        <v>924</v>
      </c>
      <c r="D281" s="4" t="s">
        <v>892</v>
      </c>
      <c r="E281" s="3" t="n">
        <v>3</v>
      </c>
      <c r="F281" s="10" t="n">
        <v>12</v>
      </c>
      <c r="G281" s="15" t="n">
        <v>6.58</v>
      </c>
      <c r="H281" s="4" t="s">
        <v>918</v>
      </c>
      <c r="I281" s="8" t="n">
        <v>0</v>
      </c>
      <c r="J281" s="4" t="s">
        <v>925</v>
      </c>
      <c r="K281" s="4" t="s">
        <v>30</v>
      </c>
    </row>
    <row r="282" customFormat="false" ht="15" hidden="false" customHeight="false" outlineLevel="0" collapsed="false">
      <c r="A282" s="4" t="s">
        <v>422</v>
      </c>
      <c r="B282" s="3" t="n">
        <v>5</v>
      </c>
      <c r="C282" s="4" t="s">
        <v>926</v>
      </c>
      <c r="D282" s="4" t="s">
        <v>911</v>
      </c>
      <c r="E282" s="3" t="n">
        <v>4</v>
      </c>
      <c r="F282" s="10" t="n">
        <v>45</v>
      </c>
      <c r="G282" s="15" t="n">
        <v>0</v>
      </c>
      <c r="H282" s="4" t="s">
        <v>927</v>
      </c>
      <c r="I282" s="8" t="n">
        <v>40</v>
      </c>
      <c r="J282" s="4" t="s">
        <v>925</v>
      </c>
      <c r="K282" s="4" t="s">
        <v>30</v>
      </c>
    </row>
    <row r="283" customFormat="false" ht="15" hidden="false" customHeight="false" outlineLevel="0" collapsed="false">
      <c r="A283" s="4" t="s">
        <v>422</v>
      </c>
      <c r="B283" s="3" t="n">
        <v>6</v>
      </c>
      <c r="C283" s="4" t="s">
        <v>928</v>
      </c>
      <c r="D283" s="4" t="s">
        <v>913</v>
      </c>
      <c r="E283" s="3" t="n">
        <v>5</v>
      </c>
      <c r="F283" s="10" t="n">
        <v>8</v>
      </c>
      <c r="G283" s="15" t="n">
        <v>2.36</v>
      </c>
      <c r="H283" s="4" t="s">
        <v>918</v>
      </c>
      <c r="I283" s="8" t="n">
        <v>0</v>
      </c>
      <c r="J283" s="4" t="s">
        <v>925</v>
      </c>
      <c r="K283" s="4" t="s">
        <v>30</v>
      </c>
    </row>
    <row r="284" customFormat="false" ht="15" hidden="false" customHeight="false" outlineLevel="0" collapsed="false">
      <c r="A284" s="4" t="s">
        <v>422</v>
      </c>
      <c r="B284" s="3" t="n">
        <v>7</v>
      </c>
      <c r="C284" s="4" t="s">
        <v>929</v>
      </c>
      <c r="D284" s="4" t="s">
        <v>896</v>
      </c>
      <c r="E284" s="3" t="n">
        <v>6</v>
      </c>
      <c r="F284" s="10" t="n">
        <v>6</v>
      </c>
      <c r="G284" s="15" t="n">
        <v>108</v>
      </c>
      <c r="H284" s="4" t="s">
        <v>918</v>
      </c>
      <c r="I284" s="8" t="n">
        <v>0</v>
      </c>
      <c r="J284" s="4" t="s">
        <v>919</v>
      </c>
      <c r="K284" s="4" t="s">
        <v>30</v>
      </c>
    </row>
    <row r="285" customFormat="false" ht="15" hidden="false" customHeight="false" outlineLevel="0" collapsed="false">
      <c r="A285" s="4" t="s">
        <v>422</v>
      </c>
      <c r="B285" s="3" t="n">
        <v>8</v>
      </c>
      <c r="C285" s="4" t="s">
        <v>932</v>
      </c>
      <c r="D285" s="4" t="s">
        <v>896</v>
      </c>
      <c r="E285" s="3" t="n">
        <v>7</v>
      </c>
      <c r="F285" s="10" t="n">
        <v>0</v>
      </c>
      <c r="G285" s="15" t="n">
        <v>4</v>
      </c>
      <c r="H285" s="4" t="s">
        <v>918</v>
      </c>
      <c r="I285" s="8" t="n">
        <v>0</v>
      </c>
      <c r="J285" s="4" t="s">
        <v>925</v>
      </c>
      <c r="K285" s="4" t="s">
        <v>30</v>
      </c>
    </row>
    <row r="286" customFormat="false" ht="15" hidden="false" customHeight="false" outlineLevel="0" collapsed="false">
      <c r="A286" s="4" t="s">
        <v>424</v>
      </c>
      <c r="B286" s="3" t="n">
        <v>1</v>
      </c>
      <c r="C286" s="4" t="s">
        <v>917</v>
      </c>
      <c r="D286" s="4" t="s">
        <v>865</v>
      </c>
      <c r="F286" s="10" t="n">
        <v>8</v>
      </c>
      <c r="G286" s="15" t="n">
        <v>17.647062315</v>
      </c>
      <c r="H286" s="4" t="s">
        <v>918</v>
      </c>
      <c r="I286" s="8" t="n">
        <v>0</v>
      </c>
      <c r="J286" s="4" t="s">
        <v>919</v>
      </c>
      <c r="K286" s="4" t="s">
        <v>30</v>
      </c>
    </row>
    <row r="287" customFormat="false" ht="15" hidden="false" customHeight="false" outlineLevel="0" collapsed="false">
      <c r="A287" s="4" t="s">
        <v>424</v>
      </c>
      <c r="B287" s="3" t="n">
        <v>2</v>
      </c>
      <c r="C287" s="4" t="s">
        <v>876</v>
      </c>
      <c r="D287" s="4" t="s">
        <v>903</v>
      </c>
      <c r="E287" s="3" t="n">
        <v>1</v>
      </c>
      <c r="F287" s="10" t="n">
        <v>10</v>
      </c>
      <c r="G287" s="15" t="n">
        <v>10.5</v>
      </c>
      <c r="H287" s="4" t="s">
        <v>918</v>
      </c>
      <c r="I287" s="8" t="n">
        <v>0</v>
      </c>
      <c r="J287" s="4" t="s">
        <v>919</v>
      </c>
      <c r="K287" s="4" t="s">
        <v>30</v>
      </c>
    </row>
    <row r="288" customFormat="false" ht="15" hidden="false" customHeight="false" outlineLevel="0" collapsed="false">
      <c r="A288" s="4" t="s">
        <v>424</v>
      </c>
      <c r="B288" s="3" t="n">
        <v>3</v>
      </c>
      <c r="C288" s="4" t="s">
        <v>880</v>
      </c>
      <c r="D288" s="4" t="s">
        <v>877</v>
      </c>
      <c r="E288" s="3" t="n">
        <v>2</v>
      </c>
      <c r="F288" s="10" t="n">
        <v>12</v>
      </c>
      <c r="G288" s="15" t="n">
        <v>36</v>
      </c>
      <c r="H288" s="4" t="s">
        <v>918</v>
      </c>
      <c r="I288" s="8" t="n">
        <v>0</v>
      </c>
      <c r="J288" s="4" t="s">
        <v>919</v>
      </c>
      <c r="K288" s="4" t="s">
        <v>30</v>
      </c>
    </row>
    <row r="289" customFormat="false" ht="15" hidden="false" customHeight="false" outlineLevel="0" collapsed="false">
      <c r="A289" s="4" t="s">
        <v>424</v>
      </c>
      <c r="B289" s="3" t="n">
        <v>4</v>
      </c>
      <c r="C289" s="4" t="s">
        <v>924</v>
      </c>
      <c r="D289" s="4" t="s">
        <v>892</v>
      </c>
      <c r="E289" s="3" t="n">
        <v>3</v>
      </c>
      <c r="F289" s="10" t="n">
        <v>12</v>
      </c>
      <c r="G289" s="15" t="n">
        <v>6.58</v>
      </c>
      <c r="H289" s="4" t="s">
        <v>918</v>
      </c>
      <c r="I289" s="8" t="n">
        <v>0</v>
      </c>
      <c r="J289" s="4" t="s">
        <v>925</v>
      </c>
      <c r="K289" s="4" t="s">
        <v>30</v>
      </c>
    </row>
    <row r="290" customFormat="false" ht="15" hidden="false" customHeight="false" outlineLevel="0" collapsed="false">
      <c r="A290" s="4" t="s">
        <v>424</v>
      </c>
      <c r="B290" s="3" t="n">
        <v>5</v>
      </c>
      <c r="C290" s="4" t="s">
        <v>926</v>
      </c>
      <c r="D290" s="4" t="s">
        <v>911</v>
      </c>
      <c r="E290" s="3" t="n">
        <v>4</v>
      </c>
      <c r="F290" s="10" t="n">
        <v>45</v>
      </c>
      <c r="G290" s="15" t="n">
        <v>0</v>
      </c>
      <c r="H290" s="4" t="s">
        <v>927</v>
      </c>
      <c r="I290" s="8" t="n">
        <v>40</v>
      </c>
      <c r="J290" s="4" t="s">
        <v>925</v>
      </c>
      <c r="K290" s="4" t="s">
        <v>30</v>
      </c>
    </row>
    <row r="291" customFormat="false" ht="15" hidden="false" customHeight="false" outlineLevel="0" collapsed="false">
      <c r="A291" s="4" t="s">
        <v>424</v>
      </c>
      <c r="B291" s="3" t="n">
        <v>6</v>
      </c>
      <c r="C291" s="4" t="s">
        <v>928</v>
      </c>
      <c r="D291" s="4" t="s">
        <v>913</v>
      </c>
      <c r="E291" s="3" t="n">
        <v>5</v>
      </c>
      <c r="F291" s="10" t="n">
        <v>8</v>
      </c>
      <c r="G291" s="15" t="n">
        <v>2.36</v>
      </c>
      <c r="H291" s="4" t="s">
        <v>918</v>
      </c>
      <c r="I291" s="8" t="n">
        <v>0</v>
      </c>
      <c r="J291" s="4" t="s">
        <v>925</v>
      </c>
      <c r="K291" s="4" t="s">
        <v>30</v>
      </c>
    </row>
    <row r="292" customFormat="false" ht="15" hidden="false" customHeight="false" outlineLevel="0" collapsed="false">
      <c r="A292" s="4" t="s">
        <v>424</v>
      </c>
      <c r="B292" s="3" t="n">
        <v>7</v>
      </c>
      <c r="C292" s="4" t="s">
        <v>929</v>
      </c>
      <c r="D292" s="4" t="s">
        <v>896</v>
      </c>
      <c r="E292" s="3" t="n">
        <v>6</v>
      </c>
      <c r="F292" s="10" t="n">
        <v>6</v>
      </c>
      <c r="G292" s="15" t="n">
        <v>120</v>
      </c>
      <c r="H292" s="4" t="s">
        <v>918</v>
      </c>
      <c r="I292" s="8" t="n">
        <v>0</v>
      </c>
      <c r="J292" s="4" t="s">
        <v>919</v>
      </c>
      <c r="K292" s="4" t="s">
        <v>30</v>
      </c>
    </row>
    <row r="293" customFormat="false" ht="15" hidden="false" customHeight="false" outlineLevel="0" collapsed="false">
      <c r="A293" s="4" t="s">
        <v>424</v>
      </c>
      <c r="B293" s="3" t="n">
        <v>8</v>
      </c>
      <c r="C293" s="4" t="s">
        <v>932</v>
      </c>
      <c r="D293" s="4" t="s">
        <v>896</v>
      </c>
      <c r="E293" s="3" t="n">
        <v>7</v>
      </c>
      <c r="F293" s="10" t="n">
        <v>0</v>
      </c>
      <c r="G293" s="15" t="n">
        <v>4</v>
      </c>
      <c r="H293" s="4" t="s">
        <v>918</v>
      </c>
      <c r="I293" s="8" t="n">
        <v>0</v>
      </c>
      <c r="J293" s="4" t="s">
        <v>925</v>
      </c>
      <c r="K293" s="4" t="s">
        <v>30</v>
      </c>
    </row>
    <row r="294" customFormat="false" ht="15" hidden="false" customHeight="false" outlineLevel="0" collapsed="false">
      <c r="A294" s="4" t="s">
        <v>427</v>
      </c>
      <c r="B294" s="3" t="n">
        <v>1</v>
      </c>
      <c r="C294" s="4" t="s">
        <v>917</v>
      </c>
      <c r="D294" s="4" t="s">
        <v>865</v>
      </c>
      <c r="F294" s="10" t="n">
        <v>8</v>
      </c>
      <c r="G294" s="15" t="n">
        <v>17.647062315</v>
      </c>
      <c r="H294" s="4" t="s">
        <v>918</v>
      </c>
      <c r="I294" s="8" t="n">
        <v>0</v>
      </c>
      <c r="J294" s="4" t="s">
        <v>919</v>
      </c>
      <c r="K294" s="4" t="s">
        <v>30</v>
      </c>
    </row>
    <row r="295" customFormat="false" ht="15" hidden="false" customHeight="false" outlineLevel="0" collapsed="false">
      <c r="A295" s="4" t="s">
        <v>427</v>
      </c>
      <c r="B295" s="3" t="n">
        <v>2</v>
      </c>
      <c r="C295" s="4" t="s">
        <v>876</v>
      </c>
      <c r="D295" s="4" t="s">
        <v>903</v>
      </c>
      <c r="E295" s="3" t="n">
        <v>1</v>
      </c>
      <c r="F295" s="10" t="n">
        <v>10</v>
      </c>
      <c r="G295" s="15" t="n">
        <v>10.5</v>
      </c>
      <c r="H295" s="4" t="s">
        <v>918</v>
      </c>
      <c r="I295" s="8" t="n">
        <v>0</v>
      </c>
      <c r="J295" s="4" t="s">
        <v>919</v>
      </c>
      <c r="K295" s="4" t="s">
        <v>30</v>
      </c>
    </row>
    <row r="296" customFormat="false" ht="15" hidden="false" customHeight="false" outlineLevel="0" collapsed="false">
      <c r="A296" s="4" t="s">
        <v>427</v>
      </c>
      <c r="B296" s="3" t="n">
        <v>3</v>
      </c>
      <c r="C296" s="4" t="s">
        <v>880</v>
      </c>
      <c r="D296" s="4" t="s">
        <v>877</v>
      </c>
      <c r="E296" s="3" t="n">
        <v>2</v>
      </c>
      <c r="F296" s="10" t="n">
        <v>12</v>
      </c>
      <c r="G296" s="15" t="n">
        <v>36</v>
      </c>
      <c r="H296" s="4" t="s">
        <v>918</v>
      </c>
      <c r="I296" s="8" t="n">
        <v>0</v>
      </c>
      <c r="J296" s="4" t="s">
        <v>919</v>
      </c>
      <c r="K296" s="4" t="s">
        <v>30</v>
      </c>
    </row>
    <row r="297" customFormat="false" ht="15" hidden="false" customHeight="false" outlineLevel="0" collapsed="false">
      <c r="A297" s="4" t="s">
        <v>427</v>
      </c>
      <c r="B297" s="3" t="n">
        <v>4</v>
      </c>
      <c r="C297" s="4" t="s">
        <v>924</v>
      </c>
      <c r="D297" s="4" t="s">
        <v>892</v>
      </c>
      <c r="E297" s="3" t="n">
        <v>3</v>
      </c>
      <c r="F297" s="10" t="n">
        <v>12</v>
      </c>
      <c r="G297" s="15" t="n">
        <v>6.58</v>
      </c>
      <c r="H297" s="4" t="s">
        <v>918</v>
      </c>
      <c r="I297" s="8" t="n">
        <v>0</v>
      </c>
      <c r="J297" s="4" t="s">
        <v>925</v>
      </c>
      <c r="K297" s="4" t="s">
        <v>30</v>
      </c>
    </row>
    <row r="298" customFormat="false" ht="15" hidden="false" customHeight="false" outlineLevel="0" collapsed="false">
      <c r="A298" s="4" t="s">
        <v>427</v>
      </c>
      <c r="B298" s="3" t="n">
        <v>5</v>
      </c>
      <c r="C298" s="4" t="s">
        <v>926</v>
      </c>
      <c r="D298" s="4" t="s">
        <v>911</v>
      </c>
      <c r="E298" s="3" t="n">
        <v>4</v>
      </c>
      <c r="F298" s="10" t="n">
        <v>45</v>
      </c>
      <c r="G298" s="15" t="n">
        <v>0</v>
      </c>
      <c r="H298" s="4" t="s">
        <v>927</v>
      </c>
      <c r="I298" s="8" t="n">
        <v>40</v>
      </c>
      <c r="J298" s="4" t="s">
        <v>925</v>
      </c>
      <c r="K298" s="4" t="s">
        <v>30</v>
      </c>
    </row>
    <row r="299" customFormat="false" ht="15" hidden="false" customHeight="false" outlineLevel="0" collapsed="false">
      <c r="A299" s="4" t="s">
        <v>427</v>
      </c>
      <c r="B299" s="3" t="n">
        <v>6</v>
      </c>
      <c r="C299" s="4" t="s">
        <v>928</v>
      </c>
      <c r="D299" s="4" t="s">
        <v>913</v>
      </c>
      <c r="E299" s="3" t="n">
        <v>5</v>
      </c>
      <c r="F299" s="10" t="n">
        <v>8</v>
      </c>
      <c r="G299" s="15" t="n">
        <v>2.36</v>
      </c>
      <c r="H299" s="4" t="s">
        <v>918</v>
      </c>
      <c r="I299" s="8" t="n">
        <v>0</v>
      </c>
      <c r="J299" s="4" t="s">
        <v>925</v>
      </c>
      <c r="K299" s="4" t="s">
        <v>30</v>
      </c>
    </row>
    <row r="300" customFormat="false" ht="15" hidden="false" customHeight="false" outlineLevel="0" collapsed="false">
      <c r="A300" s="4" t="s">
        <v>427</v>
      </c>
      <c r="B300" s="3" t="n">
        <v>7</v>
      </c>
      <c r="C300" s="4" t="s">
        <v>929</v>
      </c>
      <c r="D300" s="4" t="s">
        <v>896</v>
      </c>
      <c r="E300" s="3" t="n">
        <v>6</v>
      </c>
      <c r="F300" s="10" t="n">
        <v>6</v>
      </c>
      <c r="G300" s="15" t="n">
        <v>120</v>
      </c>
      <c r="H300" s="4" t="s">
        <v>918</v>
      </c>
      <c r="I300" s="8" t="n">
        <v>0</v>
      </c>
      <c r="J300" s="4" t="s">
        <v>919</v>
      </c>
      <c r="K300" s="4" t="s">
        <v>30</v>
      </c>
    </row>
    <row r="301" customFormat="false" ht="15" hidden="false" customHeight="false" outlineLevel="0" collapsed="false">
      <c r="A301" s="4" t="s">
        <v>427</v>
      </c>
      <c r="B301" s="3" t="n">
        <v>8</v>
      </c>
      <c r="C301" s="4" t="s">
        <v>932</v>
      </c>
      <c r="D301" s="4" t="s">
        <v>896</v>
      </c>
      <c r="E301" s="3" t="n">
        <v>7</v>
      </c>
      <c r="F301" s="10" t="n">
        <v>0</v>
      </c>
      <c r="G301" s="15" t="n">
        <v>4</v>
      </c>
      <c r="H301" s="4" t="s">
        <v>918</v>
      </c>
      <c r="I301" s="8" t="n">
        <v>0</v>
      </c>
      <c r="J301" s="4" t="s">
        <v>925</v>
      </c>
      <c r="K301" s="4" t="s">
        <v>30</v>
      </c>
    </row>
    <row r="302" customFormat="false" ht="15" hidden="false" customHeight="false" outlineLevel="0" collapsed="false">
      <c r="A302" s="4" t="s">
        <v>429</v>
      </c>
      <c r="B302" s="3" t="n">
        <v>1</v>
      </c>
      <c r="C302" s="4" t="s">
        <v>917</v>
      </c>
      <c r="D302" s="4" t="s">
        <v>865</v>
      </c>
      <c r="F302" s="10" t="n">
        <v>8</v>
      </c>
      <c r="G302" s="15" t="n">
        <v>21.33005494</v>
      </c>
      <c r="H302" s="4" t="s">
        <v>918</v>
      </c>
      <c r="I302" s="8" t="n">
        <v>0</v>
      </c>
      <c r="J302" s="4" t="s">
        <v>919</v>
      </c>
      <c r="K302" s="4" t="s">
        <v>30</v>
      </c>
    </row>
    <row r="303" customFormat="false" ht="15" hidden="false" customHeight="false" outlineLevel="0" collapsed="false">
      <c r="A303" s="4" t="s">
        <v>429</v>
      </c>
      <c r="B303" s="3" t="n">
        <v>2</v>
      </c>
      <c r="C303" s="4" t="s">
        <v>876</v>
      </c>
      <c r="D303" s="4" t="s">
        <v>903</v>
      </c>
      <c r="E303" s="3" t="n">
        <v>1</v>
      </c>
      <c r="F303" s="10" t="n">
        <v>10</v>
      </c>
      <c r="G303" s="15" t="n">
        <v>10.5</v>
      </c>
      <c r="H303" s="4" t="s">
        <v>918</v>
      </c>
      <c r="I303" s="8" t="n">
        <v>0</v>
      </c>
      <c r="J303" s="4" t="s">
        <v>919</v>
      </c>
      <c r="K303" s="4" t="s">
        <v>30</v>
      </c>
    </row>
    <row r="304" customFormat="false" ht="15" hidden="false" customHeight="false" outlineLevel="0" collapsed="false">
      <c r="A304" s="4" t="s">
        <v>429</v>
      </c>
      <c r="B304" s="3" t="n">
        <v>3</v>
      </c>
      <c r="C304" s="4" t="s">
        <v>880</v>
      </c>
      <c r="D304" s="4" t="s">
        <v>877</v>
      </c>
      <c r="E304" s="3" t="n">
        <v>2</v>
      </c>
      <c r="F304" s="10" t="n">
        <v>12</v>
      </c>
      <c r="G304" s="15" t="n">
        <v>41</v>
      </c>
      <c r="H304" s="4" t="s">
        <v>918</v>
      </c>
      <c r="I304" s="8" t="n">
        <v>0</v>
      </c>
      <c r="J304" s="4" t="s">
        <v>919</v>
      </c>
      <c r="K304" s="4" t="s">
        <v>30</v>
      </c>
    </row>
    <row r="305" customFormat="false" ht="15" hidden="false" customHeight="false" outlineLevel="0" collapsed="false">
      <c r="A305" s="4" t="s">
        <v>429</v>
      </c>
      <c r="B305" s="3" t="n">
        <v>4</v>
      </c>
      <c r="C305" s="4" t="s">
        <v>924</v>
      </c>
      <c r="D305" s="4" t="s">
        <v>892</v>
      </c>
      <c r="E305" s="3" t="n">
        <v>3</v>
      </c>
      <c r="F305" s="10" t="n">
        <v>12</v>
      </c>
      <c r="G305" s="15" t="n">
        <v>6.58</v>
      </c>
      <c r="H305" s="4" t="s">
        <v>918</v>
      </c>
      <c r="I305" s="8" t="n">
        <v>0</v>
      </c>
      <c r="J305" s="4" t="s">
        <v>925</v>
      </c>
      <c r="K305" s="4" t="s">
        <v>30</v>
      </c>
    </row>
    <row r="306" customFormat="false" ht="15" hidden="false" customHeight="false" outlineLevel="0" collapsed="false">
      <c r="A306" s="4" t="s">
        <v>429</v>
      </c>
      <c r="B306" s="3" t="n">
        <v>5</v>
      </c>
      <c r="C306" s="4" t="s">
        <v>926</v>
      </c>
      <c r="D306" s="4" t="s">
        <v>911</v>
      </c>
      <c r="E306" s="3" t="n">
        <v>4</v>
      </c>
      <c r="F306" s="10" t="n">
        <v>45</v>
      </c>
      <c r="G306" s="15" t="n">
        <v>0</v>
      </c>
      <c r="H306" s="4" t="s">
        <v>927</v>
      </c>
      <c r="I306" s="8" t="n">
        <v>40</v>
      </c>
      <c r="J306" s="4" t="s">
        <v>925</v>
      </c>
      <c r="K306" s="4" t="s">
        <v>30</v>
      </c>
    </row>
    <row r="307" customFormat="false" ht="15" hidden="false" customHeight="false" outlineLevel="0" collapsed="false">
      <c r="A307" s="4" t="s">
        <v>429</v>
      </c>
      <c r="B307" s="3" t="n">
        <v>6</v>
      </c>
      <c r="C307" s="4" t="s">
        <v>928</v>
      </c>
      <c r="D307" s="4" t="s">
        <v>913</v>
      </c>
      <c r="E307" s="3" t="n">
        <v>5</v>
      </c>
      <c r="F307" s="10" t="n">
        <v>8</v>
      </c>
      <c r="G307" s="15" t="n">
        <v>2.36</v>
      </c>
      <c r="H307" s="4" t="s">
        <v>918</v>
      </c>
      <c r="I307" s="8" t="n">
        <v>0</v>
      </c>
      <c r="J307" s="4" t="s">
        <v>925</v>
      </c>
      <c r="K307" s="4" t="s">
        <v>30</v>
      </c>
    </row>
    <row r="308" customFormat="false" ht="15" hidden="false" customHeight="false" outlineLevel="0" collapsed="false">
      <c r="A308" s="4" t="s">
        <v>429</v>
      </c>
      <c r="B308" s="3" t="n">
        <v>7</v>
      </c>
      <c r="C308" s="4" t="s">
        <v>929</v>
      </c>
      <c r="D308" s="4" t="s">
        <v>896</v>
      </c>
      <c r="E308" s="3" t="n">
        <v>6</v>
      </c>
      <c r="F308" s="10" t="n">
        <v>6</v>
      </c>
      <c r="G308" s="15" t="n">
        <v>120</v>
      </c>
      <c r="H308" s="4" t="s">
        <v>918</v>
      </c>
      <c r="I308" s="8" t="n">
        <v>0</v>
      </c>
      <c r="J308" s="4" t="s">
        <v>919</v>
      </c>
      <c r="K308" s="4" t="s">
        <v>30</v>
      </c>
    </row>
    <row r="309" customFormat="false" ht="15" hidden="false" customHeight="false" outlineLevel="0" collapsed="false">
      <c r="A309" s="4" t="s">
        <v>429</v>
      </c>
      <c r="B309" s="3" t="n">
        <v>8</v>
      </c>
      <c r="C309" s="4" t="s">
        <v>932</v>
      </c>
      <c r="D309" s="4" t="s">
        <v>896</v>
      </c>
      <c r="E309" s="3" t="n">
        <v>7</v>
      </c>
      <c r="F309" s="10" t="n">
        <v>0</v>
      </c>
      <c r="G309" s="15" t="n">
        <v>4</v>
      </c>
      <c r="H309" s="4" t="s">
        <v>918</v>
      </c>
      <c r="I309" s="8" t="n">
        <v>0</v>
      </c>
      <c r="J309" s="4" t="s">
        <v>925</v>
      </c>
      <c r="K309" s="4" t="s">
        <v>30</v>
      </c>
    </row>
    <row r="310" customFormat="false" ht="15" hidden="false" customHeight="false" outlineLevel="0" collapsed="false">
      <c r="A310" s="4" t="s">
        <v>431</v>
      </c>
      <c r="B310" s="3" t="n">
        <v>1</v>
      </c>
      <c r="C310" s="4" t="s">
        <v>917</v>
      </c>
      <c r="D310" s="4" t="s">
        <v>865</v>
      </c>
      <c r="F310" s="10" t="n">
        <v>8</v>
      </c>
      <c r="G310" s="15" t="n">
        <v>20.478435</v>
      </c>
      <c r="H310" s="4" t="s">
        <v>918</v>
      </c>
      <c r="I310" s="8" t="n">
        <v>0</v>
      </c>
      <c r="J310" s="4" t="s">
        <v>919</v>
      </c>
      <c r="K310" s="4" t="s">
        <v>30</v>
      </c>
    </row>
    <row r="311" customFormat="false" ht="15" hidden="false" customHeight="false" outlineLevel="0" collapsed="false">
      <c r="A311" s="4" t="s">
        <v>431</v>
      </c>
      <c r="B311" s="3" t="n">
        <v>2</v>
      </c>
      <c r="C311" s="4" t="s">
        <v>876</v>
      </c>
      <c r="D311" s="4" t="s">
        <v>903</v>
      </c>
      <c r="E311" s="3" t="n">
        <v>1</v>
      </c>
      <c r="F311" s="10" t="n">
        <v>10</v>
      </c>
      <c r="G311" s="15" t="n">
        <v>10.5</v>
      </c>
      <c r="H311" s="4" t="s">
        <v>918</v>
      </c>
      <c r="I311" s="8" t="n">
        <v>0</v>
      </c>
      <c r="J311" s="4" t="s">
        <v>919</v>
      </c>
      <c r="K311" s="4" t="s">
        <v>30</v>
      </c>
    </row>
    <row r="312" customFormat="false" ht="15" hidden="false" customHeight="false" outlineLevel="0" collapsed="false">
      <c r="A312" s="4" t="s">
        <v>431</v>
      </c>
      <c r="B312" s="3" t="n">
        <v>3</v>
      </c>
      <c r="C312" s="4" t="s">
        <v>880</v>
      </c>
      <c r="D312" s="4" t="s">
        <v>877</v>
      </c>
      <c r="E312" s="3" t="n">
        <v>2</v>
      </c>
      <c r="F312" s="10" t="n">
        <v>12</v>
      </c>
      <c r="G312" s="15" t="n">
        <v>36</v>
      </c>
      <c r="H312" s="4" t="s">
        <v>918</v>
      </c>
      <c r="I312" s="8" t="n">
        <v>0</v>
      </c>
      <c r="J312" s="4" t="s">
        <v>919</v>
      </c>
      <c r="K312" s="4" t="s">
        <v>30</v>
      </c>
    </row>
    <row r="313" customFormat="false" ht="15" hidden="false" customHeight="false" outlineLevel="0" collapsed="false">
      <c r="A313" s="4" t="s">
        <v>431</v>
      </c>
      <c r="B313" s="3" t="n">
        <v>4</v>
      </c>
      <c r="C313" s="4" t="s">
        <v>924</v>
      </c>
      <c r="D313" s="4" t="s">
        <v>892</v>
      </c>
      <c r="E313" s="3" t="n">
        <v>3</v>
      </c>
      <c r="F313" s="10" t="n">
        <v>12</v>
      </c>
      <c r="G313" s="15" t="n">
        <v>6.58</v>
      </c>
      <c r="H313" s="4" t="s">
        <v>918</v>
      </c>
      <c r="I313" s="8" t="n">
        <v>0</v>
      </c>
      <c r="J313" s="4" t="s">
        <v>925</v>
      </c>
      <c r="K313" s="4" t="s">
        <v>30</v>
      </c>
    </row>
    <row r="314" customFormat="false" ht="15" hidden="false" customHeight="false" outlineLevel="0" collapsed="false">
      <c r="A314" s="4" t="s">
        <v>431</v>
      </c>
      <c r="B314" s="3" t="n">
        <v>5</v>
      </c>
      <c r="C314" s="4" t="s">
        <v>926</v>
      </c>
      <c r="D314" s="4" t="s">
        <v>911</v>
      </c>
      <c r="E314" s="3" t="n">
        <v>4</v>
      </c>
      <c r="F314" s="10" t="n">
        <v>45</v>
      </c>
      <c r="G314" s="15" t="n">
        <v>0</v>
      </c>
      <c r="H314" s="4" t="s">
        <v>927</v>
      </c>
      <c r="I314" s="8" t="n">
        <v>40</v>
      </c>
      <c r="J314" s="4" t="s">
        <v>925</v>
      </c>
      <c r="K314" s="4" t="s">
        <v>30</v>
      </c>
    </row>
    <row r="315" customFormat="false" ht="15" hidden="false" customHeight="false" outlineLevel="0" collapsed="false">
      <c r="A315" s="4" t="s">
        <v>431</v>
      </c>
      <c r="B315" s="3" t="n">
        <v>6</v>
      </c>
      <c r="C315" s="4" t="s">
        <v>928</v>
      </c>
      <c r="D315" s="4" t="s">
        <v>913</v>
      </c>
      <c r="E315" s="3" t="n">
        <v>5</v>
      </c>
      <c r="F315" s="10" t="n">
        <v>8</v>
      </c>
      <c r="G315" s="15" t="n">
        <v>2.36</v>
      </c>
      <c r="H315" s="4" t="s">
        <v>918</v>
      </c>
      <c r="I315" s="8" t="n">
        <v>0</v>
      </c>
      <c r="J315" s="4" t="s">
        <v>925</v>
      </c>
      <c r="K315" s="4" t="s">
        <v>30</v>
      </c>
    </row>
    <row r="316" customFormat="false" ht="15" hidden="false" customHeight="false" outlineLevel="0" collapsed="false">
      <c r="A316" s="4" t="s">
        <v>431</v>
      </c>
      <c r="B316" s="3" t="n">
        <v>7</v>
      </c>
      <c r="C316" s="4" t="s">
        <v>929</v>
      </c>
      <c r="D316" s="4" t="s">
        <v>896</v>
      </c>
      <c r="E316" s="3" t="n">
        <v>6</v>
      </c>
      <c r="F316" s="10" t="n">
        <v>6</v>
      </c>
      <c r="G316" s="15" t="n">
        <v>108</v>
      </c>
      <c r="H316" s="4" t="s">
        <v>918</v>
      </c>
      <c r="I316" s="8" t="n">
        <v>0</v>
      </c>
      <c r="J316" s="4" t="s">
        <v>919</v>
      </c>
      <c r="K316" s="4" t="s">
        <v>30</v>
      </c>
    </row>
    <row r="317" customFormat="false" ht="15" hidden="false" customHeight="false" outlineLevel="0" collapsed="false">
      <c r="A317" s="4" t="s">
        <v>431</v>
      </c>
      <c r="B317" s="3" t="n">
        <v>8</v>
      </c>
      <c r="C317" s="4" t="s">
        <v>932</v>
      </c>
      <c r="D317" s="4" t="s">
        <v>896</v>
      </c>
      <c r="E317" s="3" t="n">
        <v>7</v>
      </c>
      <c r="F317" s="10" t="n">
        <v>0</v>
      </c>
      <c r="G317" s="15" t="n">
        <v>4</v>
      </c>
      <c r="H317" s="4" t="s">
        <v>918</v>
      </c>
      <c r="I317" s="8" t="n">
        <v>0</v>
      </c>
      <c r="J317" s="4" t="s">
        <v>925</v>
      </c>
      <c r="K317" s="4" t="s">
        <v>30</v>
      </c>
    </row>
    <row r="318" customFormat="false" ht="15" hidden="false" customHeight="false" outlineLevel="0" collapsed="false">
      <c r="A318" s="4" t="s">
        <v>434</v>
      </c>
      <c r="B318" s="3" t="n">
        <v>1</v>
      </c>
      <c r="C318" s="4" t="s">
        <v>929</v>
      </c>
      <c r="D318" s="4" t="s">
        <v>896</v>
      </c>
      <c r="F318" s="10" t="n">
        <v>6</v>
      </c>
      <c r="G318" s="15" t="n">
        <v>48.75</v>
      </c>
      <c r="H318" s="4" t="s">
        <v>918</v>
      </c>
      <c r="I318" s="8" t="n">
        <v>0</v>
      </c>
      <c r="J318" s="4" t="s">
        <v>919</v>
      </c>
      <c r="K318" s="4" t="s">
        <v>30</v>
      </c>
    </row>
    <row r="319" customFormat="false" ht="15" hidden="false" customHeight="false" outlineLevel="0" collapsed="false">
      <c r="A319" s="4" t="s">
        <v>434</v>
      </c>
      <c r="B319" s="3" t="n">
        <v>2</v>
      </c>
      <c r="C319" s="4" t="s">
        <v>932</v>
      </c>
      <c r="D319" s="4" t="s">
        <v>896</v>
      </c>
      <c r="E319" s="3" t="n">
        <v>1</v>
      </c>
      <c r="F319" s="10" t="n">
        <v>0</v>
      </c>
      <c r="G319" s="15" t="n">
        <v>4</v>
      </c>
      <c r="H319" s="4" t="s">
        <v>918</v>
      </c>
      <c r="I319" s="8" t="n">
        <v>0</v>
      </c>
      <c r="J319" s="4" t="s">
        <v>925</v>
      </c>
      <c r="K319" s="4" t="s">
        <v>30</v>
      </c>
    </row>
    <row r="320" customFormat="false" ht="15" hidden="false" customHeight="false" outlineLevel="0" collapsed="false">
      <c r="A320" s="4" t="s">
        <v>436</v>
      </c>
      <c r="B320" s="3" t="n">
        <v>1</v>
      </c>
      <c r="C320" s="4" t="s">
        <v>929</v>
      </c>
      <c r="D320" s="4" t="s">
        <v>896</v>
      </c>
      <c r="F320" s="10" t="n">
        <v>6</v>
      </c>
      <c r="G320" s="15" t="n">
        <v>48.75</v>
      </c>
      <c r="H320" s="4" t="s">
        <v>918</v>
      </c>
      <c r="I320" s="8" t="n">
        <v>0</v>
      </c>
      <c r="J320" s="4" t="s">
        <v>919</v>
      </c>
      <c r="K320" s="4" t="s">
        <v>30</v>
      </c>
    </row>
    <row r="321" customFormat="false" ht="15" hidden="false" customHeight="false" outlineLevel="0" collapsed="false">
      <c r="A321" s="4" t="s">
        <v>436</v>
      </c>
      <c r="B321" s="3" t="n">
        <v>2</v>
      </c>
      <c r="C321" s="4" t="s">
        <v>932</v>
      </c>
      <c r="D321" s="4" t="s">
        <v>896</v>
      </c>
      <c r="E321" s="3" t="n">
        <v>1</v>
      </c>
      <c r="F321" s="10" t="n">
        <v>0</v>
      </c>
      <c r="G321" s="15" t="n">
        <v>4</v>
      </c>
      <c r="H321" s="4" t="s">
        <v>918</v>
      </c>
      <c r="I321" s="8" t="n">
        <v>0</v>
      </c>
      <c r="J321" s="4" t="s">
        <v>925</v>
      </c>
      <c r="K321" s="4" t="s">
        <v>30</v>
      </c>
    </row>
    <row r="322" customFormat="false" ht="15" hidden="false" customHeight="false" outlineLevel="0" collapsed="false">
      <c r="A322" s="4" t="s">
        <v>438</v>
      </c>
      <c r="B322" s="3" t="n">
        <v>1</v>
      </c>
      <c r="C322" s="4" t="s">
        <v>920</v>
      </c>
      <c r="D322" s="4" t="s">
        <v>870</v>
      </c>
      <c r="F322" s="10" t="n">
        <v>8</v>
      </c>
      <c r="G322" s="15" t="n">
        <v>20.29984</v>
      </c>
      <c r="H322" s="4" t="s">
        <v>918</v>
      </c>
      <c r="I322" s="8" t="n">
        <v>0</v>
      </c>
      <c r="J322" s="4" t="s">
        <v>919</v>
      </c>
      <c r="K322" s="4" t="s">
        <v>30</v>
      </c>
    </row>
    <row r="323" customFormat="false" ht="15" hidden="false" customHeight="false" outlineLevel="0" collapsed="false">
      <c r="A323" s="4" t="s">
        <v>438</v>
      </c>
      <c r="B323" s="3" t="n">
        <v>2</v>
      </c>
      <c r="C323" s="4" t="s">
        <v>876</v>
      </c>
      <c r="D323" s="4" t="s">
        <v>903</v>
      </c>
      <c r="E323" s="3" t="n">
        <v>1</v>
      </c>
      <c r="F323" s="10" t="n">
        <v>10</v>
      </c>
      <c r="G323" s="15" t="n">
        <v>13.6</v>
      </c>
      <c r="H323" s="4" t="s">
        <v>918</v>
      </c>
      <c r="I323" s="8" t="n">
        <v>0</v>
      </c>
      <c r="J323" s="4" t="s">
        <v>919</v>
      </c>
      <c r="K323" s="4" t="s">
        <v>30</v>
      </c>
    </row>
    <row r="324" customFormat="false" ht="15" hidden="false" customHeight="false" outlineLevel="0" collapsed="false">
      <c r="A324" s="4" t="s">
        <v>438</v>
      </c>
      <c r="B324" s="3" t="n">
        <v>3</v>
      </c>
      <c r="C324" s="4" t="s">
        <v>921</v>
      </c>
      <c r="D324" s="4" t="s">
        <v>905</v>
      </c>
      <c r="E324" s="3" t="n">
        <v>2</v>
      </c>
      <c r="F324" s="10" t="n">
        <v>10</v>
      </c>
      <c r="G324" s="15" t="n">
        <v>33.6</v>
      </c>
      <c r="H324" s="4" t="s">
        <v>918</v>
      </c>
      <c r="I324" s="8" t="n">
        <v>0</v>
      </c>
      <c r="J324" s="4" t="s">
        <v>919</v>
      </c>
      <c r="K324" s="4" t="s">
        <v>30</v>
      </c>
    </row>
    <row r="325" customFormat="false" ht="15" hidden="false" customHeight="false" outlineLevel="0" collapsed="false">
      <c r="A325" s="4" t="s">
        <v>438</v>
      </c>
      <c r="B325" s="3" t="n">
        <v>4</v>
      </c>
      <c r="C325" s="4" t="s">
        <v>924</v>
      </c>
      <c r="D325" s="4" t="s">
        <v>892</v>
      </c>
      <c r="E325" s="3" t="n">
        <v>3</v>
      </c>
      <c r="F325" s="10" t="n">
        <v>12</v>
      </c>
      <c r="G325" s="15" t="n">
        <v>6.45</v>
      </c>
      <c r="H325" s="4" t="s">
        <v>918</v>
      </c>
      <c r="I325" s="8" t="n">
        <v>0</v>
      </c>
      <c r="J325" s="4" t="s">
        <v>925</v>
      </c>
      <c r="K325" s="4" t="s">
        <v>30</v>
      </c>
    </row>
    <row r="326" customFormat="false" ht="15" hidden="false" customHeight="false" outlineLevel="0" collapsed="false">
      <c r="A326" s="4" t="s">
        <v>438</v>
      </c>
      <c r="B326" s="3" t="n">
        <v>5</v>
      </c>
      <c r="C326" s="4" t="s">
        <v>926</v>
      </c>
      <c r="D326" s="4" t="s">
        <v>911</v>
      </c>
      <c r="E326" s="3" t="n">
        <v>4</v>
      </c>
      <c r="F326" s="10" t="n">
        <v>45</v>
      </c>
      <c r="G326" s="15" t="n">
        <v>0</v>
      </c>
      <c r="H326" s="4" t="s">
        <v>927</v>
      </c>
      <c r="I326" s="8" t="n">
        <v>40</v>
      </c>
      <c r="J326" s="4" t="s">
        <v>925</v>
      </c>
      <c r="K326" s="4" t="s">
        <v>30</v>
      </c>
    </row>
    <row r="327" customFormat="false" ht="15" hidden="false" customHeight="false" outlineLevel="0" collapsed="false">
      <c r="A327" s="4" t="s">
        <v>438</v>
      </c>
      <c r="B327" s="3" t="n">
        <v>6</v>
      </c>
      <c r="C327" s="4" t="s">
        <v>928</v>
      </c>
      <c r="D327" s="4" t="s">
        <v>913</v>
      </c>
      <c r="E327" s="3" t="n">
        <v>5</v>
      </c>
      <c r="F327" s="10" t="n">
        <v>8</v>
      </c>
      <c r="G327" s="15" t="n">
        <v>2.33</v>
      </c>
      <c r="H327" s="4" t="s">
        <v>918</v>
      </c>
      <c r="I327" s="8" t="n">
        <v>0</v>
      </c>
      <c r="J327" s="4" t="s">
        <v>925</v>
      </c>
      <c r="K327" s="4" t="s">
        <v>30</v>
      </c>
    </row>
    <row r="328" customFormat="false" ht="15" hidden="false" customHeight="false" outlineLevel="0" collapsed="false">
      <c r="A328" s="4" t="s">
        <v>438</v>
      </c>
      <c r="B328" s="3" t="n">
        <v>7</v>
      </c>
      <c r="C328" s="4" t="s">
        <v>929</v>
      </c>
      <c r="D328" s="4" t="s">
        <v>896</v>
      </c>
      <c r="E328" s="3" t="n">
        <v>6</v>
      </c>
      <c r="F328" s="10" t="n">
        <v>6</v>
      </c>
      <c r="G328" s="15" t="n">
        <v>108.75</v>
      </c>
      <c r="H328" s="4" t="s">
        <v>918</v>
      </c>
      <c r="I328" s="8" t="n">
        <v>0</v>
      </c>
      <c r="J328" s="4" t="s">
        <v>919</v>
      </c>
      <c r="K328" s="4" t="s">
        <v>30</v>
      </c>
    </row>
    <row r="329" customFormat="false" ht="15" hidden="false" customHeight="false" outlineLevel="0" collapsed="false">
      <c r="A329" s="4" t="s">
        <v>438</v>
      </c>
      <c r="B329" s="3" t="n">
        <v>8</v>
      </c>
      <c r="C329" s="4" t="s">
        <v>932</v>
      </c>
      <c r="D329" s="4" t="s">
        <v>896</v>
      </c>
      <c r="E329" s="3" t="n">
        <v>7</v>
      </c>
      <c r="F329" s="10" t="n">
        <v>0</v>
      </c>
      <c r="G329" s="15" t="n">
        <v>4</v>
      </c>
      <c r="H329" s="4" t="s">
        <v>918</v>
      </c>
      <c r="I329" s="8" t="n">
        <v>0</v>
      </c>
      <c r="J329" s="4" t="s">
        <v>925</v>
      </c>
      <c r="K329" s="4" t="s">
        <v>30</v>
      </c>
    </row>
    <row r="330" customFormat="false" ht="15" hidden="false" customHeight="false" outlineLevel="0" collapsed="false">
      <c r="A330" s="4" t="s">
        <v>441</v>
      </c>
      <c r="B330" s="3" t="n">
        <v>1</v>
      </c>
      <c r="C330" s="4" t="s">
        <v>920</v>
      </c>
      <c r="D330" s="4" t="s">
        <v>870</v>
      </c>
      <c r="F330" s="10" t="n">
        <v>8</v>
      </c>
      <c r="G330" s="15" t="n">
        <v>21.5584</v>
      </c>
      <c r="H330" s="4" t="s">
        <v>918</v>
      </c>
      <c r="I330" s="8" t="n">
        <v>0</v>
      </c>
      <c r="J330" s="4" t="s">
        <v>919</v>
      </c>
      <c r="K330" s="4" t="s">
        <v>30</v>
      </c>
    </row>
    <row r="331" customFormat="false" ht="15" hidden="false" customHeight="false" outlineLevel="0" collapsed="false">
      <c r="A331" s="4" t="s">
        <v>441</v>
      </c>
      <c r="B331" s="3" t="n">
        <v>2</v>
      </c>
      <c r="C331" s="4" t="s">
        <v>876</v>
      </c>
      <c r="D331" s="4" t="s">
        <v>903</v>
      </c>
      <c r="E331" s="3" t="n">
        <v>1</v>
      </c>
      <c r="F331" s="10" t="n">
        <v>10</v>
      </c>
      <c r="G331" s="15" t="n">
        <v>13.6</v>
      </c>
      <c r="H331" s="4" t="s">
        <v>918</v>
      </c>
      <c r="I331" s="8" t="n">
        <v>0</v>
      </c>
      <c r="J331" s="4" t="s">
        <v>919</v>
      </c>
      <c r="K331" s="4" t="s">
        <v>30</v>
      </c>
    </row>
    <row r="332" customFormat="false" ht="15" hidden="false" customHeight="false" outlineLevel="0" collapsed="false">
      <c r="A332" s="4" t="s">
        <v>441</v>
      </c>
      <c r="B332" s="3" t="n">
        <v>3</v>
      </c>
      <c r="C332" s="4" t="s">
        <v>921</v>
      </c>
      <c r="D332" s="4" t="s">
        <v>905</v>
      </c>
      <c r="E332" s="3" t="n">
        <v>2</v>
      </c>
      <c r="F332" s="10" t="n">
        <v>10</v>
      </c>
      <c r="G332" s="15" t="n">
        <v>33.6</v>
      </c>
      <c r="H332" s="4" t="s">
        <v>918</v>
      </c>
      <c r="I332" s="8" t="n">
        <v>0</v>
      </c>
      <c r="J332" s="4" t="s">
        <v>919</v>
      </c>
      <c r="K332" s="4" t="s">
        <v>30</v>
      </c>
    </row>
    <row r="333" customFormat="false" ht="15" hidden="false" customHeight="false" outlineLevel="0" collapsed="false">
      <c r="A333" s="4" t="s">
        <v>441</v>
      </c>
      <c r="B333" s="3" t="n">
        <v>4</v>
      </c>
      <c r="C333" s="4" t="s">
        <v>924</v>
      </c>
      <c r="D333" s="4" t="s">
        <v>892</v>
      </c>
      <c r="E333" s="3" t="n">
        <v>3</v>
      </c>
      <c r="F333" s="10" t="n">
        <v>12</v>
      </c>
      <c r="G333" s="15" t="n">
        <v>6.45</v>
      </c>
      <c r="H333" s="4" t="s">
        <v>918</v>
      </c>
      <c r="I333" s="8" t="n">
        <v>0</v>
      </c>
      <c r="J333" s="4" t="s">
        <v>925</v>
      </c>
      <c r="K333" s="4" t="s">
        <v>30</v>
      </c>
    </row>
    <row r="334" customFormat="false" ht="15" hidden="false" customHeight="false" outlineLevel="0" collapsed="false">
      <c r="A334" s="4" t="s">
        <v>441</v>
      </c>
      <c r="B334" s="3" t="n">
        <v>5</v>
      </c>
      <c r="C334" s="4" t="s">
        <v>926</v>
      </c>
      <c r="D334" s="4" t="s">
        <v>911</v>
      </c>
      <c r="E334" s="3" t="n">
        <v>4</v>
      </c>
      <c r="F334" s="10" t="n">
        <v>45</v>
      </c>
      <c r="G334" s="15" t="n">
        <v>0</v>
      </c>
      <c r="H334" s="4" t="s">
        <v>927</v>
      </c>
      <c r="I334" s="8" t="n">
        <v>40</v>
      </c>
      <c r="J334" s="4" t="s">
        <v>925</v>
      </c>
      <c r="K334" s="4" t="s">
        <v>30</v>
      </c>
    </row>
    <row r="335" customFormat="false" ht="15" hidden="false" customHeight="false" outlineLevel="0" collapsed="false">
      <c r="A335" s="4" t="s">
        <v>441</v>
      </c>
      <c r="B335" s="3" t="n">
        <v>6</v>
      </c>
      <c r="C335" s="4" t="s">
        <v>928</v>
      </c>
      <c r="D335" s="4" t="s">
        <v>913</v>
      </c>
      <c r="E335" s="3" t="n">
        <v>5</v>
      </c>
      <c r="F335" s="10" t="n">
        <v>8</v>
      </c>
      <c r="G335" s="15" t="n">
        <v>2.33</v>
      </c>
      <c r="H335" s="4" t="s">
        <v>918</v>
      </c>
      <c r="I335" s="8" t="n">
        <v>0</v>
      </c>
      <c r="J335" s="4" t="s">
        <v>925</v>
      </c>
      <c r="K335" s="4" t="s">
        <v>30</v>
      </c>
    </row>
    <row r="336" customFormat="false" ht="15" hidden="false" customHeight="false" outlineLevel="0" collapsed="false">
      <c r="A336" s="4" t="s">
        <v>441</v>
      </c>
      <c r="B336" s="3" t="n">
        <v>7</v>
      </c>
      <c r="C336" s="4" t="s">
        <v>929</v>
      </c>
      <c r="D336" s="4" t="s">
        <v>896</v>
      </c>
      <c r="E336" s="3" t="n">
        <v>6</v>
      </c>
      <c r="F336" s="10" t="n">
        <v>6</v>
      </c>
      <c r="G336" s="15" t="n">
        <v>108.75</v>
      </c>
      <c r="H336" s="4" t="s">
        <v>918</v>
      </c>
      <c r="I336" s="8" t="n">
        <v>0</v>
      </c>
      <c r="J336" s="4" t="s">
        <v>919</v>
      </c>
      <c r="K336" s="4" t="s">
        <v>30</v>
      </c>
    </row>
    <row r="337" customFormat="false" ht="15" hidden="false" customHeight="false" outlineLevel="0" collapsed="false">
      <c r="A337" s="4" t="s">
        <v>441</v>
      </c>
      <c r="B337" s="3" t="n">
        <v>8</v>
      </c>
      <c r="C337" s="4" t="s">
        <v>932</v>
      </c>
      <c r="D337" s="4" t="s">
        <v>896</v>
      </c>
      <c r="E337" s="3" t="n">
        <v>7</v>
      </c>
      <c r="F337" s="10" t="n">
        <v>0</v>
      </c>
      <c r="G337" s="15" t="n">
        <v>4</v>
      </c>
      <c r="H337" s="4" t="s">
        <v>918</v>
      </c>
      <c r="I337" s="8" t="n">
        <v>0</v>
      </c>
      <c r="J337" s="4" t="s">
        <v>925</v>
      </c>
      <c r="K337" s="4" t="s">
        <v>30</v>
      </c>
    </row>
    <row r="338" customFormat="false" ht="15" hidden="false" customHeight="false" outlineLevel="0" collapsed="false">
      <c r="A338" s="4" t="s">
        <v>443</v>
      </c>
      <c r="B338" s="3" t="n">
        <v>1</v>
      </c>
      <c r="C338" s="4" t="s">
        <v>929</v>
      </c>
      <c r="D338" s="4" t="s">
        <v>896</v>
      </c>
      <c r="F338" s="10" t="n">
        <v>6</v>
      </c>
      <c r="G338" s="15" t="n">
        <v>48.75</v>
      </c>
      <c r="H338" s="4" t="s">
        <v>918</v>
      </c>
      <c r="I338" s="8" t="n">
        <v>0</v>
      </c>
      <c r="J338" s="4" t="s">
        <v>919</v>
      </c>
      <c r="K338" s="4" t="s">
        <v>30</v>
      </c>
    </row>
    <row r="339" customFormat="false" ht="15" hidden="false" customHeight="false" outlineLevel="0" collapsed="false">
      <c r="A339" s="4" t="s">
        <v>443</v>
      </c>
      <c r="B339" s="3" t="n">
        <v>2</v>
      </c>
      <c r="C339" s="4" t="s">
        <v>932</v>
      </c>
      <c r="D339" s="4" t="s">
        <v>896</v>
      </c>
      <c r="E339" s="3" t="n">
        <v>1</v>
      </c>
      <c r="F339" s="10" t="n">
        <v>0</v>
      </c>
      <c r="G339" s="15" t="n">
        <v>4</v>
      </c>
      <c r="H339" s="4" t="s">
        <v>918</v>
      </c>
      <c r="I339" s="8" t="n">
        <v>0</v>
      </c>
      <c r="J339" s="4" t="s">
        <v>925</v>
      </c>
      <c r="K339" s="4" t="s">
        <v>30</v>
      </c>
    </row>
    <row r="340" customFormat="false" ht="15" hidden="false" customHeight="false" outlineLevel="0" collapsed="false">
      <c r="A340" s="4" t="s">
        <v>445</v>
      </c>
      <c r="B340" s="3" t="n">
        <v>1</v>
      </c>
      <c r="C340" s="4" t="s">
        <v>920</v>
      </c>
      <c r="D340" s="4" t="s">
        <v>870</v>
      </c>
      <c r="F340" s="10" t="n">
        <v>8</v>
      </c>
      <c r="G340" s="15" t="n">
        <v>22.3</v>
      </c>
      <c r="H340" s="4" t="s">
        <v>918</v>
      </c>
      <c r="I340" s="8" t="n">
        <v>0</v>
      </c>
      <c r="J340" s="4" t="s">
        <v>919</v>
      </c>
      <c r="K340" s="4" t="s">
        <v>30</v>
      </c>
    </row>
    <row r="341" customFormat="false" ht="15" hidden="false" customHeight="false" outlineLevel="0" collapsed="false">
      <c r="A341" s="4" t="s">
        <v>445</v>
      </c>
      <c r="B341" s="3" t="n">
        <v>2</v>
      </c>
      <c r="C341" s="4" t="s">
        <v>876</v>
      </c>
      <c r="D341" s="4" t="s">
        <v>903</v>
      </c>
      <c r="E341" s="3" t="n">
        <v>1</v>
      </c>
      <c r="F341" s="10" t="n">
        <v>10</v>
      </c>
      <c r="G341" s="15" t="n">
        <v>13.6</v>
      </c>
      <c r="H341" s="4" t="s">
        <v>918</v>
      </c>
      <c r="I341" s="8" t="n">
        <v>0</v>
      </c>
      <c r="J341" s="4" t="s">
        <v>919</v>
      </c>
      <c r="K341" s="4" t="s">
        <v>30</v>
      </c>
    </row>
    <row r="342" customFormat="false" ht="15" hidden="false" customHeight="false" outlineLevel="0" collapsed="false">
      <c r="A342" s="4" t="s">
        <v>445</v>
      </c>
      <c r="B342" s="3" t="n">
        <v>3</v>
      </c>
      <c r="C342" s="4" t="s">
        <v>921</v>
      </c>
      <c r="D342" s="4" t="s">
        <v>905</v>
      </c>
      <c r="E342" s="3" t="n">
        <v>2</v>
      </c>
      <c r="F342" s="10" t="n">
        <v>10</v>
      </c>
      <c r="G342" s="15" t="n">
        <v>33.6</v>
      </c>
      <c r="H342" s="4" t="s">
        <v>918</v>
      </c>
      <c r="I342" s="8" t="n">
        <v>0</v>
      </c>
      <c r="J342" s="4" t="s">
        <v>919</v>
      </c>
      <c r="K342" s="4" t="s">
        <v>30</v>
      </c>
    </row>
    <row r="343" customFormat="false" ht="15" hidden="false" customHeight="false" outlineLevel="0" collapsed="false">
      <c r="A343" s="4" t="s">
        <v>445</v>
      </c>
      <c r="B343" s="3" t="n">
        <v>4</v>
      </c>
      <c r="C343" s="4" t="s">
        <v>924</v>
      </c>
      <c r="D343" s="4" t="s">
        <v>892</v>
      </c>
      <c r="E343" s="3" t="n">
        <v>3</v>
      </c>
      <c r="F343" s="10" t="n">
        <v>12</v>
      </c>
      <c r="G343" s="15" t="n">
        <v>9.33</v>
      </c>
      <c r="H343" s="4" t="s">
        <v>918</v>
      </c>
      <c r="I343" s="8" t="n">
        <v>0</v>
      </c>
      <c r="J343" s="4" t="s">
        <v>925</v>
      </c>
      <c r="K343" s="4" t="s">
        <v>30</v>
      </c>
    </row>
    <row r="344" customFormat="false" ht="15" hidden="false" customHeight="false" outlineLevel="0" collapsed="false">
      <c r="A344" s="4" t="s">
        <v>445</v>
      </c>
      <c r="B344" s="3" t="n">
        <v>5</v>
      </c>
      <c r="C344" s="4" t="s">
        <v>926</v>
      </c>
      <c r="D344" s="4" t="s">
        <v>911</v>
      </c>
      <c r="E344" s="3" t="n">
        <v>4</v>
      </c>
      <c r="F344" s="10" t="n">
        <v>45</v>
      </c>
      <c r="G344" s="15" t="n">
        <v>0</v>
      </c>
      <c r="H344" s="4" t="s">
        <v>927</v>
      </c>
      <c r="I344" s="8" t="n">
        <v>40</v>
      </c>
      <c r="J344" s="4" t="s">
        <v>925</v>
      </c>
      <c r="K344" s="4" t="s">
        <v>30</v>
      </c>
    </row>
    <row r="345" customFormat="false" ht="15" hidden="false" customHeight="false" outlineLevel="0" collapsed="false">
      <c r="A345" s="4" t="s">
        <v>445</v>
      </c>
      <c r="B345" s="3" t="n">
        <v>6</v>
      </c>
      <c r="C345" s="4" t="s">
        <v>928</v>
      </c>
      <c r="D345" s="4" t="s">
        <v>913</v>
      </c>
      <c r="E345" s="3" t="n">
        <v>5</v>
      </c>
      <c r="F345" s="10" t="n">
        <v>8</v>
      </c>
      <c r="G345" s="15" t="n">
        <v>2.99</v>
      </c>
      <c r="H345" s="4" t="s">
        <v>918</v>
      </c>
      <c r="I345" s="8" t="n">
        <v>0</v>
      </c>
      <c r="J345" s="4" t="s">
        <v>925</v>
      </c>
      <c r="K345" s="4" t="s">
        <v>30</v>
      </c>
    </row>
    <row r="346" customFormat="false" ht="15" hidden="false" customHeight="false" outlineLevel="0" collapsed="false">
      <c r="A346" s="4" t="s">
        <v>445</v>
      </c>
      <c r="B346" s="3" t="n">
        <v>7</v>
      </c>
      <c r="C346" s="4" t="s">
        <v>929</v>
      </c>
      <c r="D346" s="4" t="s">
        <v>896</v>
      </c>
      <c r="E346" s="3" t="n">
        <v>6</v>
      </c>
      <c r="F346" s="10" t="n">
        <v>6</v>
      </c>
      <c r="G346" s="15" t="n">
        <v>111</v>
      </c>
      <c r="H346" s="4" t="s">
        <v>918</v>
      </c>
      <c r="I346" s="8" t="n">
        <v>0</v>
      </c>
      <c r="J346" s="4" t="s">
        <v>919</v>
      </c>
      <c r="K346" s="4" t="s">
        <v>30</v>
      </c>
    </row>
    <row r="347" customFormat="false" ht="15" hidden="false" customHeight="false" outlineLevel="0" collapsed="false">
      <c r="A347" s="4" t="s">
        <v>445</v>
      </c>
      <c r="B347" s="3" t="n">
        <v>8</v>
      </c>
      <c r="C347" s="4" t="s">
        <v>932</v>
      </c>
      <c r="D347" s="4" t="s">
        <v>896</v>
      </c>
      <c r="E347" s="3" t="n">
        <v>7</v>
      </c>
      <c r="F347" s="10" t="n">
        <v>0</v>
      </c>
      <c r="G347" s="15" t="n">
        <v>4</v>
      </c>
      <c r="H347" s="4" t="s">
        <v>918</v>
      </c>
      <c r="I347" s="8" t="n">
        <v>0</v>
      </c>
      <c r="J347" s="4" t="s">
        <v>925</v>
      </c>
      <c r="K347" s="4" t="s">
        <v>30</v>
      </c>
    </row>
    <row r="348" customFormat="false" ht="15" hidden="false" customHeight="false" outlineLevel="0" collapsed="false">
      <c r="A348" s="4" t="s">
        <v>448</v>
      </c>
      <c r="B348" s="3" t="n">
        <v>1</v>
      </c>
      <c r="C348" s="4" t="s">
        <v>920</v>
      </c>
      <c r="D348" s="4" t="s">
        <v>870</v>
      </c>
      <c r="F348" s="10" t="n">
        <v>8</v>
      </c>
      <c r="G348" s="15" t="n">
        <v>19.23568</v>
      </c>
      <c r="H348" s="4" t="s">
        <v>918</v>
      </c>
      <c r="I348" s="8" t="n">
        <v>0</v>
      </c>
      <c r="J348" s="4" t="s">
        <v>919</v>
      </c>
      <c r="K348" s="4" t="s">
        <v>30</v>
      </c>
    </row>
    <row r="349" customFormat="false" ht="15" hidden="false" customHeight="false" outlineLevel="0" collapsed="false">
      <c r="A349" s="4" t="s">
        <v>448</v>
      </c>
      <c r="B349" s="3" t="n">
        <v>2</v>
      </c>
      <c r="C349" s="4" t="s">
        <v>876</v>
      </c>
      <c r="D349" s="4" t="s">
        <v>903</v>
      </c>
      <c r="E349" s="3" t="n">
        <v>1</v>
      </c>
      <c r="F349" s="10" t="n">
        <v>10</v>
      </c>
      <c r="G349" s="15" t="n">
        <v>13.6</v>
      </c>
      <c r="H349" s="4" t="s">
        <v>918</v>
      </c>
      <c r="I349" s="8" t="n">
        <v>0</v>
      </c>
      <c r="J349" s="4" t="s">
        <v>919</v>
      </c>
      <c r="K349" s="4" t="s">
        <v>30</v>
      </c>
    </row>
    <row r="350" customFormat="false" ht="15" hidden="false" customHeight="false" outlineLevel="0" collapsed="false">
      <c r="A350" s="4" t="s">
        <v>448</v>
      </c>
      <c r="B350" s="3" t="n">
        <v>3</v>
      </c>
      <c r="C350" s="4" t="s">
        <v>921</v>
      </c>
      <c r="D350" s="4" t="s">
        <v>905</v>
      </c>
      <c r="E350" s="3" t="n">
        <v>2</v>
      </c>
      <c r="F350" s="10" t="n">
        <v>10</v>
      </c>
      <c r="G350" s="15" t="n">
        <v>33.6</v>
      </c>
      <c r="H350" s="4" t="s">
        <v>918</v>
      </c>
      <c r="I350" s="8" t="n">
        <v>0</v>
      </c>
      <c r="J350" s="4" t="s">
        <v>919</v>
      </c>
      <c r="K350" s="4" t="s">
        <v>30</v>
      </c>
    </row>
    <row r="351" customFormat="false" ht="15" hidden="false" customHeight="false" outlineLevel="0" collapsed="false">
      <c r="A351" s="4" t="s">
        <v>448</v>
      </c>
      <c r="B351" s="3" t="n">
        <v>4</v>
      </c>
      <c r="C351" s="4" t="s">
        <v>924</v>
      </c>
      <c r="D351" s="4" t="s">
        <v>892</v>
      </c>
      <c r="E351" s="3" t="n">
        <v>3</v>
      </c>
      <c r="F351" s="10" t="n">
        <v>12</v>
      </c>
      <c r="G351" s="15" t="n">
        <v>6.45</v>
      </c>
      <c r="H351" s="4" t="s">
        <v>918</v>
      </c>
      <c r="I351" s="8" t="n">
        <v>0</v>
      </c>
      <c r="J351" s="4" t="s">
        <v>925</v>
      </c>
      <c r="K351" s="4" t="s">
        <v>30</v>
      </c>
    </row>
    <row r="352" customFormat="false" ht="15" hidden="false" customHeight="false" outlineLevel="0" collapsed="false">
      <c r="A352" s="4" t="s">
        <v>448</v>
      </c>
      <c r="B352" s="3" t="n">
        <v>5</v>
      </c>
      <c r="C352" s="4" t="s">
        <v>926</v>
      </c>
      <c r="D352" s="4" t="s">
        <v>911</v>
      </c>
      <c r="E352" s="3" t="n">
        <v>4</v>
      </c>
      <c r="F352" s="10" t="n">
        <v>45</v>
      </c>
      <c r="G352" s="15" t="n">
        <v>0</v>
      </c>
      <c r="H352" s="4" t="s">
        <v>927</v>
      </c>
      <c r="I352" s="8" t="n">
        <v>40</v>
      </c>
      <c r="J352" s="4" t="s">
        <v>925</v>
      </c>
      <c r="K352" s="4" t="s">
        <v>30</v>
      </c>
    </row>
    <row r="353" customFormat="false" ht="15" hidden="false" customHeight="false" outlineLevel="0" collapsed="false">
      <c r="A353" s="4" t="s">
        <v>448</v>
      </c>
      <c r="B353" s="3" t="n">
        <v>6</v>
      </c>
      <c r="C353" s="4" t="s">
        <v>928</v>
      </c>
      <c r="D353" s="4" t="s">
        <v>913</v>
      </c>
      <c r="E353" s="3" t="n">
        <v>5</v>
      </c>
      <c r="F353" s="10" t="n">
        <v>8</v>
      </c>
      <c r="G353" s="15" t="n">
        <v>2.33</v>
      </c>
      <c r="H353" s="4" t="s">
        <v>918</v>
      </c>
      <c r="I353" s="8" t="n">
        <v>0</v>
      </c>
      <c r="J353" s="4" t="s">
        <v>925</v>
      </c>
      <c r="K353" s="4" t="s">
        <v>30</v>
      </c>
    </row>
    <row r="354" customFormat="false" ht="15" hidden="false" customHeight="false" outlineLevel="0" collapsed="false">
      <c r="A354" s="4" t="s">
        <v>448</v>
      </c>
      <c r="B354" s="3" t="n">
        <v>7</v>
      </c>
      <c r="C354" s="4" t="s">
        <v>929</v>
      </c>
      <c r="D354" s="4" t="s">
        <v>896</v>
      </c>
      <c r="E354" s="3" t="n">
        <v>6</v>
      </c>
      <c r="F354" s="10" t="n">
        <v>6</v>
      </c>
      <c r="G354" s="15" t="n">
        <v>108.75</v>
      </c>
      <c r="H354" s="4" t="s">
        <v>918</v>
      </c>
      <c r="I354" s="8" t="n">
        <v>0</v>
      </c>
      <c r="J354" s="4" t="s">
        <v>919</v>
      </c>
      <c r="K354" s="4" t="s">
        <v>30</v>
      </c>
    </row>
    <row r="355" customFormat="false" ht="15" hidden="false" customHeight="false" outlineLevel="0" collapsed="false">
      <c r="A355" s="4" t="s">
        <v>448</v>
      </c>
      <c r="B355" s="3" t="n">
        <v>8</v>
      </c>
      <c r="C355" s="4" t="s">
        <v>932</v>
      </c>
      <c r="D355" s="4" t="s">
        <v>896</v>
      </c>
      <c r="E355" s="3" t="n">
        <v>7</v>
      </c>
      <c r="F355" s="10" t="n">
        <v>0</v>
      </c>
      <c r="G355" s="15" t="n">
        <v>4</v>
      </c>
      <c r="H355" s="4" t="s">
        <v>918</v>
      </c>
      <c r="I355" s="8" t="n">
        <v>0</v>
      </c>
      <c r="J355" s="4" t="s">
        <v>925</v>
      </c>
      <c r="K355" s="4" t="s">
        <v>30</v>
      </c>
    </row>
    <row r="356" customFormat="false" ht="15" hidden="false" customHeight="false" outlineLevel="0" collapsed="false">
      <c r="A356" s="4" t="s">
        <v>451</v>
      </c>
      <c r="B356" s="3" t="n">
        <v>1</v>
      </c>
      <c r="C356" s="4" t="s">
        <v>920</v>
      </c>
      <c r="D356" s="4" t="s">
        <v>870</v>
      </c>
      <c r="F356" s="10" t="n">
        <v>8</v>
      </c>
      <c r="G356" s="15" t="n">
        <v>18.91024</v>
      </c>
      <c r="H356" s="4" t="s">
        <v>918</v>
      </c>
      <c r="I356" s="8" t="n">
        <v>0</v>
      </c>
      <c r="J356" s="4" t="s">
        <v>919</v>
      </c>
      <c r="K356" s="4" t="s">
        <v>30</v>
      </c>
    </row>
    <row r="357" customFormat="false" ht="15" hidden="false" customHeight="false" outlineLevel="0" collapsed="false">
      <c r="A357" s="4" t="s">
        <v>451</v>
      </c>
      <c r="B357" s="3" t="n">
        <v>2</v>
      </c>
      <c r="C357" s="4" t="s">
        <v>876</v>
      </c>
      <c r="D357" s="4" t="s">
        <v>903</v>
      </c>
      <c r="E357" s="3" t="n">
        <v>1</v>
      </c>
      <c r="F357" s="10" t="n">
        <v>10</v>
      </c>
      <c r="G357" s="15" t="n">
        <v>13.6</v>
      </c>
      <c r="H357" s="4" t="s">
        <v>918</v>
      </c>
      <c r="I357" s="8" t="n">
        <v>0</v>
      </c>
      <c r="J357" s="4" t="s">
        <v>919</v>
      </c>
      <c r="K357" s="4" t="s">
        <v>30</v>
      </c>
    </row>
    <row r="358" customFormat="false" ht="15" hidden="false" customHeight="false" outlineLevel="0" collapsed="false">
      <c r="A358" s="4" t="s">
        <v>451</v>
      </c>
      <c r="B358" s="3" t="n">
        <v>3</v>
      </c>
      <c r="C358" s="4" t="s">
        <v>921</v>
      </c>
      <c r="D358" s="4" t="s">
        <v>905</v>
      </c>
      <c r="E358" s="3" t="n">
        <v>2</v>
      </c>
      <c r="F358" s="10" t="n">
        <v>10</v>
      </c>
      <c r="G358" s="15" t="n">
        <v>33.6</v>
      </c>
      <c r="H358" s="4" t="s">
        <v>918</v>
      </c>
      <c r="I358" s="8" t="n">
        <v>0</v>
      </c>
      <c r="J358" s="4" t="s">
        <v>919</v>
      </c>
      <c r="K358" s="4" t="s">
        <v>30</v>
      </c>
    </row>
    <row r="359" customFormat="false" ht="15" hidden="false" customHeight="false" outlineLevel="0" collapsed="false">
      <c r="A359" s="4" t="s">
        <v>451</v>
      </c>
      <c r="B359" s="3" t="n">
        <v>4</v>
      </c>
      <c r="C359" s="4" t="s">
        <v>924</v>
      </c>
      <c r="D359" s="4" t="s">
        <v>892</v>
      </c>
      <c r="E359" s="3" t="n">
        <v>3</v>
      </c>
      <c r="F359" s="10" t="n">
        <v>12</v>
      </c>
      <c r="G359" s="15" t="n">
        <v>6.45</v>
      </c>
      <c r="H359" s="4" t="s">
        <v>918</v>
      </c>
      <c r="I359" s="8" t="n">
        <v>0</v>
      </c>
      <c r="J359" s="4" t="s">
        <v>925</v>
      </c>
      <c r="K359" s="4" t="s">
        <v>30</v>
      </c>
    </row>
    <row r="360" customFormat="false" ht="15" hidden="false" customHeight="false" outlineLevel="0" collapsed="false">
      <c r="A360" s="4" t="s">
        <v>451</v>
      </c>
      <c r="B360" s="3" t="n">
        <v>5</v>
      </c>
      <c r="C360" s="4" t="s">
        <v>926</v>
      </c>
      <c r="D360" s="4" t="s">
        <v>911</v>
      </c>
      <c r="E360" s="3" t="n">
        <v>4</v>
      </c>
      <c r="F360" s="10" t="n">
        <v>45</v>
      </c>
      <c r="G360" s="15" t="n">
        <v>0</v>
      </c>
      <c r="H360" s="4" t="s">
        <v>927</v>
      </c>
      <c r="I360" s="8" t="n">
        <v>40</v>
      </c>
      <c r="J360" s="4" t="s">
        <v>925</v>
      </c>
      <c r="K360" s="4" t="s">
        <v>30</v>
      </c>
    </row>
    <row r="361" customFormat="false" ht="15" hidden="false" customHeight="false" outlineLevel="0" collapsed="false">
      <c r="A361" s="4" t="s">
        <v>451</v>
      </c>
      <c r="B361" s="3" t="n">
        <v>6</v>
      </c>
      <c r="C361" s="4" t="s">
        <v>928</v>
      </c>
      <c r="D361" s="4" t="s">
        <v>913</v>
      </c>
      <c r="E361" s="3" t="n">
        <v>5</v>
      </c>
      <c r="F361" s="10" t="n">
        <v>8</v>
      </c>
      <c r="G361" s="15" t="n">
        <v>2.33</v>
      </c>
      <c r="H361" s="4" t="s">
        <v>918</v>
      </c>
      <c r="I361" s="8" t="n">
        <v>0</v>
      </c>
      <c r="J361" s="4" t="s">
        <v>925</v>
      </c>
      <c r="K361" s="4" t="s">
        <v>30</v>
      </c>
    </row>
    <row r="362" customFormat="false" ht="15" hidden="false" customHeight="false" outlineLevel="0" collapsed="false">
      <c r="A362" s="4" t="s">
        <v>451</v>
      </c>
      <c r="B362" s="3" t="n">
        <v>7</v>
      </c>
      <c r="C362" s="4" t="s">
        <v>929</v>
      </c>
      <c r="D362" s="4" t="s">
        <v>896</v>
      </c>
      <c r="E362" s="3" t="n">
        <v>6</v>
      </c>
      <c r="F362" s="10" t="n">
        <v>6</v>
      </c>
      <c r="G362" s="15" t="n">
        <v>108.75</v>
      </c>
      <c r="H362" s="4" t="s">
        <v>918</v>
      </c>
      <c r="I362" s="8" t="n">
        <v>0</v>
      </c>
      <c r="J362" s="4" t="s">
        <v>919</v>
      </c>
      <c r="K362" s="4" t="s">
        <v>30</v>
      </c>
    </row>
    <row r="363" customFormat="false" ht="15" hidden="false" customHeight="false" outlineLevel="0" collapsed="false">
      <c r="A363" s="4" t="s">
        <v>451</v>
      </c>
      <c r="B363" s="3" t="n">
        <v>8</v>
      </c>
      <c r="C363" s="4" t="s">
        <v>932</v>
      </c>
      <c r="D363" s="4" t="s">
        <v>896</v>
      </c>
      <c r="E363" s="3" t="n">
        <v>7</v>
      </c>
      <c r="F363" s="10" t="n">
        <v>0</v>
      </c>
      <c r="G363" s="15" t="n">
        <v>4</v>
      </c>
      <c r="H363" s="4" t="s">
        <v>918</v>
      </c>
      <c r="I363" s="8" t="n">
        <v>0</v>
      </c>
      <c r="J363" s="4" t="s">
        <v>925</v>
      </c>
      <c r="K363" s="4" t="s">
        <v>30</v>
      </c>
    </row>
    <row r="364" customFormat="false" ht="15" hidden="false" customHeight="false" outlineLevel="0" collapsed="false">
      <c r="A364" s="4" t="s">
        <v>453</v>
      </c>
      <c r="B364" s="3" t="n">
        <v>1</v>
      </c>
      <c r="C364" s="4" t="s">
        <v>920</v>
      </c>
      <c r="D364" s="4" t="s">
        <v>870</v>
      </c>
      <c r="F364" s="10" t="n">
        <v>8</v>
      </c>
      <c r="G364" s="15" t="n">
        <v>19.32208</v>
      </c>
      <c r="H364" s="4" t="s">
        <v>918</v>
      </c>
      <c r="I364" s="8" t="n">
        <v>0</v>
      </c>
      <c r="J364" s="4" t="s">
        <v>919</v>
      </c>
      <c r="K364" s="4" t="s">
        <v>30</v>
      </c>
    </row>
    <row r="365" customFormat="false" ht="15" hidden="false" customHeight="false" outlineLevel="0" collapsed="false">
      <c r="A365" s="4" t="s">
        <v>453</v>
      </c>
      <c r="B365" s="3" t="n">
        <v>2</v>
      </c>
      <c r="C365" s="4" t="s">
        <v>876</v>
      </c>
      <c r="D365" s="4" t="s">
        <v>903</v>
      </c>
      <c r="E365" s="3" t="n">
        <v>1</v>
      </c>
      <c r="F365" s="10" t="n">
        <v>10</v>
      </c>
      <c r="G365" s="15" t="n">
        <v>13.6</v>
      </c>
      <c r="H365" s="4" t="s">
        <v>918</v>
      </c>
      <c r="I365" s="8" t="n">
        <v>0</v>
      </c>
      <c r="J365" s="4" t="s">
        <v>919</v>
      </c>
      <c r="K365" s="4" t="s">
        <v>30</v>
      </c>
    </row>
    <row r="366" customFormat="false" ht="15" hidden="false" customHeight="false" outlineLevel="0" collapsed="false">
      <c r="A366" s="4" t="s">
        <v>453</v>
      </c>
      <c r="B366" s="3" t="n">
        <v>3</v>
      </c>
      <c r="C366" s="4" t="s">
        <v>921</v>
      </c>
      <c r="D366" s="4" t="s">
        <v>905</v>
      </c>
      <c r="E366" s="3" t="n">
        <v>2</v>
      </c>
      <c r="F366" s="10" t="n">
        <v>10</v>
      </c>
      <c r="G366" s="15" t="n">
        <v>33.6</v>
      </c>
      <c r="H366" s="4" t="s">
        <v>918</v>
      </c>
      <c r="I366" s="8" t="n">
        <v>0</v>
      </c>
      <c r="J366" s="4" t="s">
        <v>919</v>
      </c>
      <c r="K366" s="4" t="s">
        <v>30</v>
      </c>
    </row>
    <row r="367" customFormat="false" ht="15" hidden="false" customHeight="false" outlineLevel="0" collapsed="false">
      <c r="A367" s="4" t="s">
        <v>453</v>
      </c>
      <c r="B367" s="3" t="n">
        <v>4</v>
      </c>
      <c r="C367" s="4" t="s">
        <v>924</v>
      </c>
      <c r="D367" s="4" t="s">
        <v>892</v>
      </c>
      <c r="E367" s="3" t="n">
        <v>3</v>
      </c>
      <c r="F367" s="10" t="n">
        <v>12</v>
      </c>
      <c r="G367" s="15" t="n">
        <v>6.58</v>
      </c>
      <c r="H367" s="4" t="s">
        <v>918</v>
      </c>
      <c r="I367" s="8" t="n">
        <v>0</v>
      </c>
      <c r="J367" s="4" t="s">
        <v>925</v>
      </c>
      <c r="K367" s="4" t="s">
        <v>30</v>
      </c>
    </row>
    <row r="368" customFormat="false" ht="15" hidden="false" customHeight="false" outlineLevel="0" collapsed="false">
      <c r="A368" s="4" t="s">
        <v>453</v>
      </c>
      <c r="B368" s="3" t="n">
        <v>5</v>
      </c>
      <c r="C368" s="4" t="s">
        <v>926</v>
      </c>
      <c r="D368" s="4" t="s">
        <v>911</v>
      </c>
      <c r="E368" s="3" t="n">
        <v>4</v>
      </c>
      <c r="F368" s="10" t="n">
        <v>45</v>
      </c>
      <c r="G368" s="15" t="n">
        <v>0</v>
      </c>
      <c r="H368" s="4" t="s">
        <v>927</v>
      </c>
      <c r="I368" s="8" t="n">
        <v>40</v>
      </c>
      <c r="J368" s="4" t="s">
        <v>925</v>
      </c>
      <c r="K368" s="4" t="s">
        <v>30</v>
      </c>
    </row>
    <row r="369" customFormat="false" ht="15" hidden="false" customHeight="false" outlineLevel="0" collapsed="false">
      <c r="A369" s="4" t="s">
        <v>453</v>
      </c>
      <c r="B369" s="3" t="n">
        <v>6</v>
      </c>
      <c r="C369" s="4" t="s">
        <v>928</v>
      </c>
      <c r="D369" s="4" t="s">
        <v>913</v>
      </c>
      <c r="E369" s="3" t="n">
        <v>5</v>
      </c>
      <c r="F369" s="10" t="n">
        <v>8</v>
      </c>
      <c r="G369" s="15" t="n">
        <v>2.36</v>
      </c>
      <c r="H369" s="4" t="s">
        <v>918</v>
      </c>
      <c r="I369" s="8" t="n">
        <v>0</v>
      </c>
      <c r="J369" s="4" t="s">
        <v>925</v>
      </c>
      <c r="K369" s="4" t="s">
        <v>30</v>
      </c>
    </row>
    <row r="370" customFormat="false" ht="15" hidden="false" customHeight="false" outlineLevel="0" collapsed="false">
      <c r="A370" s="4" t="s">
        <v>453</v>
      </c>
      <c r="B370" s="3" t="n">
        <v>7</v>
      </c>
      <c r="C370" s="4" t="s">
        <v>929</v>
      </c>
      <c r="D370" s="4" t="s">
        <v>896</v>
      </c>
      <c r="E370" s="3" t="n">
        <v>6</v>
      </c>
      <c r="F370" s="10" t="n">
        <v>6</v>
      </c>
      <c r="G370" s="15" t="n">
        <v>108.75</v>
      </c>
      <c r="H370" s="4" t="s">
        <v>918</v>
      </c>
      <c r="I370" s="8" t="n">
        <v>0</v>
      </c>
      <c r="J370" s="4" t="s">
        <v>919</v>
      </c>
      <c r="K370" s="4" t="s">
        <v>30</v>
      </c>
    </row>
    <row r="371" customFormat="false" ht="15" hidden="false" customHeight="false" outlineLevel="0" collapsed="false">
      <c r="A371" s="4" t="s">
        <v>453</v>
      </c>
      <c r="B371" s="3" t="n">
        <v>8</v>
      </c>
      <c r="C371" s="4" t="s">
        <v>932</v>
      </c>
      <c r="D371" s="4" t="s">
        <v>896</v>
      </c>
      <c r="E371" s="3" t="n">
        <v>7</v>
      </c>
      <c r="F371" s="10" t="n">
        <v>0</v>
      </c>
      <c r="G371" s="15" t="n">
        <v>4</v>
      </c>
      <c r="H371" s="4" t="s">
        <v>918</v>
      </c>
      <c r="I371" s="8" t="n">
        <v>0</v>
      </c>
      <c r="J371" s="4" t="s">
        <v>925</v>
      </c>
      <c r="K371" s="4" t="s">
        <v>30</v>
      </c>
    </row>
    <row r="372" customFormat="false" ht="15" hidden="false" customHeight="false" outlineLevel="0" collapsed="false">
      <c r="A372" s="4" t="s">
        <v>455</v>
      </c>
      <c r="B372" s="3" t="n">
        <v>1</v>
      </c>
      <c r="C372" s="4" t="s">
        <v>929</v>
      </c>
      <c r="D372" s="4" t="s">
        <v>896</v>
      </c>
      <c r="F372" s="10" t="n">
        <v>6</v>
      </c>
      <c r="G372" s="15" t="n">
        <v>48.75</v>
      </c>
      <c r="H372" s="4" t="s">
        <v>918</v>
      </c>
      <c r="I372" s="8" t="n">
        <v>0</v>
      </c>
      <c r="J372" s="4" t="s">
        <v>919</v>
      </c>
      <c r="K372" s="4" t="s">
        <v>30</v>
      </c>
    </row>
    <row r="373" customFormat="false" ht="15" hidden="false" customHeight="false" outlineLevel="0" collapsed="false">
      <c r="A373" s="4" t="s">
        <v>455</v>
      </c>
      <c r="B373" s="3" t="n">
        <v>2</v>
      </c>
      <c r="C373" s="4" t="s">
        <v>932</v>
      </c>
      <c r="D373" s="4" t="s">
        <v>896</v>
      </c>
      <c r="E373" s="3" t="n">
        <v>1</v>
      </c>
      <c r="F373" s="10" t="n">
        <v>0</v>
      </c>
      <c r="G373" s="15" t="n">
        <v>4</v>
      </c>
      <c r="H373" s="4" t="s">
        <v>918</v>
      </c>
      <c r="I373" s="8" t="n">
        <v>0</v>
      </c>
      <c r="J373" s="4" t="s">
        <v>925</v>
      </c>
      <c r="K373" s="4" t="s">
        <v>30</v>
      </c>
    </row>
    <row r="374" customFormat="false" ht="15" hidden="false" customHeight="false" outlineLevel="0" collapsed="false">
      <c r="A374" s="4" t="s">
        <v>457</v>
      </c>
      <c r="B374" s="3" t="n">
        <v>1</v>
      </c>
      <c r="C374" s="4" t="s">
        <v>929</v>
      </c>
      <c r="D374" s="4" t="s">
        <v>896</v>
      </c>
      <c r="F374" s="10" t="n">
        <v>6</v>
      </c>
      <c r="G374" s="15" t="n">
        <v>48.75</v>
      </c>
      <c r="H374" s="4" t="s">
        <v>918</v>
      </c>
      <c r="I374" s="8" t="n">
        <v>0</v>
      </c>
      <c r="J374" s="4" t="s">
        <v>919</v>
      </c>
      <c r="K374" s="4" t="s">
        <v>30</v>
      </c>
    </row>
    <row r="375" customFormat="false" ht="15" hidden="false" customHeight="false" outlineLevel="0" collapsed="false">
      <c r="A375" s="4" t="s">
        <v>457</v>
      </c>
      <c r="B375" s="3" t="n">
        <v>2</v>
      </c>
      <c r="C375" s="4" t="s">
        <v>932</v>
      </c>
      <c r="D375" s="4" t="s">
        <v>896</v>
      </c>
      <c r="E375" s="3" t="n">
        <v>1</v>
      </c>
      <c r="F375" s="10" t="n">
        <v>0</v>
      </c>
      <c r="G375" s="15" t="n">
        <v>4</v>
      </c>
      <c r="H375" s="4" t="s">
        <v>918</v>
      </c>
      <c r="I375" s="8" t="n">
        <v>0</v>
      </c>
      <c r="J375" s="4" t="s">
        <v>925</v>
      </c>
      <c r="K375" s="4" t="s">
        <v>30</v>
      </c>
    </row>
    <row r="376" customFormat="false" ht="15" hidden="false" customHeight="false" outlineLevel="0" collapsed="false">
      <c r="A376" s="4" t="s">
        <v>459</v>
      </c>
      <c r="B376" s="3" t="n">
        <v>1</v>
      </c>
      <c r="C376" s="4" t="s">
        <v>920</v>
      </c>
      <c r="D376" s="4" t="s">
        <v>870</v>
      </c>
      <c r="F376" s="10" t="n">
        <v>8</v>
      </c>
      <c r="G376" s="15" t="n">
        <v>18.73744</v>
      </c>
      <c r="H376" s="4" t="s">
        <v>918</v>
      </c>
      <c r="I376" s="8" t="n">
        <v>0</v>
      </c>
      <c r="J376" s="4" t="s">
        <v>919</v>
      </c>
      <c r="K376" s="4" t="s">
        <v>30</v>
      </c>
    </row>
    <row r="377" customFormat="false" ht="15" hidden="false" customHeight="false" outlineLevel="0" collapsed="false">
      <c r="A377" s="4" t="s">
        <v>459</v>
      </c>
      <c r="B377" s="3" t="n">
        <v>2</v>
      </c>
      <c r="C377" s="4" t="s">
        <v>876</v>
      </c>
      <c r="D377" s="4" t="s">
        <v>903</v>
      </c>
      <c r="E377" s="3" t="n">
        <v>1</v>
      </c>
      <c r="F377" s="10" t="n">
        <v>10</v>
      </c>
      <c r="G377" s="15" t="n">
        <v>13.6</v>
      </c>
      <c r="H377" s="4" t="s">
        <v>918</v>
      </c>
      <c r="I377" s="8" t="n">
        <v>0</v>
      </c>
      <c r="J377" s="4" t="s">
        <v>919</v>
      </c>
      <c r="K377" s="4" t="s">
        <v>30</v>
      </c>
    </row>
    <row r="378" customFormat="false" ht="15" hidden="false" customHeight="false" outlineLevel="0" collapsed="false">
      <c r="A378" s="4" t="s">
        <v>459</v>
      </c>
      <c r="B378" s="3" t="n">
        <v>3</v>
      </c>
      <c r="C378" s="4" t="s">
        <v>921</v>
      </c>
      <c r="D378" s="4" t="s">
        <v>905</v>
      </c>
      <c r="E378" s="3" t="n">
        <v>2</v>
      </c>
      <c r="F378" s="10" t="n">
        <v>10</v>
      </c>
      <c r="G378" s="15" t="n">
        <v>33.6</v>
      </c>
      <c r="H378" s="4" t="s">
        <v>918</v>
      </c>
      <c r="I378" s="8" t="n">
        <v>0</v>
      </c>
      <c r="J378" s="4" t="s">
        <v>919</v>
      </c>
      <c r="K378" s="4" t="s">
        <v>30</v>
      </c>
    </row>
    <row r="379" customFormat="false" ht="15" hidden="false" customHeight="false" outlineLevel="0" collapsed="false">
      <c r="A379" s="4" t="s">
        <v>459</v>
      </c>
      <c r="B379" s="3" t="n">
        <v>4</v>
      </c>
      <c r="C379" s="4" t="s">
        <v>924</v>
      </c>
      <c r="D379" s="4" t="s">
        <v>892</v>
      </c>
      <c r="E379" s="3" t="n">
        <v>3</v>
      </c>
      <c r="F379" s="10" t="n">
        <v>12</v>
      </c>
      <c r="G379" s="15" t="n">
        <v>6.58</v>
      </c>
      <c r="H379" s="4" t="s">
        <v>918</v>
      </c>
      <c r="I379" s="8" t="n">
        <v>0</v>
      </c>
      <c r="J379" s="4" t="s">
        <v>925</v>
      </c>
      <c r="K379" s="4" t="s">
        <v>30</v>
      </c>
    </row>
    <row r="380" customFormat="false" ht="15" hidden="false" customHeight="false" outlineLevel="0" collapsed="false">
      <c r="A380" s="4" t="s">
        <v>459</v>
      </c>
      <c r="B380" s="3" t="n">
        <v>5</v>
      </c>
      <c r="C380" s="4" t="s">
        <v>926</v>
      </c>
      <c r="D380" s="4" t="s">
        <v>911</v>
      </c>
      <c r="E380" s="3" t="n">
        <v>4</v>
      </c>
      <c r="F380" s="10" t="n">
        <v>45</v>
      </c>
      <c r="G380" s="15" t="n">
        <v>0</v>
      </c>
      <c r="H380" s="4" t="s">
        <v>927</v>
      </c>
      <c r="I380" s="8" t="n">
        <v>40</v>
      </c>
      <c r="J380" s="4" t="s">
        <v>925</v>
      </c>
      <c r="K380" s="4" t="s">
        <v>30</v>
      </c>
    </row>
    <row r="381" customFormat="false" ht="15" hidden="false" customHeight="false" outlineLevel="0" collapsed="false">
      <c r="A381" s="4" t="s">
        <v>459</v>
      </c>
      <c r="B381" s="3" t="n">
        <v>6</v>
      </c>
      <c r="C381" s="4" t="s">
        <v>928</v>
      </c>
      <c r="D381" s="4" t="s">
        <v>913</v>
      </c>
      <c r="E381" s="3" t="n">
        <v>5</v>
      </c>
      <c r="F381" s="10" t="n">
        <v>8</v>
      </c>
      <c r="G381" s="15" t="n">
        <v>2.36</v>
      </c>
      <c r="H381" s="4" t="s">
        <v>918</v>
      </c>
      <c r="I381" s="8" t="n">
        <v>0</v>
      </c>
      <c r="J381" s="4" t="s">
        <v>925</v>
      </c>
      <c r="K381" s="4" t="s">
        <v>30</v>
      </c>
    </row>
    <row r="382" customFormat="false" ht="15" hidden="false" customHeight="false" outlineLevel="0" collapsed="false">
      <c r="A382" s="4" t="s">
        <v>459</v>
      </c>
      <c r="B382" s="3" t="n">
        <v>7</v>
      </c>
      <c r="C382" s="4" t="s">
        <v>929</v>
      </c>
      <c r="D382" s="4" t="s">
        <v>896</v>
      </c>
      <c r="E382" s="3" t="n">
        <v>6</v>
      </c>
      <c r="F382" s="10" t="n">
        <v>6</v>
      </c>
      <c r="G382" s="15" t="n">
        <v>108.75</v>
      </c>
      <c r="H382" s="4" t="s">
        <v>918</v>
      </c>
      <c r="I382" s="8" t="n">
        <v>0</v>
      </c>
      <c r="J382" s="4" t="s">
        <v>919</v>
      </c>
      <c r="K382" s="4" t="s">
        <v>30</v>
      </c>
    </row>
    <row r="383" customFormat="false" ht="15" hidden="false" customHeight="false" outlineLevel="0" collapsed="false">
      <c r="A383" s="4" t="s">
        <v>459</v>
      </c>
      <c r="B383" s="3" t="n">
        <v>8</v>
      </c>
      <c r="C383" s="4" t="s">
        <v>932</v>
      </c>
      <c r="D383" s="4" t="s">
        <v>896</v>
      </c>
      <c r="E383" s="3" t="n">
        <v>7</v>
      </c>
      <c r="F383" s="10" t="n">
        <v>0</v>
      </c>
      <c r="G383" s="15" t="n">
        <v>4</v>
      </c>
      <c r="H383" s="4" t="s">
        <v>918</v>
      </c>
      <c r="I383" s="8" t="n">
        <v>0</v>
      </c>
      <c r="J383" s="4" t="s">
        <v>925</v>
      </c>
      <c r="K383" s="4" t="s">
        <v>30</v>
      </c>
    </row>
    <row r="384" customFormat="false" ht="15" hidden="false" customHeight="false" outlineLevel="0" collapsed="false">
      <c r="A384" s="4" t="s">
        <v>461</v>
      </c>
      <c r="B384" s="3" t="n">
        <v>1</v>
      </c>
      <c r="C384" s="4" t="s">
        <v>920</v>
      </c>
      <c r="D384" s="4" t="s">
        <v>870</v>
      </c>
      <c r="F384" s="10" t="n">
        <v>8</v>
      </c>
      <c r="G384" s="15" t="n">
        <v>20.12704</v>
      </c>
      <c r="H384" s="4" t="s">
        <v>918</v>
      </c>
      <c r="I384" s="8" t="n">
        <v>0</v>
      </c>
      <c r="J384" s="4" t="s">
        <v>919</v>
      </c>
      <c r="K384" s="4" t="s">
        <v>30</v>
      </c>
    </row>
    <row r="385" customFormat="false" ht="15" hidden="false" customHeight="false" outlineLevel="0" collapsed="false">
      <c r="A385" s="4" t="s">
        <v>461</v>
      </c>
      <c r="B385" s="3" t="n">
        <v>2</v>
      </c>
      <c r="C385" s="4" t="s">
        <v>876</v>
      </c>
      <c r="D385" s="4" t="s">
        <v>903</v>
      </c>
      <c r="E385" s="3" t="n">
        <v>1</v>
      </c>
      <c r="F385" s="10" t="n">
        <v>10</v>
      </c>
      <c r="G385" s="15" t="n">
        <v>13.6</v>
      </c>
      <c r="H385" s="4" t="s">
        <v>918</v>
      </c>
      <c r="I385" s="8" t="n">
        <v>0</v>
      </c>
      <c r="J385" s="4" t="s">
        <v>919</v>
      </c>
      <c r="K385" s="4" t="s">
        <v>30</v>
      </c>
    </row>
    <row r="386" customFormat="false" ht="15" hidden="false" customHeight="false" outlineLevel="0" collapsed="false">
      <c r="A386" s="4" t="s">
        <v>461</v>
      </c>
      <c r="B386" s="3" t="n">
        <v>3</v>
      </c>
      <c r="C386" s="4" t="s">
        <v>921</v>
      </c>
      <c r="D386" s="4" t="s">
        <v>905</v>
      </c>
      <c r="E386" s="3" t="n">
        <v>2</v>
      </c>
      <c r="F386" s="10" t="n">
        <v>10</v>
      </c>
      <c r="G386" s="15" t="n">
        <v>33.6</v>
      </c>
      <c r="H386" s="4" t="s">
        <v>918</v>
      </c>
      <c r="I386" s="8" t="n">
        <v>0</v>
      </c>
      <c r="J386" s="4" t="s">
        <v>919</v>
      </c>
      <c r="K386" s="4" t="s">
        <v>30</v>
      </c>
    </row>
    <row r="387" customFormat="false" ht="15" hidden="false" customHeight="false" outlineLevel="0" collapsed="false">
      <c r="A387" s="4" t="s">
        <v>461</v>
      </c>
      <c r="B387" s="3" t="n">
        <v>4</v>
      </c>
      <c r="C387" s="4" t="s">
        <v>924</v>
      </c>
      <c r="D387" s="4" t="s">
        <v>892</v>
      </c>
      <c r="E387" s="3" t="n">
        <v>3</v>
      </c>
      <c r="F387" s="10" t="n">
        <v>12</v>
      </c>
      <c r="G387" s="15" t="n">
        <v>6.45</v>
      </c>
      <c r="H387" s="4" t="s">
        <v>918</v>
      </c>
      <c r="I387" s="8" t="n">
        <v>0</v>
      </c>
      <c r="J387" s="4" t="s">
        <v>925</v>
      </c>
      <c r="K387" s="4" t="s">
        <v>30</v>
      </c>
    </row>
    <row r="388" customFormat="false" ht="15" hidden="false" customHeight="false" outlineLevel="0" collapsed="false">
      <c r="A388" s="4" t="s">
        <v>461</v>
      </c>
      <c r="B388" s="3" t="n">
        <v>5</v>
      </c>
      <c r="C388" s="4" t="s">
        <v>926</v>
      </c>
      <c r="D388" s="4" t="s">
        <v>911</v>
      </c>
      <c r="E388" s="3" t="n">
        <v>4</v>
      </c>
      <c r="F388" s="10" t="n">
        <v>45</v>
      </c>
      <c r="G388" s="15" t="n">
        <v>0</v>
      </c>
      <c r="H388" s="4" t="s">
        <v>927</v>
      </c>
      <c r="I388" s="8" t="n">
        <v>40</v>
      </c>
      <c r="J388" s="4" t="s">
        <v>925</v>
      </c>
      <c r="K388" s="4" t="s">
        <v>30</v>
      </c>
    </row>
    <row r="389" customFormat="false" ht="15" hidden="false" customHeight="false" outlineLevel="0" collapsed="false">
      <c r="A389" s="4" t="s">
        <v>461</v>
      </c>
      <c r="B389" s="3" t="n">
        <v>6</v>
      </c>
      <c r="C389" s="4" t="s">
        <v>928</v>
      </c>
      <c r="D389" s="4" t="s">
        <v>913</v>
      </c>
      <c r="E389" s="3" t="n">
        <v>5</v>
      </c>
      <c r="F389" s="10" t="n">
        <v>8</v>
      </c>
      <c r="G389" s="15" t="n">
        <v>2.33</v>
      </c>
      <c r="H389" s="4" t="s">
        <v>918</v>
      </c>
      <c r="I389" s="8" t="n">
        <v>0</v>
      </c>
      <c r="J389" s="4" t="s">
        <v>925</v>
      </c>
      <c r="K389" s="4" t="s">
        <v>30</v>
      </c>
    </row>
    <row r="390" customFormat="false" ht="15" hidden="false" customHeight="false" outlineLevel="0" collapsed="false">
      <c r="A390" s="4" t="s">
        <v>461</v>
      </c>
      <c r="B390" s="3" t="n">
        <v>7</v>
      </c>
      <c r="C390" s="4" t="s">
        <v>929</v>
      </c>
      <c r="D390" s="4" t="s">
        <v>896</v>
      </c>
      <c r="E390" s="3" t="n">
        <v>6</v>
      </c>
      <c r="F390" s="10" t="n">
        <v>6</v>
      </c>
      <c r="G390" s="15" t="n">
        <v>108.75</v>
      </c>
      <c r="H390" s="4" t="s">
        <v>918</v>
      </c>
      <c r="I390" s="8" t="n">
        <v>0</v>
      </c>
      <c r="J390" s="4" t="s">
        <v>919</v>
      </c>
      <c r="K390" s="4" t="s">
        <v>30</v>
      </c>
    </row>
    <row r="391" customFormat="false" ht="15" hidden="false" customHeight="false" outlineLevel="0" collapsed="false">
      <c r="A391" s="4" t="s">
        <v>461</v>
      </c>
      <c r="B391" s="3" t="n">
        <v>8</v>
      </c>
      <c r="C391" s="4" t="s">
        <v>932</v>
      </c>
      <c r="D391" s="4" t="s">
        <v>896</v>
      </c>
      <c r="E391" s="3" t="n">
        <v>7</v>
      </c>
      <c r="F391" s="10" t="n">
        <v>0</v>
      </c>
      <c r="G391" s="15" t="n">
        <v>4</v>
      </c>
      <c r="H391" s="4" t="s">
        <v>918</v>
      </c>
      <c r="I391" s="8" t="n">
        <v>0</v>
      </c>
      <c r="J391" s="4" t="s">
        <v>925</v>
      </c>
      <c r="K391" s="4" t="s">
        <v>30</v>
      </c>
    </row>
    <row r="392" customFormat="false" ht="15" hidden="false" customHeight="false" outlineLevel="0" collapsed="false">
      <c r="A392" s="4" t="s">
        <v>463</v>
      </c>
      <c r="B392" s="3" t="n">
        <v>1</v>
      </c>
      <c r="C392" s="4" t="s">
        <v>920</v>
      </c>
      <c r="D392" s="4" t="s">
        <v>870</v>
      </c>
      <c r="F392" s="10" t="n">
        <v>8</v>
      </c>
      <c r="G392" s="15" t="n">
        <v>18.93184</v>
      </c>
      <c r="H392" s="4" t="s">
        <v>918</v>
      </c>
      <c r="I392" s="8" t="n">
        <v>0</v>
      </c>
      <c r="J392" s="4" t="s">
        <v>919</v>
      </c>
      <c r="K392" s="4" t="s">
        <v>30</v>
      </c>
    </row>
    <row r="393" customFormat="false" ht="15" hidden="false" customHeight="false" outlineLevel="0" collapsed="false">
      <c r="A393" s="4" t="s">
        <v>463</v>
      </c>
      <c r="B393" s="3" t="n">
        <v>2</v>
      </c>
      <c r="C393" s="4" t="s">
        <v>876</v>
      </c>
      <c r="D393" s="4" t="s">
        <v>903</v>
      </c>
      <c r="E393" s="3" t="n">
        <v>1</v>
      </c>
      <c r="F393" s="10" t="n">
        <v>10</v>
      </c>
      <c r="G393" s="15" t="n">
        <v>13.6</v>
      </c>
      <c r="H393" s="4" t="s">
        <v>918</v>
      </c>
      <c r="I393" s="8" t="n">
        <v>0</v>
      </c>
      <c r="J393" s="4" t="s">
        <v>919</v>
      </c>
      <c r="K393" s="4" t="s">
        <v>30</v>
      </c>
    </row>
    <row r="394" customFormat="false" ht="15" hidden="false" customHeight="false" outlineLevel="0" collapsed="false">
      <c r="A394" s="4" t="s">
        <v>463</v>
      </c>
      <c r="B394" s="3" t="n">
        <v>3</v>
      </c>
      <c r="C394" s="4" t="s">
        <v>921</v>
      </c>
      <c r="D394" s="4" t="s">
        <v>905</v>
      </c>
      <c r="E394" s="3" t="n">
        <v>2</v>
      </c>
      <c r="F394" s="10" t="n">
        <v>10</v>
      </c>
      <c r="G394" s="15" t="n">
        <v>33.6</v>
      </c>
      <c r="H394" s="4" t="s">
        <v>918</v>
      </c>
      <c r="I394" s="8" t="n">
        <v>0</v>
      </c>
      <c r="J394" s="4" t="s">
        <v>919</v>
      </c>
      <c r="K394" s="4" t="s">
        <v>30</v>
      </c>
    </row>
    <row r="395" customFormat="false" ht="15" hidden="false" customHeight="false" outlineLevel="0" collapsed="false">
      <c r="A395" s="4" t="s">
        <v>463</v>
      </c>
      <c r="B395" s="3" t="n">
        <v>4</v>
      </c>
      <c r="C395" s="4" t="s">
        <v>924</v>
      </c>
      <c r="D395" s="4" t="s">
        <v>892</v>
      </c>
      <c r="E395" s="3" t="n">
        <v>3</v>
      </c>
      <c r="F395" s="10" t="n">
        <v>12</v>
      </c>
      <c r="G395" s="15" t="n">
        <v>6.45</v>
      </c>
      <c r="H395" s="4" t="s">
        <v>918</v>
      </c>
      <c r="I395" s="8" t="n">
        <v>0</v>
      </c>
      <c r="J395" s="4" t="s">
        <v>925</v>
      </c>
      <c r="K395" s="4" t="s">
        <v>30</v>
      </c>
    </row>
    <row r="396" customFormat="false" ht="15" hidden="false" customHeight="false" outlineLevel="0" collapsed="false">
      <c r="A396" s="4" t="s">
        <v>463</v>
      </c>
      <c r="B396" s="3" t="n">
        <v>5</v>
      </c>
      <c r="C396" s="4" t="s">
        <v>926</v>
      </c>
      <c r="D396" s="4" t="s">
        <v>911</v>
      </c>
      <c r="E396" s="3" t="n">
        <v>4</v>
      </c>
      <c r="F396" s="10" t="n">
        <v>45</v>
      </c>
      <c r="G396" s="15" t="n">
        <v>0</v>
      </c>
      <c r="H396" s="4" t="s">
        <v>927</v>
      </c>
      <c r="I396" s="8" t="n">
        <v>40</v>
      </c>
      <c r="J396" s="4" t="s">
        <v>925</v>
      </c>
      <c r="K396" s="4" t="s">
        <v>30</v>
      </c>
    </row>
    <row r="397" customFormat="false" ht="15" hidden="false" customHeight="false" outlineLevel="0" collapsed="false">
      <c r="A397" s="4" t="s">
        <v>463</v>
      </c>
      <c r="B397" s="3" t="n">
        <v>6</v>
      </c>
      <c r="C397" s="4" t="s">
        <v>928</v>
      </c>
      <c r="D397" s="4" t="s">
        <v>913</v>
      </c>
      <c r="E397" s="3" t="n">
        <v>5</v>
      </c>
      <c r="F397" s="10" t="n">
        <v>8</v>
      </c>
      <c r="G397" s="15" t="n">
        <v>2.33</v>
      </c>
      <c r="H397" s="4" t="s">
        <v>918</v>
      </c>
      <c r="I397" s="8" t="n">
        <v>0</v>
      </c>
      <c r="J397" s="4" t="s">
        <v>925</v>
      </c>
      <c r="K397" s="4" t="s">
        <v>30</v>
      </c>
    </row>
    <row r="398" customFormat="false" ht="15" hidden="false" customHeight="false" outlineLevel="0" collapsed="false">
      <c r="A398" s="4" t="s">
        <v>463</v>
      </c>
      <c r="B398" s="3" t="n">
        <v>7</v>
      </c>
      <c r="C398" s="4" t="s">
        <v>929</v>
      </c>
      <c r="D398" s="4" t="s">
        <v>896</v>
      </c>
      <c r="E398" s="3" t="n">
        <v>6</v>
      </c>
      <c r="F398" s="10" t="n">
        <v>6</v>
      </c>
      <c r="G398" s="15" t="n">
        <v>108.75</v>
      </c>
      <c r="H398" s="4" t="s">
        <v>918</v>
      </c>
      <c r="I398" s="8" t="n">
        <v>0</v>
      </c>
      <c r="J398" s="4" t="s">
        <v>919</v>
      </c>
      <c r="K398" s="4" t="s">
        <v>30</v>
      </c>
    </row>
    <row r="399" customFormat="false" ht="15" hidden="false" customHeight="false" outlineLevel="0" collapsed="false">
      <c r="A399" s="4" t="s">
        <v>463</v>
      </c>
      <c r="B399" s="3" t="n">
        <v>8</v>
      </c>
      <c r="C399" s="4" t="s">
        <v>932</v>
      </c>
      <c r="D399" s="4" t="s">
        <v>896</v>
      </c>
      <c r="E399" s="3" t="n">
        <v>7</v>
      </c>
      <c r="F399" s="10" t="n">
        <v>0</v>
      </c>
      <c r="G399" s="15" t="n">
        <v>4</v>
      </c>
      <c r="H399" s="4" t="s">
        <v>918</v>
      </c>
      <c r="I399" s="8" t="n">
        <v>0</v>
      </c>
      <c r="J399" s="4" t="s">
        <v>925</v>
      </c>
      <c r="K399" s="4" t="s">
        <v>30</v>
      </c>
    </row>
    <row r="400" customFormat="false" ht="15" hidden="false" customHeight="false" outlineLevel="0" collapsed="false">
      <c r="A400" s="4" t="s">
        <v>465</v>
      </c>
      <c r="B400" s="3" t="n">
        <v>1</v>
      </c>
      <c r="C400" s="4" t="s">
        <v>920</v>
      </c>
      <c r="D400" s="4" t="s">
        <v>870</v>
      </c>
      <c r="F400" s="10" t="n">
        <v>8</v>
      </c>
      <c r="G400" s="15" t="n">
        <v>9.2096</v>
      </c>
      <c r="H400" s="4" t="s">
        <v>918</v>
      </c>
      <c r="I400" s="8" t="n">
        <v>0</v>
      </c>
      <c r="J400" s="4" t="s">
        <v>919</v>
      </c>
      <c r="K400" s="4" t="s">
        <v>30</v>
      </c>
    </row>
    <row r="401" customFormat="false" ht="15" hidden="false" customHeight="false" outlineLevel="0" collapsed="false">
      <c r="A401" s="4" t="s">
        <v>465</v>
      </c>
      <c r="B401" s="3" t="n">
        <v>2</v>
      </c>
      <c r="C401" s="4" t="s">
        <v>876</v>
      </c>
      <c r="D401" s="4" t="s">
        <v>903</v>
      </c>
      <c r="E401" s="3" t="n">
        <v>1</v>
      </c>
      <c r="F401" s="10" t="n">
        <v>10</v>
      </c>
      <c r="G401" s="15" t="n">
        <v>8.4</v>
      </c>
      <c r="H401" s="4" t="s">
        <v>918</v>
      </c>
      <c r="I401" s="8" t="n">
        <v>0</v>
      </c>
      <c r="J401" s="4" t="s">
        <v>919</v>
      </c>
      <c r="K401" s="4" t="s">
        <v>30</v>
      </c>
    </row>
    <row r="402" customFormat="false" ht="15" hidden="false" customHeight="false" outlineLevel="0" collapsed="false">
      <c r="A402" s="4" t="s">
        <v>465</v>
      </c>
      <c r="B402" s="3" t="n">
        <v>3</v>
      </c>
      <c r="C402" s="4" t="s">
        <v>921</v>
      </c>
      <c r="D402" s="4" t="s">
        <v>905</v>
      </c>
      <c r="E402" s="3" t="n">
        <v>2</v>
      </c>
      <c r="F402" s="10" t="n">
        <v>10</v>
      </c>
      <c r="G402" s="15" t="n">
        <v>22.4</v>
      </c>
      <c r="H402" s="4" t="s">
        <v>918</v>
      </c>
      <c r="I402" s="8" t="n">
        <v>0</v>
      </c>
      <c r="J402" s="4" t="s">
        <v>919</v>
      </c>
      <c r="K402" s="4" t="s">
        <v>30</v>
      </c>
    </row>
    <row r="403" customFormat="false" ht="15" hidden="false" customHeight="false" outlineLevel="0" collapsed="false">
      <c r="A403" s="4" t="s">
        <v>465</v>
      </c>
      <c r="B403" s="3" t="n">
        <v>4</v>
      </c>
      <c r="C403" s="4" t="s">
        <v>924</v>
      </c>
      <c r="D403" s="4" t="s">
        <v>892</v>
      </c>
      <c r="E403" s="3" t="n">
        <v>3</v>
      </c>
      <c r="F403" s="10" t="n">
        <v>12</v>
      </c>
      <c r="G403" s="15" t="n">
        <v>5.72</v>
      </c>
      <c r="H403" s="4" t="s">
        <v>918</v>
      </c>
      <c r="I403" s="8" t="n">
        <v>0</v>
      </c>
      <c r="J403" s="4" t="s">
        <v>925</v>
      </c>
      <c r="K403" s="4" t="s">
        <v>30</v>
      </c>
    </row>
    <row r="404" customFormat="false" ht="15" hidden="false" customHeight="false" outlineLevel="0" collapsed="false">
      <c r="A404" s="4" t="s">
        <v>465</v>
      </c>
      <c r="B404" s="3" t="n">
        <v>5</v>
      </c>
      <c r="C404" s="4" t="s">
        <v>926</v>
      </c>
      <c r="D404" s="4" t="s">
        <v>911</v>
      </c>
      <c r="E404" s="3" t="n">
        <v>4</v>
      </c>
      <c r="F404" s="10" t="n">
        <v>45</v>
      </c>
      <c r="G404" s="15" t="n">
        <v>0</v>
      </c>
      <c r="H404" s="4" t="s">
        <v>927</v>
      </c>
      <c r="I404" s="8" t="n">
        <v>40</v>
      </c>
      <c r="J404" s="4" t="s">
        <v>925</v>
      </c>
      <c r="K404" s="4" t="s">
        <v>30</v>
      </c>
    </row>
    <row r="405" customFormat="false" ht="15" hidden="false" customHeight="false" outlineLevel="0" collapsed="false">
      <c r="A405" s="4" t="s">
        <v>465</v>
      </c>
      <c r="B405" s="3" t="n">
        <v>6</v>
      </c>
      <c r="C405" s="4" t="s">
        <v>928</v>
      </c>
      <c r="D405" s="4" t="s">
        <v>913</v>
      </c>
      <c r="E405" s="3" t="n">
        <v>5</v>
      </c>
      <c r="F405" s="10" t="n">
        <v>8</v>
      </c>
      <c r="G405" s="15" t="n">
        <v>2.17</v>
      </c>
      <c r="H405" s="4" t="s">
        <v>918</v>
      </c>
      <c r="I405" s="8" t="n">
        <v>0</v>
      </c>
      <c r="J405" s="4" t="s">
        <v>925</v>
      </c>
      <c r="K405" s="4" t="s">
        <v>30</v>
      </c>
    </row>
    <row r="406" customFormat="false" ht="15" hidden="false" customHeight="false" outlineLevel="0" collapsed="false">
      <c r="A406" s="4" t="s">
        <v>465</v>
      </c>
      <c r="B406" s="3" t="n">
        <v>7</v>
      </c>
      <c r="C406" s="4" t="s">
        <v>929</v>
      </c>
      <c r="D406" s="4" t="s">
        <v>896</v>
      </c>
      <c r="E406" s="3" t="n">
        <v>6</v>
      </c>
      <c r="F406" s="10" t="n">
        <v>6</v>
      </c>
      <c r="G406" s="15" t="n">
        <v>48.75</v>
      </c>
      <c r="H406" s="4" t="s">
        <v>918</v>
      </c>
      <c r="I406" s="8" t="n">
        <v>0</v>
      </c>
      <c r="J406" s="4" t="s">
        <v>919</v>
      </c>
      <c r="K406" s="4" t="s">
        <v>30</v>
      </c>
    </row>
    <row r="407" customFormat="false" ht="15" hidden="false" customHeight="false" outlineLevel="0" collapsed="false">
      <c r="A407" s="4" t="s">
        <v>465</v>
      </c>
      <c r="B407" s="3" t="n">
        <v>8</v>
      </c>
      <c r="C407" s="4" t="s">
        <v>932</v>
      </c>
      <c r="D407" s="4" t="s">
        <v>896</v>
      </c>
      <c r="E407" s="3" t="n">
        <v>7</v>
      </c>
      <c r="F407" s="10" t="n">
        <v>0</v>
      </c>
      <c r="G407" s="15" t="n">
        <v>4</v>
      </c>
      <c r="H407" s="4" t="s">
        <v>918</v>
      </c>
      <c r="I407" s="8" t="n">
        <v>0</v>
      </c>
      <c r="J407" s="4" t="s">
        <v>925</v>
      </c>
      <c r="K407" s="4" t="s">
        <v>30</v>
      </c>
    </row>
  </sheetData>
  <autoFilter ref="A1:K407"/>
  <dataValidations count="5">
    <dataValidation allowBlank="true" error="Debe ser un número mayor o igual que el mínimo." errorStyle="stop" operator="greaterThanOrEqual" showDropDown="false" showErrorMessage="true" showInputMessage="false" sqref="F2:G407" type="decimal">
      <formula1>0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A2:A407" type="list">
      <formula1>'02_PRODUCTOS'!$A$2:$A$51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D2:D407" type="list">
      <formula1>'05_RECURSOS'!$A$2:$A$18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H2:H407" type="list">
      <formula1>"POR_UNIDAD,POR_LOTE"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J2:J407" type="list">
      <formula1>"HEREDADO_SIN_CRONOMETRAJE,HIPOTESIS_TECNICA,CRONOMETRADO"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G4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1" t="s">
        <v>39</v>
      </c>
      <c r="B1" s="1" t="s">
        <v>148</v>
      </c>
      <c r="C1" s="1" t="s">
        <v>119</v>
      </c>
      <c r="D1" s="1" t="s">
        <v>175</v>
      </c>
      <c r="E1" s="1" t="s">
        <v>177</v>
      </c>
      <c r="F1" s="1" t="s">
        <v>179</v>
      </c>
      <c r="G1" s="1" t="s">
        <v>5</v>
      </c>
    </row>
    <row r="2" customFormat="false" ht="15" hidden="false" customHeight="false" outlineLevel="0" collapsed="false">
      <c r="A2" s="4" t="s">
        <v>340</v>
      </c>
      <c r="B2" s="3" t="n">
        <v>1</v>
      </c>
      <c r="C2" s="4" t="s">
        <v>865</v>
      </c>
      <c r="D2" s="4" t="s">
        <v>933</v>
      </c>
      <c r="E2" s="3" t="n">
        <v>1</v>
      </c>
      <c r="F2" s="10" t="n">
        <v>1</v>
      </c>
      <c r="G2" s="4" t="s">
        <v>26</v>
      </c>
    </row>
    <row r="3" customFormat="false" ht="15" hidden="false" customHeight="false" outlineLevel="0" collapsed="false">
      <c r="A3" s="4" t="s">
        <v>340</v>
      </c>
      <c r="B3" s="3" t="n">
        <v>2</v>
      </c>
      <c r="C3" s="4" t="s">
        <v>870</v>
      </c>
      <c r="D3" s="4" t="s">
        <v>933</v>
      </c>
      <c r="E3" s="3" t="n">
        <v>1</v>
      </c>
      <c r="F3" s="10" t="n">
        <v>1</v>
      </c>
      <c r="G3" s="4" t="s">
        <v>26</v>
      </c>
    </row>
    <row r="4" customFormat="false" ht="15" hidden="false" customHeight="false" outlineLevel="0" collapsed="false">
      <c r="A4" s="4" t="s">
        <v>340</v>
      </c>
      <c r="B4" s="3" t="n">
        <v>3</v>
      </c>
      <c r="C4" s="4" t="s">
        <v>873</v>
      </c>
      <c r="D4" s="4" t="s">
        <v>933</v>
      </c>
      <c r="E4" s="3" t="n">
        <v>1</v>
      </c>
      <c r="F4" s="10" t="n">
        <v>1</v>
      </c>
      <c r="G4" s="4" t="s">
        <v>26</v>
      </c>
    </row>
    <row r="5" customFormat="false" ht="15" hidden="false" customHeight="false" outlineLevel="0" collapsed="false">
      <c r="A5" s="4" t="s">
        <v>340</v>
      </c>
      <c r="B5" s="3" t="n">
        <v>3</v>
      </c>
      <c r="C5" s="4" t="s">
        <v>903</v>
      </c>
      <c r="D5" s="4" t="s">
        <v>934</v>
      </c>
      <c r="E5" s="3" t="n">
        <v>1</v>
      </c>
      <c r="F5" s="10" t="n">
        <v>1.1</v>
      </c>
      <c r="G5" s="4" t="s">
        <v>30</v>
      </c>
    </row>
    <row r="6" customFormat="false" ht="15" hidden="false" customHeight="false" outlineLevel="0" collapsed="false">
      <c r="A6" s="4" t="s">
        <v>340</v>
      </c>
      <c r="B6" s="3" t="n">
        <v>4</v>
      </c>
      <c r="C6" s="4" t="s">
        <v>877</v>
      </c>
      <c r="D6" s="4" t="s">
        <v>933</v>
      </c>
      <c r="E6" s="3" t="n">
        <v>1</v>
      </c>
      <c r="F6" s="10" t="n">
        <v>1</v>
      </c>
      <c r="G6" s="4" t="s">
        <v>26</v>
      </c>
    </row>
    <row r="7" customFormat="false" ht="15" hidden="false" customHeight="false" outlineLevel="0" collapsed="false">
      <c r="A7" s="4" t="s">
        <v>340</v>
      </c>
      <c r="B7" s="3" t="n">
        <v>5</v>
      </c>
      <c r="C7" s="4" t="s">
        <v>881</v>
      </c>
      <c r="D7" s="4" t="s">
        <v>933</v>
      </c>
      <c r="E7" s="3" t="n">
        <v>1</v>
      </c>
      <c r="F7" s="10" t="n">
        <v>1</v>
      </c>
      <c r="G7" s="4" t="s">
        <v>26</v>
      </c>
    </row>
    <row r="8" customFormat="false" ht="15" hidden="false" customHeight="false" outlineLevel="0" collapsed="false">
      <c r="A8" s="4" t="s">
        <v>340</v>
      </c>
      <c r="B8" s="3" t="n">
        <v>5</v>
      </c>
      <c r="C8" s="4" t="s">
        <v>905</v>
      </c>
      <c r="D8" s="4" t="s">
        <v>935</v>
      </c>
      <c r="E8" s="3" t="n">
        <v>1</v>
      </c>
      <c r="F8" s="10" t="n">
        <v>1</v>
      </c>
      <c r="G8" s="4" t="s">
        <v>30</v>
      </c>
    </row>
    <row r="9" customFormat="false" ht="15" hidden="false" customHeight="false" outlineLevel="0" collapsed="false">
      <c r="A9" s="4" t="s">
        <v>340</v>
      </c>
      <c r="B9" s="3" t="n">
        <v>6</v>
      </c>
      <c r="C9" s="4" t="s">
        <v>885</v>
      </c>
      <c r="D9" s="4" t="s">
        <v>933</v>
      </c>
      <c r="E9" s="3" t="n">
        <v>1</v>
      </c>
      <c r="F9" s="10" t="n">
        <v>1</v>
      </c>
      <c r="G9" s="4" t="s">
        <v>26</v>
      </c>
    </row>
    <row r="10" customFormat="false" ht="15" hidden="false" customHeight="false" outlineLevel="0" collapsed="false">
      <c r="A10" s="4" t="s">
        <v>340</v>
      </c>
      <c r="B10" s="3" t="n">
        <v>7</v>
      </c>
      <c r="C10" s="4" t="s">
        <v>889</v>
      </c>
      <c r="D10" s="4" t="s">
        <v>933</v>
      </c>
      <c r="E10" s="3" t="n">
        <v>1</v>
      </c>
      <c r="F10" s="10" t="n">
        <v>1</v>
      </c>
      <c r="G10" s="4" t="s">
        <v>26</v>
      </c>
    </row>
    <row r="11" customFormat="false" ht="15" hidden="false" customHeight="false" outlineLevel="0" collapsed="false">
      <c r="A11" s="4" t="s">
        <v>340</v>
      </c>
      <c r="B11" s="3" t="n">
        <v>8</v>
      </c>
      <c r="C11" s="4" t="s">
        <v>892</v>
      </c>
      <c r="D11" s="4" t="s">
        <v>933</v>
      </c>
      <c r="E11" s="3" t="n">
        <v>1</v>
      </c>
      <c r="F11" s="10" t="n">
        <v>1</v>
      </c>
      <c r="G11" s="4" t="s">
        <v>26</v>
      </c>
    </row>
    <row r="12" customFormat="false" ht="15" hidden="false" customHeight="false" outlineLevel="0" collapsed="false">
      <c r="A12" s="4" t="s">
        <v>340</v>
      </c>
      <c r="B12" s="3" t="n">
        <v>9</v>
      </c>
      <c r="C12" s="4" t="s">
        <v>911</v>
      </c>
      <c r="D12" s="4" t="s">
        <v>933</v>
      </c>
      <c r="E12" s="3" t="n">
        <v>1</v>
      </c>
      <c r="F12" s="10" t="n">
        <v>1</v>
      </c>
      <c r="G12" s="4" t="s">
        <v>26</v>
      </c>
    </row>
    <row r="13" customFormat="false" ht="15" hidden="false" customHeight="false" outlineLevel="0" collapsed="false">
      <c r="A13" s="4" t="s">
        <v>340</v>
      </c>
      <c r="B13" s="3" t="n">
        <v>10</v>
      </c>
      <c r="C13" s="4" t="s">
        <v>913</v>
      </c>
      <c r="D13" s="4" t="s">
        <v>933</v>
      </c>
      <c r="E13" s="3" t="n">
        <v>1</v>
      </c>
      <c r="F13" s="10" t="n">
        <v>1</v>
      </c>
      <c r="G13" s="4" t="s">
        <v>26</v>
      </c>
    </row>
    <row r="14" customFormat="false" ht="15" hidden="false" customHeight="false" outlineLevel="0" collapsed="false">
      <c r="A14" s="4" t="s">
        <v>340</v>
      </c>
      <c r="B14" s="3" t="n">
        <v>11</v>
      </c>
      <c r="C14" s="4" t="s">
        <v>896</v>
      </c>
      <c r="D14" s="4" t="s">
        <v>933</v>
      </c>
      <c r="E14" s="3" t="n">
        <v>1</v>
      </c>
      <c r="F14" s="10" t="n">
        <v>1</v>
      </c>
      <c r="G14" s="4" t="s">
        <v>26</v>
      </c>
    </row>
    <row r="15" customFormat="false" ht="15" hidden="false" customHeight="false" outlineLevel="0" collapsed="false">
      <c r="A15" s="4" t="s">
        <v>340</v>
      </c>
      <c r="B15" s="3" t="n">
        <v>12</v>
      </c>
      <c r="C15" s="4" t="s">
        <v>898</v>
      </c>
      <c r="D15" s="4" t="s">
        <v>933</v>
      </c>
      <c r="E15" s="3" t="n">
        <v>1</v>
      </c>
      <c r="F15" s="10" t="n">
        <v>1</v>
      </c>
      <c r="G15" s="4" t="s">
        <v>26</v>
      </c>
    </row>
    <row r="16" customFormat="false" ht="15" hidden="false" customHeight="false" outlineLevel="0" collapsed="false">
      <c r="A16" s="4" t="s">
        <v>340</v>
      </c>
      <c r="B16" s="3" t="n">
        <v>13</v>
      </c>
      <c r="C16" s="4" t="s">
        <v>901</v>
      </c>
      <c r="D16" s="4" t="s">
        <v>933</v>
      </c>
      <c r="E16" s="3" t="n">
        <v>1</v>
      </c>
      <c r="F16" s="10" t="n">
        <v>1</v>
      </c>
      <c r="G16" s="4" t="s">
        <v>26</v>
      </c>
    </row>
    <row r="17" customFormat="false" ht="15" hidden="false" customHeight="false" outlineLevel="0" collapsed="false">
      <c r="A17" s="4" t="s">
        <v>343</v>
      </c>
      <c r="B17" s="3" t="n">
        <v>1</v>
      </c>
      <c r="C17" s="4" t="s">
        <v>865</v>
      </c>
      <c r="D17" s="4" t="s">
        <v>933</v>
      </c>
      <c r="E17" s="3" t="n">
        <v>1</v>
      </c>
      <c r="F17" s="10" t="n">
        <v>1</v>
      </c>
      <c r="G17" s="4" t="s">
        <v>26</v>
      </c>
    </row>
    <row r="18" customFormat="false" ht="15" hidden="false" customHeight="false" outlineLevel="0" collapsed="false">
      <c r="A18" s="4" t="s">
        <v>343</v>
      </c>
      <c r="B18" s="3" t="n">
        <v>2</v>
      </c>
      <c r="C18" s="4" t="s">
        <v>870</v>
      </c>
      <c r="D18" s="4" t="s">
        <v>933</v>
      </c>
      <c r="E18" s="3" t="n">
        <v>1</v>
      </c>
      <c r="F18" s="10" t="n">
        <v>1</v>
      </c>
      <c r="G18" s="4" t="s">
        <v>26</v>
      </c>
    </row>
    <row r="19" customFormat="false" ht="15" hidden="false" customHeight="false" outlineLevel="0" collapsed="false">
      <c r="A19" s="4" t="s">
        <v>343</v>
      </c>
      <c r="B19" s="3" t="n">
        <v>3</v>
      </c>
      <c r="C19" s="4" t="s">
        <v>873</v>
      </c>
      <c r="D19" s="4" t="s">
        <v>933</v>
      </c>
      <c r="E19" s="3" t="n">
        <v>1</v>
      </c>
      <c r="F19" s="10" t="n">
        <v>1</v>
      </c>
      <c r="G19" s="4" t="s">
        <v>26</v>
      </c>
    </row>
    <row r="20" customFormat="false" ht="15" hidden="false" customHeight="false" outlineLevel="0" collapsed="false">
      <c r="A20" s="4" t="s">
        <v>343</v>
      </c>
      <c r="B20" s="3" t="n">
        <v>3</v>
      </c>
      <c r="C20" s="4" t="s">
        <v>903</v>
      </c>
      <c r="D20" s="4" t="s">
        <v>934</v>
      </c>
      <c r="E20" s="3" t="n">
        <v>1</v>
      </c>
      <c r="F20" s="10" t="n">
        <v>1.1</v>
      </c>
      <c r="G20" s="4" t="s">
        <v>30</v>
      </c>
    </row>
    <row r="21" customFormat="false" ht="15" hidden="false" customHeight="false" outlineLevel="0" collapsed="false">
      <c r="A21" s="4" t="s">
        <v>343</v>
      </c>
      <c r="B21" s="3" t="n">
        <v>4</v>
      </c>
      <c r="C21" s="4" t="s">
        <v>877</v>
      </c>
      <c r="D21" s="4" t="s">
        <v>933</v>
      </c>
      <c r="E21" s="3" t="n">
        <v>1</v>
      </c>
      <c r="F21" s="10" t="n">
        <v>1</v>
      </c>
      <c r="G21" s="4" t="s">
        <v>26</v>
      </c>
    </row>
    <row r="22" customFormat="false" ht="15" hidden="false" customHeight="false" outlineLevel="0" collapsed="false">
      <c r="A22" s="4" t="s">
        <v>343</v>
      </c>
      <c r="B22" s="3" t="n">
        <v>5</v>
      </c>
      <c r="C22" s="4" t="s">
        <v>881</v>
      </c>
      <c r="D22" s="4" t="s">
        <v>933</v>
      </c>
      <c r="E22" s="3" t="n">
        <v>1</v>
      </c>
      <c r="F22" s="10" t="n">
        <v>1</v>
      </c>
      <c r="G22" s="4" t="s">
        <v>26</v>
      </c>
    </row>
    <row r="23" customFormat="false" ht="15" hidden="false" customHeight="false" outlineLevel="0" collapsed="false">
      <c r="A23" s="4" t="s">
        <v>343</v>
      </c>
      <c r="B23" s="3" t="n">
        <v>5</v>
      </c>
      <c r="C23" s="4" t="s">
        <v>905</v>
      </c>
      <c r="D23" s="4" t="s">
        <v>935</v>
      </c>
      <c r="E23" s="3" t="n">
        <v>1</v>
      </c>
      <c r="F23" s="10" t="n">
        <v>1</v>
      </c>
      <c r="G23" s="4" t="s">
        <v>30</v>
      </c>
    </row>
    <row r="24" customFormat="false" ht="15" hidden="false" customHeight="false" outlineLevel="0" collapsed="false">
      <c r="A24" s="4" t="s">
        <v>343</v>
      </c>
      <c r="B24" s="3" t="n">
        <v>6</v>
      </c>
      <c r="C24" s="4" t="s">
        <v>885</v>
      </c>
      <c r="D24" s="4" t="s">
        <v>933</v>
      </c>
      <c r="E24" s="3" t="n">
        <v>1</v>
      </c>
      <c r="F24" s="10" t="n">
        <v>1</v>
      </c>
      <c r="G24" s="4" t="s">
        <v>26</v>
      </c>
    </row>
    <row r="25" customFormat="false" ht="15" hidden="false" customHeight="false" outlineLevel="0" collapsed="false">
      <c r="A25" s="4" t="s">
        <v>343</v>
      </c>
      <c r="B25" s="3" t="n">
        <v>7</v>
      </c>
      <c r="C25" s="4" t="s">
        <v>889</v>
      </c>
      <c r="D25" s="4" t="s">
        <v>933</v>
      </c>
      <c r="E25" s="3" t="n">
        <v>1</v>
      </c>
      <c r="F25" s="10" t="n">
        <v>1</v>
      </c>
      <c r="G25" s="4" t="s">
        <v>26</v>
      </c>
    </row>
    <row r="26" customFormat="false" ht="15" hidden="false" customHeight="false" outlineLevel="0" collapsed="false">
      <c r="A26" s="4" t="s">
        <v>343</v>
      </c>
      <c r="B26" s="3" t="n">
        <v>8</v>
      </c>
      <c r="C26" s="4" t="s">
        <v>892</v>
      </c>
      <c r="D26" s="4" t="s">
        <v>933</v>
      </c>
      <c r="E26" s="3" t="n">
        <v>1</v>
      </c>
      <c r="F26" s="10" t="n">
        <v>1</v>
      </c>
      <c r="G26" s="4" t="s">
        <v>26</v>
      </c>
    </row>
    <row r="27" customFormat="false" ht="15" hidden="false" customHeight="false" outlineLevel="0" collapsed="false">
      <c r="A27" s="4" t="s">
        <v>343</v>
      </c>
      <c r="B27" s="3" t="n">
        <v>9</v>
      </c>
      <c r="C27" s="4" t="s">
        <v>911</v>
      </c>
      <c r="D27" s="4" t="s">
        <v>933</v>
      </c>
      <c r="E27" s="3" t="n">
        <v>1</v>
      </c>
      <c r="F27" s="10" t="n">
        <v>1</v>
      </c>
      <c r="G27" s="4" t="s">
        <v>26</v>
      </c>
    </row>
    <row r="28" customFormat="false" ht="15" hidden="false" customHeight="false" outlineLevel="0" collapsed="false">
      <c r="A28" s="4" t="s">
        <v>343</v>
      </c>
      <c r="B28" s="3" t="n">
        <v>10</v>
      </c>
      <c r="C28" s="4" t="s">
        <v>913</v>
      </c>
      <c r="D28" s="4" t="s">
        <v>933</v>
      </c>
      <c r="E28" s="3" t="n">
        <v>1</v>
      </c>
      <c r="F28" s="10" t="n">
        <v>1</v>
      </c>
      <c r="G28" s="4" t="s">
        <v>26</v>
      </c>
    </row>
    <row r="29" customFormat="false" ht="15" hidden="false" customHeight="false" outlineLevel="0" collapsed="false">
      <c r="A29" s="4" t="s">
        <v>343</v>
      </c>
      <c r="B29" s="3" t="n">
        <v>11</v>
      </c>
      <c r="C29" s="4" t="s">
        <v>896</v>
      </c>
      <c r="D29" s="4" t="s">
        <v>933</v>
      </c>
      <c r="E29" s="3" t="n">
        <v>1</v>
      </c>
      <c r="F29" s="10" t="n">
        <v>1</v>
      </c>
      <c r="G29" s="4" t="s">
        <v>26</v>
      </c>
    </row>
    <row r="30" customFormat="false" ht="15" hidden="false" customHeight="false" outlineLevel="0" collapsed="false">
      <c r="A30" s="4" t="s">
        <v>343</v>
      </c>
      <c r="B30" s="3" t="n">
        <v>12</v>
      </c>
      <c r="C30" s="4" t="s">
        <v>898</v>
      </c>
      <c r="D30" s="4" t="s">
        <v>933</v>
      </c>
      <c r="E30" s="3" t="n">
        <v>1</v>
      </c>
      <c r="F30" s="10" t="n">
        <v>1</v>
      </c>
      <c r="G30" s="4" t="s">
        <v>26</v>
      </c>
    </row>
    <row r="31" customFormat="false" ht="15" hidden="false" customHeight="false" outlineLevel="0" collapsed="false">
      <c r="A31" s="4" t="s">
        <v>343</v>
      </c>
      <c r="B31" s="3" t="n">
        <v>13</v>
      </c>
      <c r="C31" s="4" t="s">
        <v>901</v>
      </c>
      <c r="D31" s="4" t="s">
        <v>933</v>
      </c>
      <c r="E31" s="3" t="n">
        <v>1</v>
      </c>
      <c r="F31" s="10" t="n">
        <v>1</v>
      </c>
      <c r="G31" s="4" t="s">
        <v>26</v>
      </c>
    </row>
    <row r="32" customFormat="false" ht="15" hidden="false" customHeight="false" outlineLevel="0" collapsed="false">
      <c r="A32" s="4" t="s">
        <v>358</v>
      </c>
      <c r="B32" s="3" t="n">
        <v>1</v>
      </c>
      <c r="C32" s="4" t="s">
        <v>865</v>
      </c>
      <c r="D32" s="4" t="s">
        <v>933</v>
      </c>
      <c r="E32" s="3" t="n">
        <v>1</v>
      </c>
      <c r="F32" s="10" t="n">
        <v>1</v>
      </c>
      <c r="G32" s="4" t="s">
        <v>26</v>
      </c>
    </row>
    <row r="33" customFormat="false" ht="15" hidden="false" customHeight="false" outlineLevel="0" collapsed="false">
      <c r="A33" s="4" t="s">
        <v>358</v>
      </c>
      <c r="B33" s="3" t="n">
        <v>2</v>
      </c>
      <c r="C33" s="4" t="s">
        <v>870</v>
      </c>
      <c r="D33" s="4" t="s">
        <v>933</v>
      </c>
      <c r="E33" s="3" t="n">
        <v>1</v>
      </c>
      <c r="F33" s="10" t="n">
        <v>1</v>
      </c>
      <c r="G33" s="4" t="s">
        <v>26</v>
      </c>
    </row>
    <row r="34" customFormat="false" ht="15" hidden="false" customHeight="false" outlineLevel="0" collapsed="false">
      <c r="A34" s="4" t="s">
        <v>358</v>
      </c>
      <c r="B34" s="3" t="n">
        <v>3</v>
      </c>
      <c r="C34" s="4" t="s">
        <v>873</v>
      </c>
      <c r="D34" s="4" t="s">
        <v>933</v>
      </c>
      <c r="E34" s="3" t="n">
        <v>1</v>
      </c>
      <c r="F34" s="10" t="n">
        <v>1</v>
      </c>
      <c r="G34" s="4" t="s">
        <v>26</v>
      </c>
    </row>
    <row r="35" customFormat="false" ht="15" hidden="false" customHeight="false" outlineLevel="0" collapsed="false">
      <c r="A35" s="4" t="s">
        <v>358</v>
      </c>
      <c r="B35" s="3" t="n">
        <v>3</v>
      </c>
      <c r="C35" s="4" t="s">
        <v>903</v>
      </c>
      <c r="D35" s="4" t="s">
        <v>934</v>
      </c>
      <c r="E35" s="3" t="n">
        <v>1</v>
      </c>
      <c r="F35" s="10" t="n">
        <v>1.1</v>
      </c>
      <c r="G35" s="4" t="s">
        <v>30</v>
      </c>
    </row>
    <row r="36" customFormat="false" ht="15" hidden="false" customHeight="false" outlineLevel="0" collapsed="false">
      <c r="A36" s="4" t="s">
        <v>358</v>
      </c>
      <c r="B36" s="3" t="n">
        <v>4</v>
      </c>
      <c r="C36" s="4" t="s">
        <v>877</v>
      </c>
      <c r="D36" s="4" t="s">
        <v>933</v>
      </c>
      <c r="E36" s="3" t="n">
        <v>1</v>
      </c>
      <c r="F36" s="10" t="n">
        <v>1</v>
      </c>
      <c r="G36" s="4" t="s">
        <v>26</v>
      </c>
    </row>
    <row r="37" customFormat="false" ht="15" hidden="false" customHeight="false" outlineLevel="0" collapsed="false">
      <c r="A37" s="4" t="s">
        <v>358</v>
      </c>
      <c r="B37" s="3" t="n">
        <v>5</v>
      </c>
      <c r="C37" s="4" t="s">
        <v>885</v>
      </c>
      <c r="D37" s="4" t="s">
        <v>933</v>
      </c>
      <c r="E37" s="3" t="n">
        <v>1</v>
      </c>
      <c r="F37" s="10" t="n">
        <v>1</v>
      </c>
      <c r="G37" s="4" t="s">
        <v>26</v>
      </c>
    </row>
    <row r="38" customFormat="false" ht="15" hidden="false" customHeight="false" outlineLevel="0" collapsed="false">
      <c r="A38" s="4" t="s">
        <v>358</v>
      </c>
      <c r="B38" s="3" t="n">
        <v>6</v>
      </c>
      <c r="C38" s="4" t="s">
        <v>889</v>
      </c>
      <c r="D38" s="4" t="s">
        <v>933</v>
      </c>
      <c r="E38" s="3" t="n">
        <v>1</v>
      </c>
      <c r="F38" s="10" t="n">
        <v>1</v>
      </c>
      <c r="G38" s="4" t="s">
        <v>26</v>
      </c>
    </row>
    <row r="39" customFormat="false" ht="15" hidden="false" customHeight="false" outlineLevel="0" collapsed="false">
      <c r="A39" s="4" t="s">
        <v>358</v>
      </c>
      <c r="B39" s="3" t="n">
        <v>7</v>
      </c>
      <c r="C39" s="4" t="s">
        <v>892</v>
      </c>
      <c r="D39" s="4" t="s">
        <v>933</v>
      </c>
      <c r="E39" s="3" t="n">
        <v>1</v>
      </c>
      <c r="F39" s="10" t="n">
        <v>1</v>
      </c>
      <c r="G39" s="4" t="s">
        <v>26</v>
      </c>
    </row>
    <row r="40" customFormat="false" ht="15" hidden="false" customHeight="false" outlineLevel="0" collapsed="false">
      <c r="A40" s="4" t="s">
        <v>358</v>
      </c>
      <c r="B40" s="3" t="n">
        <v>8</v>
      </c>
      <c r="C40" s="4" t="s">
        <v>911</v>
      </c>
      <c r="D40" s="4" t="s">
        <v>933</v>
      </c>
      <c r="E40" s="3" t="n">
        <v>1</v>
      </c>
      <c r="F40" s="10" t="n">
        <v>1</v>
      </c>
      <c r="G40" s="4" t="s">
        <v>26</v>
      </c>
    </row>
    <row r="41" customFormat="false" ht="15" hidden="false" customHeight="false" outlineLevel="0" collapsed="false">
      <c r="A41" s="4" t="s">
        <v>358</v>
      </c>
      <c r="B41" s="3" t="n">
        <v>9</v>
      </c>
      <c r="C41" s="4" t="s">
        <v>913</v>
      </c>
      <c r="D41" s="4" t="s">
        <v>933</v>
      </c>
      <c r="E41" s="3" t="n">
        <v>1</v>
      </c>
      <c r="F41" s="10" t="n">
        <v>1</v>
      </c>
      <c r="G41" s="4" t="s">
        <v>26</v>
      </c>
    </row>
    <row r="42" customFormat="false" ht="15" hidden="false" customHeight="false" outlineLevel="0" collapsed="false">
      <c r="A42" s="4" t="s">
        <v>358</v>
      </c>
      <c r="B42" s="3" t="n">
        <v>10</v>
      </c>
      <c r="C42" s="4" t="s">
        <v>896</v>
      </c>
      <c r="D42" s="4" t="s">
        <v>933</v>
      </c>
      <c r="E42" s="3" t="n">
        <v>1</v>
      </c>
      <c r="F42" s="10" t="n">
        <v>1</v>
      </c>
      <c r="G42" s="4" t="s">
        <v>26</v>
      </c>
    </row>
    <row r="43" customFormat="false" ht="15" hidden="false" customHeight="false" outlineLevel="0" collapsed="false">
      <c r="A43" s="4" t="s">
        <v>358</v>
      </c>
      <c r="B43" s="3" t="n">
        <v>11</v>
      </c>
      <c r="C43" s="4" t="s">
        <v>898</v>
      </c>
      <c r="D43" s="4" t="s">
        <v>933</v>
      </c>
      <c r="E43" s="3" t="n">
        <v>1</v>
      </c>
      <c r="F43" s="10" t="n">
        <v>1</v>
      </c>
      <c r="G43" s="4" t="s">
        <v>26</v>
      </c>
    </row>
    <row r="44" customFormat="false" ht="15" hidden="false" customHeight="false" outlineLevel="0" collapsed="false">
      <c r="A44" s="4" t="s">
        <v>358</v>
      </c>
      <c r="B44" s="3" t="n">
        <v>12</v>
      </c>
      <c r="C44" s="4" t="s">
        <v>901</v>
      </c>
      <c r="D44" s="4" t="s">
        <v>933</v>
      </c>
      <c r="E44" s="3" t="n">
        <v>1</v>
      </c>
      <c r="F44" s="10" t="n">
        <v>1</v>
      </c>
      <c r="G44" s="4" t="s">
        <v>26</v>
      </c>
    </row>
    <row r="45" customFormat="false" ht="15" hidden="false" customHeight="false" outlineLevel="0" collapsed="false">
      <c r="A45" s="4" t="s">
        <v>361</v>
      </c>
      <c r="B45" s="3" t="n">
        <v>1</v>
      </c>
      <c r="C45" s="4" t="s">
        <v>865</v>
      </c>
      <c r="D45" s="4" t="s">
        <v>933</v>
      </c>
      <c r="E45" s="3" t="n">
        <v>1</v>
      </c>
      <c r="F45" s="10" t="n">
        <v>1</v>
      </c>
      <c r="G45" s="4" t="s">
        <v>26</v>
      </c>
    </row>
    <row r="46" customFormat="false" ht="15" hidden="false" customHeight="false" outlineLevel="0" collapsed="false">
      <c r="A46" s="4" t="s">
        <v>361</v>
      </c>
      <c r="B46" s="3" t="n">
        <v>2</v>
      </c>
      <c r="C46" s="4" t="s">
        <v>870</v>
      </c>
      <c r="D46" s="4" t="s">
        <v>933</v>
      </c>
      <c r="E46" s="3" t="n">
        <v>1</v>
      </c>
      <c r="F46" s="10" t="n">
        <v>1</v>
      </c>
      <c r="G46" s="4" t="s">
        <v>26</v>
      </c>
    </row>
    <row r="47" customFormat="false" ht="15" hidden="false" customHeight="false" outlineLevel="0" collapsed="false">
      <c r="A47" s="4" t="s">
        <v>361</v>
      </c>
      <c r="B47" s="3" t="n">
        <v>3</v>
      </c>
      <c r="C47" s="4" t="s">
        <v>873</v>
      </c>
      <c r="D47" s="4" t="s">
        <v>933</v>
      </c>
      <c r="E47" s="3" t="n">
        <v>1</v>
      </c>
      <c r="F47" s="10" t="n">
        <v>1</v>
      </c>
      <c r="G47" s="4" t="s">
        <v>26</v>
      </c>
    </row>
    <row r="48" customFormat="false" ht="15" hidden="false" customHeight="false" outlineLevel="0" collapsed="false">
      <c r="A48" s="4" t="s">
        <v>361</v>
      </c>
      <c r="B48" s="3" t="n">
        <v>3</v>
      </c>
      <c r="C48" s="4" t="s">
        <v>903</v>
      </c>
      <c r="D48" s="4" t="s">
        <v>934</v>
      </c>
      <c r="E48" s="3" t="n">
        <v>1</v>
      </c>
      <c r="F48" s="10" t="n">
        <v>1.1</v>
      </c>
      <c r="G48" s="4" t="s">
        <v>30</v>
      </c>
    </row>
    <row r="49" customFormat="false" ht="15" hidden="false" customHeight="false" outlineLevel="0" collapsed="false">
      <c r="A49" s="4" t="s">
        <v>361</v>
      </c>
      <c r="B49" s="3" t="n">
        <v>4</v>
      </c>
      <c r="C49" s="4" t="s">
        <v>877</v>
      </c>
      <c r="D49" s="4" t="s">
        <v>933</v>
      </c>
      <c r="E49" s="3" t="n">
        <v>1</v>
      </c>
      <c r="F49" s="10" t="n">
        <v>1</v>
      </c>
      <c r="G49" s="4" t="s">
        <v>26</v>
      </c>
    </row>
    <row r="50" customFormat="false" ht="15" hidden="false" customHeight="false" outlineLevel="0" collapsed="false">
      <c r="A50" s="4" t="s">
        <v>361</v>
      </c>
      <c r="B50" s="3" t="n">
        <v>5</v>
      </c>
      <c r="C50" s="4" t="s">
        <v>881</v>
      </c>
      <c r="D50" s="4" t="s">
        <v>933</v>
      </c>
      <c r="E50" s="3" t="n">
        <v>1</v>
      </c>
      <c r="F50" s="10" t="n">
        <v>1</v>
      </c>
      <c r="G50" s="4" t="s">
        <v>26</v>
      </c>
    </row>
    <row r="51" customFormat="false" ht="15" hidden="false" customHeight="false" outlineLevel="0" collapsed="false">
      <c r="A51" s="4" t="s">
        <v>361</v>
      </c>
      <c r="B51" s="3" t="n">
        <v>5</v>
      </c>
      <c r="C51" s="4" t="s">
        <v>905</v>
      </c>
      <c r="D51" s="4" t="s">
        <v>935</v>
      </c>
      <c r="E51" s="3" t="n">
        <v>1</v>
      </c>
      <c r="F51" s="10" t="n">
        <v>1</v>
      </c>
      <c r="G51" s="4" t="s">
        <v>30</v>
      </c>
    </row>
    <row r="52" customFormat="false" ht="15" hidden="false" customHeight="false" outlineLevel="0" collapsed="false">
      <c r="A52" s="4" t="s">
        <v>361</v>
      </c>
      <c r="B52" s="3" t="n">
        <v>6</v>
      </c>
      <c r="C52" s="4" t="s">
        <v>885</v>
      </c>
      <c r="D52" s="4" t="s">
        <v>933</v>
      </c>
      <c r="E52" s="3" t="n">
        <v>1</v>
      </c>
      <c r="F52" s="10" t="n">
        <v>1</v>
      </c>
      <c r="G52" s="4" t="s">
        <v>26</v>
      </c>
    </row>
    <row r="53" customFormat="false" ht="15" hidden="false" customHeight="false" outlineLevel="0" collapsed="false">
      <c r="A53" s="4" t="s">
        <v>361</v>
      </c>
      <c r="B53" s="3" t="n">
        <v>7</v>
      </c>
      <c r="C53" s="4" t="s">
        <v>889</v>
      </c>
      <c r="D53" s="4" t="s">
        <v>933</v>
      </c>
      <c r="E53" s="3" t="n">
        <v>1</v>
      </c>
      <c r="F53" s="10" t="n">
        <v>1</v>
      </c>
      <c r="G53" s="4" t="s">
        <v>26</v>
      </c>
    </row>
    <row r="54" customFormat="false" ht="15" hidden="false" customHeight="false" outlineLevel="0" collapsed="false">
      <c r="A54" s="4" t="s">
        <v>361</v>
      </c>
      <c r="B54" s="3" t="n">
        <v>8</v>
      </c>
      <c r="C54" s="4" t="s">
        <v>892</v>
      </c>
      <c r="D54" s="4" t="s">
        <v>933</v>
      </c>
      <c r="E54" s="3" t="n">
        <v>1</v>
      </c>
      <c r="F54" s="10" t="n">
        <v>1</v>
      </c>
      <c r="G54" s="4" t="s">
        <v>26</v>
      </c>
    </row>
    <row r="55" customFormat="false" ht="15" hidden="false" customHeight="false" outlineLevel="0" collapsed="false">
      <c r="A55" s="4" t="s">
        <v>361</v>
      </c>
      <c r="B55" s="3" t="n">
        <v>9</v>
      </c>
      <c r="C55" s="4" t="s">
        <v>911</v>
      </c>
      <c r="D55" s="4" t="s">
        <v>933</v>
      </c>
      <c r="E55" s="3" t="n">
        <v>1</v>
      </c>
      <c r="F55" s="10" t="n">
        <v>1</v>
      </c>
      <c r="G55" s="4" t="s">
        <v>26</v>
      </c>
    </row>
    <row r="56" customFormat="false" ht="15" hidden="false" customHeight="false" outlineLevel="0" collapsed="false">
      <c r="A56" s="4" t="s">
        <v>361</v>
      </c>
      <c r="B56" s="3" t="n">
        <v>10</v>
      </c>
      <c r="C56" s="4" t="s">
        <v>913</v>
      </c>
      <c r="D56" s="4" t="s">
        <v>933</v>
      </c>
      <c r="E56" s="3" t="n">
        <v>1</v>
      </c>
      <c r="F56" s="10" t="n">
        <v>1</v>
      </c>
      <c r="G56" s="4" t="s">
        <v>26</v>
      </c>
    </row>
    <row r="57" customFormat="false" ht="15" hidden="false" customHeight="false" outlineLevel="0" collapsed="false">
      <c r="A57" s="4" t="s">
        <v>361</v>
      </c>
      <c r="B57" s="3" t="n">
        <v>11</v>
      </c>
      <c r="C57" s="4" t="s">
        <v>896</v>
      </c>
      <c r="D57" s="4" t="s">
        <v>933</v>
      </c>
      <c r="E57" s="3" t="n">
        <v>1</v>
      </c>
      <c r="F57" s="10" t="n">
        <v>1</v>
      </c>
      <c r="G57" s="4" t="s">
        <v>26</v>
      </c>
    </row>
    <row r="58" customFormat="false" ht="15" hidden="false" customHeight="false" outlineLevel="0" collapsed="false">
      <c r="A58" s="4" t="s">
        <v>361</v>
      </c>
      <c r="B58" s="3" t="n">
        <v>12</v>
      </c>
      <c r="C58" s="4" t="s">
        <v>898</v>
      </c>
      <c r="D58" s="4" t="s">
        <v>933</v>
      </c>
      <c r="E58" s="3" t="n">
        <v>1</v>
      </c>
      <c r="F58" s="10" t="n">
        <v>1</v>
      </c>
      <c r="G58" s="4" t="s">
        <v>26</v>
      </c>
    </row>
    <row r="59" customFormat="false" ht="15" hidden="false" customHeight="false" outlineLevel="0" collapsed="false">
      <c r="A59" s="4" t="s">
        <v>361</v>
      </c>
      <c r="B59" s="3" t="n">
        <v>13</v>
      </c>
      <c r="C59" s="4" t="s">
        <v>901</v>
      </c>
      <c r="D59" s="4" t="s">
        <v>933</v>
      </c>
      <c r="E59" s="3" t="n">
        <v>1</v>
      </c>
      <c r="F59" s="10" t="n">
        <v>1</v>
      </c>
      <c r="G59" s="4" t="s">
        <v>26</v>
      </c>
    </row>
    <row r="60" customFormat="false" ht="15" hidden="false" customHeight="false" outlineLevel="0" collapsed="false">
      <c r="A60" s="4" t="s">
        <v>375</v>
      </c>
      <c r="B60" s="3" t="n">
        <v>1</v>
      </c>
      <c r="C60" s="4" t="s">
        <v>865</v>
      </c>
      <c r="D60" s="4" t="s">
        <v>933</v>
      </c>
      <c r="E60" s="3" t="n">
        <v>1</v>
      </c>
      <c r="F60" s="10" t="n">
        <v>1</v>
      </c>
      <c r="G60" s="4" t="s">
        <v>26</v>
      </c>
    </row>
    <row r="61" customFormat="false" ht="15" hidden="false" customHeight="false" outlineLevel="0" collapsed="false">
      <c r="A61" s="4" t="s">
        <v>375</v>
      </c>
      <c r="B61" s="3" t="n">
        <v>2</v>
      </c>
      <c r="C61" s="4" t="s">
        <v>873</v>
      </c>
      <c r="D61" s="4" t="s">
        <v>933</v>
      </c>
      <c r="E61" s="3" t="n">
        <v>1</v>
      </c>
      <c r="F61" s="10" t="n">
        <v>1</v>
      </c>
      <c r="G61" s="4" t="s">
        <v>26</v>
      </c>
    </row>
    <row r="62" customFormat="false" ht="15" hidden="false" customHeight="false" outlineLevel="0" collapsed="false">
      <c r="A62" s="4" t="s">
        <v>375</v>
      </c>
      <c r="B62" s="3" t="n">
        <v>2</v>
      </c>
      <c r="C62" s="4" t="s">
        <v>903</v>
      </c>
      <c r="D62" s="4" t="s">
        <v>934</v>
      </c>
      <c r="E62" s="3" t="n">
        <v>1</v>
      </c>
      <c r="F62" s="10" t="n">
        <v>1.1</v>
      </c>
      <c r="G62" s="4" t="s">
        <v>30</v>
      </c>
    </row>
    <row r="63" customFormat="false" ht="15" hidden="false" customHeight="false" outlineLevel="0" collapsed="false">
      <c r="A63" s="4" t="s">
        <v>375</v>
      </c>
      <c r="B63" s="3" t="n">
        <v>3</v>
      </c>
      <c r="C63" s="4" t="s">
        <v>877</v>
      </c>
      <c r="D63" s="4" t="s">
        <v>933</v>
      </c>
      <c r="E63" s="3" t="n">
        <v>1</v>
      </c>
      <c r="F63" s="10" t="n">
        <v>1</v>
      </c>
      <c r="G63" s="4" t="s">
        <v>26</v>
      </c>
    </row>
    <row r="64" customFormat="false" ht="15" hidden="false" customHeight="false" outlineLevel="0" collapsed="false">
      <c r="A64" s="4" t="s">
        <v>375</v>
      </c>
      <c r="B64" s="3" t="n">
        <v>4</v>
      </c>
      <c r="C64" s="4" t="s">
        <v>885</v>
      </c>
      <c r="D64" s="4" t="s">
        <v>933</v>
      </c>
      <c r="E64" s="3" t="n">
        <v>1</v>
      </c>
      <c r="F64" s="10" t="n">
        <v>1</v>
      </c>
      <c r="G64" s="4" t="s">
        <v>26</v>
      </c>
    </row>
    <row r="65" customFormat="false" ht="15" hidden="false" customHeight="false" outlineLevel="0" collapsed="false">
      <c r="A65" s="4" t="s">
        <v>375</v>
      </c>
      <c r="B65" s="3" t="n">
        <v>5</v>
      </c>
      <c r="C65" s="4" t="s">
        <v>889</v>
      </c>
      <c r="D65" s="4" t="s">
        <v>933</v>
      </c>
      <c r="E65" s="3" t="n">
        <v>1</v>
      </c>
      <c r="F65" s="10" t="n">
        <v>1</v>
      </c>
      <c r="G65" s="4" t="s">
        <v>26</v>
      </c>
    </row>
    <row r="66" customFormat="false" ht="15" hidden="false" customHeight="false" outlineLevel="0" collapsed="false">
      <c r="A66" s="4" t="s">
        <v>375</v>
      </c>
      <c r="B66" s="3" t="n">
        <v>6</v>
      </c>
      <c r="C66" s="4" t="s">
        <v>892</v>
      </c>
      <c r="D66" s="4" t="s">
        <v>933</v>
      </c>
      <c r="E66" s="3" t="n">
        <v>1</v>
      </c>
      <c r="F66" s="10" t="n">
        <v>1</v>
      </c>
      <c r="G66" s="4" t="s">
        <v>26</v>
      </c>
    </row>
    <row r="67" customFormat="false" ht="15" hidden="false" customHeight="false" outlineLevel="0" collapsed="false">
      <c r="A67" s="4" t="s">
        <v>375</v>
      </c>
      <c r="B67" s="3" t="n">
        <v>7</v>
      </c>
      <c r="C67" s="4" t="s">
        <v>911</v>
      </c>
      <c r="D67" s="4" t="s">
        <v>933</v>
      </c>
      <c r="E67" s="3" t="n">
        <v>1</v>
      </c>
      <c r="F67" s="10" t="n">
        <v>1</v>
      </c>
      <c r="G67" s="4" t="s">
        <v>26</v>
      </c>
    </row>
    <row r="68" customFormat="false" ht="15" hidden="false" customHeight="false" outlineLevel="0" collapsed="false">
      <c r="A68" s="4" t="s">
        <v>375</v>
      </c>
      <c r="B68" s="3" t="n">
        <v>8</v>
      </c>
      <c r="C68" s="4" t="s">
        <v>913</v>
      </c>
      <c r="D68" s="4" t="s">
        <v>933</v>
      </c>
      <c r="E68" s="3" t="n">
        <v>1</v>
      </c>
      <c r="F68" s="10" t="n">
        <v>1</v>
      </c>
      <c r="G68" s="4" t="s">
        <v>26</v>
      </c>
    </row>
    <row r="69" customFormat="false" ht="15" hidden="false" customHeight="false" outlineLevel="0" collapsed="false">
      <c r="A69" s="4" t="s">
        <v>375</v>
      </c>
      <c r="B69" s="3" t="n">
        <v>9</v>
      </c>
      <c r="C69" s="4" t="s">
        <v>896</v>
      </c>
      <c r="D69" s="4" t="s">
        <v>933</v>
      </c>
      <c r="E69" s="3" t="n">
        <v>1</v>
      </c>
      <c r="F69" s="10" t="n">
        <v>1</v>
      </c>
      <c r="G69" s="4" t="s">
        <v>26</v>
      </c>
    </row>
    <row r="70" customFormat="false" ht="15" hidden="false" customHeight="false" outlineLevel="0" collapsed="false">
      <c r="A70" s="4" t="s">
        <v>375</v>
      </c>
      <c r="B70" s="3" t="n">
        <v>10</v>
      </c>
      <c r="C70" s="4" t="s">
        <v>898</v>
      </c>
      <c r="D70" s="4" t="s">
        <v>933</v>
      </c>
      <c r="E70" s="3" t="n">
        <v>1</v>
      </c>
      <c r="F70" s="10" t="n">
        <v>1</v>
      </c>
      <c r="G70" s="4" t="s">
        <v>26</v>
      </c>
    </row>
    <row r="71" customFormat="false" ht="15" hidden="false" customHeight="false" outlineLevel="0" collapsed="false">
      <c r="A71" s="4" t="s">
        <v>375</v>
      </c>
      <c r="B71" s="3" t="n">
        <v>11</v>
      </c>
      <c r="C71" s="4" t="s">
        <v>901</v>
      </c>
      <c r="D71" s="4" t="s">
        <v>933</v>
      </c>
      <c r="E71" s="3" t="n">
        <v>1</v>
      </c>
      <c r="F71" s="10" t="n">
        <v>1</v>
      </c>
      <c r="G71" s="4" t="s">
        <v>26</v>
      </c>
    </row>
    <row r="72" customFormat="false" ht="15" hidden="false" customHeight="false" outlineLevel="0" collapsed="false">
      <c r="A72" s="4" t="s">
        <v>378</v>
      </c>
      <c r="B72" s="3" t="n">
        <v>1</v>
      </c>
      <c r="C72" s="4" t="s">
        <v>865</v>
      </c>
      <c r="D72" s="4" t="s">
        <v>933</v>
      </c>
      <c r="E72" s="3" t="n">
        <v>1</v>
      </c>
      <c r="F72" s="10" t="n">
        <v>1</v>
      </c>
      <c r="G72" s="4" t="s">
        <v>26</v>
      </c>
    </row>
    <row r="73" customFormat="false" ht="15" hidden="false" customHeight="false" outlineLevel="0" collapsed="false">
      <c r="A73" s="4" t="s">
        <v>378</v>
      </c>
      <c r="B73" s="3" t="n">
        <v>2</v>
      </c>
      <c r="C73" s="4" t="s">
        <v>873</v>
      </c>
      <c r="D73" s="4" t="s">
        <v>933</v>
      </c>
      <c r="E73" s="3" t="n">
        <v>1</v>
      </c>
      <c r="F73" s="10" t="n">
        <v>1</v>
      </c>
      <c r="G73" s="4" t="s">
        <v>26</v>
      </c>
    </row>
    <row r="74" customFormat="false" ht="15" hidden="false" customHeight="false" outlineLevel="0" collapsed="false">
      <c r="A74" s="4" t="s">
        <v>378</v>
      </c>
      <c r="B74" s="3" t="n">
        <v>2</v>
      </c>
      <c r="C74" s="4" t="s">
        <v>903</v>
      </c>
      <c r="D74" s="4" t="s">
        <v>934</v>
      </c>
      <c r="E74" s="3" t="n">
        <v>1</v>
      </c>
      <c r="F74" s="10" t="n">
        <v>1.1</v>
      </c>
      <c r="G74" s="4" t="s">
        <v>30</v>
      </c>
    </row>
    <row r="75" customFormat="false" ht="15" hidden="false" customHeight="false" outlineLevel="0" collapsed="false">
      <c r="A75" s="4" t="s">
        <v>378</v>
      </c>
      <c r="B75" s="3" t="n">
        <v>3</v>
      </c>
      <c r="C75" s="4" t="s">
        <v>877</v>
      </c>
      <c r="D75" s="4" t="s">
        <v>933</v>
      </c>
      <c r="E75" s="3" t="n">
        <v>1</v>
      </c>
      <c r="F75" s="10" t="n">
        <v>1</v>
      </c>
      <c r="G75" s="4" t="s">
        <v>26</v>
      </c>
    </row>
    <row r="76" customFormat="false" ht="15" hidden="false" customHeight="false" outlineLevel="0" collapsed="false">
      <c r="A76" s="4" t="s">
        <v>378</v>
      </c>
      <c r="B76" s="3" t="n">
        <v>4</v>
      </c>
      <c r="C76" s="4" t="s">
        <v>885</v>
      </c>
      <c r="D76" s="4" t="s">
        <v>933</v>
      </c>
      <c r="E76" s="3" t="n">
        <v>1</v>
      </c>
      <c r="F76" s="10" t="n">
        <v>1</v>
      </c>
      <c r="G76" s="4" t="s">
        <v>26</v>
      </c>
    </row>
    <row r="77" customFormat="false" ht="15" hidden="false" customHeight="false" outlineLevel="0" collapsed="false">
      <c r="A77" s="4" t="s">
        <v>378</v>
      </c>
      <c r="B77" s="3" t="n">
        <v>5</v>
      </c>
      <c r="C77" s="4" t="s">
        <v>889</v>
      </c>
      <c r="D77" s="4" t="s">
        <v>933</v>
      </c>
      <c r="E77" s="3" t="n">
        <v>1</v>
      </c>
      <c r="F77" s="10" t="n">
        <v>1</v>
      </c>
      <c r="G77" s="4" t="s">
        <v>26</v>
      </c>
    </row>
    <row r="78" customFormat="false" ht="15" hidden="false" customHeight="false" outlineLevel="0" collapsed="false">
      <c r="A78" s="4" t="s">
        <v>378</v>
      </c>
      <c r="B78" s="3" t="n">
        <v>6</v>
      </c>
      <c r="C78" s="4" t="s">
        <v>892</v>
      </c>
      <c r="D78" s="4" t="s">
        <v>933</v>
      </c>
      <c r="E78" s="3" t="n">
        <v>1</v>
      </c>
      <c r="F78" s="10" t="n">
        <v>1</v>
      </c>
      <c r="G78" s="4" t="s">
        <v>26</v>
      </c>
    </row>
    <row r="79" customFormat="false" ht="15" hidden="false" customHeight="false" outlineLevel="0" collapsed="false">
      <c r="A79" s="4" t="s">
        <v>378</v>
      </c>
      <c r="B79" s="3" t="n">
        <v>7</v>
      </c>
      <c r="C79" s="4" t="s">
        <v>911</v>
      </c>
      <c r="D79" s="4" t="s">
        <v>933</v>
      </c>
      <c r="E79" s="3" t="n">
        <v>1</v>
      </c>
      <c r="F79" s="10" t="n">
        <v>1</v>
      </c>
      <c r="G79" s="4" t="s">
        <v>26</v>
      </c>
    </row>
    <row r="80" customFormat="false" ht="15" hidden="false" customHeight="false" outlineLevel="0" collapsed="false">
      <c r="A80" s="4" t="s">
        <v>378</v>
      </c>
      <c r="B80" s="3" t="n">
        <v>8</v>
      </c>
      <c r="C80" s="4" t="s">
        <v>913</v>
      </c>
      <c r="D80" s="4" t="s">
        <v>933</v>
      </c>
      <c r="E80" s="3" t="n">
        <v>1</v>
      </c>
      <c r="F80" s="10" t="n">
        <v>1</v>
      </c>
      <c r="G80" s="4" t="s">
        <v>26</v>
      </c>
    </row>
    <row r="81" customFormat="false" ht="15" hidden="false" customHeight="false" outlineLevel="0" collapsed="false">
      <c r="A81" s="4" t="s">
        <v>378</v>
      </c>
      <c r="B81" s="3" t="n">
        <v>9</v>
      </c>
      <c r="C81" s="4" t="s">
        <v>896</v>
      </c>
      <c r="D81" s="4" t="s">
        <v>933</v>
      </c>
      <c r="E81" s="3" t="n">
        <v>1</v>
      </c>
      <c r="F81" s="10" t="n">
        <v>1</v>
      </c>
      <c r="G81" s="4" t="s">
        <v>26</v>
      </c>
    </row>
    <row r="82" customFormat="false" ht="15" hidden="false" customHeight="false" outlineLevel="0" collapsed="false">
      <c r="A82" s="4" t="s">
        <v>378</v>
      </c>
      <c r="B82" s="3" t="n">
        <v>10</v>
      </c>
      <c r="C82" s="4" t="s">
        <v>898</v>
      </c>
      <c r="D82" s="4" t="s">
        <v>933</v>
      </c>
      <c r="E82" s="3" t="n">
        <v>1</v>
      </c>
      <c r="F82" s="10" t="n">
        <v>1</v>
      </c>
      <c r="G82" s="4" t="s">
        <v>26</v>
      </c>
    </row>
    <row r="83" customFormat="false" ht="15" hidden="false" customHeight="false" outlineLevel="0" collapsed="false">
      <c r="A83" s="4" t="s">
        <v>378</v>
      </c>
      <c r="B83" s="3" t="n">
        <v>11</v>
      </c>
      <c r="C83" s="4" t="s">
        <v>901</v>
      </c>
      <c r="D83" s="4" t="s">
        <v>933</v>
      </c>
      <c r="E83" s="3" t="n">
        <v>1</v>
      </c>
      <c r="F83" s="10" t="n">
        <v>1</v>
      </c>
      <c r="G83" s="4" t="s">
        <v>26</v>
      </c>
    </row>
    <row r="84" customFormat="false" ht="15" hidden="false" customHeight="false" outlineLevel="0" collapsed="false">
      <c r="A84" s="4" t="s">
        <v>393</v>
      </c>
      <c r="B84" s="3" t="n">
        <v>1</v>
      </c>
      <c r="C84" s="4" t="s">
        <v>865</v>
      </c>
      <c r="D84" s="4" t="s">
        <v>933</v>
      </c>
      <c r="E84" s="3" t="n">
        <v>1</v>
      </c>
      <c r="F84" s="10" t="n">
        <v>1</v>
      </c>
      <c r="G84" s="4" t="s">
        <v>26</v>
      </c>
    </row>
    <row r="85" customFormat="false" ht="15" hidden="false" customHeight="false" outlineLevel="0" collapsed="false">
      <c r="A85" s="4" t="s">
        <v>393</v>
      </c>
      <c r="B85" s="3" t="n">
        <v>2</v>
      </c>
      <c r="C85" s="4" t="s">
        <v>873</v>
      </c>
      <c r="D85" s="4" t="s">
        <v>933</v>
      </c>
      <c r="E85" s="3" t="n">
        <v>1</v>
      </c>
      <c r="F85" s="10" t="n">
        <v>1</v>
      </c>
      <c r="G85" s="4" t="s">
        <v>26</v>
      </c>
    </row>
    <row r="86" customFormat="false" ht="15" hidden="false" customHeight="false" outlineLevel="0" collapsed="false">
      <c r="A86" s="4" t="s">
        <v>393</v>
      </c>
      <c r="B86" s="3" t="n">
        <v>2</v>
      </c>
      <c r="C86" s="4" t="s">
        <v>903</v>
      </c>
      <c r="D86" s="4" t="s">
        <v>934</v>
      </c>
      <c r="E86" s="3" t="n">
        <v>1</v>
      </c>
      <c r="F86" s="10" t="n">
        <v>1.1</v>
      </c>
      <c r="G86" s="4" t="s">
        <v>30</v>
      </c>
    </row>
    <row r="87" customFormat="false" ht="15" hidden="false" customHeight="false" outlineLevel="0" collapsed="false">
      <c r="A87" s="4" t="s">
        <v>393</v>
      </c>
      <c r="B87" s="3" t="n">
        <v>3</v>
      </c>
      <c r="C87" s="4" t="s">
        <v>877</v>
      </c>
      <c r="D87" s="4" t="s">
        <v>933</v>
      </c>
      <c r="E87" s="3" t="n">
        <v>1</v>
      </c>
      <c r="F87" s="10" t="n">
        <v>1</v>
      </c>
      <c r="G87" s="4" t="s">
        <v>26</v>
      </c>
    </row>
    <row r="88" customFormat="false" ht="15" hidden="false" customHeight="false" outlineLevel="0" collapsed="false">
      <c r="A88" s="4" t="s">
        <v>393</v>
      </c>
      <c r="B88" s="3" t="n">
        <v>4</v>
      </c>
      <c r="C88" s="4" t="s">
        <v>885</v>
      </c>
      <c r="D88" s="4" t="s">
        <v>933</v>
      </c>
      <c r="E88" s="3" t="n">
        <v>1</v>
      </c>
      <c r="F88" s="10" t="n">
        <v>1</v>
      </c>
      <c r="G88" s="4" t="s">
        <v>26</v>
      </c>
    </row>
    <row r="89" customFormat="false" ht="15" hidden="false" customHeight="false" outlineLevel="0" collapsed="false">
      <c r="A89" s="4" t="s">
        <v>393</v>
      </c>
      <c r="B89" s="3" t="n">
        <v>5</v>
      </c>
      <c r="C89" s="4" t="s">
        <v>889</v>
      </c>
      <c r="D89" s="4" t="s">
        <v>933</v>
      </c>
      <c r="E89" s="3" t="n">
        <v>1</v>
      </c>
      <c r="F89" s="10" t="n">
        <v>1</v>
      </c>
      <c r="G89" s="4" t="s">
        <v>26</v>
      </c>
    </row>
    <row r="90" customFormat="false" ht="15" hidden="false" customHeight="false" outlineLevel="0" collapsed="false">
      <c r="A90" s="4" t="s">
        <v>393</v>
      </c>
      <c r="B90" s="3" t="n">
        <v>6</v>
      </c>
      <c r="C90" s="4" t="s">
        <v>892</v>
      </c>
      <c r="D90" s="4" t="s">
        <v>933</v>
      </c>
      <c r="E90" s="3" t="n">
        <v>1</v>
      </c>
      <c r="F90" s="10" t="n">
        <v>1</v>
      </c>
      <c r="G90" s="4" t="s">
        <v>26</v>
      </c>
    </row>
    <row r="91" customFormat="false" ht="15" hidden="false" customHeight="false" outlineLevel="0" collapsed="false">
      <c r="A91" s="4" t="s">
        <v>393</v>
      </c>
      <c r="B91" s="3" t="n">
        <v>7</v>
      </c>
      <c r="C91" s="4" t="s">
        <v>911</v>
      </c>
      <c r="D91" s="4" t="s">
        <v>933</v>
      </c>
      <c r="E91" s="3" t="n">
        <v>1</v>
      </c>
      <c r="F91" s="10" t="n">
        <v>1</v>
      </c>
      <c r="G91" s="4" t="s">
        <v>26</v>
      </c>
    </row>
    <row r="92" customFormat="false" ht="15" hidden="false" customHeight="false" outlineLevel="0" collapsed="false">
      <c r="A92" s="4" t="s">
        <v>393</v>
      </c>
      <c r="B92" s="3" t="n">
        <v>8</v>
      </c>
      <c r="C92" s="4" t="s">
        <v>913</v>
      </c>
      <c r="D92" s="4" t="s">
        <v>933</v>
      </c>
      <c r="E92" s="3" t="n">
        <v>1</v>
      </c>
      <c r="F92" s="10" t="n">
        <v>1</v>
      </c>
      <c r="G92" s="4" t="s">
        <v>26</v>
      </c>
    </row>
    <row r="93" customFormat="false" ht="15" hidden="false" customHeight="false" outlineLevel="0" collapsed="false">
      <c r="A93" s="4" t="s">
        <v>393</v>
      </c>
      <c r="B93" s="3" t="n">
        <v>9</v>
      </c>
      <c r="C93" s="4" t="s">
        <v>896</v>
      </c>
      <c r="D93" s="4" t="s">
        <v>933</v>
      </c>
      <c r="E93" s="3" t="n">
        <v>1</v>
      </c>
      <c r="F93" s="10" t="n">
        <v>1</v>
      </c>
      <c r="G93" s="4" t="s">
        <v>26</v>
      </c>
    </row>
    <row r="94" customFormat="false" ht="15" hidden="false" customHeight="false" outlineLevel="0" collapsed="false">
      <c r="A94" s="4" t="s">
        <v>393</v>
      </c>
      <c r="B94" s="3" t="n">
        <v>10</v>
      </c>
      <c r="C94" s="4" t="s">
        <v>898</v>
      </c>
      <c r="D94" s="4" t="s">
        <v>933</v>
      </c>
      <c r="E94" s="3" t="n">
        <v>1</v>
      </c>
      <c r="F94" s="10" t="n">
        <v>1</v>
      </c>
      <c r="G94" s="4" t="s">
        <v>26</v>
      </c>
    </row>
    <row r="95" customFormat="false" ht="15" hidden="false" customHeight="false" outlineLevel="0" collapsed="false">
      <c r="A95" s="4" t="s">
        <v>393</v>
      </c>
      <c r="B95" s="3" t="n">
        <v>11</v>
      </c>
      <c r="C95" s="4" t="s">
        <v>901</v>
      </c>
      <c r="D95" s="4" t="s">
        <v>933</v>
      </c>
      <c r="E95" s="3" t="n">
        <v>1</v>
      </c>
      <c r="F95" s="10" t="n">
        <v>1</v>
      </c>
      <c r="G95" s="4" t="s">
        <v>26</v>
      </c>
    </row>
    <row r="96" customFormat="false" ht="15" hidden="false" customHeight="false" outlineLevel="0" collapsed="false">
      <c r="A96" s="4" t="s">
        <v>396</v>
      </c>
      <c r="B96" s="3" t="n">
        <v>1</v>
      </c>
      <c r="C96" s="4" t="s">
        <v>865</v>
      </c>
      <c r="D96" s="4" t="s">
        <v>933</v>
      </c>
      <c r="E96" s="3" t="n">
        <v>1</v>
      </c>
      <c r="F96" s="10" t="n">
        <v>1</v>
      </c>
      <c r="G96" s="4" t="s">
        <v>26</v>
      </c>
    </row>
    <row r="97" customFormat="false" ht="15" hidden="false" customHeight="false" outlineLevel="0" collapsed="false">
      <c r="A97" s="4" t="s">
        <v>396</v>
      </c>
      <c r="B97" s="3" t="n">
        <v>2</v>
      </c>
      <c r="C97" s="4" t="s">
        <v>870</v>
      </c>
      <c r="D97" s="4" t="s">
        <v>933</v>
      </c>
      <c r="E97" s="3" t="n">
        <v>1</v>
      </c>
      <c r="F97" s="10" t="n">
        <v>1</v>
      </c>
      <c r="G97" s="4" t="s">
        <v>26</v>
      </c>
    </row>
    <row r="98" customFormat="false" ht="15" hidden="false" customHeight="false" outlineLevel="0" collapsed="false">
      <c r="A98" s="4" t="s">
        <v>396</v>
      </c>
      <c r="B98" s="3" t="n">
        <v>3</v>
      </c>
      <c r="C98" s="4" t="s">
        <v>873</v>
      </c>
      <c r="D98" s="4" t="s">
        <v>933</v>
      </c>
      <c r="E98" s="3" t="n">
        <v>1</v>
      </c>
      <c r="F98" s="10" t="n">
        <v>1</v>
      </c>
      <c r="G98" s="4" t="s">
        <v>26</v>
      </c>
    </row>
    <row r="99" customFormat="false" ht="15" hidden="false" customHeight="false" outlineLevel="0" collapsed="false">
      <c r="A99" s="4" t="s">
        <v>396</v>
      </c>
      <c r="B99" s="3" t="n">
        <v>3</v>
      </c>
      <c r="C99" s="4" t="s">
        <v>903</v>
      </c>
      <c r="D99" s="4" t="s">
        <v>934</v>
      </c>
      <c r="E99" s="3" t="n">
        <v>1</v>
      </c>
      <c r="F99" s="10" t="n">
        <v>1.1</v>
      </c>
      <c r="G99" s="4" t="s">
        <v>30</v>
      </c>
    </row>
    <row r="100" customFormat="false" ht="15" hidden="false" customHeight="false" outlineLevel="0" collapsed="false">
      <c r="A100" s="4" t="s">
        <v>396</v>
      </c>
      <c r="B100" s="3" t="n">
        <v>4</v>
      </c>
      <c r="C100" s="4" t="s">
        <v>877</v>
      </c>
      <c r="D100" s="4" t="s">
        <v>933</v>
      </c>
      <c r="E100" s="3" t="n">
        <v>1</v>
      </c>
      <c r="F100" s="10" t="n">
        <v>1</v>
      </c>
      <c r="G100" s="4" t="s">
        <v>26</v>
      </c>
    </row>
    <row r="101" customFormat="false" ht="15" hidden="false" customHeight="false" outlineLevel="0" collapsed="false">
      <c r="A101" s="4" t="s">
        <v>396</v>
      </c>
      <c r="B101" s="3" t="n">
        <v>5</v>
      </c>
      <c r="C101" s="4" t="s">
        <v>885</v>
      </c>
      <c r="D101" s="4" t="s">
        <v>933</v>
      </c>
      <c r="E101" s="3" t="n">
        <v>1</v>
      </c>
      <c r="F101" s="10" t="n">
        <v>1</v>
      </c>
      <c r="G101" s="4" t="s">
        <v>26</v>
      </c>
    </row>
    <row r="102" customFormat="false" ht="15" hidden="false" customHeight="false" outlineLevel="0" collapsed="false">
      <c r="A102" s="4" t="s">
        <v>396</v>
      </c>
      <c r="B102" s="3" t="n">
        <v>6</v>
      </c>
      <c r="C102" s="4" t="s">
        <v>889</v>
      </c>
      <c r="D102" s="4" t="s">
        <v>933</v>
      </c>
      <c r="E102" s="3" t="n">
        <v>1</v>
      </c>
      <c r="F102" s="10" t="n">
        <v>1</v>
      </c>
      <c r="G102" s="4" t="s">
        <v>26</v>
      </c>
    </row>
    <row r="103" customFormat="false" ht="15" hidden="false" customHeight="false" outlineLevel="0" collapsed="false">
      <c r="A103" s="4" t="s">
        <v>396</v>
      </c>
      <c r="B103" s="3" t="n">
        <v>7</v>
      </c>
      <c r="C103" s="4" t="s">
        <v>892</v>
      </c>
      <c r="D103" s="4" t="s">
        <v>933</v>
      </c>
      <c r="E103" s="3" t="n">
        <v>1</v>
      </c>
      <c r="F103" s="10" t="n">
        <v>1</v>
      </c>
      <c r="G103" s="4" t="s">
        <v>26</v>
      </c>
    </row>
    <row r="104" customFormat="false" ht="15" hidden="false" customHeight="false" outlineLevel="0" collapsed="false">
      <c r="A104" s="4" t="s">
        <v>396</v>
      </c>
      <c r="B104" s="3" t="n">
        <v>8</v>
      </c>
      <c r="C104" s="4" t="s">
        <v>911</v>
      </c>
      <c r="D104" s="4" t="s">
        <v>933</v>
      </c>
      <c r="E104" s="3" t="n">
        <v>1</v>
      </c>
      <c r="F104" s="10" t="n">
        <v>1</v>
      </c>
      <c r="G104" s="4" t="s">
        <v>26</v>
      </c>
    </row>
    <row r="105" customFormat="false" ht="15" hidden="false" customHeight="false" outlineLevel="0" collapsed="false">
      <c r="A105" s="4" t="s">
        <v>396</v>
      </c>
      <c r="B105" s="3" t="n">
        <v>9</v>
      </c>
      <c r="C105" s="4" t="s">
        <v>913</v>
      </c>
      <c r="D105" s="4" t="s">
        <v>933</v>
      </c>
      <c r="E105" s="3" t="n">
        <v>1</v>
      </c>
      <c r="F105" s="10" t="n">
        <v>1</v>
      </c>
      <c r="G105" s="4" t="s">
        <v>26</v>
      </c>
    </row>
    <row r="106" customFormat="false" ht="15" hidden="false" customHeight="false" outlineLevel="0" collapsed="false">
      <c r="A106" s="4" t="s">
        <v>396</v>
      </c>
      <c r="B106" s="3" t="n">
        <v>10</v>
      </c>
      <c r="C106" s="4" t="s">
        <v>896</v>
      </c>
      <c r="D106" s="4" t="s">
        <v>933</v>
      </c>
      <c r="E106" s="3" t="n">
        <v>1</v>
      </c>
      <c r="F106" s="10" t="n">
        <v>1</v>
      </c>
      <c r="G106" s="4" t="s">
        <v>26</v>
      </c>
    </row>
    <row r="107" customFormat="false" ht="15" hidden="false" customHeight="false" outlineLevel="0" collapsed="false">
      <c r="A107" s="4" t="s">
        <v>396</v>
      </c>
      <c r="B107" s="3" t="n">
        <v>11</v>
      </c>
      <c r="C107" s="4" t="s">
        <v>898</v>
      </c>
      <c r="D107" s="4" t="s">
        <v>933</v>
      </c>
      <c r="E107" s="3" t="n">
        <v>1</v>
      </c>
      <c r="F107" s="10" t="n">
        <v>1</v>
      </c>
      <c r="G107" s="4" t="s">
        <v>26</v>
      </c>
    </row>
    <row r="108" customFormat="false" ht="15" hidden="false" customHeight="false" outlineLevel="0" collapsed="false">
      <c r="A108" s="4" t="s">
        <v>396</v>
      </c>
      <c r="B108" s="3" t="n">
        <v>12</v>
      </c>
      <c r="C108" s="4" t="s">
        <v>901</v>
      </c>
      <c r="D108" s="4" t="s">
        <v>933</v>
      </c>
      <c r="E108" s="3" t="n">
        <v>1</v>
      </c>
      <c r="F108" s="10" t="n">
        <v>1</v>
      </c>
      <c r="G108" s="4" t="s">
        <v>26</v>
      </c>
    </row>
    <row r="109" customFormat="false" ht="15" hidden="false" customHeight="false" outlineLevel="0" collapsed="false">
      <c r="A109" s="4" t="s">
        <v>346</v>
      </c>
      <c r="B109" s="3" t="n">
        <v>1</v>
      </c>
      <c r="C109" s="4" t="s">
        <v>870</v>
      </c>
      <c r="D109" s="4" t="s">
        <v>933</v>
      </c>
      <c r="E109" s="3" t="n">
        <v>1</v>
      </c>
      <c r="F109" s="10" t="n">
        <v>1</v>
      </c>
      <c r="G109" s="4" t="s">
        <v>26</v>
      </c>
    </row>
    <row r="110" customFormat="false" ht="15" hidden="false" customHeight="false" outlineLevel="0" collapsed="false">
      <c r="A110" s="4" t="s">
        <v>346</v>
      </c>
      <c r="B110" s="3" t="n">
        <v>2</v>
      </c>
      <c r="C110" s="4" t="s">
        <v>903</v>
      </c>
      <c r="D110" s="4" t="s">
        <v>933</v>
      </c>
      <c r="E110" s="3" t="n">
        <v>1</v>
      </c>
      <c r="F110" s="10" t="n">
        <v>1</v>
      </c>
      <c r="G110" s="4" t="s">
        <v>26</v>
      </c>
    </row>
    <row r="111" customFormat="false" ht="15" hidden="false" customHeight="false" outlineLevel="0" collapsed="false">
      <c r="A111" s="4" t="s">
        <v>346</v>
      </c>
      <c r="B111" s="3" t="n">
        <v>2</v>
      </c>
      <c r="C111" s="4" t="s">
        <v>873</v>
      </c>
      <c r="D111" s="4" t="s">
        <v>934</v>
      </c>
      <c r="E111" s="3" t="n">
        <v>1</v>
      </c>
      <c r="F111" s="10" t="n">
        <v>1.1</v>
      </c>
      <c r="G111" s="4" t="s">
        <v>30</v>
      </c>
    </row>
    <row r="112" customFormat="false" ht="15" hidden="false" customHeight="false" outlineLevel="0" collapsed="false">
      <c r="A112" s="4" t="s">
        <v>346</v>
      </c>
      <c r="B112" s="3" t="n">
        <v>3</v>
      </c>
      <c r="C112" s="4" t="s">
        <v>905</v>
      </c>
      <c r="D112" s="4" t="s">
        <v>933</v>
      </c>
      <c r="E112" s="3" t="n">
        <v>1</v>
      </c>
      <c r="F112" s="10" t="n">
        <v>1</v>
      </c>
      <c r="G112" s="4" t="s">
        <v>26</v>
      </c>
    </row>
    <row r="113" customFormat="false" ht="15" hidden="false" customHeight="false" outlineLevel="0" collapsed="false">
      <c r="A113" s="4" t="s">
        <v>346</v>
      </c>
      <c r="B113" s="3" t="n">
        <v>3</v>
      </c>
      <c r="C113" s="4" t="s">
        <v>881</v>
      </c>
      <c r="D113" s="4" t="s">
        <v>935</v>
      </c>
      <c r="E113" s="3" t="n">
        <v>1</v>
      </c>
      <c r="F113" s="10" t="n">
        <v>1</v>
      </c>
      <c r="G113" s="4" t="s">
        <v>30</v>
      </c>
    </row>
    <row r="114" customFormat="false" ht="15" hidden="false" customHeight="false" outlineLevel="0" collapsed="false">
      <c r="A114" s="4" t="s">
        <v>346</v>
      </c>
      <c r="B114" s="3" t="n">
        <v>4</v>
      </c>
      <c r="C114" s="4" t="s">
        <v>892</v>
      </c>
      <c r="D114" s="4" t="s">
        <v>933</v>
      </c>
      <c r="E114" s="3" t="n">
        <v>1</v>
      </c>
      <c r="F114" s="10" t="n">
        <v>1</v>
      </c>
      <c r="G114" s="4" t="s">
        <v>26</v>
      </c>
    </row>
    <row r="115" customFormat="false" ht="15" hidden="false" customHeight="false" outlineLevel="0" collapsed="false">
      <c r="A115" s="4" t="s">
        <v>346</v>
      </c>
      <c r="B115" s="3" t="n">
        <v>5</v>
      </c>
      <c r="C115" s="4" t="s">
        <v>911</v>
      </c>
      <c r="D115" s="4" t="s">
        <v>933</v>
      </c>
      <c r="E115" s="3" t="n">
        <v>1</v>
      </c>
      <c r="F115" s="10" t="n">
        <v>1</v>
      </c>
      <c r="G115" s="4" t="s">
        <v>26</v>
      </c>
    </row>
    <row r="116" customFormat="false" ht="15" hidden="false" customHeight="false" outlineLevel="0" collapsed="false">
      <c r="A116" s="4" t="s">
        <v>346</v>
      </c>
      <c r="B116" s="3" t="n">
        <v>6</v>
      </c>
      <c r="C116" s="4" t="s">
        <v>913</v>
      </c>
      <c r="D116" s="4" t="s">
        <v>933</v>
      </c>
      <c r="E116" s="3" t="n">
        <v>1</v>
      </c>
      <c r="F116" s="10" t="n">
        <v>1</v>
      </c>
      <c r="G116" s="4" t="s">
        <v>26</v>
      </c>
    </row>
    <row r="117" customFormat="false" ht="15" hidden="false" customHeight="false" outlineLevel="0" collapsed="false">
      <c r="A117" s="4" t="s">
        <v>346</v>
      </c>
      <c r="B117" s="3" t="n">
        <v>7</v>
      </c>
      <c r="C117" s="4" t="s">
        <v>896</v>
      </c>
      <c r="D117" s="4" t="s">
        <v>933</v>
      </c>
      <c r="E117" s="3" t="n">
        <v>1</v>
      </c>
      <c r="F117" s="10" t="n">
        <v>1</v>
      </c>
      <c r="G117" s="4" t="s">
        <v>26</v>
      </c>
    </row>
    <row r="118" customFormat="false" ht="15" hidden="false" customHeight="false" outlineLevel="0" collapsed="false">
      <c r="A118" s="4" t="s">
        <v>346</v>
      </c>
      <c r="B118" s="3" t="n">
        <v>8</v>
      </c>
      <c r="C118" s="4" t="s">
        <v>896</v>
      </c>
      <c r="D118" s="4" t="s">
        <v>933</v>
      </c>
      <c r="E118" s="3" t="n">
        <v>1</v>
      </c>
      <c r="F118" s="10" t="n">
        <v>1</v>
      </c>
      <c r="G118" s="4" t="s">
        <v>26</v>
      </c>
    </row>
    <row r="119" customFormat="false" ht="15" hidden="false" customHeight="false" outlineLevel="0" collapsed="false">
      <c r="A119" s="4" t="s">
        <v>349</v>
      </c>
      <c r="B119" s="3" t="n">
        <v>1</v>
      </c>
      <c r="C119" s="4" t="s">
        <v>870</v>
      </c>
      <c r="D119" s="4" t="s">
        <v>933</v>
      </c>
      <c r="E119" s="3" t="n">
        <v>1</v>
      </c>
      <c r="F119" s="10" t="n">
        <v>1</v>
      </c>
      <c r="G119" s="4" t="s">
        <v>26</v>
      </c>
    </row>
    <row r="120" customFormat="false" ht="15" hidden="false" customHeight="false" outlineLevel="0" collapsed="false">
      <c r="A120" s="4" t="s">
        <v>349</v>
      </c>
      <c r="B120" s="3" t="n">
        <v>2</v>
      </c>
      <c r="C120" s="4" t="s">
        <v>903</v>
      </c>
      <c r="D120" s="4" t="s">
        <v>933</v>
      </c>
      <c r="E120" s="3" t="n">
        <v>1</v>
      </c>
      <c r="F120" s="10" t="n">
        <v>1</v>
      </c>
      <c r="G120" s="4" t="s">
        <v>26</v>
      </c>
    </row>
    <row r="121" customFormat="false" ht="15" hidden="false" customHeight="false" outlineLevel="0" collapsed="false">
      <c r="A121" s="4" t="s">
        <v>349</v>
      </c>
      <c r="B121" s="3" t="n">
        <v>2</v>
      </c>
      <c r="C121" s="4" t="s">
        <v>873</v>
      </c>
      <c r="D121" s="4" t="s">
        <v>934</v>
      </c>
      <c r="E121" s="3" t="n">
        <v>1</v>
      </c>
      <c r="F121" s="10" t="n">
        <v>1.1</v>
      </c>
      <c r="G121" s="4" t="s">
        <v>30</v>
      </c>
    </row>
    <row r="122" customFormat="false" ht="15" hidden="false" customHeight="false" outlineLevel="0" collapsed="false">
      <c r="A122" s="4" t="s">
        <v>349</v>
      </c>
      <c r="B122" s="3" t="n">
        <v>3</v>
      </c>
      <c r="C122" s="4" t="s">
        <v>905</v>
      </c>
      <c r="D122" s="4" t="s">
        <v>933</v>
      </c>
      <c r="E122" s="3" t="n">
        <v>1</v>
      </c>
      <c r="F122" s="10" t="n">
        <v>1</v>
      </c>
      <c r="G122" s="4" t="s">
        <v>26</v>
      </c>
    </row>
    <row r="123" customFormat="false" ht="15" hidden="false" customHeight="false" outlineLevel="0" collapsed="false">
      <c r="A123" s="4" t="s">
        <v>349</v>
      </c>
      <c r="B123" s="3" t="n">
        <v>3</v>
      </c>
      <c r="C123" s="4" t="s">
        <v>881</v>
      </c>
      <c r="D123" s="4" t="s">
        <v>935</v>
      </c>
      <c r="E123" s="3" t="n">
        <v>1</v>
      </c>
      <c r="F123" s="10" t="n">
        <v>1</v>
      </c>
      <c r="G123" s="4" t="s">
        <v>30</v>
      </c>
    </row>
    <row r="124" customFormat="false" ht="15" hidden="false" customHeight="false" outlineLevel="0" collapsed="false">
      <c r="A124" s="4" t="s">
        <v>349</v>
      </c>
      <c r="B124" s="3" t="n">
        <v>4</v>
      </c>
      <c r="C124" s="4" t="s">
        <v>892</v>
      </c>
      <c r="D124" s="4" t="s">
        <v>933</v>
      </c>
      <c r="E124" s="3" t="n">
        <v>1</v>
      </c>
      <c r="F124" s="10" t="n">
        <v>1</v>
      </c>
      <c r="G124" s="4" t="s">
        <v>26</v>
      </c>
    </row>
    <row r="125" customFormat="false" ht="15" hidden="false" customHeight="false" outlineLevel="0" collapsed="false">
      <c r="A125" s="4" t="s">
        <v>349</v>
      </c>
      <c r="B125" s="3" t="n">
        <v>5</v>
      </c>
      <c r="C125" s="4" t="s">
        <v>911</v>
      </c>
      <c r="D125" s="4" t="s">
        <v>933</v>
      </c>
      <c r="E125" s="3" t="n">
        <v>1</v>
      </c>
      <c r="F125" s="10" t="n">
        <v>1</v>
      </c>
      <c r="G125" s="4" t="s">
        <v>26</v>
      </c>
    </row>
    <row r="126" customFormat="false" ht="15" hidden="false" customHeight="false" outlineLevel="0" collapsed="false">
      <c r="A126" s="4" t="s">
        <v>349</v>
      </c>
      <c r="B126" s="3" t="n">
        <v>6</v>
      </c>
      <c r="C126" s="4" t="s">
        <v>913</v>
      </c>
      <c r="D126" s="4" t="s">
        <v>933</v>
      </c>
      <c r="E126" s="3" t="n">
        <v>1</v>
      </c>
      <c r="F126" s="10" t="n">
        <v>1</v>
      </c>
      <c r="G126" s="4" t="s">
        <v>26</v>
      </c>
    </row>
    <row r="127" customFormat="false" ht="15" hidden="false" customHeight="false" outlineLevel="0" collapsed="false">
      <c r="A127" s="4" t="s">
        <v>349</v>
      </c>
      <c r="B127" s="3" t="n">
        <v>7</v>
      </c>
      <c r="C127" s="4" t="s">
        <v>896</v>
      </c>
      <c r="D127" s="4" t="s">
        <v>933</v>
      </c>
      <c r="E127" s="3" t="n">
        <v>1</v>
      </c>
      <c r="F127" s="10" t="n">
        <v>1</v>
      </c>
      <c r="G127" s="4" t="s">
        <v>26</v>
      </c>
    </row>
    <row r="128" customFormat="false" ht="15" hidden="false" customHeight="false" outlineLevel="0" collapsed="false">
      <c r="A128" s="4" t="s">
        <v>349</v>
      </c>
      <c r="B128" s="3" t="n">
        <v>8</v>
      </c>
      <c r="C128" s="4" t="s">
        <v>896</v>
      </c>
      <c r="D128" s="4" t="s">
        <v>933</v>
      </c>
      <c r="E128" s="3" t="n">
        <v>1</v>
      </c>
      <c r="F128" s="10" t="n">
        <v>1</v>
      </c>
      <c r="G128" s="4" t="s">
        <v>26</v>
      </c>
    </row>
    <row r="129" customFormat="false" ht="15" hidden="false" customHeight="false" outlineLevel="0" collapsed="false">
      <c r="A129" s="4" t="s">
        <v>352</v>
      </c>
      <c r="B129" s="3" t="n">
        <v>1</v>
      </c>
      <c r="C129" s="4" t="s">
        <v>865</v>
      </c>
      <c r="D129" s="4" t="s">
        <v>933</v>
      </c>
      <c r="E129" s="3" t="n">
        <v>1</v>
      </c>
      <c r="F129" s="10" t="n">
        <v>1</v>
      </c>
      <c r="G129" s="4" t="s">
        <v>26</v>
      </c>
    </row>
    <row r="130" customFormat="false" ht="15" hidden="false" customHeight="false" outlineLevel="0" collapsed="false">
      <c r="A130" s="4" t="s">
        <v>352</v>
      </c>
      <c r="B130" s="3" t="n">
        <v>2</v>
      </c>
      <c r="C130" s="4" t="s">
        <v>870</v>
      </c>
      <c r="D130" s="4" t="s">
        <v>933</v>
      </c>
      <c r="E130" s="3" t="n">
        <v>1</v>
      </c>
      <c r="F130" s="10" t="n">
        <v>1</v>
      </c>
      <c r="G130" s="4" t="s">
        <v>26</v>
      </c>
    </row>
    <row r="131" customFormat="false" ht="15" hidden="false" customHeight="false" outlineLevel="0" collapsed="false">
      <c r="A131" s="4" t="s">
        <v>352</v>
      </c>
      <c r="B131" s="3" t="n">
        <v>3</v>
      </c>
      <c r="C131" s="4" t="s">
        <v>903</v>
      </c>
      <c r="D131" s="4" t="s">
        <v>933</v>
      </c>
      <c r="E131" s="3" t="n">
        <v>1</v>
      </c>
      <c r="F131" s="10" t="n">
        <v>1</v>
      </c>
      <c r="G131" s="4" t="s">
        <v>26</v>
      </c>
    </row>
    <row r="132" customFormat="false" ht="15" hidden="false" customHeight="false" outlineLevel="0" collapsed="false">
      <c r="A132" s="4" t="s">
        <v>352</v>
      </c>
      <c r="B132" s="3" t="n">
        <v>3</v>
      </c>
      <c r="C132" s="4" t="s">
        <v>873</v>
      </c>
      <c r="D132" s="4" t="s">
        <v>934</v>
      </c>
      <c r="E132" s="3" t="n">
        <v>1</v>
      </c>
      <c r="F132" s="10" t="n">
        <v>1.1</v>
      </c>
      <c r="G132" s="4" t="s">
        <v>30</v>
      </c>
    </row>
    <row r="133" customFormat="false" ht="15" hidden="false" customHeight="false" outlineLevel="0" collapsed="false">
      <c r="A133" s="4" t="s">
        <v>352</v>
      </c>
      <c r="B133" s="3" t="n">
        <v>4</v>
      </c>
      <c r="C133" s="4" t="s">
        <v>877</v>
      </c>
      <c r="D133" s="4" t="s">
        <v>933</v>
      </c>
      <c r="E133" s="3" t="n">
        <v>1</v>
      </c>
      <c r="F133" s="10" t="n">
        <v>1</v>
      </c>
      <c r="G133" s="4" t="s">
        <v>26</v>
      </c>
    </row>
    <row r="134" customFormat="false" ht="15" hidden="false" customHeight="false" outlineLevel="0" collapsed="false">
      <c r="A134" s="4" t="s">
        <v>352</v>
      </c>
      <c r="B134" s="3" t="n">
        <v>5</v>
      </c>
      <c r="C134" s="4" t="s">
        <v>905</v>
      </c>
      <c r="D134" s="4" t="s">
        <v>933</v>
      </c>
      <c r="E134" s="3" t="n">
        <v>1</v>
      </c>
      <c r="F134" s="10" t="n">
        <v>1</v>
      </c>
      <c r="G134" s="4" t="s">
        <v>26</v>
      </c>
    </row>
    <row r="135" customFormat="false" ht="15" hidden="false" customHeight="false" outlineLevel="0" collapsed="false">
      <c r="A135" s="4" t="s">
        <v>352</v>
      </c>
      <c r="B135" s="3" t="n">
        <v>5</v>
      </c>
      <c r="C135" s="4" t="s">
        <v>881</v>
      </c>
      <c r="D135" s="4" t="s">
        <v>935</v>
      </c>
      <c r="E135" s="3" t="n">
        <v>1</v>
      </c>
      <c r="F135" s="10" t="n">
        <v>1</v>
      </c>
      <c r="G135" s="4" t="s">
        <v>30</v>
      </c>
    </row>
    <row r="136" customFormat="false" ht="15" hidden="false" customHeight="false" outlineLevel="0" collapsed="false">
      <c r="A136" s="4" t="s">
        <v>352</v>
      </c>
      <c r="B136" s="3" t="n">
        <v>6</v>
      </c>
      <c r="C136" s="4" t="s">
        <v>892</v>
      </c>
      <c r="D136" s="4" t="s">
        <v>933</v>
      </c>
      <c r="E136" s="3" t="n">
        <v>1</v>
      </c>
      <c r="F136" s="10" t="n">
        <v>1</v>
      </c>
      <c r="G136" s="4" t="s">
        <v>26</v>
      </c>
    </row>
    <row r="137" customFormat="false" ht="15" hidden="false" customHeight="false" outlineLevel="0" collapsed="false">
      <c r="A137" s="4" t="s">
        <v>352</v>
      </c>
      <c r="B137" s="3" t="n">
        <v>7</v>
      </c>
      <c r="C137" s="4" t="s">
        <v>911</v>
      </c>
      <c r="D137" s="4" t="s">
        <v>933</v>
      </c>
      <c r="E137" s="3" t="n">
        <v>1</v>
      </c>
      <c r="F137" s="10" t="n">
        <v>1</v>
      </c>
      <c r="G137" s="4" t="s">
        <v>26</v>
      </c>
    </row>
    <row r="138" customFormat="false" ht="15" hidden="false" customHeight="false" outlineLevel="0" collapsed="false">
      <c r="A138" s="4" t="s">
        <v>352</v>
      </c>
      <c r="B138" s="3" t="n">
        <v>8</v>
      </c>
      <c r="C138" s="4" t="s">
        <v>913</v>
      </c>
      <c r="D138" s="4" t="s">
        <v>933</v>
      </c>
      <c r="E138" s="3" t="n">
        <v>1</v>
      </c>
      <c r="F138" s="10" t="n">
        <v>1</v>
      </c>
      <c r="G138" s="4" t="s">
        <v>26</v>
      </c>
    </row>
    <row r="139" customFormat="false" ht="15" hidden="false" customHeight="false" outlineLevel="0" collapsed="false">
      <c r="A139" s="4" t="s">
        <v>352</v>
      </c>
      <c r="B139" s="3" t="n">
        <v>9</v>
      </c>
      <c r="C139" s="4" t="s">
        <v>896</v>
      </c>
      <c r="D139" s="4" t="s">
        <v>933</v>
      </c>
      <c r="E139" s="3" t="n">
        <v>1</v>
      </c>
      <c r="F139" s="10" t="n">
        <v>1</v>
      </c>
      <c r="G139" s="4" t="s">
        <v>26</v>
      </c>
    </row>
    <row r="140" customFormat="false" ht="15" hidden="false" customHeight="false" outlineLevel="0" collapsed="false">
      <c r="A140" s="4" t="s">
        <v>352</v>
      </c>
      <c r="B140" s="3" t="n">
        <v>10</v>
      </c>
      <c r="C140" s="4" t="s">
        <v>896</v>
      </c>
      <c r="D140" s="4" t="s">
        <v>933</v>
      </c>
      <c r="E140" s="3" t="n">
        <v>1</v>
      </c>
      <c r="F140" s="10" t="n">
        <v>1</v>
      </c>
      <c r="G140" s="4" t="s">
        <v>26</v>
      </c>
    </row>
    <row r="141" customFormat="false" ht="15" hidden="false" customHeight="false" outlineLevel="0" collapsed="false">
      <c r="A141" s="4" t="s">
        <v>355</v>
      </c>
      <c r="B141" s="3" t="n">
        <v>1</v>
      </c>
      <c r="C141" s="4" t="s">
        <v>870</v>
      </c>
      <c r="D141" s="4" t="s">
        <v>933</v>
      </c>
      <c r="E141" s="3" t="n">
        <v>1</v>
      </c>
      <c r="F141" s="10" t="n">
        <v>1</v>
      </c>
      <c r="G141" s="4" t="s">
        <v>26</v>
      </c>
    </row>
    <row r="142" customFormat="false" ht="15" hidden="false" customHeight="false" outlineLevel="0" collapsed="false">
      <c r="A142" s="4" t="s">
        <v>355</v>
      </c>
      <c r="B142" s="3" t="n">
        <v>2</v>
      </c>
      <c r="C142" s="4" t="s">
        <v>903</v>
      </c>
      <c r="D142" s="4" t="s">
        <v>933</v>
      </c>
      <c r="E142" s="3" t="n">
        <v>1</v>
      </c>
      <c r="F142" s="10" t="n">
        <v>1</v>
      </c>
      <c r="G142" s="4" t="s">
        <v>26</v>
      </c>
    </row>
    <row r="143" customFormat="false" ht="15" hidden="false" customHeight="false" outlineLevel="0" collapsed="false">
      <c r="A143" s="4" t="s">
        <v>355</v>
      </c>
      <c r="B143" s="3" t="n">
        <v>2</v>
      </c>
      <c r="C143" s="4" t="s">
        <v>873</v>
      </c>
      <c r="D143" s="4" t="s">
        <v>934</v>
      </c>
      <c r="E143" s="3" t="n">
        <v>1</v>
      </c>
      <c r="F143" s="10" t="n">
        <v>1.1</v>
      </c>
      <c r="G143" s="4" t="s">
        <v>30</v>
      </c>
    </row>
    <row r="144" customFormat="false" ht="15" hidden="false" customHeight="false" outlineLevel="0" collapsed="false">
      <c r="A144" s="4" t="s">
        <v>355</v>
      </c>
      <c r="B144" s="3" t="n">
        <v>3</v>
      </c>
      <c r="C144" s="4" t="s">
        <v>905</v>
      </c>
      <c r="D144" s="4" t="s">
        <v>933</v>
      </c>
      <c r="E144" s="3" t="n">
        <v>1</v>
      </c>
      <c r="F144" s="10" t="n">
        <v>1</v>
      </c>
      <c r="G144" s="4" t="s">
        <v>26</v>
      </c>
    </row>
    <row r="145" customFormat="false" ht="15" hidden="false" customHeight="false" outlineLevel="0" collapsed="false">
      <c r="A145" s="4" t="s">
        <v>355</v>
      </c>
      <c r="B145" s="3" t="n">
        <v>3</v>
      </c>
      <c r="C145" s="4" t="s">
        <v>881</v>
      </c>
      <c r="D145" s="4" t="s">
        <v>935</v>
      </c>
      <c r="E145" s="3" t="n">
        <v>1</v>
      </c>
      <c r="F145" s="10" t="n">
        <v>1</v>
      </c>
      <c r="G145" s="4" t="s">
        <v>30</v>
      </c>
    </row>
    <row r="146" customFormat="false" ht="15" hidden="false" customHeight="false" outlineLevel="0" collapsed="false">
      <c r="A146" s="4" t="s">
        <v>355</v>
      </c>
      <c r="B146" s="3" t="n">
        <v>4</v>
      </c>
      <c r="C146" s="4" t="s">
        <v>892</v>
      </c>
      <c r="D146" s="4" t="s">
        <v>933</v>
      </c>
      <c r="E146" s="3" t="n">
        <v>1</v>
      </c>
      <c r="F146" s="10" t="n">
        <v>1</v>
      </c>
      <c r="G146" s="4" t="s">
        <v>26</v>
      </c>
    </row>
    <row r="147" customFormat="false" ht="15" hidden="false" customHeight="false" outlineLevel="0" collapsed="false">
      <c r="A147" s="4" t="s">
        <v>355</v>
      </c>
      <c r="B147" s="3" t="n">
        <v>5</v>
      </c>
      <c r="C147" s="4" t="s">
        <v>911</v>
      </c>
      <c r="D147" s="4" t="s">
        <v>933</v>
      </c>
      <c r="E147" s="3" t="n">
        <v>1</v>
      </c>
      <c r="F147" s="10" t="n">
        <v>1</v>
      </c>
      <c r="G147" s="4" t="s">
        <v>26</v>
      </c>
    </row>
    <row r="148" customFormat="false" ht="15" hidden="false" customHeight="false" outlineLevel="0" collapsed="false">
      <c r="A148" s="4" t="s">
        <v>355</v>
      </c>
      <c r="B148" s="3" t="n">
        <v>6</v>
      </c>
      <c r="C148" s="4" t="s">
        <v>913</v>
      </c>
      <c r="D148" s="4" t="s">
        <v>933</v>
      </c>
      <c r="E148" s="3" t="n">
        <v>1</v>
      </c>
      <c r="F148" s="10" t="n">
        <v>1</v>
      </c>
      <c r="G148" s="4" t="s">
        <v>26</v>
      </c>
    </row>
    <row r="149" customFormat="false" ht="15" hidden="false" customHeight="false" outlineLevel="0" collapsed="false">
      <c r="A149" s="4" t="s">
        <v>355</v>
      </c>
      <c r="B149" s="3" t="n">
        <v>7</v>
      </c>
      <c r="C149" s="4" t="s">
        <v>896</v>
      </c>
      <c r="D149" s="4" t="s">
        <v>933</v>
      </c>
      <c r="E149" s="3" t="n">
        <v>1</v>
      </c>
      <c r="F149" s="10" t="n">
        <v>1</v>
      </c>
      <c r="G149" s="4" t="s">
        <v>26</v>
      </c>
    </row>
    <row r="150" customFormat="false" ht="15" hidden="false" customHeight="false" outlineLevel="0" collapsed="false">
      <c r="A150" s="4" t="s">
        <v>355</v>
      </c>
      <c r="B150" s="3" t="n">
        <v>8</v>
      </c>
      <c r="C150" s="4" t="s">
        <v>896</v>
      </c>
      <c r="D150" s="4" t="s">
        <v>933</v>
      </c>
      <c r="E150" s="3" t="n">
        <v>1</v>
      </c>
      <c r="F150" s="10" t="n">
        <v>1</v>
      </c>
      <c r="G150" s="4" t="s">
        <v>26</v>
      </c>
    </row>
    <row r="151" customFormat="false" ht="15" hidden="false" customHeight="false" outlineLevel="0" collapsed="false">
      <c r="A151" s="4" t="s">
        <v>363</v>
      </c>
      <c r="B151" s="3" t="n">
        <v>1</v>
      </c>
      <c r="C151" s="4" t="s">
        <v>865</v>
      </c>
      <c r="D151" s="4" t="s">
        <v>933</v>
      </c>
      <c r="E151" s="3" t="n">
        <v>1</v>
      </c>
      <c r="F151" s="10" t="n">
        <v>1</v>
      </c>
      <c r="G151" s="4" t="s">
        <v>26</v>
      </c>
    </row>
    <row r="152" customFormat="false" ht="15" hidden="false" customHeight="false" outlineLevel="0" collapsed="false">
      <c r="A152" s="4" t="s">
        <v>363</v>
      </c>
      <c r="B152" s="3" t="n">
        <v>2</v>
      </c>
      <c r="C152" s="4" t="s">
        <v>870</v>
      </c>
      <c r="D152" s="4" t="s">
        <v>933</v>
      </c>
      <c r="E152" s="3" t="n">
        <v>1</v>
      </c>
      <c r="F152" s="10" t="n">
        <v>1</v>
      </c>
      <c r="G152" s="4" t="s">
        <v>26</v>
      </c>
    </row>
    <row r="153" customFormat="false" ht="15" hidden="false" customHeight="false" outlineLevel="0" collapsed="false">
      <c r="A153" s="4" t="s">
        <v>363</v>
      </c>
      <c r="B153" s="3" t="n">
        <v>3</v>
      </c>
      <c r="C153" s="4" t="s">
        <v>903</v>
      </c>
      <c r="D153" s="4" t="s">
        <v>933</v>
      </c>
      <c r="E153" s="3" t="n">
        <v>1</v>
      </c>
      <c r="F153" s="10" t="n">
        <v>1</v>
      </c>
      <c r="G153" s="4" t="s">
        <v>26</v>
      </c>
    </row>
    <row r="154" customFormat="false" ht="15" hidden="false" customHeight="false" outlineLevel="0" collapsed="false">
      <c r="A154" s="4" t="s">
        <v>363</v>
      </c>
      <c r="B154" s="3" t="n">
        <v>3</v>
      </c>
      <c r="C154" s="4" t="s">
        <v>873</v>
      </c>
      <c r="D154" s="4" t="s">
        <v>934</v>
      </c>
      <c r="E154" s="3" t="n">
        <v>1</v>
      </c>
      <c r="F154" s="10" t="n">
        <v>1.1</v>
      </c>
      <c r="G154" s="4" t="s">
        <v>30</v>
      </c>
    </row>
    <row r="155" customFormat="false" ht="15" hidden="false" customHeight="false" outlineLevel="0" collapsed="false">
      <c r="A155" s="4" t="s">
        <v>363</v>
      </c>
      <c r="B155" s="3" t="n">
        <v>4</v>
      </c>
      <c r="C155" s="4" t="s">
        <v>877</v>
      </c>
      <c r="D155" s="4" t="s">
        <v>933</v>
      </c>
      <c r="E155" s="3" t="n">
        <v>1</v>
      </c>
      <c r="F155" s="10" t="n">
        <v>1</v>
      </c>
      <c r="G155" s="4" t="s">
        <v>26</v>
      </c>
    </row>
    <row r="156" customFormat="false" ht="15" hidden="false" customHeight="false" outlineLevel="0" collapsed="false">
      <c r="A156" s="4" t="s">
        <v>363</v>
      </c>
      <c r="B156" s="3" t="n">
        <v>5</v>
      </c>
      <c r="C156" s="4" t="s">
        <v>905</v>
      </c>
      <c r="D156" s="4" t="s">
        <v>933</v>
      </c>
      <c r="E156" s="3" t="n">
        <v>1</v>
      </c>
      <c r="F156" s="10" t="n">
        <v>1</v>
      </c>
      <c r="G156" s="4" t="s">
        <v>26</v>
      </c>
    </row>
    <row r="157" customFormat="false" ht="15" hidden="false" customHeight="false" outlineLevel="0" collapsed="false">
      <c r="A157" s="4" t="s">
        <v>363</v>
      </c>
      <c r="B157" s="3" t="n">
        <v>5</v>
      </c>
      <c r="C157" s="4" t="s">
        <v>881</v>
      </c>
      <c r="D157" s="4" t="s">
        <v>935</v>
      </c>
      <c r="E157" s="3" t="n">
        <v>1</v>
      </c>
      <c r="F157" s="10" t="n">
        <v>1</v>
      </c>
      <c r="G157" s="4" t="s">
        <v>30</v>
      </c>
    </row>
    <row r="158" customFormat="false" ht="15" hidden="false" customHeight="false" outlineLevel="0" collapsed="false">
      <c r="A158" s="4" t="s">
        <v>363</v>
      </c>
      <c r="B158" s="3" t="n">
        <v>6</v>
      </c>
      <c r="C158" s="4" t="s">
        <v>892</v>
      </c>
      <c r="D158" s="4" t="s">
        <v>933</v>
      </c>
      <c r="E158" s="3" t="n">
        <v>1</v>
      </c>
      <c r="F158" s="10" t="n">
        <v>1</v>
      </c>
      <c r="G158" s="4" t="s">
        <v>26</v>
      </c>
    </row>
    <row r="159" customFormat="false" ht="15" hidden="false" customHeight="false" outlineLevel="0" collapsed="false">
      <c r="A159" s="4" t="s">
        <v>363</v>
      </c>
      <c r="B159" s="3" t="n">
        <v>7</v>
      </c>
      <c r="C159" s="4" t="s">
        <v>911</v>
      </c>
      <c r="D159" s="4" t="s">
        <v>933</v>
      </c>
      <c r="E159" s="3" t="n">
        <v>1</v>
      </c>
      <c r="F159" s="10" t="n">
        <v>1</v>
      </c>
      <c r="G159" s="4" t="s">
        <v>26</v>
      </c>
    </row>
    <row r="160" customFormat="false" ht="15" hidden="false" customHeight="false" outlineLevel="0" collapsed="false">
      <c r="A160" s="4" t="s">
        <v>363</v>
      </c>
      <c r="B160" s="3" t="n">
        <v>8</v>
      </c>
      <c r="C160" s="4" t="s">
        <v>913</v>
      </c>
      <c r="D160" s="4" t="s">
        <v>933</v>
      </c>
      <c r="E160" s="3" t="n">
        <v>1</v>
      </c>
      <c r="F160" s="10" t="n">
        <v>1</v>
      </c>
      <c r="G160" s="4" t="s">
        <v>26</v>
      </c>
    </row>
    <row r="161" customFormat="false" ht="15" hidden="false" customHeight="false" outlineLevel="0" collapsed="false">
      <c r="A161" s="4" t="s">
        <v>363</v>
      </c>
      <c r="B161" s="3" t="n">
        <v>9</v>
      </c>
      <c r="C161" s="4" t="s">
        <v>896</v>
      </c>
      <c r="D161" s="4" t="s">
        <v>933</v>
      </c>
      <c r="E161" s="3" t="n">
        <v>1</v>
      </c>
      <c r="F161" s="10" t="n">
        <v>1</v>
      </c>
      <c r="G161" s="4" t="s">
        <v>26</v>
      </c>
    </row>
    <row r="162" customFormat="false" ht="15" hidden="false" customHeight="false" outlineLevel="0" collapsed="false">
      <c r="A162" s="4" t="s">
        <v>363</v>
      </c>
      <c r="B162" s="3" t="n">
        <v>10</v>
      </c>
      <c r="C162" s="4" t="s">
        <v>896</v>
      </c>
      <c r="D162" s="4" t="s">
        <v>933</v>
      </c>
      <c r="E162" s="3" t="n">
        <v>1</v>
      </c>
      <c r="F162" s="10" t="n">
        <v>1</v>
      </c>
      <c r="G162" s="4" t="s">
        <v>26</v>
      </c>
    </row>
    <row r="163" customFormat="false" ht="15" hidden="false" customHeight="false" outlineLevel="0" collapsed="false">
      <c r="A163" s="4" t="s">
        <v>366</v>
      </c>
      <c r="B163" s="3" t="n">
        <v>1</v>
      </c>
      <c r="C163" s="4" t="s">
        <v>865</v>
      </c>
      <c r="D163" s="4" t="s">
        <v>933</v>
      </c>
      <c r="E163" s="3" t="n">
        <v>1</v>
      </c>
      <c r="F163" s="10" t="n">
        <v>1</v>
      </c>
      <c r="G163" s="4" t="s">
        <v>26</v>
      </c>
    </row>
    <row r="164" customFormat="false" ht="15" hidden="false" customHeight="false" outlineLevel="0" collapsed="false">
      <c r="A164" s="4" t="s">
        <v>366</v>
      </c>
      <c r="B164" s="3" t="n">
        <v>2</v>
      </c>
      <c r="C164" s="4" t="s">
        <v>870</v>
      </c>
      <c r="D164" s="4" t="s">
        <v>933</v>
      </c>
      <c r="E164" s="3" t="n">
        <v>1</v>
      </c>
      <c r="F164" s="10" t="n">
        <v>1</v>
      </c>
      <c r="G164" s="4" t="s">
        <v>26</v>
      </c>
    </row>
    <row r="165" customFormat="false" ht="15" hidden="false" customHeight="false" outlineLevel="0" collapsed="false">
      <c r="A165" s="4" t="s">
        <v>366</v>
      </c>
      <c r="B165" s="3" t="n">
        <v>3</v>
      </c>
      <c r="C165" s="4" t="s">
        <v>903</v>
      </c>
      <c r="D165" s="4" t="s">
        <v>933</v>
      </c>
      <c r="E165" s="3" t="n">
        <v>1</v>
      </c>
      <c r="F165" s="10" t="n">
        <v>1</v>
      </c>
      <c r="G165" s="4" t="s">
        <v>26</v>
      </c>
    </row>
    <row r="166" customFormat="false" ht="15" hidden="false" customHeight="false" outlineLevel="0" collapsed="false">
      <c r="A166" s="4" t="s">
        <v>366</v>
      </c>
      <c r="B166" s="3" t="n">
        <v>3</v>
      </c>
      <c r="C166" s="4" t="s">
        <v>873</v>
      </c>
      <c r="D166" s="4" t="s">
        <v>934</v>
      </c>
      <c r="E166" s="3" t="n">
        <v>1</v>
      </c>
      <c r="F166" s="10" t="n">
        <v>1.1</v>
      </c>
      <c r="G166" s="4" t="s">
        <v>30</v>
      </c>
    </row>
    <row r="167" customFormat="false" ht="15" hidden="false" customHeight="false" outlineLevel="0" collapsed="false">
      <c r="A167" s="4" t="s">
        <v>366</v>
      </c>
      <c r="B167" s="3" t="n">
        <v>4</v>
      </c>
      <c r="C167" s="4" t="s">
        <v>877</v>
      </c>
      <c r="D167" s="4" t="s">
        <v>933</v>
      </c>
      <c r="E167" s="3" t="n">
        <v>1</v>
      </c>
      <c r="F167" s="10" t="n">
        <v>1</v>
      </c>
      <c r="G167" s="4" t="s">
        <v>26</v>
      </c>
    </row>
    <row r="168" customFormat="false" ht="15" hidden="false" customHeight="false" outlineLevel="0" collapsed="false">
      <c r="A168" s="4" t="s">
        <v>366</v>
      </c>
      <c r="B168" s="3" t="n">
        <v>5</v>
      </c>
      <c r="C168" s="4" t="s">
        <v>905</v>
      </c>
      <c r="D168" s="4" t="s">
        <v>933</v>
      </c>
      <c r="E168" s="3" t="n">
        <v>1</v>
      </c>
      <c r="F168" s="10" t="n">
        <v>1</v>
      </c>
      <c r="G168" s="4" t="s">
        <v>26</v>
      </c>
    </row>
    <row r="169" customFormat="false" ht="15" hidden="false" customHeight="false" outlineLevel="0" collapsed="false">
      <c r="A169" s="4" t="s">
        <v>366</v>
      </c>
      <c r="B169" s="3" t="n">
        <v>5</v>
      </c>
      <c r="C169" s="4" t="s">
        <v>881</v>
      </c>
      <c r="D169" s="4" t="s">
        <v>935</v>
      </c>
      <c r="E169" s="3" t="n">
        <v>1</v>
      </c>
      <c r="F169" s="10" t="n">
        <v>1</v>
      </c>
      <c r="G169" s="4" t="s">
        <v>30</v>
      </c>
    </row>
    <row r="170" customFormat="false" ht="15" hidden="false" customHeight="false" outlineLevel="0" collapsed="false">
      <c r="A170" s="4" t="s">
        <v>366</v>
      </c>
      <c r="B170" s="3" t="n">
        <v>6</v>
      </c>
      <c r="C170" s="4" t="s">
        <v>892</v>
      </c>
      <c r="D170" s="4" t="s">
        <v>933</v>
      </c>
      <c r="E170" s="3" t="n">
        <v>1</v>
      </c>
      <c r="F170" s="10" t="n">
        <v>1</v>
      </c>
      <c r="G170" s="4" t="s">
        <v>26</v>
      </c>
    </row>
    <row r="171" customFormat="false" ht="15" hidden="false" customHeight="false" outlineLevel="0" collapsed="false">
      <c r="A171" s="4" t="s">
        <v>366</v>
      </c>
      <c r="B171" s="3" t="n">
        <v>7</v>
      </c>
      <c r="C171" s="4" t="s">
        <v>911</v>
      </c>
      <c r="D171" s="4" t="s">
        <v>933</v>
      </c>
      <c r="E171" s="3" t="n">
        <v>1</v>
      </c>
      <c r="F171" s="10" t="n">
        <v>1</v>
      </c>
      <c r="G171" s="4" t="s">
        <v>26</v>
      </c>
    </row>
    <row r="172" customFormat="false" ht="15" hidden="false" customHeight="false" outlineLevel="0" collapsed="false">
      <c r="A172" s="4" t="s">
        <v>366</v>
      </c>
      <c r="B172" s="3" t="n">
        <v>8</v>
      </c>
      <c r="C172" s="4" t="s">
        <v>913</v>
      </c>
      <c r="D172" s="4" t="s">
        <v>933</v>
      </c>
      <c r="E172" s="3" t="n">
        <v>1</v>
      </c>
      <c r="F172" s="10" t="n">
        <v>1</v>
      </c>
      <c r="G172" s="4" t="s">
        <v>26</v>
      </c>
    </row>
    <row r="173" customFormat="false" ht="15" hidden="false" customHeight="false" outlineLevel="0" collapsed="false">
      <c r="A173" s="4" t="s">
        <v>366</v>
      </c>
      <c r="B173" s="3" t="n">
        <v>9</v>
      </c>
      <c r="C173" s="4" t="s">
        <v>896</v>
      </c>
      <c r="D173" s="4" t="s">
        <v>933</v>
      </c>
      <c r="E173" s="3" t="n">
        <v>1</v>
      </c>
      <c r="F173" s="10" t="n">
        <v>1</v>
      </c>
      <c r="G173" s="4" t="s">
        <v>26</v>
      </c>
    </row>
    <row r="174" customFormat="false" ht="15" hidden="false" customHeight="false" outlineLevel="0" collapsed="false">
      <c r="A174" s="4" t="s">
        <v>366</v>
      </c>
      <c r="B174" s="3" t="n">
        <v>10</v>
      </c>
      <c r="C174" s="4" t="s">
        <v>896</v>
      </c>
      <c r="D174" s="4" t="s">
        <v>933</v>
      </c>
      <c r="E174" s="3" t="n">
        <v>1</v>
      </c>
      <c r="F174" s="10" t="n">
        <v>1</v>
      </c>
      <c r="G174" s="4" t="s">
        <v>26</v>
      </c>
    </row>
    <row r="175" customFormat="false" ht="15" hidden="false" customHeight="false" outlineLevel="0" collapsed="false">
      <c r="A175" s="4" t="s">
        <v>369</v>
      </c>
      <c r="B175" s="3" t="n">
        <v>1</v>
      </c>
      <c r="C175" s="4" t="s">
        <v>865</v>
      </c>
      <c r="D175" s="4" t="s">
        <v>933</v>
      </c>
      <c r="E175" s="3" t="n">
        <v>1</v>
      </c>
      <c r="F175" s="10" t="n">
        <v>1</v>
      </c>
      <c r="G175" s="4" t="s">
        <v>26</v>
      </c>
    </row>
    <row r="176" customFormat="false" ht="15" hidden="false" customHeight="false" outlineLevel="0" collapsed="false">
      <c r="A176" s="4" t="s">
        <v>369</v>
      </c>
      <c r="B176" s="3" t="n">
        <v>2</v>
      </c>
      <c r="C176" s="4" t="s">
        <v>870</v>
      </c>
      <c r="D176" s="4" t="s">
        <v>933</v>
      </c>
      <c r="E176" s="3" t="n">
        <v>1</v>
      </c>
      <c r="F176" s="10" t="n">
        <v>1</v>
      </c>
      <c r="G176" s="4" t="s">
        <v>26</v>
      </c>
    </row>
    <row r="177" customFormat="false" ht="15" hidden="false" customHeight="false" outlineLevel="0" collapsed="false">
      <c r="A177" s="4" t="s">
        <v>369</v>
      </c>
      <c r="B177" s="3" t="n">
        <v>3</v>
      </c>
      <c r="C177" s="4" t="s">
        <v>903</v>
      </c>
      <c r="D177" s="4" t="s">
        <v>933</v>
      </c>
      <c r="E177" s="3" t="n">
        <v>1</v>
      </c>
      <c r="F177" s="10" t="n">
        <v>1</v>
      </c>
      <c r="G177" s="4" t="s">
        <v>26</v>
      </c>
    </row>
    <row r="178" customFormat="false" ht="15" hidden="false" customHeight="false" outlineLevel="0" collapsed="false">
      <c r="A178" s="4" t="s">
        <v>369</v>
      </c>
      <c r="B178" s="3" t="n">
        <v>3</v>
      </c>
      <c r="C178" s="4" t="s">
        <v>873</v>
      </c>
      <c r="D178" s="4" t="s">
        <v>934</v>
      </c>
      <c r="E178" s="3" t="n">
        <v>1</v>
      </c>
      <c r="F178" s="10" t="n">
        <v>1.1</v>
      </c>
      <c r="G178" s="4" t="s">
        <v>30</v>
      </c>
    </row>
    <row r="179" customFormat="false" ht="15" hidden="false" customHeight="false" outlineLevel="0" collapsed="false">
      <c r="A179" s="4" t="s">
        <v>369</v>
      </c>
      <c r="B179" s="3" t="n">
        <v>4</v>
      </c>
      <c r="C179" s="4" t="s">
        <v>877</v>
      </c>
      <c r="D179" s="4" t="s">
        <v>933</v>
      </c>
      <c r="E179" s="3" t="n">
        <v>1</v>
      </c>
      <c r="F179" s="10" t="n">
        <v>1</v>
      </c>
      <c r="G179" s="4" t="s">
        <v>26</v>
      </c>
    </row>
    <row r="180" customFormat="false" ht="15" hidden="false" customHeight="false" outlineLevel="0" collapsed="false">
      <c r="A180" s="4" t="s">
        <v>369</v>
      </c>
      <c r="B180" s="3" t="n">
        <v>5</v>
      </c>
      <c r="C180" s="4" t="s">
        <v>905</v>
      </c>
      <c r="D180" s="4" t="s">
        <v>933</v>
      </c>
      <c r="E180" s="3" t="n">
        <v>1</v>
      </c>
      <c r="F180" s="10" t="n">
        <v>1</v>
      </c>
      <c r="G180" s="4" t="s">
        <v>26</v>
      </c>
    </row>
    <row r="181" customFormat="false" ht="15" hidden="false" customHeight="false" outlineLevel="0" collapsed="false">
      <c r="A181" s="4" t="s">
        <v>369</v>
      </c>
      <c r="B181" s="3" t="n">
        <v>5</v>
      </c>
      <c r="C181" s="4" t="s">
        <v>881</v>
      </c>
      <c r="D181" s="4" t="s">
        <v>935</v>
      </c>
      <c r="E181" s="3" t="n">
        <v>1</v>
      </c>
      <c r="F181" s="10" t="n">
        <v>1</v>
      </c>
      <c r="G181" s="4" t="s">
        <v>30</v>
      </c>
    </row>
    <row r="182" customFormat="false" ht="15" hidden="false" customHeight="false" outlineLevel="0" collapsed="false">
      <c r="A182" s="4" t="s">
        <v>369</v>
      </c>
      <c r="B182" s="3" t="n">
        <v>6</v>
      </c>
      <c r="C182" s="4" t="s">
        <v>892</v>
      </c>
      <c r="D182" s="4" t="s">
        <v>933</v>
      </c>
      <c r="E182" s="3" t="n">
        <v>1</v>
      </c>
      <c r="F182" s="10" t="n">
        <v>1</v>
      </c>
      <c r="G182" s="4" t="s">
        <v>26</v>
      </c>
    </row>
    <row r="183" customFormat="false" ht="15" hidden="false" customHeight="false" outlineLevel="0" collapsed="false">
      <c r="A183" s="4" t="s">
        <v>369</v>
      </c>
      <c r="B183" s="3" t="n">
        <v>7</v>
      </c>
      <c r="C183" s="4" t="s">
        <v>911</v>
      </c>
      <c r="D183" s="4" t="s">
        <v>933</v>
      </c>
      <c r="E183" s="3" t="n">
        <v>1</v>
      </c>
      <c r="F183" s="10" t="n">
        <v>1</v>
      </c>
      <c r="G183" s="4" t="s">
        <v>26</v>
      </c>
    </row>
    <row r="184" customFormat="false" ht="15" hidden="false" customHeight="false" outlineLevel="0" collapsed="false">
      <c r="A184" s="4" t="s">
        <v>369</v>
      </c>
      <c r="B184" s="3" t="n">
        <v>8</v>
      </c>
      <c r="C184" s="4" t="s">
        <v>913</v>
      </c>
      <c r="D184" s="4" t="s">
        <v>933</v>
      </c>
      <c r="E184" s="3" t="n">
        <v>1</v>
      </c>
      <c r="F184" s="10" t="n">
        <v>1</v>
      </c>
      <c r="G184" s="4" t="s">
        <v>26</v>
      </c>
    </row>
    <row r="185" customFormat="false" ht="15" hidden="false" customHeight="false" outlineLevel="0" collapsed="false">
      <c r="A185" s="4" t="s">
        <v>369</v>
      </c>
      <c r="B185" s="3" t="n">
        <v>9</v>
      </c>
      <c r="C185" s="4" t="s">
        <v>896</v>
      </c>
      <c r="D185" s="4" t="s">
        <v>933</v>
      </c>
      <c r="E185" s="3" t="n">
        <v>1</v>
      </c>
      <c r="F185" s="10" t="n">
        <v>1</v>
      </c>
      <c r="G185" s="4" t="s">
        <v>26</v>
      </c>
    </row>
    <row r="186" customFormat="false" ht="15" hidden="false" customHeight="false" outlineLevel="0" collapsed="false">
      <c r="A186" s="4" t="s">
        <v>369</v>
      </c>
      <c r="B186" s="3" t="n">
        <v>10</v>
      </c>
      <c r="C186" s="4" t="s">
        <v>896</v>
      </c>
      <c r="D186" s="4" t="s">
        <v>933</v>
      </c>
      <c r="E186" s="3" t="n">
        <v>1</v>
      </c>
      <c r="F186" s="10" t="n">
        <v>1</v>
      </c>
      <c r="G186" s="4" t="s">
        <v>26</v>
      </c>
    </row>
    <row r="187" customFormat="false" ht="15" hidden="false" customHeight="false" outlineLevel="0" collapsed="false">
      <c r="A187" s="4" t="s">
        <v>372</v>
      </c>
      <c r="B187" s="3" t="n">
        <v>1</v>
      </c>
      <c r="C187" s="4" t="s">
        <v>865</v>
      </c>
      <c r="D187" s="4" t="s">
        <v>933</v>
      </c>
      <c r="E187" s="3" t="n">
        <v>1</v>
      </c>
      <c r="F187" s="10" t="n">
        <v>1</v>
      </c>
      <c r="G187" s="4" t="s">
        <v>26</v>
      </c>
    </row>
    <row r="188" customFormat="false" ht="15" hidden="false" customHeight="false" outlineLevel="0" collapsed="false">
      <c r="A188" s="4" t="s">
        <v>372</v>
      </c>
      <c r="B188" s="3" t="n">
        <v>2</v>
      </c>
      <c r="C188" s="4" t="s">
        <v>870</v>
      </c>
      <c r="D188" s="4" t="s">
        <v>933</v>
      </c>
      <c r="E188" s="3" t="n">
        <v>1</v>
      </c>
      <c r="F188" s="10" t="n">
        <v>1</v>
      </c>
      <c r="G188" s="4" t="s">
        <v>26</v>
      </c>
    </row>
    <row r="189" customFormat="false" ht="15" hidden="false" customHeight="false" outlineLevel="0" collapsed="false">
      <c r="A189" s="4" t="s">
        <v>372</v>
      </c>
      <c r="B189" s="3" t="n">
        <v>3</v>
      </c>
      <c r="C189" s="4" t="s">
        <v>903</v>
      </c>
      <c r="D189" s="4" t="s">
        <v>933</v>
      </c>
      <c r="E189" s="3" t="n">
        <v>1</v>
      </c>
      <c r="F189" s="10" t="n">
        <v>1</v>
      </c>
      <c r="G189" s="4" t="s">
        <v>26</v>
      </c>
    </row>
    <row r="190" customFormat="false" ht="15" hidden="false" customHeight="false" outlineLevel="0" collapsed="false">
      <c r="A190" s="4" t="s">
        <v>372</v>
      </c>
      <c r="B190" s="3" t="n">
        <v>3</v>
      </c>
      <c r="C190" s="4" t="s">
        <v>873</v>
      </c>
      <c r="D190" s="4" t="s">
        <v>934</v>
      </c>
      <c r="E190" s="3" t="n">
        <v>1</v>
      </c>
      <c r="F190" s="10" t="n">
        <v>1.1</v>
      </c>
      <c r="G190" s="4" t="s">
        <v>30</v>
      </c>
    </row>
    <row r="191" customFormat="false" ht="15" hidden="false" customHeight="false" outlineLevel="0" collapsed="false">
      <c r="A191" s="4" t="s">
        <v>372</v>
      </c>
      <c r="B191" s="3" t="n">
        <v>4</v>
      </c>
      <c r="C191" s="4" t="s">
        <v>877</v>
      </c>
      <c r="D191" s="4" t="s">
        <v>933</v>
      </c>
      <c r="E191" s="3" t="n">
        <v>1</v>
      </c>
      <c r="F191" s="10" t="n">
        <v>1</v>
      </c>
      <c r="G191" s="4" t="s">
        <v>26</v>
      </c>
    </row>
    <row r="192" customFormat="false" ht="15" hidden="false" customHeight="false" outlineLevel="0" collapsed="false">
      <c r="A192" s="4" t="s">
        <v>372</v>
      </c>
      <c r="B192" s="3" t="n">
        <v>5</v>
      </c>
      <c r="C192" s="4" t="s">
        <v>905</v>
      </c>
      <c r="D192" s="4" t="s">
        <v>933</v>
      </c>
      <c r="E192" s="3" t="n">
        <v>1</v>
      </c>
      <c r="F192" s="10" t="n">
        <v>1</v>
      </c>
      <c r="G192" s="4" t="s">
        <v>26</v>
      </c>
    </row>
    <row r="193" customFormat="false" ht="15" hidden="false" customHeight="false" outlineLevel="0" collapsed="false">
      <c r="A193" s="4" t="s">
        <v>372</v>
      </c>
      <c r="B193" s="3" t="n">
        <v>5</v>
      </c>
      <c r="C193" s="4" t="s">
        <v>881</v>
      </c>
      <c r="D193" s="4" t="s">
        <v>935</v>
      </c>
      <c r="E193" s="3" t="n">
        <v>1</v>
      </c>
      <c r="F193" s="10" t="n">
        <v>1</v>
      </c>
      <c r="G193" s="4" t="s">
        <v>30</v>
      </c>
    </row>
    <row r="194" customFormat="false" ht="15" hidden="false" customHeight="false" outlineLevel="0" collapsed="false">
      <c r="A194" s="4" t="s">
        <v>372</v>
      </c>
      <c r="B194" s="3" t="n">
        <v>6</v>
      </c>
      <c r="C194" s="4" t="s">
        <v>892</v>
      </c>
      <c r="D194" s="4" t="s">
        <v>933</v>
      </c>
      <c r="E194" s="3" t="n">
        <v>1</v>
      </c>
      <c r="F194" s="10" t="n">
        <v>1</v>
      </c>
      <c r="G194" s="4" t="s">
        <v>26</v>
      </c>
    </row>
    <row r="195" customFormat="false" ht="15" hidden="false" customHeight="false" outlineLevel="0" collapsed="false">
      <c r="A195" s="4" t="s">
        <v>372</v>
      </c>
      <c r="B195" s="3" t="n">
        <v>7</v>
      </c>
      <c r="C195" s="4" t="s">
        <v>911</v>
      </c>
      <c r="D195" s="4" t="s">
        <v>933</v>
      </c>
      <c r="E195" s="3" t="n">
        <v>1</v>
      </c>
      <c r="F195" s="10" t="n">
        <v>1</v>
      </c>
      <c r="G195" s="4" t="s">
        <v>26</v>
      </c>
    </row>
    <row r="196" customFormat="false" ht="15" hidden="false" customHeight="false" outlineLevel="0" collapsed="false">
      <c r="A196" s="4" t="s">
        <v>372</v>
      </c>
      <c r="B196" s="3" t="n">
        <v>8</v>
      </c>
      <c r="C196" s="4" t="s">
        <v>913</v>
      </c>
      <c r="D196" s="4" t="s">
        <v>933</v>
      </c>
      <c r="E196" s="3" t="n">
        <v>1</v>
      </c>
      <c r="F196" s="10" t="n">
        <v>1</v>
      </c>
      <c r="G196" s="4" t="s">
        <v>26</v>
      </c>
    </row>
    <row r="197" customFormat="false" ht="15" hidden="false" customHeight="false" outlineLevel="0" collapsed="false">
      <c r="A197" s="4" t="s">
        <v>372</v>
      </c>
      <c r="B197" s="3" t="n">
        <v>9</v>
      </c>
      <c r="C197" s="4" t="s">
        <v>896</v>
      </c>
      <c r="D197" s="4" t="s">
        <v>933</v>
      </c>
      <c r="E197" s="3" t="n">
        <v>1</v>
      </c>
      <c r="F197" s="10" t="n">
        <v>1</v>
      </c>
      <c r="G197" s="4" t="s">
        <v>26</v>
      </c>
    </row>
    <row r="198" customFormat="false" ht="15" hidden="false" customHeight="false" outlineLevel="0" collapsed="false">
      <c r="A198" s="4" t="s">
        <v>372</v>
      </c>
      <c r="B198" s="3" t="n">
        <v>10</v>
      </c>
      <c r="C198" s="4" t="s">
        <v>896</v>
      </c>
      <c r="D198" s="4" t="s">
        <v>933</v>
      </c>
      <c r="E198" s="3" t="n">
        <v>1</v>
      </c>
      <c r="F198" s="10" t="n">
        <v>1</v>
      </c>
      <c r="G198" s="4" t="s">
        <v>26</v>
      </c>
    </row>
    <row r="199" customFormat="false" ht="15" hidden="false" customHeight="false" outlineLevel="0" collapsed="false">
      <c r="A199" s="4" t="s">
        <v>381</v>
      </c>
      <c r="B199" s="3" t="n">
        <v>1</v>
      </c>
      <c r="C199" s="4" t="s">
        <v>865</v>
      </c>
      <c r="D199" s="4" t="s">
        <v>933</v>
      </c>
      <c r="E199" s="3" t="n">
        <v>1</v>
      </c>
      <c r="F199" s="10" t="n">
        <v>1</v>
      </c>
      <c r="G199" s="4" t="s">
        <v>26</v>
      </c>
    </row>
    <row r="200" customFormat="false" ht="15" hidden="false" customHeight="false" outlineLevel="0" collapsed="false">
      <c r="A200" s="4" t="s">
        <v>381</v>
      </c>
      <c r="B200" s="3" t="n">
        <v>2</v>
      </c>
      <c r="C200" s="4" t="s">
        <v>903</v>
      </c>
      <c r="D200" s="4" t="s">
        <v>933</v>
      </c>
      <c r="E200" s="3" t="n">
        <v>1</v>
      </c>
      <c r="F200" s="10" t="n">
        <v>1</v>
      </c>
      <c r="G200" s="4" t="s">
        <v>26</v>
      </c>
    </row>
    <row r="201" customFormat="false" ht="15" hidden="false" customHeight="false" outlineLevel="0" collapsed="false">
      <c r="A201" s="4" t="s">
        <v>381</v>
      </c>
      <c r="B201" s="3" t="n">
        <v>2</v>
      </c>
      <c r="C201" s="4" t="s">
        <v>873</v>
      </c>
      <c r="D201" s="4" t="s">
        <v>934</v>
      </c>
      <c r="E201" s="3" t="n">
        <v>1</v>
      </c>
      <c r="F201" s="10" t="n">
        <v>1.1</v>
      </c>
      <c r="G201" s="4" t="s">
        <v>30</v>
      </c>
    </row>
    <row r="202" customFormat="false" ht="15" hidden="false" customHeight="false" outlineLevel="0" collapsed="false">
      <c r="A202" s="4" t="s">
        <v>381</v>
      </c>
      <c r="B202" s="3" t="n">
        <v>3</v>
      </c>
      <c r="C202" s="4" t="s">
        <v>877</v>
      </c>
      <c r="D202" s="4" t="s">
        <v>933</v>
      </c>
      <c r="E202" s="3" t="n">
        <v>1</v>
      </c>
      <c r="F202" s="10" t="n">
        <v>1</v>
      </c>
      <c r="G202" s="4" t="s">
        <v>26</v>
      </c>
    </row>
    <row r="203" customFormat="false" ht="15" hidden="false" customHeight="false" outlineLevel="0" collapsed="false">
      <c r="A203" s="4" t="s">
        <v>381</v>
      </c>
      <c r="B203" s="3" t="n">
        <v>4</v>
      </c>
      <c r="C203" s="4" t="s">
        <v>892</v>
      </c>
      <c r="D203" s="4" t="s">
        <v>933</v>
      </c>
      <c r="E203" s="3" t="n">
        <v>1</v>
      </c>
      <c r="F203" s="10" t="n">
        <v>1</v>
      </c>
      <c r="G203" s="4" t="s">
        <v>26</v>
      </c>
    </row>
    <row r="204" customFormat="false" ht="15" hidden="false" customHeight="false" outlineLevel="0" collapsed="false">
      <c r="A204" s="4" t="s">
        <v>381</v>
      </c>
      <c r="B204" s="3" t="n">
        <v>5</v>
      </c>
      <c r="C204" s="4" t="s">
        <v>911</v>
      </c>
      <c r="D204" s="4" t="s">
        <v>933</v>
      </c>
      <c r="E204" s="3" t="n">
        <v>1</v>
      </c>
      <c r="F204" s="10" t="n">
        <v>1</v>
      </c>
      <c r="G204" s="4" t="s">
        <v>26</v>
      </c>
    </row>
    <row r="205" customFormat="false" ht="15" hidden="false" customHeight="false" outlineLevel="0" collapsed="false">
      <c r="A205" s="4" t="s">
        <v>381</v>
      </c>
      <c r="B205" s="3" t="n">
        <v>6</v>
      </c>
      <c r="C205" s="4" t="s">
        <v>913</v>
      </c>
      <c r="D205" s="4" t="s">
        <v>933</v>
      </c>
      <c r="E205" s="3" t="n">
        <v>1</v>
      </c>
      <c r="F205" s="10" t="n">
        <v>1</v>
      </c>
      <c r="G205" s="4" t="s">
        <v>26</v>
      </c>
    </row>
    <row r="206" customFormat="false" ht="15" hidden="false" customHeight="false" outlineLevel="0" collapsed="false">
      <c r="A206" s="4" t="s">
        <v>381</v>
      </c>
      <c r="B206" s="3" t="n">
        <v>7</v>
      </c>
      <c r="C206" s="4" t="s">
        <v>896</v>
      </c>
      <c r="D206" s="4" t="s">
        <v>933</v>
      </c>
      <c r="E206" s="3" t="n">
        <v>1</v>
      </c>
      <c r="F206" s="10" t="n">
        <v>1</v>
      </c>
      <c r="G206" s="4" t="s">
        <v>26</v>
      </c>
    </row>
    <row r="207" customFormat="false" ht="15" hidden="false" customHeight="false" outlineLevel="0" collapsed="false">
      <c r="A207" s="4" t="s">
        <v>381</v>
      </c>
      <c r="B207" s="3" t="n">
        <v>8</v>
      </c>
      <c r="C207" s="4" t="s">
        <v>896</v>
      </c>
      <c r="D207" s="4" t="s">
        <v>933</v>
      </c>
      <c r="E207" s="3" t="n">
        <v>1</v>
      </c>
      <c r="F207" s="10" t="n">
        <v>1</v>
      </c>
      <c r="G207" s="4" t="s">
        <v>26</v>
      </c>
    </row>
    <row r="208" customFormat="false" ht="15" hidden="false" customHeight="false" outlineLevel="0" collapsed="false">
      <c r="A208" s="4" t="s">
        <v>384</v>
      </c>
      <c r="B208" s="3" t="n">
        <v>1</v>
      </c>
      <c r="C208" s="4" t="s">
        <v>865</v>
      </c>
      <c r="D208" s="4" t="s">
        <v>933</v>
      </c>
      <c r="E208" s="3" t="n">
        <v>1</v>
      </c>
      <c r="F208" s="10" t="n">
        <v>1</v>
      </c>
      <c r="G208" s="4" t="s">
        <v>26</v>
      </c>
    </row>
    <row r="209" customFormat="false" ht="15" hidden="false" customHeight="false" outlineLevel="0" collapsed="false">
      <c r="A209" s="4" t="s">
        <v>384</v>
      </c>
      <c r="B209" s="3" t="n">
        <v>2</v>
      </c>
      <c r="C209" s="4" t="s">
        <v>903</v>
      </c>
      <c r="D209" s="4" t="s">
        <v>933</v>
      </c>
      <c r="E209" s="3" t="n">
        <v>1</v>
      </c>
      <c r="F209" s="10" t="n">
        <v>1</v>
      </c>
      <c r="G209" s="4" t="s">
        <v>26</v>
      </c>
    </row>
    <row r="210" customFormat="false" ht="15" hidden="false" customHeight="false" outlineLevel="0" collapsed="false">
      <c r="A210" s="4" t="s">
        <v>384</v>
      </c>
      <c r="B210" s="3" t="n">
        <v>2</v>
      </c>
      <c r="C210" s="4" t="s">
        <v>873</v>
      </c>
      <c r="D210" s="4" t="s">
        <v>934</v>
      </c>
      <c r="E210" s="3" t="n">
        <v>1</v>
      </c>
      <c r="F210" s="10" t="n">
        <v>1.1</v>
      </c>
      <c r="G210" s="4" t="s">
        <v>30</v>
      </c>
    </row>
    <row r="211" customFormat="false" ht="15" hidden="false" customHeight="false" outlineLevel="0" collapsed="false">
      <c r="A211" s="4" t="s">
        <v>384</v>
      </c>
      <c r="B211" s="3" t="n">
        <v>3</v>
      </c>
      <c r="C211" s="4" t="s">
        <v>877</v>
      </c>
      <c r="D211" s="4" t="s">
        <v>933</v>
      </c>
      <c r="E211" s="3" t="n">
        <v>1</v>
      </c>
      <c r="F211" s="10" t="n">
        <v>1</v>
      </c>
      <c r="G211" s="4" t="s">
        <v>26</v>
      </c>
    </row>
    <row r="212" customFormat="false" ht="15" hidden="false" customHeight="false" outlineLevel="0" collapsed="false">
      <c r="A212" s="4" t="s">
        <v>384</v>
      </c>
      <c r="B212" s="3" t="n">
        <v>4</v>
      </c>
      <c r="C212" s="4" t="s">
        <v>892</v>
      </c>
      <c r="D212" s="4" t="s">
        <v>933</v>
      </c>
      <c r="E212" s="3" t="n">
        <v>1</v>
      </c>
      <c r="F212" s="10" t="n">
        <v>1</v>
      </c>
      <c r="G212" s="4" t="s">
        <v>26</v>
      </c>
    </row>
    <row r="213" customFormat="false" ht="15" hidden="false" customHeight="false" outlineLevel="0" collapsed="false">
      <c r="A213" s="4" t="s">
        <v>384</v>
      </c>
      <c r="B213" s="3" t="n">
        <v>5</v>
      </c>
      <c r="C213" s="4" t="s">
        <v>911</v>
      </c>
      <c r="D213" s="4" t="s">
        <v>933</v>
      </c>
      <c r="E213" s="3" t="n">
        <v>1</v>
      </c>
      <c r="F213" s="10" t="n">
        <v>1</v>
      </c>
      <c r="G213" s="4" t="s">
        <v>26</v>
      </c>
    </row>
    <row r="214" customFormat="false" ht="15" hidden="false" customHeight="false" outlineLevel="0" collapsed="false">
      <c r="A214" s="4" t="s">
        <v>384</v>
      </c>
      <c r="B214" s="3" t="n">
        <v>6</v>
      </c>
      <c r="C214" s="4" t="s">
        <v>913</v>
      </c>
      <c r="D214" s="4" t="s">
        <v>933</v>
      </c>
      <c r="E214" s="3" t="n">
        <v>1</v>
      </c>
      <c r="F214" s="10" t="n">
        <v>1</v>
      </c>
      <c r="G214" s="4" t="s">
        <v>26</v>
      </c>
    </row>
    <row r="215" customFormat="false" ht="15" hidden="false" customHeight="false" outlineLevel="0" collapsed="false">
      <c r="A215" s="4" t="s">
        <v>384</v>
      </c>
      <c r="B215" s="3" t="n">
        <v>7</v>
      </c>
      <c r="C215" s="4" t="s">
        <v>896</v>
      </c>
      <c r="D215" s="4" t="s">
        <v>933</v>
      </c>
      <c r="E215" s="3" t="n">
        <v>1</v>
      </c>
      <c r="F215" s="10" t="n">
        <v>1</v>
      </c>
      <c r="G215" s="4" t="s">
        <v>26</v>
      </c>
    </row>
    <row r="216" customFormat="false" ht="15" hidden="false" customHeight="false" outlineLevel="0" collapsed="false">
      <c r="A216" s="4" t="s">
        <v>384</v>
      </c>
      <c r="B216" s="3" t="n">
        <v>8</v>
      </c>
      <c r="C216" s="4" t="s">
        <v>896</v>
      </c>
      <c r="D216" s="4" t="s">
        <v>933</v>
      </c>
      <c r="E216" s="3" t="n">
        <v>1</v>
      </c>
      <c r="F216" s="10" t="n">
        <v>1</v>
      </c>
      <c r="G216" s="4" t="s">
        <v>26</v>
      </c>
    </row>
    <row r="217" customFormat="false" ht="15" hidden="false" customHeight="false" outlineLevel="0" collapsed="false">
      <c r="A217" s="4" t="s">
        <v>387</v>
      </c>
      <c r="B217" s="3" t="n">
        <v>1</v>
      </c>
      <c r="C217" s="4" t="s">
        <v>865</v>
      </c>
      <c r="D217" s="4" t="s">
        <v>933</v>
      </c>
      <c r="E217" s="3" t="n">
        <v>1</v>
      </c>
      <c r="F217" s="10" t="n">
        <v>1</v>
      </c>
      <c r="G217" s="4" t="s">
        <v>26</v>
      </c>
    </row>
    <row r="218" customFormat="false" ht="15" hidden="false" customHeight="false" outlineLevel="0" collapsed="false">
      <c r="A218" s="4" t="s">
        <v>387</v>
      </c>
      <c r="B218" s="3" t="n">
        <v>2</v>
      </c>
      <c r="C218" s="4" t="s">
        <v>903</v>
      </c>
      <c r="D218" s="4" t="s">
        <v>933</v>
      </c>
      <c r="E218" s="3" t="n">
        <v>1</v>
      </c>
      <c r="F218" s="10" t="n">
        <v>1</v>
      </c>
      <c r="G218" s="4" t="s">
        <v>26</v>
      </c>
    </row>
    <row r="219" customFormat="false" ht="15" hidden="false" customHeight="false" outlineLevel="0" collapsed="false">
      <c r="A219" s="4" t="s">
        <v>387</v>
      </c>
      <c r="B219" s="3" t="n">
        <v>2</v>
      </c>
      <c r="C219" s="4" t="s">
        <v>873</v>
      </c>
      <c r="D219" s="4" t="s">
        <v>934</v>
      </c>
      <c r="E219" s="3" t="n">
        <v>1</v>
      </c>
      <c r="F219" s="10" t="n">
        <v>1.1</v>
      </c>
      <c r="G219" s="4" t="s">
        <v>30</v>
      </c>
    </row>
    <row r="220" customFormat="false" ht="15" hidden="false" customHeight="false" outlineLevel="0" collapsed="false">
      <c r="A220" s="4" t="s">
        <v>387</v>
      </c>
      <c r="B220" s="3" t="n">
        <v>3</v>
      </c>
      <c r="C220" s="4" t="s">
        <v>877</v>
      </c>
      <c r="D220" s="4" t="s">
        <v>933</v>
      </c>
      <c r="E220" s="3" t="n">
        <v>1</v>
      </c>
      <c r="F220" s="10" t="n">
        <v>1</v>
      </c>
      <c r="G220" s="4" t="s">
        <v>26</v>
      </c>
    </row>
    <row r="221" customFormat="false" ht="15" hidden="false" customHeight="false" outlineLevel="0" collapsed="false">
      <c r="A221" s="4" t="s">
        <v>387</v>
      </c>
      <c r="B221" s="3" t="n">
        <v>4</v>
      </c>
      <c r="C221" s="4" t="s">
        <v>892</v>
      </c>
      <c r="D221" s="4" t="s">
        <v>933</v>
      </c>
      <c r="E221" s="3" t="n">
        <v>1</v>
      </c>
      <c r="F221" s="10" t="n">
        <v>1</v>
      </c>
      <c r="G221" s="4" t="s">
        <v>26</v>
      </c>
    </row>
    <row r="222" customFormat="false" ht="15" hidden="false" customHeight="false" outlineLevel="0" collapsed="false">
      <c r="A222" s="4" t="s">
        <v>387</v>
      </c>
      <c r="B222" s="3" t="n">
        <v>5</v>
      </c>
      <c r="C222" s="4" t="s">
        <v>911</v>
      </c>
      <c r="D222" s="4" t="s">
        <v>933</v>
      </c>
      <c r="E222" s="3" t="n">
        <v>1</v>
      </c>
      <c r="F222" s="10" t="n">
        <v>1</v>
      </c>
      <c r="G222" s="4" t="s">
        <v>26</v>
      </c>
    </row>
    <row r="223" customFormat="false" ht="15" hidden="false" customHeight="false" outlineLevel="0" collapsed="false">
      <c r="A223" s="4" t="s">
        <v>387</v>
      </c>
      <c r="B223" s="3" t="n">
        <v>6</v>
      </c>
      <c r="C223" s="4" t="s">
        <v>913</v>
      </c>
      <c r="D223" s="4" t="s">
        <v>933</v>
      </c>
      <c r="E223" s="3" t="n">
        <v>1</v>
      </c>
      <c r="F223" s="10" t="n">
        <v>1</v>
      </c>
      <c r="G223" s="4" t="s">
        <v>26</v>
      </c>
    </row>
    <row r="224" customFormat="false" ht="15" hidden="false" customHeight="false" outlineLevel="0" collapsed="false">
      <c r="A224" s="4" t="s">
        <v>387</v>
      </c>
      <c r="B224" s="3" t="n">
        <v>7</v>
      </c>
      <c r="C224" s="4" t="s">
        <v>896</v>
      </c>
      <c r="D224" s="4" t="s">
        <v>933</v>
      </c>
      <c r="E224" s="3" t="n">
        <v>1</v>
      </c>
      <c r="F224" s="10" t="n">
        <v>1</v>
      </c>
      <c r="G224" s="4" t="s">
        <v>26</v>
      </c>
    </row>
    <row r="225" customFormat="false" ht="15" hidden="false" customHeight="false" outlineLevel="0" collapsed="false">
      <c r="A225" s="4" t="s">
        <v>387</v>
      </c>
      <c r="B225" s="3" t="n">
        <v>8</v>
      </c>
      <c r="C225" s="4" t="s">
        <v>896</v>
      </c>
      <c r="D225" s="4" t="s">
        <v>933</v>
      </c>
      <c r="E225" s="3" t="n">
        <v>1</v>
      </c>
      <c r="F225" s="10" t="n">
        <v>1</v>
      </c>
      <c r="G225" s="4" t="s">
        <v>26</v>
      </c>
    </row>
    <row r="226" customFormat="false" ht="15" hidden="false" customHeight="false" outlineLevel="0" collapsed="false">
      <c r="A226" s="4" t="s">
        <v>390</v>
      </c>
      <c r="B226" s="3" t="n">
        <v>1</v>
      </c>
      <c r="C226" s="4" t="s">
        <v>865</v>
      </c>
      <c r="D226" s="4" t="s">
        <v>933</v>
      </c>
      <c r="E226" s="3" t="n">
        <v>1</v>
      </c>
      <c r="F226" s="10" t="n">
        <v>1</v>
      </c>
      <c r="G226" s="4" t="s">
        <v>26</v>
      </c>
    </row>
    <row r="227" customFormat="false" ht="15" hidden="false" customHeight="false" outlineLevel="0" collapsed="false">
      <c r="A227" s="4" t="s">
        <v>390</v>
      </c>
      <c r="B227" s="3" t="n">
        <v>2</v>
      </c>
      <c r="C227" s="4" t="s">
        <v>903</v>
      </c>
      <c r="D227" s="4" t="s">
        <v>933</v>
      </c>
      <c r="E227" s="3" t="n">
        <v>1</v>
      </c>
      <c r="F227" s="10" t="n">
        <v>1</v>
      </c>
      <c r="G227" s="4" t="s">
        <v>26</v>
      </c>
    </row>
    <row r="228" customFormat="false" ht="15" hidden="false" customHeight="false" outlineLevel="0" collapsed="false">
      <c r="A228" s="4" t="s">
        <v>390</v>
      </c>
      <c r="B228" s="3" t="n">
        <v>2</v>
      </c>
      <c r="C228" s="4" t="s">
        <v>873</v>
      </c>
      <c r="D228" s="4" t="s">
        <v>934</v>
      </c>
      <c r="E228" s="3" t="n">
        <v>1</v>
      </c>
      <c r="F228" s="10" t="n">
        <v>1.1</v>
      </c>
      <c r="G228" s="4" t="s">
        <v>30</v>
      </c>
    </row>
    <row r="229" customFormat="false" ht="15" hidden="false" customHeight="false" outlineLevel="0" collapsed="false">
      <c r="A229" s="4" t="s">
        <v>390</v>
      </c>
      <c r="B229" s="3" t="n">
        <v>3</v>
      </c>
      <c r="C229" s="4" t="s">
        <v>877</v>
      </c>
      <c r="D229" s="4" t="s">
        <v>933</v>
      </c>
      <c r="E229" s="3" t="n">
        <v>1</v>
      </c>
      <c r="F229" s="10" t="n">
        <v>1</v>
      </c>
      <c r="G229" s="4" t="s">
        <v>26</v>
      </c>
    </row>
    <row r="230" customFormat="false" ht="15" hidden="false" customHeight="false" outlineLevel="0" collapsed="false">
      <c r="A230" s="4" t="s">
        <v>390</v>
      </c>
      <c r="B230" s="3" t="n">
        <v>4</v>
      </c>
      <c r="C230" s="4" t="s">
        <v>892</v>
      </c>
      <c r="D230" s="4" t="s">
        <v>933</v>
      </c>
      <c r="E230" s="3" t="n">
        <v>1</v>
      </c>
      <c r="F230" s="10" t="n">
        <v>1</v>
      </c>
      <c r="G230" s="4" t="s">
        <v>26</v>
      </c>
    </row>
    <row r="231" customFormat="false" ht="15" hidden="false" customHeight="false" outlineLevel="0" collapsed="false">
      <c r="A231" s="4" t="s">
        <v>390</v>
      </c>
      <c r="B231" s="3" t="n">
        <v>5</v>
      </c>
      <c r="C231" s="4" t="s">
        <v>911</v>
      </c>
      <c r="D231" s="4" t="s">
        <v>933</v>
      </c>
      <c r="E231" s="3" t="n">
        <v>1</v>
      </c>
      <c r="F231" s="10" t="n">
        <v>1</v>
      </c>
      <c r="G231" s="4" t="s">
        <v>26</v>
      </c>
    </row>
    <row r="232" customFormat="false" ht="15" hidden="false" customHeight="false" outlineLevel="0" collapsed="false">
      <c r="A232" s="4" t="s">
        <v>390</v>
      </c>
      <c r="B232" s="3" t="n">
        <v>6</v>
      </c>
      <c r="C232" s="4" t="s">
        <v>913</v>
      </c>
      <c r="D232" s="4" t="s">
        <v>933</v>
      </c>
      <c r="E232" s="3" t="n">
        <v>1</v>
      </c>
      <c r="F232" s="10" t="n">
        <v>1</v>
      </c>
      <c r="G232" s="4" t="s">
        <v>26</v>
      </c>
    </row>
    <row r="233" customFormat="false" ht="15" hidden="false" customHeight="false" outlineLevel="0" collapsed="false">
      <c r="A233" s="4" t="s">
        <v>390</v>
      </c>
      <c r="B233" s="3" t="n">
        <v>7</v>
      </c>
      <c r="C233" s="4" t="s">
        <v>896</v>
      </c>
      <c r="D233" s="4" t="s">
        <v>933</v>
      </c>
      <c r="E233" s="3" t="n">
        <v>1</v>
      </c>
      <c r="F233" s="10" t="n">
        <v>1</v>
      </c>
      <c r="G233" s="4" t="s">
        <v>26</v>
      </c>
    </row>
    <row r="234" customFormat="false" ht="15" hidden="false" customHeight="false" outlineLevel="0" collapsed="false">
      <c r="A234" s="4" t="s">
        <v>390</v>
      </c>
      <c r="B234" s="3" t="n">
        <v>8</v>
      </c>
      <c r="C234" s="4" t="s">
        <v>896</v>
      </c>
      <c r="D234" s="4" t="s">
        <v>933</v>
      </c>
      <c r="E234" s="3" t="n">
        <v>1</v>
      </c>
      <c r="F234" s="10" t="n">
        <v>1</v>
      </c>
      <c r="G234" s="4" t="s">
        <v>26</v>
      </c>
    </row>
    <row r="235" customFormat="false" ht="15" hidden="false" customHeight="false" outlineLevel="0" collapsed="false">
      <c r="A235" s="4" t="s">
        <v>398</v>
      </c>
      <c r="B235" s="3" t="n">
        <v>1</v>
      </c>
      <c r="C235" s="4" t="s">
        <v>870</v>
      </c>
      <c r="D235" s="4" t="s">
        <v>933</v>
      </c>
      <c r="E235" s="3" t="n">
        <v>1</v>
      </c>
      <c r="F235" s="10" t="n">
        <v>1</v>
      </c>
      <c r="G235" s="4" t="s">
        <v>26</v>
      </c>
    </row>
    <row r="236" customFormat="false" ht="15" hidden="false" customHeight="false" outlineLevel="0" collapsed="false">
      <c r="A236" s="4" t="s">
        <v>398</v>
      </c>
      <c r="B236" s="3" t="n">
        <v>2</v>
      </c>
      <c r="C236" s="4" t="s">
        <v>903</v>
      </c>
      <c r="D236" s="4" t="s">
        <v>933</v>
      </c>
      <c r="E236" s="3" t="n">
        <v>1</v>
      </c>
      <c r="F236" s="10" t="n">
        <v>1</v>
      </c>
      <c r="G236" s="4" t="s">
        <v>26</v>
      </c>
    </row>
    <row r="237" customFormat="false" ht="15" hidden="false" customHeight="false" outlineLevel="0" collapsed="false">
      <c r="A237" s="4" t="s">
        <v>398</v>
      </c>
      <c r="B237" s="3" t="n">
        <v>2</v>
      </c>
      <c r="C237" s="4" t="s">
        <v>873</v>
      </c>
      <c r="D237" s="4" t="s">
        <v>934</v>
      </c>
      <c r="E237" s="3" t="n">
        <v>1</v>
      </c>
      <c r="F237" s="10" t="n">
        <v>1.1</v>
      </c>
      <c r="G237" s="4" t="s">
        <v>30</v>
      </c>
    </row>
    <row r="238" customFormat="false" ht="15" hidden="false" customHeight="false" outlineLevel="0" collapsed="false">
      <c r="A238" s="4" t="s">
        <v>398</v>
      </c>
      <c r="B238" s="3" t="n">
        <v>3</v>
      </c>
      <c r="C238" s="4" t="s">
        <v>905</v>
      </c>
      <c r="D238" s="4" t="s">
        <v>933</v>
      </c>
      <c r="E238" s="3" t="n">
        <v>1</v>
      </c>
      <c r="F238" s="10" t="n">
        <v>1</v>
      </c>
      <c r="G238" s="4" t="s">
        <v>26</v>
      </c>
    </row>
    <row r="239" customFormat="false" ht="15" hidden="false" customHeight="false" outlineLevel="0" collapsed="false">
      <c r="A239" s="4" t="s">
        <v>398</v>
      </c>
      <c r="B239" s="3" t="n">
        <v>3</v>
      </c>
      <c r="C239" s="4" t="s">
        <v>881</v>
      </c>
      <c r="D239" s="4" t="s">
        <v>935</v>
      </c>
      <c r="E239" s="3" t="n">
        <v>1</v>
      </c>
      <c r="F239" s="10" t="n">
        <v>1</v>
      </c>
      <c r="G239" s="4" t="s">
        <v>30</v>
      </c>
    </row>
    <row r="240" customFormat="false" ht="15" hidden="false" customHeight="false" outlineLevel="0" collapsed="false">
      <c r="A240" s="4" t="s">
        <v>398</v>
      </c>
      <c r="B240" s="3" t="n">
        <v>4</v>
      </c>
      <c r="C240" s="4" t="s">
        <v>892</v>
      </c>
      <c r="D240" s="4" t="s">
        <v>933</v>
      </c>
      <c r="E240" s="3" t="n">
        <v>1</v>
      </c>
      <c r="F240" s="10" t="n">
        <v>1</v>
      </c>
      <c r="G240" s="4" t="s">
        <v>26</v>
      </c>
    </row>
    <row r="241" customFormat="false" ht="15" hidden="false" customHeight="false" outlineLevel="0" collapsed="false">
      <c r="A241" s="4" t="s">
        <v>398</v>
      </c>
      <c r="B241" s="3" t="n">
        <v>5</v>
      </c>
      <c r="C241" s="4" t="s">
        <v>911</v>
      </c>
      <c r="D241" s="4" t="s">
        <v>933</v>
      </c>
      <c r="E241" s="3" t="n">
        <v>1</v>
      </c>
      <c r="F241" s="10" t="n">
        <v>1</v>
      </c>
      <c r="G241" s="4" t="s">
        <v>26</v>
      </c>
    </row>
    <row r="242" customFormat="false" ht="15" hidden="false" customHeight="false" outlineLevel="0" collapsed="false">
      <c r="A242" s="4" t="s">
        <v>398</v>
      </c>
      <c r="B242" s="3" t="n">
        <v>6</v>
      </c>
      <c r="C242" s="4" t="s">
        <v>913</v>
      </c>
      <c r="D242" s="4" t="s">
        <v>933</v>
      </c>
      <c r="E242" s="3" t="n">
        <v>1</v>
      </c>
      <c r="F242" s="10" t="n">
        <v>1</v>
      </c>
      <c r="G242" s="4" t="s">
        <v>26</v>
      </c>
    </row>
    <row r="243" customFormat="false" ht="15" hidden="false" customHeight="false" outlineLevel="0" collapsed="false">
      <c r="A243" s="4" t="s">
        <v>398</v>
      </c>
      <c r="B243" s="3" t="n">
        <v>7</v>
      </c>
      <c r="C243" s="4" t="s">
        <v>896</v>
      </c>
      <c r="D243" s="4" t="s">
        <v>933</v>
      </c>
      <c r="E243" s="3" t="n">
        <v>1</v>
      </c>
      <c r="F243" s="10" t="n">
        <v>1</v>
      </c>
      <c r="G243" s="4" t="s">
        <v>26</v>
      </c>
    </row>
    <row r="244" customFormat="false" ht="15" hidden="false" customHeight="false" outlineLevel="0" collapsed="false">
      <c r="A244" s="4" t="s">
        <v>398</v>
      </c>
      <c r="B244" s="3" t="n">
        <v>8</v>
      </c>
      <c r="C244" s="4" t="s">
        <v>896</v>
      </c>
      <c r="D244" s="4" t="s">
        <v>933</v>
      </c>
      <c r="E244" s="3" t="n">
        <v>1</v>
      </c>
      <c r="F244" s="10" t="n">
        <v>1</v>
      </c>
      <c r="G244" s="4" t="s">
        <v>26</v>
      </c>
    </row>
    <row r="245" customFormat="false" ht="15" hidden="false" customHeight="false" outlineLevel="0" collapsed="false">
      <c r="A245" s="4" t="s">
        <v>401</v>
      </c>
      <c r="B245" s="3" t="n">
        <v>1</v>
      </c>
      <c r="C245" s="4" t="s">
        <v>896</v>
      </c>
      <c r="D245" s="4" t="s">
        <v>933</v>
      </c>
      <c r="E245" s="3" t="n">
        <v>1</v>
      </c>
      <c r="F245" s="10" t="n">
        <v>1</v>
      </c>
      <c r="G245" s="4" t="s">
        <v>26</v>
      </c>
    </row>
    <row r="246" customFormat="false" ht="15" hidden="false" customHeight="false" outlineLevel="0" collapsed="false">
      <c r="A246" s="4" t="s">
        <v>401</v>
      </c>
      <c r="B246" s="3" t="n">
        <v>2</v>
      </c>
      <c r="C246" s="4" t="s">
        <v>896</v>
      </c>
      <c r="D246" s="4" t="s">
        <v>933</v>
      </c>
      <c r="E246" s="3" t="n">
        <v>1</v>
      </c>
      <c r="F246" s="10" t="n">
        <v>1</v>
      </c>
      <c r="G246" s="4" t="s">
        <v>26</v>
      </c>
    </row>
    <row r="247" customFormat="false" ht="15" hidden="false" customHeight="false" outlineLevel="0" collapsed="false">
      <c r="A247" s="4" t="s">
        <v>403</v>
      </c>
      <c r="B247" s="3" t="n">
        <v>1</v>
      </c>
      <c r="C247" s="4" t="s">
        <v>865</v>
      </c>
      <c r="D247" s="4" t="s">
        <v>933</v>
      </c>
      <c r="E247" s="3" t="n">
        <v>1</v>
      </c>
      <c r="F247" s="10" t="n">
        <v>1</v>
      </c>
      <c r="G247" s="4" t="s">
        <v>26</v>
      </c>
    </row>
    <row r="248" customFormat="false" ht="15" hidden="false" customHeight="false" outlineLevel="0" collapsed="false">
      <c r="A248" s="4" t="s">
        <v>403</v>
      </c>
      <c r="B248" s="3" t="n">
        <v>2</v>
      </c>
      <c r="C248" s="4" t="s">
        <v>903</v>
      </c>
      <c r="D248" s="4" t="s">
        <v>933</v>
      </c>
      <c r="E248" s="3" t="n">
        <v>1</v>
      </c>
      <c r="F248" s="10" t="n">
        <v>1</v>
      </c>
      <c r="G248" s="4" t="s">
        <v>26</v>
      </c>
    </row>
    <row r="249" customFormat="false" ht="15" hidden="false" customHeight="false" outlineLevel="0" collapsed="false">
      <c r="A249" s="4" t="s">
        <v>403</v>
      </c>
      <c r="B249" s="3" t="n">
        <v>2</v>
      </c>
      <c r="C249" s="4" t="s">
        <v>873</v>
      </c>
      <c r="D249" s="4" t="s">
        <v>934</v>
      </c>
      <c r="E249" s="3" t="n">
        <v>1</v>
      </c>
      <c r="F249" s="10" t="n">
        <v>1.1</v>
      </c>
      <c r="G249" s="4" t="s">
        <v>30</v>
      </c>
    </row>
    <row r="250" customFormat="false" ht="15" hidden="false" customHeight="false" outlineLevel="0" collapsed="false">
      <c r="A250" s="4" t="s">
        <v>403</v>
      </c>
      <c r="B250" s="3" t="n">
        <v>3</v>
      </c>
      <c r="C250" s="4" t="s">
        <v>877</v>
      </c>
      <c r="D250" s="4" t="s">
        <v>933</v>
      </c>
      <c r="E250" s="3" t="n">
        <v>1</v>
      </c>
      <c r="F250" s="10" t="n">
        <v>1</v>
      </c>
      <c r="G250" s="4" t="s">
        <v>26</v>
      </c>
    </row>
    <row r="251" customFormat="false" ht="15" hidden="false" customHeight="false" outlineLevel="0" collapsed="false">
      <c r="A251" s="4" t="s">
        <v>403</v>
      </c>
      <c r="B251" s="3" t="n">
        <v>4</v>
      </c>
      <c r="C251" s="4" t="s">
        <v>892</v>
      </c>
      <c r="D251" s="4" t="s">
        <v>933</v>
      </c>
      <c r="E251" s="3" t="n">
        <v>1</v>
      </c>
      <c r="F251" s="10" t="n">
        <v>1</v>
      </c>
      <c r="G251" s="4" t="s">
        <v>26</v>
      </c>
    </row>
    <row r="252" customFormat="false" ht="15" hidden="false" customHeight="false" outlineLevel="0" collapsed="false">
      <c r="A252" s="4" t="s">
        <v>403</v>
      </c>
      <c r="B252" s="3" t="n">
        <v>5</v>
      </c>
      <c r="C252" s="4" t="s">
        <v>911</v>
      </c>
      <c r="D252" s="4" t="s">
        <v>933</v>
      </c>
      <c r="E252" s="3" t="n">
        <v>1</v>
      </c>
      <c r="F252" s="10" t="n">
        <v>1</v>
      </c>
      <c r="G252" s="4" t="s">
        <v>26</v>
      </c>
    </row>
    <row r="253" customFormat="false" ht="15" hidden="false" customHeight="false" outlineLevel="0" collapsed="false">
      <c r="A253" s="4" t="s">
        <v>403</v>
      </c>
      <c r="B253" s="3" t="n">
        <v>6</v>
      </c>
      <c r="C253" s="4" t="s">
        <v>913</v>
      </c>
      <c r="D253" s="4" t="s">
        <v>933</v>
      </c>
      <c r="E253" s="3" t="n">
        <v>1</v>
      </c>
      <c r="F253" s="10" t="n">
        <v>1</v>
      </c>
      <c r="G253" s="4" t="s">
        <v>26</v>
      </c>
    </row>
    <row r="254" customFormat="false" ht="15" hidden="false" customHeight="false" outlineLevel="0" collapsed="false">
      <c r="A254" s="4" t="s">
        <v>403</v>
      </c>
      <c r="B254" s="3" t="n">
        <v>7</v>
      </c>
      <c r="C254" s="4" t="s">
        <v>896</v>
      </c>
      <c r="D254" s="4" t="s">
        <v>933</v>
      </c>
      <c r="E254" s="3" t="n">
        <v>1</v>
      </c>
      <c r="F254" s="10" t="n">
        <v>1</v>
      </c>
      <c r="G254" s="4" t="s">
        <v>26</v>
      </c>
    </row>
    <row r="255" customFormat="false" ht="15" hidden="false" customHeight="false" outlineLevel="0" collapsed="false">
      <c r="A255" s="4" t="s">
        <v>403</v>
      </c>
      <c r="B255" s="3" t="n">
        <v>8</v>
      </c>
      <c r="C255" s="4" t="s">
        <v>896</v>
      </c>
      <c r="D255" s="4" t="s">
        <v>933</v>
      </c>
      <c r="E255" s="3" t="n">
        <v>1</v>
      </c>
      <c r="F255" s="10" t="n">
        <v>1</v>
      </c>
      <c r="G255" s="4" t="s">
        <v>26</v>
      </c>
    </row>
    <row r="256" customFormat="false" ht="15" hidden="false" customHeight="false" outlineLevel="0" collapsed="false">
      <c r="A256" s="4" t="s">
        <v>406</v>
      </c>
      <c r="B256" s="3" t="n">
        <v>1</v>
      </c>
      <c r="C256" s="4" t="s">
        <v>865</v>
      </c>
      <c r="D256" s="4" t="s">
        <v>933</v>
      </c>
      <c r="E256" s="3" t="n">
        <v>1</v>
      </c>
      <c r="F256" s="10" t="n">
        <v>1</v>
      </c>
      <c r="G256" s="4" t="s">
        <v>26</v>
      </c>
    </row>
    <row r="257" customFormat="false" ht="15" hidden="false" customHeight="false" outlineLevel="0" collapsed="false">
      <c r="A257" s="4" t="s">
        <v>406</v>
      </c>
      <c r="B257" s="3" t="n">
        <v>2</v>
      </c>
      <c r="C257" s="4" t="s">
        <v>903</v>
      </c>
      <c r="D257" s="4" t="s">
        <v>933</v>
      </c>
      <c r="E257" s="3" t="n">
        <v>1</v>
      </c>
      <c r="F257" s="10" t="n">
        <v>1</v>
      </c>
      <c r="G257" s="4" t="s">
        <v>26</v>
      </c>
    </row>
    <row r="258" customFormat="false" ht="15" hidden="false" customHeight="false" outlineLevel="0" collapsed="false">
      <c r="A258" s="4" t="s">
        <v>406</v>
      </c>
      <c r="B258" s="3" t="n">
        <v>2</v>
      </c>
      <c r="C258" s="4" t="s">
        <v>873</v>
      </c>
      <c r="D258" s="4" t="s">
        <v>934</v>
      </c>
      <c r="E258" s="3" t="n">
        <v>1</v>
      </c>
      <c r="F258" s="10" t="n">
        <v>1.1</v>
      </c>
      <c r="G258" s="4" t="s">
        <v>30</v>
      </c>
    </row>
    <row r="259" customFormat="false" ht="15" hidden="false" customHeight="false" outlineLevel="0" collapsed="false">
      <c r="A259" s="4" t="s">
        <v>406</v>
      </c>
      <c r="B259" s="3" t="n">
        <v>3</v>
      </c>
      <c r="C259" s="4" t="s">
        <v>877</v>
      </c>
      <c r="D259" s="4" t="s">
        <v>933</v>
      </c>
      <c r="E259" s="3" t="n">
        <v>1</v>
      </c>
      <c r="F259" s="10" t="n">
        <v>1</v>
      </c>
      <c r="G259" s="4" t="s">
        <v>26</v>
      </c>
    </row>
    <row r="260" customFormat="false" ht="15" hidden="false" customHeight="false" outlineLevel="0" collapsed="false">
      <c r="A260" s="4" t="s">
        <v>406</v>
      </c>
      <c r="B260" s="3" t="n">
        <v>4</v>
      </c>
      <c r="C260" s="4" t="s">
        <v>892</v>
      </c>
      <c r="D260" s="4" t="s">
        <v>933</v>
      </c>
      <c r="E260" s="3" t="n">
        <v>1</v>
      </c>
      <c r="F260" s="10" t="n">
        <v>1</v>
      </c>
      <c r="G260" s="4" t="s">
        <v>26</v>
      </c>
    </row>
    <row r="261" customFormat="false" ht="15" hidden="false" customHeight="false" outlineLevel="0" collapsed="false">
      <c r="A261" s="4" t="s">
        <v>406</v>
      </c>
      <c r="B261" s="3" t="n">
        <v>5</v>
      </c>
      <c r="C261" s="4" t="s">
        <v>911</v>
      </c>
      <c r="D261" s="4" t="s">
        <v>933</v>
      </c>
      <c r="E261" s="3" t="n">
        <v>1</v>
      </c>
      <c r="F261" s="10" t="n">
        <v>1</v>
      </c>
      <c r="G261" s="4" t="s">
        <v>26</v>
      </c>
    </row>
    <row r="262" customFormat="false" ht="15" hidden="false" customHeight="false" outlineLevel="0" collapsed="false">
      <c r="A262" s="4" t="s">
        <v>406</v>
      </c>
      <c r="B262" s="3" t="n">
        <v>6</v>
      </c>
      <c r="C262" s="4" t="s">
        <v>913</v>
      </c>
      <c r="D262" s="4" t="s">
        <v>933</v>
      </c>
      <c r="E262" s="3" t="n">
        <v>1</v>
      </c>
      <c r="F262" s="10" t="n">
        <v>1</v>
      </c>
      <c r="G262" s="4" t="s">
        <v>26</v>
      </c>
    </row>
    <row r="263" customFormat="false" ht="15" hidden="false" customHeight="false" outlineLevel="0" collapsed="false">
      <c r="A263" s="4" t="s">
        <v>406</v>
      </c>
      <c r="B263" s="3" t="n">
        <v>7</v>
      </c>
      <c r="C263" s="4" t="s">
        <v>896</v>
      </c>
      <c r="D263" s="4" t="s">
        <v>933</v>
      </c>
      <c r="E263" s="3" t="n">
        <v>1</v>
      </c>
      <c r="F263" s="10" t="n">
        <v>1</v>
      </c>
      <c r="G263" s="4" t="s">
        <v>26</v>
      </c>
    </row>
    <row r="264" customFormat="false" ht="15" hidden="false" customHeight="false" outlineLevel="0" collapsed="false">
      <c r="A264" s="4" t="s">
        <v>406</v>
      </c>
      <c r="B264" s="3" t="n">
        <v>8</v>
      </c>
      <c r="C264" s="4" t="s">
        <v>896</v>
      </c>
      <c r="D264" s="4" t="s">
        <v>933</v>
      </c>
      <c r="E264" s="3" t="n">
        <v>1</v>
      </c>
      <c r="F264" s="10" t="n">
        <v>1</v>
      </c>
      <c r="G264" s="4" t="s">
        <v>26</v>
      </c>
    </row>
    <row r="265" customFormat="false" ht="15" hidden="false" customHeight="false" outlineLevel="0" collapsed="false">
      <c r="A265" s="4" t="s">
        <v>408</v>
      </c>
      <c r="B265" s="3" t="n">
        <v>1</v>
      </c>
      <c r="C265" s="4" t="s">
        <v>865</v>
      </c>
      <c r="D265" s="4" t="s">
        <v>933</v>
      </c>
      <c r="E265" s="3" t="n">
        <v>1</v>
      </c>
      <c r="F265" s="10" t="n">
        <v>1</v>
      </c>
      <c r="G265" s="4" t="s">
        <v>26</v>
      </c>
    </row>
    <row r="266" customFormat="false" ht="15" hidden="false" customHeight="false" outlineLevel="0" collapsed="false">
      <c r="A266" s="4" t="s">
        <v>408</v>
      </c>
      <c r="B266" s="3" t="n">
        <v>2</v>
      </c>
      <c r="C266" s="4" t="s">
        <v>903</v>
      </c>
      <c r="D266" s="4" t="s">
        <v>933</v>
      </c>
      <c r="E266" s="3" t="n">
        <v>1</v>
      </c>
      <c r="F266" s="10" t="n">
        <v>1</v>
      </c>
      <c r="G266" s="4" t="s">
        <v>26</v>
      </c>
    </row>
    <row r="267" customFormat="false" ht="15" hidden="false" customHeight="false" outlineLevel="0" collapsed="false">
      <c r="A267" s="4" t="s">
        <v>408</v>
      </c>
      <c r="B267" s="3" t="n">
        <v>2</v>
      </c>
      <c r="C267" s="4" t="s">
        <v>873</v>
      </c>
      <c r="D267" s="4" t="s">
        <v>934</v>
      </c>
      <c r="E267" s="3" t="n">
        <v>1</v>
      </c>
      <c r="F267" s="10" t="n">
        <v>1.1</v>
      </c>
      <c r="G267" s="4" t="s">
        <v>30</v>
      </c>
    </row>
    <row r="268" customFormat="false" ht="15" hidden="false" customHeight="false" outlineLevel="0" collapsed="false">
      <c r="A268" s="4" t="s">
        <v>408</v>
      </c>
      <c r="B268" s="3" t="n">
        <v>3</v>
      </c>
      <c r="C268" s="4" t="s">
        <v>877</v>
      </c>
      <c r="D268" s="4" t="s">
        <v>933</v>
      </c>
      <c r="E268" s="3" t="n">
        <v>1</v>
      </c>
      <c r="F268" s="10" t="n">
        <v>1</v>
      </c>
      <c r="G268" s="4" t="s">
        <v>26</v>
      </c>
    </row>
    <row r="269" customFormat="false" ht="15" hidden="false" customHeight="false" outlineLevel="0" collapsed="false">
      <c r="A269" s="4" t="s">
        <v>408</v>
      </c>
      <c r="B269" s="3" t="n">
        <v>4</v>
      </c>
      <c r="C269" s="4" t="s">
        <v>892</v>
      </c>
      <c r="D269" s="4" t="s">
        <v>933</v>
      </c>
      <c r="E269" s="3" t="n">
        <v>1</v>
      </c>
      <c r="F269" s="10" t="n">
        <v>1</v>
      </c>
      <c r="G269" s="4" t="s">
        <v>26</v>
      </c>
    </row>
    <row r="270" customFormat="false" ht="15" hidden="false" customHeight="false" outlineLevel="0" collapsed="false">
      <c r="A270" s="4" t="s">
        <v>408</v>
      </c>
      <c r="B270" s="3" t="n">
        <v>5</v>
      </c>
      <c r="C270" s="4" t="s">
        <v>911</v>
      </c>
      <c r="D270" s="4" t="s">
        <v>933</v>
      </c>
      <c r="E270" s="3" t="n">
        <v>1</v>
      </c>
      <c r="F270" s="10" t="n">
        <v>1</v>
      </c>
      <c r="G270" s="4" t="s">
        <v>26</v>
      </c>
    </row>
    <row r="271" customFormat="false" ht="15" hidden="false" customHeight="false" outlineLevel="0" collapsed="false">
      <c r="A271" s="4" t="s">
        <v>408</v>
      </c>
      <c r="B271" s="3" t="n">
        <v>6</v>
      </c>
      <c r="C271" s="4" t="s">
        <v>913</v>
      </c>
      <c r="D271" s="4" t="s">
        <v>933</v>
      </c>
      <c r="E271" s="3" t="n">
        <v>1</v>
      </c>
      <c r="F271" s="10" t="n">
        <v>1</v>
      </c>
      <c r="G271" s="4" t="s">
        <v>26</v>
      </c>
    </row>
    <row r="272" customFormat="false" ht="15" hidden="false" customHeight="false" outlineLevel="0" collapsed="false">
      <c r="A272" s="4" t="s">
        <v>408</v>
      </c>
      <c r="B272" s="3" t="n">
        <v>7</v>
      </c>
      <c r="C272" s="4" t="s">
        <v>896</v>
      </c>
      <c r="D272" s="4" t="s">
        <v>933</v>
      </c>
      <c r="E272" s="3" t="n">
        <v>1</v>
      </c>
      <c r="F272" s="10" t="n">
        <v>1</v>
      </c>
      <c r="G272" s="4" t="s">
        <v>26</v>
      </c>
    </row>
    <row r="273" customFormat="false" ht="15" hidden="false" customHeight="false" outlineLevel="0" collapsed="false">
      <c r="A273" s="4" t="s">
        <v>408</v>
      </c>
      <c r="B273" s="3" t="n">
        <v>8</v>
      </c>
      <c r="C273" s="4" t="s">
        <v>896</v>
      </c>
      <c r="D273" s="4" t="s">
        <v>933</v>
      </c>
      <c r="E273" s="3" t="n">
        <v>1</v>
      </c>
      <c r="F273" s="10" t="n">
        <v>1</v>
      </c>
      <c r="G273" s="4" t="s">
        <v>26</v>
      </c>
    </row>
    <row r="274" customFormat="false" ht="15" hidden="false" customHeight="false" outlineLevel="0" collapsed="false">
      <c r="A274" s="4" t="s">
        <v>410</v>
      </c>
      <c r="B274" s="3" t="n">
        <v>1</v>
      </c>
      <c r="C274" s="4" t="s">
        <v>865</v>
      </c>
      <c r="D274" s="4" t="s">
        <v>933</v>
      </c>
      <c r="E274" s="3" t="n">
        <v>1</v>
      </c>
      <c r="F274" s="10" t="n">
        <v>1</v>
      </c>
      <c r="G274" s="4" t="s">
        <v>26</v>
      </c>
    </row>
    <row r="275" customFormat="false" ht="15" hidden="false" customHeight="false" outlineLevel="0" collapsed="false">
      <c r="A275" s="4" t="s">
        <v>410</v>
      </c>
      <c r="B275" s="3" t="n">
        <v>2</v>
      </c>
      <c r="C275" s="4" t="s">
        <v>903</v>
      </c>
      <c r="D275" s="4" t="s">
        <v>933</v>
      </c>
      <c r="E275" s="3" t="n">
        <v>1</v>
      </c>
      <c r="F275" s="10" t="n">
        <v>1</v>
      </c>
      <c r="G275" s="4" t="s">
        <v>26</v>
      </c>
    </row>
    <row r="276" customFormat="false" ht="15" hidden="false" customHeight="false" outlineLevel="0" collapsed="false">
      <c r="A276" s="4" t="s">
        <v>410</v>
      </c>
      <c r="B276" s="3" t="n">
        <v>2</v>
      </c>
      <c r="C276" s="4" t="s">
        <v>873</v>
      </c>
      <c r="D276" s="4" t="s">
        <v>934</v>
      </c>
      <c r="E276" s="3" t="n">
        <v>1</v>
      </c>
      <c r="F276" s="10" t="n">
        <v>1.1</v>
      </c>
      <c r="G276" s="4" t="s">
        <v>30</v>
      </c>
    </row>
    <row r="277" customFormat="false" ht="15" hidden="false" customHeight="false" outlineLevel="0" collapsed="false">
      <c r="A277" s="4" t="s">
        <v>410</v>
      </c>
      <c r="B277" s="3" t="n">
        <v>3</v>
      </c>
      <c r="C277" s="4" t="s">
        <v>877</v>
      </c>
      <c r="D277" s="4" t="s">
        <v>933</v>
      </c>
      <c r="E277" s="3" t="n">
        <v>1</v>
      </c>
      <c r="F277" s="10" t="n">
        <v>1</v>
      </c>
      <c r="G277" s="4" t="s">
        <v>26</v>
      </c>
    </row>
    <row r="278" customFormat="false" ht="15" hidden="false" customHeight="false" outlineLevel="0" collapsed="false">
      <c r="A278" s="4" t="s">
        <v>410</v>
      </c>
      <c r="B278" s="3" t="n">
        <v>4</v>
      </c>
      <c r="C278" s="4" t="s">
        <v>892</v>
      </c>
      <c r="D278" s="4" t="s">
        <v>933</v>
      </c>
      <c r="E278" s="3" t="n">
        <v>1</v>
      </c>
      <c r="F278" s="10" t="n">
        <v>1</v>
      </c>
      <c r="G278" s="4" t="s">
        <v>26</v>
      </c>
    </row>
    <row r="279" customFormat="false" ht="15" hidden="false" customHeight="false" outlineLevel="0" collapsed="false">
      <c r="A279" s="4" t="s">
        <v>410</v>
      </c>
      <c r="B279" s="3" t="n">
        <v>5</v>
      </c>
      <c r="C279" s="4" t="s">
        <v>911</v>
      </c>
      <c r="D279" s="4" t="s">
        <v>933</v>
      </c>
      <c r="E279" s="3" t="n">
        <v>1</v>
      </c>
      <c r="F279" s="10" t="n">
        <v>1</v>
      </c>
      <c r="G279" s="4" t="s">
        <v>26</v>
      </c>
    </row>
    <row r="280" customFormat="false" ht="15" hidden="false" customHeight="false" outlineLevel="0" collapsed="false">
      <c r="A280" s="4" t="s">
        <v>410</v>
      </c>
      <c r="B280" s="3" t="n">
        <v>6</v>
      </c>
      <c r="C280" s="4" t="s">
        <v>913</v>
      </c>
      <c r="D280" s="4" t="s">
        <v>933</v>
      </c>
      <c r="E280" s="3" t="n">
        <v>1</v>
      </c>
      <c r="F280" s="10" t="n">
        <v>1</v>
      </c>
      <c r="G280" s="4" t="s">
        <v>26</v>
      </c>
    </row>
    <row r="281" customFormat="false" ht="15" hidden="false" customHeight="false" outlineLevel="0" collapsed="false">
      <c r="A281" s="4" t="s">
        <v>410</v>
      </c>
      <c r="B281" s="3" t="n">
        <v>7</v>
      </c>
      <c r="C281" s="4" t="s">
        <v>896</v>
      </c>
      <c r="D281" s="4" t="s">
        <v>933</v>
      </c>
      <c r="E281" s="3" t="n">
        <v>1</v>
      </c>
      <c r="F281" s="10" t="n">
        <v>1</v>
      </c>
      <c r="G281" s="4" t="s">
        <v>26</v>
      </c>
    </row>
    <row r="282" customFormat="false" ht="15" hidden="false" customHeight="false" outlineLevel="0" collapsed="false">
      <c r="A282" s="4" t="s">
        <v>410</v>
      </c>
      <c r="B282" s="3" t="n">
        <v>8</v>
      </c>
      <c r="C282" s="4" t="s">
        <v>896</v>
      </c>
      <c r="D282" s="4" t="s">
        <v>933</v>
      </c>
      <c r="E282" s="3" t="n">
        <v>1</v>
      </c>
      <c r="F282" s="10" t="n">
        <v>1</v>
      </c>
      <c r="G282" s="4" t="s">
        <v>26</v>
      </c>
    </row>
    <row r="283" customFormat="false" ht="15" hidden="false" customHeight="false" outlineLevel="0" collapsed="false">
      <c r="A283" s="4" t="s">
        <v>413</v>
      </c>
      <c r="B283" s="3" t="n">
        <v>1</v>
      </c>
      <c r="C283" s="4" t="s">
        <v>870</v>
      </c>
      <c r="D283" s="4" t="s">
        <v>933</v>
      </c>
      <c r="E283" s="3" t="n">
        <v>1</v>
      </c>
      <c r="F283" s="10" t="n">
        <v>1</v>
      </c>
      <c r="G283" s="4" t="s">
        <v>26</v>
      </c>
    </row>
    <row r="284" customFormat="false" ht="15" hidden="false" customHeight="false" outlineLevel="0" collapsed="false">
      <c r="A284" s="4" t="s">
        <v>413</v>
      </c>
      <c r="B284" s="3" t="n">
        <v>2</v>
      </c>
      <c r="C284" s="4" t="s">
        <v>903</v>
      </c>
      <c r="D284" s="4" t="s">
        <v>933</v>
      </c>
      <c r="E284" s="3" t="n">
        <v>1</v>
      </c>
      <c r="F284" s="10" t="n">
        <v>1</v>
      </c>
      <c r="G284" s="4" t="s">
        <v>26</v>
      </c>
    </row>
    <row r="285" customFormat="false" ht="15" hidden="false" customHeight="false" outlineLevel="0" collapsed="false">
      <c r="A285" s="4" t="s">
        <v>413</v>
      </c>
      <c r="B285" s="3" t="n">
        <v>2</v>
      </c>
      <c r="C285" s="4" t="s">
        <v>873</v>
      </c>
      <c r="D285" s="4" t="s">
        <v>934</v>
      </c>
      <c r="E285" s="3" t="n">
        <v>1</v>
      </c>
      <c r="F285" s="10" t="n">
        <v>1.1</v>
      </c>
      <c r="G285" s="4" t="s">
        <v>30</v>
      </c>
    </row>
    <row r="286" customFormat="false" ht="15" hidden="false" customHeight="false" outlineLevel="0" collapsed="false">
      <c r="A286" s="4" t="s">
        <v>413</v>
      </c>
      <c r="B286" s="3" t="n">
        <v>3</v>
      </c>
      <c r="C286" s="4" t="s">
        <v>905</v>
      </c>
      <c r="D286" s="4" t="s">
        <v>933</v>
      </c>
      <c r="E286" s="3" t="n">
        <v>1</v>
      </c>
      <c r="F286" s="10" t="n">
        <v>1</v>
      </c>
      <c r="G286" s="4" t="s">
        <v>26</v>
      </c>
    </row>
    <row r="287" customFormat="false" ht="15" hidden="false" customHeight="false" outlineLevel="0" collapsed="false">
      <c r="A287" s="4" t="s">
        <v>413</v>
      </c>
      <c r="B287" s="3" t="n">
        <v>3</v>
      </c>
      <c r="C287" s="4" t="s">
        <v>881</v>
      </c>
      <c r="D287" s="4" t="s">
        <v>935</v>
      </c>
      <c r="E287" s="3" t="n">
        <v>1</v>
      </c>
      <c r="F287" s="10" t="n">
        <v>1</v>
      </c>
      <c r="G287" s="4" t="s">
        <v>30</v>
      </c>
    </row>
    <row r="288" customFormat="false" ht="15" hidden="false" customHeight="false" outlineLevel="0" collapsed="false">
      <c r="A288" s="4" t="s">
        <v>413</v>
      </c>
      <c r="B288" s="3" t="n">
        <v>4</v>
      </c>
      <c r="C288" s="4" t="s">
        <v>892</v>
      </c>
      <c r="D288" s="4" t="s">
        <v>933</v>
      </c>
      <c r="E288" s="3" t="n">
        <v>1</v>
      </c>
      <c r="F288" s="10" t="n">
        <v>1</v>
      </c>
      <c r="G288" s="4" t="s">
        <v>26</v>
      </c>
    </row>
    <row r="289" customFormat="false" ht="15" hidden="false" customHeight="false" outlineLevel="0" collapsed="false">
      <c r="A289" s="4" t="s">
        <v>413</v>
      </c>
      <c r="B289" s="3" t="n">
        <v>5</v>
      </c>
      <c r="C289" s="4" t="s">
        <v>911</v>
      </c>
      <c r="D289" s="4" t="s">
        <v>933</v>
      </c>
      <c r="E289" s="3" t="n">
        <v>1</v>
      </c>
      <c r="F289" s="10" t="n">
        <v>1</v>
      </c>
      <c r="G289" s="4" t="s">
        <v>26</v>
      </c>
    </row>
    <row r="290" customFormat="false" ht="15" hidden="false" customHeight="false" outlineLevel="0" collapsed="false">
      <c r="A290" s="4" t="s">
        <v>413</v>
      </c>
      <c r="B290" s="3" t="n">
        <v>6</v>
      </c>
      <c r="C290" s="4" t="s">
        <v>913</v>
      </c>
      <c r="D290" s="4" t="s">
        <v>933</v>
      </c>
      <c r="E290" s="3" t="n">
        <v>1</v>
      </c>
      <c r="F290" s="10" t="n">
        <v>1</v>
      </c>
      <c r="G290" s="4" t="s">
        <v>26</v>
      </c>
    </row>
    <row r="291" customFormat="false" ht="15" hidden="false" customHeight="false" outlineLevel="0" collapsed="false">
      <c r="A291" s="4" t="s">
        <v>413</v>
      </c>
      <c r="B291" s="3" t="n">
        <v>7</v>
      </c>
      <c r="C291" s="4" t="s">
        <v>896</v>
      </c>
      <c r="D291" s="4" t="s">
        <v>933</v>
      </c>
      <c r="E291" s="3" t="n">
        <v>1</v>
      </c>
      <c r="F291" s="10" t="n">
        <v>1</v>
      </c>
      <c r="G291" s="4" t="s">
        <v>26</v>
      </c>
    </row>
    <row r="292" customFormat="false" ht="15" hidden="false" customHeight="false" outlineLevel="0" collapsed="false">
      <c r="A292" s="4" t="s">
        <v>413</v>
      </c>
      <c r="B292" s="3" t="n">
        <v>8</v>
      </c>
      <c r="C292" s="4" t="s">
        <v>896</v>
      </c>
      <c r="D292" s="4" t="s">
        <v>933</v>
      </c>
      <c r="E292" s="3" t="n">
        <v>1</v>
      </c>
      <c r="F292" s="10" t="n">
        <v>1</v>
      </c>
      <c r="G292" s="4" t="s">
        <v>26</v>
      </c>
    </row>
    <row r="293" customFormat="false" ht="15" hidden="false" customHeight="false" outlineLevel="0" collapsed="false">
      <c r="A293" s="4" t="s">
        <v>416</v>
      </c>
      <c r="B293" s="3" t="n">
        <v>1</v>
      </c>
      <c r="C293" s="4" t="s">
        <v>865</v>
      </c>
      <c r="D293" s="4" t="s">
        <v>933</v>
      </c>
      <c r="E293" s="3" t="n">
        <v>1</v>
      </c>
      <c r="F293" s="10" t="n">
        <v>1</v>
      </c>
      <c r="G293" s="4" t="s">
        <v>26</v>
      </c>
    </row>
    <row r="294" customFormat="false" ht="15" hidden="false" customHeight="false" outlineLevel="0" collapsed="false">
      <c r="A294" s="4" t="s">
        <v>416</v>
      </c>
      <c r="B294" s="3" t="n">
        <v>2</v>
      </c>
      <c r="C294" s="4" t="s">
        <v>903</v>
      </c>
      <c r="D294" s="4" t="s">
        <v>933</v>
      </c>
      <c r="E294" s="3" t="n">
        <v>1</v>
      </c>
      <c r="F294" s="10" t="n">
        <v>1</v>
      </c>
      <c r="G294" s="4" t="s">
        <v>26</v>
      </c>
    </row>
    <row r="295" customFormat="false" ht="15" hidden="false" customHeight="false" outlineLevel="0" collapsed="false">
      <c r="A295" s="4" t="s">
        <v>416</v>
      </c>
      <c r="B295" s="3" t="n">
        <v>2</v>
      </c>
      <c r="C295" s="4" t="s">
        <v>873</v>
      </c>
      <c r="D295" s="4" t="s">
        <v>934</v>
      </c>
      <c r="E295" s="3" t="n">
        <v>1</v>
      </c>
      <c r="F295" s="10" t="n">
        <v>1.1</v>
      </c>
      <c r="G295" s="4" t="s">
        <v>30</v>
      </c>
    </row>
    <row r="296" customFormat="false" ht="15" hidden="false" customHeight="false" outlineLevel="0" collapsed="false">
      <c r="A296" s="4" t="s">
        <v>416</v>
      </c>
      <c r="B296" s="3" t="n">
        <v>3</v>
      </c>
      <c r="C296" s="4" t="s">
        <v>877</v>
      </c>
      <c r="D296" s="4" t="s">
        <v>933</v>
      </c>
      <c r="E296" s="3" t="n">
        <v>1</v>
      </c>
      <c r="F296" s="10" t="n">
        <v>1</v>
      </c>
      <c r="G296" s="4" t="s">
        <v>26</v>
      </c>
    </row>
    <row r="297" customFormat="false" ht="15" hidden="false" customHeight="false" outlineLevel="0" collapsed="false">
      <c r="A297" s="4" t="s">
        <v>416</v>
      </c>
      <c r="B297" s="3" t="n">
        <v>4</v>
      </c>
      <c r="C297" s="4" t="s">
        <v>892</v>
      </c>
      <c r="D297" s="4" t="s">
        <v>933</v>
      </c>
      <c r="E297" s="3" t="n">
        <v>1</v>
      </c>
      <c r="F297" s="10" t="n">
        <v>1</v>
      </c>
      <c r="G297" s="4" t="s">
        <v>26</v>
      </c>
    </row>
    <row r="298" customFormat="false" ht="15" hidden="false" customHeight="false" outlineLevel="0" collapsed="false">
      <c r="A298" s="4" t="s">
        <v>416</v>
      </c>
      <c r="B298" s="3" t="n">
        <v>5</v>
      </c>
      <c r="C298" s="4" t="s">
        <v>911</v>
      </c>
      <c r="D298" s="4" t="s">
        <v>933</v>
      </c>
      <c r="E298" s="3" t="n">
        <v>1</v>
      </c>
      <c r="F298" s="10" t="n">
        <v>1</v>
      </c>
      <c r="G298" s="4" t="s">
        <v>26</v>
      </c>
    </row>
    <row r="299" customFormat="false" ht="15" hidden="false" customHeight="false" outlineLevel="0" collapsed="false">
      <c r="A299" s="4" t="s">
        <v>416</v>
      </c>
      <c r="B299" s="3" t="n">
        <v>6</v>
      </c>
      <c r="C299" s="4" t="s">
        <v>913</v>
      </c>
      <c r="D299" s="4" t="s">
        <v>933</v>
      </c>
      <c r="E299" s="3" t="n">
        <v>1</v>
      </c>
      <c r="F299" s="10" t="n">
        <v>1</v>
      </c>
      <c r="G299" s="4" t="s">
        <v>26</v>
      </c>
    </row>
    <row r="300" customFormat="false" ht="15" hidden="false" customHeight="false" outlineLevel="0" collapsed="false">
      <c r="A300" s="4" t="s">
        <v>416</v>
      </c>
      <c r="B300" s="3" t="n">
        <v>7</v>
      </c>
      <c r="C300" s="4" t="s">
        <v>896</v>
      </c>
      <c r="D300" s="4" t="s">
        <v>933</v>
      </c>
      <c r="E300" s="3" t="n">
        <v>1</v>
      </c>
      <c r="F300" s="10" t="n">
        <v>1</v>
      </c>
      <c r="G300" s="4" t="s">
        <v>26</v>
      </c>
    </row>
    <row r="301" customFormat="false" ht="15" hidden="false" customHeight="false" outlineLevel="0" collapsed="false">
      <c r="A301" s="4" t="s">
        <v>416</v>
      </c>
      <c r="B301" s="3" t="n">
        <v>8</v>
      </c>
      <c r="C301" s="4" t="s">
        <v>896</v>
      </c>
      <c r="D301" s="4" t="s">
        <v>933</v>
      </c>
      <c r="E301" s="3" t="n">
        <v>1</v>
      </c>
      <c r="F301" s="10" t="n">
        <v>1</v>
      </c>
      <c r="G301" s="4" t="s">
        <v>26</v>
      </c>
    </row>
    <row r="302" customFormat="false" ht="15" hidden="false" customHeight="false" outlineLevel="0" collapsed="false">
      <c r="A302" s="4" t="s">
        <v>418</v>
      </c>
      <c r="B302" s="3" t="n">
        <v>1</v>
      </c>
      <c r="C302" s="4" t="s">
        <v>865</v>
      </c>
      <c r="D302" s="4" t="s">
        <v>933</v>
      </c>
      <c r="E302" s="3" t="n">
        <v>1</v>
      </c>
      <c r="F302" s="10" t="n">
        <v>1</v>
      </c>
      <c r="G302" s="4" t="s">
        <v>26</v>
      </c>
    </row>
    <row r="303" customFormat="false" ht="15" hidden="false" customHeight="false" outlineLevel="0" collapsed="false">
      <c r="A303" s="4" t="s">
        <v>418</v>
      </c>
      <c r="B303" s="3" t="n">
        <v>2</v>
      </c>
      <c r="C303" s="4" t="s">
        <v>903</v>
      </c>
      <c r="D303" s="4" t="s">
        <v>933</v>
      </c>
      <c r="E303" s="3" t="n">
        <v>1</v>
      </c>
      <c r="F303" s="10" t="n">
        <v>1</v>
      </c>
      <c r="G303" s="4" t="s">
        <v>26</v>
      </c>
    </row>
    <row r="304" customFormat="false" ht="15" hidden="false" customHeight="false" outlineLevel="0" collapsed="false">
      <c r="A304" s="4" t="s">
        <v>418</v>
      </c>
      <c r="B304" s="3" t="n">
        <v>2</v>
      </c>
      <c r="C304" s="4" t="s">
        <v>873</v>
      </c>
      <c r="D304" s="4" t="s">
        <v>934</v>
      </c>
      <c r="E304" s="3" t="n">
        <v>1</v>
      </c>
      <c r="F304" s="10" t="n">
        <v>1.1</v>
      </c>
      <c r="G304" s="4" t="s">
        <v>30</v>
      </c>
    </row>
    <row r="305" customFormat="false" ht="15" hidden="false" customHeight="false" outlineLevel="0" collapsed="false">
      <c r="A305" s="4" t="s">
        <v>418</v>
      </c>
      <c r="B305" s="3" t="n">
        <v>3</v>
      </c>
      <c r="C305" s="4" t="s">
        <v>877</v>
      </c>
      <c r="D305" s="4" t="s">
        <v>933</v>
      </c>
      <c r="E305" s="3" t="n">
        <v>1</v>
      </c>
      <c r="F305" s="10" t="n">
        <v>1</v>
      </c>
      <c r="G305" s="4" t="s">
        <v>26</v>
      </c>
    </row>
    <row r="306" customFormat="false" ht="15" hidden="false" customHeight="false" outlineLevel="0" collapsed="false">
      <c r="A306" s="4" t="s">
        <v>418</v>
      </c>
      <c r="B306" s="3" t="n">
        <v>4</v>
      </c>
      <c r="C306" s="4" t="s">
        <v>892</v>
      </c>
      <c r="D306" s="4" t="s">
        <v>933</v>
      </c>
      <c r="E306" s="3" t="n">
        <v>1</v>
      </c>
      <c r="F306" s="10" t="n">
        <v>1</v>
      </c>
      <c r="G306" s="4" t="s">
        <v>26</v>
      </c>
    </row>
    <row r="307" customFormat="false" ht="15" hidden="false" customHeight="false" outlineLevel="0" collapsed="false">
      <c r="A307" s="4" t="s">
        <v>418</v>
      </c>
      <c r="B307" s="3" t="n">
        <v>5</v>
      </c>
      <c r="C307" s="4" t="s">
        <v>911</v>
      </c>
      <c r="D307" s="4" t="s">
        <v>933</v>
      </c>
      <c r="E307" s="3" t="n">
        <v>1</v>
      </c>
      <c r="F307" s="10" t="n">
        <v>1</v>
      </c>
      <c r="G307" s="4" t="s">
        <v>26</v>
      </c>
    </row>
    <row r="308" customFormat="false" ht="15" hidden="false" customHeight="false" outlineLevel="0" collapsed="false">
      <c r="A308" s="4" t="s">
        <v>418</v>
      </c>
      <c r="B308" s="3" t="n">
        <v>6</v>
      </c>
      <c r="C308" s="4" t="s">
        <v>913</v>
      </c>
      <c r="D308" s="4" t="s">
        <v>933</v>
      </c>
      <c r="E308" s="3" t="n">
        <v>1</v>
      </c>
      <c r="F308" s="10" t="n">
        <v>1</v>
      </c>
      <c r="G308" s="4" t="s">
        <v>26</v>
      </c>
    </row>
    <row r="309" customFormat="false" ht="15" hidden="false" customHeight="false" outlineLevel="0" collapsed="false">
      <c r="A309" s="4" t="s">
        <v>418</v>
      </c>
      <c r="B309" s="3" t="n">
        <v>7</v>
      </c>
      <c r="C309" s="4" t="s">
        <v>896</v>
      </c>
      <c r="D309" s="4" t="s">
        <v>933</v>
      </c>
      <c r="E309" s="3" t="n">
        <v>1</v>
      </c>
      <c r="F309" s="10" t="n">
        <v>1</v>
      </c>
      <c r="G309" s="4" t="s">
        <v>26</v>
      </c>
    </row>
    <row r="310" customFormat="false" ht="15" hidden="false" customHeight="false" outlineLevel="0" collapsed="false">
      <c r="A310" s="4" t="s">
        <v>418</v>
      </c>
      <c r="B310" s="3" t="n">
        <v>8</v>
      </c>
      <c r="C310" s="4" t="s">
        <v>896</v>
      </c>
      <c r="D310" s="4" t="s">
        <v>933</v>
      </c>
      <c r="E310" s="3" t="n">
        <v>1</v>
      </c>
      <c r="F310" s="10" t="n">
        <v>1</v>
      </c>
      <c r="G310" s="4" t="s">
        <v>26</v>
      </c>
    </row>
    <row r="311" customFormat="false" ht="15" hidden="false" customHeight="false" outlineLevel="0" collapsed="false">
      <c r="A311" s="4" t="s">
        <v>420</v>
      </c>
      <c r="B311" s="3" t="n">
        <v>1</v>
      </c>
      <c r="C311" s="4" t="s">
        <v>865</v>
      </c>
      <c r="D311" s="4" t="s">
        <v>933</v>
      </c>
      <c r="E311" s="3" t="n">
        <v>1</v>
      </c>
      <c r="F311" s="10" t="n">
        <v>1</v>
      </c>
      <c r="G311" s="4" t="s">
        <v>26</v>
      </c>
    </row>
    <row r="312" customFormat="false" ht="15" hidden="false" customHeight="false" outlineLevel="0" collapsed="false">
      <c r="A312" s="4" t="s">
        <v>420</v>
      </c>
      <c r="B312" s="3" t="n">
        <v>2</v>
      </c>
      <c r="C312" s="4" t="s">
        <v>903</v>
      </c>
      <c r="D312" s="4" t="s">
        <v>933</v>
      </c>
      <c r="E312" s="3" t="n">
        <v>1</v>
      </c>
      <c r="F312" s="10" t="n">
        <v>1</v>
      </c>
      <c r="G312" s="4" t="s">
        <v>26</v>
      </c>
    </row>
    <row r="313" customFormat="false" ht="15" hidden="false" customHeight="false" outlineLevel="0" collapsed="false">
      <c r="A313" s="4" t="s">
        <v>420</v>
      </c>
      <c r="B313" s="3" t="n">
        <v>2</v>
      </c>
      <c r="C313" s="4" t="s">
        <v>873</v>
      </c>
      <c r="D313" s="4" t="s">
        <v>934</v>
      </c>
      <c r="E313" s="3" t="n">
        <v>1</v>
      </c>
      <c r="F313" s="10" t="n">
        <v>1.1</v>
      </c>
      <c r="G313" s="4" t="s">
        <v>30</v>
      </c>
    </row>
    <row r="314" customFormat="false" ht="15" hidden="false" customHeight="false" outlineLevel="0" collapsed="false">
      <c r="A314" s="4" t="s">
        <v>420</v>
      </c>
      <c r="B314" s="3" t="n">
        <v>3</v>
      </c>
      <c r="C314" s="4" t="s">
        <v>877</v>
      </c>
      <c r="D314" s="4" t="s">
        <v>933</v>
      </c>
      <c r="E314" s="3" t="n">
        <v>1</v>
      </c>
      <c r="F314" s="10" t="n">
        <v>1</v>
      </c>
      <c r="G314" s="4" t="s">
        <v>26</v>
      </c>
    </row>
    <row r="315" customFormat="false" ht="15" hidden="false" customHeight="false" outlineLevel="0" collapsed="false">
      <c r="A315" s="4" t="s">
        <v>420</v>
      </c>
      <c r="B315" s="3" t="n">
        <v>4</v>
      </c>
      <c r="C315" s="4" t="s">
        <v>892</v>
      </c>
      <c r="D315" s="4" t="s">
        <v>933</v>
      </c>
      <c r="E315" s="3" t="n">
        <v>1</v>
      </c>
      <c r="F315" s="10" t="n">
        <v>1</v>
      </c>
      <c r="G315" s="4" t="s">
        <v>26</v>
      </c>
    </row>
    <row r="316" customFormat="false" ht="15" hidden="false" customHeight="false" outlineLevel="0" collapsed="false">
      <c r="A316" s="4" t="s">
        <v>420</v>
      </c>
      <c r="B316" s="3" t="n">
        <v>5</v>
      </c>
      <c r="C316" s="4" t="s">
        <v>911</v>
      </c>
      <c r="D316" s="4" t="s">
        <v>933</v>
      </c>
      <c r="E316" s="3" t="n">
        <v>1</v>
      </c>
      <c r="F316" s="10" t="n">
        <v>1</v>
      </c>
      <c r="G316" s="4" t="s">
        <v>26</v>
      </c>
    </row>
    <row r="317" customFormat="false" ht="15" hidden="false" customHeight="false" outlineLevel="0" collapsed="false">
      <c r="A317" s="4" t="s">
        <v>420</v>
      </c>
      <c r="B317" s="3" t="n">
        <v>6</v>
      </c>
      <c r="C317" s="4" t="s">
        <v>913</v>
      </c>
      <c r="D317" s="4" t="s">
        <v>933</v>
      </c>
      <c r="E317" s="3" t="n">
        <v>1</v>
      </c>
      <c r="F317" s="10" t="n">
        <v>1</v>
      </c>
      <c r="G317" s="4" t="s">
        <v>26</v>
      </c>
    </row>
    <row r="318" customFormat="false" ht="15" hidden="false" customHeight="false" outlineLevel="0" collapsed="false">
      <c r="A318" s="4" t="s">
        <v>420</v>
      </c>
      <c r="B318" s="3" t="n">
        <v>7</v>
      </c>
      <c r="C318" s="4" t="s">
        <v>896</v>
      </c>
      <c r="D318" s="4" t="s">
        <v>933</v>
      </c>
      <c r="E318" s="3" t="n">
        <v>1</v>
      </c>
      <c r="F318" s="10" t="n">
        <v>1</v>
      </c>
      <c r="G318" s="4" t="s">
        <v>26</v>
      </c>
    </row>
    <row r="319" customFormat="false" ht="15" hidden="false" customHeight="false" outlineLevel="0" collapsed="false">
      <c r="A319" s="4" t="s">
        <v>420</v>
      </c>
      <c r="B319" s="3" t="n">
        <v>8</v>
      </c>
      <c r="C319" s="4" t="s">
        <v>896</v>
      </c>
      <c r="D319" s="4" t="s">
        <v>933</v>
      </c>
      <c r="E319" s="3" t="n">
        <v>1</v>
      </c>
      <c r="F319" s="10" t="n">
        <v>1</v>
      </c>
      <c r="G319" s="4" t="s">
        <v>26</v>
      </c>
    </row>
    <row r="320" customFormat="false" ht="15" hidden="false" customHeight="false" outlineLevel="0" collapsed="false">
      <c r="A320" s="4" t="s">
        <v>422</v>
      </c>
      <c r="B320" s="3" t="n">
        <v>1</v>
      </c>
      <c r="C320" s="4" t="s">
        <v>865</v>
      </c>
      <c r="D320" s="4" t="s">
        <v>933</v>
      </c>
      <c r="E320" s="3" t="n">
        <v>1</v>
      </c>
      <c r="F320" s="10" t="n">
        <v>1</v>
      </c>
      <c r="G320" s="4" t="s">
        <v>26</v>
      </c>
    </row>
    <row r="321" customFormat="false" ht="15" hidden="false" customHeight="false" outlineLevel="0" collapsed="false">
      <c r="A321" s="4" t="s">
        <v>422</v>
      </c>
      <c r="B321" s="3" t="n">
        <v>2</v>
      </c>
      <c r="C321" s="4" t="s">
        <v>903</v>
      </c>
      <c r="D321" s="4" t="s">
        <v>933</v>
      </c>
      <c r="E321" s="3" t="n">
        <v>1</v>
      </c>
      <c r="F321" s="10" t="n">
        <v>1</v>
      </c>
      <c r="G321" s="4" t="s">
        <v>26</v>
      </c>
    </row>
    <row r="322" customFormat="false" ht="15" hidden="false" customHeight="false" outlineLevel="0" collapsed="false">
      <c r="A322" s="4" t="s">
        <v>422</v>
      </c>
      <c r="B322" s="3" t="n">
        <v>2</v>
      </c>
      <c r="C322" s="4" t="s">
        <v>873</v>
      </c>
      <c r="D322" s="4" t="s">
        <v>934</v>
      </c>
      <c r="E322" s="3" t="n">
        <v>1</v>
      </c>
      <c r="F322" s="10" t="n">
        <v>1.1</v>
      </c>
      <c r="G322" s="4" t="s">
        <v>30</v>
      </c>
    </row>
    <row r="323" customFormat="false" ht="15" hidden="false" customHeight="false" outlineLevel="0" collapsed="false">
      <c r="A323" s="4" t="s">
        <v>422</v>
      </c>
      <c r="B323" s="3" t="n">
        <v>3</v>
      </c>
      <c r="C323" s="4" t="s">
        <v>877</v>
      </c>
      <c r="D323" s="4" t="s">
        <v>933</v>
      </c>
      <c r="E323" s="3" t="n">
        <v>1</v>
      </c>
      <c r="F323" s="10" t="n">
        <v>1</v>
      </c>
      <c r="G323" s="4" t="s">
        <v>26</v>
      </c>
    </row>
    <row r="324" customFormat="false" ht="15" hidden="false" customHeight="false" outlineLevel="0" collapsed="false">
      <c r="A324" s="4" t="s">
        <v>422</v>
      </c>
      <c r="B324" s="3" t="n">
        <v>4</v>
      </c>
      <c r="C324" s="4" t="s">
        <v>892</v>
      </c>
      <c r="D324" s="4" t="s">
        <v>933</v>
      </c>
      <c r="E324" s="3" t="n">
        <v>1</v>
      </c>
      <c r="F324" s="10" t="n">
        <v>1</v>
      </c>
      <c r="G324" s="4" t="s">
        <v>26</v>
      </c>
    </row>
    <row r="325" customFormat="false" ht="15" hidden="false" customHeight="false" outlineLevel="0" collapsed="false">
      <c r="A325" s="4" t="s">
        <v>422</v>
      </c>
      <c r="B325" s="3" t="n">
        <v>5</v>
      </c>
      <c r="C325" s="4" t="s">
        <v>911</v>
      </c>
      <c r="D325" s="4" t="s">
        <v>933</v>
      </c>
      <c r="E325" s="3" t="n">
        <v>1</v>
      </c>
      <c r="F325" s="10" t="n">
        <v>1</v>
      </c>
      <c r="G325" s="4" t="s">
        <v>26</v>
      </c>
    </row>
    <row r="326" customFormat="false" ht="15" hidden="false" customHeight="false" outlineLevel="0" collapsed="false">
      <c r="A326" s="4" t="s">
        <v>422</v>
      </c>
      <c r="B326" s="3" t="n">
        <v>6</v>
      </c>
      <c r="C326" s="4" t="s">
        <v>913</v>
      </c>
      <c r="D326" s="4" t="s">
        <v>933</v>
      </c>
      <c r="E326" s="3" t="n">
        <v>1</v>
      </c>
      <c r="F326" s="10" t="n">
        <v>1</v>
      </c>
      <c r="G326" s="4" t="s">
        <v>26</v>
      </c>
    </row>
    <row r="327" customFormat="false" ht="15" hidden="false" customHeight="false" outlineLevel="0" collapsed="false">
      <c r="A327" s="4" t="s">
        <v>422</v>
      </c>
      <c r="B327" s="3" t="n">
        <v>7</v>
      </c>
      <c r="C327" s="4" t="s">
        <v>896</v>
      </c>
      <c r="D327" s="4" t="s">
        <v>933</v>
      </c>
      <c r="E327" s="3" t="n">
        <v>1</v>
      </c>
      <c r="F327" s="10" t="n">
        <v>1</v>
      </c>
      <c r="G327" s="4" t="s">
        <v>26</v>
      </c>
    </row>
    <row r="328" customFormat="false" ht="15" hidden="false" customHeight="false" outlineLevel="0" collapsed="false">
      <c r="A328" s="4" t="s">
        <v>422</v>
      </c>
      <c r="B328" s="3" t="n">
        <v>8</v>
      </c>
      <c r="C328" s="4" t="s">
        <v>896</v>
      </c>
      <c r="D328" s="4" t="s">
        <v>933</v>
      </c>
      <c r="E328" s="3" t="n">
        <v>1</v>
      </c>
      <c r="F328" s="10" t="n">
        <v>1</v>
      </c>
      <c r="G328" s="4" t="s">
        <v>26</v>
      </c>
    </row>
    <row r="329" customFormat="false" ht="15" hidden="false" customHeight="false" outlineLevel="0" collapsed="false">
      <c r="A329" s="4" t="s">
        <v>424</v>
      </c>
      <c r="B329" s="3" t="n">
        <v>1</v>
      </c>
      <c r="C329" s="4" t="s">
        <v>865</v>
      </c>
      <c r="D329" s="4" t="s">
        <v>933</v>
      </c>
      <c r="E329" s="3" t="n">
        <v>1</v>
      </c>
      <c r="F329" s="10" t="n">
        <v>1</v>
      </c>
      <c r="G329" s="4" t="s">
        <v>26</v>
      </c>
    </row>
    <row r="330" customFormat="false" ht="15" hidden="false" customHeight="false" outlineLevel="0" collapsed="false">
      <c r="A330" s="4" t="s">
        <v>424</v>
      </c>
      <c r="B330" s="3" t="n">
        <v>2</v>
      </c>
      <c r="C330" s="4" t="s">
        <v>903</v>
      </c>
      <c r="D330" s="4" t="s">
        <v>933</v>
      </c>
      <c r="E330" s="3" t="n">
        <v>1</v>
      </c>
      <c r="F330" s="10" t="n">
        <v>1</v>
      </c>
      <c r="G330" s="4" t="s">
        <v>26</v>
      </c>
    </row>
    <row r="331" customFormat="false" ht="15" hidden="false" customHeight="false" outlineLevel="0" collapsed="false">
      <c r="A331" s="4" t="s">
        <v>424</v>
      </c>
      <c r="B331" s="3" t="n">
        <v>2</v>
      </c>
      <c r="C331" s="4" t="s">
        <v>873</v>
      </c>
      <c r="D331" s="4" t="s">
        <v>934</v>
      </c>
      <c r="E331" s="3" t="n">
        <v>1</v>
      </c>
      <c r="F331" s="10" t="n">
        <v>1.1</v>
      </c>
      <c r="G331" s="4" t="s">
        <v>30</v>
      </c>
    </row>
    <row r="332" customFormat="false" ht="15" hidden="false" customHeight="false" outlineLevel="0" collapsed="false">
      <c r="A332" s="4" t="s">
        <v>424</v>
      </c>
      <c r="B332" s="3" t="n">
        <v>3</v>
      </c>
      <c r="C332" s="4" t="s">
        <v>877</v>
      </c>
      <c r="D332" s="4" t="s">
        <v>933</v>
      </c>
      <c r="E332" s="3" t="n">
        <v>1</v>
      </c>
      <c r="F332" s="10" t="n">
        <v>1</v>
      </c>
      <c r="G332" s="4" t="s">
        <v>26</v>
      </c>
    </row>
    <row r="333" customFormat="false" ht="15" hidden="false" customHeight="false" outlineLevel="0" collapsed="false">
      <c r="A333" s="4" t="s">
        <v>424</v>
      </c>
      <c r="B333" s="3" t="n">
        <v>4</v>
      </c>
      <c r="C333" s="4" t="s">
        <v>892</v>
      </c>
      <c r="D333" s="4" t="s">
        <v>933</v>
      </c>
      <c r="E333" s="3" t="n">
        <v>1</v>
      </c>
      <c r="F333" s="10" t="n">
        <v>1</v>
      </c>
      <c r="G333" s="4" t="s">
        <v>26</v>
      </c>
    </row>
    <row r="334" customFormat="false" ht="15" hidden="false" customHeight="false" outlineLevel="0" collapsed="false">
      <c r="A334" s="4" t="s">
        <v>424</v>
      </c>
      <c r="B334" s="3" t="n">
        <v>5</v>
      </c>
      <c r="C334" s="4" t="s">
        <v>911</v>
      </c>
      <c r="D334" s="4" t="s">
        <v>933</v>
      </c>
      <c r="E334" s="3" t="n">
        <v>1</v>
      </c>
      <c r="F334" s="10" t="n">
        <v>1</v>
      </c>
      <c r="G334" s="4" t="s">
        <v>26</v>
      </c>
    </row>
    <row r="335" customFormat="false" ht="15" hidden="false" customHeight="false" outlineLevel="0" collapsed="false">
      <c r="A335" s="4" t="s">
        <v>424</v>
      </c>
      <c r="B335" s="3" t="n">
        <v>6</v>
      </c>
      <c r="C335" s="4" t="s">
        <v>913</v>
      </c>
      <c r="D335" s="4" t="s">
        <v>933</v>
      </c>
      <c r="E335" s="3" t="n">
        <v>1</v>
      </c>
      <c r="F335" s="10" t="n">
        <v>1</v>
      </c>
      <c r="G335" s="4" t="s">
        <v>26</v>
      </c>
    </row>
    <row r="336" customFormat="false" ht="15" hidden="false" customHeight="false" outlineLevel="0" collapsed="false">
      <c r="A336" s="4" t="s">
        <v>424</v>
      </c>
      <c r="B336" s="3" t="n">
        <v>7</v>
      </c>
      <c r="C336" s="4" t="s">
        <v>896</v>
      </c>
      <c r="D336" s="4" t="s">
        <v>933</v>
      </c>
      <c r="E336" s="3" t="n">
        <v>1</v>
      </c>
      <c r="F336" s="10" t="n">
        <v>1</v>
      </c>
      <c r="G336" s="4" t="s">
        <v>26</v>
      </c>
    </row>
    <row r="337" customFormat="false" ht="15" hidden="false" customHeight="false" outlineLevel="0" collapsed="false">
      <c r="A337" s="4" t="s">
        <v>424</v>
      </c>
      <c r="B337" s="3" t="n">
        <v>8</v>
      </c>
      <c r="C337" s="4" t="s">
        <v>896</v>
      </c>
      <c r="D337" s="4" t="s">
        <v>933</v>
      </c>
      <c r="E337" s="3" t="n">
        <v>1</v>
      </c>
      <c r="F337" s="10" t="n">
        <v>1</v>
      </c>
      <c r="G337" s="4" t="s">
        <v>26</v>
      </c>
    </row>
    <row r="338" customFormat="false" ht="15" hidden="false" customHeight="false" outlineLevel="0" collapsed="false">
      <c r="A338" s="4" t="s">
        <v>427</v>
      </c>
      <c r="B338" s="3" t="n">
        <v>1</v>
      </c>
      <c r="C338" s="4" t="s">
        <v>865</v>
      </c>
      <c r="D338" s="4" t="s">
        <v>933</v>
      </c>
      <c r="E338" s="3" t="n">
        <v>1</v>
      </c>
      <c r="F338" s="10" t="n">
        <v>1</v>
      </c>
      <c r="G338" s="4" t="s">
        <v>26</v>
      </c>
    </row>
    <row r="339" customFormat="false" ht="15" hidden="false" customHeight="false" outlineLevel="0" collapsed="false">
      <c r="A339" s="4" t="s">
        <v>427</v>
      </c>
      <c r="B339" s="3" t="n">
        <v>2</v>
      </c>
      <c r="C339" s="4" t="s">
        <v>903</v>
      </c>
      <c r="D339" s="4" t="s">
        <v>933</v>
      </c>
      <c r="E339" s="3" t="n">
        <v>1</v>
      </c>
      <c r="F339" s="10" t="n">
        <v>1</v>
      </c>
      <c r="G339" s="4" t="s">
        <v>26</v>
      </c>
    </row>
    <row r="340" customFormat="false" ht="15" hidden="false" customHeight="false" outlineLevel="0" collapsed="false">
      <c r="A340" s="4" t="s">
        <v>427</v>
      </c>
      <c r="B340" s="3" t="n">
        <v>2</v>
      </c>
      <c r="C340" s="4" t="s">
        <v>873</v>
      </c>
      <c r="D340" s="4" t="s">
        <v>934</v>
      </c>
      <c r="E340" s="3" t="n">
        <v>1</v>
      </c>
      <c r="F340" s="10" t="n">
        <v>1.1</v>
      </c>
      <c r="G340" s="4" t="s">
        <v>30</v>
      </c>
    </row>
    <row r="341" customFormat="false" ht="15" hidden="false" customHeight="false" outlineLevel="0" collapsed="false">
      <c r="A341" s="4" t="s">
        <v>427</v>
      </c>
      <c r="B341" s="3" t="n">
        <v>3</v>
      </c>
      <c r="C341" s="4" t="s">
        <v>877</v>
      </c>
      <c r="D341" s="4" t="s">
        <v>933</v>
      </c>
      <c r="E341" s="3" t="n">
        <v>1</v>
      </c>
      <c r="F341" s="10" t="n">
        <v>1</v>
      </c>
      <c r="G341" s="4" t="s">
        <v>26</v>
      </c>
    </row>
    <row r="342" customFormat="false" ht="15" hidden="false" customHeight="false" outlineLevel="0" collapsed="false">
      <c r="A342" s="4" t="s">
        <v>427</v>
      </c>
      <c r="B342" s="3" t="n">
        <v>4</v>
      </c>
      <c r="C342" s="4" t="s">
        <v>892</v>
      </c>
      <c r="D342" s="4" t="s">
        <v>933</v>
      </c>
      <c r="E342" s="3" t="n">
        <v>1</v>
      </c>
      <c r="F342" s="10" t="n">
        <v>1</v>
      </c>
      <c r="G342" s="4" t="s">
        <v>26</v>
      </c>
    </row>
    <row r="343" customFormat="false" ht="15" hidden="false" customHeight="false" outlineLevel="0" collapsed="false">
      <c r="A343" s="4" t="s">
        <v>427</v>
      </c>
      <c r="B343" s="3" t="n">
        <v>5</v>
      </c>
      <c r="C343" s="4" t="s">
        <v>911</v>
      </c>
      <c r="D343" s="4" t="s">
        <v>933</v>
      </c>
      <c r="E343" s="3" t="n">
        <v>1</v>
      </c>
      <c r="F343" s="10" t="n">
        <v>1</v>
      </c>
      <c r="G343" s="4" t="s">
        <v>26</v>
      </c>
    </row>
    <row r="344" customFormat="false" ht="15" hidden="false" customHeight="false" outlineLevel="0" collapsed="false">
      <c r="A344" s="4" t="s">
        <v>427</v>
      </c>
      <c r="B344" s="3" t="n">
        <v>6</v>
      </c>
      <c r="C344" s="4" t="s">
        <v>913</v>
      </c>
      <c r="D344" s="4" t="s">
        <v>933</v>
      </c>
      <c r="E344" s="3" t="n">
        <v>1</v>
      </c>
      <c r="F344" s="10" t="n">
        <v>1</v>
      </c>
      <c r="G344" s="4" t="s">
        <v>26</v>
      </c>
    </row>
    <row r="345" customFormat="false" ht="15" hidden="false" customHeight="false" outlineLevel="0" collapsed="false">
      <c r="A345" s="4" t="s">
        <v>427</v>
      </c>
      <c r="B345" s="3" t="n">
        <v>7</v>
      </c>
      <c r="C345" s="4" t="s">
        <v>896</v>
      </c>
      <c r="D345" s="4" t="s">
        <v>933</v>
      </c>
      <c r="E345" s="3" t="n">
        <v>1</v>
      </c>
      <c r="F345" s="10" t="n">
        <v>1</v>
      </c>
      <c r="G345" s="4" t="s">
        <v>26</v>
      </c>
    </row>
    <row r="346" customFormat="false" ht="15" hidden="false" customHeight="false" outlineLevel="0" collapsed="false">
      <c r="A346" s="4" t="s">
        <v>427</v>
      </c>
      <c r="B346" s="3" t="n">
        <v>8</v>
      </c>
      <c r="C346" s="4" t="s">
        <v>896</v>
      </c>
      <c r="D346" s="4" t="s">
        <v>933</v>
      </c>
      <c r="E346" s="3" t="n">
        <v>1</v>
      </c>
      <c r="F346" s="10" t="n">
        <v>1</v>
      </c>
      <c r="G346" s="4" t="s">
        <v>26</v>
      </c>
    </row>
    <row r="347" customFormat="false" ht="15" hidden="false" customHeight="false" outlineLevel="0" collapsed="false">
      <c r="A347" s="4" t="s">
        <v>429</v>
      </c>
      <c r="B347" s="3" t="n">
        <v>1</v>
      </c>
      <c r="C347" s="4" t="s">
        <v>865</v>
      </c>
      <c r="D347" s="4" t="s">
        <v>933</v>
      </c>
      <c r="E347" s="3" t="n">
        <v>1</v>
      </c>
      <c r="F347" s="10" t="n">
        <v>1</v>
      </c>
      <c r="G347" s="4" t="s">
        <v>26</v>
      </c>
    </row>
    <row r="348" customFormat="false" ht="15" hidden="false" customHeight="false" outlineLevel="0" collapsed="false">
      <c r="A348" s="4" t="s">
        <v>429</v>
      </c>
      <c r="B348" s="3" t="n">
        <v>2</v>
      </c>
      <c r="C348" s="4" t="s">
        <v>903</v>
      </c>
      <c r="D348" s="4" t="s">
        <v>933</v>
      </c>
      <c r="E348" s="3" t="n">
        <v>1</v>
      </c>
      <c r="F348" s="10" t="n">
        <v>1</v>
      </c>
      <c r="G348" s="4" t="s">
        <v>26</v>
      </c>
    </row>
    <row r="349" customFormat="false" ht="15" hidden="false" customHeight="false" outlineLevel="0" collapsed="false">
      <c r="A349" s="4" t="s">
        <v>429</v>
      </c>
      <c r="B349" s="3" t="n">
        <v>2</v>
      </c>
      <c r="C349" s="4" t="s">
        <v>873</v>
      </c>
      <c r="D349" s="4" t="s">
        <v>934</v>
      </c>
      <c r="E349" s="3" t="n">
        <v>1</v>
      </c>
      <c r="F349" s="10" t="n">
        <v>1.1</v>
      </c>
      <c r="G349" s="4" t="s">
        <v>30</v>
      </c>
    </row>
    <row r="350" customFormat="false" ht="15" hidden="false" customHeight="false" outlineLevel="0" collapsed="false">
      <c r="A350" s="4" t="s">
        <v>429</v>
      </c>
      <c r="B350" s="3" t="n">
        <v>3</v>
      </c>
      <c r="C350" s="4" t="s">
        <v>877</v>
      </c>
      <c r="D350" s="4" t="s">
        <v>933</v>
      </c>
      <c r="E350" s="3" t="n">
        <v>1</v>
      </c>
      <c r="F350" s="10" t="n">
        <v>1</v>
      </c>
      <c r="G350" s="4" t="s">
        <v>26</v>
      </c>
    </row>
    <row r="351" customFormat="false" ht="15" hidden="false" customHeight="false" outlineLevel="0" collapsed="false">
      <c r="A351" s="4" t="s">
        <v>429</v>
      </c>
      <c r="B351" s="3" t="n">
        <v>4</v>
      </c>
      <c r="C351" s="4" t="s">
        <v>892</v>
      </c>
      <c r="D351" s="4" t="s">
        <v>933</v>
      </c>
      <c r="E351" s="3" t="n">
        <v>1</v>
      </c>
      <c r="F351" s="10" t="n">
        <v>1</v>
      </c>
      <c r="G351" s="4" t="s">
        <v>26</v>
      </c>
    </row>
    <row r="352" customFormat="false" ht="15" hidden="false" customHeight="false" outlineLevel="0" collapsed="false">
      <c r="A352" s="4" t="s">
        <v>429</v>
      </c>
      <c r="B352" s="3" t="n">
        <v>5</v>
      </c>
      <c r="C352" s="4" t="s">
        <v>911</v>
      </c>
      <c r="D352" s="4" t="s">
        <v>933</v>
      </c>
      <c r="E352" s="3" t="n">
        <v>1</v>
      </c>
      <c r="F352" s="10" t="n">
        <v>1</v>
      </c>
      <c r="G352" s="4" t="s">
        <v>26</v>
      </c>
    </row>
    <row r="353" customFormat="false" ht="15" hidden="false" customHeight="false" outlineLevel="0" collapsed="false">
      <c r="A353" s="4" t="s">
        <v>429</v>
      </c>
      <c r="B353" s="3" t="n">
        <v>6</v>
      </c>
      <c r="C353" s="4" t="s">
        <v>913</v>
      </c>
      <c r="D353" s="4" t="s">
        <v>933</v>
      </c>
      <c r="E353" s="3" t="n">
        <v>1</v>
      </c>
      <c r="F353" s="10" t="n">
        <v>1</v>
      </c>
      <c r="G353" s="4" t="s">
        <v>26</v>
      </c>
    </row>
    <row r="354" customFormat="false" ht="15" hidden="false" customHeight="false" outlineLevel="0" collapsed="false">
      <c r="A354" s="4" t="s">
        <v>429</v>
      </c>
      <c r="B354" s="3" t="n">
        <v>7</v>
      </c>
      <c r="C354" s="4" t="s">
        <v>896</v>
      </c>
      <c r="D354" s="4" t="s">
        <v>933</v>
      </c>
      <c r="E354" s="3" t="n">
        <v>1</v>
      </c>
      <c r="F354" s="10" t="n">
        <v>1</v>
      </c>
      <c r="G354" s="4" t="s">
        <v>26</v>
      </c>
    </row>
    <row r="355" customFormat="false" ht="15" hidden="false" customHeight="false" outlineLevel="0" collapsed="false">
      <c r="A355" s="4" t="s">
        <v>429</v>
      </c>
      <c r="B355" s="3" t="n">
        <v>8</v>
      </c>
      <c r="C355" s="4" t="s">
        <v>896</v>
      </c>
      <c r="D355" s="4" t="s">
        <v>933</v>
      </c>
      <c r="E355" s="3" t="n">
        <v>1</v>
      </c>
      <c r="F355" s="10" t="n">
        <v>1</v>
      </c>
      <c r="G355" s="4" t="s">
        <v>26</v>
      </c>
    </row>
    <row r="356" customFormat="false" ht="15" hidden="false" customHeight="false" outlineLevel="0" collapsed="false">
      <c r="A356" s="4" t="s">
        <v>431</v>
      </c>
      <c r="B356" s="3" t="n">
        <v>1</v>
      </c>
      <c r="C356" s="4" t="s">
        <v>865</v>
      </c>
      <c r="D356" s="4" t="s">
        <v>933</v>
      </c>
      <c r="E356" s="3" t="n">
        <v>1</v>
      </c>
      <c r="F356" s="10" t="n">
        <v>1</v>
      </c>
      <c r="G356" s="4" t="s">
        <v>26</v>
      </c>
    </row>
    <row r="357" customFormat="false" ht="15" hidden="false" customHeight="false" outlineLevel="0" collapsed="false">
      <c r="A357" s="4" t="s">
        <v>431</v>
      </c>
      <c r="B357" s="3" t="n">
        <v>2</v>
      </c>
      <c r="C357" s="4" t="s">
        <v>903</v>
      </c>
      <c r="D357" s="4" t="s">
        <v>933</v>
      </c>
      <c r="E357" s="3" t="n">
        <v>1</v>
      </c>
      <c r="F357" s="10" t="n">
        <v>1</v>
      </c>
      <c r="G357" s="4" t="s">
        <v>26</v>
      </c>
    </row>
    <row r="358" customFormat="false" ht="15" hidden="false" customHeight="false" outlineLevel="0" collapsed="false">
      <c r="A358" s="4" t="s">
        <v>431</v>
      </c>
      <c r="B358" s="3" t="n">
        <v>2</v>
      </c>
      <c r="C358" s="4" t="s">
        <v>873</v>
      </c>
      <c r="D358" s="4" t="s">
        <v>934</v>
      </c>
      <c r="E358" s="3" t="n">
        <v>1</v>
      </c>
      <c r="F358" s="10" t="n">
        <v>1.1</v>
      </c>
      <c r="G358" s="4" t="s">
        <v>30</v>
      </c>
    </row>
    <row r="359" customFormat="false" ht="15" hidden="false" customHeight="false" outlineLevel="0" collapsed="false">
      <c r="A359" s="4" t="s">
        <v>431</v>
      </c>
      <c r="B359" s="3" t="n">
        <v>3</v>
      </c>
      <c r="C359" s="4" t="s">
        <v>877</v>
      </c>
      <c r="D359" s="4" t="s">
        <v>933</v>
      </c>
      <c r="E359" s="3" t="n">
        <v>1</v>
      </c>
      <c r="F359" s="10" t="n">
        <v>1</v>
      </c>
      <c r="G359" s="4" t="s">
        <v>26</v>
      </c>
    </row>
    <row r="360" customFormat="false" ht="15" hidden="false" customHeight="false" outlineLevel="0" collapsed="false">
      <c r="A360" s="4" t="s">
        <v>431</v>
      </c>
      <c r="B360" s="3" t="n">
        <v>4</v>
      </c>
      <c r="C360" s="4" t="s">
        <v>892</v>
      </c>
      <c r="D360" s="4" t="s">
        <v>933</v>
      </c>
      <c r="E360" s="3" t="n">
        <v>1</v>
      </c>
      <c r="F360" s="10" t="n">
        <v>1</v>
      </c>
      <c r="G360" s="4" t="s">
        <v>26</v>
      </c>
    </row>
    <row r="361" customFormat="false" ht="15" hidden="false" customHeight="false" outlineLevel="0" collapsed="false">
      <c r="A361" s="4" t="s">
        <v>431</v>
      </c>
      <c r="B361" s="3" t="n">
        <v>5</v>
      </c>
      <c r="C361" s="4" t="s">
        <v>911</v>
      </c>
      <c r="D361" s="4" t="s">
        <v>933</v>
      </c>
      <c r="E361" s="3" t="n">
        <v>1</v>
      </c>
      <c r="F361" s="10" t="n">
        <v>1</v>
      </c>
      <c r="G361" s="4" t="s">
        <v>26</v>
      </c>
    </row>
    <row r="362" customFormat="false" ht="15" hidden="false" customHeight="false" outlineLevel="0" collapsed="false">
      <c r="A362" s="4" t="s">
        <v>431</v>
      </c>
      <c r="B362" s="3" t="n">
        <v>6</v>
      </c>
      <c r="C362" s="4" t="s">
        <v>913</v>
      </c>
      <c r="D362" s="4" t="s">
        <v>933</v>
      </c>
      <c r="E362" s="3" t="n">
        <v>1</v>
      </c>
      <c r="F362" s="10" t="n">
        <v>1</v>
      </c>
      <c r="G362" s="4" t="s">
        <v>26</v>
      </c>
    </row>
    <row r="363" customFormat="false" ht="15" hidden="false" customHeight="false" outlineLevel="0" collapsed="false">
      <c r="A363" s="4" t="s">
        <v>431</v>
      </c>
      <c r="B363" s="3" t="n">
        <v>7</v>
      </c>
      <c r="C363" s="4" t="s">
        <v>896</v>
      </c>
      <c r="D363" s="4" t="s">
        <v>933</v>
      </c>
      <c r="E363" s="3" t="n">
        <v>1</v>
      </c>
      <c r="F363" s="10" t="n">
        <v>1</v>
      </c>
      <c r="G363" s="4" t="s">
        <v>26</v>
      </c>
    </row>
    <row r="364" customFormat="false" ht="15" hidden="false" customHeight="false" outlineLevel="0" collapsed="false">
      <c r="A364" s="4" t="s">
        <v>431</v>
      </c>
      <c r="B364" s="3" t="n">
        <v>8</v>
      </c>
      <c r="C364" s="4" t="s">
        <v>896</v>
      </c>
      <c r="D364" s="4" t="s">
        <v>933</v>
      </c>
      <c r="E364" s="3" t="n">
        <v>1</v>
      </c>
      <c r="F364" s="10" t="n">
        <v>1</v>
      </c>
      <c r="G364" s="4" t="s">
        <v>26</v>
      </c>
    </row>
    <row r="365" customFormat="false" ht="15" hidden="false" customHeight="false" outlineLevel="0" collapsed="false">
      <c r="A365" s="4" t="s">
        <v>434</v>
      </c>
      <c r="B365" s="3" t="n">
        <v>1</v>
      </c>
      <c r="C365" s="4" t="s">
        <v>896</v>
      </c>
      <c r="D365" s="4" t="s">
        <v>933</v>
      </c>
      <c r="E365" s="3" t="n">
        <v>1</v>
      </c>
      <c r="F365" s="10" t="n">
        <v>1</v>
      </c>
      <c r="G365" s="4" t="s">
        <v>26</v>
      </c>
    </row>
    <row r="366" customFormat="false" ht="15" hidden="false" customHeight="false" outlineLevel="0" collapsed="false">
      <c r="A366" s="4" t="s">
        <v>434</v>
      </c>
      <c r="B366" s="3" t="n">
        <v>2</v>
      </c>
      <c r="C366" s="4" t="s">
        <v>896</v>
      </c>
      <c r="D366" s="4" t="s">
        <v>933</v>
      </c>
      <c r="E366" s="3" t="n">
        <v>1</v>
      </c>
      <c r="F366" s="10" t="n">
        <v>1</v>
      </c>
      <c r="G366" s="4" t="s">
        <v>26</v>
      </c>
    </row>
    <row r="367" customFormat="false" ht="15" hidden="false" customHeight="false" outlineLevel="0" collapsed="false">
      <c r="A367" s="4" t="s">
        <v>436</v>
      </c>
      <c r="B367" s="3" t="n">
        <v>1</v>
      </c>
      <c r="C367" s="4" t="s">
        <v>896</v>
      </c>
      <c r="D367" s="4" t="s">
        <v>933</v>
      </c>
      <c r="E367" s="3" t="n">
        <v>1</v>
      </c>
      <c r="F367" s="10" t="n">
        <v>1</v>
      </c>
      <c r="G367" s="4" t="s">
        <v>26</v>
      </c>
    </row>
    <row r="368" customFormat="false" ht="15" hidden="false" customHeight="false" outlineLevel="0" collapsed="false">
      <c r="A368" s="4" t="s">
        <v>436</v>
      </c>
      <c r="B368" s="3" t="n">
        <v>2</v>
      </c>
      <c r="C368" s="4" t="s">
        <v>896</v>
      </c>
      <c r="D368" s="4" t="s">
        <v>933</v>
      </c>
      <c r="E368" s="3" t="n">
        <v>1</v>
      </c>
      <c r="F368" s="10" t="n">
        <v>1</v>
      </c>
      <c r="G368" s="4" t="s">
        <v>26</v>
      </c>
    </row>
    <row r="369" customFormat="false" ht="15" hidden="false" customHeight="false" outlineLevel="0" collapsed="false">
      <c r="A369" s="4" t="s">
        <v>438</v>
      </c>
      <c r="B369" s="3" t="n">
        <v>1</v>
      </c>
      <c r="C369" s="4" t="s">
        <v>870</v>
      </c>
      <c r="D369" s="4" t="s">
        <v>933</v>
      </c>
      <c r="E369" s="3" t="n">
        <v>1</v>
      </c>
      <c r="F369" s="10" t="n">
        <v>1</v>
      </c>
      <c r="G369" s="4" t="s">
        <v>26</v>
      </c>
    </row>
    <row r="370" customFormat="false" ht="15" hidden="false" customHeight="false" outlineLevel="0" collapsed="false">
      <c r="A370" s="4" t="s">
        <v>438</v>
      </c>
      <c r="B370" s="3" t="n">
        <v>2</v>
      </c>
      <c r="C370" s="4" t="s">
        <v>903</v>
      </c>
      <c r="D370" s="4" t="s">
        <v>933</v>
      </c>
      <c r="E370" s="3" t="n">
        <v>1</v>
      </c>
      <c r="F370" s="10" t="n">
        <v>1</v>
      </c>
      <c r="G370" s="4" t="s">
        <v>26</v>
      </c>
    </row>
    <row r="371" customFormat="false" ht="15" hidden="false" customHeight="false" outlineLevel="0" collapsed="false">
      <c r="A371" s="4" t="s">
        <v>438</v>
      </c>
      <c r="B371" s="3" t="n">
        <v>2</v>
      </c>
      <c r="C371" s="4" t="s">
        <v>873</v>
      </c>
      <c r="D371" s="4" t="s">
        <v>934</v>
      </c>
      <c r="E371" s="3" t="n">
        <v>1</v>
      </c>
      <c r="F371" s="10" t="n">
        <v>1.1</v>
      </c>
      <c r="G371" s="4" t="s">
        <v>30</v>
      </c>
    </row>
    <row r="372" customFormat="false" ht="15" hidden="false" customHeight="false" outlineLevel="0" collapsed="false">
      <c r="A372" s="4" t="s">
        <v>438</v>
      </c>
      <c r="B372" s="3" t="n">
        <v>3</v>
      </c>
      <c r="C372" s="4" t="s">
        <v>905</v>
      </c>
      <c r="D372" s="4" t="s">
        <v>933</v>
      </c>
      <c r="E372" s="3" t="n">
        <v>1</v>
      </c>
      <c r="F372" s="10" t="n">
        <v>1</v>
      </c>
      <c r="G372" s="4" t="s">
        <v>26</v>
      </c>
    </row>
    <row r="373" customFormat="false" ht="15" hidden="false" customHeight="false" outlineLevel="0" collapsed="false">
      <c r="A373" s="4" t="s">
        <v>438</v>
      </c>
      <c r="B373" s="3" t="n">
        <v>3</v>
      </c>
      <c r="C373" s="4" t="s">
        <v>881</v>
      </c>
      <c r="D373" s="4" t="s">
        <v>935</v>
      </c>
      <c r="E373" s="3" t="n">
        <v>1</v>
      </c>
      <c r="F373" s="10" t="n">
        <v>1</v>
      </c>
      <c r="G373" s="4" t="s">
        <v>30</v>
      </c>
    </row>
    <row r="374" customFormat="false" ht="15" hidden="false" customHeight="false" outlineLevel="0" collapsed="false">
      <c r="A374" s="4" t="s">
        <v>438</v>
      </c>
      <c r="B374" s="3" t="n">
        <v>4</v>
      </c>
      <c r="C374" s="4" t="s">
        <v>892</v>
      </c>
      <c r="D374" s="4" t="s">
        <v>933</v>
      </c>
      <c r="E374" s="3" t="n">
        <v>1</v>
      </c>
      <c r="F374" s="10" t="n">
        <v>1</v>
      </c>
      <c r="G374" s="4" t="s">
        <v>26</v>
      </c>
    </row>
    <row r="375" customFormat="false" ht="15" hidden="false" customHeight="false" outlineLevel="0" collapsed="false">
      <c r="A375" s="4" t="s">
        <v>438</v>
      </c>
      <c r="B375" s="3" t="n">
        <v>5</v>
      </c>
      <c r="C375" s="4" t="s">
        <v>911</v>
      </c>
      <c r="D375" s="4" t="s">
        <v>933</v>
      </c>
      <c r="E375" s="3" t="n">
        <v>1</v>
      </c>
      <c r="F375" s="10" t="n">
        <v>1</v>
      </c>
      <c r="G375" s="4" t="s">
        <v>26</v>
      </c>
    </row>
    <row r="376" customFormat="false" ht="15" hidden="false" customHeight="false" outlineLevel="0" collapsed="false">
      <c r="A376" s="4" t="s">
        <v>438</v>
      </c>
      <c r="B376" s="3" t="n">
        <v>6</v>
      </c>
      <c r="C376" s="4" t="s">
        <v>913</v>
      </c>
      <c r="D376" s="4" t="s">
        <v>933</v>
      </c>
      <c r="E376" s="3" t="n">
        <v>1</v>
      </c>
      <c r="F376" s="10" t="n">
        <v>1</v>
      </c>
      <c r="G376" s="4" t="s">
        <v>26</v>
      </c>
    </row>
    <row r="377" customFormat="false" ht="15" hidden="false" customHeight="false" outlineLevel="0" collapsed="false">
      <c r="A377" s="4" t="s">
        <v>438</v>
      </c>
      <c r="B377" s="3" t="n">
        <v>7</v>
      </c>
      <c r="C377" s="4" t="s">
        <v>896</v>
      </c>
      <c r="D377" s="4" t="s">
        <v>933</v>
      </c>
      <c r="E377" s="3" t="n">
        <v>1</v>
      </c>
      <c r="F377" s="10" t="n">
        <v>1</v>
      </c>
      <c r="G377" s="4" t="s">
        <v>26</v>
      </c>
    </row>
    <row r="378" customFormat="false" ht="15" hidden="false" customHeight="false" outlineLevel="0" collapsed="false">
      <c r="A378" s="4" t="s">
        <v>438</v>
      </c>
      <c r="B378" s="3" t="n">
        <v>8</v>
      </c>
      <c r="C378" s="4" t="s">
        <v>896</v>
      </c>
      <c r="D378" s="4" t="s">
        <v>933</v>
      </c>
      <c r="E378" s="3" t="n">
        <v>1</v>
      </c>
      <c r="F378" s="10" t="n">
        <v>1</v>
      </c>
      <c r="G378" s="4" t="s">
        <v>26</v>
      </c>
    </row>
    <row r="379" customFormat="false" ht="15" hidden="false" customHeight="false" outlineLevel="0" collapsed="false">
      <c r="A379" s="4" t="s">
        <v>441</v>
      </c>
      <c r="B379" s="3" t="n">
        <v>1</v>
      </c>
      <c r="C379" s="4" t="s">
        <v>870</v>
      </c>
      <c r="D379" s="4" t="s">
        <v>933</v>
      </c>
      <c r="E379" s="3" t="n">
        <v>1</v>
      </c>
      <c r="F379" s="10" t="n">
        <v>1</v>
      </c>
      <c r="G379" s="4" t="s">
        <v>26</v>
      </c>
    </row>
    <row r="380" customFormat="false" ht="15" hidden="false" customHeight="false" outlineLevel="0" collapsed="false">
      <c r="A380" s="4" t="s">
        <v>441</v>
      </c>
      <c r="B380" s="3" t="n">
        <v>2</v>
      </c>
      <c r="C380" s="4" t="s">
        <v>903</v>
      </c>
      <c r="D380" s="4" t="s">
        <v>933</v>
      </c>
      <c r="E380" s="3" t="n">
        <v>1</v>
      </c>
      <c r="F380" s="10" t="n">
        <v>1</v>
      </c>
      <c r="G380" s="4" t="s">
        <v>26</v>
      </c>
    </row>
    <row r="381" customFormat="false" ht="15" hidden="false" customHeight="false" outlineLevel="0" collapsed="false">
      <c r="A381" s="4" t="s">
        <v>441</v>
      </c>
      <c r="B381" s="3" t="n">
        <v>2</v>
      </c>
      <c r="C381" s="4" t="s">
        <v>873</v>
      </c>
      <c r="D381" s="4" t="s">
        <v>934</v>
      </c>
      <c r="E381" s="3" t="n">
        <v>1</v>
      </c>
      <c r="F381" s="10" t="n">
        <v>1.1</v>
      </c>
      <c r="G381" s="4" t="s">
        <v>30</v>
      </c>
    </row>
    <row r="382" customFormat="false" ht="15" hidden="false" customHeight="false" outlineLevel="0" collapsed="false">
      <c r="A382" s="4" t="s">
        <v>441</v>
      </c>
      <c r="B382" s="3" t="n">
        <v>3</v>
      </c>
      <c r="C382" s="4" t="s">
        <v>905</v>
      </c>
      <c r="D382" s="4" t="s">
        <v>933</v>
      </c>
      <c r="E382" s="3" t="n">
        <v>1</v>
      </c>
      <c r="F382" s="10" t="n">
        <v>1</v>
      </c>
      <c r="G382" s="4" t="s">
        <v>26</v>
      </c>
    </row>
    <row r="383" customFormat="false" ht="15" hidden="false" customHeight="false" outlineLevel="0" collapsed="false">
      <c r="A383" s="4" t="s">
        <v>441</v>
      </c>
      <c r="B383" s="3" t="n">
        <v>3</v>
      </c>
      <c r="C383" s="4" t="s">
        <v>881</v>
      </c>
      <c r="D383" s="4" t="s">
        <v>935</v>
      </c>
      <c r="E383" s="3" t="n">
        <v>1</v>
      </c>
      <c r="F383" s="10" t="n">
        <v>1</v>
      </c>
      <c r="G383" s="4" t="s">
        <v>30</v>
      </c>
    </row>
    <row r="384" customFormat="false" ht="15" hidden="false" customHeight="false" outlineLevel="0" collapsed="false">
      <c r="A384" s="4" t="s">
        <v>441</v>
      </c>
      <c r="B384" s="3" t="n">
        <v>4</v>
      </c>
      <c r="C384" s="4" t="s">
        <v>892</v>
      </c>
      <c r="D384" s="4" t="s">
        <v>933</v>
      </c>
      <c r="E384" s="3" t="n">
        <v>1</v>
      </c>
      <c r="F384" s="10" t="n">
        <v>1</v>
      </c>
      <c r="G384" s="4" t="s">
        <v>26</v>
      </c>
    </row>
    <row r="385" customFormat="false" ht="15" hidden="false" customHeight="false" outlineLevel="0" collapsed="false">
      <c r="A385" s="4" t="s">
        <v>441</v>
      </c>
      <c r="B385" s="3" t="n">
        <v>5</v>
      </c>
      <c r="C385" s="4" t="s">
        <v>911</v>
      </c>
      <c r="D385" s="4" t="s">
        <v>933</v>
      </c>
      <c r="E385" s="3" t="n">
        <v>1</v>
      </c>
      <c r="F385" s="10" t="n">
        <v>1</v>
      </c>
      <c r="G385" s="4" t="s">
        <v>26</v>
      </c>
    </row>
    <row r="386" customFormat="false" ht="15" hidden="false" customHeight="false" outlineLevel="0" collapsed="false">
      <c r="A386" s="4" t="s">
        <v>441</v>
      </c>
      <c r="B386" s="3" t="n">
        <v>6</v>
      </c>
      <c r="C386" s="4" t="s">
        <v>913</v>
      </c>
      <c r="D386" s="4" t="s">
        <v>933</v>
      </c>
      <c r="E386" s="3" t="n">
        <v>1</v>
      </c>
      <c r="F386" s="10" t="n">
        <v>1</v>
      </c>
      <c r="G386" s="4" t="s">
        <v>26</v>
      </c>
    </row>
    <row r="387" customFormat="false" ht="15" hidden="false" customHeight="false" outlineLevel="0" collapsed="false">
      <c r="A387" s="4" t="s">
        <v>441</v>
      </c>
      <c r="B387" s="3" t="n">
        <v>7</v>
      </c>
      <c r="C387" s="4" t="s">
        <v>896</v>
      </c>
      <c r="D387" s="4" t="s">
        <v>933</v>
      </c>
      <c r="E387" s="3" t="n">
        <v>1</v>
      </c>
      <c r="F387" s="10" t="n">
        <v>1</v>
      </c>
      <c r="G387" s="4" t="s">
        <v>26</v>
      </c>
    </row>
    <row r="388" customFormat="false" ht="15" hidden="false" customHeight="false" outlineLevel="0" collapsed="false">
      <c r="A388" s="4" t="s">
        <v>441</v>
      </c>
      <c r="B388" s="3" t="n">
        <v>8</v>
      </c>
      <c r="C388" s="4" t="s">
        <v>896</v>
      </c>
      <c r="D388" s="4" t="s">
        <v>933</v>
      </c>
      <c r="E388" s="3" t="n">
        <v>1</v>
      </c>
      <c r="F388" s="10" t="n">
        <v>1</v>
      </c>
      <c r="G388" s="4" t="s">
        <v>26</v>
      </c>
    </row>
    <row r="389" customFormat="false" ht="15" hidden="false" customHeight="false" outlineLevel="0" collapsed="false">
      <c r="A389" s="4" t="s">
        <v>443</v>
      </c>
      <c r="B389" s="3" t="n">
        <v>1</v>
      </c>
      <c r="C389" s="4" t="s">
        <v>896</v>
      </c>
      <c r="D389" s="4" t="s">
        <v>933</v>
      </c>
      <c r="E389" s="3" t="n">
        <v>1</v>
      </c>
      <c r="F389" s="10" t="n">
        <v>1</v>
      </c>
      <c r="G389" s="4" t="s">
        <v>26</v>
      </c>
    </row>
    <row r="390" customFormat="false" ht="15" hidden="false" customHeight="false" outlineLevel="0" collapsed="false">
      <c r="A390" s="4" t="s">
        <v>443</v>
      </c>
      <c r="B390" s="3" t="n">
        <v>2</v>
      </c>
      <c r="C390" s="4" t="s">
        <v>896</v>
      </c>
      <c r="D390" s="4" t="s">
        <v>933</v>
      </c>
      <c r="E390" s="3" t="n">
        <v>1</v>
      </c>
      <c r="F390" s="10" t="n">
        <v>1</v>
      </c>
      <c r="G390" s="4" t="s">
        <v>26</v>
      </c>
    </row>
    <row r="391" customFormat="false" ht="15" hidden="false" customHeight="false" outlineLevel="0" collapsed="false">
      <c r="A391" s="4" t="s">
        <v>445</v>
      </c>
      <c r="B391" s="3" t="n">
        <v>1</v>
      </c>
      <c r="C391" s="4" t="s">
        <v>870</v>
      </c>
      <c r="D391" s="4" t="s">
        <v>933</v>
      </c>
      <c r="E391" s="3" t="n">
        <v>1</v>
      </c>
      <c r="F391" s="10" t="n">
        <v>1</v>
      </c>
      <c r="G391" s="4" t="s">
        <v>26</v>
      </c>
    </row>
    <row r="392" customFormat="false" ht="15" hidden="false" customHeight="false" outlineLevel="0" collapsed="false">
      <c r="A392" s="4" t="s">
        <v>445</v>
      </c>
      <c r="B392" s="3" t="n">
        <v>2</v>
      </c>
      <c r="C392" s="4" t="s">
        <v>903</v>
      </c>
      <c r="D392" s="4" t="s">
        <v>933</v>
      </c>
      <c r="E392" s="3" t="n">
        <v>1</v>
      </c>
      <c r="F392" s="10" t="n">
        <v>1</v>
      </c>
      <c r="G392" s="4" t="s">
        <v>26</v>
      </c>
    </row>
    <row r="393" customFormat="false" ht="15" hidden="false" customHeight="false" outlineLevel="0" collapsed="false">
      <c r="A393" s="4" t="s">
        <v>445</v>
      </c>
      <c r="B393" s="3" t="n">
        <v>2</v>
      </c>
      <c r="C393" s="4" t="s">
        <v>873</v>
      </c>
      <c r="D393" s="4" t="s">
        <v>934</v>
      </c>
      <c r="E393" s="3" t="n">
        <v>1</v>
      </c>
      <c r="F393" s="10" t="n">
        <v>1.1</v>
      </c>
      <c r="G393" s="4" t="s">
        <v>30</v>
      </c>
    </row>
    <row r="394" customFormat="false" ht="15" hidden="false" customHeight="false" outlineLevel="0" collapsed="false">
      <c r="A394" s="4" t="s">
        <v>445</v>
      </c>
      <c r="B394" s="3" t="n">
        <v>3</v>
      </c>
      <c r="C394" s="4" t="s">
        <v>905</v>
      </c>
      <c r="D394" s="4" t="s">
        <v>933</v>
      </c>
      <c r="E394" s="3" t="n">
        <v>1</v>
      </c>
      <c r="F394" s="10" t="n">
        <v>1</v>
      </c>
      <c r="G394" s="4" t="s">
        <v>26</v>
      </c>
    </row>
    <row r="395" customFormat="false" ht="15" hidden="false" customHeight="false" outlineLevel="0" collapsed="false">
      <c r="A395" s="4" t="s">
        <v>445</v>
      </c>
      <c r="B395" s="3" t="n">
        <v>3</v>
      </c>
      <c r="C395" s="4" t="s">
        <v>881</v>
      </c>
      <c r="D395" s="4" t="s">
        <v>935</v>
      </c>
      <c r="E395" s="3" t="n">
        <v>1</v>
      </c>
      <c r="F395" s="10" t="n">
        <v>1</v>
      </c>
      <c r="G395" s="4" t="s">
        <v>30</v>
      </c>
    </row>
    <row r="396" customFormat="false" ht="15" hidden="false" customHeight="false" outlineLevel="0" collapsed="false">
      <c r="A396" s="4" t="s">
        <v>445</v>
      </c>
      <c r="B396" s="3" t="n">
        <v>4</v>
      </c>
      <c r="C396" s="4" t="s">
        <v>892</v>
      </c>
      <c r="D396" s="4" t="s">
        <v>933</v>
      </c>
      <c r="E396" s="3" t="n">
        <v>1</v>
      </c>
      <c r="F396" s="10" t="n">
        <v>1</v>
      </c>
      <c r="G396" s="4" t="s">
        <v>26</v>
      </c>
    </row>
    <row r="397" customFormat="false" ht="15" hidden="false" customHeight="false" outlineLevel="0" collapsed="false">
      <c r="A397" s="4" t="s">
        <v>445</v>
      </c>
      <c r="B397" s="3" t="n">
        <v>5</v>
      </c>
      <c r="C397" s="4" t="s">
        <v>911</v>
      </c>
      <c r="D397" s="4" t="s">
        <v>933</v>
      </c>
      <c r="E397" s="3" t="n">
        <v>1</v>
      </c>
      <c r="F397" s="10" t="n">
        <v>1</v>
      </c>
      <c r="G397" s="4" t="s">
        <v>26</v>
      </c>
    </row>
    <row r="398" customFormat="false" ht="15" hidden="false" customHeight="false" outlineLevel="0" collapsed="false">
      <c r="A398" s="4" t="s">
        <v>445</v>
      </c>
      <c r="B398" s="3" t="n">
        <v>6</v>
      </c>
      <c r="C398" s="4" t="s">
        <v>913</v>
      </c>
      <c r="D398" s="4" t="s">
        <v>933</v>
      </c>
      <c r="E398" s="3" t="n">
        <v>1</v>
      </c>
      <c r="F398" s="10" t="n">
        <v>1</v>
      </c>
      <c r="G398" s="4" t="s">
        <v>26</v>
      </c>
    </row>
    <row r="399" customFormat="false" ht="15" hidden="false" customHeight="false" outlineLevel="0" collapsed="false">
      <c r="A399" s="4" t="s">
        <v>445</v>
      </c>
      <c r="B399" s="3" t="n">
        <v>7</v>
      </c>
      <c r="C399" s="4" t="s">
        <v>896</v>
      </c>
      <c r="D399" s="4" t="s">
        <v>933</v>
      </c>
      <c r="E399" s="3" t="n">
        <v>1</v>
      </c>
      <c r="F399" s="10" t="n">
        <v>1</v>
      </c>
      <c r="G399" s="4" t="s">
        <v>26</v>
      </c>
    </row>
    <row r="400" customFormat="false" ht="15" hidden="false" customHeight="false" outlineLevel="0" collapsed="false">
      <c r="A400" s="4" t="s">
        <v>445</v>
      </c>
      <c r="B400" s="3" t="n">
        <v>8</v>
      </c>
      <c r="C400" s="4" t="s">
        <v>896</v>
      </c>
      <c r="D400" s="4" t="s">
        <v>933</v>
      </c>
      <c r="E400" s="3" t="n">
        <v>1</v>
      </c>
      <c r="F400" s="10" t="n">
        <v>1</v>
      </c>
      <c r="G400" s="4" t="s">
        <v>26</v>
      </c>
    </row>
    <row r="401" customFormat="false" ht="15" hidden="false" customHeight="false" outlineLevel="0" collapsed="false">
      <c r="A401" s="4" t="s">
        <v>448</v>
      </c>
      <c r="B401" s="3" t="n">
        <v>1</v>
      </c>
      <c r="C401" s="4" t="s">
        <v>870</v>
      </c>
      <c r="D401" s="4" t="s">
        <v>933</v>
      </c>
      <c r="E401" s="3" t="n">
        <v>1</v>
      </c>
      <c r="F401" s="10" t="n">
        <v>1</v>
      </c>
      <c r="G401" s="4" t="s">
        <v>26</v>
      </c>
    </row>
    <row r="402" customFormat="false" ht="15" hidden="false" customHeight="false" outlineLevel="0" collapsed="false">
      <c r="A402" s="4" t="s">
        <v>448</v>
      </c>
      <c r="B402" s="3" t="n">
        <v>2</v>
      </c>
      <c r="C402" s="4" t="s">
        <v>903</v>
      </c>
      <c r="D402" s="4" t="s">
        <v>933</v>
      </c>
      <c r="E402" s="3" t="n">
        <v>1</v>
      </c>
      <c r="F402" s="10" t="n">
        <v>1</v>
      </c>
      <c r="G402" s="4" t="s">
        <v>26</v>
      </c>
    </row>
    <row r="403" customFormat="false" ht="15" hidden="false" customHeight="false" outlineLevel="0" collapsed="false">
      <c r="A403" s="4" t="s">
        <v>448</v>
      </c>
      <c r="B403" s="3" t="n">
        <v>2</v>
      </c>
      <c r="C403" s="4" t="s">
        <v>873</v>
      </c>
      <c r="D403" s="4" t="s">
        <v>934</v>
      </c>
      <c r="E403" s="3" t="n">
        <v>1</v>
      </c>
      <c r="F403" s="10" t="n">
        <v>1.1</v>
      </c>
      <c r="G403" s="4" t="s">
        <v>30</v>
      </c>
    </row>
    <row r="404" customFormat="false" ht="15" hidden="false" customHeight="false" outlineLevel="0" collapsed="false">
      <c r="A404" s="4" t="s">
        <v>448</v>
      </c>
      <c r="B404" s="3" t="n">
        <v>3</v>
      </c>
      <c r="C404" s="4" t="s">
        <v>905</v>
      </c>
      <c r="D404" s="4" t="s">
        <v>933</v>
      </c>
      <c r="E404" s="3" t="n">
        <v>1</v>
      </c>
      <c r="F404" s="10" t="n">
        <v>1</v>
      </c>
      <c r="G404" s="4" t="s">
        <v>26</v>
      </c>
    </row>
    <row r="405" customFormat="false" ht="15" hidden="false" customHeight="false" outlineLevel="0" collapsed="false">
      <c r="A405" s="4" t="s">
        <v>448</v>
      </c>
      <c r="B405" s="3" t="n">
        <v>3</v>
      </c>
      <c r="C405" s="4" t="s">
        <v>881</v>
      </c>
      <c r="D405" s="4" t="s">
        <v>935</v>
      </c>
      <c r="E405" s="3" t="n">
        <v>1</v>
      </c>
      <c r="F405" s="10" t="n">
        <v>1</v>
      </c>
      <c r="G405" s="4" t="s">
        <v>30</v>
      </c>
    </row>
    <row r="406" customFormat="false" ht="15" hidden="false" customHeight="false" outlineLevel="0" collapsed="false">
      <c r="A406" s="4" t="s">
        <v>448</v>
      </c>
      <c r="B406" s="3" t="n">
        <v>4</v>
      </c>
      <c r="C406" s="4" t="s">
        <v>892</v>
      </c>
      <c r="D406" s="4" t="s">
        <v>933</v>
      </c>
      <c r="E406" s="3" t="n">
        <v>1</v>
      </c>
      <c r="F406" s="10" t="n">
        <v>1</v>
      </c>
      <c r="G406" s="4" t="s">
        <v>26</v>
      </c>
    </row>
    <row r="407" customFormat="false" ht="15" hidden="false" customHeight="false" outlineLevel="0" collapsed="false">
      <c r="A407" s="4" t="s">
        <v>448</v>
      </c>
      <c r="B407" s="3" t="n">
        <v>5</v>
      </c>
      <c r="C407" s="4" t="s">
        <v>911</v>
      </c>
      <c r="D407" s="4" t="s">
        <v>933</v>
      </c>
      <c r="E407" s="3" t="n">
        <v>1</v>
      </c>
      <c r="F407" s="10" t="n">
        <v>1</v>
      </c>
      <c r="G407" s="4" t="s">
        <v>26</v>
      </c>
    </row>
    <row r="408" customFormat="false" ht="15" hidden="false" customHeight="false" outlineLevel="0" collapsed="false">
      <c r="A408" s="4" t="s">
        <v>448</v>
      </c>
      <c r="B408" s="3" t="n">
        <v>6</v>
      </c>
      <c r="C408" s="4" t="s">
        <v>913</v>
      </c>
      <c r="D408" s="4" t="s">
        <v>933</v>
      </c>
      <c r="E408" s="3" t="n">
        <v>1</v>
      </c>
      <c r="F408" s="10" t="n">
        <v>1</v>
      </c>
      <c r="G408" s="4" t="s">
        <v>26</v>
      </c>
    </row>
    <row r="409" customFormat="false" ht="15" hidden="false" customHeight="false" outlineLevel="0" collapsed="false">
      <c r="A409" s="4" t="s">
        <v>448</v>
      </c>
      <c r="B409" s="3" t="n">
        <v>7</v>
      </c>
      <c r="C409" s="4" t="s">
        <v>896</v>
      </c>
      <c r="D409" s="4" t="s">
        <v>933</v>
      </c>
      <c r="E409" s="3" t="n">
        <v>1</v>
      </c>
      <c r="F409" s="10" t="n">
        <v>1</v>
      </c>
      <c r="G409" s="4" t="s">
        <v>26</v>
      </c>
    </row>
    <row r="410" customFormat="false" ht="15" hidden="false" customHeight="false" outlineLevel="0" collapsed="false">
      <c r="A410" s="4" t="s">
        <v>448</v>
      </c>
      <c r="B410" s="3" t="n">
        <v>8</v>
      </c>
      <c r="C410" s="4" t="s">
        <v>896</v>
      </c>
      <c r="D410" s="4" t="s">
        <v>933</v>
      </c>
      <c r="E410" s="3" t="n">
        <v>1</v>
      </c>
      <c r="F410" s="10" t="n">
        <v>1</v>
      </c>
      <c r="G410" s="4" t="s">
        <v>26</v>
      </c>
    </row>
    <row r="411" customFormat="false" ht="15" hidden="false" customHeight="false" outlineLevel="0" collapsed="false">
      <c r="A411" s="4" t="s">
        <v>451</v>
      </c>
      <c r="B411" s="3" t="n">
        <v>1</v>
      </c>
      <c r="C411" s="4" t="s">
        <v>870</v>
      </c>
      <c r="D411" s="4" t="s">
        <v>933</v>
      </c>
      <c r="E411" s="3" t="n">
        <v>1</v>
      </c>
      <c r="F411" s="10" t="n">
        <v>1</v>
      </c>
      <c r="G411" s="4" t="s">
        <v>26</v>
      </c>
    </row>
    <row r="412" customFormat="false" ht="15" hidden="false" customHeight="false" outlineLevel="0" collapsed="false">
      <c r="A412" s="4" t="s">
        <v>451</v>
      </c>
      <c r="B412" s="3" t="n">
        <v>2</v>
      </c>
      <c r="C412" s="4" t="s">
        <v>903</v>
      </c>
      <c r="D412" s="4" t="s">
        <v>933</v>
      </c>
      <c r="E412" s="3" t="n">
        <v>1</v>
      </c>
      <c r="F412" s="10" t="n">
        <v>1</v>
      </c>
      <c r="G412" s="4" t="s">
        <v>26</v>
      </c>
    </row>
    <row r="413" customFormat="false" ht="15" hidden="false" customHeight="false" outlineLevel="0" collapsed="false">
      <c r="A413" s="4" t="s">
        <v>451</v>
      </c>
      <c r="B413" s="3" t="n">
        <v>2</v>
      </c>
      <c r="C413" s="4" t="s">
        <v>873</v>
      </c>
      <c r="D413" s="4" t="s">
        <v>934</v>
      </c>
      <c r="E413" s="3" t="n">
        <v>1</v>
      </c>
      <c r="F413" s="10" t="n">
        <v>1.1</v>
      </c>
      <c r="G413" s="4" t="s">
        <v>30</v>
      </c>
    </row>
    <row r="414" customFormat="false" ht="15" hidden="false" customHeight="false" outlineLevel="0" collapsed="false">
      <c r="A414" s="4" t="s">
        <v>451</v>
      </c>
      <c r="B414" s="3" t="n">
        <v>3</v>
      </c>
      <c r="C414" s="4" t="s">
        <v>905</v>
      </c>
      <c r="D414" s="4" t="s">
        <v>933</v>
      </c>
      <c r="E414" s="3" t="n">
        <v>1</v>
      </c>
      <c r="F414" s="10" t="n">
        <v>1</v>
      </c>
      <c r="G414" s="4" t="s">
        <v>26</v>
      </c>
    </row>
    <row r="415" customFormat="false" ht="15" hidden="false" customHeight="false" outlineLevel="0" collapsed="false">
      <c r="A415" s="4" t="s">
        <v>451</v>
      </c>
      <c r="B415" s="3" t="n">
        <v>3</v>
      </c>
      <c r="C415" s="4" t="s">
        <v>881</v>
      </c>
      <c r="D415" s="4" t="s">
        <v>935</v>
      </c>
      <c r="E415" s="3" t="n">
        <v>1</v>
      </c>
      <c r="F415" s="10" t="n">
        <v>1</v>
      </c>
      <c r="G415" s="4" t="s">
        <v>30</v>
      </c>
    </row>
    <row r="416" customFormat="false" ht="15" hidden="false" customHeight="false" outlineLevel="0" collapsed="false">
      <c r="A416" s="4" t="s">
        <v>451</v>
      </c>
      <c r="B416" s="3" t="n">
        <v>4</v>
      </c>
      <c r="C416" s="4" t="s">
        <v>892</v>
      </c>
      <c r="D416" s="4" t="s">
        <v>933</v>
      </c>
      <c r="E416" s="3" t="n">
        <v>1</v>
      </c>
      <c r="F416" s="10" t="n">
        <v>1</v>
      </c>
      <c r="G416" s="4" t="s">
        <v>26</v>
      </c>
    </row>
    <row r="417" customFormat="false" ht="15" hidden="false" customHeight="false" outlineLevel="0" collapsed="false">
      <c r="A417" s="4" t="s">
        <v>451</v>
      </c>
      <c r="B417" s="3" t="n">
        <v>5</v>
      </c>
      <c r="C417" s="4" t="s">
        <v>911</v>
      </c>
      <c r="D417" s="4" t="s">
        <v>933</v>
      </c>
      <c r="E417" s="3" t="n">
        <v>1</v>
      </c>
      <c r="F417" s="10" t="n">
        <v>1</v>
      </c>
      <c r="G417" s="4" t="s">
        <v>26</v>
      </c>
    </row>
    <row r="418" customFormat="false" ht="15" hidden="false" customHeight="false" outlineLevel="0" collapsed="false">
      <c r="A418" s="4" t="s">
        <v>451</v>
      </c>
      <c r="B418" s="3" t="n">
        <v>6</v>
      </c>
      <c r="C418" s="4" t="s">
        <v>913</v>
      </c>
      <c r="D418" s="4" t="s">
        <v>933</v>
      </c>
      <c r="E418" s="3" t="n">
        <v>1</v>
      </c>
      <c r="F418" s="10" t="n">
        <v>1</v>
      </c>
      <c r="G418" s="4" t="s">
        <v>26</v>
      </c>
    </row>
    <row r="419" customFormat="false" ht="15" hidden="false" customHeight="false" outlineLevel="0" collapsed="false">
      <c r="A419" s="4" t="s">
        <v>451</v>
      </c>
      <c r="B419" s="3" t="n">
        <v>7</v>
      </c>
      <c r="C419" s="4" t="s">
        <v>896</v>
      </c>
      <c r="D419" s="4" t="s">
        <v>933</v>
      </c>
      <c r="E419" s="3" t="n">
        <v>1</v>
      </c>
      <c r="F419" s="10" t="n">
        <v>1</v>
      </c>
      <c r="G419" s="4" t="s">
        <v>26</v>
      </c>
    </row>
    <row r="420" customFormat="false" ht="15" hidden="false" customHeight="false" outlineLevel="0" collapsed="false">
      <c r="A420" s="4" t="s">
        <v>451</v>
      </c>
      <c r="B420" s="3" t="n">
        <v>8</v>
      </c>
      <c r="C420" s="4" t="s">
        <v>896</v>
      </c>
      <c r="D420" s="4" t="s">
        <v>933</v>
      </c>
      <c r="E420" s="3" t="n">
        <v>1</v>
      </c>
      <c r="F420" s="10" t="n">
        <v>1</v>
      </c>
      <c r="G420" s="4" t="s">
        <v>26</v>
      </c>
    </row>
    <row r="421" customFormat="false" ht="15" hidden="false" customHeight="false" outlineLevel="0" collapsed="false">
      <c r="A421" s="4" t="s">
        <v>453</v>
      </c>
      <c r="B421" s="3" t="n">
        <v>1</v>
      </c>
      <c r="C421" s="4" t="s">
        <v>870</v>
      </c>
      <c r="D421" s="4" t="s">
        <v>933</v>
      </c>
      <c r="E421" s="3" t="n">
        <v>1</v>
      </c>
      <c r="F421" s="10" t="n">
        <v>1</v>
      </c>
      <c r="G421" s="4" t="s">
        <v>26</v>
      </c>
    </row>
    <row r="422" customFormat="false" ht="15" hidden="false" customHeight="false" outlineLevel="0" collapsed="false">
      <c r="A422" s="4" t="s">
        <v>453</v>
      </c>
      <c r="B422" s="3" t="n">
        <v>2</v>
      </c>
      <c r="C422" s="4" t="s">
        <v>903</v>
      </c>
      <c r="D422" s="4" t="s">
        <v>933</v>
      </c>
      <c r="E422" s="3" t="n">
        <v>1</v>
      </c>
      <c r="F422" s="10" t="n">
        <v>1</v>
      </c>
      <c r="G422" s="4" t="s">
        <v>26</v>
      </c>
    </row>
    <row r="423" customFormat="false" ht="15" hidden="false" customHeight="false" outlineLevel="0" collapsed="false">
      <c r="A423" s="4" t="s">
        <v>453</v>
      </c>
      <c r="B423" s="3" t="n">
        <v>2</v>
      </c>
      <c r="C423" s="4" t="s">
        <v>873</v>
      </c>
      <c r="D423" s="4" t="s">
        <v>934</v>
      </c>
      <c r="E423" s="3" t="n">
        <v>1</v>
      </c>
      <c r="F423" s="10" t="n">
        <v>1.1</v>
      </c>
      <c r="G423" s="4" t="s">
        <v>30</v>
      </c>
    </row>
    <row r="424" customFormat="false" ht="15" hidden="false" customHeight="false" outlineLevel="0" collapsed="false">
      <c r="A424" s="4" t="s">
        <v>453</v>
      </c>
      <c r="B424" s="3" t="n">
        <v>3</v>
      </c>
      <c r="C424" s="4" t="s">
        <v>905</v>
      </c>
      <c r="D424" s="4" t="s">
        <v>933</v>
      </c>
      <c r="E424" s="3" t="n">
        <v>1</v>
      </c>
      <c r="F424" s="10" t="n">
        <v>1</v>
      </c>
      <c r="G424" s="4" t="s">
        <v>26</v>
      </c>
    </row>
    <row r="425" customFormat="false" ht="15" hidden="false" customHeight="false" outlineLevel="0" collapsed="false">
      <c r="A425" s="4" t="s">
        <v>453</v>
      </c>
      <c r="B425" s="3" t="n">
        <v>3</v>
      </c>
      <c r="C425" s="4" t="s">
        <v>881</v>
      </c>
      <c r="D425" s="4" t="s">
        <v>935</v>
      </c>
      <c r="E425" s="3" t="n">
        <v>1</v>
      </c>
      <c r="F425" s="10" t="n">
        <v>1</v>
      </c>
      <c r="G425" s="4" t="s">
        <v>30</v>
      </c>
    </row>
    <row r="426" customFormat="false" ht="15" hidden="false" customHeight="false" outlineLevel="0" collapsed="false">
      <c r="A426" s="4" t="s">
        <v>453</v>
      </c>
      <c r="B426" s="3" t="n">
        <v>4</v>
      </c>
      <c r="C426" s="4" t="s">
        <v>892</v>
      </c>
      <c r="D426" s="4" t="s">
        <v>933</v>
      </c>
      <c r="E426" s="3" t="n">
        <v>1</v>
      </c>
      <c r="F426" s="10" t="n">
        <v>1</v>
      </c>
      <c r="G426" s="4" t="s">
        <v>26</v>
      </c>
    </row>
    <row r="427" customFormat="false" ht="15" hidden="false" customHeight="false" outlineLevel="0" collapsed="false">
      <c r="A427" s="4" t="s">
        <v>453</v>
      </c>
      <c r="B427" s="3" t="n">
        <v>5</v>
      </c>
      <c r="C427" s="4" t="s">
        <v>911</v>
      </c>
      <c r="D427" s="4" t="s">
        <v>933</v>
      </c>
      <c r="E427" s="3" t="n">
        <v>1</v>
      </c>
      <c r="F427" s="10" t="n">
        <v>1</v>
      </c>
      <c r="G427" s="4" t="s">
        <v>26</v>
      </c>
    </row>
    <row r="428" customFormat="false" ht="15" hidden="false" customHeight="false" outlineLevel="0" collapsed="false">
      <c r="A428" s="4" t="s">
        <v>453</v>
      </c>
      <c r="B428" s="3" t="n">
        <v>6</v>
      </c>
      <c r="C428" s="4" t="s">
        <v>913</v>
      </c>
      <c r="D428" s="4" t="s">
        <v>933</v>
      </c>
      <c r="E428" s="3" t="n">
        <v>1</v>
      </c>
      <c r="F428" s="10" t="n">
        <v>1</v>
      </c>
      <c r="G428" s="4" t="s">
        <v>26</v>
      </c>
    </row>
    <row r="429" customFormat="false" ht="15" hidden="false" customHeight="false" outlineLevel="0" collapsed="false">
      <c r="A429" s="4" t="s">
        <v>453</v>
      </c>
      <c r="B429" s="3" t="n">
        <v>7</v>
      </c>
      <c r="C429" s="4" t="s">
        <v>896</v>
      </c>
      <c r="D429" s="4" t="s">
        <v>933</v>
      </c>
      <c r="E429" s="3" t="n">
        <v>1</v>
      </c>
      <c r="F429" s="10" t="n">
        <v>1</v>
      </c>
      <c r="G429" s="4" t="s">
        <v>26</v>
      </c>
    </row>
    <row r="430" customFormat="false" ht="15" hidden="false" customHeight="false" outlineLevel="0" collapsed="false">
      <c r="A430" s="4" t="s">
        <v>453</v>
      </c>
      <c r="B430" s="3" t="n">
        <v>8</v>
      </c>
      <c r="C430" s="4" t="s">
        <v>896</v>
      </c>
      <c r="D430" s="4" t="s">
        <v>933</v>
      </c>
      <c r="E430" s="3" t="n">
        <v>1</v>
      </c>
      <c r="F430" s="10" t="n">
        <v>1</v>
      </c>
      <c r="G430" s="4" t="s">
        <v>26</v>
      </c>
    </row>
    <row r="431" customFormat="false" ht="15" hidden="false" customHeight="false" outlineLevel="0" collapsed="false">
      <c r="A431" s="4" t="s">
        <v>455</v>
      </c>
      <c r="B431" s="3" t="n">
        <v>1</v>
      </c>
      <c r="C431" s="4" t="s">
        <v>896</v>
      </c>
      <c r="D431" s="4" t="s">
        <v>933</v>
      </c>
      <c r="E431" s="3" t="n">
        <v>1</v>
      </c>
      <c r="F431" s="10" t="n">
        <v>1</v>
      </c>
      <c r="G431" s="4" t="s">
        <v>26</v>
      </c>
    </row>
    <row r="432" customFormat="false" ht="15" hidden="false" customHeight="false" outlineLevel="0" collapsed="false">
      <c r="A432" s="4" t="s">
        <v>455</v>
      </c>
      <c r="B432" s="3" t="n">
        <v>2</v>
      </c>
      <c r="C432" s="4" t="s">
        <v>896</v>
      </c>
      <c r="D432" s="4" t="s">
        <v>933</v>
      </c>
      <c r="E432" s="3" t="n">
        <v>1</v>
      </c>
      <c r="F432" s="10" t="n">
        <v>1</v>
      </c>
      <c r="G432" s="4" t="s">
        <v>26</v>
      </c>
    </row>
    <row r="433" customFormat="false" ht="15" hidden="false" customHeight="false" outlineLevel="0" collapsed="false">
      <c r="A433" s="4" t="s">
        <v>457</v>
      </c>
      <c r="B433" s="3" t="n">
        <v>1</v>
      </c>
      <c r="C433" s="4" t="s">
        <v>896</v>
      </c>
      <c r="D433" s="4" t="s">
        <v>933</v>
      </c>
      <c r="E433" s="3" t="n">
        <v>1</v>
      </c>
      <c r="F433" s="10" t="n">
        <v>1</v>
      </c>
      <c r="G433" s="4" t="s">
        <v>26</v>
      </c>
    </row>
    <row r="434" customFormat="false" ht="15" hidden="false" customHeight="false" outlineLevel="0" collapsed="false">
      <c r="A434" s="4" t="s">
        <v>457</v>
      </c>
      <c r="B434" s="3" t="n">
        <v>2</v>
      </c>
      <c r="C434" s="4" t="s">
        <v>896</v>
      </c>
      <c r="D434" s="4" t="s">
        <v>933</v>
      </c>
      <c r="E434" s="3" t="n">
        <v>1</v>
      </c>
      <c r="F434" s="10" t="n">
        <v>1</v>
      </c>
      <c r="G434" s="4" t="s">
        <v>26</v>
      </c>
    </row>
    <row r="435" customFormat="false" ht="15" hidden="false" customHeight="false" outlineLevel="0" collapsed="false">
      <c r="A435" s="4" t="s">
        <v>459</v>
      </c>
      <c r="B435" s="3" t="n">
        <v>1</v>
      </c>
      <c r="C435" s="4" t="s">
        <v>870</v>
      </c>
      <c r="D435" s="4" t="s">
        <v>933</v>
      </c>
      <c r="E435" s="3" t="n">
        <v>1</v>
      </c>
      <c r="F435" s="10" t="n">
        <v>1</v>
      </c>
      <c r="G435" s="4" t="s">
        <v>26</v>
      </c>
    </row>
    <row r="436" customFormat="false" ht="15" hidden="false" customHeight="false" outlineLevel="0" collapsed="false">
      <c r="A436" s="4" t="s">
        <v>459</v>
      </c>
      <c r="B436" s="3" t="n">
        <v>2</v>
      </c>
      <c r="C436" s="4" t="s">
        <v>903</v>
      </c>
      <c r="D436" s="4" t="s">
        <v>933</v>
      </c>
      <c r="E436" s="3" t="n">
        <v>1</v>
      </c>
      <c r="F436" s="10" t="n">
        <v>1</v>
      </c>
      <c r="G436" s="4" t="s">
        <v>26</v>
      </c>
    </row>
    <row r="437" customFormat="false" ht="15" hidden="false" customHeight="false" outlineLevel="0" collapsed="false">
      <c r="A437" s="4" t="s">
        <v>459</v>
      </c>
      <c r="B437" s="3" t="n">
        <v>2</v>
      </c>
      <c r="C437" s="4" t="s">
        <v>873</v>
      </c>
      <c r="D437" s="4" t="s">
        <v>934</v>
      </c>
      <c r="E437" s="3" t="n">
        <v>1</v>
      </c>
      <c r="F437" s="10" t="n">
        <v>1.1</v>
      </c>
      <c r="G437" s="4" t="s">
        <v>30</v>
      </c>
    </row>
    <row r="438" customFormat="false" ht="15" hidden="false" customHeight="false" outlineLevel="0" collapsed="false">
      <c r="A438" s="4" t="s">
        <v>459</v>
      </c>
      <c r="B438" s="3" t="n">
        <v>3</v>
      </c>
      <c r="C438" s="4" t="s">
        <v>905</v>
      </c>
      <c r="D438" s="4" t="s">
        <v>933</v>
      </c>
      <c r="E438" s="3" t="n">
        <v>1</v>
      </c>
      <c r="F438" s="10" t="n">
        <v>1</v>
      </c>
      <c r="G438" s="4" t="s">
        <v>26</v>
      </c>
    </row>
    <row r="439" customFormat="false" ht="15" hidden="false" customHeight="false" outlineLevel="0" collapsed="false">
      <c r="A439" s="4" t="s">
        <v>459</v>
      </c>
      <c r="B439" s="3" t="n">
        <v>3</v>
      </c>
      <c r="C439" s="4" t="s">
        <v>881</v>
      </c>
      <c r="D439" s="4" t="s">
        <v>935</v>
      </c>
      <c r="E439" s="3" t="n">
        <v>1</v>
      </c>
      <c r="F439" s="10" t="n">
        <v>1</v>
      </c>
      <c r="G439" s="4" t="s">
        <v>30</v>
      </c>
    </row>
    <row r="440" customFormat="false" ht="15" hidden="false" customHeight="false" outlineLevel="0" collapsed="false">
      <c r="A440" s="4" t="s">
        <v>459</v>
      </c>
      <c r="B440" s="3" t="n">
        <v>4</v>
      </c>
      <c r="C440" s="4" t="s">
        <v>892</v>
      </c>
      <c r="D440" s="4" t="s">
        <v>933</v>
      </c>
      <c r="E440" s="3" t="n">
        <v>1</v>
      </c>
      <c r="F440" s="10" t="n">
        <v>1</v>
      </c>
      <c r="G440" s="4" t="s">
        <v>26</v>
      </c>
    </row>
    <row r="441" customFormat="false" ht="15" hidden="false" customHeight="false" outlineLevel="0" collapsed="false">
      <c r="A441" s="4" t="s">
        <v>459</v>
      </c>
      <c r="B441" s="3" t="n">
        <v>5</v>
      </c>
      <c r="C441" s="4" t="s">
        <v>911</v>
      </c>
      <c r="D441" s="4" t="s">
        <v>933</v>
      </c>
      <c r="E441" s="3" t="n">
        <v>1</v>
      </c>
      <c r="F441" s="10" t="n">
        <v>1</v>
      </c>
      <c r="G441" s="4" t="s">
        <v>26</v>
      </c>
    </row>
    <row r="442" customFormat="false" ht="15" hidden="false" customHeight="false" outlineLevel="0" collapsed="false">
      <c r="A442" s="4" t="s">
        <v>459</v>
      </c>
      <c r="B442" s="3" t="n">
        <v>6</v>
      </c>
      <c r="C442" s="4" t="s">
        <v>913</v>
      </c>
      <c r="D442" s="4" t="s">
        <v>933</v>
      </c>
      <c r="E442" s="3" t="n">
        <v>1</v>
      </c>
      <c r="F442" s="10" t="n">
        <v>1</v>
      </c>
      <c r="G442" s="4" t="s">
        <v>26</v>
      </c>
    </row>
    <row r="443" customFormat="false" ht="15" hidden="false" customHeight="false" outlineLevel="0" collapsed="false">
      <c r="A443" s="4" t="s">
        <v>459</v>
      </c>
      <c r="B443" s="3" t="n">
        <v>7</v>
      </c>
      <c r="C443" s="4" t="s">
        <v>896</v>
      </c>
      <c r="D443" s="4" t="s">
        <v>933</v>
      </c>
      <c r="E443" s="3" t="n">
        <v>1</v>
      </c>
      <c r="F443" s="10" t="n">
        <v>1</v>
      </c>
      <c r="G443" s="4" t="s">
        <v>26</v>
      </c>
    </row>
    <row r="444" customFormat="false" ht="15" hidden="false" customHeight="false" outlineLevel="0" collapsed="false">
      <c r="A444" s="4" t="s">
        <v>459</v>
      </c>
      <c r="B444" s="3" t="n">
        <v>8</v>
      </c>
      <c r="C444" s="4" t="s">
        <v>896</v>
      </c>
      <c r="D444" s="4" t="s">
        <v>933</v>
      </c>
      <c r="E444" s="3" t="n">
        <v>1</v>
      </c>
      <c r="F444" s="10" t="n">
        <v>1</v>
      </c>
      <c r="G444" s="4" t="s">
        <v>26</v>
      </c>
    </row>
    <row r="445" customFormat="false" ht="15" hidden="false" customHeight="false" outlineLevel="0" collapsed="false">
      <c r="A445" s="4" t="s">
        <v>461</v>
      </c>
      <c r="B445" s="3" t="n">
        <v>1</v>
      </c>
      <c r="C445" s="4" t="s">
        <v>870</v>
      </c>
      <c r="D445" s="4" t="s">
        <v>933</v>
      </c>
      <c r="E445" s="3" t="n">
        <v>1</v>
      </c>
      <c r="F445" s="10" t="n">
        <v>1</v>
      </c>
      <c r="G445" s="4" t="s">
        <v>26</v>
      </c>
    </row>
    <row r="446" customFormat="false" ht="15" hidden="false" customHeight="false" outlineLevel="0" collapsed="false">
      <c r="A446" s="4" t="s">
        <v>461</v>
      </c>
      <c r="B446" s="3" t="n">
        <v>2</v>
      </c>
      <c r="C446" s="4" t="s">
        <v>903</v>
      </c>
      <c r="D446" s="4" t="s">
        <v>933</v>
      </c>
      <c r="E446" s="3" t="n">
        <v>1</v>
      </c>
      <c r="F446" s="10" t="n">
        <v>1</v>
      </c>
      <c r="G446" s="4" t="s">
        <v>26</v>
      </c>
    </row>
    <row r="447" customFormat="false" ht="15" hidden="false" customHeight="false" outlineLevel="0" collapsed="false">
      <c r="A447" s="4" t="s">
        <v>461</v>
      </c>
      <c r="B447" s="3" t="n">
        <v>2</v>
      </c>
      <c r="C447" s="4" t="s">
        <v>873</v>
      </c>
      <c r="D447" s="4" t="s">
        <v>934</v>
      </c>
      <c r="E447" s="3" t="n">
        <v>1</v>
      </c>
      <c r="F447" s="10" t="n">
        <v>1.1</v>
      </c>
      <c r="G447" s="4" t="s">
        <v>30</v>
      </c>
    </row>
    <row r="448" customFormat="false" ht="15" hidden="false" customHeight="false" outlineLevel="0" collapsed="false">
      <c r="A448" s="4" t="s">
        <v>461</v>
      </c>
      <c r="B448" s="3" t="n">
        <v>3</v>
      </c>
      <c r="C448" s="4" t="s">
        <v>905</v>
      </c>
      <c r="D448" s="4" t="s">
        <v>933</v>
      </c>
      <c r="E448" s="3" t="n">
        <v>1</v>
      </c>
      <c r="F448" s="10" t="n">
        <v>1</v>
      </c>
      <c r="G448" s="4" t="s">
        <v>26</v>
      </c>
    </row>
    <row r="449" customFormat="false" ht="15" hidden="false" customHeight="false" outlineLevel="0" collapsed="false">
      <c r="A449" s="4" t="s">
        <v>461</v>
      </c>
      <c r="B449" s="3" t="n">
        <v>3</v>
      </c>
      <c r="C449" s="4" t="s">
        <v>881</v>
      </c>
      <c r="D449" s="4" t="s">
        <v>935</v>
      </c>
      <c r="E449" s="3" t="n">
        <v>1</v>
      </c>
      <c r="F449" s="10" t="n">
        <v>1</v>
      </c>
      <c r="G449" s="4" t="s">
        <v>30</v>
      </c>
    </row>
    <row r="450" customFormat="false" ht="15" hidden="false" customHeight="false" outlineLevel="0" collapsed="false">
      <c r="A450" s="4" t="s">
        <v>461</v>
      </c>
      <c r="B450" s="3" t="n">
        <v>4</v>
      </c>
      <c r="C450" s="4" t="s">
        <v>892</v>
      </c>
      <c r="D450" s="4" t="s">
        <v>933</v>
      </c>
      <c r="E450" s="3" t="n">
        <v>1</v>
      </c>
      <c r="F450" s="10" t="n">
        <v>1</v>
      </c>
      <c r="G450" s="4" t="s">
        <v>26</v>
      </c>
    </row>
    <row r="451" customFormat="false" ht="15" hidden="false" customHeight="false" outlineLevel="0" collapsed="false">
      <c r="A451" s="4" t="s">
        <v>461</v>
      </c>
      <c r="B451" s="3" t="n">
        <v>5</v>
      </c>
      <c r="C451" s="4" t="s">
        <v>911</v>
      </c>
      <c r="D451" s="4" t="s">
        <v>933</v>
      </c>
      <c r="E451" s="3" t="n">
        <v>1</v>
      </c>
      <c r="F451" s="10" t="n">
        <v>1</v>
      </c>
      <c r="G451" s="4" t="s">
        <v>26</v>
      </c>
    </row>
    <row r="452" customFormat="false" ht="15" hidden="false" customHeight="false" outlineLevel="0" collapsed="false">
      <c r="A452" s="4" t="s">
        <v>461</v>
      </c>
      <c r="B452" s="3" t="n">
        <v>6</v>
      </c>
      <c r="C452" s="4" t="s">
        <v>913</v>
      </c>
      <c r="D452" s="4" t="s">
        <v>933</v>
      </c>
      <c r="E452" s="3" t="n">
        <v>1</v>
      </c>
      <c r="F452" s="10" t="n">
        <v>1</v>
      </c>
      <c r="G452" s="4" t="s">
        <v>26</v>
      </c>
    </row>
    <row r="453" customFormat="false" ht="15" hidden="false" customHeight="false" outlineLevel="0" collapsed="false">
      <c r="A453" s="4" t="s">
        <v>461</v>
      </c>
      <c r="B453" s="3" t="n">
        <v>7</v>
      </c>
      <c r="C453" s="4" t="s">
        <v>896</v>
      </c>
      <c r="D453" s="4" t="s">
        <v>933</v>
      </c>
      <c r="E453" s="3" t="n">
        <v>1</v>
      </c>
      <c r="F453" s="10" t="n">
        <v>1</v>
      </c>
      <c r="G453" s="4" t="s">
        <v>26</v>
      </c>
    </row>
    <row r="454" customFormat="false" ht="15" hidden="false" customHeight="false" outlineLevel="0" collapsed="false">
      <c r="A454" s="4" t="s">
        <v>461</v>
      </c>
      <c r="B454" s="3" t="n">
        <v>8</v>
      </c>
      <c r="C454" s="4" t="s">
        <v>896</v>
      </c>
      <c r="D454" s="4" t="s">
        <v>933</v>
      </c>
      <c r="E454" s="3" t="n">
        <v>1</v>
      </c>
      <c r="F454" s="10" t="n">
        <v>1</v>
      </c>
      <c r="G454" s="4" t="s">
        <v>26</v>
      </c>
    </row>
    <row r="455" customFormat="false" ht="15" hidden="false" customHeight="false" outlineLevel="0" collapsed="false">
      <c r="A455" s="4" t="s">
        <v>463</v>
      </c>
      <c r="B455" s="3" t="n">
        <v>1</v>
      </c>
      <c r="C455" s="4" t="s">
        <v>870</v>
      </c>
      <c r="D455" s="4" t="s">
        <v>933</v>
      </c>
      <c r="E455" s="3" t="n">
        <v>1</v>
      </c>
      <c r="F455" s="10" t="n">
        <v>1</v>
      </c>
      <c r="G455" s="4" t="s">
        <v>26</v>
      </c>
    </row>
    <row r="456" customFormat="false" ht="15" hidden="false" customHeight="false" outlineLevel="0" collapsed="false">
      <c r="A456" s="4" t="s">
        <v>463</v>
      </c>
      <c r="B456" s="3" t="n">
        <v>2</v>
      </c>
      <c r="C456" s="4" t="s">
        <v>903</v>
      </c>
      <c r="D456" s="4" t="s">
        <v>933</v>
      </c>
      <c r="E456" s="3" t="n">
        <v>1</v>
      </c>
      <c r="F456" s="10" t="n">
        <v>1</v>
      </c>
      <c r="G456" s="4" t="s">
        <v>26</v>
      </c>
    </row>
    <row r="457" customFormat="false" ht="15" hidden="false" customHeight="false" outlineLevel="0" collapsed="false">
      <c r="A457" s="4" t="s">
        <v>463</v>
      </c>
      <c r="B457" s="3" t="n">
        <v>2</v>
      </c>
      <c r="C457" s="4" t="s">
        <v>873</v>
      </c>
      <c r="D457" s="4" t="s">
        <v>934</v>
      </c>
      <c r="E457" s="3" t="n">
        <v>1</v>
      </c>
      <c r="F457" s="10" t="n">
        <v>1.1</v>
      </c>
      <c r="G457" s="4" t="s">
        <v>30</v>
      </c>
    </row>
    <row r="458" customFormat="false" ht="15" hidden="false" customHeight="false" outlineLevel="0" collapsed="false">
      <c r="A458" s="4" t="s">
        <v>463</v>
      </c>
      <c r="B458" s="3" t="n">
        <v>3</v>
      </c>
      <c r="C458" s="4" t="s">
        <v>905</v>
      </c>
      <c r="D458" s="4" t="s">
        <v>933</v>
      </c>
      <c r="E458" s="3" t="n">
        <v>1</v>
      </c>
      <c r="F458" s="10" t="n">
        <v>1</v>
      </c>
      <c r="G458" s="4" t="s">
        <v>26</v>
      </c>
    </row>
    <row r="459" customFormat="false" ht="15" hidden="false" customHeight="false" outlineLevel="0" collapsed="false">
      <c r="A459" s="4" t="s">
        <v>463</v>
      </c>
      <c r="B459" s="3" t="n">
        <v>3</v>
      </c>
      <c r="C459" s="4" t="s">
        <v>881</v>
      </c>
      <c r="D459" s="4" t="s">
        <v>935</v>
      </c>
      <c r="E459" s="3" t="n">
        <v>1</v>
      </c>
      <c r="F459" s="10" t="n">
        <v>1</v>
      </c>
      <c r="G459" s="4" t="s">
        <v>30</v>
      </c>
    </row>
    <row r="460" customFormat="false" ht="15" hidden="false" customHeight="false" outlineLevel="0" collapsed="false">
      <c r="A460" s="4" t="s">
        <v>463</v>
      </c>
      <c r="B460" s="3" t="n">
        <v>4</v>
      </c>
      <c r="C460" s="4" t="s">
        <v>892</v>
      </c>
      <c r="D460" s="4" t="s">
        <v>933</v>
      </c>
      <c r="E460" s="3" t="n">
        <v>1</v>
      </c>
      <c r="F460" s="10" t="n">
        <v>1</v>
      </c>
      <c r="G460" s="4" t="s">
        <v>26</v>
      </c>
    </row>
    <row r="461" customFormat="false" ht="15" hidden="false" customHeight="false" outlineLevel="0" collapsed="false">
      <c r="A461" s="4" t="s">
        <v>463</v>
      </c>
      <c r="B461" s="3" t="n">
        <v>5</v>
      </c>
      <c r="C461" s="4" t="s">
        <v>911</v>
      </c>
      <c r="D461" s="4" t="s">
        <v>933</v>
      </c>
      <c r="E461" s="3" t="n">
        <v>1</v>
      </c>
      <c r="F461" s="10" t="n">
        <v>1</v>
      </c>
      <c r="G461" s="4" t="s">
        <v>26</v>
      </c>
    </row>
    <row r="462" customFormat="false" ht="15" hidden="false" customHeight="false" outlineLevel="0" collapsed="false">
      <c r="A462" s="4" t="s">
        <v>463</v>
      </c>
      <c r="B462" s="3" t="n">
        <v>6</v>
      </c>
      <c r="C462" s="4" t="s">
        <v>913</v>
      </c>
      <c r="D462" s="4" t="s">
        <v>933</v>
      </c>
      <c r="E462" s="3" t="n">
        <v>1</v>
      </c>
      <c r="F462" s="10" t="n">
        <v>1</v>
      </c>
      <c r="G462" s="4" t="s">
        <v>26</v>
      </c>
    </row>
    <row r="463" customFormat="false" ht="15" hidden="false" customHeight="false" outlineLevel="0" collapsed="false">
      <c r="A463" s="4" t="s">
        <v>463</v>
      </c>
      <c r="B463" s="3" t="n">
        <v>7</v>
      </c>
      <c r="C463" s="4" t="s">
        <v>896</v>
      </c>
      <c r="D463" s="4" t="s">
        <v>933</v>
      </c>
      <c r="E463" s="3" t="n">
        <v>1</v>
      </c>
      <c r="F463" s="10" t="n">
        <v>1</v>
      </c>
      <c r="G463" s="4" t="s">
        <v>26</v>
      </c>
    </row>
    <row r="464" customFormat="false" ht="15" hidden="false" customHeight="false" outlineLevel="0" collapsed="false">
      <c r="A464" s="4" t="s">
        <v>463</v>
      </c>
      <c r="B464" s="3" t="n">
        <v>8</v>
      </c>
      <c r="C464" s="4" t="s">
        <v>896</v>
      </c>
      <c r="D464" s="4" t="s">
        <v>933</v>
      </c>
      <c r="E464" s="3" t="n">
        <v>1</v>
      </c>
      <c r="F464" s="10" t="n">
        <v>1</v>
      </c>
      <c r="G464" s="4" t="s">
        <v>26</v>
      </c>
    </row>
    <row r="465" customFormat="false" ht="15" hidden="false" customHeight="false" outlineLevel="0" collapsed="false">
      <c r="A465" s="4" t="s">
        <v>465</v>
      </c>
      <c r="B465" s="3" t="n">
        <v>1</v>
      </c>
      <c r="C465" s="4" t="s">
        <v>870</v>
      </c>
      <c r="D465" s="4" t="s">
        <v>933</v>
      </c>
      <c r="E465" s="3" t="n">
        <v>1</v>
      </c>
      <c r="F465" s="10" t="n">
        <v>1</v>
      </c>
      <c r="G465" s="4" t="s">
        <v>26</v>
      </c>
    </row>
    <row r="466" customFormat="false" ht="15" hidden="false" customHeight="false" outlineLevel="0" collapsed="false">
      <c r="A466" s="4" t="s">
        <v>465</v>
      </c>
      <c r="B466" s="3" t="n">
        <v>2</v>
      </c>
      <c r="C466" s="4" t="s">
        <v>903</v>
      </c>
      <c r="D466" s="4" t="s">
        <v>933</v>
      </c>
      <c r="E466" s="3" t="n">
        <v>1</v>
      </c>
      <c r="F466" s="10" t="n">
        <v>1</v>
      </c>
      <c r="G466" s="4" t="s">
        <v>26</v>
      </c>
    </row>
    <row r="467" customFormat="false" ht="15" hidden="false" customHeight="false" outlineLevel="0" collapsed="false">
      <c r="A467" s="4" t="s">
        <v>465</v>
      </c>
      <c r="B467" s="3" t="n">
        <v>2</v>
      </c>
      <c r="C467" s="4" t="s">
        <v>873</v>
      </c>
      <c r="D467" s="4" t="s">
        <v>934</v>
      </c>
      <c r="E467" s="3" t="n">
        <v>1</v>
      </c>
      <c r="F467" s="10" t="n">
        <v>1.1</v>
      </c>
      <c r="G467" s="4" t="s">
        <v>30</v>
      </c>
    </row>
    <row r="468" customFormat="false" ht="15" hidden="false" customHeight="false" outlineLevel="0" collapsed="false">
      <c r="A468" s="4" t="s">
        <v>465</v>
      </c>
      <c r="B468" s="3" t="n">
        <v>3</v>
      </c>
      <c r="C468" s="4" t="s">
        <v>905</v>
      </c>
      <c r="D468" s="4" t="s">
        <v>933</v>
      </c>
      <c r="E468" s="3" t="n">
        <v>1</v>
      </c>
      <c r="F468" s="10" t="n">
        <v>1</v>
      </c>
      <c r="G468" s="4" t="s">
        <v>26</v>
      </c>
    </row>
    <row r="469" customFormat="false" ht="15" hidden="false" customHeight="false" outlineLevel="0" collapsed="false">
      <c r="A469" s="4" t="s">
        <v>465</v>
      </c>
      <c r="B469" s="3" t="n">
        <v>3</v>
      </c>
      <c r="C469" s="4" t="s">
        <v>881</v>
      </c>
      <c r="D469" s="4" t="s">
        <v>935</v>
      </c>
      <c r="E469" s="3" t="n">
        <v>1</v>
      </c>
      <c r="F469" s="10" t="n">
        <v>1</v>
      </c>
      <c r="G469" s="4" t="s">
        <v>30</v>
      </c>
    </row>
    <row r="470" customFormat="false" ht="15" hidden="false" customHeight="false" outlineLevel="0" collapsed="false">
      <c r="A470" s="4" t="s">
        <v>465</v>
      </c>
      <c r="B470" s="3" t="n">
        <v>4</v>
      </c>
      <c r="C470" s="4" t="s">
        <v>892</v>
      </c>
      <c r="D470" s="4" t="s">
        <v>933</v>
      </c>
      <c r="E470" s="3" t="n">
        <v>1</v>
      </c>
      <c r="F470" s="10" t="n">
        <v>1</v>
      </c>
      <c r="G470" s="4" t="s">
        <v>26</v>
      </c>
    </row>
    <row r="471" customFormat="false" ht="15" hidden="false" customHeight="false" outlineLevel="0" collapsed="false">
      <c r="A471" s="4" t="s">
        <v>465</v>
      </c>
      <c r="B471" s="3" t="n">
        <v>5</v>
      </c>
      <c r="C471" s="4" t="s">
        <v>911</v>
      </c>
      <c r="D471" s="4" t="s">
        <v>933</v>
      </c>
      <c r="E471" s="3" t="n">
        <v>1</v>
      </c>
      <c r="F471" s="10" t="n">
        <v>1</v>
      </c>
      <c r="G471" s="4" t="s">
        <v>26</v>
      </c>
    </row>
    <row r="472" customFormat="false" ht="15" hidden="false" customHeight="false" outlineLevel="0" collapsed="false">
      <c r="A472" s="4" t="s">
        <v>465</v>
      </c>
      <c r="B472" s="3" t="n">
        <v>6</v>
      </c>
      <c r="C472" s="4" t="s">
        <v>913</v>
      </c>
      <c r="D472" s="4" t="s">
        <v>933</v>
      </c>
      <c r="E472" s="3" t="n">
        <v>1</v>
      </c>
      <c r="F472" s="10" t="n">
        <v>1</v>
      </c>
      <c r="G472" s="4" t="s">
        <v>26</v>
      </c>
    </row>
    <row r="473" customFormat="false" ht="15" hidden="false" customHeight="false" outlineLevel="0" collapsed="false">
      <c r="A473" s="4" t="s">
        <v>465</v>
      </c>
      <c r="B473" s="3" t="n">
        <v>7</v>
      </c>
      <c r="C473" s="4" t="s">
        <v>896</v>
      </c>
      <c r="D473" s="4" t="s">
        <v>933</v>
      </c>
      <c r="E473" s="3" t="n">
        <v>1</v>
      </c>
      <c r="F473" s="10" t="n">
        <v>1</v>
      </c>
      <c r="G473" s="4" t="s">
        <v>26</v>
      </c>
    </row>
    <row r="474" customFormat="false" ht="15" hidden="false" customHeight="false" outlineLevel="0" collapsed="false">
      <c r="A474" s="4" t="s">
        <v>465</v>
      </c>
      <c r="B474" s="3" t="n">
        <v>8</v>
      </c>
      <c r="C474" s="4" t="s">
        <v>896</v>
      </c>
      <c r="D474" s="4" t="s">
        <v>933</v>
      </c>
      <c r="E474" s="3" t="n">
        <v>1</v>
      </c>
      <c r="F474" s="10" t="n">
        <v>1</v>
      </c>
      <c r="G474" s="4" t="s">
        <v>26</v>
      </c>
    </row>
  </sheetData>
  <autoFilter ref="A1:G474"/>
  <dataValidations count="3">
    <dataValidation allowBlank="true" error="Debe ser un número entero en el rango permitido." errorStyle="stop" operator="between" showDropDown="false" showErrorMessage="true" showInputMessage="false" sqref="E2:E474" type="whole">
      <formula1>0</formula1>
      <formula2>1</formula2>
    </dataValidation>
    <dataValidation allowBlank="true" error="Elija un valor de la lista." errorStyle="stop" errorTitle="Valor no válido" operator="between" showDropDown="false" showErrorMessage="true" showInputMessage="false" sqref="C2:C474" type="list">
      <formula1>'05_RECURSOS'!$A$2:$A$18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D2:D474" type="list">
      <formula1>"PRINCIPAL,ALT_UTILLAJE,ALT_MISMO_PROCESO"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4" min="3" style="0" width="10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2"/>
  </cols>
  <sheetData>
    <row r="1" customFormat="false" ht="31.5" hidden="false" customHeight="true" outlineLevel="0" collapsed="false">
      <c r="A1" s="1" t="s">
        <v>185</v>
      </c>
      <c r="B1" s="1" t="s">
        <v>188</v>
      </c>
      <c r="C1" s="1" t="s">
        <v>190</v>
      </c>
      <c r="D1" s="1" t="s">
        <v>193</v>
      </c>
      <c r="E1" s="1" t="s">
        <v>195</v>
      </c>
      <c r="F1" s="1" t="s">
        <v>198</v>
      </c>
      <c r="G1" s="1" t="s">
        <v>200</v>
      </c>
      <c r="H1" s="1" t="s">
        <v>5</v>
      </c>
    </row>
    <row r="2" customFormat="false" ht="15" hidden="false" customHeight="false" outlineLevel="0" collapsed="false">
      <c r="A2" s="4" t="s">
        <v>936</v>
      </c>
      <c r="B2" s="3" t="n">
        <v>1</v>
      </c>
      <c r="C2" s="16" t="n">
        <v>0.333333333333333</v>
      </c>
      <c r="D2" s="16" t="n">
        <v>0.708333333333333</v>
      </c>
      <c r="E2" s="8" t="n">
        <v>1</v>
      </c>
      <c r="F2" s="8" t="n">
        <v>8</v>
      </c>
      <c r="G2" s="17" t="n">
        <f aca="false">(D2-C2)*24-E2</f>
        <v>8</v>
      </c>
      <c r="H2" s="4" t="s">
        <v>11</v>
      </c>
    </row>
    <row r="3" customFormat="false" ht="15" hidden="false" customHeight="false" outlineLevel="0" collapsed="false">
      <c r="A3" s="4" t="s">
        <v>937</v>
      </c>
      <c r="B3" s="3" t="n">
        <v>1</v>
      </c>
      <c r="C3" s="16" t="n">
        <v>0.333333333333333</v>
      </c>
      <c r="D3" s="16" t="n">
        <v>0.708333333333333</v>
      </c>
      <c r="E3" s="8" t="n">
        <v>1</v>
      </c>
      <c r="F3" s="8" t="n">
        <v>8</v>
      </c>
      <c r="G3" s="17" t="n">
        <f aca="false">(D3-C3)*24-E3</f>
        <v>8</v>
      </c>
      <c r="H3" s="4" t="s">
        <v>11</v>
      </c>
    </row>
    <row r="4" customFormat="false" ht="15" hidden="false" customHeight="false" outlineLevel="0" collapsed="false">
      <c r="A4" s="4" t="s">
        <v>938</v>
      </c>
      <c r="B4" s="3" t="n">
        <v>1</v>
      </c>
      <c r="C4" s="16" t="n">
        <v>0.333333333333333</v>
      </c>
      <c r="D4" s="16" t="n">
        <v>0.708333333333333</v>
      </c>
      <c r="E4" s="8" t="n">
        <v>1</v>
      </c>
      <c r="F4" s="8" t="n">
        <v>8</v>
      </c>
      <c r="G4" s="17" t="n">
        <f aca="false">(D4-C4)*24-E4</f>
        <v>8</v>
      </c>
      <c r="H4" s="4" t="s">
        <v>11</v>
      </c>
    </row>
    <row r="5" customFormat="false" ht="15" hidden="false" customHeight="false" outlineLevel="0" collapsed="false">
      <c r="A5" s="4" t="s">
        <v>939</v>
      </c>
      <c r="B5" s="3" t="n">
        <v>1</v>
      </c>
      <c r="C5" s="16" t="n">
        <v>0.333333333333333</v>
      </c>
      <c r="D5" s="16" t="n">
        <v>0.708333333333333</v>
      </c>
      <c r="E5" s="8" t="n">
        <v>1</v>
      </c>
      <c r="F5" s="8" t="n">
        <v>8</v>
      </c>
      <c r="G5" s="17" t="n">
        <f aca="false">(D5-C5)*24-E5</f>
        <v>8</v>
      </c>
      <c r="H5" s="4" t="s">
        <v>11</v>
      </c>
    </row>
    <row r="6" customFormat="false" ht="15" hidden="false" customHeight="false" outlineLevel="0" collapsed="false">
      <c r="A6" s="4" t="s">
        <v>940</v>
      </c>
      <c r="B6" s="3" t="n">
        <v>1</v>
      </c>
      <c r="C6" s="16" t="n">
        <v>0.333333333333333</v>
      </c>
      <c r="D6" s="16" t="n">
        <v>0.708333333333333</v>
      </c>
      <c r="E6" s="8" t="n">
        <v>1</v>
      </c>
      <c r="F6" s="8" t="n">
        <v>8</v>
      </c>
      <c r="G6" s="17" t="n">
        <f aca="false">(D6-C6)*24-E6</f>
        <v>8</v>
      </c>
      <c r="H6" s="4" t="s">
        <v>11</v>
      </c>
    </row>
    <row r="7" customFormat="false" ht="15" hidden="false" customHeight="false" outlineLevel="0" collapsed="false">
      <c r="A7" s="4" t="s">
        <v>941</v>
      </c>
      <c r="B7" s="3" t="n">
        <v>1</v>
      </c>
      <c r="C7" s="16" t="n">
        <v>0.333333333333333</v>
      </c>
      <c r="D7" s="16" t="n">
        <v>0.708333333333333</v>
      </c>
      <c r="E7" s="8" t="n">
        <v>1</v>
      </c>
      <c r="F7" s="8" t="n">
        <v>8</v>
      </c>
      <c r="G7" s="17" t="n">
        <f aca="false">(D7-C7)*24-E7</f>
        <v>8</v>
      </c>
      <c r="H7" s="4" t="s">
        <v>11</v>
      </c>
    </row>
    <row r="8" customFormat="false" ht="15" hidden="false" customHeight="false" outlineLevel="0" collapsed="false">
      <c r="A8" s="4" t="s">
        <v>942</v>
      </c>
      <c r="B8" s="3" t="n">
        <v>1</v>
      </c>
      <c r="C8" s="16" t="n">
        <v>0.333333333333333</v>
      </c>
      <c r="D8" s="16" t="n">
        <v>0.708333333333333</v>
      </c>
      <c r="E8" s="8" t="n">
        <v>1</v>
      </c>
      <c r="F8" s="8" t="n">
        <v>8</v>
      </c>
      <c r="G8" s="17" t="n">
        <f aca="false">(D8-C8)*24-E8</f>
        <v>8</v>
      </c>
      <c r="H8" s="4" t="s">
        <v>11</v>
      </c>
    </row>
    <row r="9" customFormat="false" ht="15" hidden="false" customHeight="false" outlineLevel="0" collapsed="false">
      <c r="A9" s="4" t="s">
        <v>943</v>
      </c>
      <c r="B9" s="3" t="n">
        <v>1</v>
      </c>
      <c r="C9" s="16" t="n">
        <v>0.333333333333333</v>
      </c>
      <c r="D9" s="16" t="n">
        <v>0.708333333333333</v>
      </c>
      <c r="E9" s="8" t="n">
        <v>1</v>
      </c>
      <c r="F9" s="8" t="n">
        <v>8</v>
      </c>
      <c r="G9" s="17" t="n">
        <f aca="false">(D9-C9)*24-E9</f>
        <v>8</v>
      </c>
      <c r="H9" s="4" t="s">
        <v>11</v>
      </c>
    </row>
    <row r="10" customFormat="false" ht="15" hidden="false" customHeight="false" outlineLevel="0" collapsed="false">
      <c r="A10" s="4" t="s">
        <v>944</v>
      </c>
      <c r="B10" s="3" t="n">
        <v>1</v>
      </c>
      <c r="C10" s="16" t="n">
        <v>0.333333333333333</v>
      </c>
      <c r="D10" s="16" t="n">
        <v>0.708333333333333</v>
      </c>
      <c r="E10" s="8" t="n">
        <v>1</v>
      </c>
      <c r="F10" s="8" t="n">
        <v>8</v>
      </c>
      <c r="G10" s="17" t="n">
        <f aca="false">(D10-C10)*24-E10</f>
        <v>8</v>
      </c>
      <c r="H10" s="4" t="s">
        <v>11</v>
      </c>
    </row>
    <row r="11" customFormat="false" ht="15" hidden="false" customHeight="false" outlineLevel="0" collapsed="false">
      <c r="A11" s="4" t="s">
        <v>945</v>
      </c>
      <c r="B11" s="3" t="n">
        <v>1</v>
      </c>
      <c r="C11" s="16" t="n">
        <v>0.333333333333333</v>
      </c>
      <c r="D11" s="16" t="n">
        <v>0.708333333333333</v>
      </c>
      <c r="E11" s="8" t="n">
        <v>1</v>
      </c>
      <c r="F11" s="8" t="n">
        <v>8</v>
      </c>
      <c r="G11" s="17" t="n">
        <f aca="false">(D11-C11)*24-E11</f>
        <v>8</v>
      </c>
      <c r="H11" s="4" t="s">
        <v>11</v>
      </c>
    </row>
    <row r="12" customFormat="false" ht="15" hidden="false" customHeight="false" outlineLevel="0" collapsed="false">
      <c r="A12" s="4" t="s">
        <v>946</v>
      </c>
      <c r="B12" s="3" t="n">
        <v>1</v>
      </c>
      <c r="C12" s="16" t="n">
        <v>0.333333333333333</v>
      </c>
      <c r="D12" s="16" t="n">
        <v>0.708333333333333</v>
      </c>
      <c r="E12" s="8" t="n">
        <v>1</v>
      </c>
      <c r="F12" s="8" t="n">
        <v>8</v>
      </c>
      <c r="G12" s="17" t="n">
        <f aca="false">(D12-C12)*24-E12</f>
        <v>8</v>
      </c>
      <c r="H12" s="4" t="s">
        <v>11</v>
      </c>
    </row>
    <row r="13" customFormat="false" ht="15" hidden="false" customHeight="false" outlineLevel="0" collapsed="false">
      <c r="A13" s="4" t="s">
        <v>947</v>
      </c>
      <c r="B13" s="3" t="n">
        <v>1</v>
      </c>
      <c r="C13" s="16" t="n">
        <v>0.333333333333333</v>
      </c>
      <c r="D13" s="16" t="n">
        <v>0.708333333333333</v>
      </c>
      <c r="E13" s="8" t="n">
        <v>1</v>
      </c>
      <c r="F13" s="8" t="n">
        <v>8</v>
      </c>
      <c r="G13" s="17" t="n">
        <f aca="false">(D13-C13)*24-E13</f>
        <v>8</v>
      </c>
      <c r="H13" s="4" t="s">
        <v>11</v>
      </c>
    </row>
    <row r="14" customFormat="false" ht="15" hidden="false" customHeight="false" outlineLevel="0" collapsed="false">
      <c r="A14" s="4" t="s">
        <v>948</v>
      </c>
      <c r="B14" s="3" t="n">
        <v>1</v>
      </c>
      <c r="C14" s="16" t="n">
        <v>0.333333333333333</v>
      </c>
      <c r="D14" s="16" t="n">
        <v>0.708333333333333</v>
      </c>
      <c r="E14" s="8" t="n">
        <v>1</v>
      </c>
      <c r="F14" s="8" t="n">
        <v>8</v>
      </c>
      <c r="G14" s="17" t="n">
        <f aca="false">(D14-C14)*24-E14</f>
        <v>8</v>
      </c>
      <c r="H14" s="4" t="s">
        <v>11</v>
      </c>
    </row>
    <row r="15" customFormat="false" ht="15" hidden="false" customHeight="false" outlineLevel="0" collapsed="false">
      <c r="A15" s="4" t="s">
        <v>949</v>
      </c>
      <c r="B15" s="3" t="n">
        <v>1</v>
      </c>
      <c r="C15" s="16" t="n">
        <v>0.333333333333333</v>
      </c>
      <c r="D15" s="16" t="n">
        <v>0.708333333333333</v>
      </c>
      <c r="E15" s="8" t="n">
        <v>1</v>
      </c>
      <c r="F15" s="8" t="n">
        <v>8</v>
      </c>
      <c r="G15" s="17" t="n">
        <f aca="false">(D15-C15)*24-E15</f>
        <v>8</v>
      </c>
      <c r="H15" s="4" t="s">
        <v>11</v>
      </c>
    </row>
    <row r="16" customFormat="false" ht="15" hidden="false" customHeight="false" outlineLevel="0" collapsed="false">
      <c r="A16" s="4" t="s">
        <v>950</v>
      </c>
      <c r="B16" s="3" t="n">
        <v>1</v>
      </c>
      <c r="C16" s="16" t="n">
        <v>0.333333333333333</v>
      </c>
      <c r="D16" s="16" t="n">
        <v>0.708333333333333</v>
      </c>
      <c r="E16" s="8" t="n">
        <v>1</v>
      </c>
      <c r="F16" s="8" t="n">
        <v>8</v>
      </c>
      <c r="G16" s="17" t="n">
        <f aca="false">(D16-C16)*24-E16</f>
        <v>8</v>
      </c>
      <c r="H16" s="4" t="s">
        <v>11</v>
      </c>
    </row>
    <row r="17" customFormat="false" ht="15" hidden="false" customHeight="false" outlineLevel="0" collapsed="false">
      <c r="A17" s="4" t="s">
        <v>951</v>
      </c>
      <c r="B17" s="3" t="n">
        <v>1</v>
      </c>
      <c r="C17" s="16" t="n">
        <v>0.333333333333333</v>
      </c>
      <c r="D17" s="16" t="n">
        <v>0.708333333333333</v>
      </c>
      <c r="E17" s="8" t="n">
        <v>1</v>
      </c>
      <c r="F17" s="8" t="n">
        <v>8</v>
      </c>
      <c r="G17" s="17" t="n">
        <f aca="false">(D17-C17)*24-E17</f>
        <v>8</v>
      </c>
      <c r="H17" s="4" t="s">
        <v>11</v>
      </c>
    </row>
    <row r="18" customFormat="false" ht="15" hidden="false" customHeight="false" outlineLevel="0" collapsed="false">
      <c r="A18" s="4" t="s">
        <v>952</v>
      </c>
      <c r="B18" s="3" t="n">
        <v>1</v>
      </c>
      <c r="C18" s="16" t="n">
        <v>0.333333333333333</v>
      </c>
      <c r="D18" s="16" t="n">
        <v>0.708333333333333</v>
      </c>
      <c r="E18" s="8" t="n">
        <v>1</v>
      </c>
      <c r="F18" s="8" t="n">
        <v>8</v>
      </c>
      <c r="G18" s="17" t="n">
        <f aca="false">(D18-C18)*24-E18</f>
        <v>8</v>
      </c>
      <c r="H18" s="4" t="s">
        <v>11</v>
      </c>
    </row>
    <row r="19" customFormat="false" ht="15" hidden="false" customHeight="false" outlineLevel="0" collapsed="false">
      <c r="A19" s="4" t="s">
        <v>953</v>
      </c>
      <c r="B19" s="3" t="n">
        <v>1</v>
      </c>
      <c r="C19" s="16" t="n">
        <v>0.333333333333333</v>
      </c>
      <c r="D19" s="16" t="n">
        <v>0.708333333333333</v>
      </c>
      <c r="E19" s="8" t="n">
        <v>1</v>
      </c>
      <c r="F19" s="8" t="n">
        <v>8</v>
      </c>
      <c r="G19" s="17" t="n">
        <f aca="false">(D19-C19)*24-E19</f>
        <v>8</v>
      </c>
      <c r="H19" s="4" t="s">
        <v>11</v>
      </c>
    </row>
    <row r="20" customFormat="false" ht="15" hidden="false" customHeight="false" outlineLevel="0" collapsed="false">
      <c r="A20" s="4" t="s">
        <v>954</v>
      </c>
      <c r="B20" s="3" t="n">
        <v>1</v>
      </c>
      <c r="C20" s="16" t="n">
        <v>0.333333333333333</v>
      </c>
      <c r="D20" s="16" t="n">
        <v>0.708333333333333</v>
      </c>
      <c r="E20" s="8" t="n">
        <v>1</v>
      </c>
      <c r="F20" s="8" t="n">
        <v>8</v>
      </c>
      <c r="G20" s="17" t="n">
        <f aca="false">(D20-C20)*24-E20</f>
        <v>8</v>
      </c>
      <c r="H20" s="4" t="s">
        <v>11</v>
      </c>
    </row>
    <row r="21" customFormat="false" ht="15" hidden="false" customHeight="false" outlineLevel="0" collapsed="false">
      <c r="A21" s="4" t="s">
        <v>955</v>
      </c>
      <c r="B21" s="3" t="n">
        <v>1</v>
      </c>
      <c r="C21" s="16" t="n">
        <v>0.333333333333333</v>
      </c>
      <c r="D21" s="16" t="n">
        <v>0.708333333333333</v>
      </c>
      <c r="E21" s="8" t="n">
        <v>1</v>
      </c>
      <c r="F21" s="8" t="n">
        <v>8</v>
      </c>
      <c r="G21" s="17" t="n">
        <f aca="false">(D21-C21)*24-E21</f>
        <v>8</v>
      </c>
      <c r="H21" s="4" t="s">
        <v>11</v>
      </c>
    </row>
    <row r="22" customFormat="false" ht="15" hidden="false" customHeight="false" outlineLevel="0" collapsed="false">
      <c r="A22" s="4" t="s">
        <v>956</v>
      </c>
      <c r="B22" s="3" t="n">
        <v>1</v>
      </c>
      <c r="C22" s="16" t="n">
        <v>0.333333333333333</v>
      </c>
      <c r="D22" s="16" t="n">
        <v>0.708333333333333</v>
      </c>
      <c r="E22" s="8" t="n">
        <v>1</v>
      </c>
      <c r="F22" s="8" t="n">
        <v>8</v>
      </c>
      <c r="G22" s="17" t="n">
        <f aca="false">(D22-C22)*24-E22</f>
        <v>8</v>
      </c>
      <c r="H22" s="4" t="s">
        <v>11</v>
      </c>
    </row>
    <row r="23" customFormat="false" ht="15" hidden="false" customHeight="false" outlineLevel="0" collapsed="false">
      <c r="A23" s="4" t="s">
        <v>957</v>
      </c>
      <c r="B23" s="3" t="n">
        <v>1</v>
      </c>
      <c r="C23" s="16" t="n">
        <v>0.333333333333333</v>
      </c>
      <c r="D23" s="16" t="n">
        <v>0.708333333333333</v>
      </c>
      <c r="E23" s="8" t="n">
        <v>1</v>
      </c>
      <c r="F23" s="8" t="n">
        <v>8</v>
      </c>
      <c r="G23" s="17" t="n">
        <f aca="false">(D23-C23)*24-E23</f>
        <v>8</v>
      </c>
      <c r="H23" s="4" t="s">
        <v>11</v>
      </c>
    </row>
    <row r="24" customFormat="false" ht="15" hidden="false" customHeight="false" outlineLevel="0" collapsed="false">
      <c r="A24" s="4" t="s">
        <v>958</v>
      </c>
      <c r="B24" s="3" t="n">
        <v>1</v>
      </c>
      <c r="C24" s="16" t="n">
        <v>0.333333333333333</v>
      </c>
      <c r="D24" s="16" t="n">
        <v>0.708333333333333</v>
      </c>
      <c r="E24" s="8" t="n">
        <v>1</v>
      </c>
      <c r="F24" s="8" t="n">
        <v>8</v>
      </c>
      <c r="G24" s="17" t="n">
        <f aca="false">(D24-C24)*24-E24</f>
        <v>8</v>
      </c>
      <c r="H24" s="4" t="s">
        <v>11</v>
      </c>
    </row>
    <row r="25" customFormat="false" ht="15" hidden="false" customHeight="false" outlineLevel="0" collapsed="false">
      <c r="A25" s="4" t="s">
        <v>959</v>
      </c>
      <c r="B25" s="3" t="n">
        <v>1</v>
      </c>
      <c r="C25" s="16" t="n">
        <v>0.333333333333333</v>
      </c>
      <c r="D25" s="16" t="n">
        <v>0.708333333333333</v>
      </c>
      <c r="E25" s="8" t="n">
        <v>1</v>
      </c>
      <c r="F25" s="8" t="n">
        <v>8</v>
      </c>
      <c r="G25" s="17" t="n">
        <f aca="false">(D25-C25)*24-E25</f>
        <v>8</v>
      </c>
      <c r="H25" s="4" t="s">
        <v>11</v>
      </c>
    </row>
    <row r="26" customFormat="false" ht="15" hidden="false" customHeight="false" outlineLevel="0" collapsed="false">
      <c r="A26" s="4" t="s">
        <v>960</v>
      </c>
      <c r="B26" s="3" t="n">
        <v>1</v>
      </c>
      <c r="C26" s="16" t="n">
        <v>0.333333333333333</v>
      </c>
      <c r="D26" s="16" t="n">
        <v>0.708333333333333</v>
      </c>
      <c r="E26" s="8" t="n">
        <v>1</v>
      </c>
      <c r="F26" s="8" t="n">
        <v>8</v>
      </c>
      <c r="G26" s="17" t="n">
        <f aca="false">(D26-C26)*24-E26</f>
        <v>8</v>
      </c>
      <c r="H26" s="4" t="s">
        <v>11</v>
      </c>
    </row>
  </sheetData>
  <autoFilter ref="A1:H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G3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1" t="s">
        <v>204</v>
      </c>
      <c r="B1" s="1" t="s">
        <v>207</v>
      </c>
      <c r="C1" s="1" t="s">
        <v>209</v>
      </c>
      <c r="D1" s="1" t="s">
        <v>212</v>
      </c>
      <c r="E1" s="1" t="s">
        <v>216</v>
      </c>
      <c r="F1" s="1" t="s">
        <v>218</v>
      </c>
      <c r="G1" s="1" t="s">
        <v>5</v>
      </c>
    </row>
    <row r="2" customFormat="false" ht="15" hidden="false" customHeight="false" outlineLevel="0" collapsed="false">
      <c r="A2" s="18" t="n">
        <v>45658</v>
      </c>
      <c r="B2" s="9" t="n">
        <f aca="false">WEEKDAY(A2,2)</f>
        <v>3</v>
      </c>
      <c r="C2" s="3" t="n">
        <v>1</v>
      </c>
      <c r="D2" s="4" t="s">
        <v>961</v>
      </c>
      <c r="E2" s="9" t="n">
        <f aca="false">IF(AND(p_aplicar_feriados=1,D2&lt;&gt;""),0,C2)</f>
        <v>1</v>
      </c>
      <c r="F2" s="19" t="n">
        <f aca="false">E2*p_horas_productivas_dia</f>
        <v>8</v>
      </c>
      <c r="G2" s="4" t="s">
        <v>30</v>
      </c>
    </row>
    <row r="3" customFormat="false" ht="15" hidden="false" customHeight="false" outlineLevel="0" collapsed="false">
      <c r="A3" s="18" t="n">
        <v>45659</v>
      </c>
      <c r="B3" s="9" t="n">
        <f aca="false">WEEKDAY(A3,2)</f>
        <v>4</v>
      </c>
      <c r="C3" s="3" t="n">
        <v>1</v>
      </c>
      <c r="E3" s="9" t="n">
        <f aca="false">IF(AND(p_aplicar_feriados=1,D3&lt;&gt;""),0,C3)</f>
        <v>1</v>
      </c>
      <c r="F3" s="19" t="n">
        <f aca="false">E3*p_horas_productivas_dia</f>
        <v>8</v>
      </c>
      <c r="G3" s="4" t="s">
        <v>30</v>
      </c>
    </row>
    <row r="4" customFormat="false" ht="15" hidden="false" customHeight="false" outlineLevel="0" collapsed="false">
      <c r="A4" s="18" t="n">
        <v>45660</v>
      </c>
      <c r="B4" s="9" t="n">
        <f aca="false">WEEKDAY(A4,2)</f>
        <v>5</v>
      </c>
      <c r="C4" s="3" t="n">
        <v>1</v>
      </c>
      <c r="E4" s="9" t="n">
        <f aca="false">IF(AND(p_aplicar_feriados=1,D4&lt;&gt;""),0,C4)</f>
        <v>1</v>
      </c>
      <c r="F4" s="19" t="n">
        <f aca="false">E4*p_horas_productivas_dia</f>
        <v>8</v>
      </c>
      <c r="G4" s="4" t="s">
        <v>30</v>
      </c>
    </row>
    <row r="5" customFormat="false" ht="15" hidden="false" customHeight="false" outlineLevel="0" collapsed="false">
      <c r="A5" s="18" t="n">
        <v>45661</v>
      </c>
      <c r="B5" s="9" t="n">
        <f aca="false">WEEKDAY(A5,2)</f>
        <v>6</v>
      </c>
      <c r="C5" s="3" t="n">
        <v>0</v>
      </c>
      <c r="E5" s="9" t="n">
        <f aca="false">IF(AND(p_aplicar_feriados=1,D5&lt;&gt;""),0,C5)</f>
        <v>0</v>
      </c>
      <c r="F5" s="19" t="n">
        <f aca="false">E5*p_horas_productivas_dia</f>
        <v>0</v>
      </c>
      <c r="G5" s="4" t="s">
        <v>30</v>
      </c>
    </row>
    <row r="6" customFormat="false" ht="15" hidden="false" customHeight="false" outlineLevel="0" collapsed="false">
      <c r="A6" s="18" t="n">
        <v>45662</v>
      </c>
      <c r="B6" s="9" t="n">
        <f aca="false">WEEKDAY(A6,2)</f>
        <v>7</v>
      </c>
      <c r="C6" s="3" t="n">
        <v>0</v>
      </c>
      <c r="E6" s="9" t="n">
        <f aca="false">IF(AND(p_aplicar_feriados=1,D6&lt;&gt;""),0,C6)</f>
        <v>0</v>
      </c>
      <c r="F6" s="19" t="n">
        <f aca="false">E6*p_horas_productivas_dia</f>
        <v>0</v>
      </c>
      <c r="G6" s="4" t="s">
        <v>30</v>
      </c>
    </row>
    <row r="7" customFormat="false" ht="15" hidden="false" customHeight="false" outlineLevel="0" collapsed="false">
      <c r="A7" s="18" t="n">
        <v>45663</v>
      </c>
      <c r="B7" s="9" t="n">
        <f aca="false">WEEKDAY(A7,2)</f>
        <v>1</v>
      </c>
      <c r="C7" s="3" t="n">
        <v>1</v>
      </c>
      <c r="E7" s="9" t="n">
        <f aca="false">IF(AND(p_aplicar_feriados=1,D7&lt;&gt;""),0,C7)</f>
        <v>1</v>
      </c>
      <c r="F7" s="19" t="n">
        <f aca="false">E7*p_horas_productivas_dia</f>
        <v>8</v>
      </c>
      <c r="G7" s="4" t="s">
        <v>30</v>
      </c>
    </row>
    <row r="8" customFormat="false" ht="15" hidden="false" customHeight="false" outlineLevel="0" collapsed="false">
      <c r="A8" s="18" t="n">
        <v>45664</v>
      </c>
      <c r="B8" s="9" t="n">
        <f aca="false">WEEKDAY(A8,2)</f>
        <v>2</v>
      </c>
      <c r="C8" s="3" t="n">
        <v>1</v>
      </c>
      <c r="E8" s="9" t="n">
        <f aca="false">IF(AND(p_aplicar_feriados=1,D8&lt;&gt;""),0,C8)</f>
        <v>1</v>
      </c>
      <c r="F8" s="19" t="n">
        <f aca="false">E8*p_horas_productivas_dia</f>
        <v>8</v>
      </c>
      <c r="G8" s="4" t="s">
        <v>30</v>
      </c>
    </row>
    <row r="9" customFormat="false" ht="15" hidden="false" customHeight="false" outlineLevel="0" collapsed="false">
      <c r="A9" s="18" t="n">
        <v>45665</v>
      </c>
      <c r="B9" s="9" t="n">
        <f aca="false">WEEKDAY(A9,2)</f>
        <v>3</v>
      </c>
      <c r="C9" s="3" t="n">
        <v>1</v>
      </c>
      <c r="E9" s="9" t="n">
        <f aca="false">IF(AND(p_aplicar_feriados=1,D9&lt;&gt;""),0,C9)</f>
        <v>1</v>
      </c>
      <c r="F9" s="19" t="n">
        <f aca="false">E9*p_horas_productivas_dia</f>
        <v>8</v>
      </c>
      <c r="G9" s="4" t="s">
        <v>30</v>
      </c>
    </row>
    <row r="10" customFormat="false" ht="15" hidden="false" customHeight="false" outlineLevel="0" collapsed="false">
      <c r="A10" s="18" t="n">
        <v>45666</v>
      </c>
      <c r="B10" s="9" t="n">
        <f aca="false">WEEKDAY(A10,2)</f>
        <v>4</v>
      </c>
      <c r="C10" s="3" t="n">
        <v>1</v>
      </c>
      <c r="E10" s="9" t="n">
        <f aca="false">IF(AND(p_aplicar_feriados=1,D10&lt;&gt;""),0,C10)</f>
        <v>1</v>
      </c>
      <c r="F10" s="19" t="n">
        <f aca="false">E10*p_horas_productivas_dia</f>
        <v>8</v>
      </c>
      <c r="G10" s="4" t="s">
        <v>30</v>
      </c>
    </row>
    <row r="11" customFormat="false" ht="15" hidden="false" customHeight="false" outlineLevel="0" collapsed="false">
      <c r="A11" s="18" t="n">
        <v>45667</v>
      </c>
      <c r="B11" s="9" t="n">
        <f aca="false">WEEKDAY(A11,2)</f>
        <v>5</v>
      </c>
      <c r="C11" s="3" t="n">
        <v>1</v>
      </c>
      <c r="E11" s="9" t="n">
        <f aca="false">IF(AND(p_aplicar_feriados=1,D11&lt;&gt;""),0,C11)</f>
        <v>1</v>
      </c>
      <c r="F11" s="19" t="n">
        <f aca="false">E11*p_horas_productivas_dia</f>
        <v>8</v>
      </c>
      <c r="G11" s="4" t="s">
        <v>30</v>
      </c>
    </row>
    <row r="12" customFormat="false" ht="15" hidden="false" customHeight="false" outlineLevel="0" collapsed="false">
      <c r="A12" s="18" t="n">
        <v>45668</v>
      </c>
      <c r="B12" s="9" t="n">
        <f aca="false">WEEKDAY(A12,2)</f>
        <v>6</v>
      </c>
      <c r="C12" s="3" t="n">
        <v>0</v>
      </c>
      <c r="E12" s="9" t="n">
        <f aca="false">IF(AND(p_aplicar_feriados=1,D12&lt;&gt;""),0,C12)</f>
        <v>0</v>
      </c>
      <c r="F12" s="19" t="n">
        <f aca="false">E12*p_horas_productivas_dia</f>
        <v>0</v>
      </c>
      <c r="G12" s="4" t="s">
        <v>30</v>
      </c>
    </row>
    <row r="13" customFormat="false" ht="15" hidden="false" customHeight="false" outlineLevel="0" collapsed="false">
      <c r="A13" s="18" t="n">
        <v>45669</v>
      </c>
      <c r="B13" s="9" t="n">
        <f aca="false">WEEKDAY(A13,2)</f>
        <v>7</v>
      </c>
      <c r="C13" s="3" t="n">
        <v>0</v>
      </c>
      <c r="E13" s="9" t="n">
        <f aca="false">IF(AND(p_aplicar_feriados=1,D13&lt;&gt;""),0,C13)</f>
        <v>0</v>
      </c>
      <c r="F13" s="19" t="n">
        <f aca="false">E13*p_horas_productivas_dia</f>
        <v>0</v>
      </c>
      <c r="G13" s="4" t="s">
        <v>30</v>
      </c>
    </row>
    <row r="14" customFormat="false" ht="15" hidden="false" customHeight="false" outlineLevel="0" collapsed="false">
      <c r="A14" s="18" t="n">
        <v>45670</v>
      </c>
      <c r="B14" s="9" t="n">
        <f aca="false">WEEKDAY(A14,2)</f>
        <v>1</v>
      </c>
      <c r="C14" s="3" t="n">
        <v>1</v>
      </c>
      <c r="E14" s="9" t="n">
        <f aca="false">IF(AND(p_aplicar_feriados=1,D14&lt;&gt;""),0,C14)</f>
        <v>1</v>
      </c>
      <c r="F14" s="19" t="n">
        <f aca="false">E14*p_horas_productivas_dia</f>
        <v>8</v>
      </c>
      <c r="G14" s="4" t="s">
        <v>30</v>
      </c>
    </row>
    <row r="15" customFormat="false" ht="15" hidden="false" customHeight="false" outlineLevel="0" collapsed="false">
      <c r="A15" s="18" t="n">
        <v>45671</v>
      </c>
      <c r="B15" s="9" t="n">
        <f aca="false">WEEKDAY(A15,2)</f>
        <v>2</v>
      </c>
      <c r="C15" s="3" t="n">
        <v>1</v>
      </c>
      <c r="E15" s="9" t="n">
        <f aca="false">IF(AND(p_aplicar_feriados=1,D15&lt;&gt;""),0,C15)</f>
        <v>1</v>
      </c>
      <c r="F15" s="19" t="n">
        <f aca="false">E15*p_horas_productivas_dia</f>
        <v>8</v>
      </c>
      <c r="G15" s="4" t="s">
        <v>30</v>
      </c>
    </row>
    <row r="16" customFormat="false" ht="15" hidden="false" customHeight="false" outlineLevel="0" collapsed="false">
      <c r="A16" s="18" t="n">
        <v>45672</v>
      </c>
      <c r="B16" s="9" t="n">
        <f aca="false">WEEKDAY(A16,2)</f>
        <v>3</v>
      </c>
      <c r="C16" s="3" t="n">
        <v>1</v>
      </c>
      <c r="E16" s="9" t="n">
        <f aca="false">IF(AND(p_aplicar_feriados=1,D16&lt;&gt;""),0,C16)</f>
        <v>1</v>
      </c>
      <c r="F16" s="19" t="n">
        <f aca="false">E16*p_horas_productivas_dia</f>
        <v>8</v>
      </c>
      <c r="G16" s="4" t="s">
        <v>30</v>
      </c>
    </row>
    <row r="17" customFormat="false" ht="15" hidden="false" customHeight="false" outlineLevel="0" collapsed="false">
      <c r="A17" s="18" t="n">
        <v>45673</v>
      </c>
      <c r="B17" s="9" t="n">
        <f aca="false">WEEKDAY(A17,2)</f>
        <v>4</v>
      </c>
      <c r="C17" s="3" t="n">
        <v>1</v>
      </c>
      <c r="E17" s="9" t="n">
        <f aca="false">IF(AND(p_aplicar_feriados=1,D17&lt;&gt;""),0,C17)</f>
        <v>1</v>
      </c>
      <c r="F17" s="19" t="n">
        <f aca="false">E17*p_horas_productivas_dia</f>
        <v>8</v>
      </c>
      <c r="G17" s="4" t="s">
        <v>30</v>
      </c>
    </row>
    <row r="18" customFormat="false" ht="15" hidden="false" customHeight="false" outlineLevel="0" collapsed="false">
      <c r="A18" s="18" t="n">
        <v>45674</v>
      </c>
      <c r="B18" s="9" t="n">
        <f aca="false">WEEKDAY(A18,2)</f>
        <v>5</v>
      </c>
      <c r="C18" s="3" t="n">
        <v>1</v>
      </c>
      <c r="E18" s="9" t="n">
        <f aca="false">IF(AND(p_aplicar_feriados=1,D18&lt;&gt;""),0,C18)</f>
        <v>1</v>
      </c>
      <c r="F18" s="19" t="n">
        <f aca="false">E18*p_horas_productivas_dia</f>
        <v>8</v>
      </c>
      <c r="G18" s="4" t="s">
        <v>30</v>
      </c>
    </row>
    <row r="19" customFormat="false" ht="15" hidden="false" customHeight="false" outlineLevel="0" collapsed="false">
      <c r="A19" s="18" t="n">
        <v>45675</v>
      </c>
      <c r="B19" s="9" t="n">
        <f aca="false">WEEKDAY(A19,2)</f>
        <v>6</v>
      </c>
      <c r="C19" s="3" t="n">
        <v>0</v>
      </c>
      <c r="E19" s="9" t="n">
        <f aca="false">IF(AND(p_aplicar_feriados=1,D19&lt;&gt;""),0,C19)</f>
        <v>0</v>
      </c>
      <c r="F19" s="19" t="n">
        <f aca="false">E19*p_horas_productivas_dia</f>
        <v>0</v>
      </c>
      <c r="G19" s="4" t="s">
        <v>30</v>
      </c>
    </row>
    <row r="20" customFormat="false" ht="15" hidden="false" customHeight="false" outlineLevel="0" collapsed="false">
      <c r="A20" s="18" t="n">
        <v>45676</v>
      </c>
      <c r="B20" s="9" t="n">
        <f aca="false">WEEKDAY(A20,2)</f>
        <v>7</v>
      </c>
      <c r="C20" s="3" t="n">
        <v>0</v>
      </c>
      <c r="E20" s="9" t="n">
        <f aca="false">IF(AND(p_aplicar_feriados=1,D20&lt;&gt;""),0,C20)</f>
        <v>0</v>
      </c>
      <c r="F20" s="19" t="n">
        <f aca="false">E20*p_horas_productivas_dia</f>
        <v>0</v>
      </c>
      <c r="G20" s="4" t="s">
        <v>30</v>
      </c>
    </row>
    <row r="21" customFormat="false" ht="15" hidden="false" customHeight="false" outlineLevel="0" collapsed="false">
      <c r="A21" s="18" t="n">
        <v>45677</v>
      </c>
      <c r="B21" s="9" t="n">
        <f aca="false">WEEKDAY(A21,2)</f>
        <v>1</v>
      </c>
      <c r="C21" s="3" t="n">
        <v>1</v>
      </c>
      <c r="E21" s="9" t="n">
        <f aca="false">IF(AND(p_aplicar_feriados=1,D21&lt;&gt;""),0,C21)</f>
        <v>1</v>
      </c>
      <c r="F21" s="19" t="n">
        <f aca="false">E21*p_horas_productivas_dia</f>
        <v>8</v>
      </c>
      <c r="G21" s="4" t="s">
        <v>30</v>
      </c>
    </row>
    <row r="22" customFormat="false" ht="15" hidden="false" customHeight="false" outlineLevel="0" collapsed="false">
      <c r="A22" s="18" t="n">
        <v>45678</v>
      </c>
      <c r="B22" s="9" t="n">
        <f aca="false">WEEKDAY(A22,2)</f>
        <v>2</v>
      </c>
      <c r="C22" s="3" t="n">
        <v>1</v>
      </c>
      <c r="E22" s="9" t="n">
        <f aca="false">IF(AND(p_aplicar_feriados=1,D22&lt;&gt;""),0,C22)</f>
        <v>1</v>
      </c>
      <c r="F22" s="19" t="n">
        <f aca="false">E22*p_horas_productivas_dia</f>
        <v>8</v>
      </c>
      <c r="G22" s="4" t="s">
        <v>30</v>
      </c>
    </row>
    <row r="23" customFormat="false" ht="15" hidden="false" customHeight="false" outlineLevel="0" collapsed="false">
      <c r="A23" s="18" t="n">
        <v>45679</v>
      </c>
      <c r="B23" s="9" t="n">
        <f aca="false">WEEKDAY(A23,2)</f>
        <v>3</v>
      </c>
      <c r="C23" s="3" t="n">
        <v>1</v>
      </c>
      <c r="E23" s="9" t="n">
        <f aca="false">IF(AND(p_aplicar_feriados=1,D23&lt;&gt;""),0,C23)</f>
        <v>1</v>
      </c>
      <c r="F23" s="19" t="n">
        <f aca="false">E23*p_horas_productivas_dia</f>
        <v>8</v>
      </c>
      <c r="G23" s="4" t="s">
        <v>30</v>
      </c>
    </row>
    <row r="24" customFormat="false" ht="15" hidden="false" customHeight="false" outlineLevel="0" collapsed="false">
      <c r="A24" s="18" t="n">
        <v>45680</v>
      </c>
      <c r="B24" s="9" t="n">
        <f aca="false">WEEKDAY(A24,2)</f>
        <v>4</v>
      </c>
      <c r="C24" s="3" t="n">
        <v>1</v>
      </c>
      <c r="E24" s="9" t="n">
        <f aca="false">IF(AND(p_aplicar_feriados=1,D24&lt;&gt;""),0,C24)</f>
        <v>1</v>
      </c>
      <c r="F24" s="19" t="n">
        <f aca="false">E24*p_horas_productivas_dia</f>
        <v>8</v>
      </c>
      <c r="G24" s="4" t="s">
        <v>30</v>
      </c>
    </row>
    <row r="25" customFormat="false" ht="15" hidden="false" customHeight="false" outlineLevel="0" collapsed="false">
      <c r="A25" s="18" t="n">
        <v>45681</v>
      </c>
      <c r="B25" s="9" t="n">
        <f aca="false">WEEKDAY(A25,2)</f>
        <v>5</v>
      </c>
      <c r="C25" s="3" t="n">
        <v>1</v>
      </c>
      <c r="E25" s="9" t="n">
        <f aca="false">IF(AND(p_aplicar_feriados=1,D25&lt;&gt;""),0,C25)</f>
        <v>1</v>
      </c>
      <c r="F25" s="19" t="n">
        <f aca="false">E25*p_horas_productivas_dia</f>
        <v>8</v>
      </c>
      <c r="G25" s="4" t="s">
        <v>30</v>
      </c>
    </row>
    <row r="26" customFormat="false" ht="15" hidden="false" customHeight="false" outlineLevel="0" collapsed="false">
      <c r="A26" s="18" t="n">
        <v>45682</v>
      </c>
      <c r="B26" s="9" t="n">
        <f aca="false">WEEKDAY(A26,2)</f>
        <v>6</v>
      </c>
      <c r="C26" s="3" t="n">
        <v>0</v>
      </c>
      <c r="E26" s="9" t="n">
        <f aca="false">IF(AND(p_aplicar_feriados=1,D26&lt;&gt;""),0,C26)</f>
        <v>0</v>
      </c>
      <c r="F26" s="19" t="n">
        <f aca="false">E26*p_horas_productivas_dia</f>
        <v>0</v>
      </c>
      <c r="G26" s="4" t="s">
        <v>30</v>
      </c>
    </row>
    <row r="27" customFormat="false" ht="15" hidden="false" customHeight="false" outlineLevel="0" collapsed="false">
      <c r="A27" s="18" t="n">
        <v>45683</v>
      </c>
      <c r="B27" s="9" t="n">
        <f aca="false">WEEKDAY(A27,2)</f>
        <v>7</v>
      </c>
      <c r="C27" s="3" t="n">
        <v>0</v>
      </c>
      <c r="E27" s="9" t="n">
        <f aca="false">IF(AND(p_aplicar_feriados=1,D27&lt;&gt;""),0,C27)</f>
        <v>0</v>
      </c>
      <c r="F27" s="19" t="n">
        <f aca="false">E27*p_horas_productivas_dia</f>
        <v>0</v>
      </c>
      <c r="G27" s="4" t="s">
        <v>30</v>
      </c>
    </row>
    <row r="28" customFormat="false" ht="15" hidden="false" customHeight="false" outlineLevel="0" collapsed="false">
      <c r="A28" s="18" t="n">
        <v>45684</v>
      </c>
      <c r="B28" s="9" t="n">
        <f aca="false">WEEKDAY(A28,2)</f>
        <v>1</v>
      </c>
      <c r="C28" s="3" t="n">
        <v>1</v>
      </c>
      <c r="E28" s="9" t="n">
        <f aca="false">IF(AND(p_aplicar_feriados=1,D28&lt;&gt;""),0,C28)</f>
        <v>1</v>
      </c>
      <c r="F28" s="19" t="n">
        <f aca="false">E28*p_horas_productivas_dia</f>
        <v>8</v>
      </c>
      <c r="G28" s="4" t="s">
        <v>30</v>
      </c>
    </row>
    <row r="29" customFormat="false" ht="15" hidden="false" customHeight="false" outlineLevel="0" collapsed="false">
      <c r="A29" s="18" t="n">
        <v>45685</v>
      </c>
      <c r="B29" s="9" t="n">
        <f aca="false">WEEKDAY(A29,2)</f>
        <v>2</v>
      </c>
      <c r="C29" s="3" t="n">
        <v>1</v>
      </c>
      <c r="E29" s="9" t="n">
        <f aca="false">IF(AND(p_aplicar_feriados=1,D29&lt;&gt;""),0,C29)</f>
        <v>1</v>
      </c>
      <c r="F29" s="19" t="n">
        <f aca="false">E29*p_horas_productivas_dia</f>
        <v>8</v>
      </c>
      <c r="G29" s="4" t="s">
        <v>30</v>
      </c>
    </row>
    <row r="30" customFormat="false" ht="15" hidden="false" customHeight="false" outlineLevel="0" collapsed="false">
      <c r="A30" s="18" t="n">
        <v>45686</v>
      </c>
      <c r="B30" s="9" t="n">
        <f aca="false">WEEKDAY(A30,2)</f>
        <v>3</v>
      </c>
      <c r="C30" s="3" t="n">
        <v>1</v>
      </c>
      <c r="E30" s="9" t="n">
        <f aca="false">IF(AND(p_aplicar_feriados=1,D30&lt;&gt;""),0,C30)</f>
        <v>1</v>
      </c>
      <c r="F30" s="19" t="n">
        <f aca="false">E30*p_horas_productivas_dia</f>
        <v>8</v>
      </c>
      <c r="G30" s="4" t="s">
        <v>30</v>
      </c>
    </row>
    <row r="31" customFormat="false" ht="15" hidden="false" customHeight="false" outlineLevel="0" collapsed="false">
      <c r="A31" s="18" t="n">
        <v>45687</v>
      </c>
      <c r="B31" s="9" t="n">
        <f aca="false">WEEKDAY(A31,2)</f>
        <v>4</v>
      </c>
      <c r="C31" s="3" t="n">
        <v>1</v>
      </c>
      <c r="E31" s="9" t="n">
        <f aca="false">IF(AND(p_aplicar_feriados=1,D31&lt;&gt;""),0,C31)</f>
        <v>1</v>
      </c>
      <c r="F31" s="19" t="n">
        <f aca="false">E31*p_horas_productivas_dia</f>
        <v>8</v>
      </c>
      <c r="G31" s="4" t="s">
        <v>30</v>
      </c>
    </row>
    <row r="32" customFormat="false" ht="15" hidden="false" customHeight="false" outlineLevel="0" collapsed="false">
      <c r="A32" s="18" t="n">
        <v>45688</v>
      </c>
      <c r="B32" s="9" t="n">
        <f aca="false">WEEKDAY(A32,2)</f>
        <v>5</v>
      </c>
      <c r="C32" s="3" t="n">
        <v>1</v>
      </c>
      <c r="E32" s="9" t="n">
        <f aca="false">IF(AND(p_aplicar_feriados=1,D32&lt;&gt;""),0,C32)</f>
        <v>1</v>
      </c>
      <c r="F32" s="19" t="n">
        <f aca="false">E32*p_horas_productivas_dia</f>
        <v>8</v>
      </c>
      <c r="G32" s="4" t="s">
        <v>30</v>
      </c>
    </row>
    <row r="33" customFormat="false" ht="15" hidden="false" customHeight="false" outlineLevel="0" collapsed="false">
      <c r="A33" s="18" t="n">
        <v>45689</v>
      </c>
      <c r="B33" s="9" t="n">
        <f aca="false">WEEKDAY(A33,2)</f>
        <v>6</v>
      </c>
      <c r="C33" s="3" t="n">
        <v>0</v>
      </c>
      <c r="E33" s="9" t="n">
        <f aca="false">IF(AND(p_aplicar_feriados=1,D33&lt;&gt;""),0,C33)</f>
        <v>0</v>
      </c>
      <c r="F33" s="19" t="n">
        <f aca="false">E33*p_horas_productivas_dia</f>
        <v>0</v>
      </c>
      <c r="G33" s="4" t="s">
        <v>30</v>
      </c>
    </row>
    <row r="34" customFormat="false" ht="15" hidden="false" customHeight="false" outlineLevel="0" collapsed="false">
      <c r="A34" s="18" t="n">
        <v>45690</v>
      </c>
      <c r="B34" s="9" t="n">
        <f aca="false">WEEKDAY(A34,2)</f>
        <v>7</v>
      </c>
      <c r="C34" s="3" t="n">
        <v>0</v>
      </c>
      <c r="E34" s="9" t="n">
        <f aca="false">IF(AND(p_aplicar_feriados=1,D34&lt;&gt;""),0,C34)</f>
        <v>0</v>
      </c>
      <c r="F34" s="19" t="n">
        <f aca="false">E34*p_horas_productivas_dia</f>
        <v>0</v>
      </c>
      <c r="G34" s="4" t="s">
        <v>30</v>
      </c>
    </row>
    <row r="35" customFormat="false" ht="15" hidden="false" customHeight="false" outlineLevel="0" collapsed="false">
      <c r="A35" s="18" t="n">
        <v>45691</v>
      </c>
      <c r="B35" s="9" t="n">
        <f aca="false">WEEKDAY(A35,2)</f>
        <v>1</v>
      </c>
      <c r="C35" s="3" t="n">
        <v>1</v>
      </c>
      <c r="E35" s="9" t="n">
        <f aca="false">IF(AND(p_aplicar_feriados=1,D35&lt;&gt;""),0,C35)</f>
        <v>1</v>
      </c>
      <c r="F35" s="19" t="n">
        <f aca="false">E35*p_horas_productivas_dia</f>
        <v>8</v>
      </c>
      <c r="G35" s="4" t="s">
        <v>30</v>
      </c>
    </row>
    <row r="36" customFormat="false" ht="15" hidden="false" customHeight="false" outlineLevel="0" collapsed="false">
      <c r="A36" s="18" t="n">
        <v>45692</v>
      </c>
      <c r="B36" s="9" t="n">
        <f aca="false">WEEKDAY(A36,2)</f>
        <v>2</v>
      </c>
      <c r="C36" s="3" t="n">
        <v>1</v>
      </c>
      <c r="E36" s="9" t="n">
        <f aca="false">IF(AND(p_aplicar_feriados=1,D36&lt;&gt;""),0,C36)</f>
        <v>1</v>
      </c>
      <c r="F36" s="19" t="n">
        <f aca="false">E36*p_horas_productivas_dia</f>
        <v>8</v>
      </c>
      <c r="G36" s="4" t="s">
        <v>30</v>
      </c>
    </row>
    <row r="37" customFormat="false" ht="15" hidden="false" customHeight="false" outlineLevel="0" collapsed="false">
      <c r="A37" s="18" t="n">
        <v>45693</v>
      </c>
      <c r="B37" s="9" t="n">
        <f aca="false">WEEKDAY(A37,2)</f>
        <v>3</v>
      </c>
      <c r="C37" s="3" t="n">
        <v>1</v>
      </c>
      <c r="E37" s="9" t="n">
        <f aca="false">IF(AND(p_aplicar_feriados=1,D37&lt;&gt;""),0,C37)</f>
        <v>1</v>
      </c>
      <c r="F37" s="19" t="n">
        <f aca="false">E37*p_horas_productivas_dia</f>
        <v>8</v>
      </c>
      <c r="G37" s="4" t="s">
        <v>30</v>
      </c>
    </row>
    <row r="38" customFormat="false" ht="15" hidden="false" customHeight="false" outlineLevel="0" collapsed="false">
      <c r="A38" s="18" t="n">
        <v>45694</v>
      </c>
      <c r="B38" s="9" t="n">
        <f aca="false">WEEKDAY(A38,2)</f>
        <v>4</v>
      </c>
      <c r="C38" s="3" t="n">
        <v>1</v>
      </c>
      <c r="E38" s="9" t="n">
        <f aca="false">IF(AND(p_aplicar_feriados=1,D38&lt;&gt;""),0,C38)</f>
        <v>1</v>
      </c>
      <c r="F38" s="19" t="n">
        <f aca="false">E38*p_horas_productivas_dia</f>
        <v>8</v>
      </c>
      <c r="G38" s="4" t="s">
        <v>30</v>
      </c>
    </row>
    <row r="39" customFormat="false" ht="15" hidden="false" customHeight="false" outlineLevel="0" collapsed="false">
      <c r="A39" s="18" t="n">
        <v>45695</v>
      </c>
      <c r="B39" s="9" t="n">
        <f aca="false">WEEKDAY(A39,2)</f>
        <v>5</v>
      </c>
      <c r="C39" s="3" t="n">
        <v>1</v>
      </c>
      <c r="E39" s="9" t="n">
        <f aca="false">IF(AND(p_aplicar_feriados=1,D39&lt;&gt;""),0,C39)</f>
        <v>1</v>
      </c>
      <c r="F39" s="19" t="n">
        <f aca="false">E39*p_horas_productivas_dia</f>
        <v>8</v>
      </c>
      <c r="G39" s="4" t="s">
        <v>30</v>
      </c>
    </row>
    <row r="40" customFormat="false" ht="15" hidden="false" customHeight="false" outlineLevel="0" collapsed="false">
      <c r="A40" s="18" t="n">
        <v>45696</v>
      </c>
      <c r="B40" s="9" t="n">
        <f aca="false">WEEKDAY(A40,2)</f>
        <v>6</v>
      </c>
      <c r="C40" s="3" t="n">
        <v>0</v>
      </c>
      <c r="E40" s="9" t="n">
        <f aca="false">IF(AND(p_aplicar_feriados=1,D40&lt;&gt;""),0,C40)</f>
        <v>0</v>
      </c>
      <c r="F40" s="19" t="n">
        <f aca="false">E40*p_horas_productivas_dia</f>
        <v>0</v>
      </c>
      <c r="G40" s="4" t="s">
        <v>30</v>
      </c>
    </row>
    <row r="41" customFormat="false" ht="15" hidden="false" customHeight="false" outlineLevel="0" collapsed="false">
      <c r="A41" s="18" t="n">
        <v>45697</v>
      </c>
      <c r="B41" s="9" t="n">
        <f aca="false">WEEKDAY(A41,2)</f>
        <v>7</v>
      </c>
      <c r="C41" s="3" t="n">
        <v>0</v>
      </c>
      <c r="E41" s="9" t="n">
        <f aca="false">IF(AND(p_aplicar_feriados=1,D41&lt;&gt;""),0,C41)</f>
        <v>0</v>
      </c>
      <c r="F41" s="19" t="n">
        <f aca="false">E41*p_horas_productivas_dia</f>
        <v>0</v>
      </c>
      <c r="G41" s="4" t="s">
        <v>30</v>
      </c>
    </row>
    <row r="42" customFormat="false" ht="15" hidden="false" customHeight="false" outlineLevel="0" collapsed="false">
      <c r="A42" s="18" t="n">
        <v>45698</v>
      </c>
      <c r="B42" s="9" t="n">
        <f aca="false">WEEKDAY(A42,2)</f>
        <v>1</v>
      </c>
      <c r="C42" s="3" t="n">
        <v>1</v>
      </c>
      <c r="E42" s="9" t="n">
        <f aca="false">IF(AND(p_aplicar_feriados=1,D42&lt;&gt;""),0,C42)</f>
        <v>1</v>
      </c>
      <c r="F42" s="19" t="n">
        <f aca="false">E42*p_horas_productivas_dia</f>
        <v>8</v>
      </c>
      <c r="G42" s="4" t="s">
        <v>30</v>
      </c>
    </row>
    <row r="43" customFormat="false" ht="15" hidden="false" customHeight="false" outlineLevel="0" collapsed="false">
      <c r="A43" s="18" t="n">
        <v>45699</v>
      </c>
      <c r="B43" s="9" t="n">
        <f aca="false">WEEKDAY(A43,2)</f>
        <v>2</v>
      </c>
      <c r="C43" s="3" t="n">
        <v>1</v>
      </c>
      <c r="E43" s="9" t="n">
        <f aca="false">IF(AND(p_aplicar_feriados=1,D43&lt;&gt;""),0,C43)</f>
        <v>1</v>
      </c>
      <c r="F43" s="19" t="n">
        <f aca="false">E43*p_horas_productivas_dia</f>
        <v>8</v>
      </c>
      <c r="G43" s="4" t="s">
        <v>30</v>
      </c>
    </row>
    <row r="44" customFormat="false" ht="15" hidden="false" customHeight="false" outlineLevel="0" collapsed="false">
      <c r="A44" s="18" t="n">
        <v>45700</v>
      </c>
      <c r="B44" s="9" t="n">
        <f aca="false">WEEKDAY(A44,2)</f>
        <v>3</v>
      </c>
      <c r="C44" s="3" t="n">
        <v>1</v>
      </c>
      <c r="E44" s="9" t="n">
        <f aca="false">IF(AND(p_aplicar_feriados=1,D44&lt;&gt;""),0,C44)</f>
        <v>1</v>
      </c>
      <c r="F44" s="19" t="n">
        <f aca="false">E44*p_horas_productivas_dia</f>
        <v>8</v>
      </c>
      <c r="G44" s="4" t="s">
        <v>30</v>
      </c>
    </row>
    <row r="45" customFormat="false" ht="15" hidden="false" customHeight="false" outlineLevel="0" collapsed="false">
      <c r="A45" s="18" t="n">
        <v>45701</v>
      </c>
      <c r="B45" s="9" t="n">
        <f aca="false">WEEKDAY(A45,2)</f>
        <v>4</v>
      </c>
      <c r="C45" s="3" t="n">
        <v>1</v>
      </c>
      <c r="E45" s="9" t="n">
        <f aca="false">IF(AND(p_aplicar_feriados=1,D45&lt;&gt;""),0,C45)</f>
        <v>1</v>
      </c>
      <c r="F45" s="19" t="n">
        <f aca="false">E45*p_horas_productivas_dia</f>
        <v>8</v>
      </c>
      <c r="G45" s="4" t="s">
        <v>30</v>
      </c>
    </row>
    <row r="46" customFormat="false" ht="15" hidden="false" customHeight="false" outlineLevel="0" collapsed="false">
      <c r="A46" s="18" t="n">
        <v>45702</v>
      </c>
      <c r="B46" s="9" t="n">
        <f aca="false">WEEKDAY(A46,2)</f>
        <v>5</v>
      </c>
      <c r="C46" s="3" t="n">
        <v>1</v>
      </c>
      <c r="E46" s="9" t="n">
        <f aca="false">IF(AND(p_aplicar_feriados=1,D46&lt;&gt;""),0,C46)</f>
        <v>1</v>
      </c>
      <c r="F46" s="19" t="n">
        <f aca="false">E46*p_horas_productivas_dia</f>
        <v>8</v>
      </c>
      <c r="G46" s="4" t="s">
        <v>30</v>
      </c>
    </row>
    <row r="47" customFormat="false" ht="15" hidden="false" customHeight="false" outlineLevel="0" collapsed="false">
      <c r="A47" s="18" t="n">
        <v>45703</v>
      </c>
      <c r="B47" s="9" t="n">
        <f aca="false">WEEKDAY(A47,2)</f>
        <v>6</v>
      </c>
      <c r="C47" s="3" t="n">
        <v>0</v>
      </c>
      <c r="E47" s="9" t="n">
        <f aca="false">IF(AND(p_aplicar_feriados=1,D47&lt;&gt;""),0,C47)</f>
        <v>0</v>
      </c>
      <c r="F47" s="19" t="n">
        <f aca="false">E47*p_horas_productivas_dia</f>
        <v>0</v>
      </c>
      <c r="G47" s="4" t="s">
        <v>30</v>
      </c>
    </row>
    <row r="48" customFormat="false" ht="15" hidden="false" customHeight="false" outlineLevel="0" collapsed="false">
      <c r="A48" s="18" t="n">
        <v>45704</v>
      </c>
      <c r="B48" s="9" t="n">
        <f aca="false">WEEKDAY(A48,2)</f>
        <v>7</v>
      </c>
      <c r="C48" s="3" t="n">
        <v>0</v>
      </c>
      <c r="E48" s="9" t="n">
        <f aca="false">IF(AND(p_aplicar_feriados=1,D48&lt;&gt;""),0,C48)</f>
        <v>0</v>
      </c>
      <c r="F48" s="19" t="n">
        <f aca="false">E48*p_horas_productivas_dia</f>
        <v>0</v>
      </c>
      <c r="G48" s="4" t="s">
        <v>30</v>
      </c>
    </row>
    <row r="49" customFormat="false" ht="15" hidden="false" customHeight="false" outlineLevel="0" collapsed="false">
      <c r="A49" s="18" t="n">
        <v>45705</v>
      </c>
      <c r="B49" s="9" t="n">
        <f aca="false">WEEKDAY(A49,2)</f>
        <v>1</v>
      </c>
      <c r="C49" s="3" t="n">
        <v>1</v>
      </c>
      <c r="E49" s="9" t="n">
        <f aca="false">IF(AND(p_aplicar_feriados=1,D49&lt;&gt;""),0,C49)</f>
        <v>1</v>
      </c>
      <c r="F49" s="19" t="n">
        <f aca="false">E49*p_horas_productivas_dia</f>
        <v>8</v>
      </c>
      <c r="G49" s="4" t="s">
        <v>30</v>
      </c>
    </row>
    <row r="50" customFormat="false" ht="15" hidden="false" customHeight="false" outlineLevel="0" collapsed="false">
      <c r="A50" s="18" t="n">
        <v>45706</v>
      </c>
      <c r="B50" s="9" t="n">
        <f aca="false">WEEKDAY(A50,2)</f>
        <v>2</v>
      </c>
      <c r="C50" s="3" t="n">
        <v>1</v>
      </c>
      <c r="E50" s="9" t="n">
        <f aca="false">IF(AND(p_aplicar_feriados=1,D50&lt;&gt;""),0,C50)</f>
        <v>1</v>
      </c>
      <c r="F50" s="19" t="n">
        <f aca="false">E50*p_horas_productivas_dia</f>
        <v>8</v>
      </c>
      <c r="G50" s="4" t="s">
        <v>30</v>
      </c>
    </row>
    <row r="51" customFormat="false" ht="15" hidden="false" customHeight="false" outlineLevel="0" collapsed="false">
      <c r="A51" s="18" t="n">
        <v>45707</v>
      </c>
      <c r="B51" s="9" t="n">
        <f aca="false">WEEKDAY(A51,2)</f>
        <v>3</v>
      </c>
      <c r="C51" s="3" t="n">
        <v>1</v>
      </c>
      <c r="E51" s="9" t="n">
        <f aca="false">IF(AND(p_aplicar_feriados=1,D51&lt;&gt;""),0,C51)</f>
        <v>1</v>
      </c>
      <c r="F51" s="19" t="n">
        <f aca="false">E51*p_horas_productivas_dia</f>
        <v>8</v>
      </c>
      <c r="G51" s="4" t="s">
        <v>30</v>
      </c>
    </row>
    <row r="52" customFormat="false" ht="15" hidden="false" customHeight="false" outlineLevel="0" collapsed="false">
      <c r="A52" s="18" t="n">
        <v>45708</v>
      </c>
      <c r="B52" s="9" t="n">
        <f aca="false">WEEKDAY(A52,2)</f>
        <v>4</v>
      </c>
      <c r="C52" s="3" t="n">
        <v>1</v>
      </c>
      <c r="E52" s="9" t="n">
        <f aca="false">IF(AND(p_aplicar_feriados=1,D52&lt;&gt;""),0,C52)</f>
        <v>1</v>
      </c>
      <c r="F52" s="19" t="n">
        <f aca="false">E52*p_horas_productivas_dia</f>
        <v>8</v>
      </c>
      <c r="G52" s="4" t="s">
        <v>30</v>
      </c>
    </row>
    <row r="53" customFormat="false" ht="15" hidden="false" customHeight="false" outlineLevel="0" collapsed="false">
      <c r="A53" s="18" t="n">
        <v>45709</v>
      </c>
      <c r="B53" s="9" t="n">
        <f aca="false">WEEKDAY(A53,2)</f>
        <v>5</v>
      </c>
      <c r="C53" s="3" t="n">
        <v>1</v>
      </c>
      <c r="E53" s="9" t="n">
        <f aca="false">IF(AND(p_aplicar_feriados=1,D53&lt;&gt;""),0,C53)</f>
        <v>1</v>
      </c>
      <c r="F53" s="19" t="n">
        <f aca="false">E53*p_horas_productivas_dia</f>
        <v>8</v>
      </c>
      <c r="G53" s="4" t="s">
        <v>30</v>
      </c>
    </row>
    <row r="54" customFormat="false" ht="15" hidden="false" customHeight="false" outlineLevel="0" collapsed="false">
      <c r="A54" s="18" t="n">
        <v>45710</v>
      </c>
      <c r="B54" s="9" t="n">
        <f aca="false">WEEKDAY(A54,2)</f>
        <v>6</v>
      </c>
      <c r="C54" s="3" t="n">
        <v>0</v>
      </c>
      <c r="E54" s="9" t="n">
        <f aca="false">IF(AND(p_aplicar_feriados=1,D54&lt;&gt;""),0,C54)</f>
        <v>0</v>
      </c>
      <c r="F54" s="19" t="n">
        <f aca="false">E54*p_horas_productivas_dia</f>
        <v>0</v>
      </c>
      <c r="G54" s="4" t="s">
        <v>30</v>
      </c>
    </row>
    <row r="55" customFormat="false" ht="15" hidden="false" customHeight="false" outlineLevel="0" collapsed="false">
      <c r="A55" s="18" t="n">
        <v>45711</v>
      </c>
      <c r="B55" s="9" t="n">
        <f aca="false">WEEKDAY(A55,2)</f>
        <v>7</v>
      </c>
      <c r="C55" s="3" t="n">
        <v>0</v>
      </c>
      <c r="E55" s="9" t="n">
        <f aca="false">IF(AND(p_aplicar_feriados=1,D55&lt;&gt;""),0,C55)</f>
        <v>0</v>
      </c>
      <c r="F55" s="19" t="n">
        <f aca="false">E55*p_horas_productivas_dia</f>
        <v>0</v>
      </c>
      <c r="G55" s="4" t="s">
        <v>30</v>
      </c>
    </row>
    <row r="56" customFormat="false" ht="15" hidden="false" customHeight="false" outlineLevel="0" collapsed="false">
      <c r="A56" s="18" t="n">
        <v>45712</v>
      </c>
      <c r="B56" s="9" t="n">
        <f aca="false">WEEKDAY(A56,2)</f>
        <v>1</v>
      </c>
      <c r="C56" s="3" t="n">
        <v>1</v>
      </c>
      <c r="E56" s="9" t="n">
        <f aca="false">IF(AND(p_aplicar_feriados=1,D56&lt;&gt;""),0,C56)</f>
        <v>1</v>
      </c>
      <c r="F56" s="19" t="n">
        <f aca="false">E56*p_horas_productivas_dia</f>
        <v>8</v>
      </c>
      <c r="G56" s="4" t="s">
        <v>30</v>
      </c>
    </row>
    <row r="57" customFormat="false" ht="15" hidden="false" customHeight="false" outlineLevel="0" collapsed="false">
      <c r="A57" s="18" t="n">
        <v>45713</v>
      </c>
      <c r="B57" s="9" t="n">
        <f aca="false">WEEKDAY(A57,2)</f>
        <v>2</v>
      </c>
      <c r="C57" s="3" t="n">
        <v>1</v>
      </c>
      <c r="E57" s="9" t="n">
        <f aca="false">IF(AND(p_aplicar_feriados=1,D57&lt;&gt;""),0,C57)</f>
        <v>1</v>
      </c>
      <c r="F57" s="19" t="n">
        <f aca="false">E57*p_horas_productivas_dia</f>
        <v>8</v>
      </c>
      <c r="G57" s="4" t="s">
        <v>30</v>
      </c>
    </row>
    <row r="58" customFormat="false" ht="15" hidden="false" customHeight="false" outlineLevel="0" collapsed="false">
      <c r="A58" s="18" t="n">
        <v>45714</v>
      </c>
      <c r="B58" s="9" t="n">
        <f aca="false">WEEKDAY(A58,2)</f>
        <v>3</v>
      </c>
      <c r="C58" s="3" t="n">
        <v>1</v>
      </c>
      <c r="E58" s="9" t="n">
        <f aca="false">IF(AND(p_aplicar_feriados=1,D58&lt;&gt;""),0,C58)</f>
        <v>1</v>
      </c>
      <c r="F58" s="19" t="n">
        <f aca="false">E58*p_horas_productivas_dia</f>
        <v>8</v>
      </c>
      <c r="G58" s="4" t="s">
        <v>30</v>
      </c>
    </row>
    <row r="59" customFormat="false" ht="15" hidden="false" customHeight="false" outlineLevel="0" collapsed="false">
      <c r="A59" s="18" t="n">
        <v>45715</v>
      </c>
      <c r="B59" s="9" t="n">
        <f aca="false">WEEKDAY(A59,2)</f>
        <v>4</v>
      </c>
      <c r="C59" s="3" t="n">
        <v>1</v>
      </c>
      <c r="E59" s="9" t="n">
        <f aca="false">IF(AND(p_aplicar_feriados=1,D59&lt;&gt;""),0,C59)</f>
        <v>1</v>
      </c>
      <c r="F59" s="19" t="n">
        <f aca="false">E59*p_horas_productivas_dia</f>
        <v>8</v>
      </c>
      <c r="G59" s="4" t="s">
        <v>30</v>
      </c>
    </row>
    <row r="60" customFormat="false" ht="15" hidden="false" customHeight="false" outlineLevel="0" collapsed="false">
      <c r="A60" s="18" t="n">
        <v>45716</v>
      </c>
      <c r="B60" s="9" t="n">
        <f aca="false">WEEKDAY(A60,2)</f>
        <v>5</v>
      </c>
      <c r="C60" s="3" t="n">
        <v>1</v>
      </c>
      <c r="E60" s="9" t="n">
        <f aca="false">IF(AND(p_aplicar_feriados=1,D60&lt;&gt;""),0,C60)</f>
        <v>1</v>
      </c>
      <c r="F60" s="19" t="n">
        <f aca="false">E60*p_horas_productivas_dia</f>
        <v>8</v>
      </c>
      <c r="G60" s="4" t="s">
        <v>30</v>
      </c>
    </row>
    <row r="61" customFormat="false" ht="15" hidden="false" customHeight="false" outlineLevel="0" collapsed="false">
      <c r="A61" s="18" t="n">
        <v>45717</v>
      </c>
      <c r="B61" s="9" t="n">
        <f aca="false">WEEKDAY(A61,2)</f>
        <v>6</v>
      </c>
      <c r="C61" s="3" t="n">
        <v>0</v>
      </c>
      <c r="E61" s="9" t="n">
        <f aca="false">IF(AND(p_aplicar_feriados=1,D61&lt;&gt;""),0,C61)</f>
        <v>0</v>
      </c>
      <c r="F61" s="19" t="n">
        <f aca="false">E61*p_horas_productivas_dia</f>
        <v>0</v>
      </c>
      <c r="G61" s="4" t="s">
        <v>30</v>
      </c>
    </row>
    <row r="62" customFormat="false" ht="15" hidden="false" customHeight="false" outlineLevel="0" collapsed="false">
      <c r="A62" s="18" t="n">
        <v>45718</v>
      </c>
      <c r="B62" s="9" t="n">
        <f aca="false">WEEKDAY(A62,2)</f>
        <v>7</v>
      </c>
      <c r="C62" s="3" t="n">
        <v>0</v>
      </c>
      <c r="E62" s="9" t="n">
        <f aca="false">IF(AND(p_aplicar_feriados=1,D62&lt;&gt;""),0,C62)</f>
        <v>0</v>
      </c>
      <c r="F62" s="19" t="n">
        <f aca="false">E62*p_horas_productivas_dia</f>
        <v>0</v>
      </c>
      <c r="G62" s="4" t="s">
        <v>30</v>
      </c>
    </row>
    <row r="63" customFormat="false" ht="15" hidden="false" customHeight="false" outlineLevel="0" collapsed="false">
      <c r="A63" s="18" t="n">
        <v>45719</v>
      </c>
      <c r="B63" s="9" t="n">
        <f aca="false">WEEKDAY(A63,2)</f>
        <v>1</v>
      </c>
      <c r="C63" s="3" t="n">
        <v>1</v>
      </c>
      <c r="E63" s="9" t="n">
        <f aca="false">IF(AND(p_aplicar_feriados=1,D63&lt;&gt;""),0,C63)</f>
        <v>1</v>
      </c>
      <c r="F63" s="19" t="n">
        <f aca="false">E63*p_horas_productivas_dia</f>
        <v>8</v>
      </c>
      <c r="G63" s="4" t="s">
        <v>30</v>
      </c>
    </row>
    <row r="64" customFormat="false" ht="15" hidden="false" customHeight="false" outlineLevel="0" collapsed="false">
      <c r="A64" s="18" t="n">
        <v>45720</v>
      </c>
      <c r="B64" s="9" t="n">
        <f aca="false">WEEKDAY(A64,2)</f>
        <v>2</v>
      </c>
      <c r="C64" s="3" t="n">
        <v>1</v>
      </c>
      <c r="E64" s="9" t="n">
        <f aca="false">IF(AND(p_aplicar_feriados=1,D64&lt;&gt;""),0,C64)</f>
        <v>1</v>
      </c>
      <c r="F64" s="19" t="n">
        <f aca="false">E64*p_horas_productivas_dia</f>
        <v>8</v>
      </c>
      <c r="G64" s="4" t="s">
        <v>30</v>
      </c>
    </row>
    <row r="65" customFormat="false" ht="15" hidden="false" customHeight="false" outlineLevel="0" collapsed="false">
      <c r="A65" s="18" t="n">
        <v>45721</v>
      </c>
      <c r="B65" s="9" t="n">
        <f aca="false">WEEKDAY(A65,2)</f>
        <v>3</v>
      </c>
      <c r="C65" s="3" t="n">
        <v>1</v>
      </c>
      <c r="E65" s="9" t="n">
        <f aca="false">IF(AND(p_aplicar_feriados=1,D65&lt;&gt;""),0,C65)</f>
        <v>1</v>
      </c>
      <c r="F65" s="19" t="n">
        <f aca="false">E65*p_horas_productivas_dia</f>
        <v>8</v>
      </c>
      <c r="G65" s="4" t="s">
        <v>30</v>
      </c>
    </row>
    <row r="66" customFormat="false" ht="15" hidden="false" customHeight="false" outlineLevel="0" collapsed="false">
      <c r="A66" s="18" t="n">
        <v>45722</v>
      </c>
      <c r="B66" s="9" t="n">
        <f aca="false">WEEKDAY(A66,2)</f>
        <v>4</v>
      </c>
      <c r="C66" s="3" t="n">
        <v>1</v>
      </c>
      <c r="E66" s="9" t="n">
        <f aca="false">IF(AND(p_aplicar_feriados=1,D66&lt;&gt;""),0,C66)</f>
        <v>1</v>
      </c>
      <c r="F66" s="19" t="n">
        <f aca="false">E66*p_horas_productivas_dia</f>
        <v>8</v>
      </c>
      <c r="G66" s="4" t="s">
        <v>30</v>
      </c>
    </row>
    <row r="67" customFormat="false" ht="15" hidden="false" customHeight="false" outlineLevel="0" collapsed="false">
      <c r="A67" s="18" t="n">
        <v>45723</v>
      </c>
      <c r="B67" s="9" t="n">
        <f aca="false">WEEKDAY(A67,2)</f>
        <v>5</v>
      </c>
      <c r="C67" s="3" t="n">
        <v>1</v>
      </c>
      <c r="E67" s="9" t="n">
        <f aca="false">IF(AND(p_aplicar_feriados=1,D67&lt;&gt;""),0,C67)</f>
        <v>1</v>
      </c>
      <c r="F67" s="19" t="n">
        <f aca="false">E67*p_horas_productivas_dia</f>
        <v>8</v>
      </c>
      <c r="G67" s="4" t="s">
        <v>30</v>
      </c>
    </row>
    <row r="68" customFormat="false" ht="15" hidden="false" customHeight="false" outlineLevel="0" collapsed="false">
      <c r="A68" s="18" t="n">
        <v>45724</v>
      </c>
      <c r="B68" s="9" t="n">
        <f aca="false">WEEKDAY(A68,2)</f>
        <v>6</v>
      </c>
      <c r="C68" s="3" t="n">
        <v>0</v>
      </c>
      <c r="E68" s="9" t="n">
        <f aca="false">IF(AND(p_aplicar_feriados=1,D68&lt;&gt;""),0,C68)</f>
        <v>0</v>
      </c>
      <c r="F68" s="19" t="n">
        <f aca="false">E68*p_horas_productivas_dia</f>
        <v>0</v>
      </c>
      <c r="G68" s="4" t="s">
        <v>30</v>
      </c>
    </row>
    <row r="69" customFormat="false" ht="15" hidden="false" customHeight="false" outlineLevel="0" collapsed="false">
      <c r="A69" s="18" t="n">
        <v>45725</v>
      </c>
      <c r="B69" s="9" t="n">
        <f aca="false">WEEKDAY(A69,2)</f>
        <v>7</v>
      </c>
      <c r="C69" s="3" t="n">
        <v>0</v>
      </c>
      <c r="E69" s="9" t="n">
        <f aca="false">IF(AND(p_aplicar_feriados=1,D69&lt;&gt;""),0,C69)</f>
        <v>0</v>
      </c>
      <c r="F69" s="19" t="n">
        <f aca="false">E69*p_horas_productivas_dia</f>
        <v>0</v>
      </c>
      <c r="G69" s="4" t="s">
        <v>30</v>
      </c>
    </row>
    <row r="70" customFormat="false" ht="15" hidden="false" customHeight="false" outlineLevel="0" collapsed="false">
      <c r="A70" s="18" t="n">
        <v>45726</v>
      </c>
      <c r="B70" s="9" t="n">
        <f aca="false">WEEKDAY(A70,2)</f>
        <v>1</v>
      </c>
      <c r="C70" s="3" t="n">
        <v>1</v>
      </c>
      <c r="E70" s="9" t="n">
        <f aca="false">IF(AND(p_aplicar_feriados=1,D70&lt;&gt;""),0,C70)</f>
        <v>1</v>
      </c>
      <c r="F70" s="19" t="n">
        <f aca="false">E70*p_horas_productivas_dia</f>
        <v>8</v>
      </c>
      <c r="G70" s="4" t="s">
        <v>30</v>
      </c>
    </row>
    <row r="71" customFormat="false" ht="15" hidden="false" customHeight="false" outlineLevel="0" collapsed="false">
      <c r="A71" s="18" t="n">
        <v>45727</v>
      </c>
      <c r="B71" s="9" t="n">
        <f aca="false">WEEKDAY(A71,2)</f>
        <v>2</v>
      </c>
      <c r="C71" s="3" t="n">
        <v>1</v>
      </c>
      <c r="E71" s="9" t="n">
        <f aca="false">IF(AND(p_aplicar_feriados=1,D71&lt;&gt;""),0,C71)</f>
        <v>1</v>
      </c>
      <c r="F71" s="19" t="n">
        <f aca="false">E71*p_horas_productivas_dia</f>
        <v>8</v>
      </c>
      <c r="G71" s="4" t="s">
        <v>30</v>
      </c>
    </row>
    <row r="72" customFormat="false" ht="15" hidden="false" customHeight="false" outlineLevel="0" collapsed="false">
      <c r="A72" s="18" t="n">
        <v>45728</v>
      </c>
      <c r="B72" s="9" t="n">
        <f aca="false">WEEKDAY(A72,2)</f>
        <v>3</v>
      </c>
      <c r="C72" s="3" t="n">
        <v>1</v>
      </c>
      <c r="E72" s="9" t="n">
        <f aca="false">IF(AND(p_aplicar_feriados=1,D72&lt;&gt;""),0,C72)</f>
        <v>1</v>
      </c>
      <c r="F72" s="19" t="n">
        <f aca="false">E72*p_horas_productivas_dia</f>
        <v>8</v>
      </c>
      <c r="G72" s="4" t="s">
        <v>30</v>
      </c>
    </row>
    <row r="73" customFormat="false" ht="15" hidden="false" customHeight="false" outlineLevel="0" collapsed="false">
      <c r="A73" s="18" t="n">
        <v>45729</v>
      </c>
      <c r="B73" s="9" t="n">
        <f aca="false">WEEKDAY(A73,2)</f>
        <v>4</v>
      </c>
      <c r="C73" s="3" t="n">
        <v>1</v>
      </c>
      <c r="E73" s="9" t="n">
        <f aca="false">IF(AND(p_aplicar_feriados=1,D73&lt;&gt;""),0,C73)</f>
        <v>1</v>
      </c>
      <c r="F73" s="19" t="n">
        <f aca="false">E73*p_horas_productivas_dia</f>
        <v>8</v>
      </c>
      <c r="G73" s="4" t="s">
        <v>30</v>
      </c>
    </row>
    <row r="74" customFormat="false" ht="15" hidden="false" customHeight="false" outlineLevel="0" collapsed="false">
      <c r="A74" s="18" t="n">
        <v>45730</v>
      </c>
      <c r="B74" s="9" t="n">
        <f aca="false">WEEKDAY(A74,2)</f>
        <v>5</v>
      </c>
      <c r="C74" s="3" t="n">
        <v>1</v>
      </c>
      <c r="E74" s="9" t="n">
        <f aca="false">IF(AND(p_aplicar_feriados=1,D74&lt;&gt;""),0,C74)</f>
        <v>1</v>
      </c>
      <c r="F74" s="19" t="n">
        <f aca="false">E74*p_horas_productivas_dia</f>
        <v>8</v>
      </c>
      <c r="G74" s="4" t="s">
        <v>30</v>
      </c>
    </row>
    <row r="75" customFormat="false" ht="15" hidden="false" customHeight="false" outlineLevel="0" collapsed="false">
      <c r="A75" s="18" t="n">
        <v>45731</v>
      </c>
      <c r="B75" s="9" t="n">
        <f aca="false">WEEKDAY(A75,2)</f>
        <v>6</v>
      </c>
      <c r="C75" s="3" t="n">
        <v>0</v>
      </c>
      <c r="E75" s="9" t="n">
        <f aca="false">IF(AND(p_aplicar_feriados=1,D75&lt;&gt;""),0,C75)</f>
        <v>0</v>
      </c>
      <c r="F75" s="19" t="n">
        <f aca="false">E75*p_horas_productivas_dia</f>
        <v>0</v>
      </c>
      <c r="G75" s="4" t="s">
        <v>30</v>
      </c>
    </row>
    <row r="76" customFormat="false" ht="15" hidden="false" customHeight="false" outlineLevel="0" collapsed="false">
      <c r="A76" s="18" t="n">
        <v>45732</v>
      </c>
      <c r="B76" s="9" t="n">
        <f aca="false">WEEKDAY(A76,2)</f>
        <v>7</v>
      </c>
      <c r="C76" s="3" t="n">
        <v>0</v>
      </c>
      <c r="E76" s="9" t="n">
        <f aca="false">IF(AND(p_aplicar_feriados=1,D76&lt;&gt;""),0,C76)</f>
        <v>0</v>
      </c>
      <c r="F76" s="19" t="n">
        <f aca="false">E76*p_horas_productivas_dia</f>
        <v>0</v>
      </c>
      <c r="G76" s="4" t="s">
        <v>30</v>
      </c>
    </row>
    <row r="77" customFormat="false" ht="15" hidden="false" customHeight="false" outlineLevel="0" collapsed="false">
      <c r="A77" s="18" t="n">
        <v>45733</v>
      </c>
      <c r="B77" s="9" t="n">
        <f aca="false">WEEKDAY(A77,2)</f>
        <v>1</v>
      </c>
      <c r="C77" s="3" t="n">
        <v>1</v>
      </c>
      <c r="E77" s="9" t="n">
        <f aca="false">IF(AND(p_aplicar_feriados=1,D77&lt;&gt;""),0,C77)</f>
        <v>1</v>
      </c>
      <c r="F77" s="19" t="n">
        <f aca="false">E77*p_horas_productivas_dia</f>
        <v>8</v>
      </c>
      <c r="G77" s="4" t="s">
        <v>30</v>
      </c>
    </row>
    <row r="78" customFormat="false" ht="15" hidden="false" customHeight="false" outlineLevel="0" collapsed="false">
      <c r="A78" s="18" t="n">
        <v>45734</v>
      </c>
      <c r="B78" s="9" t="n">
        <f aca="false">WEEKDAY(A78,2)</f>
        <v>2</v>
      </c>
      <c r="C78" s="3" t="n">
        <v>1</v>
      </c>
      <c r="E78" s="9" t="n">
        <f aca="false">IF(AND(p_aplicar_feriados=1,D78&lt;&gt;""),0,C78)</f>
        <v>1</v>
      </c>
      <c r="F78" s="19" t="n">
        <f aca="false">E78*p_horas_productivas_dia</f>
        <v>8</v>
      </c>
      <c r="G78" s="4" t="s">
        <v>30</v>
      </c>
    </row>
    <row r="79" customFormat="false" ht="15" hidden="false" customHeight="false" outlineLevel="0" collapsed="false">
      <c r="A79" s="18" t="n">
        <v>45735</v>
      </c>
      <c r="B79" s="9" t="n">
        <f aca="false">WEEKDAY(A79,2)</f>
        <v>3</v>
      </c>
      <c r="C79" s="3" t="n">
        <v>1</v>
      </c>
      <c r="E79" s="9" t="n">
        <f aca="false">IF(AND(p_aplicar_feriados=1,D79&lt;&gt;""),0,C79)</f>
        <v>1</v>
      </c>
      <c r="F79" s="19" t="n">
        <f aca="false">E79*p_horas_productivas_dia</f>
        <v>8</v>
      </c>
      <c r="G79" s="4" t="s">
        <v>30</v>
      </c>
    </row>
    <row r="80" customFormat="false" ht="15" hidden="false" customHeight="false" outlineLevel="0" collapsed="false">
      <c r="A80" s="18" t="n">
        <v>45736</v>
      </c>
      <c r="B80" s="9" t="n">
        <f aca="false">WEEKDAY(A80,2)</f>
        <v>4</v>
      </c>
      <c r="C80" s="3" t="n">
        <v>1</v>
      </c>
      <c r="E80" s="9" t="n">
        <f aca="false">IF(AND(p_aplicar_feriados=1,D80&lt;&gt;""),0,C80)</f>
        <v>1</v>
      </c>
      <c r="F80" s="19" t="n">
        <f aca="false">E80*p_horas_productivas_dia</f>
        <v>8</v>
      </c>
      <c r="G80" s="4" t="s">
        <v>30</v>
      </c>
    </row>
    <row r="81" customFormat="false" ht="15" hidden="false" customHeight="false" outlineLevel="0" collapsed="false">
      <c r="A81" s="18" t="n">
        <v>45737</v>
      </c>
      <c r="B81" s="9" t="n">
        <f aca="false">WEEKDAY(A81,2)</f>
        <v>5</v>
      </c>
      <c r="C81" s="3" t="n">
        <v>1</v>
      </c>
      <c r="E81" s="9" t="n">
        <f aca="false">IF(AND(p_aplicar_feriados=1,D81&lt;&gt;""),0,C81)</f>
        <v>1</v>
      </c>
      <c r="F81" s="19" t="n">
        <f aca="false">E81*p_horas_productivas_dia</f>
        <v>8</v>
      </c>
      <c r="G81" s="4" t="s">
        <v>30</v>
      </c>
    </row>
    <row r="82" customFormat="false" ht="15" hidden="false" customHeight="false" outlineLevel="0" collapsed="false">
      <c r="A82" s="18" t="n">
        <v>45738</v>
      </c>
      <c r="B82" s="9" t="n">
        <f aca="false">WEEKDAY(A82,2)</f>
        <v>6</v>
      </c>
      <c r="C82" s="3" t="n">
        <v>0</v>
      </c>
      <c r="E82" s="9" t="n">
        <f aca="false">IF(AND(p_aplicar_feriados=1,D82&lt;&gt;""),0,C82)</f>
        <v>0</v>
      </c>
      <c r="F82" s="19" t="n">
        <f aca="false">E82*p_horas_productivas_dia</f>
        <v>0</v>
      </c>
      <c r="G82" s="4" t="s">
        <v>30</v>
      </c>
    </row>
    <row r="83" customFormat="false" ht="15" hidden="false" customHeight="false" outlineLevel="0" collapsed="false">
      <c r="A83" s="18" t="n">
        <v>45739</v>
      </c>
      <c r="B83" s="9" t="n">
        <f aca="false">WEEKDAY(A83,2)</f>
        <v>7</v>
      </c>
      <c r="C83" s="3" t="n">
        <v>0</v>
      </c>
      <c r="E83" s="9" t="n">
        <f aca="false">IF(AND(p_aplicar_feriados=1,D83&lt;&gt;""),0,C83)</f>
        <v>0</v>
      </c>
      <c r="F83" s="19" t="n">
        <f aca="false">E83*p_horas_productivas_dia</f>
        <v>0</v>
      </c>
      <c r="G83" s="4" t="s">
        <v>30</v>
      </c>
    </row>
    <row r="84" customFormat="false" ht="15" hidden="false" customHeight="false" outlineLevel="0" collapsed="false">
      <c r="A84" s="18" t="n">
        <v>45740</v>
      </c>
      <c r="B84" s="9" t="n">
        <f aca="false">WEEKDAY(A84,2)</f>
        <v>1</v>
      </c>
      <c r="C84" s="3" t="n">
        <v>1</v>
      </c>
      <c r="E84" s="9" t="n">
        <f aca="false">IF(AND(p_aplicar_feriados=1,D84&lt;&gt;""),0,C84)</f>
        <v>1</v>
      </c>
      <c r="F84" s="19" t="n">
        <f aca="false">E84*p_horas_productivas_dia</f>
        <v>8</v>
      </c>
      <c r="G84" s="4" t="s">
        <v>30</v>
      </c>
    </row>
    <row r="85" customFormat="false" ht="15" hidden="false" customHeight="false" outlineLevel="0" collapsed="false">
      <c r="A85" s="18" t="n">
        <v>45741</v>
      </c>
      <c r="B85" s="9" t="n">
        <f aca="false">WEEKDAY(A85,2)</f>
        <v>2</v>
      </c>
      <c r="C85" s="3" t="n">
        <v>1</v>
      </c>
      <c r="E85" s="9" t="n">
        <f aca="false">IF(AND(p_aplicar_feriados=1,D85&lt;&gt;""),0,C85)</f>
        <v>1</v>
      </c>
      <c r="F85" s="19" t="n">
        <f aca="false">E85*p_horas_productivas_dia</f>
        <v>8</v>
      </c>
      <c r="G85" s="4" t="s">
        <v>30</v>
      </c>
    </row>
    <row r="86" customFormat="false" ht="15" hidden="false" customHeight="false" outlineLevel="0" collapsed="false">
      <c r="A86" s="18" t="n">
        <v>45742</v>
      </c>
      <c r="B86" s="9" t="n">
        <f aca="false">WEEKDAY(A86,2)</f>
        <v>3</v>
      </c>
      <c r="C86" s="3" t="n">
        <v>1</v>
      </c>
      <c r="E86" s="9" t="n">
        <f aca="false">IF(AND(p_aplicar_feriados=1,D86&lt;&gt;""),0,C86)</f>
        <v>1</v>
      </c>
      <c r="F86" s="19" t="n">
        <f aca="false">E86*p_horas_productivas_dia</f>
        <v>8</v>
      </c>
      <c r="G86" s="4" t="s">
        <v>30</v>
      </c>
    </row>
    <row r="87" customFormat="false" ht="15" hidden="false" customHeight="false" outlineLevel="0" collapsed="false">
      <c r="A87" s="18" t="n">
        <v>45743</v>
      </c>
      <c r="B87" s="9" t="n">
        <f aca="false">WEEKDAY(A87,2)</f>
        <v>4</v>
      </c>
      <c r="C87" s="3" t="n">
        <v>1</v>
      </c>
      <c r="E87" s="9" t="n">
        <f aca="false">IF(AND(p_aplicar_feriados=1,D87&lt;&gt;""),0,C87)</f>
        <v>1</v>
      </c>
      <c r="F87" s="19" t="n">
        <f aca="false">E87*p_horas_productivas_dia</f>
        <v>8</v>
      </c>
      <c r="G87" s="4" t="s">
        <v>30</v>
      </c>
    </row>
    <row r="88" customFormat="false" ht="15" hidden="false" customHeight="false" outlineLevel="0" collapsed="false">
      <c r="A88" s="18" t="n">
        <v>45744</v>
      </c>
      <c r="B88" s="9" t="n">
        <f aca="false">WEEKDAY(A88,2)</f>
        <v>5</v>
      </c>
      <c r="C88" s="3" t="n">
        <v>1</v>
      </c>
      <c r="E88" s="9" t="n">
        <f aca="false">IF(AND(p_aplicar_feriados=1,D88&lt;&gt;""),0,C88)</f>
        <v>1</v>
      </c>
      <c r="F88" s="19" t="n">
        <f aca="false">E88*p_horas_productivas_dia</f>
        <v>8</v>
      </c>
      <c r="G88" s="4" t="s">
        <v>30</v>
      </c>
    </row>
    <row r="89" customFormat="false" ht="15" hidden="false" customHeight="false" outlineLevel="0" collapsed="false">
      <c r="A89" s="18" t="n">
        <v>45745</v>
      </c>
      <c r="B89" s="9" t="n">
        <f aca="false">WEEKDAY(A89,2)</f>
        <v>6</v>
      </c>
      <c r="C89" s="3" t="n">
        <v>0</v>
      </c>
      <c r="E89" s="9" t="n">
        <f aca="false">IF(AND(p_aplicar_feriados=1,D89&lt;&gt;""),0,C89)</f>
        <v>0</v>
      </c>
      <c r="F89" s="19" t="n">
        <f aca="false">E89*p_horas_productivas_dia</f>
        <v>0</v>
      </c>
      <c r="G89" s="4" t="s">
        <v>30</v>
      </c>
    </row>
    <row r="90" customFormat="false" ht="15" hidden="false" customHeight="false" outlineLevel="0" collapsed="false">
      <c r="A90" s="18" t="n">
        <v>45746</v>
      </c>
      <c r="B90" s="9" t="n">
        <f aca="false">WEEKDAY(A90,2)</f>
        <v>7</v>
      </c>
      <c r="C90" s="3" t="n">
        <v>0</v>
      </c>
      <c r="E90" s="9" t="n">
        <f aca="false">IF(AND(p_aplicar_feriados=1,D90&lt;&gt;""),0,C90)</f>
        <v>0</v>
      </c>
      <c r="F90" s="19" t="n">
        <f aca="false">E90*p_horas_productivas_dia</f>
        <v>0</v>
      </c>
      <c r="G90" s="4" t="s">
        <v>30</v>
      </c>
    </row>
    <row r="91" customFormat="false" ht="15" hidden="false" customHeight="false" outlineLevel="0" collapsed="false">
      <c r="A91" s="18" t="n">
        <v>45747</v>
      </c>
      <c r="B91" s="9" t="n">
        <f aca="false">WEEKDAY(A91,2)</f>
        <v>1</v>
      </c>
      <c r="C91" s="3" t="n">
        <v>1</v>
      </c>
      <c r="E91" s="9" t="n">
        <f aca="false">IF(AND(p_aplicar_feriados=1,D91&lt;&gt;""),0,C91)</f>
        <v>1</v>
      </c>
      <c r="F91" s="19" t="n">
        <f aca="false">E91*p_horas_productivas_dia</f>
        <v>8</v>
      </c>
      <c r="G91" s="4" t="s">
        <v>30</v>
      </c>
    </row>
    <row r="92" customFormat="false" ht="15" hidden="false" customHeight="false" outlineLevel="0" collapsed="false">
      <c r="A92" s="18" t="n">
        <v>45748</v>
      </c>
      <c r="B92" s="9" t="n">
        <f aca="false">WEEKDAY(A92,2)</f>
        <v>2</v>
      </c>
      <c r="C92" s="3" t="n">
        <v>1</v>
      </c>
      <c r="E92" s="9" t="n">
        <f aca="false">IF(AND(p_aplicar_feriados=1,D92&lt;&gt;""),0,C92)</f>
        <v>1</v>
      </c>
      <c r="F92" s="19" t="n">
        <f aca="false">E92*p_horas_productivas_dia</f>
        <v>8</v>
      </c>
      <c r="G92" s="4" t="s">
        <v>30</v>
      </c>
    </row>
    <row r="93" customFormat="false" ht="15" hidden="false" customHeight="false" outlineLevel="0" collapsed="false">
      <c r="A93" s="18" t="n">
        <v>45749</v>
      </c>
      <c r="B93" s="9" t="n">
        <f aca="false">WEEKDAY(A93,2)</f>
        <v>3</v>
      </c>
      <c r="C93" s="3" t="n">
        <v>1</v>
      </c>
      <c r="E93" s="9" t="n">
        <f aca="false">IF(AND(p_aplicar_feriados=1,D93&lt;&gt;""),0,C93)</f>
        <v>1</v>
      </c>
      <c r="F93" s="19" t="n">
        <f aca="false">E93*p_horas_productivas_dia</f>
        <v>8</v>
      </c>
      <c r="G93" s="4" t="s">
        <v>30</v>
      </c>
    </row>
    <row r="94" customFormat="false" ht="15" hidden="false" customHeight="false" outlineLevel="0" collapsed="false">
      <c r="A94" s="18" t="n">
        <v>45750</v>
      </c>
      <c r="B94" s="9" t="n">
        <f aca="false">WEEKDAY(A94,2)</f>
        <v>4</v>
      </c>
      <c r="C94" s="3" t="n">
        <v>1</v>
      </c>
      <c r="E94" s="9" t="n">
        <f aca="false">IF(AND(p_aplicar_feriados=1,D94&lt;&gt;""),0,C94)</f>
        <v>1</v>
      </c>
      <c r="F94" s="19" t="n">
        <f aca="false">E94*p_horas_productivas_dia</f>
        <v>8</v>
      </c>
      <c r="G94" s="4" t="s">
        <v>30</v>
      </c>
    </row>
    <row r="95" customFormat="false" ht="15" hidden="false" customHeight="false" outlineLevel="0" collapsed="false">
      <c r="A95" s="18" t="n">
        <v>45751</v>
      </c>
      <c r="B95" s="9" t="n">
        <f aca="false">WEEKDAY(A95,2)</f>
        <v>5</v>
      </c>
      <c r="C95" s="3" t="n">
        <v>1</v>
      </c>
      <c r="E95" s="9" t="n">
        <f aca="false">IF(AND(p_aplicar_feriados=1,D95&lt;&gt;""),0,C95)</f>
        <v>1</v>
      </c>
      <c r="F95" s="19" t="n">
        <f aca="false">E95*p_horas_productivas_dia</f>
        <v>8</v>
      </c>
      <c r="G95" s="4" t="s">
        <v>30</v>
      </c>
    </row>
    <row r="96" customFormat="false" ht="15" hidden="false" customHeight="false" outlineLevel="0" collapsed="false">
      <c r="A96" s="18" t="n">
        <v>45752</v>
      </c>
      <c r="B96" s="9" t="n">
        <f aca="false">WEEKDAY(A96,2)</f>
        <v>6</v>
      </c>
      <c r="C96" s="3" t="n">
        <v>0</v>
      </c>
      <c r="E96" s="9" t="n">
        <f aca="false">IF(AND(p_aplicar_feriados=1,D96&lt;&gt;""),0,C96)</f>
        <v>0</v>
      </c>
      <c r="F96" s="19" t="n">
        <f aca="false">E96*p_horas_productivas_dia</f>
        <v>0</v>
      </c>
      <c r="G96" s="4" t="s">
        <v>30</v>
      </c>
    </row>
    <row r="97" customFormat="false" ht="15" hidden="false" customHeight="false" outlineLevel="0" collapsed="false">
      <c r="A97" s="18" t="n">
        <v>45753</v>
      </c>
      <c r="B97" s="9" t="n">
        <f aca="false">WEEKDAY(A97,2)</f>
        <v>7</v>
      </c>
      <c r="C97" s="3" t="n">
        <v>0</v>
      </c>
      <c r="E97" s="9" t="n">
        <f aca="false">IF(AND(p_aplicar_feriados=1,D97&lt;&gt;""),0,C97)</f>
        <v>0</v>
      </c>
      <c r="F97" s="19" t="n">
        <f aca="false">E97*p_horas_productivas_dia</f>
        <v>0</v>
      </c>
      <c r="G97" s="4" t="s">
        <v>30</v>
      </c>
    </row>
    <row r="98" customFormat="false" ht="15" hidden="false" customHeight="false" outlineLevel="0" collapsed="false">
      <c r="A98" s="18" t="n">
        <v>45754</v>
      </c>
      <c r="B98" s="9" t="n">
        <f aca="false">WEEKDAY(A98,2)</f>
        <v>1</v>
      </c>
      <c r="C98" s="3" t="n">
        <v>1</v>
      </c>
      <c r="E98" s="9" t="n">
        <f aca="false">IF(AND(p_aplicar_feriados=1,D98&lt;&gt;""),0,C98)</f>
        <v>1</v>
      </c>
      <c r="F98" s="19" t="n">
        <f aca="false">E98*p_horas_productivas_dia</f>
        <v>8</v>
      </c>
      <c r="G98" s="4" t="s">
        <v>30</v>
      </c>
    </row>
    <row r="99" customFormat="false" ht="15" hidden="false" customHeight="false" outlineLevel="0" collapsed="false">
      <c r="A99" s="18" t="n">
        <v>45755</v>
      </c>
      <c r="B99" s="9" t="n">
        <f aca="false">WEEKDAY(A99,2)</f>
        <v>2</v>
      </c>
      <c r="C99" s="3" t="n">
        <v>1</v>
      </c>
      <c r="E99" s="9" t="n">
        <f aca="false">IF(AND(p_aplicar_feriados=1,D99&lt;&gt;""),0,C99)</f>
        <v>1</v>
      </c>
      <c r="F99" s="19" t="n">
        <f aca="false">E99*p_horas_productivas_dia</f>
        <v>8</v>
      </c>
      <c r="G99" s="4" t="s">
        <v>30</v>
      </c>
    </row>
    <row r="100" customFormat="false" ht="15" hidden="false" customHeight="false" outlineLevel="0" collapsed="false">
      <c r="A100" s="18" t="n">
        <v>45756</v>
      </c>
      <c r="B100" s="9" t="n">
        <f aca="false">WEEKDAY(A100,2)</f>
        <v>3</v>
      </c>
      <c r="C100" s="3" t="n">
        <v>1</v>
      </c>
      <c r="E100" s="9" t="n">
        <f aca="false">IF(AND(p_aplicar_feriados=1,D100&lt;&gt;""),0,C100)</f>
        <v>1</v>
      </c>
      <c r="F100" s="19" t="n">
        <f aca="false">E100*p_horas_productivas_dia</f>
        <v>8</v>
      </c>
      <c r="G100" s="4" t="s">
        <v>30</v>
      </c>
    </row>
    <row r="101" customFormat="false" ht="15" hidden="false" customHeight="false" outlineLevel="0" collapsed="false">
      <c r="A101" s="18" t="n">
        <v>45757</v>
      </c>
      <c r="B101" s="9" t="n">
        <f aca="false">WEEKDAY(A101,2)</f>
        <v>4</v>
      </c>
      <c r="C101" s="3" t="n">
        <v>1</v>
      </c>
      <c r="E101" s="9" t="n">
        <f aca="false">IF(AND(p_aplicar_feriados=1,D101&lt;&gt;""),0,C101)</f>
        <v>1</v>
      </c>
      <c r="F101" s="19" t="n">
        <f aca="false">E101*p_horas_productivas_dia</f>
        <v>8</v>
      </c>
      <c r="G101" s="4" t="s">
        <v>30</v>
      </c>
    </row>
    <row r="102" customFormat="false" ht="15" hidden="false" customHeight="false" outlineLevel="0" collapsed="false">
      <c r="A102" s="18" t="n">
        <v>45758</v>
      </c>
      <c r="B102" s="9" t="n">
        <f aca="false">WEEKDAY(A102,2)</f>
        <v>5</v>
      </c>
      <c r="C102" s="3" t="n">
        <v>1</v>
      </c>
      <c r="E102" s="9" t="n">
        <f aca="false">IF(AND(p_aplicar_feriados=1,D102&lt;&gt;""),0,C102)</f>
        <v>1</v>
      </c>
      <c r="F102" s="19" t="n">
        <f aca="false">E102*p_horas_productivas_dia</f>
        <v>8</v>
      </c>
      <c r="G102" s="4" t="s">
        <v>30</v>
      </c>
    </row>
    <row r="103" customFormat="false" ht="15" hidden="false" customHeight="false" outlineLevel="0" collapsed="false">
      <c r="A103" s="18" t="n">
        <v>45759</v>
      </c>
      <c r="B103" s="9" t="n">
        <f aca="false">WEEKDAY(A103,2)</f>
        <v>6</v>
      </c>
      <c r="C103" s="3" t="n">
        <v>0</v>
      </c>
      <c r="E103" s="9" t="n">
        <f aca="false">IF(AND(p_aplicar_feriados=1,D103&lt;&gt;""),0,C103)</f>
        <v>0</v>
      </c>
      <c r="F103" s="19" t="n">
        <f aca="false">E103*p_horas_productivas_dia</f>
        <v>0</v>
      </c>
      <c r="G103" s="4" t="s">
        <v>30</v>
      </c>
    </row>
    <row r="104" customFormat="false" ht="15" hidden="false" customHeight="false" outlineLevel="0" collapsed="false">
      <c r="A104" s="18" t="n">
        <v>45760</v>
      </c>
      <c r="B104" s="9" t="n">
        <f aca="false">WEEKDAY(A104,2)</f>
        <v>7</v>
      </c>
      <c r="C104" s="3" t="n">
        <v>0</v>
      </c>
      <c r="E104" s="9" t="n">
        <f aca="false">IF(AND(p_aplicar_feriados=1,D104&lt;&gt;""),0,C104)</f>
        <v>0</v>
      </c>
      <c r="F104" s="19" t="n">
        <f aca="false">E104*p_horas_productivas_dia</f>
        <v>0</v>
      </c>
      <c r="G104" s="4" t="s">
        <v>30</v>
      </c>
    </row>
    <row r="105" customFormat="false" ht="15" hidden="false" customHeight="false" outlineLevel="0" collapsed="false">
      <c r="A105" s="18" t="n">
        <v>45761</v>
      </c>
      <c r="B105" s="9" t="n">
        <f aca="false">WEEKDAY(A105,2)</f>
        <v>1</v>
      </c>
      <c r="C105" s="3" t="n">
        <v>1</v>
      </c>
      <c r="E105" s="9" t="n">
        <f aca="false">IF(AND(p_aplicar_feriados=1,D105&lt;&gt;""),0,C105)</f>
        <v>1</v>
      </c>
      <c r="F105" s="19" t="n">
        <f aca="false">E105*p_horas_productivas_dia</f>
        <v>8</v>
      </c>
      <c r="G105" s="4" t="s">
        <v>30</v>
      </c>
    </row>
    <row r="106" customFormat="false" ht="15" hidden="false" customHeight="false" outlineLevel="0" collapsed="false">
      <c r="A106" s="18" t="n">
        <v>45762</v>
      </c>
      <c r="B106" s="9" t="n">
        <f aca="false">WEEKDAY(A106,2)</f>
        <v>2</v>
      </c>
      <c r="C106" s="3" t="n">
        <v>1</v>
      </c>
      <c r="E106" s="9" t="n">
        <f aca="false">IF(AND(p_aplicar_feriados=1,D106&lt;&gt;""),0,C106)</f>
        <v>1</v>
      </c>
      <c r="F106" s="19" t="n">
        <f aca="false">E106*p_horas_productivas_dia</f>
        <v>8</v>
      </c>
      <c r="G106" s="4" t="s">
        <v>30</v>
      </c>
    </row>
    <row r="107" customFormat="false" ht="15" hidden="false" customHeight="false" outlineLevel="0" collapsed="false">
      <c r="A107" s="18" t="n">
        <v>45763</v>
      </c>
      <c r="B107" s="9" t="n">
        <f aca="false">WEEKDAY(A107,2)</f>
        <v>3</v>
      </c>
      <c r="C107" s="3" t="n">
        <v>1</v>
      </c>
      <c r="E107" s="9" t="n">
        <f aca="false">IF(AND(p_aplicar_feriados=1,D107&lt;&gt;""),0,C107)</f>
        <v>1</v>
      </c>
      <c r="F107" s="19" t="n">
        <f aca="false">E107*p_horas_productivas_dia</f>
        <v>8</v>
      </c>
      <c r="G107" s="4" t="s">
        <v>30</v>
      </c>
    </row>
    <row r="108" customFormat="false" ht="15" hidden="false" customHeight="false" outlineLevel="0" collapsed="false">
      <c r="A108" s="18" t="n">
        <v>45764</v>
      </c>
      <c r="B108" s="9" t="n">
        <f aca="false">WEEKDAY(A108,2)</f>
        <v>4</v>
      </c>
      <c r="C108" s="3" t="n">
        <v>1</v>
      </c>
      <c r="D108" s="4" t="s">
        <v>962</v>
      </c>
      <c r="E108" s="9" t="n">
        <f aca="false">IF(AND(p_aplicar_feriados=1,D108&lt;&gt;""),0,C108)</f>
        <v>1</v>
      </c>
      <c r="F108" s="19" t="n">
        <f aca="false">E108*p_horas_productivas_dia</f>
        <v>8</v>
      </c>
      <c r="G108" s="4" t="s">
        <v>30</v>
      </c>
    </row>
    <row r="109" customFormat="false" ht="15" hidden="false" customHeight="false" outlineLevel="0" collapsed="false">
      <c r="A109" s="18" t="n">
        <v>45765</v>
      </c>
      <c r="B109" s="9" t="n">
        <f aca="false">WEEKDAY(A109,2)</f>
        <v>5</v>
      </c>
      <c r="C109" s="3" t="n">
        <v>1</v>
      </c>
      <c r="D109" s="4" t="s">
        <v>963</v>
      </c>
      <c r="E109" s="9" t="n">
        <f aca="false">IF(AND(p_aplicar_feriados=1,D109&lt;&gt;""),0,C109)</f>
        <v>1</v>
      </c>
      <c r="F109" s="19" t="n">
        <f aca="false">E109*p_horas_productivas_dia</f>
        <v>8</v>
      </c>
      <c r="G109" s="4" t="s">
        <v>30</v>
      </c>
    </row>
    <row r="110" customFormat="false" ht="15" hidden="false" customHeight="false" outlineLevel="0" collapsed="false">
      <c r="A110" s="18" t="n">
        <v>45766</v>
      </c>
      <c r="B110" s="9" t="n">
        <f aca="false">WEEKDAY(A110,2)</f>
        <v>6</v>
      </c>
      <c r="C110" s="3" t="n">
        <v>0</v>
      </c>
      <c r="E110" s="9" t="n">
        <f aca="false">IF(AND(p_aplicar_feriados=1,D110&lt;&gt;""),0,C110)</f>
        <v>0</v>
      </c>
      <c r="F110" s="19" t="n">
        <f aca="false">E110*p_horas_productivas_dia</f>
        <v>0</v>
      </c>
      <c r="G110" s="4" t="s">
        <v>30</v>
      </c>
    </row>
    <row r="111" customFormat="false" ht="15" hidden="false" customHeight="false" outlineLevel="0" collapsed="false">
      <c r="A111" s="18" t="n">
        <v>45767</v>
      </c>
      <c r="B111" s="9" t="n">
        <f aca="false">WEEKDAY(A111,2)</f>
        <v>7</v>
      </c>
      <c r="C111" s="3" t="n">
        <v>0</v>
      </c>
      <c r="E111" s="9" t="n">
        <f aca="false">IF(AND(p_aplicar_feriados=1,D111&lt;&gt;""),0,C111)</f>
        <v>0</v>
      </c>
      <c r="F111" s="19" t="n">
        <f aca="false">E111*p_horas_productivas_dia</f>
        <v>0</v>
      </c>
      <c r="G111" s="4" t="s">
        <v>30</v>
      </c>
    </row>
    <row r="112" customFormat="false" ht="15" hidden="false" customHeight="false" outlineLevel="0" collapsed="false">
      <c r="A112" s="18" t="n">
        <v>45768</v>
      </c>
      <c r="B112" s="9" t="n">
        <f aca="false">WEEKDAY(A112,2)</f>
        <v>1</v>
      </c>
      <c r="C112" s="3" t="n">
        <v>1</v>
      </c>
      <c r="E112" s="9" t="n">
        <f aca="false">IF(AND(p_aplicar_feriados=1,D112&lt;&gt;""),0,C112)</f>
        <v>1</v>
      </c>
      <c r="F112" s="19" t="n">
        <f aca="false">E112*p_horas_productivas_dia</f>
        <v>8</v>
      </c>
      <c r="G112" s="4" t="s">
        <v>30</v>
      </c>
    </row>
    <row r="113" customFormat="false" ht="15" hidden="false" customHeight="false" outlineLevel="0" collapsed="false">
      <c r="A113" s="18" t="n">
        <v>45769</v>
      </c>
      <c r="B113" s="9" t="n">
        <f aca="false">WEEKDAY(A113,2)</f>
        <v>2</v>
      </c>
      <c r="C113" s="3" t="n">
        <v>1</v>
      </c>
      <c r="E113" s="9" t="n">
        <f aca="false">IF(AND(p_aplicar_feriados=1,D113&lt;&gt;""),0,C113)</f>
        <v>1</v>
      </c>
      <c r="F113" s="19" t="n">
        <f aca="false">E113*p_horas_productivas_dia</f>
        <v>8</v>
      </c>
      <c r="G113" s="4" t="s">
        <v>30</v>
      </c>
    </row>
    <row r="114" customFormat="false" ht="15" hidden="false" customHeight="false" outlineLevel="0" collapsed="false">
      <c r="A114" s="18" t="n">
        <v>45770</v>
      </c>
      <c r="B114" s="9" t="n">
        <f aca="false">WEEKDAY(A114,2)</f>
        <v>3</v>
      </c>
      <c r="C114" s="3" t="n">
        <v>1</v>
      </c>
      <c r="E114" s="9" t="n">
        <f aca="false">IF(AND(p_aplicar_feriados=1,D114&lt;&gt;""),0,C114)</f>
        <v>1</v>
      </c>
      <c r="F114" s="19" t="n">
        <f aca="false">E114*p_horas_productivas_dia</f>
        <v>8</v>
      </c>
      <c r="G114" s="4" t="s">
        <v>30</v>
      </c>
    </row>
    <row r="115" customFormat="false" ht="15" hidden="false" customHeight="false" outlineLevel="0" collapsed="false">
      <c r="A115" s="18" t="n">
        <v>45771</v>
      </c>
      <c r="B115" s="9" t="n">
        <f aca="false">WEEKDAY(A115,2)</f>
        <v>4</v>
      </c>
      <c r="C115" s="3" t="n">
        <v>1</v>
      </c>
      <c r="E115" s="9" t="n">
        <f aca="false">IF(AND(p_aplicar_feriados=1,D115&lt;&gt;""),0,C115)</f>
        <v>1</v>
      </c>
      <c r="F115" s="19" t="n">
        <f aca="false">E115*p_horas_productivas_dia</f>
        <v>8</v>
      </c>
      <c r="G115" s="4" t="s">
        <v>30</v>
      </c>
    </row>
    <row r="116" customFormat="false" ht="15" hidden="false" customHeight="false" outlineLevel="0" collapsed="false">
      <c r="A116" s="18" t="n">
        <v>45772</v>
      </c>
      <c r="B116" s="9" t="n">
        <f aca="false">WEEKDAY(A116,2)</f>
        <v>5</v>
      </c>
      <c r="C116" s="3" t="n">
        <v>1</v>
      </c>
      <c r="E116" s="9" t="n">
        <f aca="false">IF(AND(p_aplicar_feriados=1,D116&lt;&gt;""),0,C116)</f>
        <v>1</v>
      </c>
      <c r="F116" s="19" t="n">
        <f aca="false">E116*p_horas_productivas_dia</f>
        <v>8</v>
      </c>
      <c r="G116" s="4" t="s">
        <v>30</v>
      </c>
    </row>
    <row r="117" customFormat="false" ht="15" hidden="false" customHeight="false" outlineLevel="0" collapsed="false">
      <c r="A117" s="18" t="n">
        <v>45773</v>
      </c>
      <c r="B117" s="9" t="n">
        <f aca="false">WEEKDAY(A117,2)</f>
        <v>6</v>
      </c>
      <c r="C117" s="3" t="n">
        <v>0</v>
      </c>
      <c r="E117" s="9" t="n">
        <f aca="false">IF(AND(p_aplicar_feriados=1,D117&lt;&gt;""),0,C117)</f>
        <v>0</v>
      </c>
      <c r="F117" s="19" t="n">
        <f aca="false">E117*p_horas_productivas_dia</f>
        <v>0</v>
      </c>
      <c r="G117" s="4" t="s">
        <v>30</v>
      </c>
    </row>
    <row r="118" customFormat="false" ht="15" hidden="false" customHeight="false" outlineLevel="0" collapsed="false">
      <c r="A118" s="18" t="n">
        <v>45774</v>
      </c>
      <c r="B118" s="9" t="n">
        <f aca="false">WEEKDAY(A118,2)</f>
        <v>7</v>
      </c>
      <c r="C118" s="3" t="n">
        <v>0</v>
      </c>
      <c r="E118" s="9" t="n">
        <f aca="false">IF(AND(p_aplicar_feriados=1,D118&lt;&gt;""),0,C118)</f>
        <v>0</v>
      </c>
      <c r="F118" s="19" t="n">
        <f aca="false">E118*p_horas_productivas_dia</f>
        <v>0</v>
      </c>
      <c r="G118" s="4" t="s">
        <v>30</v>
      </c>
    </row>
    <row r="119" customFormat="false" ht="15" hidden="false" customHeight="false" outlineLevel="0" collapsed="false">
      <c r="A119" s="18" t="n">
        <v>45775</v>
      </c>
      <c r="B119" s="9" t="n">
        <f aca="false">WEEKDAY(A119,2)</f>
        <v>1</v>
      </c>
      <c r="C119" s="3" t="n">
        <v>1</v>
      </c>
      <c r="E119" s="9" t="n">
        <f aca="false">IF(AND(p_aplicar_feriados=1,D119&lt;&gt;""),0,C119)</f>
        <v>1</v>
      </c>
      <c r="F119" s="19" t="n">
        <f aca="false">E119*p_horas_productivas_dia</f>
        <v>8</v>
      </c>
      <c r="G119" s="4" t="s">
        <v>30</v>
      </c>
    </row>
    <row r="120" customFormat="false" ht="15" hidden="false" customHeight="false" outlineLevel="0" collapsed="false">
      <c r="A120" s="18" t="n">
        <v>45776</v>
      </c>
      <c r="B120" s="9" t="n">
        <f aca="false">WEEKDAY(A120,2)</f>
        <v>2</v>
      </c>
      <c r="C120" s="3" t="n">
        <v>1</v>
      </c>
      <c r="E120" s="9" t="n">
        <f aca="false">IF(AND(p_aplicar_feriados=1,D120&lt;&gt;""),0,C120)</f>
        <v>1</v>
      </c>
      <c r="F120" s="19" t="n">
        <f aca="false">E120*p_horas_productivas_dia</f>
        <v>8</v>
      </c>
      <c r="G120" s="4" t="s">
        <v>30</v>
      </c>
    </row>
    <row r="121" customFormat="false" ht="15" hidden="false" customHeight="false" outlineLevel="0" collapsed="false">
      <c r="A121" s="18" t="n">
        <v>45777</v>
      </c>
      <c r="B121" s="9" t="n">
        <f aca="false">WEEKDAY(A121,2)</f>
        <v>3</v>
      </c>
      <c r="C121" s="3" t="n">
        <v>1</v>
      </c>
      <c r="E121" s="9" t="n">
        <f aca="false">IF(AND(p_aplicar_feriados=1,D121&lt;&gt;""),0,C121)</f>
        <v>1</v>
      </c>
      <c r="F121" s="19" t="n">
        <f aca="false">E121*p_horas_productivas_dia</f>
        <v>8</v>
      </c>
      <c r="G121" s="4" t="s">
        <v>30</v>
      </c>
    </row>
    <row r="122" customFormat="false" ht="15" hidden="false" customHeight="false" outlineLevel="0" collapsed="false">
      <c r="A122" s="18" t="n">
        <v>45778</v>
      </c>
      <c r="B122" s="9" t="n">
        <f aca="false">WEEKDAY(A122,2)</f>
        <v>4</v>
      </c>
      <c r="C122" s="3" t="n">
        <v>1</v>
      </c>
      <c r="D122" s="4" t="s">
        <v>964</v>
      </c>
      <c r="E122" s="9" t="n">
        <f aca="false">IF(AND(p_aplicar_feriados=1,D122&lt;&gt;""),0,C122)</f>
        <v>1</v>
      </c>
      <c r="F122" s="19" t="n">
        <f aca="false">E122*p_horas_productivas_dia</f>
        <v>8</v>
      </c>
      <c r="G122" s="4" t="s">
        <v>30</v>
      </c>
    </row>
    <row r="123" customFormat="false" ht="15" hidden="false" customHeight="false" outlineLevel="0" collapsed="false">
      <c r="A123" s="18" t="n">
        <v>45779</v>
      </c>
      <c r="B123" s="9" t="n">
        <f aca="false">WEEKDAY(A123,2)</f>
        <v>5</v>
      </c>
      <c r="C123" s="3" t="n">
        <v>1</v>
      </c>
      <c r="E123" s="9" t="n">
        <f aca="false">IF(AND(p_aplicar_feriados=1,D123&lt;&gt;""),0,C123)</f>
        <v>1</v>
      </c>
      <c r="F123" s="19" t="n">
        <f aca="false">E123*p_horas_productivas_dia</f>
        <v>8</v>
      </c>
      <c r="G123" s="4" t="s">
        <v>30</v>
      </c>
    </row>
    <row r="124" customFormat="false" ht="15" hidden="false" customHeight="false" outlineLevel="0" collapsed="false">
      <c r="A124" s="18" t="n">
        <v>45780</v>
      </c>
      <c r="B124" s="9" t="n">
        <f aca="false">WEEKDAY(A124,2)</f>
        <v>6</v>
      </c>
      <c r="C124" s="3" t="n">
        <v>0</v>
      </c>
      <c r="E124" s="9" t="n">
        <f aca="false">IF(AND(p_aplicar_feriados=1,D124&lt;&gt;""),0,C124)</f>
        <v>0</v>
      </c>
      <c r="F124" s="19" t="n">
        <f aca="false">E124*p_horas_productivas_dia</f>
        <v>0</v>
      </c>
      <c r="G124" s="4" t="s">
        <v>30</v>
      </c>
    </row>
    <row r="125" customFormat="false" ht="15" hidden="false" customHeight="false" outlineLevel="0" collapsed="false">
      <c r="A125" s="18" t="n">
        <v>45781</v>
      </c>
      <c r="B125" s="9" t="n">
        <f aca="false">WEEKDAY(A125,2)</f>
        <v>7</v>
      </c>
      <c r="C125" s="3" t="n">
        <v>0</v>
      </c>
      <c r="E125" s="9" t="n">
        <f aca="false">IF(AND(p_aplicar_feriados=1,D125&lt;&gt;""),0,C125)</f>
        <v>0</v>
      </c>
      <c r="F125" s="19" t="n">
        <f aca="false">E125*p_horas_productivas_dia</f>
        <v>0</v>
      </c>
      <c r="G125" s="4" t="s">
        <v>30</v>
      </c>
    </row>
    <row r="126" customFormat="false" ht="15" hidden="false" customHeight="false" outlineLevel="0" collapsed="false">
      <c r="A126" s="18" t="n">
        <v>45782</v>
      </c>
      <c r="B126" s="9" t="n">
        <f aca="false">WEEKDAY(A126,2)</f>
        <v>1</v>
      </c>
      <c r="C126" s="3" t="n">
        <v>1</v>
      </c>
      <c r="E126" s="9" t="n">
        <f aca="false">IF(AND(p_aplicar_feriados=1,D126&lt;&gt;""),0,C126)</f>
        <v>1</v>
      </c>
      <c r="F126" s="19" t="n">
        <f aca="false">E126*p_horas_productivas_dia</f>
        <v>8</v>
      </c>
      <c r="G126" s="4" t="s">
        <v>30</v>
      </c>
    </row>
    <row r="127" customFormat="false" ht="15" hidden="false" customHeight="false" outlineLevel="0" collapsed="false">
      <c r="A127" s="18" t="n">
        <v>45783</v>
      </c>
      <c r="B127" s="9" t="n">
        <f aca="false">WEEKDAY(A127,2)</f>
        <v>2</v>
      </c>
      <c r="C127" s="3" t="n">
        <v>1</v>
      </c>
      <c r="E127" s="9" t="n">
        <f aca="false">IF(AND(p_aplicar_feriados=1,D127&lt;&gt;""),0,C127)</f>
        <v>1</v>
      </c>
      <c r="F127" s="19" t="n">
        <f aca="false">E127*p_horas_productivas_dia</f>
        <v>8</v>
      </c>
      <c r="G127" s="4" t="s">
        <v>30</v>
      </c>
    </row>
    <row r="128" customFormat="false" ht="15" hidden="false" customHeight="false" outlineLevel="0" collapsed="false">
      <c r="A128" s="18" t="n">
        <v>45784</v>
      </c>
      <c r="B128" s="9" t="n">
        <f aca="false">WEEKDAY(A128,2)</f>
        <v>3</v>
      </c>
      <c r="C128" s="3" t="n">
        <v>1</v>
      </c>
      <c r="E128" s="9" t="n">
        <f aca="false">IF(AND(p_aplicar_feriados=1,D128&lt;&gt;""),0,C128)</f>
        <v>1</v>
      </c>
      <c r="F128" s="19" t="n">
        <f aca="false">E128*p_horas_productivas_dia</f>
        <v>8</v>
      </c>
      <c r="G128" s="4" t="s">
        <v>30</v>
      </c>
    </row>
    <row r="129" customFormat="false" ht="15" hidden="false" customHeight="false" outlineLevel="0" collapsed="false">
      <c r="A129" s="18" t="n">
        <v>45785</v>
      </c>
      <c r="B129" s="9" t="n">
        <f aca="false">WEEKDAY(A129,2)</f>
        <v>4</v>
      </c>
      <c r="C129" s="3" t="n">
        <v>1</v>
      </c>
      <c r="E129" s="9" t="n">
        <f aca="false">IF(AND(p_aplicar_feriados=1,D129&lt;&gt;""),0,C129)</f>
        <v>1</v>
      </c>
      <c r="F129" s="19" t="n">
        <f aca="false">E129*p_horas_productivas_dia</f>
        <v>8</v>
      </c>
      <c r="G129" s="4" t="s">
        <v>30</v>
      </c>
    </row>
    <row r="130" customFormat="false" ht="15" hidden="false" customHeight="false" outlineLevel="0" collapsed="false">
      <c r="A130" s="18" t="n">
        <v>45786</v>
      </c>
      <c r="B130" s="9" t="n">
        <f aca="false">WEEKDAY(A130,2)</f>
        <v>5</v>
      </c>
      <c r="C130" s="3" t="n">
        <v>1</v>
      </c>
      <c r="E130" s="9" t="n">
        <f aca="false">IF(AND(p_aplicar_feriados=1,D130&lt;&gt;""),0,C130)</f>
        <v>1</v>
      </c>
      <c r="F130" s="19" t="n">
        <f aca="false">E130*p_horas_productivas_dia</f>
        <v>8</v>
      </c>
      <c r="G130" s="4" t="s">
        <v>30</v>
      </c>
    </row>
    <row r="131" customFormat="false" ht="15" hidden="false" customHeight="false" outlineLevel="0" collapsed="false">
      <c r="A131" s="18" t="n">
        <v>45787</v>
      </c>
      <c r="B131" s="9" t="n">
        <f aca="false">WEEKDAY(A131,2)</f>
        <v>6</v>
      </c>
      <c r="C131" s="3" t="n">
        <v>0</v>
      </c>
      <c r="E131" s="9" t="n">
        <f aca="false">IF(AND(p_aplicar_feriados=1,D131&lt;&gt;""),0,C131)</f>
        <v>0</v>
      </c>
      <c r="F131" s="19" t="n">
        <f aca="false">E131*p_horas_productivas_dia</f>
        <v>0</v>
      </c>
      <c r="G131" s="4" t="s">
        <v>30</v>
      </c>
    </row>
    <row r="132" customFormat="false" ht="15" hidden="false" customHeight="false" outlineLevel="0" collapsed="false">
      <c r="A132" s="18" t="n">
        <v>45788</v>
      </c>
      <c r="B132" s="9" t="n">
        <f aca="false">WEEKDAY(A132,2)</f>
        <v>7</v>
      </c>
      <c r="C132" s="3" t="n">
        <v>0</v>
      </c>
      <c r="E132" s="9" t="n">
        <f aca="false">IF(AND(p_aplicar_feriados=1,D132&lt;&gt;""),0,C132)</f>
        <v>0</v>
      </c>
      <c r="F132" s="19" t="n">
        <f aca="false">E132*p_horas_productivas_dia</f>
        <v>0</v>
      </c>
      <c r="G132" s="4" t="s">
        <v>30</v>
      </c>
    </row>
    <row r="133" customFormat="false" ht="15" hidden="false" customHeight="false" outlineLevel="0" collapsed="false">
      <c r="A133" s="18" t="n">
        <v>45789</v>
      </c>
      <c r="B133" s="9" t="n">
        <f aca="false">WEEKDAY(A133,2)</f>
        <v>1</v>
      </c>
      <c r="C133" s="3" t="n">
        <v>1</v>
      </c>
      <c r="E133" s="9" t="n">
        <f aca="false">IF(AND(p_aplicar_feriados=1,D133&lt;&gt;""),0,C133)</f>
        <v>1</v>
      </c>
      <c r="F133" s="19" t="n">
        <f aca="false">E133*p_horas_productivas_dia</f>
        <v>8</v>
      </c>
      <c r="G133" s="4" t="s">
        <v>30</v>
      </c>
    </row>
    <row r="134" customFormat="false" ht="15" hidden="false" customHeight="false" outlineLevel="0" collapsed="false">
      <c r="A134" s="18" t="n">
        <v>45790</v>
      </c>
      <c r="B134" s="9" t="n">
        <f aca="false">WEEKDAY(A134,2)</f>
        <v>2</v>
      </c>
      <c r="C134" s="3" t="n">
        <v>1</v>
      </c>
      <c r="E134" s="9" t="n">
        <f aca="false">IF(AND(p_aplicar_feriados=1,D134&lt;&gt;""),0,C134)</f>
        <v>1</v>
      </c>
      <c r="F134" s="19" t="n">
        <f aca="false">E134*p_horas_productivas_dia</f>
        <v>8</v>
      </c>
      <c r="G134" s="4" t="s">
        <v>30</v>
      </c>
    </row>
    <row r="135" customFormat="false" ht="15" hidden="false" customHeight="false" outlineLevel="0" collapsed="false">
      <c r="A135" s="18" t="n">
        <v>45791</v>
      </c>
      <c r="B135" s="9" t="n">
        <f aca="false">WEEKDAY(A135,2)</f>
        <v>3</v>
      </c>
      <c r="C135" s="3" t="n">
        <v>1</v>
      </c>
      <c r="E135" s="9" t="n">
        <f aca="false">IF(AND(p_aplicar_feriados=1,D135&lt;&gt;""),0,C135)</f>
        <v>1</v>
      </c>
      <c r="F135" s="19" t="n">
        <f aca="false">E135*p_horas_productivas_dia</f>
        <v>8</v>
      </c>
      <c r="G135" s="4" t="s">
        <v>30</v>
      </c>
    </row>
    <row r="136" customFormat="false" ht="15" hidden="false" customHeight="false" outlineLevel="0" collapsed="false">
      <c r="A136" s="18" t="n">
        <v>45792</v>
      </c>
      <c r="B136" s="9" t="n">
        <f aca="false">WEEKDAY(A136,2)</f>
        <v>4</v>
      </c>
      <c r="C136" s="3" t="n">
        <v>1</v>
      </c>
      <c r="E136" s="9" t="n">
        <f aca="false">IF(AND(p_aplicar_feriados=1,D136&lt;&gt;""),0,C136)</f>
        <v>1</v>
      </c>
      <c r="F136" s="19" t="n">
        <f aca="false">E136*p_horas_productivas_dia</f>
        <v>8</v>
      </c>
      <c r="G136" s="4" t="s">
        <v>30</v>
      </c>
    </row>
    <row r="137" customFormat="false" ht="15" hidden="false" customHeight="false" outlineLevel="0" collapsed="false">
      <c r="A137" s="18" t="n">
        <v>45793</v>
      </c>
      <c r="B137" s="9" t="n">
        <f aca="false">WEEKDAY(A137,2)</f>
        <v>5</v>
      </c>
      <c r="C137" s="3" t="n">
        <v>1</v>
      </c>
      <c r="E137" s="9" t="n">
        <f aca="false">IF(AND(p_aplicar_feriados=1,D137&lt;&gt;""),0,C137)</f>
        <v>1</v>
      </c>
      <c r="F137" s="19" t="n">
        <f aca="false">E137*p_horas_productivas_dia</f>
        <v>8</v>
      </c>
      <c r="G137" s="4" t="s">
        <v>30</v>
      </c>
    </row>
    <row r="138" customFormat="false" ht="15" hidden="false" customHeight="false" outlineLevel="0" collapsed="false">
      <c r="A138" s="18" t="n">
        <v>45794</v>
      </c>
      <c r="B138" s="9" t="n">
        <f aca="false">WEEKDAY(A138,2)</f>
        <v>6</v>
      </c>
      <c r="C138" s="3" t="n">
        <v>0</v>
      </c>
      <c r="E138" s="9" t="n">
        <f aca="false">IF(AND(p_aplicar_feriados=1,D138&lt;&gt;""),0,C138)</f>
        <v>0</v>
      </c>
      <c r="F138" s="19" t="n">
        <f aca="false">E138*p_horas_productivas_dia</f>
        <v>0</v>
      </c>
      <c r="G138" s="4" t="s">
        <v>30</v>
      </c>
    </row>
    <row r="139" customFormat="false" ht="15" hidden="false" customHeight="false" outlineLevel="0" collapsed="false">
      <c r="A139" s="18" t="n">
        <v>45795</v>
      </c>
      <c r="B139" s="9" t="n">
        <f aca="false">WEEKDAY(A139,2)</f>
        <v>7</v>
      </c>
      <c r="C139" s="3" t="n">
        <v>0</v>
      </c>
      <c r="E139" s="9" t="n">
        <f aca="false">IF(AND(p_aplicar_feriados=1,D139&lt;&gt;""),0,C139)</f>
        <v>0</v>
      </c>
      <c r="F139" s="19" t="n">
        <f aca="false">E139*p_horas_productivas_dia</f>
        <v>0</v>
      </c>
      <c r="G139" s="4" t="s">
        <v>30</v>
      </c>
    </row>
    <row r="140" customFormat="false" ht="15" hidden="false" customHeight="false" outlineLevel="0" collapsed="false">
      <c r="A140" s="18" t="n">
        <v>45796</v>
      </c>
      <c r="B140" s="9" t="n">
        <f aca="false">WEEKDAY(A140,2)</f>
        <v>1</v>
      </c>
      <c r="C140" s="3" t="n">
        <v>1</v>
      </c>
      <c r="E140" s="9" t="n">
        <f aca="false">IF(AND(p_aplicar_feriados=1,D140&lt;&gt;""),0,C140)</f>
        <v>1</v>
      </c>
      <c r="F140" s="19" t="n">
        <f aca="false">E140*p_horas_productivas_dia</f>
        <v>8</v>
      </c>
      <c r="G140" s="4" t="s">
        <v>30</v>
      </c>
    </row>
    <row r="141" customFormat="false" ht="15" hidden="false" customHeight="false" outlineLevel="0" collapsed="false">
      <c r="A141" s="18" t="n">
        <v>45797</v>
      </c>
      <c r="B141" s="9" t="n">
        <f aca="false">WEEKDAY(A141,2)</f>
        <v>2</v>
      </c>
      <c r="C141" s="3" t="n">
        <v>1</v>
      </c>
      <c r="E141" s="9" t="n">
        <f aca="false">IF(AND(p_aplicar_feriados=1,D141&lt;&gt;""),0,C141)</f>
        <v>1</v>
      </c>
      <c r="F141" s="19" t="n">
        <f aca="false">E141*p_horas_productivas_dia</f>
        <v>8</v>
      </c>
      <c r="G141" s="4" t="s">
        <v>30</v>
      </c>
    </row>
    <row r="142" customFormat="false" ht="15" hidden="false" customHeight="false" outlineLevel="0" collapsed="false">
      <c r="A142" s="18" t="n">
        <v>45798</v>
      </c>
      <c r="B142" s="9" t="n">
        <f aca="false">WEEKDAY(A142,2)</f>
        <v>3</v>
      </c>
      <c r="C142" s="3" t="n">
        <v>1</v>
      </c>
      <c r="E142" s="9" t="n">
        <f aca="false">IF(AND(p_aplicar_feriados=1,D142&lt;&gt;""),0,C142)</f>
        <v>1</v>
      </c>
      <c r="F142" s="19" t="n">
        <f aca="false">E142*p_horas_productivas_dia</f>
        <v>8</v>
      </c>
      <c r="G142" s="4" t="s">
        <v>30</v>
      </c>
    </row>
    <row r="143" customFormat="false" ht="15" hidden="false" customHeight="false" outlineLevel="0" collapsed="false">
      <c r="A143" s="18" t="n">
        <v>45799</v>
      </c>
      <c r="B143" s="9" t="n">
        <f aca="false">WEEKDAY(A143,2)</f>
        <v>4</v>
      </c>
      <c r="C143" s="3" t="n">
        <v>1</v>
      </c>
      <c r="E143" s="9" t="n">
        <f aca="false">IF(AND(p_aplicar_feriados=1,D143&lt;&gt;""),0,C143)</f>
        <v>1</v>
      </c>
      <c r="F143" s="19" t="n">
        <f aca="false">E143*p_horas_productivas_dia</f>
        <v>8</v>
      </c>
      <c r="G143" s="4" t="s">
        <v>30</v>
      </c>
    </row>
    <row r="144" customFormat="false" ht="15" hidden="false" customHeight="false" outlineLevel="0" collapsed="false">
      <c r="A144" s="18" t="n">
        <v>45800</v>
      </c>
      <c r="B144" s="9" t="n">
        <f aca="false">WEEKDAY(A144,2)</f>
        <v>5</v>
      </c>
      <c r="C144" s="3" t="n">
        <v>1</v>
      </c>
      <c r="E144" s="9" t="n">
        <f aca="false">IF(AND(p_aplicar_feriados=1,D144&lt;&gt;""),0,C144)</f>
        <v>1</v>
      </c>
      <c r="F144" s="19" t="n">
        <f aca="false">E144*p_horas_productivas_dia</f>
        <v>8</v>
      </c>
      <c r="G144" s="4" t="s">
        <v>30</v>
      </c>
    </row>
    <row r="145" customFormat="false" ht="15" hidden="false" customHeight="false" outlineLevel="0" collapsed="false">
      <c r="A145" s="18" t="n">
        <v>45801</v>
      </c>
      <c r="B145" s="9" t="n">
        <f aca="false">WEEKDAY(A145,2)</f>
        <v>6</v>
      </c>
      <c r="C145" s="3" t="n">
        <v>0</v>
      </c>
      <c r="E145" s="9" t="n">
        <f aca="false">IF(AND(p_aplicar_feriados=1,D145&lt;&gt;""),0,C145)</f>
        <v>0</v>
      </c>
      <c r="F145" s="19" t="n">
        <f aca="false">E145*p_horas_productivas_dia</f>
        <v>0</v>
      </c>
      <c r="G145" s="4" t="s">
        <v>30</v>
      </c>
    </row>
    <row r="146" customFormat="false" ht="15" hidden="false" customHeight="false" outlineLevel="0" collapsed="false">
      <c r="A146" s="18" t="n">
        <v>45802</v>
      </c>
      <c r="B146" s="9" t="n">
        <f aca="false">WEEKDAY(A146,2)</f>
        <v>7</v>
      </c>
      <c r="C146" s="3" t="n">
        <v>0</v>
      </c>
      <c r="E146" s="9" t="n">
        <f aca="false">IF(AND(p_aplicar_feriados=1,D146&lt;&gt;""),0,C146)</f>
        <v>0</v>
      </c>
      <c r="F146" s="19" t="n">
        <f aca="false">E146*p_horas_productivas_dia</f>
        <v>0</v>
      </c>
      <c r="G146" s="4" t="s">
        <v>30</v>
      </c>
    </row>
    <row r="147" customFormat="false" ht="15" hidden="false" customHeight="false" outlineLevel="0" collapsed="false">
      <c r="A147" s="18" t="n">
        <v>45803</v>
      </c>
      <c r="B147" s="9" t="n">
        <f aca="false">WEEKDAY(A147,2)</f>
        <v>1</v>
      </c>
      <c r="C147" s="3" t="n">
        <v>1</v>
      </c>
      <c r="E147" s="9" t="n">
        <f aca="false">IF(AND(p_aplicar_feriados=1,D147&lt;&gt;""),0,C147)</f>
        <v>1</v>
      </c>
      <c r="F147" s="19" t="n">
        <f aca="false">E147*p_horas_productivas_dia</f>
        <v>8</v>
      </c>
      <c r="G147" s="4" t="s">
        <v>30</v>
      </c>
    </row>
    <row r="148" customFormat="false" ht="15" hidden="false" customHeight="false" outlineLevel="0" collapsed="false">
      <c r="A148" s="18" t="n">
        <v>45804</v>
      </c>
      <c r="B148" s="9" t="n">
        <f aca="false">WEEKDAY(A148,2)</f>
        <v>2</v>
      </c>
      <c r="C148" s="3" t="n">
        <v>1</v>
      </c>
      <c r="E148" s="9" t="n">
        <f aca="false">IF(AND(p_aplicar_feriados=1,D148&lt;&gt;""),0,C148)</f>
        <v>1</v>
      </c>
      <c r="F148" s="19" t="n">
        <f aca="false">E148*p_horas_productivas_dia</f>
        <v>8</v>
      </c>
      <c r="G148" s="4" t="s">
        <v>30</v>
      </c>
    </row>
    <row r="149" customFormat="false" ht="15" hidden="false" customHeight="false" outlineLevel="0" collapsed="false">
      <c r="A149" s="18" t="n">
        <v>45805</v>
      </c>
      <c r="B149" s="9" t="n">
        <f aca="false">WEEKDAY(A149,2)</f>
        <v>3</v>
      </c>
      <c r="C149" s="3" t="n">
        <v>1</v>
      </c>
      <c r="E149" s="9" t="n">
        <f aca="false">IF(AND(p_aplicar_feriados=1,D149&lt;&gt;""),0,C149)</f>
        <v>1</v>
      </c>
      <c r="F149" s="19" t="n">
        <f aca="false">E149*p_horas_productivas_dia</f>
        <v>8</v>
      </c>
      <c r="G149" s="4" t="s">
        <v>30</v>
      </c>
    </row>
    <row r="150" customFormat="false" ht="15" hidden="false" customHeight="false" outlineLevel="0" collapsed="false">
      <c r="A150" s="18" t="n">
        <v>45806</v>
      </c>
      <c r="B150" s="9" t="n">
        <f aca="false">WEEKDAY(A150,2)</f>
        <v>4</v>
      </c>
      <c r="C150" s="3" t="n">
        <v>1</v>
      </c>
      <c r="E150" s="9" t="n">
        <f aca="false">IF(AND(p_aplicar_feriados=1,D150&lt;&gt;""),0,C150)</f>
        <v>1</v>
      </c>
      <c r="F150" s="19" t="n">
        <f aca="false">E150*p_horas_productivas_dia</f>
        <v>8</v>
      </c>
      <c r="G150" s="4" t="s">
        <v>30</v>
      </c>
    </row>
    <row r="151" customFormat="false" ht="15" hidden="false" customHeight="false" outlineLevel="0" collapsed="false">
      <c r="A151" s="18" t="n">
        <v>45807</v>
      </c>
      <c r="B151" s="9" t="n">
        <f aca="false">WEEKDAY(A151,2)</f>
        <v>5</v>
      </c>
      <c r="C151" s="3" t="n">
        <v>1</v>
      </c>
      <c r="E151" s="9" t="n">
        <f aca="false">IF(AND(p_aplicar_feriados=1,D151&lt;&gt;""),0,C151)</f>
        <v>1</v>
      </c>
      <c r="F151" s="19" t="n">
        <f aca="false">E151*p_horas_productivas_dia</f>
        <v>8</v>
      </c>
      <c r="G151" s="4" t="s">
        <v>30</v>
      </c>
    </row>
    <row r="152" customFormat="false" ht="15" hidden="false" customHeight="false" outlineLevel="0" collapsed="false">
      <c r="A152" s="18" t="n">
        <v>45808</v>
      </c>
      <c r="B152" s="9" t="n">
        <f aca="false">WEEKDAY(A152,2)</f>
        <v>6</v>
      </c>
      <c r="C152" s="3" t="n">
        <v>0</v>
      </c>
      <c r="E152" s="9" t="n">
        <f aca="false">IF(AND(p_aplicar_feriados=1,D152&lt;&gt;""),0,C152)</f>
        <v>0</v>
      </c>
      <c r="F152" s="19" t="n">
        <f aca="false">E152*p_horas_productivas_dia</f>
        <v>0</v>
      </c>
      <c r="G152" s="4" t="s">
        <v>30</v>
      </c>
    </row>
    <row r="153" customFormat="false" ht="15" hidden="false" customHeight="false" outlineLevel="0" collapsed="false">
      <c r="A153" s="18" t="n">
        <v>45809</v>
      </c>
      <c r="B153" s="9" t="n">
        <f aca="false">WEEKDAY(A153,2)</f>
        <v>7</v>
      </c>
      <c r="C153" s="3" t="n">
        <v>0</v>
      </c>
      <c r="E153" s="9" t="n">
        <f aca="false">IF(AND(p_aplicar_feriados=1,D153&lt;&gt;""),0,C153)</f>
        <v>0</v>
      </c>
      <c r="F153" s="19" t="n">
        <f aca="false">E153*p_horas_productivas_dia</f>
        <v>0</v>
      </c>
      <c r="G153" s="4" t="s">
        <v>30</v>
      </c>
    </row>
    <row r="154" customFormat="false" ht="15" hidden="false" customHeight="false" outlineLevel="0" collapsed="false">
      <c r="A154" s="18" t="n">
        <v>45810</v>
      </c>
      <c r="B154" s="9" t="n">
        <f aca="false">WEEKDAY(A154,2)</f>
        <v>1</v>
      </c>
      <c r="C154" s="3" t="n">
        <v>1</v>
      </c>
      <c r="E154" s="9" t="n">
        <f aca="false">IF(AND(p_aplicar_feriados=1,D154&lt;&gt;""),0,C154)</f>
        <v>1</v>
      </c>
      <c r="F154" s="19" t="n">
        <f aca="false">E154*p_horas_productivas_dia</f>
        <v>8</v>
      </c>
      <c r="G154" s="4" t="s">
        <v>30</v>
      </c>
    </row>
    <row r="155" customFormat="false" ht="15" hidden="false" customHeight="false" outlineLevel="0" collapsed="false">
      <c r="A155" s="18" t="n">
        <v>45811</v>
      </c>
      <c r="B155" s="9" t="n">
        <f aca="false">WEEKDAY(A155,2)</f>
        <v>2</v>
      </c>
      <c r="C155" s="3" t="n">
        <v>1</v>
      </c>
      <c r="E155" s="9" t="n">
        <f aca="false">IF(AND(p_aplicar_feriados=1,D155&lt;&gt;""),0,C155)</f>
        <v>1</v>
      </c>
      <c r="F155" s="19" t="n">
        <f aca="false">E155*p_horas_productivas_dia</f>
        <v>8</v>
      </c>
      <c r="G155" s="4" t="s">
        <v>30</v>
      </c>
    </row>
    <row r="156" customFormat="false" ht="15" hidden="false" customHeight="false" outlineLevel="0" collapsed="false">
      <c r="A156" s="18" t="n">
        <v>45812</v>
      </c>
      <c r="B156" s="9" t="n">
        <f aca="false">WEEKDAY(A156,2)</f>
        <v>3</v>
      </c>
      <c r="C156" s="3" t="n">
        <v>1</v>
      </c>
      <c r="E156" s="9" t="n">
        <f aca="false">IF(AND(p_aplicar_feriados=1,D156&lt;&gt;""),0,C156)</f>
        <v>1</v>
      </c>
      <c r="F156" s="19" t="n">
        <f aca="false">E156*p_horas_productivas_dia</f>
        <v>8</v>
      </c>
      <c r="G156" s="4" t="s">
        <v>30</v>
      </c>
    </row>
    <row r="157" customFormat="false" ht="15" hidden="false" customHeight="false" outlineLevel="0" collapsed="false">
      <c r="A157" s="18" t="n">
        <v>45813</v>
      </c>
      <c r="B157" s="9" t="n">
        <f aca="false">WEEKDAY(A157,2)</f>
        <v>4</v>
      </c>
      <c r="C157" s="3" t="n">
        <v>1</v>
      </c>
      <c r="E157" s="9" t="n">
        <f aca="false">IF(AND(p_aplicar_feriados=1,D157&lt;&gt;""),0,C157)</f>
        <v>1</v>
      </c>
      <c r="F157" s="19" t="n">
        <f aca="false">E157*p_horas_productivas_dia</f>
        <v>8</v>
      </c>
      <c r="G157" s="4" t="s">
        <v>30</v>
      </c>
    </row>
    <row r="158" customFormat="false" ht="15" hidden="false" customHeight="false" outlineLevel="0" collapsed="false">
      <c r="A158" s="18" t="n">
        <v>45814</v>
      </c>
      <c r="B158" s="9" t="n">
        <f aca="false">WEEKDAY(A158,2)</f>
        <v>5</v>
      </c>
      <c r="C158" s="3" t="n">
        <v>1</v>
      </c>
      <c r="E158" s="9" t="n">
        <f aca="false">IF(AND(p_aplicar_feriados=1,D158&lt;&gt;""),0,C158)</f>
        <v>1</v>
      </c>
      <c r="F158" s="19" t="n">
        <f aca="false">E158*p_horas_productivas_dia</f>
        <v>8</v>
      </c>
      <c r="G158" s="4" t="s">
        <v>30</v>
      </c>
    </row>
    <row r="159" customFormat="false" ht="15" hidden="false" customHeight="false" outlineLevel="0" collapsed="false">
      <c r="A159" s="18" t="n">
        <v>45815</v>
      </c>
      <c r="B159" s="9" t="n">
        <f aca="false">WEEKDAY(A159,2)</f>
        <v>6</v>
      </c>
      <c r="C159" s="3" t="n">
        <v>0</v>
      </c>
      <c r="D159" s="4" t="s">
        <v>965</v>
      </c>
      <c r="E159" s="9" t="n">
        <f aca="false">IF(AND(p_aplicar_feriados=1,D159&lt;&gt;""),0,C159)</f>
        <v>0</v>
      </c>
      <c r="F159" s="19" t="n">
        <f aca="false">E159*p_horas_productivas_dia</f>
        <v>0</v>
      </c>
      <c r="G159" s="4" t="s">
        <v>30</v>
      </c>
    </row>
    <row r="160" customFormat="false" ht="15" hidden="false" customHeight="false" outlineLevel="0" collapsed="false">
      <c r="A160" s="18" t="n">
        <v>45816</v>
      </c>
      <c r="B160" s="9" t="n">
        <f aca="false">WEEKDAY(A160,2)</f>
        <v>7</v>
      </c>
      <c r="C160" s="3" t="n">
        <v>0</v>
      </c>
      <c r="E160" s="9" t="n">
        <f aca="false">IF(AND(p_aplicar_feriados=1,D160&lt;&gt;""),0,C160)</f>
        <v>0</v>
      </c>
      <c r="F160" s="19" t="n">
        <f aca="false">E160*p_horas_productivas_dia</f>
        <v>0</v>
      </c>
      <c r="G160" s="4" t="s">
        <v>30</v>
      </c>
    </row>
    <row r="161" customFormat="false" ht="15" hidden="false" customHeight="false" outlineLevel="0" collapsed="false">
      <c r="A161" s="18" t="n">
        <v>45817</v>
      </c>
      <c r="B161" s="9" t="n">
        <f aca="false">WEEKDAY(A161,2)</f>
        <v>1</v>
      </c>
      <c r="C161" s="3" t="n">
        <v>1</v>
      </c>
      <c r="E161" s="9" t="n">
        <f aca="false">IF(AND(p_aplicar_feriados=1,D161&lt;&gt;""),0,C161)</f>
        <v>1</v>
      </c>
      <c r="F161" s="19" t="n">
        <f aca="false">E161*p_horas_productivas_dia</f>
        <v>8</v>
      </c>
      <c r="G161" s="4" t="s">
        <v>30</v>
      </c>
    </row>
    <row r="162" customFormat="false" ht="15" hidden="false" customHeight="false" outlineLevel="0" collapsed="false">
      <c r="A162" s="18" t="n">
        <v>45818</v>
      </c>
      <c r="B162" s="9" t="n">
        <f aca="false">WEEKDAY(A162,2)</f>
        <v>2</v>
      </c>
      <c r="C162" s="3" t="n">
        <v>1</v>
      </c>
      <c r="E162" s="9" t="n">
        <f aca="false">IF(AND(p_aplicar_feriados=1,D162&lt;&gt;""),0,C162)</f>
        <v>1</v>
      </c>
      <c r="F162" s="19" t="n">
        <f aca="false">E162*p_horas_productivas_dia</f>
        <v>8</v>
      </c>
      <c r="G162" s="4" t="s">
        <v>30</v>
      </c>
    </row>
    <row r="163" customFormat="false" ht="15" hidden="false" customHeight="false" outlineLevel="0" collapsed="false">
      <c r="A163" s="18" t="n">
        <v>45819</v>
      </c>
      <c r="B163" s="9" t="n">
        <f aca="false">WEEKDAY(A163,2)</f>
        <v>3</v>
      </c>
      <c r="C163" s="3" t="n">
        <v>1</v>
      </c>
      <c r="E163" s="9" t="n">
        <f aca="false">IF(AND(p_aplicar_feriados=1,D163&lt;&gt;""),0,C163)</f>
        <v>1</v>
      </c>
      <c r="F163" s="19" t="n">
        <f aca="false">E163*p_horas_productivas_dia</f>
        <v>8</v>
      </c>
      <c r="G163" s="4" t="s">
        <v>30</v>
      </c>
    </row>
    <row r="164" customFormat="false" ht="15" hidden="false" customHeight="false" outlineLevel="0" collapsed="false">
      <c r="A164" s="18" t="n">
        <v>45820</v>
      </c>
      <c r="B164" s="9" t="n">
        <f aca="false">WEEKDAY(A164,2)</f>
        <v>4</v>
      </c>
      <c r="C164" s="3" t="n">
        <v>1</v>
      </c>
      <c r="E164" s="9" t="n">
        <f aca="false">IF(AND(p_aplicar_feriados=1,D164&lt;&gt;""),0,C164)</f>
        <v>1</v>
      </c>
      <c r="F164" s="19" t="n">
        <f aca="false">E164*p_horas_productivas_dia</f>
        <v>8</v>
      </c>
      <c r="G164" s="4" t="s">
        <v>30</v>
      </c>
    </row>
    <row r="165" customFormat="false" ht="15" hidden="false" customHeight="false" outlineLevel="0" collapsed="false">
      <c r="A165" s="18" t="n">
        <v>45821</v>
      </c>
      <c r="B165" s="9" t="n">
        <f aca="false">WEEKDAY(A165,2)</f>
        <v>5</v>
      </c>
      <c r="C165" s="3" t="n">
        <v>1</v>
      </c>
      <c r="E165" s="9" t="n">
        <f aca="false">IF(AND(p_aplicar_feriados=1,D165&lt;&gt;""),0,C165)</f>
        <v>1</v>
      </c>
      <c r="F165" s="19" t="n">
        <f aca="false">E165*p_horas_productivas_dia</f>
        <v>8</v>
      </c>
      <c r="G165" s="4" t="s">
        <v>30</v>
      </c>
    </row>
    <row r="166" customFormat="false" ht="15" hidden="false" customHeight="false" outlineLevel="0" collapsed="false">
      <c r="A166" s="18" t="n">
        <v>45822</v>
      </c>
      <c r="B166" s="9" t="n">
        <f aca="false">WEEKDAY(A166,2)</f>
        <v>6</v>
      </c>
      <c r="C166" s="3" t="n">
        <v>0</v>
      </c>
      <c r="E166" s="9" t="n">
        <f aca="false">IF(AND(p_aplicar_feriados=1,D166&lt;&gt;""),0,C166)</f>
        <v>0</v>
      </c>
      <c r="F166" s="19" t="n">
        <f aca="false">E166*p_horas_productivas_dia</f>
        <v>0</v>
      </c>
      <c r="G166" s="4" t="s">
        <v>30</v>
      </c>
    </row>
    <row r="167" customFormat="false" ht="15" hidden="false" customHeight="false" outlineLevel="0" collapsed="false">
      <c r="A167" s="18" t="n">
        <v>45823</v>
      </c>
      <c r="B167" s="9" t="n">
        <f aca="false">WEEKDAY(A167,2)</f>
        <v>7</v>
      </c>
      <c r="C167" s="3" t="n">
        <v>0</v>
      </c>
      <c r="E167" s="9" t="n">
        <f aca="false">IF(AND(p_aplicar_feriados=1,D167&lt;&gt;""),0,C167)</f>
        <v>0</v>
      </c>
      <c r="F167" s="19" t="n">
        <f aca="false">E167*p_horas_productivas_dia</f>
        <v>0</v>
      </c>
      <c r="G167" s="4" t="s">
        <v>30</v>
      </c>
    </row>
    <row r="168" customFormat="false" ht="15" hidden="false" customHeight="false" outlineLevel="0" collapsed="false">
      <c r="A168" s="18" t="n">
        <v>45824</v>
      </c>
      <c r="B168" s="9" t="n">
        <f aca="false">WEEKDAY(A168,2)</f>
        <v>1</v>
      </c>
      <c r="C168" s="3" t="n">
        <v>1</v>
      </c>
      <c r="E168" s="9" t="n">
        <f aca="false">IF(AND(p_aplicar_feriados=1,D168&lt;&gt;""),0,C168)</f>
        <v>1</v>
      </c>
      <c r="F168" s="19" t="n">
        <f aca="false">E168*p_horas_productivas_dia</f>
        <v>8</v>
      </c>
      <c r="G168" s="4" t="s">
        <v>30</v>
      </c>
    </row>
    <row r="169" customFormat="false" ht="15" hidden="false" customHeight="false" outlineLevel="0" collapsed="false">
      <c r="A169" s="18" t="n">
        <v>45825</v>
      </c>
      <c r="B169" s="9" t="n">
        <f aca="false">WEEKDAY(A169,2)</f>
        <v>2</v>
      </c>
      <c r="C169" s="3" t="n">
        <v>1</v>
      </c>
      <c r="E169" s="9" t="n">
        <f aca="false">IF(AND(p_aplicar_feriados=1,D169&lt;&gt;""),0,C169)</f>
        <v>1</v>
      </c>
      <c r="F169" s="19" t="n">
        <f aca="false">E169*p_horas_productivas_dia</f>
        <v>8</v>
      </c>
      <c r="G169" s="4" t="s">
        <v>30</v>
      </c>
    </row>
    <row r="170" customFormat="false" ht="15" hidden="false" customHeight="false" outlineLevel="0" collapsed="false">
      <c r="A170" s="18" t="n">
        <v>45826</v>
      </c>
      <c r="B170" s="9" t="n">
        <f aca="false">WEEKDAY(A170,2)</f>
        <v>3</v>
      </c>
      <c r="C170" s="3" t="n">
        <v>1</v>
      </c>
      <c r="E170" s="9" t="n">
        <f aca="false">IF(AND(p_aplicar_feriados=1,D170&lt;&gt;""),0,C170)</f>
        <v>1</v>
      </c>
      <c r="F170" s="19" t="n">
        <f aca="false">E170*p_horas_productivas_dia</f>
        <v>8</v>
      </c>
      <c r="G170" s="4" t="s">
        <v>30</v>
      </c>
    </row>
    <row r="171" customFormat="false" ht="15" hidden="false" customHeight="false" outlineLevel="0" collapsed="false">
      <c r="A171" s="18" t="n">
        <v>45827</v>
      </c>
      <c r="B171" s="9" t="n">
        <f aca="false">WEEKDAY(A171,2)</f>
        <v>4</v>
      </c>
      <c r="C171" s="3" t="n">
        <v>1</v>
      </c>
      <c r="E171" s="9" t="n">
        <f aca="false">IF(AND(p_aplicar_feriados=1,D171&lt;&gt;""),0,C171)</f>
        <v>1</v>
      </c>
      <c r="F171" s="19" t="n">
        <f aca="false">E171*p_horas_productivas_dia</f>
        <v>8</v>
      </c>
      <c r="G171" s="4" t="s">
        <v>30</v>
      </c>
    </row>
    <row r="172" customFormat="false" ht="15" hidden="false" customHeight="false" outlineLevel="0" collapsed="false">
      <c r="A172" s="18" t="n">
        <v>45828</v>
      </c>
      <c r="B172" s="9" t="n">
        <f aca="false">WEEKDAY(A172,2)</f>
        <v>5</v>
      </c>
      <c r="C172" s="3" t="n">
        <v>1</v>
      </c>
      <c r="E172" s="9" t="n">
        <f aca="false">IF(AND(p_aplicar_feriados=1,D172&lt;&gt;""),0,C172)</f>
        <v>1</v>
      </c>
      <c r="F172" s="19" t="n">
        <f aca="false">E172*p_horas_productivas_dia</f>
        <v>8</v>
      </c>
      <c r="G172" s="4" t="s">
        <v>30</v>
      </c>
    </row>
    <row r="173" customFormat="false" ht="15" hidden="false" customHeight="false" outlineLevel="0" collapsed="false">
      <c r="A173" s="18" t="n">
        <v>45829</v>
      </c>
      <c r="B173" s="9" t="n">
        <f aca="false">WEEKDAY(A173,2)</f>
        <v>6</v>
      </c>
      <c r="C173" s="3" t="n">
        <v>0</v>
      </c>
      <c r="E173" s="9" t="n">
        <f aca="false">IF(AND(p_aplicar_feriados=1,D173&lt;&gt;""),0,C173)</f>
        <v>0</v>
      </c>
      <c r="F173" s="19" t="n">
        <f aca="false">E173*p_horas_productivas_dia</f>
        <v>0</v>
      </c>
      <c r="G173" s="4" t="s">
        <v>30</v>
      </c>
    </row>
    <row r="174" customFormat="false" ht="15" hidden="false" customHeight="false" outlineLevel="0" collapsed="false">
      <c r="A174" s="18" t="n">
        <v>45830</v>
      </c>
      <c r="B174" s="9" t="n">
        <f aca="false">WEEKDAY(A174,2)</f>
        <v>7</v>
      </c>
      <c r="C174" s="3" t="n">
        <v>0</v>
      </c>
      <c r="E174" s="9" t="n">
        <f aca="false">IF(AND(p_aplicar_feriados=1,D174&lt;&gt;""),0,C174)</f>
        <v>0</v>
      </c>
      <c r="F174" s="19" t="n">
        <f aca="false">E174*p_horas_productivas_dia</f>
        <v>0</v>
      </c>
      <c r="G174" s="4" t="s">
        <v>30</v>
      </c>
    </row>
    <row r="175" customFormat="false" ht="15" hidden="false" customHeight="false" outlineLevel="0" collapsed="false">
      <c r="A175" s="18" t="n">
        <v>45831</v>
      </c>
      <c r="B175" s="9" t="n">
        <f aca="false">WEEKDAY(A175,2)</f>
        <v>1</v>
      </c>
      <c r="C175" s="3" t="n">
        <v>1</v>
      </c>
      <c r="E175" s="9" t="n">
        <f aca="false">IF(AND(p_aplicar_feriados=1,D175&lt;&gt;""),0,C175)</f>
        <v>1</v>
      </c>
      <c r="F175" s="19" t="n">
        <f aca="false">E175*p_horas_productivas_dia</f>
        <v>8</v>
      </c>
      <c r="G175" s="4" t="s">
        <v>30</v>
      </c>
    </row>
    <row r="176" customFormat="false" ht="15" hidden="false" customHeight="false" outlineLevel="0" collapsed="false">
      <c r="A176" s="18" t="n">
        <v>45832</v>
      </c>
      <c r="B176" s="9" t="n">
        <f aca="false">WEEKDAY(A176,2)</f>
        <v>2</v>
      </c>
      <c r="C176" s="3" t="n">
        <v>1</v>
      </c>
      <c r="E176" s="9" t="n">
        <f aca="false">IF(AND(p_aplicar_feriados=1,D176&lt;&gt;""),0,C176)</f>
        <v>1</v>
      </c>
      <c r="F176" s="19" t="n">
        <f aca="false">E176*p_horas_productivas_dia</f>
        <v>8</v>
      </c>
      <c r="G176" s="4" t="s">
        <v>30</v>
      </c>
    </row>
    <row r="177" customFormat="false" ht="15" hidden="false" customHeight="false" outlineLevel="0" collapsed="false">
      <c r="A177" s="18" t="n">
        <v>45833</v>
      </c>
      <c r="B177" s="9" t="n">
        <f aca="false">WEEKDAY(A177,2)</f>
        <v>3</v>
      </c>
      <c r="C177" s="3" t="n">
        <v>1</v>
      </c>
      <c r="E177" s="9" t="n">
        <f aca="false">IF(AND(p_aplicar_feriados=1,D177&lt;&gt;""),0,C177)</f>
        <v>1</v>
      </c>
      <c r="F177" s="19" t="n">
        <f aca="false">E177*p_horas_productivas_dia</f>
        <v>8</v>
      </c>
      <c r="G177" s="4" t="s">
        <v>30</v>
      </c>
    </row>
    <row r="178" customFormat="false" ht="15" hidden="false" customHeight="false" outlineLevel="0" collapsed="false">
      <c r="A178" s="18" t="n">
        <v>45834</v>
      </c>
      <c r="B178" s="9" t="n">
        <f aca="false">WEEKDAY(A178,2)</f>
        <v>4</v>
      </c>
      <c r="C178" s="3" t="n">
        <v>1</v>
      </c>
      <c r="E178" s="9" t="n">
        <f aca="false">IF(AND(p_aplicar_feriados=1,D178&lt;&gt;""),0,C178)</f>
        <v>1</v>
      </c>
      <c r="F178" s="19" t="n">
        <f aca="false">E178*p_horas_productivas_dia</f>
        <v>8</v>
      </c>
      <c r="G178" s="4" t="s">
        <v>30</v>
      </c>
    </row>
    <row r="179" customFormat="false" ht="15" hidden="false" customHeight="false" outlineLevel="0" collapsed="false">
      <c r="A179" s="18" t="n">
        <v>45835</v>
      </c>
      <c r="B179" s="9" t="n">
        <f aca="false">WEEKDAY(A179,2)</f>
        <v>5</v>
      </c>
      <c r="C179" s="3" t="n">
        <v>1</v>
      </c>
      <c r="E179" s="9" t="n">
        <f aca="false">IF(AND(p_aplicar_feriados=1,D179&lt;&gt;""),0,C179)</f>
        <v>1</v>
      </c>
      <c r="F179" s="19" t="n">
        <f aca="false">E179*p_horas_productivas_dia</f>
        <v>8</v>
      </c>
      <c r="G179" s="4" t="s">
        <v>30</v>
      </c>
    </row>
    <row r="180" customFormat="false" ht="15" hidden="false" customHeight="false" outlineLevel="0" collapsed="false">
      <c r="A180" s="18" t="n">
        <v>45836</v>
      </c>
      <c r="B180" s="9" t="n">
        <f aca="false">WEEKDAY(A180,2)</f>
        <v>6</v>
      </c>
      <c r="C180" s="3" t="n">
        <v>0</v>
      </c>
      <c r="E180" s="9" t="n">
        <f aca="false">IF(AND(p_aplicar_feriados=1,D180&lt;&gt;""),0,C180)</f>
        <v>0</v>
      </c>
      <c r="F180" s="19" t="n">
        <f aca="false">E180*p_horas_productivas_dia</f>
        <v>0</v>
      </c>
      <c r="G180" s="4" t="s">
        <v>30</v>
      </c>
    </row>
    <row r="181" customFormat="false" ht="15" hidden="false" customHeight="false" outlineLevel="0" collapsed="false">
      <c r="A181" s="18" t="n">
        <v>45837</v>
      </c>
      <c r="B181" s="9" t="n">
        <f aca="false">WEEKDAY(A181,2)</f>
        <v>7</v>
      </c>
      <c r="C181" s="3" t="n">
        <v>0</v>
      </c>
      <c r="D181" s="4" t="s">
        <v>966</v>
      </c>
      <c r="E181" s="9" t="n">
        <f aca="false">IF(AND(p_aplicar_feriados=1,D181&lt;&gt;""),0,C181)</f>
        <v>0</v>
      </c>
      <c r="F181" s="19" t="n">
        <f aca="false">E181*p_horas_productivas_dia</f>
        <v>0</v>
      </c>
      <c r="G181" s="4" t="s">
        <v>30</v>
      </c>
    </row>
    <row r="182" customFormat="false" ht="15" hidden="false" customHeight="false" outlineLevel="0" collapsed="false">
      <c r="A182" s="18" t="n">
        <v>45838</v>
      </c>
      <c r="B182" s="9" t="n">
        <f aca="false">WEEKDAY(A182,2)</f>
        <v>1</v>
      </c>
      <c r="C182" s="3" t="n">
        <v>1</v>
      </c>
      <c r="E182" s="9" t="n">
        <f aca="false">IF(AND(p_aplicar_feriados=1,D182&lt;&gt;""),0,C182)</f>
        <v>1</v>
      </c>
      <c r="F182" s="19" t="n">
        <f aca="false">E182*p_horas_productivas_dia</f>
        <v>8</v>
      </c>
      <c r="G182" s="4" t="s">
        <v>30</v>
      </c>
    </row>
    <row r="183" customFormat="false" ht="15" hidden="false" customHeight="false" outlineLevel="0" collapsed="false">
      <c r="A183" s="18" t="n">
        <v>45839</v>
      </c>
      <c r="B183" s="9" t="n">
        <f aca="false">WEEKDAY(A183,2)</f>
        <v>2</v>
      </c>
      <c r="C183" s="3" t="n">
        <v>1</v>
      </c>
      <c r="E183" s="9" t="n">
        <f aca="false">IF(AND(p_aplicar_feriados=1,D183&lt;&gt;""),0,C183)</f>
        <v>1</v>
      </c>
      <c r="F183" s="19" t="n">
        <f aca="false">E183*p_horas_productivas_dia</f>
        <v>8</v>
      </c>
      <c r="G183" s="4" t="s">
        <v>30</v>
      </c>
    </row>
    <row r="184" customFormat="false" ht="15" hidden="false" customHeight="false" outlineLevel="0" collapsed="false">
      <c r="A184" s="18" t="n">
        <v>45840</v>
      </c>
      <c r="B184" s="9" t="n">
        <f aca="false">WEEKDAY(A184,2)</f>
        <v>3</v>
      </c>
      <c r="C184" s="3" t="n">
        <v>1</v>
      </c>
      <c r="E184" s="9" t="n">
        <f aca="false">IF(AND(p_aplicar_feriados=1,D184&lt;&gt;""),0,C184)</f>
        <v>1</v>
      </c>
      <c r="F184" s="19" t="n">
        <f aca="false">E184*p_horas_productivas_dia</f>
        <v>8</v>
      </c>
      <c r="G184" s="4" t="s">
        <v>30</v>
      </c>
    </row>
    <row r="185" customFormat="false" ht="15" hidden="false" customHeight="false" outlineLevel="0" collapsed="false">
      <c r="A185" s="18" t="n">
        <v>45841</v>
      </c>
      <c r="B185" s="9" t="n">
        <f aca="false">WEEKDAY(A185,2)</f>
        <v>4</v>
      </c>
      <c r="C185" s="3" t="n">
        <v>1</v>
      </c>
      <c r="E185" s="9" t="n">
        <f aca="false">IF(AND(p_aplicar_feriados=1,D185&lt;&gt;""),0,C185)</f>
        <v>1</v>
      </c>
      <c r="F185" s="19" t="n">
        <f aca="false">E185*p_horas_productivas_dia</f>
        <v>8</v>
      </c>
      <c r="G185" s="4" t="s">
        <v>30</v>
      </c>
    </row>
    <row r="186" customFormat="false" ht="15" hidden="false" customHeight="false" outlineLevel="0" collapsed="false">
      <c r="A186" s="18" t="n">
        <v>45842</v>
      </c>
      <c r="B186" s="9" t="n">
        <f aca="false">WEEKDAY(A186,2)</f>
        <v>5</v>
      </c>
      <c r="C186" s="3" t="n">
        <v>1</v>
      </c>
      <c r="E186" s="9" t="n">
        <f aca="false">IF(AND(p_aplicar_feriados=1,D186&lt;&gt;""),0,C186)</f>
        <v>1</v>
      </c>
      <c r="F186" s="19" t="n">
        <f aca="false">E186*p_horas_productivas_dia</f>
        <v>8</v>
      </c>
      <c r="G186" s="4" t="s">
        <v>30</v>
      </c>
    </row>
    <row r="187" customFormat="false" ht="15" hidden="false" customHeight="false" outlineLevel="0" collapsed="false">
      <c r="A187" s="18" t="n">
        <v>45843</v>
      </c>
      <c r="B187" s="9" t="n">
        <f aca="false">WEEKDAY(A187,2)</f>
        <v>6</v>
      </c>
      <c r="C187" s="3" t="n">
        <v>0</v>
      </c>
      <c r="E187" s="9" t="n">
        <f aca="false">IF(AND(p_aplicar_feriados=1,D187&lt;&gt;""),0,C187)</f>
        <v>0</v>
      </c>
      <c r="F187" s="19" t="n">
        <f aca="false">E187*p_horas_productivas_dia</f>
        <v>0</v>
      </c>
      <c r="G187" s="4" t="s">
        <v>30</v>
      </c>
    </row>
    <row r="188" customFormat="false" ht="15" hidden="false" customHeight="false" outlineLevel="0" collapsed="false">
      <c r="A188" s="18" t="n">
        <v>45844</v>
      </c>
      <c r="B188" s="9" t="n">
        <f aca="false">WEEKDAY(A188,2)</f>
        <v>7</v>
      </c>
      <c r="C188" s="3" t="n">
        <v>0</v>
      </c>
      <c r="E188" s="9" t="n">
        <f aca="false">IF(AND(p_aplicar_feriados=1,D188&lt;&gt;""),0,C188)</f>
        <v>0</v>
      </c>
      <c r="F188" s="19" t="n">
        <f aca="false">E188*p_horas_productivas_dia</f>
        <v>0</v>
      </c>
      <c r="G188" s="4" t="s">
        <v>30</v>
      </c>
    </row>
    <row r="189" customFormat="false" ht="15" hidden="false" customHeight="false" outlineLevel="0" collapsed="false">
      <c r="A189" s="18" t="n">
        <v>45845</v>
      </c>
      <c r="B189" s="9" t="n">
        <f aca="false">WEEKDAY(A189,2)</f>
        <v>1</v>
      </c>
      <c r="C189" s="3" t="n">
        <v>1</v>
      </c>
      <c r="E189" s="9" t="n">
        <f aca="false">IF(AND(p_aplicar_feriados=1,D189&lt;&gt;""),0,C189)</f>
        <v>1</v>
      </c>
      <c r="F189" s="19" t="n">
        <f aca="false">E189*p_horas_productivas_dia</f>
        <v>8</v>
      </c>
      <c r="G189" s="4" t="s">
        <v>30</v>
      </c>
    </row>
    <row r="190" customFormat="false" ht="15" hidden="false" customHeight="false" outlineLevel="0" collapsed="false">
      <c r="A190" s="18" t="n">
        <v>45846</v>
      </c>
      <c r="B190" s="9" t="n">
        <f aca="false">WEEKDAY(A190,2)</f>
        <v>2</v>
      </c>
      <c r="C190" s="3" t="n">
        <v>1</v>
      </c>
      <c r="E190" s="9" t="n">
        <f aca="false">IF(AND(p_aplicar_feriados=1,D190&lt;&gt;""),0,C190)</f>
        <v>1</v>
      </c>
      <c r="F190" s="19" t="n">
        <f aca="false">E190*p_horas_productivas_dia</f>
        <v>8</v>
      </c>
      <c r="G190" s="4" t="s">
        <v>30</v>
      </c>
    </row>
    <row r="191" customFormat="false" ht="15" hidden="false" customHeight="false" outlineLevel="0" collapsed="false">
      <c r="A191" s="18" t="n">
        <v>45847</v>
      </c>
      <c r="B191" s="9" t="n">
        <f aca="false">WEEKDAY(A191,2)</f>
        <v>3</v>
      </c>
      <c r="C191" s="3" t="n">
        <v>1</v>
      </c>
      <c r="E191" s="9" t="n">
        <f aca="false">IF(AND(p_aplicar_feriados=1,D191&lt;&gt;""),0,C191)</f>
        <v>1</v>
      </c>
      <c r="F191" s="19" t="n">
        <f aca="false">E191*p_horas_productivas_dia</f>
        <v>8</v>
      </c>
      <c r="G191" s="4" t="s">
        <v>30</v>
      </c>
    </row>
    <row r="192" customFormat="false" ht="15" hidden="false" customHeight="false" outlineLevel="0" collapsed="false">
      <c r="A192" s="18" t="n">
        <v>45848</v>
      </c>
      <c r="B192" s="9" t="n">
        <f aca="false">WEEKDAY(A192,2)</f>
        <v>4</v>
      </c>
      <c r="C192" s="3" t="n">
        <v>1</v>
      </c>
      <c r="E192" s="9" t="n">
        <f aca="false">IF(AND(p_aplicar_feriados=1,D192&lt;&gt;""),0,C192)</f>
        <v>1</v>
      </c>
      <c r="F192" s="19" t="n">
        <f aca="false">E192*p_horas_productivas_dia</f>
        <v>8</v>
      </c>
      <c r="G192" s="4" t="s">
        <v>30</v>
      </c>
    </row>
    <row r="193" customFormat="false" ht="15" hidden="false" customHeight="false" outlineLevel="0" collapsed="false">
      <c r="A193" s="18" t="n">
        <v>45849</v>
      </c>
      <c r="B193" s="9" t="n">
        <f aca="false">WEEKDAY(A193,2)</f>
        <v>5</v>
      </c>
      <c r="C193" s="3" t="n">
        <v>1</v>
      </c>
      <c r="E193" s="9" t="n">
        <f aca="false">IF(AND(p_aplicar_feriados=1,D193&lt;&gt;""),0,C193)</f>
        <v>1</v>
      </c>
      <c r="F193" s="19" t="n">
        <f aca="false">E193*p_horas_productivas_dia</f>
        <v>8</v>
      </c>
      <c r="G193" s="4" t="s">
        <v>30</v>
      </c>
    </row>
    <row r="194" customFormat="false" ht="15" hidden="false" customHeight="false" outlineLevel="0" collapsed="false">
      <c r="A194" s="18" t="n">
        <v>45850</v>
      </c>
      <c r="B194" s="9" t="n">
        <f aca="false">WEEKDAY(A194,2)</f>
        <v>6</v>
      </c>
      <c r="C194" s="3" t="n">
        <v>0</v>
      </c>
      <c r="E194" s="9" t="n">
        <f aca="false">IF(AND(p_aplicar_feriados=1,D194&lt;&gt;""),0,C194)</f>
        <v>0</v>
      </c>
      <c r="F194" s="19" t="n">
        <f aca="false">E194*p_horas_productivas_dia</f>
        <v>0</v>
      </c>
      <c r="G194" s="4" t="s">
        <v>30</v>
      </c>
    </row>
    <row r="195" customFormat="false" ht="15" hidden="false" customHeight="false" outlineLevel="0" collapsed="false">
      <c r="A195" s="18" t="n">
        <v>45851</v>
      </c>
      <c r="B195" s="9" t="n">
        <f aca="false">WEEKDAY(A195,2)</f>
        <v>7</v>
      </c>
      <c r="C195" s="3" t="n">
        <v>0</v>
      </c>
      <c r="E195" s="9" t="n">
        <f aca="false">IF(AND(p_aplicar_feriados=1,D195&lt;&gt;""),0,C195)</f>
        <v>0</v>
      </c>
      <c r="F195" s="19" t="n">
        <f aca="false">E195*p_horas_productivas_dia</f>
        <v>0</v>
      </c>
      <c r="G195" s="4" t="s">
        <v>30</v>
      </c>
    </row>
    <row r="196" customFormat="false" ht="15" hidden="false" customHeight="false" outlineLevel="0" collapsed="false">
      <c r="A196" s="18" t="n">
        <v>45852</v>
      </c>
      <c r="B196" s="9" t="n">
        <f aca="false">WEEKDAY(A196,2)</f>
        <v>1</v>
      </c>
      <c r="C196" s="3" t="n">
        <v>1</v>
      </c>
      <c r="E196" s="9" t="n">
        <f aca="false">IF(AND(p_aplicar_feriados=1,D196&lt;&gt;""),0,C196)</f>
        <v>1</v>
      </c>
      <c r="F196" s="19" t="n">
        <f aca="false">E196*p_horas_productivas_dia</f>
        <v>8</v>
      </c>
      <c r="G196" s="4" t="s">
        <v>30</v>
      </c>
    </row>
    <row r="197" customFormat="false" ht="15" hidden="false" customHeight="false" outlineLevel="0" collapsed="false">
      <c r="A197" s="18" t="n">
        <v>45853</v>
      </c>
      <c r="B197" s="9" t="n">
        <f aca="false">WEEKDAY(A197,2)</f>
        <v>2</v>
      </c>
      <c r="C197" s="3" t="n">
        <v>1</v>
      </c>
      <c r="E197" s="9" t="n">
        <f aca="false">IF(AND(p_aplicar_feriados=1,D197&lt;&gt;""),0,C197)</f>
        <v>1</v>
      </c>
      <c r="F197" s="19" t="n">
        <f aca="false">E197*p_horas_productivas_dia</f>
        <v>8</v>
      </c>
      <c r="G197" s="4" t="s">
        <v>30</v>
      </c>
    </row>
    <row r="198" customFormat="false" ht="15" hidden="false" customHeight="false" outlineLevel="0" collapsed="false">
      <c r="A198" s="18" t="n">
        <v>45854</v>
      </c>
      <c r="B198" s="9" t="n">
        <f aca="false">WEEKDAY(A198,2)</f>
        <v>3</v>
      </c>
      <c r="C198" s="3" t="n">
        <v>1</v>
      </c>
      <c r="E198" s="9" t="n">
        <f aca="false">IF(AND(p_aplicar_feriados=1,D198&lt;&gt;""),0,C198)</f>
        <v>1</v>
      </c>
      <c r="F198" s="19" t="n">
        <f aca="false">E198*p_horas_productivas_dia</f>
        <v>8</v>
      </c>
      <c r="G198" s="4" t="s">
        <v>30</v>
      </c>
    </row>
    <row r="199" customFormat="false" ht="15" hidden="false" customHeight="false" outlineLevel="0" collapsed="false">
      <c r="A199" s="18" t="n">
        <v>45855</v>
      </c>
      <c r="B199" s="9" t="n">
        <f aca="false">WEEKDAY(A199,2)</f>
        <v>4</v>
      </c>
      <c r="C199" s="3" t="n">
        <v>1</v>
      </c>
      <c r="E199" s="9" t="n">
        <f aca="false">IF(AND(p_aplicar_feriados=1,D199&lt;&gt;""),0,C199)</f>
        <v>1</v>
      </c>
      <c r="F199" s="19" t="n">
        <f aca="false">E199*p_horas_productivas_dia</f>
        <v>8</v>
      </c>
      <c r="G199" s="4" t="s">
        <v>30</v>
      </c>
    </row>
    <row r="200" customFormat="false" ht="15" hidden="false" customHeight="false" outlineLevel="0" collapsed="false">
      <c r="A200" s="18" t="n">
        <v>45856</v>
      </c>
      <c r="B200" s="9" t="n">
        <f aca="false">WEEKDAY(A200,2)</f>
        <v>5</v>
      </c>
      <c r="C200" s="3" t="n">
        <v>1</v>
      </c>
      <c r="E200" s="9" t="n">
        <f aca="false">IF(AND(p_aplicar_feriados=1,D200&lt;&gt;""),0,C200)</f>
        <v>1</v>
      </c>
      <c r="F200" s="19" t="n">
        <f aca="false">E200*p_horas_productivas_dia</f>
        <v>8</v>
      </c>
      <c r="G200" s="4" t="s">
        <v>30</v>
      </c>
    </row>
    <row r="201" customFormat="false" ht="15" hidden="false" customHeight="false" outlineLevel="0" collapsed="false">
      <c r="A201" s="18" t="n">
        <v>45857</v>
      </c>
      <c r="B201" s="9" t="n">
        <f aca="false">WEEKDAY(A201,2)</f>
        <v>6</v>
      </c>
      <c r="C201" s="3" t="n">
        <v>0</v>
      </c>
      <c r="E201" s="9" t="n">
        <f aca="false">IF(AND(p_aplicar_feriados=1,D201&lt;&gt;""),0,C201)</f>
        <v>0</v>
      </c>
      <c r="F201" s="19" t="n">
        <f aca="false">E201*p_horas_productivas_dia</f>
        <v>0</v>
      </c>
      <c r="G201" s="4" t="s">
        <v>30</v>
      </c>
    </row>
    <row r="202" customFormat="false" ht="15" hidden="false" customHeight="false" outlineLevel="0" collapsed="false">
      <c r="A202" s="18" t="n">
        <v>45858</v>
      </c>
      <c r="B202" s="9" t="n">
        <f aca="false">WEEKDAY(A202,2)</f>
        <v>7</v>
      </c>
      <c r="C202" s="3" t="n">
        <v>0</v>
      </c>
      <c r="E202" s="9" t="n">
        <f aca="false">IF(AND(p_aplicar_feriados=1,D202&lt;&gt;""),0,C202)</f>
        <v>0</v>
      </c>
      <c r="F202" s="19" t="n">
        <f aca="false">E202*p_horas_productivas_dia</f>
        <v>0</v>
      </c>
      <c r="G202" s="4" t="s">
        <v>30</v>
      </c>
    </row>
    <row r="203" customFormat="false" ht="15" hidden="false" customHeight="false" outlineLevel="0" collapsed="false">
      <c r="A203" s="18" t="n">
        <v>45859</v>
      </c>
      <c r="B203" s="9" t="n">
        <f aca="false">WEEKDAY(A203,2)</f>
        <v>1</v>
      </c>
      <c r="C203" s="3" t="n">
        <v>1</v>
      </c>
      <c r="E203" s="9" t="n">
        <f aca="false">IF(AND(p_aplicar_feriados=1,D203&lt;&gt;""),0,C203)</f>
        <v>1</v>
      </c>
      <c r="F203" s="19" t="n">
        <f aca="false">E203*p_horas_productivas_dia</f>
        <v>8</v>
      </c>
      <c r="G203" s="4" t="s">
        <v>30</v>
      </c>
    </row>
    <row r="204" customFormat="false" ht="15" hidden="false" customHeight="false" outlineLevel="0" collapsed="false">
      <c r="A204" s="18" t="n">
        <v>45860</v>
      </c>
      <c r="B204" s="9" t="n">
        <f aca="false">WEEKDAY(A204,2)</f>
        <v>2</v>
      </c>
      <c r="C204" s="3" t="n">
        <v>1</v>
      </c>
      <c r="E204" s="9" t="n">
        <f aca="false">IF(AND(p_aplicar_feriados=1,D204&lt;&gt;""),0,C204)</f>
        <v>1</v>
      </c>
      <c r="F204" s="19" t="n">
        <f aca="false">E204*p_horas_productivas_dia</f>
        <v>8</v>
      </c>
      <c r="G204" s="4" t="s">
        <v>30</v>
      </c>
    </row>
    <row r="205" customFormat="false" ht="15" hidden="false" customHeight="false" outlineLevel="0" collapsed="false">
      <c r="A205" s="18" t="n">
        <v>45861</v>
      </c>
      <c r="B205" s="9" t="n">
        <f aca="false">WEEKDAY(A205,2)</f>
        <v>3</v>
      </c>
      <c r="C205" s="3" t="n">
        <v>1</v>
      </c>
      <c r="D205" s="4" t="s">
        <v>967</v>
      </c>
      <c r="E205" s="9" t="n">
        <f aca="false">IF(AND(p_aplicar_feriados=1,D205&lt;&gt;""),0,C205)</f>
        <v>1</v>
      </c>
      <c r="F205" s="19" t="n">
        <f aca="false">E205*p_horas_productivas_dia</f>
        <v>8</v>
      </c>
      <c r="G205" s="4" t="s">
        <v>30</v>
      </c>
    </row>
    <row r="206" customFormat="false" ht="15" hidden="false" customHeight="false" outlineLevel="0" collapsed="false">
      <c r="A206" s="18" t="n">
        <v>45862</v>
      </c>
      <c r="B206" s="9" t="n">
        <f aca="false">WEEKDAY(A206,2)</f>
        <v>4</v>
      </c>
      <c r="C206" s="3" t="n">
        <v>1</v>
      </c>
      <c r="E206" s="9" t="n">
        <f aca="false">IF(AND(p_aplicar_feriados=1,D206&lt;&gt;""),0,C206)</f>
        <v>1</v>
      </c>
      <c r="F206" s="19" t="n">
        <f aca="false">E206*p_horas_productivas_dia</f>
        <v>8</v>
      </c>
      <c r="G206" s="4" t="s">
        <v>30</v>
      </c>
    </row>
    <row r="207" customFormat="false" ht="15" hidden="false" customHeight="false" outlineLevel="0" collapsed="false">
      <c r="A207" s="18" t="n">
        <v>45863</v>
      </c>
      <c r="B207" s="9" t="n">
        <f aca="false">WEEKDAY(A207,2)</f>
        <v>5</v>
      </c>
      <c r="C207" s="3" t="n">
        <v>1</v>
      </c>
      <c r="E207" s="9" t="n">
        <f aca="false">IF(AND(p_aplicar_feriados=1,D207&lt;&gt;""),0,C207)</f>
        <v>1</v>
      </c>
      <c r="F207" s="19" t="n">
        <f aca="false">E207*p_horas_productivas_dia</f>
        <v>8</v>
      </c>
      <c r="G207" s="4" t="s">
        <v>30</v>
      </c>
    </row>
    <row r="208" customFormat="false" ht="15" hidden="false" customHeight="false" outlineLevel="0" collapsed="false">
      <c r="A208" s="18" t="n">
        <v>45864</v>
      </c>
      <c r="B208" s="9" t="n">
        <f aca="false">WEEKDAY(A208,2)</f>
        <v>6</v>
      </c>
      <c r="C208" s="3" t="n">
        <v>0</v>
      </c>
      <c r="E208" s="9" t="n">
        <f aca="false">IF(AND(p_aplicar_feriados=1,D208&lt;&gt;""),0,C208)</f>
        <v>0</v>
      </c>
      <c r="F208" s="19" t="n">
        <f aca="false">E208*p_horas_productivas_dia</f>
        <v>0</v>
      </c>
      <c r="G208" s="4" t="s">
        <v>30</v>
      </c>
    </row>
    <row r="209" customFormat="false" ht="15" hidden="false" customHeight="false" outlineLevel="0" collapsed="false">
      <c r="A209" s="18" t="n">
        <v>45865</v>
      </c>
      <c r="B209" s="9" t="n">
        <f aca="false">WEEKDAY(A209,2)</f>
        <v>7</v>
      </c>
      <c r="C209" s="3" t="n">
        <v>0</v>
      </c>
      <c r="E209" s="9" t="n">
        <f aca="false">IF(AND(p_aplicar_feriados=1,D209&lt;&gt;""),0,C209)</f>
        <v>0</v>
      </c>
      <c r="F209" s="19" t="n">
        <f aca="false">E209*p_horas_productivas_dia</f>
        <v>0</v>
      </c>
      <c r="G209" s="4" t="s">
        <v>30</v>
      </c>
    </row>
    <row r="210" customFormat="false" ht="15" hidden="false" customHeight="false" outlineLevel="0" collapsed="false">
      <c r="A210" s="18" t="n">
        <v>45866</v>
      </c>
      <c r="B210" s="9" t="n">
        <f aca="false">WEEKDAY(A210,2)</f>
        <v>1</v>
      </c>
      <c r="C210" s="3" t="n">
        <v>1</v>
      </c>
      <c r="D210" s="4" t="s">
        <v>968</v>
      </c>
      <c r="E210" s="9" t="n">
        <f aca="false">IF(AND(p_aplicar_feriados=1,D210&lt;&gt;""),0,C210)</f>
        <v>1</v>
      </c>
      <c r="F210" s="19" t="n">
        <f aca="false">E210*p_horas_productivas_dia</f>
        <v>8</v>
      </c>
      <c r="G210" s="4" t="s">
        <v>30</v>
      </c>
    </row>
    <row r="211" customFormat="false" ht="15" hidden="false" customHeight="false" outlineLevel="0" collapsed="false">
      <c r="A211" s="18" t="n">
        <v>45867</v>
      </c>
      <c r="B211" s="9" t="n">
        <f aca="false">WEEKDAY(A211,2)</f>
        <v>2</v>
      </c>
      <c r="C211" s="3" t="n">
        <v>1</v>
      </c>
      <c r="D211" s="4" t="s">
        <v>968</v>
      </c>
      <c r="E211" s="9" t="n">
        <f aca="false">IF(AND(p_aplicar_feriados=1,D211&lt;&gt;""),0,C211)</f>
        <v>1</v>
      </c>
      <c r="F211" s="19" t="n">
        <f aca="false">E211*p_horas_productivas_dia</f>
        <v>8</v>
      </c>
      <c r="G211" s="4" t="s">
        <v>30</v>
      </c>
    </row>
    <row r="212" customFormat="false" ht="15" hidden="false" customHeight="false" outlineLevel="0" collapsed="false">
      <c r="A212" s="18" t="n">
        <v>45868</v>
      </c>
      <c r="B212" s="9" t="n">
        <f aca="false">WEEKDAY(A212,2)</f>
        <v>3</v>
      </c>
      <c r="C212" s="3" t="n">
        <v>1</v>
      </c>
      <c r="E212" s="9" t="n">
        <f aca="false">IF(AND(p_aplicar_feriados=1,D212&lt;&gt;""),0,C212)</f>
        <v>1</v>
      </c>
      <c r="F212" s="19" t="n">
        <f aca="false">E212*p_horas_productivas_dia</f>
        <v>8</v>
      </c>
      <c r="G212" s="4" t="s">
        <v>30</v>
      </c>
    </row>
    <row r="213" customFormat="false" ht="15" hidden="false" customHeight="false" outlineLevel="0" collapsed="false">
      <c r="A213" s="18" t="n">
        <v>45869</v>
      </c>
      <c r="B213" s="9" t="n">
        <f aca="false">WEEKDAY(A213,2)</f>
        <v>4</v>
      </c>
      <c r="C213" s="3" t="n">
        <v>1</v>
      </c>
      <c r="E213" s="9" t="n">
        <f aca="false">IF(AND(p_aplicar_feriados=1,D213&lt;&gt;""),0,C213)</f>
        <v>1</v>
      </c>
      <c r="F213" s="19" t="n">
        <f aca="false">E213*p_horas_productivas_dia</f>
        <v>8</v>
      </c>
      <c r="G213" s="4" t="s">
        <v>30</v>
      </c>
    </row>
    <row r="214" customFormat="false" ht="15" hidden="false" customHeight="false" outlineLevel="0" collapsed="false">
      <c r="A214" s="18" t="n">
        <v>45870</v>
      </c>
      <c r="B214" s="9" t="n">
        <f aca="false">WEEKDAY(A214,2)</f>
        <v>5</v>
      </c>
      <c r="C214" s="3" t="n">
        <v>1</v>
      </c>
      <c r="E214" s="9" t="n">
        <f aca="false">IF(AND(p_aplicar_feriados=1,D214&lt;&gt;""),0,C214)</f>
        <v>1</v>
      </c>
      <c r="F214" s="19" t="n">
        <f aca="false">E214*p_horas_productivas_dia</f>
        <v>8</v>
      </c>
      <c r="G214" s="4" t="s">
        <v>30</v>
      </c>
    </row>
    <row r="215" customFormat="false" ht="15" hidden="false" customHeight="false" outlineLevel="0" collapsed="false">
      <c r="A215" s="18" t="n">
        <v>45871</v>
      </c>
      <c r="B215" s="9" t="n">
        <f aca="false">WEEKDAY(A215,2)</f>
        <v>6</v>
      </c>
      <c r="C215" s="3" t="n">
        <v>0</v>
      </c>
      <c r="E215" s="9" t="n">
        <f aca="false">IF(AND(p_aplicar_feriados=1,D215&lt;&gt;""),0,C215)</f>
        <v>0</v>
      </c>
      <c r="F215" s="19" t="n">
        <f aca="false">E215*p_horas_productivas_dia</f>
        <v>0</v>
      </c>
      <c r="G215" s="4" t="s">
        <v>30</v>
      </c>
    </row>
    <row r="216" customFormat="false" ht="15" hidden="false" customHeight="false" outlineLevel="0" collapsed="false">
      <c r="A216" s="18" t="n">
        <v>45872</v>
      </c>
      <c r="B216" s="9" t="n">
        <f aca="false">WEEKDAY(A216,2)</f>
        <v>7</v>
      </c>
      <c r="C216" s="3" t="n">
        <v>0</v>
      </c>
      <c r="E216" s="9" t="n">
        <f aca="false">IF(AND(p_aplicar_feriados=1,D216&lt;&gt;""),0,C216)</f>
        <v>0</v>
      </c>
      <c r="F216" s="19" t="n">
        <f aca="false">E216*p_horas_productivas_dia</f>
        <v>0</v>
      </c>
      <c r="G216" s="4" t="s">
        <v>30</v>
      </c>
    </row>
    <row r="217" customFormat="false" ht="15" hidden="false" customHeight="false" outlineLevel="0" collapsed="false">
      <c r="A217" s="18" t="n">
        <v>45873</v>
      </c>
      <c r="B217" s="9" t="n">
        <f aca="false">WEEKDAY(A217,2)</f>
        <v>1</v>
      </c>
      <c r="C217" s="3" t="n">
        <v>1</v>
      </c>
      <c r="E217" s="9" t="n">
        <f aca="false">IF(AND(p_aplicar_feriados=1,D217&lt;&gt;""),0,C217)</f>
        <v>1</v>
      </c>
      <c r="F217" s="19" t="n">
        <f aca="false">E217*p_horas_productivas_dia</f>
        <v>8</v>
      </c>
      <c r="G217" s="4" t="s">
        <v>30</v>
      </c>
    </row>
    <row r="218" customFormat="false" ht="15" hidden="false" customHeight="false" outlineLevel="0" collapsed="false">
      <c r="A218" s="18" t="n">
        <v>45874</v>
      </c>
      <c r="B218" s="9" t="n">
        <f aca="false">WEEKDAY(A218,2)</f>
        <v>2</v>
      </c>
      <c r="C218" s="3" t="n">
        <v>1</v>
      </c>
      <c r="E218" s="9" t="n">
        <f aca="false">IF(AND(p_aplicar_feriados=1,D218&lt;&gt;""),0,C218)</f>
        <v>1</v>
      </c>
      <c r="F218" s="19" t="n">
        <f aca="false">E218*p_horas_productivas_dia</f>
        <v>8</v>
      </c>
      <c r="G218" s="4" t="s">
        <v>30</v>
      </c>
    </row>
    <row r="219" customFormat="false" ht="15" hidden="false" customHeight="false" outlineLevel="0" collapsed="false">
      <c r="A219" s="18" t="n">
        <v>45875</v>
      </c>
      <c r="B219" s="9" t="n">
        <f aca="false">WEEKDAY(A219,2)</f>
        <v>3</v>
      </c>
      <c r="C219" s="3" t="n">
        <v>1</v>
      </c>
      <c r="D219" s="4" t="s">
        <v>969</v>
      </c>
      <c r="E219" s="9" t="n">
        <f aca="false">IF(AND(p_aplicar_feriados=1,D219&lt;&gt;""),0,C219)</f>
        <v>1</v>
      </c>
      <c r="F219" s="19" t="n">
        <f aca="false">E219*p_horas_productivas_dia</f>
        <v>8</v>
      </c>
      <c r="G219" s="4" t="s">
        <v>30</v>
      </c>
    </row>
    <row r="220" customFormat="false" ht="15" hidden="false" customHeight="false" outlineLevel="0" collapsed="false">
      <c r="A220" s="18" t="n">
        <v>45876</v>
      </c>
      <c r="B220" s="9" t="n">
        <f aca="false">WEEKDAY(A220,2)</f>
        <v>4</v>
      </c>
      <c r="C220" s="3" t="n">
        <v>1</v>
      </c>
      <c r="E220" s="9" t="n">
        <f aca="false">IF(AND(p_aplicar_feriados=1,D220&lt;&gt;""),0,C220)</f>
        <v>1</v>
      </c>
      <c r="F220" s="19" t="n">
        <f aca="false">E220*p_horas_productivas_dia</f>
        <v>8</v>
      </c>
      <c r="G220" s="4" t="s">
        <v>30</v>
      </c>
    </row>
    <row r="221" customFormat="false" ht="15" hidden="false" customHeight="false" outlineLevel="0" collapsed="false">
      <c r="A221" s="18" t="n">
        <v>45877</v>
      </c>
      <c r="B221" s="9" t="n">
        <f aca="false">WEEKDAY(A221,2)</f>
        <v>5</v>
      </c>
      <c r="C221" s="3" t="n">
        <v>1</v>
      </c>
      <c r="E221" s="9" t="n">
        <f aca="false">IF(AND(p_aplicar_feriados=1,D221&lt;&gt;""),0,C221)</f>
        <v>1</v>
      </c>
      <c r="F221" s="19" t="n">
        <f aca="false">E221*p_horas_productivas_dia</f>
        <v>8</v>
      </c>
      <c r="G221" s="4" t="s">
        <v>30</v>
      </c>
    </row>
    <row r="222" customFormat="false" ht="15" hidden="false" customHeight="false" outlineLevel="0" collapsed="false">
      <c r="A222" s="18" t="n">
        <v>45878</v>
      </c>
      <c r="B222" s="9" t="n">
        <f aca="false">WEEKDAY(A222,2)</f>
        <v>6</v>
      </c>
      <c r="C222" s="3" t="n">
        <v>0</v>
      </c>
      <c r="E222" s="9" t="n">
        <f aca="false">IF(AND(p_aplicar_feriados=1,D222&lt;&gt;""),0,C222)</f>
        <v>0</v>
      </c>
      <c r="F222" s="19" t="n">
        <f aca="false">E222*p_horas_productivas_dia</f>
        <v>0</v>
      </c>
      <c r="G222" s="4" t="s">
        <v>30</v>
      </c>
    </row>
    <row r="223" customFormat="false" ht="15" hidden="false" customHeight="false" outlineLevel="0" collapsed="false">
      <c r="A223" s="18" t="n">
        <v>45879</v>
      </c>
      <c r="B223" s="9" t="n">
        <f aca="false">WEEKDAY(A223,2)</f>
        <v>7</v>
      </c>
      <c r="C223" s="3" t="n">
        <v>0</v>
      </c>
      <c r="E223" s="9" t="n">
        <f aca="false">IF(AND(p_aplicar_feriados=1,D223&lt;&gt;""),0,C223)</f>
        <v>0</v>
      </c>
      <c r="F223" s="19" t="n">
        <f aca="false">E223*p_horas_productivas_dia</f>
        <v>0</v>
      </c>
      <c r="G223" s="4" t="s">
        <v>30</v>
      </c>
    </row>
    <row r="224" customFormat="false" ht="15" hidden="false" customHeight="false" outlineLevel="0" collapsed="false">
      <c r="A224" s="18" t="n">
        <v>45880</v>
      </c>
      <c r="B224" s="9" t="n">
        <f aca="false">WEEKDAY(A224,2)</f>
        <v>1</v>
      </c>
      <c r="C224" s="3" t="n">
        <v>1</v>
      </c>
      <c r="E224" s="9" t="n">
        <f aca="false">IF(AND(p_aplicar_feriados=1,D224&lt;&gt;""),0,C224)</f>
        <v>1</v>
      </c>
      <c r="F224" s="19" t="n">
        <f aca="false">E224*p_horas_productivas_dia</f>
        <v>8</v>
      </c>
      <c r="G224" s="4" t="s">
        <v>30</v>
      </c>
    </row>
    <row r="225" customFormat="false" ht="15" hidden="false" customHeight="false" outlineLevel="0" collapsed="false">
      <c r="A225" s="18" t="n">
        <v>45881</v>
      </c>
      <c r="B225" s="9" t="n">
        <f aca="false">WEEKDAY(A225,2)</f>
        <v>2</v>
      </c>
      <c r="C225" s="3" t="n">
        <v>1</v>
      </c>
      <c r="E225" s="9" t="n">
        <f aca="false">IF(AND(p_aplicar_feriados=1,D225&lt;&gt;""),0,C225)</f>
        <v>1</v>
      </c>
      <c r="F225" s="19" t="n">
        <f aca="false">E225*p_horas_productivas_dia</f>
        <v>8</v>
      </c>
      <c r="G225" s="4" t="s">
        <v>30</v>
      </c>
    </row>
    <row r="226" customFormat="false" ht="15" hidden="false" customHeight="false" outlineLevel="0" collapsed="false">
      <c r="A226" s="18" t="n">
        <v>45882</v>
      </c>
      <c r="B226" s="9" t="n">
        <f aca="false">WEEKDAY(A226,2)</f>
        <v>3</v>
      </c>
      <c r="C226" s="3" t="n">
        <v>1</v>
      </c>
      <c r="E226" s="9" t="n">
        <f aca="false">IF(AND(p_aplicar_feriados=1,D226&lt;&gt;""),0,C226)</f>
        <v>1</v>
      </c>
      <c r="F226" s="19" t="n">
        <f aca="false">E226*p_horas_productivas_dia</f>
        <v>8</v>
      </c>
      <c r="G226" s="4" t="s">
        <v>30</v>
      </c>
    </row>
    <row r="227" customFormat="false" ht="15" hidden="false" customHeight="false" outlineLevel="0" collapsed="false">
      <c r="A227" s="18" t="n">
        <v>45883</v>
      </c>
      <c r="B227" s="9" t="n">
        <f aca="false">WEEKDAY(A227,2)</f>
        <v>4</v>
      </c>
      <c r="C227" s="3" t="n">
        <v>1</v>
      </c>
      <c r="E227" s="9" t="n">
        <f aca="false">IF(AND(p_aplicar_feriados=1,D227&lt;&gt;""),0,C227)</f>
        <v>1</v>
      </c>
      <c r="F227" s="19" t="n">
        <f aca="false">E227*p_horas_productivas_dia</f>
        <v>8</v>
      </c>
      <c r="G227" s="4" t="s">
        <v>30</v>
      </c>
    </row>
    <row r="228" customFormat="false" ht="15" hidden="false" customHeight="false" outlineLevel="0" collapsed="false">
      <c r="A228" s="18" t="n">
        <v>45884</v>
      </c>
      <c r="B228" s="9" t="n">
        <f aca="false">WEEKDAY(A228,2)</f>
        <v>5</v>
      </c>
      <c r="C228" s="3" t="n">
        <v>1</v>
      </c>
      <c r="E228" s="9" t="n">
        <f aca="false">IF(AND(p_aplicar_feriados=1,D228&lt;&gt;""),0,C228)</f>
        <v>1</v>
      </c>
      <c r="F228" s="19" t="n">
        <f aca="false">E228*p_horas_productivas_dia</f>
        <v>8</v>
      </c>
      <c r="G228" s="4" t="s">
        <v>30</v>
      </c>
    </row>
    <row r="229" customFormat="false" ht="15" hidden="false" customHeight="false" outlineLevel="0" collapsed="false">
      <c r="A229" s="18" t="n">
        <v>45885</v>
      </c>
      <c r="B229" s="9" t="n">
        <f aca="false">WEEKDAY(A229,2)</f>
        <v>6</v>
      </c>
      <c r="C229" s="3" t="n">
        <v>0</v>
      </c>
      <c r="E229" s="9" t="n">
        <f aca="false">IF(AND(p_aplicar_feriados=1,D229&lt;&gt;""),0,C229)</f>
        <v>0</v>
      </c>
      <c r="F229" s="19" t="n">
        <f aca="false">E229*p_horas_productivas_dia</f>
        <v>0</v>
      </c>
      <c r="G229" s="4" t="s">
        <v>30</v>
      </c>
    </row>
    <row r="230" customFormat="false" ht="15" hidden="false" customHeight="false" outlineLevel="0" collapsed="false">
      <c r="A230" s="18" t="n">
        <v>45886</v>
      </c>
      <c r="B230" s="9" t="n">
        <f aca="false">WEEKDAY(A230,2)</f>
        <v>7</v>
      </c>
      <c r="C230" s="3" t="n">
        <v>0</v>
      </c>
      <c r="E230" s="9" t="n">
        <f aca="false">IF(AND(p_aplicar_feriados=1,D230&lt;&gt;""),0,C230)</f>
        <v>0</v>
      </c>
      <c r="F230" s="19" t="n">
        <f aca="false">E230*p_horas_productivas_dia</f>
        <v>0</v>
      </c>
      <c r="G230" s="4" t="s">
        <v>30</v>
      </c>
    </row>
    <row r="231" customFormat="false" ht="15" hidden="false" customHeight="false" outlineLevel="0" collapsed="false">
      <c r="A231" s="18" t="n">
        <v>45887</v>
      </c>
      <c r="B231" s="9" t="n">
        <f aca="false">WEEKDAY(A231,2)</f>
        <v>1</v>
      </c>
      <c r="C231" s="3" t="n">
        <v>1</v>
      </c>
      <c r="E231" s="9" t="n">
        <f aca="false">IF(AND(p_aplicar_feriados=1,D231&lt;&gt;""),0,C231)</f>
        <v>1</v>
      </c>
      <c r="F231" s="19" t="n">
        <f aca="false">E231*p_horas_productivas_dia</f>
        <v>8</v>
      </c>
      <c r="G231" s="4" t="s">
        <v>30</v>
      </c>
    </row>
    <row r="232" customFormat="false" ht="15" hidden="false" customHeight="false" outlineLevel="0" collapsed="false">
      <c r="A232" s="18" t="n">
        <v>45888</v>
      </c>
      <c r="B232" s="9" t="n">
        <f aca="false">WEEKDAY(A232,2)</f>
        <v>2</v>
      </c>
      <c r="C232" s="3" t="n">
        <v>1</v>
      </c>
      <c r="E232" s="9" t="n">
        <f aca="false">IF(AND(p_aplicar_feriados=1,D232&lt;&gt;""),0,C232)</f>
        <v>1</v>
      </c>
      <c r="F232" s="19" t="n">
        <f aca="false">E232*p_horas_productivas_dia</f>
        <v>8</v>
      </c>
      <c r="G232" s="4" t="s">
        <v>30</v>
      </c>
    </row>
    <row r="233" customFormat="false" ht="15" hidden="false" customHeight="false" outlineLevel="0" collapsed="false">
      <c r="A233" s="18" t="n">
        <v>45889</v>
      </c>
      <c r="B233" s="9" t="n">
        <f aca="false">WEEKDAY(A233,2)</f>
        <v>3</v>
      </c>
      <c r="C233" s="3" t="n">
        <v>1</v>
      </c>
      <c r="E233" s="9" t="n">
        <f aca="false">IF(AND(p_aplicar_feriados=1,D233&lt;&gt;""),0,C233)</f>
        <v>1</v>
      </c>
      <c r="F233" s="19" t="n">
        <f aca="false">E233*p_horas_productivas_dia</f>
        <v>8</v>
      </c>
      <c r="G233" s="4" t="s">
        <v>30</v>
      </c>
    </row>
    <row r="234" customFormat="false" ht="15" hidden="false" customHeight="false" outlineLevel="0" collapsed="false">
      <c r="A234" s="18" t="n">
        <v>45890</v>
      </c>
      <c r="B234" s="9" t="n">
        <f aca="false">WEEKDAY(A234,2)</f>
        <v>4</v>
      </c>
      <c r="C234" s="3" t="n">
        <v>1</v>
      </c>
      <c r="E234" s="9" t="n">
        <f aca="false">IF(AND(p_aplicar_feriados=1,D234&lt;&gt;""),0,C234)</f>
        <v>1</v>
      </c>
      <c r="F234" s="19" t="n">
        <f aca="false">E234*p_horas_productivas_dia</f>
        <v>8</v>
      </c>
      <c r="G234" s="4" t="s">
        <v>30</v>
      </c>
    </row>
    <row r="235" customFormat="false" ht="15" hidden="false" customHeight="false" outlineLevel="0" collapsed="false">
      <c r="A235" s="18" t="n">
        <v>45891</v>
      </c>
      <c r="B235" s="9" t="n">
        <f aca="false">WEEKDAY(A235,2)</f>
        <v>5</v>
      </c>
      <c r="C235" s="3" t="n">
        <v>1</v>
      </c>
      <c r="E235" s="9" t="n">
        <f aca="false">IF(AND(p_aplicar_feriados=1,D235&lt;&gt;""),0,C235)</f>
        <v>1</v>
      </c>
      <c r="F235" s="19" t="n">
        <f aca="false">E235*p_horas_productivas_dia</f>
        <v>8</v>
      </c>
      <c r="G235" s="4" t="s">
        <v>30</v>
      </c>
    </row>
    <row r="236" customFormat="false" ht="15" hidden="false" customHeight="false" outlineLevel="0" collapsed="false">
      <c r="A236" s="18" t="n">
        <v>45892</v>
      </c>
      <c r="B236" s="9" t="n">
        <f aca="false">WEEKDAY(A236,2)</f>
        <v>6</v>
      </c>
      <c r="C236" s="3" t="n">
        <v>0</v>
      </c>
      <c r="E236" s="9" t="n">
        <f aca="false">IF(AND(p_aplicar_feriados=1,D236&lt;&gt;""),0,C236)</f>
        <v>0</v>
      </c>
      <c r="F236" s="19" t="n">
        <f aca="false">E236*p_horas_productivas_dia</f>
        <v>0</v>
      </c>
      <c r="G236" s="4" t="s">
        <v>30</v>
      </c>
    </row>
    <row r="237" customFormat="false" ht="15" hidden="false" customHeight="false" outlineLevel="0" collapsed="false">
      <c r="A237" s="18" t="n">
        <v>45893</v>
      </c>
      <c r="B237" s="9" t="n">
        <f aca="false">WEEKDAY(A237,2)</f>
        <v>7</v>
      </c>
      <c r="C237" s="3" t="n">
        <v>0</v>
      </c>
      <c r="E237" s="9" t="n">
        <f aca="false">IF(AND(p_aplicar_feriados=1,D237&lt;&gt;""),0,C237)</f>
        <v>0</v>
      </c>
      <c r="F237" s="19" t="n">
        <f aca="false">E237*p_horas_productivas_dia</f>
        <v>0</v>
      </c>
      <c r="G237" s="4" t="s">
        <v>30</v>
      </c>
    </row>
    <row r="238" customFormat="false" ht="15" hidden="false" customHeight="false" outlineLevel="0" collapsed="false">
      <c r="A238" s="18" t="n">
        <v>45894</v>
      </c>
      <c r="B238" s="9" t="n">
        <f aca="false">WEEKDAY(A238,2)</f>
        <v>1</v>
      </c>
      <c r="C238" s="3" t="n">
        <v>1</v>
      </c>
      <c r="E238" s="9" t="n">
        <f aca="false">IF(AND(p_aplicar_feriados=1,D238&lt;&gt;""),0,C238)</f>
        <v>1</v>
      </c>
      <c r="F238" s="19" t="n">
        <f aca="false">E238*p_horas_productivas_dia</f>
        <v>8</v>
      </c>
      <c r="G238" s="4" t="s">
        <v>30</v>
      </c>
    </row>
    <row r="239" customFormat="false" ht="15" hidden="false" customHeight="false" outlineLevel="0" collapsed="false">
      <c r="A239" s="18" t="n">
        <v>45895</v>
      </c>
      <c r="B239" s="9" t="n">
        <f aca="false">WEEKDAY(A239,2)</f>
        <v>2</v>
      </c>
      <c r="C239" s="3" t="n">
        <v>1</v>
      </c>
      <c r="E239" s="9" t="n">
        <f aca="false">IF(AND(p_aplicar_feriados=1,D239&lt;&gt;""),0,C239)</f>
        <v>1</v>
      </c>
      <c r="F239" s="19" t="n">
        <f aca="false">E239*p_horas_productivas_dia</f>
        <v>8</v>
      </c>
      <c r="G239" s="4" t="s">
        <v>30</v>
      </c>
    </row>
    <row r="240" customFormat="false" ht="15" hidden="false" customHeight="false" outlineLevel="0" collapsed="false">
      <c r="A240" s="18" t="n">
        <v>45896</v>
      </c>
      <c r="B240" s="9" t="n">
        <f aca="false">WEEKDAY(A240,2)</f>
        <v>3</v>
      </c>
      <c r="C240" s="3" t="n">
        <v>1</v>
      </c>
      <c r="E240" s="9" t="n">
        <f aca="false">IF(AND(p_aplicar_feriados=1,D240&lt;&gt;""),0,C240)</f>
        <v>1</v>
      </c>
      <c r="F240" s="19" t="n">
        <f aca="false">E240*p_horas_productivas_dia</f>
        <v>8</v>
      </c>
      <c r="G240" s="4" t="s">
        <v>30</v>
      </c>
    </row>
    <row r="241" customFormat="false" ht="15" hidden="false" customHeight="false" outlineLevel="0" collapsed="false">
      <c r="A241" s="18" t="n">
        <v>45897</v>
      </c>
      <c r="B241" s="9" t="n">
        <f aca="false">WEEKDAY(A241,2)</f>
        <v>4</v>
      </c>
      <c r="C241" s="3" t="n">
        <v>1</v>
      </c>
      <c r="E241" s="9" t="n">
        <f aca="false">IF(AND(p_aplicar_feriados=1,D241&lt;&gt;""),0,C241)</f>
        <v>1</v>
      </c>
      <c r="F241" s="19" t="n">
        <f aca="false">E241*p_horas_productivas_dia</f>
        <v>8</v>
      </c>
      <c r="G241" s="4" t="s">
        <v>30</v>
      </c>
    </row>
    <row r="242" customFormat="false" ht="15" hidden="false" customHeight="false" outlineLevel="0" collapsed="false">
      <c r="A242" s="18" t="n">
        <v>45898</v>
      </c>
      <c r="B242" s="9" t="n">
        <f aca="false">WEEKDAY(A242,2)</f>
        <v>5</v>
      </c>
      <c r="C242" s="3" t="n">
        <v>1</v>
      </c>
      <c r="E242" s="9" t="n">
        <f aca="false">IF(AND(p_aplicar_feriados=1,D242&lt;&gt;""),0,C242)</f>
        <v>1</v>
      </c>
      <c r="F242" s="19" t="n">
        <f aca="false">E242*p_horas_productivas_dia</f>
        <v>8</v>
      </c>
      <c r="G242" s="4" t="s">
        <v>30</v>
      </c>
    </row>
    <row r="243" customFormat="false" ht="15" hidden="false" customHeight="false" outlineLevel="0" collapsed="false">
      <c r="A243" s="18" t="n">
        <v>45899</v>
      </c>
      <c r="B243" s="9" t="n">
        <f aca="false">WEEKDAY(A243,2)</f>
        <v>6</v>
      </c>
      <c r="C243" s="3" t="n">
        <v>0</v>
      </c>
      <c r="D243" s="4" t="s">
        <v>970</v>
      </c>
      <c r="E243" s="9" t="n">
        <f aca="false">IF(AND(p_aplicar_feriados=1,D243&lt;&gt;""),0,C243)</f>
        <v>0</v>
      </c>
      <c r="F243" s="19" t="n">
        <f aca="false">E243*p_horas_productivas_dia</f>
        <v>0</v>
      </c>
      <c r="G243" s="4" t="s">
        <v>30</v>
      </c>
    </row>
    <row r="244" customFormat="false" ht="15" hidden="false" customHeight="false" outlineLevel="0" collapsed="false">
      <c r="A244" s="18" t="n">
        <v>45900</v>
      </c>
      <c r="B244" s="9" t="n">
        <f aca="false">WEEKDAY(A244,2)</f>
        <v>7</v>
      </c>
      <c r="C244" s="3" t="n">
        <v>0</v>
      </c>
      <c r="E244" s="9" t="n">
        <f aca="false">IF(AND(p_aplicar_feriados=1,D244&lt;&gt;""),0,C244)</f>
        <v>0</v>
      </c>
      <c r="F244" s="19" t="n">
        <f aca="false">E244*p_horas_productivas_dia</f>
        <v>0</v>
      </c>
      <c r="G244" s="4" t="s">
        <v>30</v>
      </c>
    </row>
    <row r="245" customFormat="false" ht="15" hidden="false" customHeight="false" outlineLevel="0" collapsed="false">
      <c r="A245" s="18" t="n">
        <v>45901</v>
      </c>
      <c r="B245" s="9" t="n">
        <f aca="false">WEEKDAY(A245,2)</f>
        <v>1</v>
      </c>
      <c r="C245" s="3" t="n">
        <v>1</v>
      </c>
      <c r="E245" s="9" t="n">
        <f aca="false">IF(AND(p_aplicar_feriados=1,D245&lt;&gt;""),0,C245)</f>
        <v>1</v>
      </c>
      <c r="F245" s="19" t="n">
        <f aca="false">E245*p_horas_productivas_dia</f>
        <v>8</v>
      </c>
      <c r="G245" s="4" t="s">
        <v>30</v>
      </c>
    </row>
    <row r="246" customFormat="false" ht="15" hidden="false" customHeight="false" outlineLevel="0" collapsed="false">
      <c r="A246" s="18" t="n">
        <v>45902</v>
      </c>
      <c r="B246" s="9" t="n">
        <f aca="false">WEEKDAY(A246,2)</f>
        <v>2</v>
      </c>
      <c r="C246" s="3" t="n">
        <v>1</v>
      </c>
      <c r="E246" s="9" t="n">
        <f aca="false">IF(AND(p_aplicar_feriados=1,D246&lt;&gt;""),0,C246)</f>
        <v>1</v>
      </c>
      <c r="F246" s="19" t="n">
        <f aca="false">E246*p_horas_productivas_dia</f>
        <v>8</v>
      </c>
      <c r="G246" s="4" t="s">
        <v>30</v>
      </c>
    </row>
    <row r="247" customFormat="false" ht="15" hidden="false" customHeight="false" outlineLevel="0" collapsed="false">
      <c r="A247" s="18" t="n">
        <v>45903</v>
      </c>
      <c r="B247" s="9" t="n">
        <f aca="false">WEEKDAY(A247,2)</f>
        <v>3</v>
      </c>
      <c r="C247" s="3" t="n">
        <v>1</v>
      </c>
      <c r="E247" s="9" t="n">
        <f aca="false">IF(AND(p_aplicar_feriados=1,D247&lt;&gt;""),0,C247)</f>
        <v>1</v>
      </c>
      <c r="F247" s="19" t="n">
        <f aca="false">E247*p_horas_productivas_dia</f>
        <v>8</v>
      </c>
      <c r="G247" s="4" t="s">
        <v>30</v>
      </c>
    </row>
    <row r="248" customFormat="false" ht="15" hidden="false" customHeight="false" outlineLevel="0" collapsed="false">
      <c r="A248" s="18" t="n">
        <v>45904</v>
      </c>
      <c r="B248" s="9" t="n">
        <f aca="false">WEEKDAY(A248,2)</f>
        <v>4</v>
      </c>
      <c r="C248" s="3" t="n">
        <v>1</v>
      </c>
      <c r="E248" s="9" t="n">
        <f aca="false">IF(AND(p_aplicar_feriados=1,D248&lt;&gt;""),0,C248)</f>
        <v>1</v>
      </c>
      <c r="F248" s="19" t="n">
        <f aca="false">E248*p_horas_productivas_dia</f>
        <v>8</v>
      </c>
      <c r="G248" s="4" t="s">
        <v>30</v>
      </c>
    </row>
    <row r="249" customFormat="false" ht="15" hidden="false" customHeight="false" outlineLevel="0" collapsed="false">
      <c r="A249" s="18" t="n">
        <v>45905</v>
      </c>
      <c r="B249" s="9" t="n">
        <f aca="false">WEEKDAY(A249,2)</f>
        <v>5</v>
      </c>
      <c r="C249" s="3" t="n">
        <v>1</v>
      </c>
      <c r="E249" s="9" t="n">
        <f aca="false">IF(AND(p_aplicar_feriados=1,D249&lt;&gt;""),0,C249)</f>
        <v>1</v>
      </c>
      <c r="F249" s="19" t="n">
        <f aca="false">E249*p_horas_productivas_dia</f>
        <v>8</v>
      </c>
      <c r="G249" s="4" t="s">
        <v>30</v>
      </c>
    </row>
    <row r="250" customFormat="false" ht="15" hidden="false" customHeight="false" outlineLevel="0" collapsed="false">
      <c r="A250" s="18" t="n">
        <v>45906</v>
      </c>
      <c r="B250" s="9" t="n">
        <f aca="false">WEEKDAY(A250,2)</f>
        <v>6</v>
      </c>
      <c r="C250" s="3" t="n">
        <v>0</v>
      </c>
      <c r="E250" s="9" t="n">
        <f aca="false">IF(AND(p_aplicar_feriados=1,D250&lt;&gt;""),0,C250)</f>
        <v>0</v>
      </c>
      <c r="F250" s="19" t="n">
        <f aca="false">E250*p_horas_productivas_dia</f>
        <v>0</v>
      </c>
      <c r="G250" s="4" t="s">
        <v>30</v>
      </c>
    </row>
    <row r="251" customFormat="false" ht="15" hidden="false" customHeight="false" outlineLevel="0" collapsed="false">
      <c r="A251" s="18" t="n">
        <v>45907</v>
      </c>
      <c r="B251" s="9" t="n">
        <f aca="false">WEEKDAY(A251,2)</f>
        <v>7</v>
      </c>
      <c r="C251" s="3" t="n">
        <v>0</v>
      </c>
      <c r="E251" s="9" t="n">
        <f aca="false">IF(AND(p_aplicar_feriados=1,D251&lt;&gt;""),0,C251)</f>
        <v>0</v>
      </c>
      <c r="F251" s="19" t="n">
        <f aca="false">E251*p_horas_productivas_dia</f>
        <v>0</v>
      </c>
      <c r="G251" s="4" t="s">
        <v>30</v>
      </c>
    </row>
    <row r="252" customFormat="false" ht="15" hidden="false" customHeight="false" outlineLevel="0" collapsed="false">
      <c r="A252" s="18" t="n">
        <v>45908</v>
      </c>
      <c r="B252" s="9" t="n">
        <f aca="false">WEEKDAY(A252,2)</f>
        <v>1</v>
      </c>
      <c r="C252" s="3" t="n">
        <v>1</v>
      </c>
      <c r="E252" s="9" t="n">
        <f aca="false">IF(AND(p_aplicar_feriados=1,D252&lt;&gt;""),0,C252)</f>
        <v>1</v>
      </c>
      <c r="F252" s="19" t="n">
        <f aca="false">E252*p_horas_productivas_dia</f>
        <v>8</v>
      </c>
      <c r="G252" s="4" t="s">
        <v>30</v>
      </c>
    </row>
    <row r="253" customFormat="false" ht="15" hidden="false" customHeight="false" outlineLevel="0" collapsed="false">
      <c r="A253" s="18" t="n">
        <v>45909</v>
      </c>
      <c r="B253" s="9" t="n">
        <f aca="false">WEEKDAY(A253,2)</f>
        <v>2</v>
      </c>
      <c r="C253" s="3" t="n">
        <v>1</v>
      </c>
      <c r="E253" s="9" t="n">
        <f aca="false">IF(AND(p_aplicar_feriados=1,D253&lt;&gt;""),0,C253)</f>
        <v>1</v>
      </c>
      <c r="F253" s="19" t="n">
        <f aca="false">E253*p_horas_productivas_dia</f>
        <v>8</v>
      </c>
      <c r="G253" s="4" t="s">
        <v>30</v>
      </c>
    </row>
    <row r="254" customFormat="false" ht="15" hidden="false" customHeight="false" outlineLevel="0" collapsed="false">
      <c r="A254" s="18" t="n">
        <v>45910</v>
      </c>
      <c r="B254" s="9" t="n">
        <f aca="false">WEEKDAY(A254,2)</f>
        <v>3</v>
      </c>
      <c r="C254" s="3" t="n">
        <v>1</v>
      </c>
      <c r="E254" s="9" t="n">
        <f aca="false">IF(AND(p_aplicar_feriados=1,D254&lt;&gt;""),0,C254)</f>
        <v>1</v>
      </c>
      <c r="F254" s="19" t="n">
        <f aca="false">E254*p_horas_productivas_dia</f>
        <v>8</v>
      </c>
      <c r="G254" s="4" t="s">
        <v>30</v>
      </c>
    </row>
    <row r="255" customFormat="false" ht="15" hidden="false" customHeight="false" outlineLevel="0" collapsed="false">
      <c r="A255" s="18" t="n">
        <v>45911</v>
      </c>
      <c r="B255" s="9" t="n">
        <f aca="false">WEEKDAY(A255,2)</f>
        <v>4</v>
      </c>
      <c r="C255" s="3" t="n">
        <v>1</v>
      </c>
      <c r="E255" s="9" t="n">
        <f aca="false">IF(AND(p_aplicar_feriados=1,D255&lt;&gt;""),0,C255)</f>
        <v>1</v>
      </c>
      <c r="F255" s="19" t="n">
        <f aca="false">E255*p_horas_productivas_dia</f>
        <v>8</v>
      </c>
      <c r="G255" s="4" t="s">
        <v>30</v>
      </c>
    </row>
    <row r="256" customFormat="false" ht="15" hidden="false" customHeight="false" outlineLevel="0" collapsed="false">
      <c r="A256" s="18" t="n">
        <v>45912</v>
      </c>
      <c r="B256" s="9" t="n">
        <f aca="false">WEEKDAY(A256,2)</f>
        <v>5</v>
      </c>
      <c r="C256" s="3" t="n">
        <v>1</v>
      </c>
      <c r="E256" s="9" t="n">
        <f aca="false">IF(AND(p_aplicar_feriados=1,D256&lt;&gt;""),0,C256)</f>
        <v>1</v>
      </c>
      <c r="F256" s="19" t="n">
        <f aca="false">E256*p_horas_productivas_dia</f>
        <v>8</v>
      </c>
      <c r="G256" s="4" t="s">
        <v>30</v>
      </c>
    </row>
    <row r="257" customFormat="false" ht="15" hidden="false" customHeight="false" outlineLevel="0" collapsed="false">
      <c r="A257" s="18" t="n">
        <v>45913</v>
      </c>
      <c r="B257" s="9" t="n">
        <f aca="false">WEEKDAY(A257,2)</f>
        <v>6</v>
      </c>
      <c r="C257" s="3" t="n">
        <v>0</v>
      </c>
      <c r="E257" s="9" t="n">
        <f aca="false">IF(AND(p_aplicar_feriados=1,D257&lt;&gt;""),0,C257)</f>
        <v>0</v>
      </c>
      <c r="F257" s="19" t="n">
        <f aca="false">E257*p_horas_productivas_dia</f>
        <v>0</v>
      </c>
      <c r="G257" s="4" t="s">
        <v>30</v>
      </c>
    </row>
    <row r="258" customFormat="false" ht="15" hidden="false" customHeight="false" outlineLevel="0" collapsed="false">
      <c r="A258" s="18" t="n">
        <v>45914</v>
      </c>
      <c r="B258" s="9" t="n">
        <f aca="false">WEEKDAY(A258,2)</f>
        <v>7</v>
      </c>
      <c r="C258" s="3" t="n">
        <v>0</v>
      </c>
      <c r="E258" s="9" t="n">
        <f aca="false">IF(AND(p_aplicar_feriados=1,D258&lt;&gt;""),0,C258)</f>
        <v>0</v>
      </c>
      <c r="F258" s="19" t="n">
        <f aca="false">E258*p_horas_productivas_dia</f>
        <v>0</v>
      </c>
      <c r="G258" s="4" t="s">
        <v>30</v>
      </c>
    </row>
    <row r="259" customFormat="false" ht="15" hidden="false" customHeight="false" outlineLevel="0" collapsed="false">
      <c r="A259" s="18" t="n">
        <v>45915</v>
      </c>
      <c r="B259" s="9" t="n">
        <f aca="false">WEEKDAY(A259,2)</f>
        <v>1</v>
      </c>
      <c r="C259" s="3" t="n">
        <v>1</v>
      </c>
      <c r="E259" s="9" t="n">
        <f aca="false">IF(AND(p_aplicar_feriados=1,D259&lt;&gt;""),0,C259)</f>
        <v>1</v>
      </c>
      <c r="F259" s="19" t="n">
        <f aca="false">E259*p_horas_productivas_dia</f>
        <v>8</v>
      </c>
      <c r="G259" s="4" t="s">
        <v>30</v>
      </c>
    </row>
    <row r="260" customFormat="false" ht="15" hidden="false" customHeight="false" outlineLevel="0" collapsed="false">
      <c r="A260" s="18" t="n">
        <v>45916</v>
      </c>
      <c r="B260" s="9" t="n">
        <f aca="false">WEEKDAY(A260,2)</f>
        <v>2</v>
      </c>
      <c r="C260" s="3" t="n">
        <v>1</v>
      </c>
      <c r="E260" s="9" t="n">
        <f aca="false">IF(AND(p_aplicar_feriados=1,D260&lt;&gt;""),0,C260)</f>
        <v>1</v>
      </c>
      <c r="F260" s="19" t="n">
        <f aca="false">E260*p_horas_productivas_dia</f>
        <v>8</v>
      </c>
      <c r="G260" s="4" t="s">
        <v>30</v>
      </c>
    </row>
    <row r="261" customFormat="false" ht="15" hidden="false" customHeight="false" outlineLevel="0" collapsed="false">
      <c r="A261" s="18" t="n">
        <v>45917</v>
      </c>
      <c r="B261" s="9" t="n">
        <f aca="false">WEEKDAY(A261,2)</f>
        <v>3</v>
      </c>
      <c r="C261" s="3" t="n">
        <v>1</v>
      </c>
      <c r="E261" s="9" t="n">
        <f aca="false">IF(AND(p_aplicar_feriados=1,D261&lt;&gt;""),0,C261)</f>
        <v>1</v>
      </c>
      <c r="F261" s="19" t="n">
        <f aca="false">E261*p_horas_productivas_dia</f>
        <v>8</v>
      </c>
      <c r="G261" s="4" t="s">
        <v>30</v>
      </c>
    </row>
    <row r="262" customFormat="false" ht="15" hidden="false" customHeight="false" outlineLevel="0" collapsed="false">
      <c r="A262" s="18" t="n">
        <v>45918</v>
      </c>
      <c r="B262" s="9" t="n">
        <f aca="false">WEEKDAY(A262,2)</f>
        <v>4</v>
      </c>
      <c r="C262" s="3" t="n">
        <v>1</v>
      </c>
      <c r="E262" s="9" t="n">
        <f aca="false">IF(AND(p_aplicar_feriados=1,D262&lt;&gt;""),0,C262)</f>
        <v>1</v>
      </c>
      <c r="F262" s="19" t="n">
        <f aca="false">E262*p_horas_productivas_dia</f>
        <v>8</v>
      </c>
      <c r="G262" s="4" t="s">
        <v>30</v>
      </c>
    </row>
    <row r="263" customFormat="false" ht="15" hidden="false" customHeight="false" outlineLevel="0" collapsed="false">
      <c r="A263" s="18" t="n">
        <v>45919</v>
      </c>
      <c r="B263" s="9" t="n">
        <f aca="false">WEEKDAY(A263,2)</f>
        <v>5</v>
      </c>
      <c r="C263" s="3" t="n">
        <v>1</v>
      </c>
      <c r="E263" s="9" t="n">
        <f aca="false">IF(AND(p_aplicar_feriados=1,D263&lt;&gt;""),0,C263)</f>
        <v>1</v>
      </c>
      <c r="F263" s="19" t="n">
        <f aca="false">E263*p_horas_productivas_dia</f>
        <v>8</v>
      </c>
      <c r="G263" s="4" t="s">
        <v>30</v>
      </c>
    </row>
    <row r="264" customFormat="false" ht="15" hidden="false" customHeight="false" outlineLevel="0" collapsed="false">
      <c r="A264" s="18" t="n">
        <v>45920</v>
      </c>
      <c r="B264" s="9" t="n">
        <f aca="false">WEEKDAY(A264,2)</f>
        <v>6</v>
      </c>
      <c r="C264" s="3" t="n">
        <v>0</v>
      </c>
      <c r="E264" s="9" t="n">
        <f aca="false">IF(AND(p_aplicar_feriados=1,D264&lt;&gt;""),0,C264)</f>
        <v>0</v>
      </c>
      <c r="F264" s="19" t="n">
        <f aca="false">E264*p_horas_productivas_dia</f>
        <v>0</v>
      </c>
      <c r="G264" s="4" t="s">
        <v>30</v>
      </c>
    </row>
    <row r="265" customFormat="false" ht="15" hidden="false" customHeight="false" outlineLevel="0" collapsed="false">
      <c r="A265" s="18" t="n">
        <v>45921</v>
      </c>
      <c r="B265" s="9" t="n">
        <f aca="false">WEEKDAY(A265,2)</f>
        <v>7</v>
      </c>
      <c r="C265" s="3" t="n">
        <v>0</v>
      </c>
      <c r="E265" s="9" t="n">
        <f aca="false">IF(AND(p_aplicar_feriados=1,D265&lt;&gt;""),0,C265)</f>
        <v>0</v>
      </c>
      <c r="F265" s="19" t="n">
        <f aca="false">E265*p_horas_productivas_dia</f>
        <v>0</v>
      </c>
      <c r="G265" s="4" t="s">
        <v>30</v>
      </c>
    </row>
    <row r="266" customFormat="false" ht="15" hidden="false" customHeight="false" outlineLevel="0" collapsed="false">
      <c r="A266" s="18" t="n">
        <v>45922</v>
      </c>
      <c r="B266" s="9" t="n">
        <f aca="false">WEEKDAY(A266,2)</f>
        <v>1</v>
      </c>
      <c r="C266" s="3" t="n">
        <v>1</v>
      </c>
      <c r="E266" s="9" t="n">
        <f aca="false">IF(AND(p_aplicar_feriados=1,D266&lt;&gt;""),0,C266)</f>
        <v>1</v>
      </c>
      <c r="F266" s="19" t="n">
        <f aca="false">E266*p_horas_productivas_dia</f>
        <v>8</v>
      </c>
      <c r="G266" s="4" t="s">
        <v>30</v>
      </c>
    </row>
    <row r="267" customFormat="false" ht="15" hidden="false" customHeight="false" outlineLevel="0" collapsed="false">
      <c r="A267" s="18" t="n">
        <v>45923</v>
      </c>
      <c r="B267" s="9" t="n">
        <f aca="false">WEEKDAY(A267,2)</f>
        <v>2</v>
      </c>
      <c r="C267" s="3" t="n">
        <v>1</v>
      </c>
      <c r="E267" s="9" t="n">
        <f aca="false">IF(AND(p_aplicar_feriados=1,D267&lt;&gt;""),0,C267)</f>
        <v>1</v>
      </c>
      <c r="F267" s="19" t="n">
        <f aca="false">E267*p_horas_productivas_dia</f>
        <v>8</v>
      </c>
      <c r="G267" s="4" t="s">
        <v>30</v>
      </c>
    </row>
    <row r="268" customFormat="false" ht="15" hidden="false" customHeight="false" outlineLevel="0" collapsed="false">
      <c r="A268" s="18" t="n">
        <v>45924</v>
      </c>
      <c r="B268" s="9" t="n">
        <f aca="false">WEEKDAY(A268,2)</f>
        <v>3</v>
      </c>
      <c r="C268" s="3" t="n">
        <v>1</v>
      </c>
      <c r="E268" s="9" t="n">
        <f aca="false">IF(AND(p_aplicar_feriados=1,D268&lt;&gt;""),0,C268)</f>
        <v>1</v>
      </c>
      <c r="F268" s="19" t="n">
        <f aca="false">E268*p_horas_productivas_dia</f>
        <v>8</v>
      </c>
      <c r="G268" s="4" t="s">
        <v>30</v>
      </c>
    </row>
    <row r="269" customFormat="false" ht="15" hidden="false" customHeight="false" outlineLevel="0" collapsed="false">
      <c r="A269" s="18" t="n">
        <v>45925</v>
      </c>
      <c r="B269" s="9" t="n">
        <f aca="false">WEEKDAY(A269,2)</f>
        <v>4</v>
      </c>
      <c r="C269" s="3" t="n">
        <v>1</v>
      </c>
      <c r="E269" s="9" t="n">
        <f aca="false">IF(AND(p_aplicar_feriados=1,D269&lt;&gt;""),0,C269)</f>
        <v>1</v>
      </c>
      <c r="F269" s="19" t="n">
        <f aca="false">E269*p_horas_productivas_dia</f>
        <v>8</v>
      </c>
      <c r="G269" s="4" t="s">
        <v>30</v>
      </c>
    </row>
    <row r="270" customFormat="false" ht="15" hidden="false" customHeight="false" outlineLevel="0" collapsed="false">
      <c r="A270" s="18" t="n">
        <v>45926</v>
      </c>
      <c r="B270" s="9" t="n">
        <f aca="false">WEEKDAY(A270,2)</f>
        <v>5</v>
      </c>
      <c r="C270" s="3" t="n">
        <v>1</v>
      </c>
      <c r="E270" s="9" t="n">
        <f aca="false">IF(AND(p_aplicar_feriados=1,D270&lt;&gt;""),0,C270)</f>
        <v>1</v>
      </c>
      <c r="F270" s="19" t="n">
        <f aca="false">E270*p_horas_productivas_dia</f>
        <v>8</v>
      </c>
      <c r="G270" s="4" t="s">
        <v>30</v>
      </c>
    </row>
    <row r="271" customFormat="false" ht="15" hidden="false" customHeight="false" outlineLevel="0" collapsed="false">
      <c r="A271" s="18" t="n">
        <v>45927</v>
      </c>
      <c r="B271" s="9" t="n">
        <f aca="false">WEEKDAY(A271,2)</f>
        <v>6</v>
      </c>
      <c r="C271" s="3" t="n">
        <v>0</v>
      </c>
      <c r="E271" s="9" t="n">
        <f aca="false">IF(AND(p_aplicar_feriados=1,D271&lt;&gt;""),0,C271)</f>
        <v>0</v>
      </c>
      <c r="F271" s="19" t="n">
        <f aca="false">E271*p_horas_productivas_dia</f>
        <v>0</v>
      </c>
      <c r="G271" s="4" t="s">
        <v>30</v>
      </c>
    </row>
    <row r="272" customFormat="false" ht="15" hidden="false" customHeight="false" outlineLevel="0" collapsed="false">
      <c r="A272" s="18" t="n">
        <v>45928</v>
      </c>
      <c r="B272" s="9" t="n">
        <f aca="false">WEEKDAY(A272,2)</f>
        <v>7</v>
      </c>
      <c r="C272" s="3" t="n">
        <v>0</v>
      </c>
      <c r="E272" s="9" t="n">
        <f aca="false">IF(AND(p_aplicar_feriados=1,D272&lt;&gt;""),0,C272)</f>
        <v>0</v>
      </c>
      <c r="F272" s="19" t="n">
        <f aca="false">E272*p_horas_productivas_dia</f>
        <v>0</v>
      </c>
      <c r="G272" s="4" t="s">
        <v>30</v>
      </c>
    </row>
    <row r="273" customFormat="false" ht="15" hidden="false" customHeight="false" outlineLevel="0" collapsed="false">
      <c r="A273" s="18" t="n">
        <v>45929</v>
      </c>
      <c r="B273" s="9" t="n">
        <f aca="false">WEEKDAY(A273,2)</f>
        <v>1</v>
      </c>
      <c r="C273" s="3" t="n">
        <v>1</v>
      </c>
      <c r="E273" s="9" t="n">
        <f aca="false">IF(AND(p_aplicar_feriados=1,D273&lt;&gt;""),0,C273)</f>
        <v>1</v>
      </c>
      <c r="F273" s="19" t="n">
        <f aca="false">E273*p_horas_productivas_dia</f>
        <v>8</v>
      </c>
      <c r="G273" s="4" t="s">
        <v>30</v>
      </c>
    </row>
    <row r="274" customFormat="false" ht="15" hidden="false" customHeight="false" outlineLevel="0" collapsed="false">
      <c r="A274" s="18" t="n">
        <v>45930</v>
      </c>
      <c r="B274" s="9" t="n">
        <f aca="false">WEEKDAY(A274,2)</f>
        <v>2</v>
      </c>
      <c r="C274" s="3" t="n">
        <v>1</v>
      </c>
      <c r="E274" s="9" t="n">
        <f aca="false">IF(AND(p_aplicar_feriados=1,D274&lt;&gt;""),0,C274)</f>
        <v>1</v>
      </c>
      <c r="F274" s="19" t="n">
        <f aca="false">E274*p_horas_productivas_dia</f>
        <v>8</v>
      </c>
      <c r="G274" s="4" t="s">
        <v>30</v>
      </c>
    </row>
    <row r="275" customFormat="false" ht="15" hidden="false" customHeight="false" outlineLevel="0" collapsed="false">
      <c r="A275" s="18" t="n">
        <v>45931</v>
      </c>
      <c r="B275" s="9" t="n">
        <f aca="false">WEEKDAY(A275,2)</f>
        <v>3</v>
      </c>
      <c r="C275" s="3" t="n">
        <v>1</v>
      </c>
      <c r="E275" s="9" t="n">
        <f aca="false">IF(AND(p_aplicar_feriados=1,D275&lt;&gt;""),0,C275)</f>
        <v>1</v>
      </c>
      <c r="F275" s="19" t="n">
        <f aca="false">E275*p_horas_productivas_dia</f>
        <v>8</v>
      </c>
      <c r="G275" s="4" t="s">
        <v>30</v>
      </c>
    </row>
    <row r="276" customFormat="false" ht="15" hidden="false" customHeight="false" outlineLevel="0" collapsed="false">
      <c r="A276" s="18" t="n">
        <v>45932</v>
      </c>
      <c r="B276" s="9" t="n">
        <f aca="false">WEEKDAY(A276,2)</f>
        <v>4</v>
      </c>
      <c r="C276" s="3" t="n">
        <v>1</v>
      </c>
      <c r="E276" s="9" t="n">
        <f aca="false">IF(AND(p_aplicar_feriados=1,D276&lt;&gt;""),0,C276)</f>
        <v>1</v>
      </c>
      <c r="F276" s="19" t="n">
        <f aca="false">E276*p_horas_productivas_dia</f>
        <v>8</v>
      </c>
      <c r="G276" s="4" t="s">
        <v>30</v>
      </c>
    </row>
    <row r="277" customFormat="false" ht="15" hidden="false" customHeight="false" outlineLevel="0" collapsed="false">
      <c r="A277" s="18" t="n">
        <v>45933</v>
      </c>
      <c r="B277" s="9" t="n">
        <f aca="false">WEEKDAY(A277,2)</f>
        <v>5</v>
      </c>
      <c r="C277" s="3" t="n">
        <v>1</v>
      </c>
      <c r="E277" s="9" t="n">
        <f aca="false">IF(AND(p_aplicar_feriados=1,D277&lt;&gt;""),0,C277)</f>
        <v>1</v>
      </c>
      <c r="F277" s="19" t="n">
        <f aca="false">E277*p_horas_productivas_dia</f>
        <v>8</v>
      </c>
      <c r="G277" s="4" t="s">
        <v>30</v>
      </c>
    </row>
    <row r="278" customFormat="false" ht="15" hidden="false" customHeight="false" outlineLevel="0" collapsed="false">
      <c r="A278" s="18" t="n">
        <v>45934</v>
      </c>
      <c r="B278" s="9" t="n">
        <f aca="false">WEEKDAY(A278,2)</f>
        <v>6</v>
      </c>
      <c r="C278" s="3" t="n">
        <v>0</v>
      </c>
      <c r="E278" s="9" t="n">
        <f aca="false">IF(AND(p_aplicar_feriados=1,D278&lt;&gt;""),0,C278)</f>
        <v>0</v>
      </c>
      <c r="F278" s="19" t="n">
        <f aca="false">E278*p_horas_productivas_dia</f>
        <v>0</v>
      </c>
      <c r="G278" s="4" t="s">
        <v>30</v>
      </c>
    </row>
    <row r="279" customFormat="false" ht="15" hidden="false" customHeight="false" outlineLevel="0" collapsed="false">
      <c r="A279" s="18" t="n">
        <v>45935</v>
      </c>
      <c r="B279" s="9" t="n">
        <f aca="false">WEEKDAY(A279,2)</f>
        <v>7</v>
      </c>
      <c r="C279" s="3" t="n">
        <v>0</v>
      </c>
      <c r="E279" s="9" t="n">
        <f aca="false">IF(AND(p_aplicar_feriados=1,D279&lt;&gt;""),0,C279)</f>
        <v>0</v>
      </c>
      <c r="F279" s="19" t="n">
        <f aca="false">E279*p_horas_productivas_dia</f>
        <v>0</v>
      </c>
      <c r="G279" s="4" t="s">
        <v>30</v>
      </c>
    </row>
    <row r="280" customFormat="false" ht="15" hidden="false" customHeight="false" outlineLevel="0" collapsed="false">
      <c r="A280" s="18" t="n">
        <v>45936</v>
      </c>
      <c r="B280" s="9" t="n">
        <f aca="false">WEEKDAY(A280,2)</f>
        <v>1</v>
      </c>
      <c r="C280" s="3" t="n">
        <v>1</v>
      </c>
      <c r="E280" s="9" t="n">
        <f aca="false">IF(AND(p_aplicar_feriados=1,D280&lt;&gt;""),0,C280)</f>
        <v>1</v>
      </c>
      <c r="F280" s="19" t="n">
        <f aca="false">E280*p_horas_productivas_dia</f>
        <v>8</v>
      </c>
      <c r="G280" s="4" t="s">
        <v>30</v>
      </c>
    </row>
    <row r="281" customFormat="false" ht="15" hidden="false" customHeight="false" outlineLevel="0" collapsed="false">
      <c r="A281" s="18" t="n">
        <v>45937</v>
      </c>
      <c r="B281" s="9" t="n">
        <f aca="false">WEEKDAY(A281,2)</f>
        <v>2</v>
      </c>
      <c r="C281" s="3" t="n">
        <v>1</v>
      </c>
      <c r="E281" s="9" t="n">
        <f aca="false">IF(AND(p_aplicar_feriados=1,D281&lt;&gt;""),0,C281)</f>
        <v>1</v>
      </c>
      <c r="F281" s="19" t="n">
        <f aca="false">E281*p_horas_productivas_dia</f>
        <v>8</v>
      </c>
      <c r="G281" s="4" t="s">
        <v>30</v>
      </c>
    </row>
    <row r="282" customFormat="false" ht="15" hidden="false" customHeight="false" outlineLevel="0" collapsed="false">
      <c r="A282" s="18" t="n">
        <v>45938</v>
      </c>
      <c r="B282" s="9" t="n">
        <f aca="false">WEEKDAY(A282,2)</f>
        <v>3</v>
      </c>
      <c r="C282" s="3" t="n">
        <v>1</v>
      </c>
      <c r="D282" s="4" t="s">
        <v>971</v>
      </c>
      <c r="E282" s="9" t="n">
        <f aca="false">IF(AND(p_aplicar_feriados=1,D282&lt;&gt;""),0,C282)</f>
        <v>1</v>
      </c>
      <c r="F282" s="19" t="n">
        <f aca="false">E282*p_horas_productivas_dia</f>
        <v>8</v>
      </c>
      <c r="G282" s="4" t="s">
        <v>30</v>
      </c>
    </row>
    <row r="283" customFormat="false" ht="15" hidden="false" customHeight="false" outlineLevel="0" collapsed="false">
      <c r="A283" s="18" t="n">
        <v>45939</v>
      </c>
      <c r="B283" s="9" t="n">
        <f aca="false">WEEKDAY(A283,2)</f>
        <v>4</v>
      </c>
      <c r="C283" s="3" t="n">
        <v>1</v>
      </c>
      <c r="E283" s="9" t="n">
        <f aca="false">IF(AND(p_aplicar_feriados=1,D283&lt;&gt;""),0,C283)</f>
        <v>1</v>
      </c>
      <c r="F283" s="19" t="n">
        <f aca="false">E283*p_horas_productivas_dia</f>
        <v>8</v>
      </c>
      <c r="G283" s="4" t="s">
        <v>30</v>
      </c>
    </row>
    <row r="284" customFormat="false" ht="15" hidden="false" customHeight="false" outlineLevel="0" collapsed="false">
      <c r="A284" s="18" t="n">
        <v>45940</v>
      </c>
      <c r="B284" s="9" t="n">
        <f aca="false">WEEKDAY(A284,2)</f>
        <v>5</v>
      </c>
      <c r="C284" s="3" t="n">
        <v>1</v>
      </c>
      <c r="E284" s="9" t="n">
        <f aca="false">IF(AND(p_aplicar_feriados=1,D284&lt;&gt;""),0,C284)</f>
        <v>1</v>
      </c>
      <c r="F284" s="19" t="n">
        <f aca="false">E284*p_horas_productivas_dia</f>
        <v>8</v>
      </c>
      <c r="G284" s="4" t="s">
        <v>30</v>
      </c>
    </row>
    <row r="285" customFormat="false" ht="15" hidden="false" customHeight="false" outlineLevel="0" collapsed="false">
      <c r="A285" s="18" t="n">
        <v>45941</v>
      </c>
      <c r="B285" s="9" t="n">
        <f aca="false">WEEKDAY(A285,2)</f>
        <v>6</v>
      </c>
      <c r="C285" s="3" t="n">
        <v>0</v>
      </c>
      <c r="E285" s="9" t="n">
        <f aca="false">IF(AND(p_aplicar_feriados=1,D285&lt;&gt;""),0,C285)</f>
        <v>0</v>
      </c>
      <c r="F285" s="19" t="n">
        <f aca="false">E285*p_horas_productivas_dia</f>
        <v>0</v>
      </c>
      <c r="G285" s="4" t="s">
        <v>30</v>
      </c>
    </row>
    <row r="286" customFormat="false" ht="15" hidden="false" customHeight="false" outlineLevel="0" collapsed="false">
      <c r="A286" s="18" t="n">
        <v>45942</v>
      </c>
      <c r="B286" s="9" t="n">
        <f aca="false">WEEKDAY(A286,2)</f>
        <v>7</v>
      </c>
      <c r="C286" s="3" t="n">
        <v>0</v>
      </c>
      <c r="E286" s="9" t="n">
        <f aca="false">IF(AND(p_aplicar_feriados=1,D286&lt;&gt;""),0,C286)</f>
        <v>0</v>
      </c>
      <c r="F286" s="19" t="n">
        <f aca="false">E286*p_horas_productivas_dia</f>
        <v>0</v>
      </c>
      <c r="G286" s="4" t="s">
        <v>30</v>
      </c>
    </row>
    <row r="287" customFormat="false" ht="15" hidden="false" customHeight="false" outlineLevel="0" collapsed="false">
      <c r="A287" s="18" t="n">
        <v>45943</v>
      </c>
      <c r="B287" s="9" t="n">
        <f aca="false">WEEKDAY(A287,2)</f>
        <v>1</v>
      </c>
      <c r="C287" s="3" t="n">
        <v>1</v>
      </c>
      <c r="E287" s="9" t="n">
        <f aca="false">IF(AND(p_aplicar_feriados=1,D287&lt;&gt;""),0,C287)</f>
        <v>1</v>
      </c>
      <c r="F287" s="19" t="n">
        <f aca="false">E287*p_horas_productivas_dia</f>
        <v>8</v>
      </c>
      <c r="G287" s="4" t="s">
        <v>30</v>
      </c>
    </row>
    <row r="288" customFormat="false" ht="15" hidden="false" customHeight="false" outlineLevel="0" collapsed="false">
      <c r="A288" s="18" t="n">
        <v>45944</v>
      </c>
      <c r="B288" s="9" t="n">
        <f aca="false">WEEKDAY(A288,2)</f>
        <v>2</v>
      </c>
      <c r="C288" s="3" t="n">
        <v>1</v>
      </c>
      <c r="E288" s="9" t="n">
        <f aca="false">IF(AND(p_aplicar_feriados=1,D288&lt;&gt;""),0,C288)</f>
        <v>1</v>
      </c>
      <c r="F288" s="19" t="n">
        <f aca="false">E288*p_horas_productivas_dia</f>
        <v>8</v>
      </c>
      <c r="G288" s="4" t="s">
        <v>30</v>
      </c>
    </row>
    <row r="289" customFormat="false" ht="15" hidden="false" customHeight="false" outlineLevel="0" collapsed="false">
      <c r="A289" s="18" t="n">
        <v>45945</v>
      </c>
      <c r="B289" s="9" t="n">
        <f aca="false">WEEKDAY(A289,2)</f>
        <v>3</v>
      </c>
      <c r="C289" s="3" t="n">
        <v>1</v>
      </c>
      <c r="E289" s="9" t="n">
        <f aca="false">IF(AND(p_aplicar_feriados=1,D289&lt;&gt;""),0,C289)</f>
        <v>1</v>
      </c>
      <c r="F289" s="19" t="n">
        <f aca="false">E289*p_horas_productivas_dia</f>
        <v>8</v>
      </c>
      <c r="G289" s="4" t="s">
        <v>30</v>
      </c>
    </row>
    <row r="290" customFormat="false" ht="15" hidden="false" customHeight="false" outlineLevel="0" collapsed="false">
      <c r="A290" s="18" t="n">
        <v>45946</v>
      </c>
      <c r="B290" s="9" t="n">
        <f aca="false">WEEKDAY(A290,2)</f>
        <v>4</v>
      </c>
      <c r="C290" s="3" t="n">
        <v>1</v>
      </c>
      <c r="E290" s="9" t="n">
        <f aca="false">IF(AND(p_aplicar_feriados=1,D290&lt;&gt;""),0,C290)</f>
        <v>1</v>
      </c>
      <c r="F290" s="19" t="n">
        <f aca="false">E290*p_horas_productivas_dia</f>
        <v>8</v>
      </c>
      <c r="G290" s="4" t="s">
        <v>30</v>
      </c>
    </row>
    <row r="291" customFormat="false" ht="15" hidden="false" customHeight="false" outlineLevel="0" collapsed="false">
      <c r="A291" s="18" t="n">
        <v>45947</v>
      </c>
      <c r="B291" s="9" t="n">
        <f aca="false">WEEKDAY(A291,2)</f>
        <v>5</v>
      </c>
      <c r="C291" s="3" t="n">
        <v>1</v>
      </c>
      <c r="E291" s="9" t="n">
        <f aca="false">IF(AND(p_aplicar_feriados=1,D291&lt;&gt;""),0,C291)</f>
        <v>1</v>
      </c>
      <c r="F291" s="19" t="n">
        <f aca="false">E291*p_horas_productivas_dia</f>
        <v>8</v>
      </c>
      <c r="G291" s="4" t="s">
        <v>30</v>
      </c>
    </row>
    <row r="292" customFormat="false" ht="15" hidden="false" customHeight="false" outlineLevel="0" collapsed="false">
      <c r="A292" s="18" t="n">
        <v>45948</v>
      </c>
      <c r="B292" s="9" t="n">
        <f aca="false">WEEKDAY(A292,2)</f>
        <v>6</v>
      </c>
      <c r="C292" s="3" t="n">
        <v>0</v>
      </c>
      <c r="E292" s="9" t="n">
        <f aca="false">IF(AND(p_aplicar_feriados=1,D292&lt;&gt;""),0,C292)</f>
        <v>0</v>
      </c>
      <c r="F292" s="19" t="n">
        <f aca="false">E292*p_horas_productivas_dia</f>
        <v>0</v>
      </c>
      <c r="G292" s="4" t="s">
        <v>30</v>
      </c>
    </row>
    <row r="293" customFormat="false" ht="15" hidden="false" customHeight="false" outlineLevel="0" collapsed="false">
      <c r="A293" s="18" t="n">
        <v>45949</v>
      </c>
      <c r="B293" s="9" t="n">
        <f aca="false">WEEKDAY(A293,2)</f>
        <v>7</v>
      </c>
      <c r="C293" s="3" t="n">
        <v>0</v>
      </c>
      <c r="E293" s="9" t="n">
        <f aca="false">IF(AND(p_aplicar_feriados=1,D293&lt;&gt;""),0,C293)</f>
        <v>0</v>
      </c>
      <c r="F293" s="19" t="n">
        <f aca="false">E293*p_horas_productivas_dia</f>
        <v>0</v>
      </c>
      <c r="G293" s="4" t="s">
        <v>30</v>
      </c>
    </row>
    <row r="294" customFormat="false" ht="15" hidden="false" customHeight="false" outlineLevel="0" collapsed="false">
      <c r="A294" s="18" t="n">
        <v>45950</v>
      </c>
      <c r="B294" s="9" t="n">
        <f aca="false">WEEKDAY(A294,2)</f>
        <v>1</v>
      </c>
      <c r="C294" s="3" t="n">
        <v>1</v>
      </c>
      <c r="E294" s="9" t="n">
        <f aca="false">IF(AND(p_aplicar_feriados=1,D294&lt;&gt;""),0,C294)</f>
        <v>1</v>
      </c>
      <c r="F294" s="19" t="n">
        <f aca="false">E294*p_horas_productivas_dia</f>
        <v>8</v>
      </c>
      <c r="G294" s="4" t="s">
        <v>30</v>
      </c>
    </row>
    <row r="295" customFormat="false" ht="15" hidden="false" customHeight="false" outlineLevel="0" collapsed="false">
      <c r="A295" s="18" t="n">
        <v>45951</v>
      </c>
      <c r="B295" s="9" t="n">
        <f aca="false">WEEKDAY(A295,2)</f>
        <v>2</v>
      </c>
      <c r="C295" s="3" t="n">
        <v>1</v>
      </c>
      <c r="E295" s="9" t="n">
        <f aca="false">IF(AND(p_aplicar_feriados=1,D295&lt;&gt;""),0,C295)</f>
        <v>1</v>
      </c>
      <c r="F295" s="19" t="n">
        <f aca="false">E295*p_horas_productivas_dia</f>
        <v>8</v>
      </c>
      <c r="G295" s="4" t="s">
        <v>30</v>
      </c>
    </row>
    <row r="296" customFormat="false" ht="15" hidden="false" customHeight="false" outlineLevel="0" collapsed="false">
      <c r="A296" s="18" t="n">
        <v>45952</v>
      </c>
      <c r="B296" s="9" t="n">
        <f aca="false">WEEKDAY(A296,2)</f>
        <v>3</v>
      </c>
      <c r="C296" s="3" t="n">
        <v>1</v>
      </c>
      <c r="E296" s="9" t="n">
        <f aca="false">IF(AND(p_aplicar_feriados=1,D296&lt;&gt;""),0,C296)</f>
        <v>1</v>
      </c>
      <c r="F296" s="19" t="n">
        <f aca="false">E296*p_horas_productivas_dia</f>
        <v>8</v>
      </c>
      <c r="G296" s="4" t="s">
        <v>30</v>
      </c>
    </row>
    <row r="297" customFormat="false" ht="15" hidden="false" customHeight="false" outlineLevel="0" collapsed="false">
      <c r="A297" s="18" t="n">
        <v>45953</v>
      </c>
      <c r="B297" s="9" t="n">
        <f aca="false">WEEKDAY(A297,2)</f>
        <v>4</v>
      </c>
      <c r="C297" s="3" t="n">
        <v>1</v>
      </c>
      <c r="E297" s="9" t="n">
        <f aca="false">IF(AND(p_aplicar_feriados=1,D297&lt;&gt;""),0,C297)</f>
        <v>1</v>
      </c>
      <c r="F297" s="19" t="n">
        <f aca="false">E297*p_horas_productivas_dia</f>
        <v>8</v>
      </c>
      <c r="G297" s="4" t="s">
        <v>30</v>
      </c>
    </row>
    <row r="298" customFormat="false" ht="15" hidden="false" customHeight="false" outlineLevel="0" collapsed="false">
      <c r="A298" s="18" t="n">
        <v>45954</v>
      </c>
      <c r="B298" s="9" t="n">
        <f aca="false">WEEKDAY(A298,2)</f>
        <v>5</v>
      </c>
      <c r="C298" s="3" t="n">
        <v>1</v>
      </c>
      <c r="E298" s="9" t="n">
        <f aca="false">IF(AND(p_aplicar_feriados=1,D298&lt;&gt;""),0,C298)</f>
        <v>1</v>
      </c>
      <c r="F298" s="19" t="n">
        <f aca="false">E298*p_horas_productivas_dia</f>
        <v>8</v>
      </c>
      <c r="G298" s="4" t="s">
        <v>30</v>
      </c>
    </row>
    <row r="299" customFormat="false" ht="15" hidden="false" customHeight="false" outlineLevel="0" collapsed="false">
      <c r="A299" s="18" t="n">
        <v>45955</v>
      </c>
      <c r="B299" s="9" t="n">
        <f aca="false">WEEKDAY(A299,2)</f>
        <v>6</v>
      </c>
      <c r="C299" s="3" t="n">
        <v>0</v>
      </c>
      <c r="E299" s="9" t="n">
        <f aca="false">IF(AND(p_aplicar_feriados=1,D299&lt;&gt;""),0,C299)</f>
        <v>0</v>
      </c>
      <c r="F299" s="19" t="n">
        <f aca="false">E299*p_horas_productivas_dia</f>
        <v>0</v>
      </c>
      <c r="G299" s="4" t="s">
        <v>30</v>
      </c>
    </row>
    <row r="300" customFormat="false" ht="15" hidden="false" customHeight="false" outlineLevel="0" collapsed="false">
      <c r="A300" s="18" t="n">
        <v>45956</v>
      </c>
      <c r="B300" s="9" t="n">
        <f aca="false">WEEKDAY(A300,2)</f>
        <v>7</v>
      </c>
      <c r="C300" s="3" t="n">
        <v>0</v>
      </c>
      <c r="E300" s="9" t="n">
        <f aca="false">IF(AND(p_aplicar_feriados=1,D300&lt;&gt;""),0,C300)</f>
        <v>0</v>
      </c>
      <c r="F300" s="19" t="n">
        <f aca="false">E300*p_horas_productivas_dia</f>
        <v>0</v>
      </c>
      <c r="G300" s="4" t="s">
        <v>30</v>
      </c>
    </row>
    <row r="301" customFormat="false" ht="15" hidden="false" customHeight="false" outlineLevel="0" collapsed="false">
      <c r="A301" s="18" t="n">
        <v>45957</v>
      </c>
      <c r="B301" s="9" t="n">
        <f aca="false">WEEKDAY(A301,2)</f>
        <v>1</v>
      </c>
      <c r="C301" s="3" t="n">
        <v>1</v>
      </c>
      <c r="E301" s="9" t="n">
        <f aca="false">IF(AND(p_aplicar_feriados=1,D301&lt;&gt;""),0,C301)</f>
        <v>1</v>
      </c>
      <c r="F301" s="19" t="n">
        <f aca="false">E301*p_horas_productivas_dia</f>
        <v>8</v>
      </c>
      <c r="G301" s="4" t="s">
        <v>30</v>
      </c>
    </row>
    <row r="302" customFormat="false" ht="15" hidden="false" customHeight="false" outlineLevel="0" collapsed="false">
      <c r="A302" s="18" t="n">
        <v>45958</v>
      </c>
      <c r="B302" s="9" t="n">
        <f aca="false">WEEKDAY(A302,2)</f>
        <v>2</v>
      </c>
      <c r="C302" s="3" t="n">
        <v>1</v>
      </c>
      <c r="E302" s="9" t="n">
        <f aca="false">IF(AND(p_aplicar_feriados=1,D302&lt;&gt;""),0,C302)</f>
        <v>1</v>
      </c>
      <c r="F302" s="19" t="n">
        <f aca="false">E302*p_horas_productivas_dia</f>
        <v>8</v>
      </c>
      <c r="G302" s="4" t="s">
        <v>30</v>
      </c>
    </row>
    <row r="303" customFormat="false" ht="15" hidden="false" customHeight="false" outlineLevel="0" collapsed="false">
      <c r="A303" s="18" t="n">
        <v>45959</v>
      </c>
      <c r="B303" s="9" t="n">
        <f aca="false">WEEKDAY(A303,2)</f>
        <v>3</v>
      </c>
      <c r="C303" s="3" t="n">
        <v>1</v>
      </c>
      <c r="E303" s="9" t="n">
        <f aca="false">IF(AND(p_aplicar_feriados=1,D303&lt;&gt;""),0,C303)</f>
        <v>1</v>
      </c>
      <c r="F303" s="19" t="n">
        <f aca="false">E303*p_horas_productivas_dia</f>
        <v>8</v>
      </c>
      <c r="G303" s="4" t="s">
        <v>30</v>
      </c>
    </row>
    <row r="304" customFormat="false" ht="15" hidden="false" customHeight="false" outlineLevel="0" collapsed="false">
      <c r="A304" s="18" t="n">
        <v>45960</v>
      </c>
      <c r="B304" s="9" t="n">
        <f aca="false">WEEKDAY(A304,2)</f>
        <v>4</v>
      </c>
      <c r="C304" s="3" t="n">
        <v>1</v>
      </c>
      <c r="E304" s="9" t="n">
        <f aca="false">IF(AND(p_aplicar_feriados=1,D304&lt;&gt;""),0,C304)</f>
        <v>1</v>
      </c>
      <c r="F304" s="19" t="n">
        <f aca="false">E304*p_horas_productivas_dia</f>
        <v>8</v>
      </c>
      <c r="G304" s="4" t="s">
        <v>30</v>
      </c>
    </row>
    <row r="305" customFormat="false" ht="15" hidden="false" customHeight="false" outlineLevel="0" collapsed="false">
      <c r="A305" s="18" t="n">
        <v>45961</v>
      </c>
      <c r="B305" s="9" t="n">
        <f aca="false">WEEKDAY(A305,2)</f>
        <v>5</v>
      </c>
      <c r="C305" s="3" t="n">
        <v>1</v>
      </c>
      <c r="E305" s="9" t="n">
        <f aca="false">IF(AND(p_aplicar_feriados=1,D305&lt;&gt;""),0,C305)</f>
        <v>1</v>
      </c>
      <c r="F305" s="19" t="n">
        <f aca="false">E305*p_horas_productivas_dia</f>
        <v>8</v>
      </c>
      <c r="G305" s="4" t="s">
        <v>30</v>
      </c>
    </row>
    <row r="306" customFormat="false" ht="15" hidden="false" customHeight="false" outlineLevel="0" collapsed="false">
      <c r="A306" s="18" t="n">
        <v>45962</v>
      </c>
      <c r="B306" s="9" t="n">
        <f aca="false">WEEKDAY(A306,2)</f>
        <v>6</v>
      </c>
      <c r="C306" s="3" t="n">
        <v>0</v>
      </c>
      <c r="D306" s="4" t="s">
        <v>972</v>
      </c>
      <c r="E306" s="9" t="n">
        <f aca="false">IF(AND(p_aplicar_feriados=1,D306&lt;&gt;""),0,C306)</f>
        <v>0</v>
      </c>
      <c r="F306" s="19" t="n">
        <f aca="false">E306*p_horas_productivas_dia</f>
        <v>0</v>
      </c>
      <c r="G306" s="4" t="s">
        <v>30</v>
      </c>
    </row>
    <row r="307" customFormat="false" ht="15" hidden="false" customHeight="false" outlineLevel="0" collapsed="false">
      <c r="A307" s="18" t="n">
        <v>45963</v>
      </c>
      <c r="B307" s="9" t="n">
        <f aca="false">WEEKDAY(A307,2)</f>
        <v>7</v>
      </c>
      <c r="C307" s="3" t="n">
        <v>0</v>
      </c>
      <c r="E307" s="9" t="n">
        <f aca="false">IF(AND(p_aplicar_feriados=1,D307&lt;&gt;""),0,C307)</f>
        <v>0</v>
      </c>
      <c r="F307" s="19" t="n">
        <f aca="false">E307*p_horas_productivas_dia</f>
        <v>0</v>
      </c>
      <c r="G307" s="4" t="s">
        <v>30</v>
      </c>
    </row>
    <row r="308" customFormat="false" ht="15" hidden="false" customHeight="false" outlineLevel="0" collapsed="false">
      <c r="A308" s="18" t="n">
        <v>45964</v>
      </c>
      <c r="B308" s="9" t="n">
        <f aca="false">WEEKDAY(A308,2)</f>
        <v>1</v>
      </c>
      <c r="C308" s="3" t="n">
        <v>1</v>
      </c>
      <c r="E308" s="9" t="n">
        <f aca="false">IF(AND(p_aplicar_feriados=1,D308&lt;&gt;""),0,C308)</f>
        <v>1</v>
      </c>
      <c r="F308" s="19" t="n">
        <f aca="false">E308*p_horas_productivas_dia</f>
        <v>8</v>
      </c>
      <c r="G308" s="4" t="s">
        <v>30</v>
      </c>
    </row>
    <row r="309" customFormat="false" ht="15" hidden="false" customHeight="false" outlineLevel="0" collapsed="false">
      <c r="A309" s="18" t="n">
        <v>45965</v>
      </c>
      <c r="B309" s="9" t="n">
        <f aca="false">WEEKDAY(A309,2)</f>
        <v>2</v>
      </c>
      <c r="C309" s="3" t="n">
        <v>1</v>
      </c>
      <c r="E309" s="9" t="n">
        <f aca="false">IF(AND(p_aplicar_feriados=1,D309&lt;&gt;""),0,C309)</f>
        <v>1</v>
      </c>
      <c r="F309" s="19" t="n">
        <f aca="false">E309*p_horas_productivas_dia</f>
        <v>8</v>
      </c>
      <c r="G309" s="4" t="s">
        <v>30</v>
      </c>
    </row>
    <row r="310" customFormat="false" ht="15" hidden="false" customHeight="false" outlineLevel="0" collapsed="false">
      <c r="A310" s="18" t="n">
        <v>45966</v>
      </c>
      <c r="B310" s="9" t="n">
        <f aca="false">WEEKDAY(A310,2)</f>
        <v>3</v>
      </c>
      <c r="C310" s="3" t="n">
        <v>1</v>
      </c>
      <c r="E310" s="9" t="n">
        <f aca="false">IF(AND(p_aplicar_feriados=1,D310&lt;&gt;""),0,C310)</f>
        <v>1</v>
      </c>
      <c r="F310" s="19" t="n">
        <f aca="false">E310*p_horas_productivas_dia</f>
        <v>8</v>
      </c>
      <c r="G310" s="4" t="s">
        <v>30</v>
      </c>
    </row>
    <row r="311" customFormat="false" ht="15" hidden="false" customHeight="false" outlineLevel="0" collapsed="false">
      <c r="A311" s="18" t="n">
        <v>45967</v>
      </c>
      <c r="B311" s="9" t="n">
        <f aca="false">WEEKDAY(A311,2)</f>
        <v>4</v>
      </c>
      <c r="C311" s="3" t="n">
        <v>1</v>
      </c>
      <c r="E311" s="9" t="n">
        <f aca="false">IF(AND(p_aplicar_feriados=1,D311&lt;&gt;""),0,C311)</f>
        <v>1</v>
      </c>
      <c r="F311" s="19" t="n">
        <f aca="false">E311*p_horas_productivas_dia</f>
        <v>8</v>
      </c>
      <c r="G311" s="4" t="s">
        <v>30</v>
      </c>
    </row>
    <row r="312" customFormat="false" ht="15" hidden="false" customHeight="false" outlineLevel="0" collapsed="false">
      <c r="A312" s="18" t="n">
        <v>45968</v>
      </c>
      <c r="B312" s="9" t="n">
        <f aca="false">WEEKDAY(A312,2)</f>
        <v>5</v>
      </c>
      <c r="C312" s="3" t="n">
        <v>1</v>
      </c>
      <c r="E312" s="9" t="n">
        <f aca="false">IF(AND(p_aplicar_feriados=1,D312&lt;&gt;""),0,C312)</f>
        <v>1</v>
      </c>
      <c r="F312" s="19" t="n">
        <f aca="false">E312*p_horas_productivas_dia</f>
        <v>8</v>
      </c>
      <c r="G312" s="4" t="s">
        <v>30</v>
      </c>
    </row>
    <row r="313" customFormat="false" ht="15" hidden="false" customHeight="false" outlineLevel="0" collapsed="false">
      <c r="A313" s="18" t="n">
        <v>45969</v>
      </c>
      <c r="B313" s="9" t="n">
        <f aca="false">WEEKDAY(A313,2)</f>
        <v>6</v>
      </c>
      <c r="C313" s="3" t="n">
        <v>0</v>
      </c>
      <c r="E313" s="9" t="n">
        <f aca="false">IF(AND(p_aplicar_feriados=1,D313&lt;&gt;""),0,C313)</f>
        <v>0</v>
      </c>
      <c r="F313" s="19" t="n">
        <f aca="false">E313*p_horas_productivas_dia</f>
        <v>0</v>
      </c>
      <c r="G313" s="4" t="s">
        <v>30</v>
      </c>
    </row>
    <row r="314" customFormat="false" ht="15" hidden="false" customHeight="false" outlineLevel="0" collapsed="false">
      <c r="A314" s="18" t="n">
        <v>45970</v>
      </c>
      <c r="B314" s="9" t="n">
        <f aca="false">WEEKDAY(A314,2)</f>
        <v>7</v>
      </c>
      <c r="C314" s="3" t="n">
        <v>0</v>
      </c>
      <c r="E314" s="9" t="n">
        <f aca="false">IF(AND(p_aplicar_feriados=1,D314&lt;&gt;""),0,C314)</f>
        <v>0</v>
      </c>
      <c r="F314" s="19" t="n">
        <f aca="false">E314*p_horas_productivas_dia</f>
        <v>0</v>
      </c>
      <c r="G314" s="4" t="s">
        <v>30</v>
      </c>
    </row>
    <row r="315" customFormat="false" ht="15" hidden="false" customHeight="false" outlineLevel="0" collapsed="false">
      <c r="A315" s="18" t="n">
        <v>45971</v>
      </c>
      <c r="B315" s="9" t="n">
        <f aca="false">WEEKDAY(A315,2)</f>
        <v>1</v>
      </c>
      <c r="C315" s="3" t="n">
        <v>1</v>
      </c>
      <c r="E315" s="9" t="n">
        <f aca="false">IF(AND(p_aplicar_feriados=1,D315&lt;&gt;""),0,C315)</f>
        <v>1</v>
      </c>
      <c r="F315" s="19" t="n">
        <f aca="false">E315*p_horas_productivas_dia</f>
        <v>8</v>
      </c>
      <c r="G315" s="4" t="s">
        <v>30</v>
      </c>
    </row>
    <row r="316" customFormat="false" ht="15" hidden="false" customHeight="false" outlineLevel="0" collapsed="false">
      <c r="A316" s="18" t="n">
        <v>45972</v>
      </c>
      <c r="B316" s="9" t="n">
        <f aca="false">WEEKDAY(A316,2)</f>
        <v>2</v>
      </c>
      <c r="C316" s="3" t="n">
        <v>1</v>
      </c>
      <c r="E316" s="9" t="n">
        <f aca="false">IF(AND(p_aplicar_feriados=1,D316&lt;&gt;""),0,C316)</f>
        <v>1</v>
      </c>
      <c r="F316" s="19" t="n">
        <f aca="false">E316*p_horas_productivas_dia</f>
        <v>8</v>
      </c>
      <c r="G316" s="4" t="s">
        <v>30</v>
      </c>
    </row>
    <row r="317" customFormat="false" ht="15" hidden="false" customHeight="false" outlineLevel="0" collapsed="false">
      <c r="A317" s="18" t="n">
        <v>45973</v>
      </c>
      <c r="B317" s="9" t="n">
        <f aca="false">WEEKDAY(A317,2)</f>
        <v>3</v>
      </c>
      <c r="C317" s="3" t="n">
        <v>1</v>
      </c>
      <c r="E317" s="9" t="n">
        <f aca="false">IF(AND(p_aplicar_feriados=1,D317&lt;&gt;""),0,C317)</f>
        <v>1</v>
      </c>
      <c r="F317" s="19" t="n">
        <f aca="false">E317*p_horas_productivas_dia</f>
        <v>8</v>
      </c>
      <c r="G317" s="4" t="s">
        <v>30</v>
      </c>
    </row>
    <row r="318" customFormat="false" ht="15" hidden="false" customHeight="false" outlineLevel="0" collapsed="false">
      <c r="A318" s="18" t="n">
        <v>45974</v>
      </c>
      <c r="B318" s="9" t="n">
        <f aca="false">WEEKDAY(A318,2)</f>
        <v>4</v>
      </c>
      <c r="C318" s="3" t="n">
        <v>1</v>
      </c>
      <c r="E318" s="9" t="n">
        <f aca="false">IF(AND(p_aplicar_feriados=1,D318&lt;&gt;""),0,C318)</f>
        <v>1</v>
      </c>
      <c r="F318" s="19" t="n">
        <f aca="false">E318*p_horas_productivas_dia</f>
        <v>8</v>
      </c>
      <c r="G318" s="4" t="s">
        <v>30</v>
      </c>
    </row>
    <row r="319" customFormat="false" ht="15" hidden="false" customHeight="false" outlineLevel="0" collapsed="false">
      <c r="A319" s="18" t="n">
        <v>45975</v>
      </c>
      <c r="B319" s="9" t="n">
        <f aca="false">WEEKDAY(A319,2)</f>
        <v>5</v>
      </c>
      <c r="C319" s="3" t="n">
        <v>1</v>
      </c>
      <c r="E319" s="9" t="n">
        <f aca="false">IF(AND(p_aplicar_feriados=1,D319&lt;&gt;""),0,C319)</f>
        <v>1</v>
      </c>
      <c r="F319" s="19" t="n">
        <f aca="false">E319*p_horas_productivas_dia</f>
        <v>8</v>
      </c>
      <c r="G319" s="4" t="s">
        <v>30</v>
      </c>
    </row>
    <row r="320" customFormat="false" ht="15" hidden="false" customHeight="false" outlineLevel="0" collapsed="false">
      <c r="A320" s="18" t="n">
        <v>45976</v>
      </c>
      <c r="B320" s="9" t="n">
        <f aca="false">WEEKDAY(A320,2)</f>
        <v>6</v>
      </c>
      <c r="C320" s="3" t="n">
        <v>0</v>
      </c>
      <c r="E320" s="9" t="n">
        <f aca="false">IF(AND(p_aplicar_feriados=1,D320&lt;&gt;""),0,C320)</f>
        <v>0</v>
      </c>
      <c r="F320" s="19" t="n">
        <f aca="false">E320*p_horas_productivas_dia</f>
        <v>0</v>
      </c>
      <c r="G320" s="4" t="s">
        <v>30</v>
      </c>
    </row>
    <row r="321" customFormat="false" ht="15" hidden="false" customHeight="false" outlineLevel="0" collapsed="false">
      <c r="A321" s="18" t="n">
        <v>45977</v>
      </c>
      <c r="B321" s="9" t="n">
        <f aca="false">WEEKDAY(A321,2)</f>
        <v>7</v>
      </c>
      <c r="C321" s="3" t="n">
        <v>0</v>
      </c>
      <c r="E321" s="9" t="n">
        <f aca="false">IF(AND(p_aplicar_feriados=1,D321&lt;&gt;""),0,C321)</f>
        <v>0</v>
      </c>
      <c r="F321" s="19" t="n">
        <f aca="false">E321*p_horas_productivas_dia</f>
        <v>0</v>
      </c>
      <c r="G321" s="4" t="s">
        <v>30</v>
      </c>
    </row>
    <row r="322" customFormat="false" ht="15" hidden="false" customHeight="false" outlineLevel="0" collapsed="false">
      <c r="A322" s="18" t="n">
        <v>45978</v>
      </c>
      <c r="B322" s="9" t="n">
        <f aca="false">WEEKDAY(A322,2)</f>
        <v>1</v>
      </c>
      <c r="C322" s="3" t="n">
        <v>1</v>
      </c>
      <c r="E322" s="9" t="n">
        <f aca="false">IF(AND(p_aplicar_feriados=1,D322&lt;&gt;""),0,C322)</f>
        <v>1</v>
      </c>
      <c r="F322" s="19" t="n">
        <f aca="false">E322*p_horas_productivas_dia</f>
        <v>8</v>
      </c>
      <c r="G322" s="4" t="s">
        <v>30</v>
      </c>
    </row>
    <row r="323" customFormat="false" ht="15" hidden="false" customHeight="false" outlineLevel="0" collapsed="false">
      <c r="A323" s="18" t="n">
        <v>45979</v>
      </c>
      <c r="B323" s="9" t="n">
        <f aca="false">WEEKDAY(A323,2)</f>
        <v>2</v>
      </c>
      <c r="C323" s="3" t="n">
        <v>1</v>
      </c>
      <c r="E323" s="9" t="n">
        <f aca="false">IF(AND(p_aplicar_feriados=1,D323&lt;&gt;""),0,C323)</f>
        <v>1</v>
      </c>
      <c r="F323" s="19" t="n">
        <f aca="false">E323*p_horas_productivas_dia</f>
        <v>8</v>
      </c>
      <c r="G323" s="4" t="s">
        <v>30</v>
      </c>
    </row>
    <row r="324" customFormat="false" ht="15" hidden="false" customHeight="false" outlineLevel="0" collapsed="false">
      <c r="A324" s="18" t="n">
        <v>45980</v>
      </c>
      <c r="B324" s="9" t="n">
        <f aca="false">WEEKDAY(A324,2)</f>
        <v>3</v>
      </c>
      <c r="C324" s="3" t="n">
        <v>1</v>
      </c>
      <c r="E324" s="9" t="n">
        <f aca="false">IF(AND(p_aplicar_feriados=1,D324&lt;&gt;""),0,C324)</f>
        <v>1</v>
      </c>
      <c r="F324" s="19" t="n">
        <f aca="false">E324*p_horas_productivas_dia</f>
        <v>8</v>
      </c>
      <c r="G324" s="4" t="s">
        <v>30</v>
      </c>
    </row>
    <row r="325" customFormat="false" ht="15" hidden="false" customHeight="false" outlineLevel="0" collapsed="false">
      <c r="A325" s="18" t="n">
        <v>45981</v>
      </c>
      <c r="B325" s="9" t="n">
        <f aca="false">WEEKDAY(A325,2)</f>
        <v>4</v>
      </c>
      <c r="C325" s="3" t="n">
        <v>1</v>
      </c>
      <c r="E325" s="9" t="n">
        <f aca="false">IF(AND(p_aplicar_feriados=1,D325&lt;&gt;""),0,C325)</f>
        <v>1</v>
      </c>
      <c r="F325" s="19" t="n">
        <f aca="false">E325*p_horas_productivas_dia</f>
        <v>8</v>
      </c>
      <c r="G325" s="4" t="s">
        <v>30</v>
      </c>
    </row>
    <row r="326" customFormat="false" ht="15" hidden="false" customHeight="false" outlineLevel="0" collapsed="false">
      <c r="A326" s="18" t="n">
        <v>45982</v>
      </c>
      <c r="B326" s="9" t="n">
        <f aca="false">WEEKDAY(A326,2)</f>
        <v>5</v>
      </c>
      <c r="C326" s="3" t="n">
        <v>1</v>
      </c>
      <c r="E326" s="9" t="n">
        <f aca="false">IF(AND(p_aplicar_feriados=1,D326&lt;&gt;""),0,C326)</f>
        <v>1</v>
      </c>
      <c r="F326" s="19" t="n">
        <f aca="false">E326*p_horas_productivas_dia</f>
        <v>8</v>
      </c>
      <c r="G326" s="4" t="s">
        <v>30</v>
      </c>
    </row>
    <row r="327" customFormat="false" ht="15" hidden="false" customHeight="false" outlineLevel="0" collapsed="false">
      <c r="A327" s="18" t="n">
        <v>45983</v>
      </c>
      <c r="B327" s="9" t="n">
        <f aca="false">WEEKDAY(A327,2)</f>
        <v>6</v>
      </c>
      <c r="C327" s="3" t="n">
        <v>0</v>
      </c>
      <c r="E327" s="9" t="n">
        <f aca="false">IF(AND(p_aplicar_feriados=1,D327&lt;&gt;""),0,C327)</f>
        <v>0</v>
      </c>
      <c r="F327" s="19" t="n">
        <f aca="false">E327*p_horas_productivas_dia</f>
        <v>0</v>
      </c>
      <c r="G327" s="4" t="s">
        <v>30</v>
      </c>
    </row>
    <row r="328" customFormat="false" ht="15" hidden="false" customHeight="false" outlineLevel="0" collapsed="false">
      <c r="A328" s="18" t="n">
        <v>45984</v>
      </c>
      <c r="B328" s="9" t="n">
        <f aca="false">WEEKDAY(A328,2)</f>
        <v>7</v>
      </c>
      <c r="C328" s="3" t="n">
        <v>0</v>
      </c>
      <c r="E328" s="9" t="n">
        <f aca="false">IF(AND(p_aplicar_feriados=1,D328&lt;&gt;""),0,C328)</f>
        <v>0</v>
      </c>
      <c r="F328" s="19" t="n">
        <f aca="false">E328*p_horas_productivas_dia</f>
        <v>0</v>
      </c>
      <c r="G328" s="4" t="s">
        <v>30</v>
      </c>
    </row>
    <row r="329" customFormat="false" ht="15" hidden="false" customHeight="false" outlineLevel="0" collapsed="false">
      <c r="A329" s="18" t="n">
        <v>45985</v>
      </c>
      <c r="B329" s="9" t="n">
        <f aca="false">WEEKDAY(A329,2)</f>
        <v>1</v>
      </c>
      <c r="C329" s="3" t="n">
        <v>1</v>
      </c>
      <c r="E329" s="9" t="n">
        <f aca="false">IF(AND(p_aplicar_feriados=1,D329&lt;&gt;""),0,C329)</f>
        <v>1</v>
      </c>
      <c r="F329" s="19" t="n">
        <f aca="false">E329*p_horas_productivas_dia</f>
        <v>8</v>
      </c>
      <c r="G329" s="4" t="s">
        <v>30</v>
      </c>
    </row>
    <row r="330" customFormat="false" ht="15" hidden="false" customHeight="false" outlineLevel="0" collapsed="false">
      <c r="A330" s="18" t="n">
        <v>45986</v>
      </c>
      <c r="B330" s="9" t="n">
        <f aca="false">WEEKDAY(A330,2)</f>
        <v>2</v>
      </c>
      <c r="C330" s="3" t="n">
        <v>1</v>
      </c>
      <c r="E330" s="9" t="n">
        <f aca="false">IF(AND(p_aplicar_feriados=1,D330&lt;&gt;""),0,C330)</f>
        <v>1</v>
      </c>
      <c r="F330" s="19" t="n">
        <f aca="false">E330*p_horas_productivas_dia</f>
        <v>8</v>
      </c>
      <c r="G330" s="4" t="s">
        <v>30</v>
      </c>
    </row>
    <row r="331" customFormat="false" ht="15" hidden="false" customHeight="false" outlineLevel="0" collapsed="false">
      <c r="A331" s="18" t="n">
        <v>45987</v>
      </c>
      <c r="B331" s="9" t="n">
        <f aca="false">WEEKDAY(A331,2)</f>
        <v>3</v>
      </c>
      <c r="C331" s="3" t="n">
        <v>1</v>
      </c>
      <c r="E331" s="9" t="n">
        <f aca="false">IF(AND(p_aplicar_feriados=1,D331&lt;&gt;""),0,C331)</f>
        <v>1</v>
      </c>
      <c r="F331" s="19" t="n">
        <f aca="false">E331*p_horas_productivas_dia</f>
        <v>8</v>
      </c>
      <c r="G331" s="4" t="s">
        <v>30</v>
      </c>
    </row>
    <row r="332" customFormat="false" ht="15" hidden="false" customHeight="false" outlineLevel="0" collapsed="false">
      <c r="A332" s="18" t="n">
        <v>45988</v>
      </c>
      <c r="B332" s="9" t="n">
        <f aca="false">WEEKDAY(A332,2)</f>
        <v>4</v>
      </c>
      <c r="C332" s="3" t="n">
        <v>1</v>
      </c>
      <c r="E332" s="9" t="n">
        <f aca="false">IF(AND(p_aplicar_feriados=1,D332&lt;&gt;""),0,C332)</f>
        <v>1</v>
      </c>
      <c r="F332" s="19" t="n">
        <f aca="false">E332*p_horas_productivas_dia</f>
        <v>8</v>
      </c>
      <c r="G332" s="4" t="s">
        <v>30</v>
      </c>
    </row>
    <row r="333" customFormat="false" ht="15" hidden="false" customHeight="false" outlineLevel="0" collapsed="false">
      <c r="A333" s="18" t="n">
        <v>45989</v>
      </c>
      <c r="B333" s="9" t="n">
        <f aca="false">WEEKDAY(A333,2)</f>
        <v>5</v>
      </c>
      <c r="C333" s="3" t="n">
        <v>1</v>
      </c>
      <c r="E333" s="9" t="n">
        <f aca="false">IF(AND(p_aplicar_feriados=1,D333&lt;&gt;""),0,C333)</f>
        <v>1</v>
      </c>
      <c r="F333" s="19" t="n">
        <f aca="false">E333*p_horas_productivas_dia</f>
        <v>8</v>
      </c>
      <c r="G333" s="4" t="s">
        <v>30</v>
      </c>
    </row>
    <row r="334" customFormat="false" ht="15" hidden="false" customHeight="false" outlineLevel="0" collapsed="false">
      <c r="A334" s="18" t="n">
        <v>45990</v>
      </c>
      <c r="B334" s="9" t="n">
        <f aca="false">WEEKDAY(A334,2)</f>
        <v>6</v>
      </c>
      <c r="C334" s="3" t="n">
        <v>0</v>
      </c>
      <c r="E334" s="9" t="n">
        <f aca="false">IF(AND(p_aplicar_feriados=1,D334&lt;&gt;""),0,C334)</f>
        <v>0</v>
      </c>
      <c r="F334" s="19" t="n">
        <f aca="false">E334*p_horas_productivas_dia</f>
        <v>0</v>
      </c>
      <c r="G334" s="4" t="s">
        <v>30</v>
      </c>
    </row>
    <row r="335" customFormat="false" ht="15" hidden="false" customHeight="false" outlineLevel="0" collapsed="false">
      <c r="A335" s="18" t="n">
        <v>45991</v>
      </c>
      <c r="B335" s="9" t="n">
        <f aca="false">WEEKDAY(A335,2)</f>
        <v>7</v>
      </c>
      <c r="C335" s="3" t="n">
        <v>0</v>
      </c>
      <c r="E335" s="9" t="n">
        <f aca="false">IF(AND(p_aplicar_feriados=1,D335&lt;&gt;""),0,C335)</f>
        <v>0</v>
      </c>
      <c r="F335" s="19" t="n">
        <f aca="false">E335*p_horas_productivas_dia</f>
        <v>0</v>
      </c>
      <c r="G335" s="4" t="s">
        <v>30</v>
      </c>
    </row>
    <row r="336" customFormat="false" ht="15" hidden="false" customHeight="false" outlineLevel="0" collapsed="false">
      <c r="A336" s="18" t="n">
        <v>45992</v>
      </c>
      <c r="B336" s="9" t="n">
        <f aca="false">WEEKDAY(A336,2)</f>
        <v>1</v>
      </c>
      <c r="C336" s="3" t="n">
        <v>1</v>
      </c>
      <c r="E336" s="9" t="n">
        <f aca="false">IF(AND(p_aplicar_feriados=1,D336&lt;&gt;""),0,C336)</f>
        <v>1</v>
      </c>
      <c r="F336" s="19" t="n">
        <f aca="false">E336*p_horas_productivas_dia</f>
        <v>8</v>
      </c>
      <c r="G336" s="4" t="s">
        <v>30</v>
      </c>
    </row>
    <row r="337" customFormat="false" ht="15" hidden="false" customHeight="false" outlineLevel="0" collapsed="false">
      <c r="A337" s="18" t="n">
        <v>45993</v>
      </c>
      <c r="B337" s="9" t="n">
        <f aca="false">WEEKDAY(A337,2)</f>
        <v>2</v>
      </c>
      <c r="C337" s="3" t="n">
        <v>1</v>
      </c>
      <c r="E337" s="9" t="n">
        <f aca="false">IF(AND(p_aplicar_feriados=1,D337&lt;&gt;""),0,C337)</f>
        <v>1</v>
      </c>
      <c r="F337" s="19" t="n">
        <f aca="false">E337*p_horas_productivas_dia</f>
        <v>8</v>
      </c>
      <c r="G337" s="4" t="s">
        <v>30</v>
      </c>
    </row>
    <row r="338" customFormat="false" ht="15" hidden="false" customHeight="false" outlineLevel="0" collapsed="false">
      <c r="A338" s="18" t="n">
        <v>45994</v>
      </c>
      <c r="B338" s="9" t="n">
        <f aca="false">WEEKDAY(A338,2)</f>
        <v>3</v>
      </c>
      <c r="C338" s="3" t="n">
        <v>1</v>
      </c>
      <c r="E338" s="9" t="n">
        <f aca="false">IF(AND(p_aplicar_feriados=1,D338&lt;&gt;""),0,C338)</f>
        <v>1</v>
      </c>
      <c r="F338" s="19" t="n">
        <f aca="false">E338*p_horas_productivas_dia</f>
        <v>8</v>
      </c>
      <c r="G338" s="4" t="s">
        <v>30</v>
      </c>
    </row>
    <row r="339" customFormat="false" ht="15" hidden="false" customHeight="false" outlineLevel="0" collapsed="false">
      <c r="A339" s="18" t="n">
        <v>45995</v>
      </c>
      <c r="B339" s="9" t="n">
        <f aca="false">WEEKDAY(A339,2)</f>
        <v>4</v>
      </c>
      <c r="C339" s="3" t="n">
        <v>1</v>
      </c>
      <c r="E339" s="9" t="n">
        <f aca="false">IF(AND(p_aplicar_feriados=1,D339&lt;&gt;""),0,C339)</f>
        <v>1</v>
      </c>
      <c r="F339" s="19" t="n">
        <f aca="false">E339*p_horas_productivas_dia</f>
        <v>8</v>
      </c>
      <c r="G339" s="4" t="s">
        <v>30</v>
      </c>
    </row>
    <row r="340" customFormat="false" ht="15" hidden="false" customHeight="false" outlineLevel="0" collapsed="false">
      <c r="A340" s="18" t="n">
        <v>45996</v>
      </c>
      <c r="B340" s="9" t="n">
        <f aca="false">WEEKDAY(A340,2)</f>
        <v>5</v>
      </c>
      <c r="C340" s="3" t="n">
        <v>1</v>
      </c>
      <c r="E340" s="9" t="n">
        <f aca="false">IF(AND(p_aplicar_feriados=1,D340&lt;&gt;""),0,C340)</f>
        <v>1</v>
      </c>
      <c r="F340" s="19" t="n">
        <f aca="false">E340*p_horas_productivas_dia</f>
        <v>8</v>
      </c>
      <c r="G340" s="4" t="s">
        <v>30</v>
      </c>
    </row>
    <row r="341" customFormat="false" ht="15" hidden="false" customHeight="false" outlineLevel="0" collapsed="false">
      <c r="A341" s="18" t="n">
        <v>45997</v>
      </c>
      <c r="B341" s="9" t="n">
        <f aca="false">WEEKDAY(A341,2)</f>
        <v>6</v>
      </c>
      <c r="C341" s="3" t="n">
        <v>0</v>
      </c>
      <c r="E341" s="9" t="n">
        <f aca="false">IF(AND(p_aplicar_feriados=1,D341&lt;&gt;""),0,C341)</f>
        <v>0</v>
      </c>
      <c r="F341" s="19" t="n">
        <f aca="false">E341*p_horas_productivas_dia</f>
        <v>0</v>
      </c>
      <c r="G341" s="4" t="s">
        <v>30</v>
      </c>
    </row>
    <row r="342" customFormat="false" ht="15" hidden="false" customHeight="false" outlineLevel="0" collapsed="false">
      <c r="A342" s="18" t="n">
        <v>45998</v>
      </c>
      <c r="B342" s="9" t="n">
        <f aca="false">WEEKDAY(A342,2)</f>
        <v>7</v>
      </c>
      <c r="C342" s="3" t="n">
        <v>0</v>
      </c>
      <c r="E342" s="9" t="n">
        <f aca="false">IF(AND(p_aplicar_feriados=1,D342&lt;&gt;""),0,C342)</f>
        <v>0</v>
      </c>
      <c r="F342" s="19" t="n">
        <f aca="false">E342*p_horas_productivas_dia</f>
        <v>0</v>
      </c>
      <c r="G342" s="4" t="s">
        <v>30</v>
      </c>
    </row>
    <row r="343" customFormat="false" ht="15" hidden="false" customHeight="false" outlineLevel="0" collapsed="false">
      <c r="A343" s="18" t="n">
        <v>45999</v>
      </c>
      <c r="B343" s="9" t="n">
        <f aca="false">WEEKDAY(A343,2)</f>
        <v>1</v>
      </c>
      <c r="C343" s="3" t="n">
        <v>1</v>
      </c>
      <c r="D343" s="4" t="s">
        <v>973</v>
      </c>
      <c r="E343" s="9" t="n">
        <f aca="false">IF(AND(p_aplicar_feriados=1,D343&lt;&gt;""),0,C343)</f>
        <v>1</v>
      </c>
      <c r="F343" s="19" t="n">
        <f aca="false">E343*p_horas_productivas_dia</f>
        <v>8</v>
      </c>
      <c r="G343" s="4" t="s">
        <v>30</v>
      </c>
    </row>
    <row r="344" customFormat="false" ht="15" hidden="false" customHeight="false" outlineLevel="0" collapsed="false">
      <c r="A344" s="18" t="n">
        <v>46000</v>
      </c>
      <c r="B344" s="9" t="n">
        <f aca="false">WEEKDAY(A344,2)</f>
        <v>2</v>
      </c>
      <c r="C344" s="3" t="n">
        <v>1</v>
      </c>
      <c r="D344" s="4" t="s">
        <v>974</v>
      </c>
      <c r="E344" s="9" t="n">
        <f aca="false">IF(AND(p_aplicar_feriados=1,D344&lt;&gt;""),0,C344)</f>
        <v>1</v>
      </c>
      <c r="F344" s="19" t="n">
        <f aca="false">E344*p_horas_productivas_dia</f>
        <v>8</v>
      </c>
      <c r="G344" s="4" t="s">
        <v>30</v>
      </c>
    </row>
    <row r="345" customFormat="false" ht="15" hidden="false" customHeight="false" outlineLevel="0" collapsed="false">
      <c r="A345" s="18" t="n">
        <v>46001</v>
      </c>
      <c r="B345" s="9" t="n">
        <f aca="false">WEEKDAY(A345,2)</f>
        <v>3</v>
      </c>
      <c r="C345" s="3" t="n">
        <v>1</v>
      </c>
      <c r="E345" s="9" t="n">
        <f aca="false">IF(AND(p_aplicar_feriados=1,D345&lt;&gt;""),0,C345)</f>
        <v>1</v>
      </c>
      <c r="F345" s="19" t="n">
        <f aca="false">E345*p_horas_productivas_dia</f>
        <v>8</v>
      </c>
      <c r="G345" s="4" t="s">
        <v>30</v>
      </c>
    </row>
    <row r="346" customFormat="false" ht="15" hidden="false" customHeight="false" outlineLevel="0" collapsed="false">
      <c r="A346" s="18" t="n">
        <v>46002</v>
      </c>
      <c r="B346" s="9" t="n">
        <f aca="false">WEEKDAY(A346,2)</f>
        <v>4</v>
      </c>
      <c r="C346" s="3" t="n">
        <v>1</v>
      </c>
      <c r="E346" s="9" t="n">
        <f aca="false">IF(AND(p_aplicar_feriados=1,D346&lt;&gt;""),0,C346)</f>
        <v>1</v>
      </c>
      <c r="F346" s="19" t="n">
        <f aca="false">E346*p_horas_productivas_dia</f>
        <v>8</v>
      </c>
      <c r="G346" s="4" t="s">
        <v>30</v>
      </c>
    </row>
    <row r="347" customFormat="false" ht="15" hidden="false" customHeight="false" outlineLevel="0" collapsed="false">
      <c r="A347" s="18" t="n">
        <v>46003</v>
      </c>
      <c r="B347" s="9" t="n">
        <f aca="false">WEEKDAY(A347,2)</f>
        <v>5</v>
      </c>
      <c r="C347" s="3" t="n">
        <v>1</v>
      </c>
      <c r="E347" s="9" t="n">
        <f aca="false">IF(AND(p_aplicar_feriados=1,D347&lt;&gt;""),0,C347)</f>
        <v>1</v>
      </c>
      <c r="F347" s="19" t="n">
        <f aca="false">E347*p_horas_productivas_dia</f>
        <v>8</v>
      </c>
      <c r="G347" s="4" t="s">
        <v>30</v>
      </c>
    </row>
    <row r="348" customFormat="false" ht="15" hidden="false" customHeight="false" outlineLevel="0" collapsed="false">
      <c r="A348" s="18" t="n">
        <v>46004</v>
      </c>
      <c r="B348" s="9" t="n">
        <f aca="false">WEEKDAY(A348,2)</f>
        <v>6</v>
      </c>
      <c r="C348" s="3" t="n">
        <v>0</v>
      </c>
      <c r="E348" s="9" t="n">
        <f aca="false">IF(AND(p_aplicar_feriados=1,D348&lt;&gt;""),0,C348)</f>
        <v>0</v>
      </c>
      <c r="F348" s="19" t="n">
        <f aca="false">E348*p_horas_productivas_dia</f>
        <v>0</v>
      </c>
      <c r="G348" s="4" t="s">
        <v>30</v>
      </c>
    </row>
    <row r="349" customFormat="false" ht="15" hidden="false" customHeight="false" outlineLevel="0" collapsed="false">
      <c r="A349" s="18" t="n">
        <v>46005</v>
      </c>
      <c r="B349" s="9" t="n">
        <f aca="false">WEEKDAY(A349,2)</f>
        <v>7</v>
      </c>
      <c r="C349" s="3" t="n">
        <v>0</v>
      </c>
      <c r="E349" s="9" t="n">
        <f aca="false">IF(AND(p_aplicar_feriados=1,D349&lt;&gt;""),0,C349)</f>
        <v>0</v>
      </c>
      <c r="F349" s="19" t="n">
        <f aca="false">E349*p_horas_productivas_dia</f>
        <v>0</v>
      </c>
      <c r="G349" s="4" t="s">
        <v>30</v>
      </c>
    </row>
    <row r="350" customFormat="false" ht="15" hidden="false" customHeight="false" outlineLevel="0" collapsed="false">
      <c r="A350" s="18" t="n">
        <v>46006</v>
      </c>
      <c r="B350" s="9" t="n">
        <f aca="false">WEEKDAY(A350,2)</f>
        <v>1</v>
      </c>
      <c r="C350" s="3" t="n">
        <v>1</v>
      </c>
      <c r="E350" s="9" t="n">
        <f aca="false">IF(AND(p_aplicar_feriados=1,D350&lt;&gt;""),0,C350)</f>
        <v>1</v>
      </c>
      <c r="F350" s="19" t="n">
        <f aca="false">E350*p_horas_productivas_dia</f>
        <v>8</v>
      </c>
      <c r="G350" s="4" t="s">
        <v>30</v>
      </c>
    </row>
    <row r="351" customFormat="false" ht="15" hidden="false" customHeight="false" outlineLevel="0" collapsed="false">
      <c r="A351" s="18" t="n">
        <v>46007</v>
      </c>
      <c r="B351" s="9" t="n">
        <f aca="false">WEEKDAY(A351,2)</f>
        <v>2</v>
      </c>
      <c r="C351" s="3" t="n">
        <v>1</v>
      </c>
      <c r="E351" s="9" t="n">
        <f aca="false">IF(AND(p_aplicar_feriados=1,D351&lt;&gt;""),0,C351)</f>
        <v>1</v>
      </c>
      <c r="F351" s="19" t="n">
        <f aca="false">E351*p_horas_productivas_dia</f>
        <v>8</v>
      </c>
      <c r="G351" s="4" t="s">
        <v>30</v>
      </c>
    </row>
    <row r="352" customFormat="false" ht="15" hidden="false" customHeight="false" outlineLevel="0" collapsed="false">
      <c r="A352" s="18" t="n">
        <v>46008</v>
      </c>
      <c r="B352" s="9" t="n">
        <f aca="false">WEEKDAY(A352,2)</f>
        <v>3</v>
      </c>
      <c r="C352" s="3" t="n">
        <v>1</v>
      </c>
      <c r="E352" s="9" t="n">
        <f aca="false">IF(AND(p_aplicar_feriados=1,D352&lt;&gt;""),0,C352)</f>
        <v>1</v>
      </c>
      <c r="F352" s="19" t="n">
        <f aca="false">E352*p_horas_productivas_dia</f>
        <v>8</v>
      </c>
      <c r="G352" s="4" t="s">
        <v>30</v>
      </c>
    </row>
    <row r="353" customFormat="false" ht="15" hidden="false" customHeight="false" outlineLevel="0" collapsed="false">
      <c r="A353" s="18" t="n">
        <v>46009</v>
      </c>
      <c r="B353" s="9" t="n">
        <f aca="false">WEEKDAY(A353,2)</f>
        <v>4</v>
      </c>
      <c r="C353" s="3" t="n">
        <v>1</v>
      </c>
      <c r="E353" s="9" t="n">
        <f aca="false">IF(AND(p_aplicar_feriados=1,D353&lt;&gt;""),0,C353)</f>
        <v>1</v>
      </c>
      <c r="F353" s="19" t="n">
        <f aca="false">E353*p_horas_productivas_dia</f>
        <v>8</v>
      </c>
      <c r="G353" s="4" t="s">
        <v>30</v>
      </c>
    </row>
    <row r="354" customFormat="false" ht="15" hidden="false" customHeight="false" outlineLevel="0" collapsed="false">
      <c r="A354" s="18" t="n">
        <v>46010</v>
      </c>
      <c r="B354" s="9" t="n">
        <f aca="false">WEEKDAY(A354,2)</f>
        <v>5</v>
      </c>
      <c r="C354" s="3" t="n">
        <v>1</v>
      </c>
      <c r="E354" s="9" t="n">
        <f aca="false">IF(AND(p_aplicar_feriados=1,D354&lt;&gt;""),0,C354)</f>
        <v>1</v>
      </c>
      <c r="F354" s="19" t="n">
        <f aca="false">E354*p_horas_productivas_dia</f>
        <v>8</v>
      </c>
      <c r="G354" s="4" t="s">
        <v>30</v>
      </c>
    </row>
    <row r="355" customFormat="false" ht="15" hidden="false" customHeight="false" outlineLevel="0" collapsed="false">
      <c r="A355" s="18" t="n">
        <v>46011</v>
      </c>
      <c r="B355" s="9" t="n">
        <f aca="false">WEEKDAY(A355,2)</f>
        <v>6</v>
      </c>
      <c r="C355" s="3" t="n">
        <v>0</v>
      </c>
      <c r="E355" s="9" t="n">
        <f aca="false">IF(AND(p_aplicar_feriados=1,D355&lt;&gt;""),0,C355)</f>
        <v>0</v>
      </c>
      <c r="F355" s="19" t="n">
        <f aca="false">E355*p_horas_productivas_dia</f>
        <v>0</v>
      </c>
      <c r="G355" s="4" t="s">
        <v>30</v>
      </c>
    </row>
    <row r="356" customFormat="false" ht="15" hidden="false" customHeight="false" outlineLevel="0" collapsed="false">
      <c r="A356" s="18" t="n">
        <v>46012</v>
      </c>
      <c r="B356" s="9" t="n">
        <f aca="false">WEEKDAY(A356,2)</f>
        <v>7</v>
      </c>
      <c r="C356" s="3" t="n">
        <v>0</v>
      </c>
      <c r="E356" s="9" t="n">
        <f aca="false">IF(AND(p_aplicar_feriados=1,D356&lt;&gt;""),0,C356)</f>
        <v>0</v>
      </c>
      <c r="F356" s="19" t="n">
        <f aca="false">E356*p_horas_productivas_dia</f>
        <v>0</v>
      </c>
      <c r="G356" s="4" t="s">
        <v>30</v>
      </c>
    </row>
    <row r="357" customFormat="false" ht="15" hidden="false" customHeight="false" outlineLevel="0" collapsed="false">
      <c r="A357" s="18" t="n">
        <v>46013</v>
      </c>
      <c r="B357" s="9" t="n">
        <f aca="false">WEEKDAY(A357,2)</f>
        <v>1</v>
      </c>
      <c r="C357" s="3" t="n">
        <v>1</v>
      </c>
      <c r="E357" s="9" t="n">
        <f aca="false">IF(AND(p_aplicar_feriados=1,D357&lt;&gt;""),0,C357)</f>
        <v>1</v>
      </c>
      <c r="F357" s="19" t="n">
        <f aca="false">E357*p_horas_productivas_dia</f>
        <v>8</v>
      </c>
      <c r="G357" s="4" t="s">
        <v>30</v>
      </c>
    </row>
    <row r="358" customFormat="false" ht="15" hidden="false" customHeight="false" outlineLevel="0" collapsed="false">
      <c r="A358" s="18" t="n">
        <v>46014</v>
      </c>
      <c r="B358" s="9" t="n">
        <f aca="false">WEEKDAY(A358,2)</f>
        <v>2</v>
      </c>
      <c r="C358" s="3" t="n">
        <v>1</v>
      </c>
      <c r="E358" s="9" t="n">
        <f aca="false">IF(AND(p_aplicar_feriados=1,D358&lt;&gt;""),0,C358)</f>
        <v>1</v>
      </c>
      <c r="F358" s="19" t="n">
        <f aca="false">E358*p_horas_productivas_dia</f>
        <v>8</v>
      </c>
      <c r="G358" s="4" t="s">
        <v>30</v>
      </c>
    </row>
    <row r="359" customFormat="false" ht="15" hidden="false" customHeight="false" outlineLevel="0" collapsed="false">
      <c r="A359" s="18" t="n">
        <v>46015</v>
      </c>
      <c r="B359" s="9" t="n">
        <f aca="false">WEEKDAY(A359,2)</f>
        <v>3</v>
      </c>
      <c r="C359" s="3" t="n">
        <v>1</v>
      </c>
      <c r="E359" s="9" t="n">
        <f aca="false">IF(AND(p_aplicar_feriados=1,D359&lt;&gt;""),0,C359)</f>
        <v>1</v>
      </c>
      <c r="F359" s="19" t="n">
        <f aca="false">E359*p_horas_productivas_dia</f>
        <v>8</v>
      </c>
      <c r="G359" s="4" t="s">
        <v>30</v>
      </c>
    </row>
    <row r="360" customFormat="false" ht="15" hidden="false" customHeight="false" outlineLevel="0" collapsed="false">
      <c r="A360" s="18" t="n">
        <v>46016</v>
      </c>
      <c r="B360" s="9" t="n">
        <f aca="false">WEEKDAY(A360,2)</f>
        <v>4</v>
      </c>
      <c r="C360" s="3" t="n">
        <v>1</v>
      </c>
      <c r="D360" s="4" t="s">
        <v>975</v>
      </c>
      <c r="E360" s="9" t="n">
        <f aca="false">IF(AND(p_aplicar_feriados=1,D360&lt;&gt;""),0,C360)</f>
        <v>1</v>
      </c>
      <c r="F360" s="19" t="n">
        <f aca="false">E360*p_horas_productivas_dia</f>
        <v>8</v>
      </c>
      <c r="G360" s="4" t="s">
        <v>30</v>
      </c>
    </row>
    <row r="361" customFormat="false" ht="15" hidden="false" customHeight="false" outlineLevel="0" collapsed="false">
      <c r="A361" s="18" t="n">
        <v>46017</v>
      </c>
      <c r="B361" s="9" t="n">
        <f aca="false">WEEKDAY(A361,2)</f>
        <v>5</v>
      </c>
      <c r="C361" s="3" t="n">
        <v>1</v>
      </c>
      <c r="E361" s="9" t="n">
        <f aca="false">IF(AND(p_aplicar_feriados=1,D361&lt;&gt;""),0,C361)</f>
        <v>1</v>
      </c>
      <c r="F361" s="19" t="n">
        <f aca="false">E361*p_horas_productivas_dia</f>
        <v>8</v>
      </c>
      <c r="G361" s="4" t="s">
        <v>30</v>
      </c>
    </row>
    <row r="362" customFormat="false" ht="15" hidden="false" customHeight="false" outlineLevel="0" collapsed="false">
      <c r="A362" s="18" t="n">
        <v>46018</v>
      </c>
      <c r="B362" s="9" t="n">
        <f aca="false">WEEKDAY(A362,2)</f>
        <v>6</v>
      </c>
      <c r="C362" s="3" t="n">
        <v>0</v>
      </c>
      <c r="E362" s="9" t="n">
        <f aca="false">IF(AND(p_aplicar_feriados=1,D362&lt;&gt;""),0,C362)</f>
        <v>0</v>
      </c>
      <c r="F362" s="19" t="n">
        <f aca="false">E362*p_horas_productivas_dia</f>
        <v>0</v>
      </c>
      <c r="G362" s="4" t="s">
        <v>30</v>
      </c>
    </row>
    <row r="363" customFormat="false" ht="15" hidden="false" customHeight="false" outlineLevel="0" collapsed="false">
      <c r="A363" s="18" t="n">
        <v>46019</v>
      </c>
      <c r="B363" s="9" t="n">
        <f aca="false">WEEKDAY(A363,2)</f>
        <v>7</v>
      </c>
      <c r="C363" s="3" t="n">
        <v>0</v>
      </c>
      <c r="E363" s="9" t="n">
        <f aca="false">IF(AND(p_aplicar_feriados=1,D363&lt;&gt;""),0,C363)</f>
        <v>0</v>
      </c>
      <c r="F363" s="19" t="n">
        <f aca="false">E363*p_horas_productivas_dia</f>
        <v>0</v>
      </c>
      <c r="G363" s="4" t="s">
        <v>30</v>
      </c>
    </row>
    <row r="364" customFormat="false" ht="15" hidden="false" customHeight="false" outlineLevel="0" collapsed="false">
      <c r="A364" s="18" t="n">
        <v>46020</v>
      </c>
      <c r="B364" s="9" t="n">
        <f aca="false">WEEKDAY(A364,2)</f>
        <v>1</v>
      </c>
      <c r="C364" s="3" t="n">
        <v>1</v>
      </c>
      <c r="E364" s="9" t="n">
        <f aca="false">IF(AND(p_aplicar_feriados=1,D364&lt;&gt;""),0,C364)</f>
        <v>1</v>
      </c>
      <c r="F364" s="19" t="n">
        <f aca="false">E364*p_horas_productivas_dia</f>
        <v>8</v>
      </c>
      <c r="G364" s="4" t="s">
        <v>30</v>
      </c>
    </row>
    <row r="365" customFormat="false" ht="15" hidden="false" customHeight="false" outlineLevel="0" collapsed="false">
      <c r="A365" s="18" t="n">
        <v>46021</v>
      </c>
      <c r="B365" s="9" t="n">
        <f aca="false">WEEKDAY(A365,2)</f>
        <v>2</v>
      </c>
      <c r="C365" s="3" t="n">
        <v>1</v>
      </c>
      <c r="E365" s="9" t="n">
        <f aca="false">IF(AND(p_aplicar_feriados=1,D365&lt;&gt;""),0,C365)</f>
        <v>1</v>
      </c>
      <c r="F365" s="19" t="n">
        <f aca="false">E365*p_horas_productivas_dia</f>
        <v>8</v>
      </c>
      <c r="G365" s="4" t="s">
        <v>30</v>
      </c>
    </row>
    <row r="366" customFormat="false" ht="15" hidden="false" customHeight="false" outlineLevel="0" collapsed="false">
      <c r="A366" s="18" t="n">
        <v>46022</v>
      </c>
      <c r="B366" s="9" t="n">
        <f aca="false">WEEKDAY(A366,2)</f>
        <v>3</v>
      </c>
      <c r="C366" s="3" t="n">
        <v>1</v>
      </c>
      <c r="E366" s="9" t="n">
        <f aca="false">IF(AND(p_aplicar_feriados=1,D366&lt;&gt;""),0,C366)</f>
        <v>1</v>
      </c>
      <c r="F366" s="19" t="n">
        <f aca="false">E366*p_horas_productivas_dia</f>
        <v>8</v>
      </c>
      <c r="G366" s="4" t="s">
        <v>30</v>
      </c>
    </row>
    <row r="367" customFormat="false" ht="15" hidden="false" customHeight="false" outlineLevel="0" collapsed="false">
      <c r="A367" s="18" t="n">
        <v>46023</v>
      </c>
      <c r="B367" s="9" t="n">
        <f aca="false">WEEKDAY(A367,2)</f>
        <v>4</v>
      </c>
      <c r="C367" s="3" t="n">
        <v>1</v>
      </c>
      <c r="D367" s="4" t="s">
        <v>961</v>
      </c>
      <c r="E367" s="9" t="n">
        <f aca="false">IF(AND(p_aplicar_feriados=1,D367&lt;&gt;""),0,C367)</f>
        <v>1</v>
      </c>
      <c r="F367" s="19" t="n">
        <f aca="false">E367*p_horas_productivas_dia</f>
        <v>8</v>
      </c>
      <c r="G367" s="4" t="s">
        <v>30</v>
      </c>
    </row>
    <row r="368" customFormat="false" ht="15" hidden="false" customHeight="false" outlineLevel="0" collapsed="false">
      <c r="A368" s="18" t="n">
        <v>46024</v>
      </c>
      <c r="B368" s="9" t="n">
        <f aca="false">WEEKDAY(A368,2)</f>
        <v>5</v>
      </c>
      <c r="C368" s="3" t="n">
        <v>1</v>
      </c>
      <c r="E368" s="9" t="n">
        <f aca="false">IF(AND(p_aplicar_feriados=1,D368&lt;&gt;""),0,C368)</f>
        <v>1</v>
      </c>
      <c r="F368" s="19" t="n">
        <f aca="false">E368*p_horas_productivas_dia</f>
        <v>8</v>
      </c>
      <c r="G368" s="4" t="s">
        <v>30</v>
      </c>
    </row>
    <row r="369" customFormat="false" ht="15" hidden="false" customHeight="false" outlineLevel="0" collapsed="false">
      <c r="A369" s="18" t="n">
        <v>46025</v>
      </c>
      <c r="B369" s="9" t="n">
        <f aca="false">WEEKDAY(A369,2)</f>
        <v>6</v>
      </c>
      <c r="C369" s="3" t="n">
        <v>0</v>
      </c>
      <c r="E369" s="9" t="n">
        <f aca="false">IF(AND(p_aplicar_feriados=1,D369&lt;&gt;""),0,C369)</f>
        <v>0</v>
      </c>
      <c r="F369" s="19" t="n">
        <f aca="false">E369*p_horas_productivas_dia</f>
        <v>0</v>
      </c>
      <c r="G369" s="4" t="s">
        <v>30</v>
      </c>
    </row>
    <row r="370" customFormat="false" ht="15" hidden="false" customHeight="false" outlineLevel="0" collapsed="false">
      <c r="A370" s="18" t="n">
        <v>46026</v>
      </c>
      <c r="B370" s="9" t="n">
        <f aca="false">WEEKDAY(A370,2)</f>
        <v>7</v>
      </c>
      <c r="C370" s="3" t="n">
        <v>0</v>
      </c>
      <c r="E370" s="9" t="n">
        <f aca="false">IF(AND(p_aplicar_feriados=1,D370&lt;&gt;""),0,C370)</f>
        <v>0</v>
      </c>
      <c r="F370" s="19" t="n">
        <f aca="false">E370*p_horas_productivas_dia</f>
        <v>0</v>
      </c>
      <c r="G370" s="4" t="s">
        <v>30</v>
      </c>
    </row>
    <row r="371" customFormat="false" ht="15" hidden="false" customHeight="false" outlineLevel="0" collapsed="false">
      <c r="A371" s="18" t="n">
        <v>46027</v>
      </c>
      <c r="B371" s="9" t="n">
        <f aca="false">WEEKDAY(A371,2)</f>
        <v>1</v>
      </c>
      <c r="C371" s="3" t="n">
        <v>1</v>
      </c>
      <c r="E371" s="9" t="n">
        <f aca="false">IF(AND(p_aplicar_feriados=1,D371&lt;&gt;""),0,C371)</f>
        <v>1</v>
      </c>
      <c r="F371" s="19" t="n">
        <f aca="false">E371*p_horas_productivas_dia</f>
        <v>8</v>
      </c>
      <c r="G371" s="4" t="s">
        <v>30</v>
      </c>
    </row>
    <row r="372" customFormat="false" ht="15" hidden="false" customHeight="false" outlineLevel="0" collapsed="false">
      <c r="A372" s="18" t="n">
        <v>46028</v>
      </c>
      <c r="B372" s="9" t="n">
        <f aca="false">WEEKDAY(A372,2)</f>
        <v>2</v>
      </c>
      <c r="C372" s="3" t="n">
        <v>1</v>
      </c>
      <c r="E372" s="9" t="n">
        <f aca="false">IF(AND(p_aplicar_feriados=1,D372&lt;&gt;""),0,C372)</f>
        <v>1</v>
      </c>
      <c r="F372" s="19" t="n">
        <f aca="false">E372*p_horas_productivas_dia</f>
        <v>8</v>
      </c>
      <c r="G372" s="4" t="s">
        <v>30</v>
      </c>
    </row>
    <row r="373" customFormat="false" ht="15" hidden="false" customHeight="false" outlineLevel="0" collapsed="false">
      <c r="A373" s="18" t="n">
        <v>46029</v>
      </c>
      <c r="B373" s="9" t="n">
        <f aca="false">WEEKDAY(A373,2)</f>
        <v>3</v>
      </c>
      <c r="C373" s="3" t="n">
        <v>1</v>
      </c>
      <c r="E373" s="9" t="n">
        <f aca="false">IF(AND(p_aplicar_feriados=1,D373&lt;&gt;""),0,C373)</f>
        <v>1</v>
      </c>
      <c r="F373" s="19" t="n">
        <f aca="false">E373*p_horas_productivas_dia</f>
        <v>8</v>
      </c>
      <c r="G373" s="4" t="s">
        <v>30</v>
      </c>
    </row>
    <row r="374" customFormat="false" ht="15" hidden="false" customHeight="false" outlineLevel="0" collapsed="false">
      <c r="A374" s="18" t="n">
        <v>46030</v>
      </c>
      <c r="B374" s="9" t="n">
        <f aca="false">WEEKDAY(A374,2)</f>
        <v>4</v>
      </c>
      <c r="C374" s="3" t="n">
        <v>1</v>
      </c>
      <c r="E374" s="9" t="n">
        <f aca="false">IF(AND(p_aplicar_feriados=1,D374&lt;&gt;""),0,C374)</f>
        <v>1</v>
      </c>
      <c r="F374" s="19" t="n">
        <f aca="false">E374*p_horas_productivas_dia</f>
        <v>8</v>
      </c>
      <c r="G374" s="4" t="s">
        <v>30</v>
      </c>
    </row>
    <row r="375" customFormat="false" ht="15" hidden="false" customHeight="false" outlineLevel="0" collapsed="false">
      <c r="A375" s="18" t="n">
        <v>46031</v>
      </c>
      <c r="B375" s="9" t="n">
        <f aca="false">WEEKDAY(A375,2)</f>
        <v>5</v>
      </c>
      <c r="C375" s="3" t="n">
        <v>1</v>
      </c>
      <c r="E375" s="9" t="n">
        <f aca="false">IF(AND(p_aplicar_feriados=1,D375&lt;&gt;""),0,C375)</f>
        <v>1</v>
      </c>
      <c r="F375" s="19" t="n">
        <f aca="false">E375*p_horas_productivas_dia</f>
        <v>8</v>
      </c>
      <c r="G375" s="4" t="s">
        <v>30</v>
      </c>
    </row>
    <row r="376" customFormat="false" ht="15" hidden="false" customHeight="false" outlineLevel="0" collapsed="false">
      <c r="A376" s="18" t="n">
        <v>46032</v>
      </c>
      <c r="B376" s="9" t="n">
        <f aca="false">WEEKDAY(A376,2)</f>
        <v>6</v>
      </c>
      <c r="C376" s="3" t="n">
        <v>0</v>
      </c>
      <c r="E376" s="9" t="n">
        <f aca="false">IF(AND(p_aplicar_feriados=1,D376&lt;&gt;""),0,C376)</f>
        <v>0</v>
      </c>
      <c r="F376" s="19" t="n">
        <f aca="false">E376*p_horas_productivas_dia</f>
        <v>0</v>
      </c>
      <c r="G376" s="4" t="s">
        <v>30</v>
      </c>
    </row>
    <row r="377" customFormat="false" ht="15" hidden="false" customHeight="false" outlineLevel="0" collapsed="false">
      <c r="A377" s="18" t="n">
        <v>46033</v>
      </c>
      <c r="B377" s="9" t="n">
        <f aca="false">WEEKDAY(A377,2)</f>
        <v>7</v>
      </c>
      <c r="C377" s="3" t="n">
        <v>0</v>
      </c>
      <c r="E377" s="9" t="n">
        <f aca="false">IF(AND(p_aplicar_feriados=1,D377&lt;&gt;""),0,C377)</f>
        <v>0</v>
      </c>
      <c r="F377" s="19" t="n">
        <f aca="false">E377*p_horas_productivas_dia</f>
        <v>0</v>
      </c>
      <c r="G377" s="4" t="s">
        <v>30</v>
      </c>
    </row>
    <row r="378" customFormat="false" ht="15" hidden="false" customHeight="false" outlineLevel="0" collapsed="false">
      <c r="A378" s="18" t="n">
        <v>46034</v>
      </c>
      <c r="B378" s="9" t="n">
        <f aca="false">WEEKDAY(A378,2)</f>
        <v>1</v>
      </c>
      <c r="C378" s="3" t="n">
        <v>1</v>
      </c>
      <c r="E378" s="9" t="n">
        <f aca="false">IF(AND(p_aplicar_feriados=1,D378&lt;&gt;""),0,C378)</f>
        <v>1</v>
      </c>
      <c r="F378" s="19" t="n">
        <f aca="false">E378*p_horas_productivas_dia</f>
        <v>8</v>
      </c>
      <c r="G378" s="4" t="s">
        <v>30</v>
      </c>
    </row>
    <row r="379" customFormat="false" ht="15" hidden="false" customHeight="false" outlineLevel="0" collapsed="false">
      <c r="A379" s="18" t="n">
        <v>46035</v>
      </c>
      <c r="B379" s="9" t="n">
        <f aca="false">WEEKDAY(A379,2)</f>
        <v>2</v>
      </c>
      <c r="C379" s="3" t="n">
        <v>1</v>
      </c>
      <c r="E379" s="9" t="n">
        <f aca="false">IF(AND(p_aplicar_feriados=1,D379&lt;&gt;""),0,C379)</f>
        <v>1</v>
      </c>
      <c r="F379" s="19" t="n">
        <f aca="false">E379*p_horas_productivas_dia</f>
        <v>8</v>
      </c>
      <c r="G379" s="4" t="s">
        <v>30</v>
      </c>
    </row>
    <row r="380" customFormat="false" ht="15" hidden="false" customHeight="false" outlineLevel="0" collapsed="false">
      <c r="A380" s="18" t="n">
        <v>46036</v>
      </c>
      <c r="B380" s="9" t="n">
        <f aca="false">WEEKDAY(A380,2)</f>
        <v>3</v>
      </c>
      <c r="C380" s="3" t="n">
        <v>1</v>
      </c>
      <c r="E380" s="9" t="n">
        <f aca="false">IF(AND(p_aplicar_feriados=1,D380&lt;&gt;""),0,C380)</f>
        <v>1</v>
      </c>
      <c r="F380" s="19" t="n">
        <f aca="false">E380*p_horas_productivas_dia</f>
        <v>8</v>
      </c>
      <c r="G380" s="4" t="s">
        <v>30</v>
      </c>
    </row>
    <row r="381" customFormat="false" ht="15" hidden="false" customHeight="false" outlineLevel="0" collapsed="false">
      <c r="A381" s="18" t="n">
        <v>46037</v>
      </c>
      <c r="B381" s="9" t="n">
        <f aca="false">WEEKDAY(A381,2)</f>
        <v>4</v>
      </c>
      <c r="C381" s="3" t="n">
        <v>1</v>
      </c>
      <c r="E381" s="9" t="n">
        <f aca="false">IF(AND(p_aplicar_feriados=1,D381&lt;&gt;""),0,C381)</f>
        <v>1</v>
      </c>
      <c r="F381" s="19" t="n">
        <f aca="false">E381*p_horas_productivas_dia</f>
        <v>8</v>
      </c>
      <c r="G381" s="4" t="s">
        <v>30</v>
      </c>
    </row>
    <row r="382" customFormat="false" ht="15" hidden="false" customHeight="false" outlineLevel="0" collapsed="false">
      <c r="A382" s="18" t="n">
        <v>46038</v>
      </c>
      <c r="B382" s="9" t="n">
        <f aca="false">WEEKDAY(A382,2)</f>
        <v>5</v>
      </c>
      <c r="C382" s="3" t="n">
        <v>1</v>
      </c>
      <c r="E382" s="9" t="n">
        <f aca="false">IF(AND(p_aplicar_feriados=1,D382&lt;&gt;""),0,C382)</f>
        <v>1</v>
      </c>
      <c r="F382" s="19" t="n">
        <f aca="false">E382*p_horas_productivas_dia</f>
        <v>8</v>
      </c>
      <c r="G382" s="4" t="s">
        <v>30</v>
      </c>
    </row>
    <row r="383" customFormat="false" ht="15" hidden="false" customHeight="false" outlineLevel="0" collapsed="false">
      <c r="A383" s="18" t="n">
        <v>46039</v>
      </c>
      <c r="B383" s="9" t="n">
        <f aca="false">WEEKDAY(A383,2)</f>
        <v>6</v>
      </c>
      <c r="C383" s="3" t="n">
        <v>0</v>
      </c>
      <c r="E383" s="9" t="n">
        <f aca="false">IF(AND(p_aplicar_feriados=1,D383&lt;&gt;""),0,C383)</f>
        <v>0</v>
      </c>
      <c r="F383" s="19" t="n">
        <f aca="false">E383*p_horas_productivas_dia</f>
        <v>0</v>
      </c>
      <c r="G383" s="4" t="s">
        <v>30</v>
      </c>
    </row>
    <row r="384" customFormat="false" ht="15" hidden="false" customHeight="false" outlineLevel="0" collapsed="false">
      <c r="A384" s="18" t="n">
        <v>46040</v>
      </c>
      <c r="B384" s="9" t="n">
        <f aca="false">WEEKDAY(A384,2)</f>
        <v>7</v>
      </c>
      <c r="C384" s="3" t="n">
        <v>0</v>
      </c>
      <c r="E384" s="9" t="n">
        <f aca="false">IF(AND(p_aplicar_feriados=1,D384&lt;&gt;""),0,C384)</f>
        <v>0</v>
      </c>
      <c r="F384" s="19" t="n">
        <f aca="false">E384*p_horas_productivas_dia</f>
        <v>0</v>
      </c>
      <c r="G384" s="4" t="s">
        <v>30</v>
      </c>
    </row>
    <row r="385" customFormat="false" ht="15" hidden="false" customHeight="false" outlineLevel="0" collapsed="false">
      <c r="A385" s="18" t="n">
        <v>46041</v>
      </c>
      <c r="B385" s="9" t="n">
        <f aca="false">WEEKDAY(A385,2)</f>
        <v>1</v>
      </c>
      <c r="C385" s="3" t="n">
        <v>1</v>
      </c>
      <c r="E385" s="9" t="n">
        <f aca="false">IF(AND(p_aplicar_feriados=1,D385&lt;&gt;""),0,C385)</f>
        <v>1</v>
      </c>
      <c r="F385" s="19" t="n">
        <f aca="false">E385*p_horas_productivas_dia</f>
        <v>8</v>
      </c>
      <c r="G385" s="4" t="s">
        <v>30</v>
      </c>
    </row>
    <row r="386" customFormat="false" ht="15" hidden="false" customHeight="false" outlineLevel="0" collapsed="false">
      <c r="A386" s="18" t="n">
        <v>46042</v>
      </c>
      <c r="B386" s="9" t="n">
        <f aca="false">WEEKDAY(A386,2)</f>
        <v>2</v>
      </c>
      <c r="C386" s="3" t="n">
        <v>1</v>
      </c>
      <c r="E386" s="9" t="n">
        <f aca="false">IF(AND(p_aplicar_feriados=1,D386&lt;&gt;""),0,C386)</f>
        <v>1</v>
      </c>
      <c r="F386" s="19" t="n">
        <f aca="false">E386*p_horas_productivas_dia</f>
        <v>8</v>
      </c>
      <c r="G386" s="4" t="s">
        <v>30</v>
      </c>
    </row>
    <row r="387" customFormat="false" ht="15" hidden="false" customHeight="false" outlineLevel="0" collapsed="false">
      <c r="A387" s="18" t="n">
        <v>46043</v>
      </c>
      <c r="B387" s="9" t="n">
        <f aca="false">WEEKDAY(A387,2)</f>
        <v>3</v>
      </c>
      <c r="C387" s="3" t="n">
        <v>1</v>
      </c>
      <c r="E387" s="9" t="n">
        <f aca="false">IF(AND(p_aplicar_feriados=1,D387&lt;&gt;""),0,C387)</f>
        <v>1</v>
      </c>
      <c r="F387" s="19" t="n">
        <f aca="false">E387*p_horas_productivas_dia</f>
        <v>8</v>
      </c>
      <c r="G387" s="4" t="s">
        <v>30</v>
      </c>
    </row>
    <row r="388" customFormat="false" ht="15" hidden="false" customHeight="false" outlineLevel="0" collapsed="false">
      <c r="A388" s="18" t="n">
        <v>46044</v>
      </c>
      <c r="B388" s="9" t="n">
        <f aca="false">WEEKDAY(A388,2)</f>
        <v>4</v>
      </c>
      <c r="C388" s="3" t="n">
        <v>1</v>
      </c>
      <c r="E388" s="9" t="n">
        <f aca="false">IF(AND(p_aplicar_feriados=1,D388&lt;&gt;""),0,C388)</f>
        <v>1</v>
      </c>
      <c r="F388" s="19" t="n">
        <f aca="false">E388*p_horas_productivas_dia</f>
        <v>8</v>
      </c>
      <c r="G388" s="4" t="s">
        <v>30</v>
      </c>
    </row>
    <row r="389" customFormat="false" ht="15" hidden="false" customHeight="false" outlineLevel="0" collapsed="false">
      <c r="A389" s="18" t="n">
        <v>46045</v>
      </c>
      <c r="B389" s="9" t="n">
        <f aca="false">WEEKDAY(A389,2)</f>
        <v>5</v>
      </c>
      <c r="C389" s="3" t="n">
        <v>1</v>
      </c>
      <c r="E389" s="9" t="n">
        <f aca="false">IF(AND(p_aplicar_feriados=1,D389&lt;&gt;""),0,C389)</f>
        <v>1</v>
      </c>
      <c r="F389" s="19" t="n">
        <f aca="false">E389*p_horas_productivas_dia</f>
        <v>8</v>
      </c>
      <c r="G389" s="4" t="s">
        <v>30</v>
      </c>
    </row>
    <row r="390" customFormat="false" ht="15" hidden="false" customHeight="false" outlineLevel="0" collapsed="false">
      <c r="A390" s="18" t="n">
        <v>46046</v>
      </c>
      <c r="B390" s="9" t="n">
        <f aca="false">WEEKDAY(A390,2)</f>
        <v>6</v>
      </c>
      <c r="C390" s="3" t="n">
        <v>0</v>
      </c>
      <c r="E390" s="9" t="n">
        <f aca="false">IF(AND(p_aplicar_feriados=1,D390&lt;&gt;""),0,C390)</f>
        <v>0</v>
      </c>
      <c r="F390" s="19" t="n">
        <f aca="false">E390*p_horas_productivas_dia</f>
        <v>0</v>
      </c>
      <c r="G390" s="4" t="s">
        <v>30</v>
      </c>
    </row>
    <row r="391" customFormat="false" ht="15" hidden="false" customHeight="false" outlineLevel="0" collapsed="false">
      <c r="A391" s="18" t="n">
        <v>46047</v>
      </c>
      <c r="B391" s="9" t="n">
        <f aca="false">WEEKDAY(A391,2)</f>
        <v>7</v>
      </c>
      <c r="C391" s="3" t="n">
        <v>0</v>
      </c>
      <c r="E391" s="9" t="n">
        <f aca="false">IF(AND(p_aplicar_feriados=1,D391&lt;&gt;""),0,C391)</f>
        <v>0</v>
      </c>
      <c r="F391" s="19" t="n">
        <f aca="false">E391*p_horas_productivas_dia</f>
        <v>0</v>
      </c>
      <c r="G391" s="4" t="s">
        <v>30</v>
      </c>
    </row>
    <row r="392" customFormat="false" ht="15" hidden="false" customHeight="false" outlineLevel="0" collapsed="false">
      <c r="A392" s="18" t="n">
        <v>46048</v>
      </c>
      <c r="B392" s="9" t="n">
        <f aca="false">WEEKDAY(A392,2)</f>
        <v>1</v>
      </c>
      <c r="C392" s="3" t="n">
        <v>1</v>
      </c>
      <c r="E392" s="9" t="n">
        <f aca="false">IF(AND(p_aplicar_feriados=1,D392&lt;&gt;""),0,C392)</f>
        <v>1</v>
      </c>
      <c r="F392" s="19" t="n">
        <f aca="false">E392*p_horas_productivas_dia</f>
        <v>8</v>
      </c>
      <c r="G392" s="4" t="s">
        <v>30</v>
      </c>
    </row>
    <row r="393" customFormat="false" ht="15" hidden="false" customHeight="false" outlineLevel="0" collapsed="false">
      <c r="A393" s="18" t="n">
        <v>46049</v>
      </c>
      <c r="B393" s="9" t="n">
        <f aca="false">WEEKDAY(A393,2)</f>
        <v>2</v>
      </c>
      <c r="C393" s="3" t="n">
        <v>1</v>
      </c>
      <c r="E393" s="9" t="n">
        <f aca="false">IF(AND(p_aplicar_feriados=1,D393&lt;&gt;""),0,C393)</f>
        <v>1</v>
      </c>
      <c r="F393" s="19" t="n">
        <f aca="false">E393*p_horas_productivas_dia</f>
        <v>8</v>
      </c>
      <c r="G393" s="4" t="s">
        <v>30</v>
      </c>
    </row>
    <row r="394" customFormat="false" ht="15" hidden="false" customHeight="false" outlineLevel="0" collapsed="false">
      <c r="A394" s="18" t="n">
        <v>46050</v>
      </c>
      <c r="B394" s="9" t="n">
        <f aca="false">WEEKDAY(A394,2)</f>
        <v>3</v>
      </c>
      <c r="C394" s="3" t="n">
        <v>1</v>
      </c>
      <c r="E394" s="9" t="n">
        <f aca="false">IF(AND(p_aplicar_feriados=1,D394&lt;&gt;""),0,C394)</f>
        <v>1</v>
      </c>
      <c r="F394" s="19" t="n">
        <f aca="false">E394*p_horas_productivas_dia</f>
        <v>8</v>
      </c>
      <c r="G394" s="4" t="s">
        <v>30</v>
      </c>
    </row>
    <row r="395" customFormat="false" ht="15" hidden="false" customHeight="false" outlineLevel="0" collapsed="false">
      <c r="A395" s="18" t="n">
        <v>46051</v>
      </c>
      <c r="B395" s="9" t="n">
        <f aca="false">WEEKDAY(A395,2)</f>
        <v>4</v>
      </c>
      <c r="C395" s="3" t="n">
        <v>1</v>
      </c>
      <c r="E395" s="9" t="n">
        <f aca="false">IF(AND(p_aplicar_feriados=1,D395&lt;&gt;""),0,C395)</f>
        <v>1</v>
      </c>
      <c r="F395" s="19" t="n">
        <f aca="false">E395*p_horas_productivas_dia</f>
        <v>8</v>
      </c>
      <c r="G395" s="4" t="s">
        <v>30</v>
      </c>
    </row>
    <row r="396" customFormat="false" ht="15" hidden="false" customHeight="false" outlineLevel="0" collapsed="false">
      <c r="A396" s="18" t="n">
        <v>46052</v>
      </c>
      <c r="B396" s="9" t="n">
        <f aca="false">WEEKDAY(A396,2)</f>
        <v>5</v>
      </c>
      <c r="C396" s="3" t="n">
        <v>1</v>
      </c>
      <c r="E396" s="9" t="n">
        <f aca="false">IF(AND(p_aplicar_feriados=1,D396&lt;&gt;""),0,C396)</f>
        <v>1</v>
      </c>
      <c r="F396" s="19" t="n">
        <f aca="false">E396*p_horas_productivas_dia</f>
        <v>8</v>
      </c>
      <c r="G396" s="4" t="s">
        <v>30</v>
      </c>
    </row>
    <row r="397" customFormat="false" ht="15" hidden="false" customHeight="false" outlineLevel="0" collapsed="false">
      <c r="A397" s="18" t="n">
        <v>46053</v>
      </c>
      <c r="B397" s="9" t="n">
        <f aca="false">WEEKDAY(A397,2)</f>
        <v>6</v>
      </c>
      <c r="C397" s="3" t="n">
        <v>0</v>
      </c>
      <c r="E397" s="9" t="n">
        <f aca="false">IF(AND(p_aplicar_feriados=1,D397&lt;&gt;""),0,C397)</f>
        <v>0</v>
      </c>
      <c r="F397" s="19" t="n">
        <f aca="false">E397*p_horas_productivas_dia</f>
        <v>0</v>
      </c>
      <c r="G397" s="4" t="s">
        <v>30</v>
      </c>
    </row>
  </sheetData>
  <autoFilter ref="A1:G397"/>
  <dataValidations count="1">
    <dataValidation allowBlank="true" error="Debe ser un número entero en el rango permitido." errorStyle="stop" operator="between" showDropDown="false" showErrorMessage="true" showInputMessage="false" sqref="C2:C397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G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6" min="6" style="0" width="11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1" t="s">
        <v>119</v>
      </c>
      <c r="B1" s="1" t="s">
        <v>223</v>
      </c>
      <c r="C1" s="1" t="s">
        <v>225</v>
      </c>
      <c r="D1" s="1" t="s">
        <v>228</v>
      </c>
      <c r="E1" s="1" t="s">
        <v>128</v>
      </c>
      <c r="F1" s="1" t="s">
        <v>231</v>
      </c>
      <c r="G1" s="1" t="s">
        <v>5</v>
      </c>
    </row>
    <row r="2" customFormat="false" ht="15" hidden="false" customHeight="false" outlineLevel="0" collapsed="false">
      <c r="A2" s="4" t="s">
        <v>865</v>
      </c>
      <c r="B2" s="3" t="n">
        <v>1</v>
      </c>
      <c r="C2" s="9" t="n">
        <f aca="false">SUMPRODUCT((MONTH('09_CALENDARIO'!$A$2:$A$397)=B2)*(YEAR('09_CALENDARIO'!$A$2:$A$397)=p_anio_base)*'09_CALENDARIO'!$E$2:$E$397)</f>
        <v>23</v>
      </c>
      <c r="D2" s="19" t="n">
        <f aca="false">p_horas_productivas_dia</f>
        <v>8</v>
      </c>
      <c r="E2" s="9" t="n">
        <f aca="false">INDEX('05_RECURSOS'!$E$2:$E$18,MATCH(A2,'05_RECURSOS'!$A$2:$A$18,0))</f>
        <v>1</v>
      </c>
      <c r="F2" s="19" t="n">
        <f aca="false">C2*D2*E2</f>
        <v>184</v>
      </c>
      <c r="G2" s="4" t="s">
        <v>26</v>
      </c>
    </row>
    <row r="3" customFormat="false" ht="15" hidden="false" customHeight="false" outlineLevel="0" collapsed="false">
      <c r="A3" s="4" t="s">
        <v>865</v>
      </c>
      <c r="B3" s="3" t="n">
        <v>2</v>
      </c>
      <c r="C3" s="9" t="n">
        <f aca="false">SUMPRODUCT((MONTH('09_CALENDARIO'!$A$2:$A$397)=B3)*(YEAR('09_CALENDARIO'!$A$2:$A$397)=p_anio_base)*'09_CALENDARIO'!$E$2:$E$397)</f>
        <v>20</v>
      </c>
      <c r="D3" s="19" t="n">
        <f aca="false">p_horas_productivas_dia</f>
        <v>8</v>
      </c>
      <c r="E3" s="9" t="n">
        <f aca="false">INDEX('05_RECURSOS'!$E$2:$E$18,MATCH(A3,'05_RECURSOS'!$A$2:$A$18,0))</f>
        <v>1</v>
      </c>
      <c r="F3" s="19" t="n">
        <f aca="false">C3*D3*E3</f>
        <v>160</v>
      </c>
      <c r="G3" s="4" t="s">
        <v>26</v>
      </c>
    </row>
    <row r="4" customFormat="false" ht="15" hidden="false" customHeight="false" outlineLevel="0" collapsed="false">
      <c r="A4" s="4" t="s">
        <v>865</v>
      </c>
      <c r="B4" s="3" t="n">
        <v>3</v>
      </c>
      <c r="C4" s="9" t="n">
        <f aca="false">SUMPRODUCT((MONTH('09_CALENDARIO'!$A$2:$A$397)=B4)*(YEAR('09_CALENDARIO'!$A$2:$A$397)=p_anio_base)*'09_CALENDARIO'!$E$2:$E$397)</f>
        <v>21</v>
      </c>
      <c r="D4" s="19" t="n">
        <f aca="false">p_horas_productivas_dia</f>
        <v>8</v>
      </c>
      <c r="E4" s="9" t="n">
        <f aca="false">INDEX('05_RECURSOS'!$E$2:$E$18,MATCH(A4,'05_RECURSOS'!$A$2:$A$18,0))</f>
        <v>1</v>
      </c>
      <c r="F4" s="19" t="n">
        <f aca="false">C4*D4*E4</f>
        <v>168</v>
      </c>
      <c r="G4" s="4" t="s">
        <v>26</v>
      </c>
    </row>
    <row r="5" customFormat="false" ht="15" hidden="false" customHeight="false" outlineLevel="0" collapsed="false">
      <c r="A5" s="4" t="s">
        <v>865</v>
      </c>
      <c r="B5" s="3" t="n">
        <v>4</v>
      </c>
      <c r="C5" s="9" t="n">
        <f aca="false">SUMPRODUCT((MONTH('09_CALENDARIO'!$A$2:$A$397)=B5)*(YEAR('09_CALENDARIO'!$A$2:$A$397)=p_anio_base)*'09_CALENDARIO'!$E$2:$E$397)</f>
        <v>22</v>
      </c>
      <c r="D5" s="19" t="n">
        <f aca="false">p_horas_productivas_dia</f>
        <v>8</v>
      </c>
      <c r="E5" s="9" t="n">
        <f aca="false">INDEX('05_RECURSOS'!$E$2:$E$18,MATCH(A5,'05_RECURSOS'!$A$2:$A$18,0))</f>
        <v>1</v>
      </c>
      <c r="F5" s="19" t="n">
        <f aca="false">C5*D5*E5</f>
        <v>176</v>
      </c>
      <c r="G5" s="4" t="s">
        <v>26</v>
      </c>
    </row>
    <row r="6" customFormat="false" ht="15" hidden="false" customHeight="false" outlineLevel="0" collapsed="false">
      <c r="A6" s="4" t="s">
        <v>865</v>
      </c>
      <c r="B6" s="3" t="n">
        <v>5</v>
      </c>
      <c r="C6" s="9" t="n">
        <f aca="false">SUMPRODUCT((MONTH('09_CALENDARIO'!$A$2:$A$397)=B6)*(YEAR('09_CALENDARIO'!$A$2:$A$397)=p_anio_base)*'09_CALENDARIO'!$E$2:$E$397)</f>
        <v>22</v>
      </c>
      <c r="D6" s="19" t="n">
        <f aca="false">p_horas_productivas_dia</f>
        <v>8</v>
      </c>
      <c r="E6" s="9" t="n">
        <f aca="false">INDEX('05_RECURSOS'!$E$2:$E$18,MATCH(A6,'05_RECURSOS'!$A$2:$A$18,0))</f>
        <v>1</v>
      </c>
      <c r="F6" s="19" t="n">
        <f aca="false">C6*D6*E6</f>
        <v>176</v>
      </c>
      <c r="G6" s="4" t="s">
        <v>26</v>
      </c>
    </row>
    <row r="7" customFormat="false" ht="15" hidden="false" customHeight="false" outlineLevel="0" collapsed="false">
      <c r="A7" s="4" t="s">
        <v>865</v>
      </c>
      <c r="B7" s="3" t="n">
        <v>6</v>
      </c>
      <c r="C7" s="9" t="n">
        <f aca="false">SUMPRODUCT((MONTH('09_CALENDARIO'!$A$2:$A$397)=B7)*(YEAR('09_CALENDARIO'!$A$2:$A$397)=p_anio_base)*'09_CALENDARIO'!$E$2:$E$397)</f>
        <v>21</v>
      </c>
      <c r="D7" s="19" t="n">
        <f aca="false">p_horas_productivas_dia</f>
        <v>8</v>
      </c>
      <c r="E7" s="9" t="n">
        <f aca="false">INDEX('05_RECURSOS'!$E$2:$E$18,MATCH(A7,'05_RECURSOS'!$A$2:$A$18,0))</f>
        <v>1</v>
      </c>
      <c r="F7" s="19" t="n">
        <f aca="false">C7*D7*E7</f>
        <v>168</v>
      </c>
      <c r="G7" s="4" t="s">
        <v>26</v>
      </c>
    </row>
    <row r="8" customFormat="false" ht="15" hidden="false" customHeight="false" outlineLevel="0" collapsed="false">
      <c r="A8" s="4" t="s">
        <v>865</v>
      </c>
      <c r="B8" s="3" t="n">
        <v>7</v>
      </c>
      <c r="C8" s="9" t="n">
        <f aca="false">SUMPRODUCT((MONTH('09_CALENDARIO'!$A$2:$A$397)=B8)*(YEAR('09_CALENDARIO'!$A$2:$A$397)=p_anio_base)*'09_CALENDARIO'!$E$2:$E$397)</f>
        <v>23</v>
      </c>
      <c r="D8" s="19" t="n">
        <f aca="false">p_horas_productivas_dia</f>
        <v>8</v>
      </c>
      <c r="E8" s="9" t="n">
        <f aca="false">INDEX('05_RECURSOS'!$E$2:$E$18,MATCH(A8,'05_RECURSOS'!$A$2:$A$18,0))</f>
        <v>1</v>
      </c>
      <c r="F8" s="19" t="n">
        <f aca="false">C8*D8*E8</f>
        <v>184</v>
      </c>
      <c r="G8" s="4" t="s">
        <v>26</v>
      </c>
    </row>
    <row r="9" customFormat="false" ht="15" hidden="false" customHeight="false" outlineLevel="0" collapsed="false">
      <c r="A9" s="4" t="s">
        <v>865</v>
      </c>
      <c r="B9" s="3" t="n">
        <v>8</v>
      </c>
      <c r="C9" s="9" t="n">
        <f aca="false">SUMPRODUCT((MONTH('09_CALENDARIO'!$A$2:$A$397)=B9)*(YEAR('09_CALENDARIO'!$A$2:$A$397)=p_anio_base)*'09_CALENDARIO'!$E$2:$E$397)</f>
        <v>21</v>
      </c>
      <c r="D9" s="19" t="n">
        <f aca="false">p_horas_productivas_dia</f>
        <v>8</v>
      </c>
      <c r="E9" s="9" t="n">
        <f aca="false">INDEX('05_RECURSOS'!$E$2:$E$18,MATCH(A9,'05_RECURSOS'!$A$2:$A$18,0))</f>
        <v>1</v>
      </c>
      <c r="F9" s="19" t="n">
        <f aca="false">C9*D9*E9</f>
        <v>168</v>
      </c>
      <c r="G9" s="4" t="s">
        <v>26</v>
      </c>
    </row>
    <row r="10" customFormat="false" ht="15" hidden="false" customHeight="false" outlineLevel="0" collapsed="false">
      <c r="A10" s="4" t="s">
        <v>865</v>
      </c>
      <c r="B10" s="3" t="n">
        <v>9</v>
      </c>
      <c r="C10" s="9" t="n">
        <f aca="false">SUMPRODUCT((MONTH('09_CALENDARIO'!$A$2:$A$397)=B10)*(YEAR('09_CALENDARIO'!$A$2:$A$397)=p_anio_base)*'09_CALENDARIO'!$E$2:$E$397)</f>
        <v>22</v>
      </c>
      <c r="D10" s="19" t="n">
        <f aca="false">p_horas_productivas_dia</f>
        <v>8</v>
      </c>
      <c r="E10" s="9" t="n">
        <f aca="false">INDEX('05_RECURSOS'!$E$2:$E$18,MATCH(A10,'05_RECURSOS'!$A$2:$A$18,0))</f>
        <v>1</v>
      </c>
      <c r="F10" s="19" t="n">
        <f aca="false">C10*D10*E10</f>
        <v>176</v>
      </c>
      <c r="G10" s="4" t="s">
        <v>26</v>
      </c>
    </row>
    <row r="11" customFormat="false" ht="15" hidden="false" customHeight="false" outlineLevel="0" collapsed="false">
      <c r="A11" s="4" t="s">
        <v>865</v>
      </c>
      <c r="B11" s="3" t="n">
        <v>10</v>
      </c>
      <c r="C11" s="9" t="n">
        <f aca="false">SUMPRODUCT((MONTH('09_CALENDARIO'!$A$2:$A$397)=B11)*(YEAR('09_CALENDARIO'!$A$2:$A$397)=p_anio_base)*'09_CALENDARIO'!$E$2:$E$397)</f>
        <v>23</v>
      </c>
      <c r="D11" s="19" t="n">
        <f aca="false">p_horas_productivas_dia</f>
        <v>8</v>
      </c>
      <c r="E11" s="9" t="n">
        <f aca="false">INDEX('05_RECURSOS'!$E$2:$E$18,MATCH(A11,'05_RECURSOS'!$A$2:$A$18,0))</f>
        <v>1</v>
      </c>
      <c r="F11" s="19" t="n">
        <f aca="false">C11*D11*E11</f>
        <v>184</v>
      </c>
      <c r="G11" s="4" t="s">
        <v>26</v>
      </c>
    </row>
    <row r="12" customFormat="false" ht="15" hidden="false" customHeight="false" outlineLevel="0" collapsed="false">
      <c r="A12" s="4" t="s">
        <v>865</v>
      </c>
      <c r="B12" s="3" t="n">
        <v>11</v>
      </c>
      <c r="C12" s="9" t="n">
        <f aca="false">SUMPRODUCT((MONTH('09_CALENDARIO'!$A$2:$A$397)=B12)*(YEAR('09_CALENDARIO'!$A$2:$A$397)=p_anio_base)*'09_CALENDARIO'!$E$2:$E$397)</f>
        <v>20</v>
      </c>
      <c r="D12" s="19" t="n">
        <f aca="false">p_horas_productivas_dia</f>
        <v>8</v>
      </c>
      <c r="E12" s="9" t="n">
        <f aca="false">INDEX('05_RECURSOS'!$E$2:$E$18,MATCH(A12,'05_RECURSOS'!$A$2:$A$18,0))</f>
        <v>1</v>
      </c>
      <c r="F12" s="19" t="n">
        <f aca="false">C12*D12*E12</f>
        <v>160</v>
      </c>
      <c r="G12" s="4" t="s">
        <v>26</v>
      </c>
    </row>
    <row r="13" customFormat="false" ht="15" hidden="false" customHeight="false" outlineLevel="0" collapsed="false">
      <c r="A13" s="4" t="s">
        <v>865</v>
      </c>
      <c r="B13" s="3" t="n">
        <v>12</v>
      </c>
      <c r="C13" s="9" t="n">
        <f aca="false">SUMPRODUCT((MONTH('09_CALENDARIO'!$A$2:$A$397)=B13)*(YEAR('09_CALENDARIO'!$A$2:$A$397)=p_anio_base)*'09_CALENDARIO'!$E$2:$E$397)</f>
        <v>23</v>
      </c>
      <c r="D13" s="19" t="n">
        <f aca="false">p_horas_productivas_dia</f>
        <v>8</v>
      </c>
      <c r="E13" s="9" t="n">
        <f aca="false">INDEX('05_RECURSOS'!$E$2:$E$18,MATCH(A13,'05_RECURSOS'!$A$2:$A$18,0))</f>
        <v>1</v>
      </c>
      <c r="F13" s="19" t="n">
        <f aca="false">C13*D13*E13</f>
        <v>184</v>
      </c>
      <c r="G13" s="4" t="s">
        <v>26</v>
      </c>
    </row>
    <row r="14" customFormat="false" ht="15" hidden="false" customHeight="false" outlineLevel="0" collapsed="false">
      <c r="A14" s="4" t="s">
        <v>870</v>
      </c>
      <c r="B14" s="3" t="n">
        <v>1</v>
      </c>
      <c r="C14" s="9" t="n">
        <f aca="false">SUMPRODUCT((MONTH('09_CALENDARIO'!$A$2:$A$397)=B14)*(YEAR('09_CALENDARIO'!$A$2:$A$397)=p_anio_base)*'09_CALENDARIO'!$E$2:$E$397)</f>
        <v>23</v>
      </c>
      <c r="D14" s="19" t="n">
        <f aca="false">p_horas_productivas_dia</f>
        <v>8</v>
      </c>
      <c r="E14" s="9" t="n">
        <f aca="false">INDEX('05_RECURSOS'!$E$2:$E$18,MATCH(A14,'05_RECURSOS'!$A$2:$A$18,0))</f>
        <v>1</v>
      </c>
      <c r="F14" s="19" t="n">
        <f aca="false">C14*D14*E14</f>
        <v>184</v>
      </c>
      <c r="G14" s="4" t="s">
        <v>26</v>
      </c>
    </row>
    <row r="15" customFormat="false" ht="15" hidden="false" customHeight="false" outlineLevel="0" collapsed="false">
      <c r="A15" s="4" t="s">
        <v>870</v>
      </c>
      <c r="B15" s="3" t="n">
        <v>2</v>
      </c>
      <c r="C15" s="9" t="n">
        <f aca="false">SUMPRODUCT((MONTH('09_CALENDARIO'!$A$2:$A$397)=B15)*(YEAR('09_CALENDARIO'!$A$2:$A$397)=p_anio_base)*'09_CALENDARIO'!$E$2:$E$397)</f>
        <v>20</v>
      </c>
      <c r="D15" s="19" t="n">
        <f aca="false">p_horas_productivas_dia</f>
        <v>8</v>
      </c>
      <c r="E15" s="9" t="n">
        <f aca="false">INDEX('05_RECURSOS'!$E$2:$E$18,MATCH(A15,'05_RECURSOS'!$A$2:$A$18,0))</f>
        <v>1</v>
      </c>
      <c r="F15" s="19" t="n">
        <f aca="false">C15*D15*E15</f>
        <v>160</v>
      </c>
      <c r="G15" s="4" t="s">
        <v>26</v>
      </c>
    </row>
    <row r="16" customFormat="false" ht="15" hidden="false" customHeight="false" outlineLevel="0" collapsed="false">
      <c r="A16" s="4" t="s">
        <v>870</v>
      </c>
      <c r="B16" s="3" t="n">
        <v>3</v>
      </c>
      <c r="C16" s="9" t="n">
        <f aca="false">SUMPRODUCT((MONTH('09_CALENDARIO'!$A$2:$A$397)=B16)*(YEAR('09_CALENDARIO'!$A$2:$A$397)=p_anio_base)*'09_CALENDARIO'!$E$2:$E$397)</f>
        <v>21</v>
      </c>
      <c r="D16" s="19" t="n">
        <f aca="false">p_horas_productivas_dia</f>
        <v>8</v>
      </c>
      <c r="E16" s="9" t="n">
        <f aca="false">INDEX('05_RECURSOS'!$E$2:$E$18,MATCH(A16,'05_RECURSOS'!$A$2:$A$18,0))</f>
        <v>1</v>
      </c>
      <c r="F16" s="19" t="n">
        <f aca="false">C16*D16*E16</f>
        <v>168</v>
      </c>
      <c r="G16" s="4" t="s">
        <v>26</v>
      </c>
    </row>
    <row r="17" customFormat="false" ht="15" hidden="false" customHeight="false" outlineLevel="0" collapsed="false">
      <c r="A17" s="4" t="s">
        <v>870</v>
      </c>
      <c r="B17" s="3" t="n">
        <v>4</v>
      </c>
      <c r="C17" s="9" t="n">
        <f aca="false">SUMPRODUCT((MONTH('09_CALENDARIO'!$A$2:$A$397)=B17)*(YEAR('09_CALENDARIO'!$A$2:$A$397)=p_anio_base)*'09_CALENDARIO'!$E$2:$E$397)</f>
        <v>22</v>
      </c>
      <c r="D17" s="19" t="n">
        <f aca="false">p_horas_productivas_dia</f>
        <v>8</v>
      </c>
      <c r="E17" s="9" t="n">
        <f aca="false">INDEX('05_RECURSOS'!$E$2:$E$18,MATCH(A17,'05_RECURSOS'!$A$2:$A$18,0))</f>
        <v>1</v>
      </c>
      <c r="F17" s="19" t="n">
        <f aca="false">C17*D17*E17</f>
        <v>176</v>
      </c>
      <c r="G17" s="4" t="s">
        <v>26</v>
      </c>
    </row>
    <row r="18" customFormat="false" ht="15" hidden="false" customHeight="false" outlineLevel="0" collapsed="false">
      <c r="A18" s="4" t="s">
        <v>870</v>
      </c>
      <c r="B18" s="3" t="n">
        <v>5</v>
      </c>
      <c r="C18" s="9" t="n">
        <f aca="false">SUMPRODUCT((MONTH('09_CALENDARIO'!$A$2:$A$397)=B18)*(YEAR('09_CALENDARIO'!$A$2:$A$397)=p_anio_base)*'09_CALENDARIO'!$E$2:$E$397)</f>
        <v>22</v>
      </c>
      <c r="D18" s="19" t="n">
        <f aca="false">p_horas_productivas_dia</f>
        <v>8</v>
      </c>
      <c r="E18" s="9" t="n">
        <f aca="false">INDEX('05_RECURSOS'!$E$2:$E$18,MATCH(A18,'05_RECURSOS'!$A$2:$A$18,0))</f>
        <v>1</v>
      </c>
      <c r="F18" s="19" t="n">
        <f aca="false">C18*D18*E18</f>
        <v>176</v>
      </c>
      <c r="G18" s="4" t="s">
        <v>26</v>
      </c>
    </row>
    <row r="19" customFormat="false" ht="15" hidden="false" customHeight="false" outlineLevel="0" collapsed="false">
      <c r="A19" s="4" t="s">
        <v>870</v>
      </c>
      <c r="B19" s="3" t="n">
        <v>6</v>
      </c>
      <c r="C19" s="9" t="n">
        <f aca="false">SUMPRODUCT((MONTH('09_CALENDARIO'!$A$2:$A$397)=B19)*(YEAR('09_CALENDARIO'!$A$2:$A$397)=p_anio_base)*'09_CALENDARIO'!$E$2:$E$397)</f>
        <v>21</v>
      </c>
      <c r="D19" s="19" t="n">
        <f aca="false">p_horas_productivas_dia</f>
        <v>8</v>
      </c>
      <c r="E19" s="9" t="n">
        <f aca="false">INDEX('05_RECURSOS'!$E$2:$E$18,MATCH(A19,'05_RECURSOS'!$A$2:$A$18,0))</f>
        <v>1</v>
      </c>
      <c r="F19" s="19" t="n">
        <f aca="false">C19*D19*E19</f>
        <v>168</v>
      </c>
      <c r="G19" s="4" t="s">
        <v>26</v>
      </c>
    </row>
    <row r="20" customFormat="false" ht="15" hidden="false" customHeight="false" outlineLevel="0" collapsed="false">
      <c r="A20" s="4" t="s">
        <v>870</v>
      </c>
      <c r="B20" s="3" t="n">
        <v>7</v>
      </c>
      <c r="C20" s="9" t="n">
        <f aca="false">SUMPRODUCT((MONTH('09_CALENDARIO'!$A$2:$A$397)=B20)*(YEAR('09_CALENDARIO'!$A$2:$A$397)=p_anio_base)*'09_CALENDARIO'!$E$2:$E$397)</f>
        <v>23</v>
      </c>
      <c r="D20" s="19" t="n">
        <f aca="false">p_horas_productivas_dia</f>
        <v>8</v>
      </c>
      <c r="E20" s="9" t="n">
        <f aca="false">INDEX('05_RECURSOS'!$E$2:$E$18,MATCH(A20,'05_RECURSOS'!$A$2:$A$18,0))</f>
        <v>1</v>
      </c>
      <c r="F20" s="19" t="n">
        <f aca="false">C20*D20*E20</f>
        <v>184</v>
      </c>
      <c r="G20" s="4" t="s">
        <v>26</v>
      </c>
    </row>
    <row r="21" customFormat="false" ht="15" hidden="false" customHeight="false" outlineLevel="0" collapsed="false">
      <c r="A21" s="4" t="s">
        <v>870</v>
      </c>
      <c r="B21" s="3" t="n">
        <v>8</v>
      </c>
      <c r="C21" s="9" t="n">
        <f aca="false">SUMPRODUCT((MONTH('09_CALENDARIO'!$A$2:$A$397)=B21)*(YEAR('09_CALENDARIO'!$A$2:$A$397)=p_anio_base)*'09_CALENDARIO'!$E$2:$E$397)</f>
        <v>21</v>
      </c>
      <c r="D21" s="19" t="n">
        <f aca="false">p_horas_productivas_dia</f>
        <v>8</v>
      </c>
      <c r="E21" s="9" t="n">
        <f aca="false">INDEX('05_RECURSOS'!$E$2:$E$18,MATCH(A21,'05_RECURSOS'!$A$2:$A$18,0))</f>
        <v>1</v>
      </c>
      <c r="F21" s="19" t="n">
        <f aca="false">C21*D21*E21</f>
        <v>168</v>
      </c>
      <c r="G21" s="4" t="s">
        <v>26</v>
      </c>
    </row>
    <row r="22" customFormat="false" ht="15" hidden="false" customHeight="false" outlineLevel="0" collapsed="false">
      <c r="A22" s="4" t="s">
        <v>870</v>
      </c>
      <c r="B22" s="3" t="n">
        <v>9</v>
      </c>
      <c r="C22" s="9" t="n">
        <f aca="false">SUMPRODUCT((MONTH('09_CALENDARIO'!$A$2:$A$397)=B22)*(YEAR('09_CALENDARIO'!$A$2:$A$397)=p_anio_base)*'09_CALENDARIO'!$E$2:$E$397)</f>
        <v>22</v>
      </c>
      <c r="D22" s="19" t="n">
        <f aca="false">p_horas_productivas_dia</f>
        <v>8</v>
      </c>
      <c r="E22" s="9" t="n">
        <f aca="false">INDEX('05_RECURSOS'!$E$2:$E$18,MATCH(A22,'05_RECURSOS'!$A$2:$A$18,0))</f>
        <v>1</v>
      </c>
      <c r="F22" s="19" t="n">
        <f aca="false">C22*D22*E22</f>
        <v>176</v>
      </c>
      <c r="G22" s="4" t="s">
        <v>26</v>
      </c>
    </row>
    <row r="23" customFormat="false" ht="15" hidden="false" customHeight="false" outlineLevel="0" collapsed="false">
      <c r="A23" s="4" t="s">
        <v>870</v>
      </c>
      <c r="B23" s="3" t="n">
        <v>10</v>
      </c>
      <c r="C23" s="9" t="n">
        <f aca="false">SUMPRODUCT((MONTH('09_CALENDARIO'!$A$2:$A$397)=B23)*(YEAR('09_CALENDARIO'!$A$2:$A$397)=p_anio_base)*'09_CALENDARIO'!$E$2:$E$397)</f>
        <v>23</v>
      </c>
      <c r="D23" s="19" t="n">
        <f aca="false">p_horas_productivas_dia</f>
        <v>8</v>
      </c>
      <c r="E23" s="9" t="n">
        <f aca="false">INDEX('05_RECURSOS'!$E$2:$E$18,MATCH(A23,'05_RECURSOS'!$A$2:$A$18,0))</f>
        <v>1</v>
      </c>
      <c r="F23" s="19" t="n">
        <f aca="false">C23*D23*E23</f>
        <v>184</v>
      </c>
      <c r="G23" s="4" t="s">
        <v>26</v>
      </c>
    </row>
    <row r="24" customFormat="false" ht="15" hidden="false" customHeight="false" outlineLevel="0" collapsed="false">
      <c r="A24" s="4" t="s">
        <v>870</v>
      </c>
      <c r="B24" s="3" t="n">
        <v>11</v>
      </c>
      <c r="C24" s="9" t="n">
        <f aca="false">SUMPRODUCT((MONTH('09_CALENDARIO'!$A$2:$A$397)=B24)*(YEAR('09_CALENDARIO'!$A$2:$A$397)=p_anio_base)*'09_CALENDARIO'!$E$2:$E$397)</f>
        <v>20</v>
      </c>
      <c r="D24" s="19" t="n">
        <f aca="false">p_horas_productivas_dia</f>
        <v>8</v>
      </c>
      <c r="E24" s="9" t="n">
        <f aca="false">INDEX('05_RECURSOS'!$E$2:$E$18,MATCH(A24,'05_RECURSOS'!$A$2:$A$18,0))</f>
        <v>1</v>
      </c>
      <c r="F24" s="19" t="n">
        <f aca="false">C24*D24*E24</f>
        <v>160</v>
      </c>
      <c r="G24" s="4" t="s">
        <v>26</v>
      </c>
    </row>
    <row r="25" customFormat="false" ht="15" hidden="false" customHeight="false" outlineLevel="0" collapsed="false">
      <c r="A25" s="4" t="s">
        <v>870</v>
      </c>
      <c r="B25" s="3" t="n">
        <v>12</v>
      </c>
      <c r="C25" s="9" t="n">
        <f aca="false">SUMPRODUCT((MONTH('09_CALENDARIO'!$A$2:$A$397)=B25)*(YEAR('09_CALENDARIO'!$A$2:$A$397)=p_anio_base)*'09_CALENDARIO'!$E$2:$E$397)</f>
        <v>23</v>
      </c>
      <c r="D25" s="19" t="n">
        <f aca="false">p_horas_productivas_dia</f>
        <v>8</v>
      </c>
      <c r="E25" s="9" t="n">
        <f aca="false">INDEX('05_RECURSOS'!$E$2:$E$18,MATCH(A25,'05_RECURSOS'!$A$2:$A$18,0))</f>
        <v>1</v>
      </c>
      <c r="F25" s="19" t="n">
        <f aca="false">C25*D25*E25</f>
        <v>184</v>
      </c>
      <c r="G25" s="4" t="s">
        <v>26</v>
      </c>
    </row>
    <row r="26" customFormat="false" ht="15" hidden="false" customHeight="false" outlineLevel="0" collapsed="false">
      <c r="A26" s="4" t="s">
        <v>873</v>
      </c>
      <c r="B26" s="3" t="n">
        <v>1</v>
      </c>
      <c r="C26" s="9" t="n">
        <f aca="false">SUMPRODUCT((MONTH('09_CALENDARIO'!$A$2:$A$397)=B26)*(YEAR('09_CALENDARIO'!$A$2:$A$397)=p_anio_base)*'09_CALENDARIO'!$E$2:$E$397)</f>
        <v>23</v>
      </c>
      <c r="D26" s="19" t="n">
        <f aca="false">p_horas_productivas_dia</f>
        <v>8</v>
      </c>
      <c r="E26" s="9" t="n">
        <f aca="false">INDEX('05_RECURSOS'!$E$2:$E$18,MATCH(A26,'05_RECURSOS'!$A$2:$A$18,0))</f>
        <v>1</v>
      </c>
      <c r="F26" s="19" t="n">
        <f aca="false">C26*D26*E26</f>
        <v>184</v>
      </c>
      <c r="G26" s="4" t="s">
        <v>26</v>
      </c>
    </row>
    <row r="27" customFormat="false" ht="15" hidden="false" customHeight="false" outlineLevel="0" collapsed="false">
      <c r="A27" s="4" t="s">
        <v>873</v>
      </c>
      <c r="B27" s="3" t="n">
        <v>2</v>
      </c>
      <c r="C27" s="9" t="n">
        <f aca="false">SUMPRODUCT((MONTH('09_CALENDARIO'!$A$2:$A$397)=B27)*(YEAR('09_CALENDARIO'!$A$2:$A$397)=p_anio_base)*'09_CALENDARIO'!$E$2:$E$397)</f>
        <v>20</v>
      </c>
      <c r="D27" s="19" t="n">
        <f aca="false">p_horas_productivas_dia</f>
        <v>8</v>
      </c>
      <c r="E27" s="9" t="n">
        <f aca="false">INDEX('05_RECURSOS'!$E$2:$E$18,MATCH(A27,'05_RECURSOS'!$A$2:$A$18,0))</f>
        <v>1</v>
      </c>
      <c r="F27" s="19" t="n">
        <f aca="false">C27*D27*E27</f>
        <v>160</v>
      </c>
      <c r="G27" s="4" t="s">
        <v>26</v>
      </c>
    </row>
    <row r="28" customFormat="false" ht="15" hidden="false" customHeight="false" outlineLevel="0" collapsed="false">
      <c r="A28" s="4" t="s">
        <v>873</v>
      </c>
      <c r="B28" s="3" t="n">
        <v>3</v>
      </c>
      <c r="C28" s="9" t="n">
        <f aca="false">SUMPRODUCT((MONTH('09_CALENDARIO'!$A$2:$A$397)=B28)*(YEAR('09_CALENDARIO'!$A$2:$A$397)=p_anio_base)*'09_CALENDARIO'!$E$2:$E$397)</f>
        <v>21</v>
      </c>
      <c r="D28" s="19" t="n">
        <f aca="false">p_horas_productivas_dia</f>
        <v>8</v>
      </c>
      <c r="E28" s="9" t="n">
        <f aca="false">INDEX('05_RECURSOS'!$E$2:$E$18,MATCH(A28,'05_RECURSOS'!$A$2:$A$18,0))</f>
        <v>1</v>
      </c>
      <c r="F28" s="19" t="n">
        <f aca="false">C28*D28*E28</f>
        <v>168</v>
      </c>
      <c r="G28" s="4" t="s">
        <v>26</v>
      </c>
    </row>
    <row r="29" customFormat="false" ht="15" hidden="false" customHeight="false" outlineLevel="0" collapsed="false">
      <c r="A29" s="4" t="s">
        <v>873</v>
      </c>
      <c r="B29" s="3" t="n">
        <v>4</v>
      </c>
      <c r="C29" s="9" t="n">
        <f aca="false">SUMPRODUCT((MONTH('09_CALENDARIO'!$A$2:$A$397)=B29)*(YEAR('09_CALENDARIO'!$A$2:$A$397)=p_anio_base)*'09_CALENDARIO'!$E$2:$E$397)</f>
        <v>22</v>
      </c>
      <c r="D29" s="19" t="n">
        <f aca="false">p_horas_productivas_dia</f>
        <v>8</v>
      </c>
      <c r="E29" s="9" t="n">
        <f aca="false">INDEX('05_RECURSOS'!$E$2:$E$18,MATCH(A29,'05_RECURSOS'!$A$2:$A$18,0))</f>
        <v>1</v>
      </c>
      <c r="F29" s="19" t="n">
        <f aca="false">C29*D29*E29</f>
        <v>176</v>
      </c>
      <c r="G29" s="4" t="s">
        <v>26</v>
      </c>
    </row>
    <row r="30" customFormat="false" ht="15" hidden="false" customHeight="false" outlineLevel="0" collapsed="false">
      <c r="A30" s="4" t="s">
        <v>873</v>
      </c>
      <c r="B30" s="3" t="n">
        <v>5</v>
      </c>
      <c r="C30" s="9" t="n">
        <f aca="false">SUMPRODUCT((MONTH('09_CALENDARIO'!$A$2:$A$397)=B30)*(YEAR('09_CALENDARIO'!$A$2:$A$397)=p_anio_base)*'09_CALENDARIO'!$E$2:$E$397)</f>
        <v>22</v>
      </c>
      <c r="D30" s="19" t="n">
        <f aca="false">p_horas_productivas_dia</f>
        <v>8</v>
      </c>
      <c r="E30" s="9" t="n">
        <f aca="false">INDEX('05_RECURSOS'!$E$2:$E$18,MATCH(A30,'05_RECURSOS'!$A$2:$A$18,0))</f>
        <v>1</v>
      </c>
      <c r="F30" s="19" t="n">
        <f aca="false">C30*D30*E30</f>
        <v>176</v>
      </c>
      <c r="G30" s="4" t="s">
        <v>26</v>
      </c>
    </row>
    <row r="31" customFormat="false" ht="15" hidden="false" customHeight="false" outlineLevel="0" collapsed="false">
      <c r="A31" s="4" t="s">
        <v>873</v>
      </c>
      <c r="B31" s="3" t="n">
        <v>6</v>
      </c>
      <c r="C31" s="9" t="n">
        <f aca="false">SUMPRODUCT((MONTH('09_CALENDARIO'!$A$2:$A$397)=B31)*(YEAR('09_CALENDARIO'!$A$2:$A$397)=p_anio_base)*'09_CALENDARIO'!$E$2:$E$397)</f>
        <v>21</v>
      </c>
      <c r="D31" s="19" t="n">
        <f aca="false">p_horas_productivas_dia</f>
        <v>8</v>
      </c>
      <c r="E31" s="9" t="n">
        <f aca="false">INDEX('05_RECURSOS'!$E$2:$E$18,MATCH(A31,'05_RECURSOS'!$A$2:$A$18,0))</f>
        <v>1</v>
      </c>
      <c r="F31" s="19" t="n">
        <f aca="false">C31*D31*E31</f>
        <v>168</v>
      </c>
      <c r="G31" s="4" t="s">
        <v>26</v>
      </c>
    </row>
    <row r="32" customFormat="false" ht="15" hidden="false" customHeight="false" outlineLevel="0" collapsed="false">
      <c r="A32" s="4" t="s">
        <v>873</v>
      </c>
      <c r="B32" s="3" t="n">
        <v>7</v>
      </c>
      <c r="C32" s="9" t="n">
        <f aca="false">SUMPRODUCT((MONTH('09_CALENDARIO'!$A$2:$A$397)=B32)*(YEAR('09_CALENDARIO'!$A$2:$A$397)=p_anio_base)*'09_CALENDARIO'!$E$2:$E$397)</f>
        <v>23</v>
      </c>
      <c r="D32" s="19" t="n">
        <f aca="false">p_horas_productivas_dia</f>
        <v>8</v>
      </c>
      <c r="E32" s="9" t="n">
        <f aca="false">INDEX('05_RECURSOS'!$E$2:$E$18,MATCH(A32,'05_RECURSOS'!$A$2:$A$18,0))</f>
        <v>1</v>
      </c>
      <c r="F32" s="19" t="n">
        <f aca="false">C32*D32*E32</f>
        <v>184</v>
      </c>
      <c r="G32" s="4" t="s">
        <v>26</v>
      </c>
    </row>
    <row r="33" customFormat="false" ht="15" hidden="false" customHeight="false" outlineLevel="0" collapsed="false">
      <c r="A33" s="4" t="s">
        <v>873</v>
      </c>
      <c r="B33" s="3" t="n">
        <v>8</v>
      </c>
      <c r="C33" s="9" t="n">
        <f aca="false">SUMPRODUCT((MONTH('09_CALENDARIO'!$A$2:$A$397)=B33)*(YEAR('09_CALENDARIO'!$A$2:$A$397)=p_anio_base)*'09_CALENDARIO'!$E$2:$E$397)</f>
        <v>21</v>
      </c>
      <c r="D33" s="19" t="n">
        <f aca="false">p_horas_productivas_dia</f>
        <v>8</v>
      </c>
      <c r="E33" s="9" t="n">
        <f aca="false">INDEX('05_RECURSOS'!$E$2:$E$18,MATCH(A33,'05_RECURSOS'!$A$2:$A$18,0))</f>
        <v>1</v>
      </c>
      <c r="F33" s="19" t="n">
        <f aca="false">C33*D33*E33</f>
        <v>168</v>
      </c>
      <c r="G33" s="4" t="s">
        <v>26</v>
      </c>
    </row>
    <row r="34" customFormat="false" ht="15" hidden="false" customHeight="false" outlineLevel="0" collapsed="false">
      <c r="A34" s="4" t="s">
        <v>873</v>
      </c>
      <c r="B34" s="3" t="n">
        <v>9</v>
      </c>
      <c r="C34" s="9" t="n">
        <f aca="false">SUMPRODUCT((MONTH('09_CALENDARIO'!$A$2:$A$397)=B34)*(YEAR('09_CALENDARIO'!$A$2:$A$397)=p_anio_base)*'09_CALENDARIO'!$E$2:$E$397)</f>
        <v>22</v>
      </c>
      <c r="D34" s="19" t="n">
        <f aca="false">p_horas_productivas_dia</f>
        <v>8</v>
      </c>
      <c r="E34" s="9" t="n">
        <f aca="false">INDEX('05_RECURSOS'!$E$2:$E$18,MATCH(A34,'05_RECURSOS'!$A$2:$A$18,0))</f>
        <v>1</v>
      </c>
      <c r="F34" s="19" t="n">
        <f aca="false">C34*D34*E34</f>
        <v>176</v>
      </c>
      <c r="G34" s="4" t="s">
        <v>26</v>
      </c>
    </row>
    <row r="35" customFormat="false" ht="15" hidden="false" customHeight="false" outlineLevel="0" collapsed="false">
      <c r="A35" s="4" t="s">
        <v>873</v>
      </c>
      <c r="B35" s="3" t="n">
        <v>10</v>
      </c>
      <c r="C35" s="9" t="n">
        <f aca="false">SUMPRODUCT((MONTH('09_CALENDARIO'!$A$2:$A$397)=B35)*(YEAR('09_CALENDARIO'!$A$2:$A$397)=p_anio_base)*'09_CALENDARIO'!$E$2:$E$397)</f>
        <v>23</v>
      </c>
      <c r="D35" s="19" t="n">
        <f aca="false">p_horas_productivas_dia</f>
        <v>8</v>
      </c>
      <c r="E35" s="9" t="n">
        <f aca="false">INDEX('05_RECURSOS'!$E$2:$E$18,MATCH(A35,'05_RECURSOS'!$A$2:$A$18,0))</f>
        <v>1</v>
      </c>
      <c r="F35" s="19" t="n">
        <f aca="false">C35*D35*E35</f>
        <v>184</v>
      </c>
      <c r="G35" s="4" t="s">
        <v>26</v>
      </c>
    </row>
    <row r="36" customFormat="false" ht="15" hidden="false" customHeight="false" outlineLevel="0" collapsed="false">
      <c r="A36" s="4" t="s">
        <v>873</v>
      </c>
      <c r="B36" s="3" t="n">
        <v>11</v>
      </c>
      <c r="C36" s="9" t="n">
        <f aca="false">SUMPRODUCT((MONTH('09_CALENDARIO'!$A$2:$A$397)=B36)*(YEAR('09_CALENDARIO'!$A$2:$A$397)=p_anio_base)*'09_CALENDARIO'!$E$2:$E$397)</f>
        <v>20</v>
      </c>
      <c r="D36" s="19" t="n">
        <f aca="false">p_horas_productivas_dia</f>
        <v>8</v>
      </c>
      <c r="E36" s="9" t="n">
        <f aca="false">INDEX('05_RECURSOS'!$E$2:$E$18,MATCH(A36,'05_RECURSOS'!$A$2:$A$18,0))</f>
        <v>1</v>
      </c>
      <c r="F36" s="19" t="n">
        <f aca="false">C36*D36*E36</f>
        <v>160</v>
      </c>
      <c r="G36" s="4" t="s">
        <v>26</v>
      </c>
    </row>
    <row r="37" customFormat="false" ht="15" hidden="false" customHeight="false" outlineLevel="0" collapsed="false">
      <c r="A37" s="4" t="s">
        <v>873</v>
      </c>
      <c r="B37" s="3" t="n">
        <v>12</v>
      </c>
      <c r="C37" s="9" t="n">
        <f aca="false">SUMPRODUCT((MONTH('09_CALENDARIO'!$A$2:$A$397)=B37)*(YEAR('09_CALENDARIO'!$A$2:$A$397)=p_anio_base)*'09_CALENDARIO'!$E$2:$E$397)</f>
        <v>23</v>
      </c>
      <c r="D37" s="19" t="n">
        <f aca="false">p_horas_productivas_dia</f>
        <v>8</v>
      </c>
      <c r="E37" s="9" t="n">
        <f aca="false">INDEX('05_RECURSOS'!$E$2:$E$18,MATCH(A37,'05_RECURSOS'!$A$2:$A$18,0))</f>
        <v>1</v>
      </c>
      <c r="F37" s="19" t="n">
        <f aca="false">C37*D37*E37</f>
        <v>184</v>
      </c>
      <c r="G37" s="4" t="s">
        <v>26</v>
      </c>
    </row>
    <row r="38" customFormat="false" ht="15" hidden="false" customHeight="false" outlineLevel="0" collapsed="false">
      <c r="A38" s="4" t="s">
        <v>877</v>
      </c>
      <c r="B38" s="3" t="n">
        <v>1</v>
      </c>
      <c r="C38" s="9" t="n">
        <f aca="false">SUMPRODUCT((MONTH('09_CALENDARIO'!$A$2:$A$397)=B38)*(YEAR('09_CALENDARIO'!$A$2:$A$397)=p_anio_base)*'09_CALENDARIO'!$E$2:$E$397)</f>
        <v>23</v>
      </c>
      <c r="D38" s="19" t="n">
        <f aca="false">p_horas_productivas_dia</f>
        <v>8</v>
      </c>
      <c r="E38" s="9" t="n">
        <f aca="false">INDEX('05_RECURSOS'!$E$2:$E$18,MATCH(A38,'05_RECURSOS'!$A$2:$A$18,0))</f>
        <v>1</v>
      </c>
      <c r="F38" s="19" t="n">
        <f aca="false">C38*D38*E38</f>
        <v>184</v>
      </c>
      <c r="G38" s="4" t="s">
        <v>26</v>
      </c>
    </row>
    <row r="39" customFormat="false" ht="15" hidden="false" customHeight="false" outlineLevel="0" collapsed="false">
      <c r="A39" s="4" t="s">
        <v>877</v>
      </c>
      <c r="B39" s="3" t="n">
        <v>2</v>
      </c>
      <c r="C39" s="9" t="n">
        <f aca="false">SUMPRODUCT((MONTH('09_CALENDARIO'!$A$2:$A$397)=B39)*(YEAR('09_CALENDARIO'!$A$2:$A$397)=p_anio_base)*'09_CALENDARIO'!$E$2:$E$397)</f>
        <v>20</v>
      </c>
      <c r="D39" s="19" t="n">
        <f aca="false">p_horas_productivas_dia</f>
        <v>8</v>
      </c>
      <c r="E39" s="9" t="n">
        <f aca="false">INDEX('05_RECURSOS'!$E$2:$E$18,MATCH(A39,'05_RECURSOS'!$A$2:$A$18,0))</f>
        <v>1</v>
      </c>
      <c r="F39" s="19" t="n">
        <f aca="false">C39*D39*E39</f>
        <v>160</v>
      </c>
      <c r="G39" s="4" t="s">
        <v>26</v>
      </c>
    </row>
    <row r="40" customFormat="false" ht="15" hidden="false" customHeight="false" outlineLevel="0" collapsed="false">
      <c r="A40" s="4" t="s">
        <v>877</v>
      </c>
      <c r="B40" s="3" t="n">
        <v>3</v>
      </c>
      <c r="C40" s="9" t="n">
        <f aca="false">SUMPRODUCT((MONTH('09_CALENDARIO'!$A$2:$A$397)=B40)*(YEAR('09_CALENDARIO'!$A$2:$A$397)=p_anio_base)*'09_CALENDARIO'!$E$2:$E$397)</f>
        <v>21</v>
      </c>
      <c r="D40" s="19" t="n">
        <f aca="false">p_horas_productivas_dia</f>
        <v>8</v>
      </c>
      <c r="E40" s="9" t="n">
        <f aca="false">INDEX('05_RECURSOS'!$E$2:$E$18,MATCH(A40,'05_RECURSOS'!$A$2:$A$18,0))</f>
        <v>1</v>
      </c>
      <c r="F40" s="19" t="n">
        <f aca="false">C40*D40*E40</f>
        <v>168</v>
      </c>
      <c r="G40" s="4" t="s">
        <v>26</v>
      </c>
    </row>
    <row r="41" customFormat="false" ht="15" hidden="false" customHeight="false" outlineLevel="0" collapsed="false">
      <c r="A41" s="4" t="s">
        <v>877</v>
      </c>
      <c r="B41" s="3" t="n">
        <v>4</v>
      </c>
      <c r="C41" s="9" t="n">
        <f aca="false">SUMPRODUCT((MONTH('09_CALENDARIO'!$A$2:$A$397)=B41)*(YEAR('09_CALENDARIO'!$A$2:$A$397)=p_anio_base)*'09_CALENDARIO'!$E$2:$E$397)</f>
        <v>22</v>
      </c>
      <c r="D41" s="19" t="n">
        <f aca="false">p_horas_productivas_dia</f>
        <v>8</v>
      </c>
      <c r="E41" s="9" t="n">
        <f aca="false">INDEX('05_RECURSOS'!$E$2:$E$18,MATCH(A41,'05_RECURSOS'!$A$2:$A$18,0))</f>
        <v>1</v>
      </c>
      <c r="F41" s="19" t="n">
        <f aca="false">C41*D41*E41</f>
        <v>176</v>
      </c>
      <c r="G41" s="4" t="s">
        <v>26</v>
      </c>
    </row>
    <row r="42" customFormat="false" ht="15" hidden="false" customHeight="false" outlineLevel="0" collapsed="false">
      <c r="A42" s="4" t="s">
        <v>877</v>
      </c>
      <c r="B42" s="3" t="n">
        <v>5</v>
      </c>
      <c r="C42" s="9" t="n">
        <f aca="false">SUMPRODUCT((MONTH('09_CALENDARIO'!$A$2:$A$397)=B42)*(YEAR('09_CALENDARIO'!$A$2:$A$397)=p_anio_base)*'09_CALENDARIO'!$E$2:$E$397)</f>
        <v>22</v>
      </c>
      <c r="D42" s="19" t="n">
        <f aca="false">p_horas_productivas_dia</f>
        <v>8</v>
      </c>
      <c r="E42" s="9" t="n">
        <f aca="false">INDEX('05_RECURSOS'!$E$2:$E$18,MATCH(A42,'05_RECURSOS'!$A$2:$A$18,0))</f>
        <v>1</v>
      </c>
      <c r="F42" s="19" t="n">
        <f aca="false">C42*D42*E42</f>
        <v>176</v>
      </c>
      <c r="G42" s="4" t="s">
        <v>26</v>
      </c>
    </row>
    <row r="43" customFormat="false" ht="15" hidden="false" customHeight="false" outlineLevel="0" collapsed="false">
      <c r="A43" s="4" t="s">
        <v>877</v>
      </c>
      <c r="B43" s="3" t="n">
        <v>6</v>
      </c>
      <c r="C43" s="9" t="n">
        <f aca="false">SUMPRODUCT((MONTH('09_CALENDARIO'!$A$2:$A$397)=B43)*(YEAR('09_CALENDARIO'!$A$2:$A$397)=p_anio_base)*'09_CALENDARIO'!$E$2:$E$397)</f>
        <v>21</v>
      </c>
      <c r="D43" s="19" t="n">
        <f aca="false">p_horas_productivas_dia</f>
        <v>8</v>
      </c>
      <c r="E43" s="9" t="n">
        <f aca="false">INDEX('05_RECURSOS'!$E$2:$E$18,MATCH(A43,'05_RECURSOS'!$A$2:$A$18,0))</f>
        <v>1</v>
      </c>
      <c r="F43" s="19" t="n">
        <f aca="false">C43*D43*E43</f>
        <v>168</v>
      </c>
      <c r="G43" s="4" t="s">
        <v>26</v>
      </c>
    </row>
    <row r="44" customFormat="false" ht="15" hidden="false" customHeight="false" outlineLevel="0" collapsed="false">
      <c r="A44" s="4" t="s">
        <v>877</v>
      </c>
      <c r="B44" s="3" t="n">
        <v>7</v>
      </c>
      <c r="C44" s="9" t="n">
        <f aca="false">SUMPRODUCT((MONTH('09_CALENDARIO'!$A$2:$A$397)=B44)*(YEAR('09_CALENDARIO'!$A$2:$A$397)=p_anio_base)*'09_CALENDARIO'!$E$2:$E$397)</f>
        <v>23</v>
      </c>
      <c r="D44" s="19" t="n">
        <f aca="false">p_horas_productivas_dia</f>
        <v>8</v>
      </c>
      <c r="E44" s="9" t="n">
        <f aca="false">INDEX('05_RECURSOS'!$E$2:$E$18,MATCH(A44,'05_RECURSOS'!$A$2:$A$18,0))</f>
        <v>1</v>
      </c>
      <c r="F44" s="19" t="n">
        <f aca="false">C44*D44*E44</f>
        <v>184</v>
      </c>
      <c r="G44" s="4" t="s">
        <v>26</v>
      </c>
    </row>
    <row r="45" customFormat="false" ht="15" hidden="false" customHeight="false" outlineLevel="0" collapsed="false">
      <c r="A45" s="4" t="s">
        <v>877</v>
      </c>
      <c r="B45" s="3" t="n">
        <v>8</v>
      </c>
      <c r="C45" s="9" t="n">
        <f aca="false">SUMPRODUCT((MONTH('09_CALENDARIO'!$A$2:$A$397)=B45)*(YEAR('09_CALENDARIO'!$A$2:$A$397)=p_anio_base)*'09_CALENDARIO'!$E$2:$E$397)</f>
        <v>21</v>
      </c>
      <c r="D45" s="19" t="n">
        <f aca="false">p_horas_productivas_dia</f>
        <v>8</v>
      </c>
      <c r="E45" s="9" t="n">
        <f aca="false">INDEX('05_RECURSOS'!$E$2:$E$18,MATCH(A45,'05_RECURSOS'!$A$2:$A$18,0))</f>
        <v>1</v>
      </c>
      <c r="F45" s="19" t="n">
        <f aca="false">C45*D45*E45</f>
        <v>168</v>
      </c>
      <c r="G45" s="4" t="s">
        <v>26</v>
      </c>
    </row>
    <row r="46" customFormat="false" ht="15" hidden="false" customHeight="false" outlineLevel="0" collapsed="false">
      <c r="A46" s="4" t="s">
        <v>877</v>
      </c>
      <c r="B46" s="3" t="n">
        <v>9</v>
      </c>
      <c r="C46" s="9" t="n">
        <f aca="false">SUMPRODUCT((MONTH('09_CALENDARIO'!$A$2:$A$397)=B46)*(YEAR('09_CALENDARIO'!$A$2:$A$397)=p_anio_base)*'09_CALENDARIO'!$E$2:$E$397)</f>
        <v>22</v>
      </c>
      <c r="D46" s="19" t="n">
        <f aca="false">p_horas_productivas_dia</f>
        <v>8</v>
      </c>
      <c r="E46" s="9" t="n">
        <f aca="false">INDEX('05_RECURSOS'!$E$2:$E$18,MATCH(A46,'05_RECURSOS'!$A$2:$A$18,0))</f>
        <v>1</v>
      </c>
      <c r="F46" s="19" t="n">
        <f aca="false">C46*D46*E46</f>
        <v>176</v>
      </c>
      <c r="G46" s="4" t="s">
        <v>26</v>
      </c>
    </row>
    <row r="47" customFormat="false" ht="15" hidden="false" customHeight="false" outlineLevel="0" collapsed="false">
      <c r="A47" s="4" t="s">
        <v>877</v>
      </c>
      <c r="B47" s="3" t="n">
        <v>10</v>
      </c>
      <c r="C47" s="9" t="n">
        <f aca="false">SUMPRODUCT((MONTH('09_CALENDARIO'!$A$2:$A$397)=B47)*(YEAR('09_CALENDARIO'!$A$2:$A$397)=p_anio_base)*'09_CALENDARIO'!$E$2:$E$397)</f>
        <v>23</v>
      </c>
      <c r="D47" s="19" t="n">
        <f aca="false">p_horas_productivas_dia</f>
        <v>8</v>
      </c>
      <c r="E47" s="9" t="n">
        <f aca="false">INDEX('05_RECURSOS'!$E$2:$E$18,MATCH(A47,'05_RECURSOS'!$A$2:$A$18,0))</f>
        <v>1</v>
      </c>
      <c r="F47" s="19" t="n">
        <f aca="false">C47*D47*E47</f>
        <v>184</v>
      </c>
      <c r="G47" s="4" t="s">
        <v>26</v>
      </c>
    </row>
    <row r="48" customFormat="false" ht="15" hidden="false" customHeight="false" outlineLevel="0" collapsed="false">
      <c r="A48" s="4" t="s">
        <v>877</v>
      </c>
      <c r="B48" s="3" t="n">
        <v>11</v>
      </c>
      <c r="C48" s="9" t="n">
        <f aca="false">SUMPRODUCT((MONTH('09_CALENDARIO'!$A$2:$A$397)=B48)*(YEAR('09_CALENDARIO'!$A$2:$A$397)=p_anio_base)*'09_CALENDARIO'!$E$2:$E$397)</f>
        <v>20</v>
      </c>
      <c r="D48" s="19" t="n">
        <f aca="false">p_horas_productivas_dia</f>
        <v>8</v>
      </c>
      <c r="E48" s="9" t="n">
        <f aca="false">INDEX('05_RECURSOS'!$E$2:$E$18,MATCH(A48,'05_RECURSOS'!$A$2:$A$18,0))</f>
        <v>1</v>
      </c>
      <c r="F48" s="19" t="n">
        <f aca="false">C48*D48*E48</f>
        <v>160</v>
      </c>
      <c r="G48" s="4" t="s">
        <v>26</v>
      </c>
    </row>
    <row r="49" customFormat="false" ht="15" hidden="false" customHeight="false" outlineLevel="0" collapsed="false">
      <c r="A49" s="4" t="s">
        <v>877</v>
      </c>
      <c r="B49" s="3" t="n">
        <v>12</v>
      </c>
      <c r="C49" s="9" t="n">
        <f aca="false">SUMPRODUCT((MONTH('09_CALENDARIO'!$A$2:$A$397)=B49)*(YEAR('09_CALENDARIO'!$A$2:$A$397)=p_anio_base)*'09_CALENDARIO'!$E$2:$E$397)</f>
        <v>23</v>
      </c>
      <c r="D49" s="19" t="n">
        <f aca="false">p_horas_productivas_dia</f>
        <v>8</v>
      </c>
      <c r="E49" s="9" t="n">
        <f aca="false">INDEX('05_RECURSOS'!$E$2:$E$18,MATCH(A49,'05_RECURSOS'!$A$2:$A$18,0))</f>
        <v>1</v>
      </c>
      <c r="F49" s="19" t="n">
        <f aca="false">C49*D49*E49</f>
        <v>184</v>
      </c>
      <c r="G49" s="4" t="s">
        <v>26</v>
      </c>
    </row>
    <row r="50" customFormat="false" ht="15" hidden="false" customHeight="false" outlineLevel="0" collapsed="false">
      <c r="A50" s="4" t="s">
        <v>881</v>
      </c>
      <c r="B50" s="3" t="n">
        <v>1</v>
      </c>
      <c r="C50" s="9" t="n">
        <f aca="false">SUMPRODUCT((MONTH('09_CALENDARIO'!$A$2:$A$397)=B50)*(YEAR('09_CALENDARIO'!$A$2:$A$397)=p_anio_base)*'09_CALENDARIO'!$E$2:$E$397)</f>
        <v>23</v>
      </c>
      <c r="D50" s="19" t="n">
        <f aca="false">p_horas_productivas_dia</f>
        <v>8</v>
      </c>
      <c r="E50" s="9" t="n">
        <f aca="false">INDEX('05_RECURSOS'!$E$2:$E$18,MATCH(A50,'05_RECURSOS'!$A$2:$A$18,0))</f>
        <v>1</v>
      </c>
      <c r="F50" s="19" t="n">
        <f aca="false">C50*D50*E50</f>
        <v>184</v>
      </c>
      <c r="G50" s="4" t="s">
        <v>26</v>
      </c>
    </row>
    <row r="51" customFormat="false" ht="15" hidden="false" customHeight="false" outlineLevel="0" collapsed="false">
      <c r="A51" s="4" t="s">
        <v>881</v>
      </c>
      <c r="B51" s="3" t="n">
        <v>2</v>
      </c>
      <c r="C51" s="9" t="n">
        <f aca="false">SUMPRODUCT((MONTH('09_CALENDARIO'!$A$2:$A$397)=B51)*(YEAR('09_CALENDARIO'!$A$2:$A$397)=p_anio_base)*'09_CALENDARIO'!$E$2:$E$397)</f>
        <v>20</v>
      </c>
      <c r="D51" s="19" t="n">
        <f aca="false">p_horas_productivas_dia</f>
        <v>8</v>
      </c>
      <c r="E51" s="9" t="n">
        <f aca="false">INDEX('05_RECURSOS'!$E$2:$E$18,MATCH(A51,'05_RECURSOS'!$A$2:$A$18,0))</f>
        <v>1</v>
      </c>
      <c r="F51" s="19" t="n">
        <f aca="false">C51*D51*E51</f>
        <v>160</v>
      </c>
      <c r="G51" s="4" t="s">
        <v>26</v>
      </c>
    </row>
    <row r="52" customFormat="false" ht="15" hidden="false" customHeight="false" outlineLevel="0" collapsed="false">
      <c r="A52" s="4" t="s">
        <v>881</v>
      </c>
      <c r="B52" s="3" t="n">
        <v>3</v>
      </c>
      <c r="C52" s="9" t="n">
        <f aca="false">SUMPRODUCT((MONTH('09_CALENDARIO'!$A$2:$A$397)=B52)*(YEAR('09_CALENDARIO'!$A$2:$A$397)=p_anio_base)*'09_CALENDARIO'!$E$2:$E$397)</f>
        <v>21</v>
      </c>
      <c r="D52" s="19" t="n">
        <f aca="false">p_horas_productivas_dia</f>
        <v>8</v>
      </c>
      <c r="E52" s="9" t="n">
        <f aca="false">INDEX('05_RECURSOS'!$E$2:$E$18,MATCH(A52,'05_RECURSOS'!$A$2:$A$18,0))</f>
        <v>1</v>
      </c>
      <c r="F52" s="19" t="n">
        <f aca="false">C52*D52*E52</f>
        <v>168</v>
      </c>
      <c r="G52" s="4" t="s">
        <v>26</v>
      </c>
    </row>
    <row r="53" customFormat="false" ht="15" hidden="false" customHeight="false" outlineLevel="0" collapsed="false">
      <c r="A53" s="4" t="s">
        <v>881</v>
      </c>
      <c r="B53" s="3" t="n">
        <v>4</v>
      </c>
      <c r="C53" s="9" t="n">
        <f aca="false">SUMPRODUCT((MONTH('09_CALENDARIO'!$A$2:$A$397)=B53)*(YEAR('09_CALENDARIO'!$A$2:$A$397)=p_anio_base)*'09_CALENDARIO'!$E$2:$E$397)</f>
        <v>22</v>
      </c>
      <c r="D53" s="19" t="n">
        <f aca="false">p_horas_productivas_dia</f>
        <v>8</v>
      </c>
      <c r="E53" s="9" t="n">
        <f aca="false">INDEX('05_RECURSOS'!$E$2:$E$18,MATCH(A53,'05_RECURSOS'!$A$2:$A$18,0))</f>
        <v>1</v>
      </c>
      <c r="F53" s="19" t="n">
        <f aca="false">C53*D53*E53</f>
        <v>176</v>
      </c>
      <c r="G53" s="4" t="s">
        <v>26</v>
      </c>
    </row>
    <row r="54" customFormat="false" ht="15" hidden="false" customHeight="false" outlineLevel="0" collapsed="false">
      <c r="A54" s="4" t="s">
        <v>881</v>
      </c>
      <c r="B54" s="3" t="n">
        <v>5</v>
      </c>
      <c r="C54" s="9" t="n">
        <f aca="false">SUMPRODUCT((MONTH('09_CALENDARIO'!$A$2:$A$397)=B54)*(YEAR('09_CALENDARIO'!$A$2:$A$397)=p_anio_base)*'09_CALENDARIO'!$E$2:$E$397)</f>
        <v>22</v>
      </c>
      <c r="D54" s="19" t="n">
        <f aca="false">p_horas_productivas_dia</f>
        <v>8</v>
      </c>
      <c r="E54" s="9" t="n">
        <f aca="false">INDEX('05_RECURSOS'!$E$2:$E$18,MATCH(A54,'05_RECURSOS'!$A$2:$A$18,0))</f>
        <v>1</v>
      </c>
      <c r="F54" s="19" t="n">
        <f aca="false">C54*D54*E54</f>
        <v>176</v>
      </c>
      <c r="G54" s="4" t="s">
        <v>26</v>
      </c>
    </row>
    <row r="55" customFormat="false" ht="15" hidden="false" customHeight="false" outlineLevel="0" collapsed="false">
      <c r="A55" s="4" t="s">
        <v>881</v>
      </c>
      <c r="B55" s="3" t="n">
        <v>6</v>
      </c>
      <c r="C55" s="9" t="n">
        <f aca="false">SUMPRODUCT((MONTH('09_CALENDARIO'!$A$2:$A$397)=B55)*(YEAR('09_CALENDARIO'!$A$2:$A$397)=p_anio_base)*'09_CALENDARIO'!$E$2:$E$397)</f>
        <v>21</v>
      </c>
      <c r="D55" s="19" t="n">
        <f aca="false">p_horas_productivas_dia</f>
        <v>8</v>
      </c>
      <c r="E55" s="9" t="n">
        <f aca="false">INDEX('05_RECURSOS'!$E$2:$E$18,MATCH(A55,'05_RECURSOS'!$A$2:$A$18,0))</f>
        <v>1</v>
      </c>
      <c r="F55" s="19" t="n">
        <f aca="false">C55*D55*E55</f>
        <v>168</v>
      </c>
      <c r="G55" s="4" t="s">
        <v>26</v>
      </c>
    </row>
    <row r="56" customFormat="false" ht="15" hidden="false" customHeight="false" outlineLevel="0" collapsed="false">
      <c r="A56" s="4" t="s">
        <v>881</v>
      </c>
      <c r="B56" s="3" t="n">
        <v>7</v>
      </c>
      <c r="C56" s="9" t="n">
        <f aca="false">SUMPRODUCT((MONTH('09_CALENDARIO'!$A$2:$A$397)=B56)*(YEAR('09_CALENDARIO'!$A$2:$A$397)=p_anio_base)*'09_CALENDARIO'!$E$2:$E$397)</f>
        <v>23</v>
      </c>
      <c r="D56" s="19" t="n">
        <f aca="false">p_horas_productivas_dia</f>
        <v>8</v>
      </c>
      <c r="E56" s="9" t="n">
        <f aca="false">INDEX('05_RECURSOS'!$E$2:$E$18,MATCH(A56,'05_RECURSOS'!$A$2:$A$18,0))</f>
        <v>1</v>
      </c>
      <c r="F56" s="19" t="n">
        <f aca="false">C56*D56*E56</f>
        <v>184</v>
      </c>
      <c r="G56" s="4" t="s">
        <v>26</v>
      </c>
    </row>
    <row r="57" customFormat="false" ht="15" hidden="false" customHeight="false" outlineLevel="0" collapsed="false">
      <c r="A57" s="4" t="s">
        <v>881</v>
      </c>
      <c r="B57" s="3" t="n">
        <v>8</v>
      </c>
      <c r="C57" s="9" t="n">
        <f aca="false">SUMPRODUCT((MONTH('09_CALENDARIO'!$A$2:$A$397)=B57)*(YEAR('09_CALENDARIO'!$A$2:$A$397)=p_anio_base)*'09_CALENDARIO'!$E$2:$E$397)</f>
        <v>21</v>
      </c>
      <c r="D57" s="19" t="n">
        <f aca="false">p_horas_productivas_dia</f>
        <v>8</v>
      </c>
      <c r="E57" s="9" t="n">
        <f aca="false">INDEX('05_RECURSOS'!$E$2:$E$18,MATCH(A57,'05_RECURSOS'!$A$2:$A$18,0))</f>
        <v>1</v>
      </c>
      <c r="F57" s="19" t="n">
        <f aca="false">C57*D57*E57</f>
        <v>168</v>
      </c>
      <c r="G57" s="4" t="s">
        <v>26</v>
      </c>
    </row>
    <row r="58" customFormat="false" ht="15" hidden="false" customHeight="false" outlineLevel="0" collapsed="false">
      <c r="A58" s="4" t="s">
        <v>881</v>
      </c>
      <c r="B58" s="3" t="n">
        <v>9</v>
      </c>
      <c r="C58" s="9" t="n">
        <f aca="false">SUMPRODUCT((MONTH('09_CALENDARIO'!$A$2:$A$397)=B58)*(YEAR('09_CALENDARIO'!$A$2:$A$397)=p_anio_base)*'09_CALENDARIO'!$E$2:$E$397)</f>
        <v>22</v>
      </c>
      <c r="D58" s="19" t="n">
        <f aca="false">p_horas_productivas_dia</f>
        <v>8</v>
      </c>
      <c r="E58" s="9" t="n">
        <f aca="false">INDEX('05_RECURSOS'!$E$2:$E$18,MATCH(A58,'05_RECURSOS'!$A$2:$A$18,0))</f>
        <v>1</v>
      </c>
      <c r="F58" s="19" t="n">
        <f aca="false">C58*D58*E58</f>
        <v>176</v>
      </c>
      <c r="G58" s="4" t="s">
        <v>26</v>
      </c>
    </row>
    <row r="59" customFormat="false" ht="15" hidden="false" customHeight="false" outlineLevel="0" collapsed="false">
      <c r="A59" s="4" t="s">
        <v>881</v>
      </c>
      <c r="B59" s="3" t="n">
        <v>10</v>
      </c>
      <c r="C59" s="9" t="n">
        <f aca="false">SUMPRODUCT((MONTH('09_CALENDARIO'!$A$2:$A$397)=B59)*(YEAR('09_CALENDARIO'!$A$2:$A$397)=p_anio_base)*'09_CALENDARIO'!$E$2:$E$397)</f>
        <v>23</v>
      </c>
      <c r="D59" s="19" t="n">
        <f aca="false">p_horas_productivas_dia</f>
        <v>8</v>
      </c>
      <c r="E59" s="9" t="n">
        <f aca="false">INDEX('05_RECURSOS'!$E$2:$E$18,MATCH(A59,'05_RECURSOS'!$A$2:$A$18,0))</f>
        <v>1</v>
      </c>
      <c r="F59" s="19" t="n">
        <f aca="false">C59*D59*E59</f>
        <v>184</v>
      </c>
      <c r="G59" s="4" t="s">
        <v>26</v>
      </c>
    </row>
    <row r="60" customFormat="false" ht="15" hidden="false" customHeight="false" outlineLevel="0" collapsed="false">
      <c r="A60" s="4" t="s">
        <v>881</v>
      </c>
      <c r="B60" s="3" t="n">
        <v>11</v>
      </c>
      <c r="C60" s="9" t="n">
        <f aca="false">SUMPRODUCT((MONTH('09_CALENDARIO'!$A$2:$A$397)=B60)*(YEAR('09_CALENDARIO'!$A$2:$A$397)=p_anio_base)*'09_CALENDARIO'!$E$2:$E$397)</f>
        <v>20</v>
      </c>
      <c r="D60" s="19" t="n">
        <f aca="false">p_horas_productivas_dia</f>
        <v>8</v>
      </c>
      <c r="E60" s="9" t="n">
        <f aca="false">INDEX('05_RECURSOS'!$E$2:$E$18,MATCH(A60,'05_RECURSOS'!$A$2:$A$18,0))</f>
        <v>1</v>
      </c>
      <c r="F60" s="19" t="n">
        <f aca="false">C60*D60*E60</f>
        <v>160</v>
      </c>
      <c r="G60" s="4" t="s">
        <v>26</v>
      </c>
    </row>
    <row r="61" customFormat="false" ht="15" hidden="false" customHeight="false" outlineLevel="0" collapsed="false">
      <c r="A61" s="4" t="s">
        <v>881</v>
      </c>
      <c r="B61" s="3" t="n">
        <v>12</v>
      </c>
      <c r="C61" s="9" t="n">
        <f aca="false">SUMPRODUCT((MONTH('09_CALENDARIO'!$A$2:$A$397)=B61)*(YEAR('09_CALENDARIO'!$A$2:$A$397)=p_anio_base)*'09_CALENDARIO'!$E$2:$E$397)</f>
        <v>23</v>
      </c>
      <c r="D61" s="19" t="n">
        <f aca="false">p_horas_productivas_dia</f>
        <v>8</v>
      </c>
      <c r="E61" s="9" t="n">
        <f aca="false">INDEX('05_RECURSOS'!$E$2:$E$18,MATCH(A61,'05_RECURSOS'!$A$2:$A$18,0))</f>
        <v>1</v>
      </c>
      <c r="F61" s="19" t="n">
        <f aca="false">C61*D61*E61</f>
        <v>184</v>
      </c>
      <c r="G61" s="4" t="s">
        <v>26</v>
      </c>
    </row>
    <row r="62" customFormat="false" ht="15" hidden="false" customHeight="false" outlineLevel="0" collapsed="false">
      <c r="A62" s="4" t="s">
        <v>885</v>
      </c>
      <c r="B62" s="3" t="n">
        <v>1</v>
      </c>
      <c r="C62" s="9" t="n">
        <f aca="false">SUMPRODUCT((MONTH('09_CALENDARIO'!$A$2:$A$397)=B62)*(YEAR('09_CALENDARIO'!$A$2:$A$397)=p_anio_base)*'09_CALENDARIO'!$E$2:$E$397)</f>
        <v>23</v>
      </c>
      <c r="D62" s="19" t="n">
        <f aca="false">p_horas_productivas_dia</f>
        <v>8</v>
      </c>
      <c r="E62" s="9" t="n">
        <f aca="false">INDEX('05_RECURSOS'!$E$2:$E$18,MATCH(A62,'05_RECURSOS'!$A$2:$A$18,0))</f>
        <v>1</v>
      </c>
      <c r="F62" s="19" t="n">
        <f aca="false">C62*D62*E62</f>
        <v>184</v>
      </c>
      <c r="G62" s="4" t="s">
        <v>26</v>
      </c>
    </row>
    <row r="63" customFormat="false" ht="15" hidden="false" customHeight="false" outlineLevel="0" collapsed="false">
      <c r="A63" s="4" t="s">
        <v>885</v>
      </c>
      <c r="B63" s="3" t="n">
        <v>2</v>
      </c>
      <c r="C63" s="9" t="n">
        <f aca="false">SUMPRODUCT((MONTH('09_CALENDARIO'!$A$2:$A$397)=B63)*(YEAR('09_CALENDARIO'!$A$2:$A$397)=p_anio_base)*'09_CALENDARIO'!$E$2:$E$397)</f>
        <v>20</v>
      </c>
      <c r="D63" s="19" t="n">
        <f aca="false">p_horas_productivas_dia</f>
        <v>8</v>
      </c>
      <c r="E63" s="9" t="n">
        <f aca="false">INDEX('05_RECURSOS'!$E$2:$E$18,MATCH(A63,'05_RECURSOS'!$A$2:$A$18,0))</f>
        <v>1</v>
      </c>
      <c r="F63" s="19" t="n">
        <f aca="false">C63*D63*E63</f>
        <v>160</v>
      </c>
      <c r="G63" s="4" t="s">
        <v>26</v>
      </c>
    </row>
    <row r="64" customFormat="false" ht="15" hidden="false" customHeight="false" outlineLevel="0" collapsed="false">
      <c r="A64" s="4" t="s">
        <v>885</v>
      </c>
      <c r="B64" s="3" t="n">
        <v>3</v>
      </c>
      <c r="C64" s="9" t="n">
        <f aca="false">SUMPRODUCT((MONTH('09_CALENDARIO'!$A$2:$A$397)=B64)*(YEAR('09_CALENDARIO'!$A$2:$A$397)=p_anio_base)*'09_CALENDARIO'!$E$2:$E$397)</f>
        <v>21</v>
      </c>
      <c r="D64" s="19" t="n">
        <f aca="false">p_horas_productivas_dia</f>
        <v>8</v>
      </c>
      <c r="E64" s="9" t="n">
        <f aca="false">INDEX('05_RECURSOS'!$E$2:$E$18,MATCH(A64,'05_RECURSOS'!$A$2:$A$18,0))</f>
        <v>1</v>
      </c>
      <c r="F64" s="19" t="n">
        <f aca="false">C64*D64*E64</f>
        <v>168</v>
      </c>
      <c r="G64" s="4" t="s">
        <v>26</v>
      </c>
    </row>
    <row r="65" customFormat="false" ht="15" hidden="false" customHeight="false" outlineLevel="0" collapsed="false">
      <c r="A65" s="4" t="s">
        <v>885</v>
      </c>
      <c r="B65" s="3" t="n">
        <v>4</v>
      </c>
      <c r="C65" s="9" t="n">
        <f aca="false">SUMPRODUCT((MONTH('09_CALENDARIO'!$A$2:$A$397)=B65)*(YEAR('09_CALENDARIO'!$A$2:$A$397)=p_anio_base)*'09_CALENDARIO'!$E$2:$E$397)</f>
        <v>22</v>
      </c>
      <c r="D65" s="19" t="n">
        <f aca="false">p_horas_productivas_dia</f>
        <v>8</v>
      </c>
      <c r="E65" s="9" t="n">
        <f aca="false">INDEX('05_RECURSOS'!$E$2:$E$18,MATCH(A65,'05_RECURSOS'!$A$2:$A$18,0))</f>
        <v>1</v>
      </c>
      <c r="F65" s="19" t="n">
        <f aca="false">C65*D65*E65</f>
        <v>176</v>
      </c>
      <c r="G65" s="4" t="s">
        <v>26</v>
      </c>
    </row>
    <row r="66" customFormat="false" ht="15" hidden="false" customHeight="false" outlineLevel="0" collapsed="false">
      <c r="A66" s="4" t="s">
        <v>885</v>
      </c>
      <c r="B66" s="3" t="n">
        <v>5</v>
      </c>
      <c r="C66" s="9" t="n">
        <f aca="false">SUMPRODUCT((MONTH('09_CALENDARIO'!$A$2:$A$397)=B66)*(YEAR('09_CALENDARIO'!$A$2:$A$397)=p_anio_base)*'09_CALENDARIO'!$E$2:$E$397)</f>
        <v>22</v>
      </c>
      <c r="D66" s="19" t="n">
        <f aca="false">p_horas_productivas_dia</f>
        <v>8</v>
      </c>
      <c r="E66" s="9" t="n">
        <f aca="false">INDEX('05_RECURSOS'!$E$2:$E$18,MATCH(A66,'05_RECURSOS'!$A$2:$A$18,0))</f>
        <v>1</v>
      </c>
      <c r="F66" s="19" t="n">
        <f aca="false">C66*D66*E66</f>
        <v>176</v>
      </c>
      <c r="G66" s="4" t="s">
        <v>26</v>
      </c>
    </row>
    <row r="67" customFormat="false" ht="15" hidden="false" customHeight="false" outlineLevel="0" collapsed="false">
      <c r="A67" s="4" t="s">
        <v>885</v>
      </c>
      <c r="B67" s="3" t="n">
        <v>6</v>
      </c>
      <c r="C67" s="9" t="n">
        <f aca="false">SUMPRODUCT((MONTH('09_CALENDARIO'!$A$2:$A$397)=B67)*(YEAR('09_CALENDARIO'!$A$2:$A$397)=p_anio_base)*'09_CALENDARIO'!$E$2:$E$397)</f>
        <v>21</v>
      </c>
      <c r="D67" s="19" t="n">
        <f aca="false">p_horas_productivas_dia</f>
        <v>8</v>
      </c>
      <c r="E67" s="9" t="n">
        <f aca="false">INDEX('05_RECURSOS'!$E$2:$E$18,MATCH(A67,'05_RECURSOS'!$A$2:$A$18,0))</f>
        <v>1</v>
      </c>
      <c r="F67" s="19" t="n">
        <f aca="false">C67*D67*E67</f>
        <v>168</v>
      </c>
      <c r="G67" s="4" t="s">
        <v>26</v>
      </c>
    </row>
    <row r="68" customFormat="false" ht="15" hidden="false" customHeight="false" outlineLevel="0" collapsed="false">
      <c r="A68" s="4" t="s">
        <v>885</v>
      </c>
      <c r="B68" s="3" t="n">
        <v>7</v>
      </c>
      <c r="C68" s="9" t="n">
        <f aca="false">SUMPRODUCT((MONTH('09_CALENDARIO'!$A$2:$A$397)=B68)*(YEAR('09_CALENDARIO'!$A$2:$A$397)=p_anio_base)*'09_CALENDARIO'!$E$2:$E$397)</f>
        <v>23</v>
      </c>
      <c r="D68" s="19" t="n">
        <f aca="false">p_horas_productivas_dia</f>
        <v>8</v>
      </c>
      <c r="E68" s="9" t="n">
        <f aca="false">INDEX('05_RECURSOS'!$E$2:$E$18,MATCH(A68,'05_RECURSOS'!$A$2:$A$18,0))</f>
        <v>1</v>
      </c>
      <c r="F68" s="19" t="n">
        <f aca="false">C68*D68*E68</f>
        <v>184</v>
      </c>
      <c r="G68" s="4" t="s">
        <v>26</v>
      </c>
    </row>
    <row r="69" customFormat="false" ht="15" hidden="false" customHeight="false" outlineLevel="0" collapsed="false">
      <c r="A69" s="4" t="s">
        <v>885</v>
      </c>
      <c r="B69" s="3" t="n">
        <v>8</v>
      </c>
      <c r="C69" s="9" t="n">
        <f aca="false">SUMPRODUCT((MONTH('09_CALENDARIO'!$A$2:$A$397)=B69)*(YEAR('09_CALENDARIO'!$A$2:$A$397)=p_anio_base)*'09_CALENDARIO'!$E$2:$E$397)</f>
        <v>21</v>
      </c>
      <c r="D69" s="19" t="n">
        <f aca="false">p_horas_productivas_dia</f>
        <v>8</v>
      </c>
      <c r="E69" s="9" t="n">
        <f aca="false">INDEX('05_RECURSOS'!$E$2:$E$18,MATCH(A69,'05_RECURSOS'!$A$2:$A$18,0))</f>
        <v>1</v>
      </c>
      <c r="F69" s="19" t="n">
        <f aca="false">C69*D69*E69</f>
        <v>168</v>
      </c>
      <c r="G69" s="4" t="s">
        <v>26</v>
      </c>
    </row>
    <row r="70" customFormat="false" ht="15" hidden="false" customHeight="false" outlineLevel="0" collapsed="false">
      <c r="A70" s="4" t="s">
        <v>885</v>
      </c>
      <c r="B70" s="3" t="n">
        <v>9</v>
      </c>
      <c r="C70" s="9" t="n">
        <f aca="false">SUMPRODUCT((MONTH('09_CALENDARIO'!$A$2:$A$397)=B70)*(YEAR('09_CALENDARIO'!$A$2:$A$397)=p_anio_base)*'09_CALENDARIO'!$E$2:$E$397)</f>
        <v>22</v>
      </c>
      <c r="D70" s="19" t="n">
        <f aca="false">p_horas_productivas_dia</f>
        <v>8</v>
      </c>
      <c r="E70" s="9" t="n">
        <f aca="false">INDEX('05_RECURSOS'!$E$2:$E$18,MATCH(A70,'05_RECURSOS'!$A$2:$A$18,0))</f>
        <v>1</v>
      </c>
      <c r="F70" s="19" t="n">
        <f aca="false">C70*D70*E70</f>
        <v>176</v>
      </c>
      <c r="G70" s="4" t="s">
        <v>26</v>
      </c>
    </row>
    <row r="71" customFormat="false" ht="15" hidden="false" customHeight="false" outlineLevel="0" collapsed="false">
      <c r="A71" s="4" t="s">
        <v>885</v>
      </c>
      <c r="B71" s="3" t="n">
        <v>10</v>
      </c>
      <c r="C71" s="9" t="n">
        <f aca="false">SUMPRODUCT((MONTH('09_CALENDARIO'!$A$2:$A$397)=B71)*(YEAR('09_CALENDARIO'!$A$2:$A$397)=p_anio_base)*'09_CALENDARIO'!$E$2:$E$397)</f>
        <v>23</v>
      </c>
      <c r="D71" s="19" t="n">
        <f aca="false">p_horas_productivas_dia</f>
        <v>8</v>
      </c>
      <c r="E71" s="9" t="n">
        <f aca="false">INDEX('05_RECURSOS'!$E$2:$E$18,MATCH(A71,'05_RECURSOS'!$A$2:$A$18,0))</f>
        <v>1</v>
      </c>
      <c r="F71" s="19" t="n">
        <f aca="false">C71*D71*E71</f>
        <v>184</v>
      </c>
      <c r="G71" s="4" t="s">
        <v>26</v>
      </c>
    </row>
    <row r="72" customFormat="false" ht="15" hidden="false" customHeight="false" outlineLevel="0" collapsed="false">
      <c r="A72" s="4" t="s">
        <v>885</v>
      </c>
      <c r="B72" s="3" t="n">
        <v>11</v>
      </c>
      <c r="C72" s="9" t="n">
        <f aca="false">SUMPRODUCT((MONTH('09_CALENDARIO'!$A$2:$A$397)=B72)*(YEAR('09_CALENDARIO'!$A$2:$A$397)=p_anio_base)*'09_CALENDARIO'!$E$2:$E$397)</f>
        <v>20</v>
      </c>
      <c r="D72" s="19" t="n">
        <f aca="false">p_horas_productivas_dia</f>
        <v>8</v>
      </c>
      <c r="E72" s="9" t="n">
        <f aca="false">INDEX('05_RECURSOS'!$E$2:$E$18,MATCH(A72,'05_RECURSOS'!$A$2:$A$18,0))</f>
        <v>1</v>
      </c>
      <c r="F72" s="19" t="n">
        <f aca="false">C72*D72*E72</f>
        <v>160</v>
      </c>
      <c r="G72" s="4" t="s">
        <v>26</v>
      </c>
    </row>
    <row r="73" customFormat="false" ht="15" hidden="false" customHeight="false" outlineLevel="0" collapsed="false">
      <c r="A73" s="4" t="s">
        <v>885</v>
      </c>
      <c r="B73" s="3" t="n">
        <v>12</v>
      </c>
      <c r="C73" s="9" t="n">
        <f aca="false">SUMPRODUCT((MONTH('09_CALENDARIO'!$A$2:$A$397)=B73)*(YEAR('09_CALENDARIO'!$A$2:$A$397)=p_anio_base)*'09_CALENDARIO'!$E$2:$E$397)</f>
        <v>23</v>
      </c>
      <c r="D73" s="19" t="n">
        <f aca="false">p_horas_productivas_dia</f>
        <v>8</v>
      </c>
      <c r="E73" s="9" t="n">
        <f aca="false">INDEX('05_RECURSOS'!$E$2:$E$18,MATCH(A73,'05_RECURSOS'!$A$2:$A$18,0))</f>
        <v>1</v>
      </c>
      <c r="F73" s="19" t="n">
        <f aca="false">C73*D73*E73</f>
        <v>184</v>
      </c>
      <c r="G73" s="4" t="s">
        <v>26</v>
      </c>
    </row>
    <row r="74" customFormat="false" ht="15" hidden="false" customHeight="false" outlineLevel="0" collapsed="false">
      <c r="A74" s="4" t="s">
        <v>889</v>
      </c>
      <c r="B74" s="3" t="n">
        <v>1</v>
      </c>
      <c r="C74" s="9" t="n">
        <f aca="false">SUMPRODUCT((MONTH('09_CALENDARIO'!$A$2:$A$397)=B74)*(YEAR('09_CALENDARIO'!$A$2:$A$397)=p_anio_base)*'09_CALENDARIO'!$E$2:$E$397)</f>
        <v>23</v>
      </c>
      <c r="D74" s="19" t="n">
        <f aca="false">p_horas_productivas_dia</f>
        <v>8</v>
      </c>
      <c r="E74" s="9" t="n">
        <f aca="false">INDEX('05_RECURSOS'!$E$2:$E$18,MATCH(A74,'05_RECURSOS'!$A$2:$A$18,0))</f>
        <v>1</v>
      </c>
      <c r="F74" s="19" t="n">
        <f aca="false">C74*D74*E74</f>
        <v>184</v>
      </c>
      <c r="G74" s="4" t="s">
        <v>26</v>
      </c>
    </row>
    <row r="75" customFormat="false" ht="15" hidden="false" customHeight="false" outlineLevel="0" collapsed="false">
      <c r="A75" s="4" t="s">
        <v>889</v>
      </c>
      <c r="B75" s="3" t="n">
        <v>2</v>
      </c>
      <c r="C75" s="9" t="n">
        <f aca="false">SUMPRODUCT((MONTH('09_CALENDARIO'!$A$2:$A$397)=B75)*(YEAR('09_CALENDARIO'!$A$2:$A$397)=p_anio_base)*'09_CALENDARIO'!$E$2:$E$397)</f>
        <v>20</v>
      </c>
      <c r="D75" s="19" t="n">
        <f aca="false">p_horas_productivas_dia</f>
        <v>8</v>
      </c>
      <c r="E75" s="9" t="n">
        <f aca="false">INDEX('05_RECURSOS'!$E$2:$E$18,MATCH(A75,'05_RECURSOS'!$A$2:$A$18,0))</f>
        <v>1</v>
      </c>
      <c r="F75" s="19" t="n">
        <f aca="false">C75*D75*E75</f>
        <v>160</v>
      </c>
      <c r="G75" s="4" t="s">
        <v>26</v>
      </c>
    </row>
    <row r="76" customFormat="false" ht="15" hidden="false" customHeight="false" outlineLevel="0" collapsed="false">
      <c r="A76" s="4" t="s">
        <v>889</v>
      </c>
      <c r="B76" s="3" t="n">
        <v>3</v>
      </c>
      <c r="C76" s="9" t="n">
        <f aca="false">SUMPRODUCT((MONTH('09_CALENDARIO'!$A$2:$A$397)=B76)*(YEAR('09_CALENDARIO'!$A$2:$A$397)=p_anio_base)*'09_CALENDARIO'!$E$2:$E$397)</f>
        <v>21</v>
      </c>
      <c r="D76" s="19" t="n">
        <f aca="false">p_horas_productivas_dia</f>
        <v>8</v>
      </c>
      <c r="E76" s="9" t="n">
        <f aca="false">INDEX('05_RECURSOS'!$E$2:$E$18,MATCH(A76,'05_RECURSOS'!$A$2:$A$18,0))</f>
        <v>1</v>
      </c>
      <c r="F76" s="19" t="n">
        <f aca="false">C76*D76*E76</f>
        <v>168</v>
      </c>
      <c r="G76" s="4" t="s">
        <v>26</v>
      </c>
    </row>
    <row r="77" customFormat="false" ht="15" hidden="false" customHeight="false" outlineLevel="0" collapsed="false">
      <c r="A77" s="4" t="s">
        <v>889</v>
      </c>
      <c r="B77" s="3" t="n">
        <v>4</v>
      </c>
      <c r="C77" s="9" t="n">
        <f aca="false">SUMPRODUCT((MONTH('09_CALENDARIO'!$A$2:$A$397)=B77)*(YEAR('09_CALENDARIO'!$A$2:$A$397)=p_anio_base)*'09_CALENDARIO'!$E$2:$E$397)</f>
        <v>22</v>
      </c>
      <c r="D77" s="19" t="n">
        <f aca="false">p_horas_productivas_dia</f>
        <v>8</v>
      </c>
      <c r="E77" s="9" t="n">
        <f aca="false">INDEX('05_RECURSOS'!$E$2:$E$18,MATCH(A77,'05_RECURSOS'!$A$2:$A$18,0))</f>
        <v>1</v>
      </c>
      <c r="F77" s="19" t="n">
        <f aca="false">C77*D77*E77</f>
        <v>176</v>
      </c>
      <c r="G77" s="4" t="s">
        <v>26</v>
      </c>
    </row>
    <row r="78" customFormat="false" ht="15" hidden="false" customHeight="false" outlineLevel="0" collapsed="false">
      <c r="A78" s="4" t="s">
        <v>889</v>
      </c>
      <c r="B78" s="3" t="n">
        <v>5</v>
      </c>
      <c r="C78" s="9" t="n">
        <f aca="false">SUMPRODUCT((MONTH('09_CALENDARIO'!$A$2:$A$397)=B78)*(YEAR('09_CALENDARIO'!$A$2:$A$397)=p_anio_base)*'09_CALENDARIO'!$E$2:$E$397)</f>
        <v>22</v>
      </c>
      <c r="D78" s="19" t="n">
        <f aca="false">p_horas_productivas_dia</f>
        <v>8</v>
      </c>
      <c r="E78" s="9" t="n">
        <f aca="false">INDEX('05_RECURSOS'!$E$2:$E$18,MATCH(A78,'05_RECURSOS'!$A$2:$A$18,0))</f>
        <v>1</v>
      </c>
      <c r="F78" s="19" t="n">
        <f aca="false">C78*D78*E78</f>
        <v>176</v>
      </c>
      <c r="G78" s="4" t="s">
        <v>26</v>
      </c>
    </row>
    <row r="79" customFormat="false" ht="15" hidden="false" customHeight="false" outlineLevel="0" collapsed="false">
      <c r="A79" s="4" t="s">
        <v>889</v>
      </c>
      <c r="B79" s="3" t="n">
        <v>6</v>
      </c>
      <c r="C79" s="9" t="n">
        <f aca="false">SUMPRODUCT((MONTH('09_CALENDARIO'!$A$2:$A$397)=B79)*(YEAR('09_CALENDARIO'!$A$2:$A$397)=p_anio_base)*'09_CALENDARIO'!$E$2:$E$397)</f>
        <v>21</v>
      </c>
      <c r="D79" s="19" t="n">
        <f aca="false">p_horas_productivas_dia</f>
        <v>8</v>
      </c>
      <c r="E79" s="9" t="n">
        <f aca="false">INDEX('05_RECURSOS'!$E$2:$E$18,MATCH(A79,'05_RECURSOS'!$A$2:$A$18,0))</f>
        <v>1</v>
      </c>
      <c r="F79" s="19" t="n">
        <f aca="false">C79*D79*E79</f>
        <v>168</v>
      </c>
      <c r="G79" s="4" t="s">
        <v>26</v>
      </c>
    </row>
    <row r="80" customFormat="false" ht="15" hidden="false" customHeight="false" outlineLevel="0" collapsed="false">
      <c r="A80" s="4" t="s">
        <v>889</v>
      </c>
      <c r="B80" s="3" t="n">
        <v>7</v>
      </c>
      <c r="C80" s="9" t="n">
        <f aca="false">SUMPRODUCT((MONTH('09_CALENDARIO'!$A$2:$A$397)=B80)*(YEAR('09_CALENDARIO'!$A$2:$A$397)=p_anio_base)*'09_CALENDARIO'!$E$2:$E$397)</f>
        <v>23</v>
      </c>
      <c r="D80" s="19" t="n">
        <f aca="false">p_horas_productivas_dia</f>
        <v>8</v>
      </c>
      <c r="E80" s="9" t="n">
        <f aca="false">INDEX('05_RECURSOS'!$E$2:$E$18,MATCH(A80,'05_RECURSOS'!$A$2:$A$18,0))</f>
        <v>1</v>
      </c>
      <c r="F80" s="19" t="n">
        <f aca="false">C80*D80*E80</f>
        <v>184</v>
      </c>
      <c r="G80" s="4" t="s">
        <v>26</v>
      </c>
    </row>
    <row r="81" customFormat="false" ht="15" hidden="false" customHeight="false" outlineLevel="0" collapsed="false">
      <c r="A81" s="4" t="s">
        <v>889</v>
      </c>
      <c r="B81" s="3" t="n">
        <v>8</v>
      </c>
      <c r="C81" s="9" t="n">
        <f aca="false">SUMPRODUCT((MONTH('09_CALENDARIO'!$A$2:$A$397)=B81)*(YEAR('09_CALENDARIO'!$A$2:$A$397)=p_anio_base)*'09_CALENDARIO'!$E$2:$E$397)</f>
        <v>21</v>
      </c>
      <c r="D81" s="19" t="n">
        <f aca="false">p_horas_productivas_dia</f>
        <v>8</v>
      </c>
      <c r="E81" s="9" t="n">
        <f aca="false">INDEX('05_RECURSOS'!$E$2:$E$18,MATCH(A81,'05_RECURSOS'!$A$2:$A$18,0))</f>
        <v>1</v>
      </c>
      <c r="F81" s="19" t="n">
        <f aca="false">C81*D81*E81</f>
        <v>168</v>
      </c>
      <c r="G81" s="4" t="s">
        <v>26</v>
      </c>
    </row>
    <row r="82" customFormat="false" ht="15" hidden="false" customHeight="false" outlineLevel="0" collapsed="false">
      <c r="A82" s="4" t="s">
        <v>889</v>
      </c>
      <c r="B82" s="3" t="n">
        <v>9</v>
      </c>
      <c r="C82" s="9" t="n">
        <f aca="false">SUMPRODUCT((MONTH('09_CALENDARIO'!$A$2:$A$397)=B82)*(YEAR('09_CALENDARIO'!$A$2:$A$397)=p_anio_base)*'09_CALENDARIO'!$E$2:$E$397)</f>
        <v>22</v>
      </c>
      <c r="D82" s="19" t="n">
        <f aca="false">p_horas_productivas_dia</f>
        <v>8</v>
      </c>
      <c r="E82" s="9" t="n">
        <f aca="false">INDEX('05_RECURSOS'!$E$2:$E$18,MATCH(A82,'05_RECURSOS'!$A$2:$A$18,0))</f>
        <v>1</v>
      </c>
      <c r="F82" s="19" t="n">
        <f aca="false">C82*D82*E82</f>
        <v>176</v>
      </c>
      <c r="G82" s="4" t="s">
        <v>26</v>
      </c>
    </row>
    <row r="83" customFormat="false" ht="15" hidden="false" customHeight="false" outlineLevel="0" collapsed="false">
      <c r="A83" s="4" t="s">
        <v>889</v>
      </c>
      <c r="B83" s="3" t="n">
        <v>10</v>
      </c>
      <c r="C83" s="9" t="n">
        <f aca="false">SUMPRODUCT((MONTH('09_CALENDARIO'!$A$2:$A$397)=B83)*(YEAR('09_CALENDARIO'!$A$2:$A$397)=p_anio_base)*'09_CALENDARIO'!$E$2:$E$397)</f>
        <v>23</v>
      </c>
      <c r="D83" s="19" t="n">
        <f aca="false">p_horas_productivas_dia</f>
        <v>8</v>
      </c>
      <c r="E83" s="9" t="n">
        <f aca="false">INDEX('05_RECURSOS'!$E$2:$E$18,MATCH(A83,'05_RECURSOS'!$A$2:$A$18,0))</f>
        <v>1</v>
      </c>
      <c r="F83" s="19" t="n">
        <f aca="false">C83*D83*E83</f>
        <v>184</v>
      </c>
      <c r="G83" s="4" t="s">
        <v>26</v>
      </c>
    </row>
    <row r="84" customFormat="false" ht="15" hidden="false" customHeight="false" outlineLevel="0" collapsed="false">
      <c r="A84" s="4" t="s">
        <v>889</v>
      </c>
      <c r="B84" s="3" t="n">
        <v>11</v>
      </c>
      <c r="C84" s="9" t="n">
        <f aca="false">SUMPRODUCT((MONTH('09_CALENDARIO'!$A$2:$A$397)=B84)*(YEAR('09_CALENDARIO'!$A$2:$A$397)=p_anio_base)*'09_CALENDARIO'!$E$2:$E$397)</f>
        <v>20</v>
      </c>
      <c r="D84" s="19" t="n">
        <f aca="false">p_horas_productivas_dia</f>
        <v>8</v>
      </c>
      <c r="E84" s="9" t="n">
        <f aca="false">INDEX('05_RECURSOS'!$E$2:$E$18,MATCH(A84,'05_RECURSOS'!$A$2:$A$18,0))</f>
        <v>1</v>
      </c>
      <c r="F84" s="19" t="n">
        <f aca="false">C84*D84*E84</f>
        <v>160</v>
      </c>
      <c r="G84" s="4" t="s">
        <v>26</v>
      </c>
    </row>
    <row r="85" customFormat="false" ht="15" hidden="false" customHeight="false" outlineLevel="0" collapsed="false">
      <c r="A85" s="4" t="s">
        <v>889</v>
      </c>
      <c r="B85" s="3" t="n">
        <v>12</v>
      </c>
      <c r="C85" s="9" t="n">
        <f aca="false">SUMPRODUCT((MONTH('09_CALENDARIO'!$A$2:$A$397)=B85)*(YEAR('09_CALENDARIO'!$A$2:$A$397)=p_anio_base)*'09_CALENDARIO'!$E$2:$E$397)</f>
        <v>23</v>
      </c>
      <c r="D85" s="19" t="n">
        <f aca="false">p_horas_productivas_dia</f>
        <v>8</v>
      </c>
      <c r="E85" s="9" t="n">
        <f aca="false">INDEX('05_RECURSOS'!$E$2:$E$18,MATCH(A85,'05_RECURSOS'!$A$2:$A$18,0))</f>
        <v>1</v>
      </c>
      <c r="F85" s="19" t="n">
        <f aca="false">C85*D85*E85</f>
        <v>184</v>
      </c>
      <c r="G85" s="4" t="s">
        <v>26</v>
      </c>
    </row>
    <row r="86" customFormat="false" ht="15" hidden="false" customHeight="false" outlineLevel="0" collapsed="false">
      <c r="A86" s="4" t="s">
        <v>892</v>
      </c>
      <c r="B86" s="3" t="n">
        <v>1</v>
      </c>
      <c r="C86" s="9" t="n">
        <f aca="false">SUMPRODUCT((MONTH('09_CALENDARIO'!$A$2:$A$397)=B86)*(YEAR('09_CALENDARIO'!$A$2:$A$397)=p_anio_base)*'09_CALENDARIO'!$E$2:$E$397)</f>
        <v>23</v>
      </c>
      <c r="D86" s="19" t="n">
        <f aca="false">p_horas_productivas_dia</f>
        <v>8</v>
      </c>
      <c r="E86" s="9" t="n">
        <f aca="false">INDEX('05_RECURSOS'!$E$2:$E$18,MATCH(A86,'05_RECURSOS'!$A$2:$A$18,0))</f>
        <v>1</v>
      </c>
      <c r="F86" s="19" t="n">
        <f aca="false">C86*D86*E86</f>
        <v>184</v>
      </c>
      <c r="G86" s="4" t="s">
        <v>26</v>
      </c>
    </row>
    <row r="87" customFormat="false" ht="15" hidden="false" customHeight="false" outlineLevel="0" collapsed="false">
      <c r="A87" s="4" t="s">
        <v>892</v>
      </c>
      <c r="B87" s="3" t="n">
        <v>2</v>
      </c>
      <c r="C87" s="9" t="n">
        <f aca="false">SUMPRODUCT((MONTH('09_CALENDARIO'!$A$2:$A$397)=B87)*(YEAR('09_CALENDARIO'!$A$2:$A$397)=p_anio_base)*'09_CALENDARIO'!$E$2:$E$397)</f>
        <v>20</v>
      </c>
      <c r="D87" s="19" t="n">
        <f aca="false">p_horas_productivas_dia</f>
        <v>8</v>
      </c>
      <c r="E87" s="9" t="n">
        <f aca="false">INDEX('05_RECURSOS'!$E$2:$E$18,MATCH(A87,'05_RECURSOS'!$A$2:$A$18,0))</f>
        <v>1</v>
      </c>
      <c r="F87" s="19" t="n">
        <f aca="false">C87*D87*E87</f>
        <v>160</v>
      </c>
      <c r="G87" s="4" t="s">
        <v>26</v>
      </c>
    </row>
    <row r="88" customFormat="false" ht="15" hidden="false" customHeight="false" outlineLevel="0" collapsed="false">
      <c r="A88" s="4" t="s">
        <v>892</v>
      </c>
      <c r="B88" s="3" t="n">
        <v>3</v>
      </c>
      <c r="C88" s="9" t="n">
        <f aca="false">SUMPRODUCT((MONTH('09_CALENDARIO'!$A$2:$A$397)=B88)*(YEAR('09_CALENDARIO'!$A$2:$A$397)=p_anio_base)*'09_CALENDARIO'!$E$2:$E$397)</f>
        <v>21</v>
      </c>
      <c r="D88" s="19" t="n">
        <f aca="false">p_horas_productivas_dia</f>
        <v>8</v>
      </c>
      <c r="E88" s="9" t="n">
        <f aca="false">INDEX('05_RECURSOS'!$E$2:$E$18,MATCH(A88,'05_RECURSOS'!$A$2:$A$18,0))</f>
        <v>1</v>
      </c>
      <c r="F88" s="19" t="n">
        <f aca="false">C88*D88*E88</f>
        <v>168</v>
      </c>
      <c r="G88" s="4" t="s">
        <v>26</v>
      </c>
    </row>
    <row r="89" customFormat="false" ht="15" hidden="false" customHeight="false" outlineLevel="0" collapsed="false">
      <c r="A89" s="4" t="s">
        <v>892</v>
      </c>
      <c r="B89" s="3" t="n">
        <v>4</v>
      </c>
      <c r="C89" s="9" t="n">
        <f aca="false">SUMPRODUCT((MONTH('09_CALENDARIO'!$A$2:$A$397)=B89)*(YEAR('09_CALENDARIO'!$A$2:$A$397)=p_anio_base)*'09_CALENDARIO'!$E$2:$E$397)</f>
        <v>22</v>
      </c>
      <c r="D89" s="19" t="n">
        <f aca="false">p_horas_productivas_dia</f>
        <v>8</v>
      </c>
      <c r="E89" s="9" t="n">
        <f aca="false">INDEX('05_RECURSOS'!$E$2:$E$18,MATCH(A89,'05_RECURSOS'!$A$2:$A$18,0))</f>
        <v>1</v>
      </c>
      <c r="F89" s="19" t="n">
        <f aca="false">C89*D89*E89</f>
        <v>176</v>
      </c>
      <c r="G89" s="4" t="s">
        <v>26</v>
      </c>
    </row>
    <row r="90" customFormat="false" ht="15" hidden="false" customHeight="false" outlineLevel="0" collapsed="false">
      <c r="A90" s="4" t="s">
        <v>892</v>
      </c>
      <c r="B90" s="3" t="n">
        <v>5</v>
      </c>
      <c r="C90" s="9" t="n">
        <f aca="false">SUMPRODUCT((MONTH('09_CALENDARIO'!$A$2:$A$397)=B90)*(YEAR('09_CALENDARIO'!$A$2:$A$397)=p_anio_base)*'09_CALENDARIO'!$E$2:$E$397)</f>
        <v>22</v>
      </c>
      <c r="D90" s="19" t="n">
        <f aca="false">p_horas_productivas_dia</f>
        <v>8</v>
      </c>
      <c r="E90" s="9" t="n">
        <f aca="false">INDEX('05_RECURSOS'!$E$2:$E$18,MATCH(A90,'05_RECURSOS'!$A$2:$A$18,0))</f>
        <v>1</v>
      </c>
      <c r="F90" s="19" t="n">
        <f aca="false">C90*D90*E90</f>
        <v>176</v>
      </c>
      <c r="G90" s="4" t="s">
        <v>26</v>
      </c>
    </row>
    <row r="91" customFormat="false" ht="15" hidden="false" customHeight="false" outlineLevel="0" collapsed="false">
      <c r="A91" s="4" t="s">
        <v>892</v>
      </c>
      <c r="B91" s="3" t="n">
        <v>6</v>
      </c>
      <c r="C91" s="9" t="n">
        <f aca="false">SUMPRODUCT((MONTH('09_CALENDARIO'!$A$2:$A$397)=B91)*(YEAR('09_CALENDARIO'!$A$2:$A$397)=p_anio_base)*'09_CALENDARIO'!$E$2:$E$397)</f>
        <v>21</v>
      </c>
      <c r="D91" s="19" t="n">
        <f aca="false">p_horas_productivas_dia</f>
        <v>8</v>
      </c>
      <c r="E91" s="9" t="n">
        <f aca="false">INDEX('05_RECURSOS'!$E$2:$E$18,MATCH(A91,'05_RECURSOS'!$A$2:$A$18,0))</f>
        <v>1</v>
      </c>
      <c r="F91" s="19" t="n">
        <f aca="false">C91*D91*E91</f>
        <v>168</v>
      </c>
      <c r="G91" s="4" t="s">
        <v>26</v>
      </c>
    </row>
    <row r="92" customFormat="false" ht="15" hidden="false" customHeight="false" outlineLevel="0" collapsed="false">
      <c r="A92" s="4" t="s">
        <v>892</v>
      </c>
      <c r="B92" s="3" t="n">
        <v>7</v>
      </c>
      <c r="C92" s="9" t="n">
        <f aca="false">SUMPRODUCT((MONTH('09_CALENDARIO'!$A$2:$A$397)=B92)*(YEAR('09_CALENDARIO'!$A$2:$A$397)=p_anio_base)*'09_CALENDARIO'!$E$2:$E$397)</f>
        <v>23</v>
      </c>
      <c r="D92" s="19" t="n">
        <f aca="false">p_horas_productivas_dia</f>
        <v>8</v>
      </c>
      <c r="E92" s="9" t="n">
        <f aca="false">INDEX('05_RECURSOS'!$E$2:$E$18,MATCH(A92,'05_RECURSOS'!$A$2:$A$18,0))</f>
        <v>1</v>
      </c>
      <c r="F92" s="19" t="n">
        <f aca="false">C92*D92*E92</f>
        <v>184</v>
      </c>
      <c r="G92" s="4" t="s">
        <v>26</v>
      </c>
    </row>
    <row r="93" customFormat="false" ht="15" hidden="false" customHeight="false" outlineLevel="0" collapsed="false">
      <c r="A93" s="4" t="s">
        <v>892</v>
      </c>
      <c r="B93" s="3" t="n">
        <v>8</v>
      </c>
      <c r="C93" s="9" t="n">
        <f aca="false">SUMPRODUCT((MONTH('09_CALENDARIO'!$A$2:$A$397)=B93)*(YEAR('09_CALENDARIO'!$A$2:$A$397)=p_anio_base)*'09_CALENDARIO'!$E$2:$E$397)</f>
        <v>21</v>
      </c>
      <c r="D93" s="19" t="n">
        <f aca="false">p_horas_productivas_dia</f>
        <v>8</v>
      </c>
      <c r="E93" s="9" t="n">
        <f aca="false">INDEX('05_RECURSOS'!$E$2:$E$18,MATCH(A93,'05_RECURSOS'!$A$2:$A$18,0))</f>
        <v>1</v>
      </c>
      <c r="F93" s="19" t="n">
        <f aca="false">C93*D93*E93</f>
        <v>168</v>
      </c>
      <c r="G93" s="4" t="s">
        <v>26</v>
      </c>
    </row>
    <row r="94" customFormat="false" ht="15" hidden="false" customHeight="false" outlineLevel="0" collapsed="false">
      <c r="A94" s="4" t="s">
        <v>892</v>
      </c>
      <c r="B94" s="3" t="n">
        <v>9</v>
      </c>
      <c r="C94" s="9" t="n">
        <f aca="false">SUMPRODUCT((MONTH('09_CALENDARIO'!$A$2:$A$397)=B94)*(YEAR('09_CALENDARIO'!$A$2:$A$397)=p_anio_base)*'09_CALENDARIO'!$E$2:$E$397)</f>
        <v>22</v>
      </c>
      <c r="D94" s="19" t="n">
        <f aca="false">p_horas_productivas_dia</f>
        <v>8</v>
      </c>
      <c r="E94" s="9" t="n">
        <f aca="false">INDEX('05_RECURSOS'!$E$2:$E$18,MATCH(A94,'05_RECURSOS'!$A$2:$A$18,0))</f>
        <v>1</v>
      </c>
      <c r="F94" s="19" t="n">
        <f aca="false">C94*D94*E94</f>
        <v>176</v>
      </c>
      <c r="G94" s="4" t="s">
        <v>26</v>
      </c>
    </row>
    <row r="95" customFormat="false" ht="15" hidden="false" customHeight="false" outlineLevel="0" collapsed="false">
      <c r="A95" s="4" t="s">
        <v>892</v>
      </c>
      <c r="B95" s="3" t="n">
        <v>10</v>
      </c>
      <c r="C95" s="9" t="n">
        <f aca="false">SUMPRODUCT((MONTH('09_CALENDARIO'!$A$2:$A$397)=B95)*(YEAR('09_CALENDARIO'!$A$2:$A$397)=p_anio_base)*'09_CALENDARIO'!$E$2:$E$397)</f>
        <v>23</v>
      </c>
      <c r="D95" s="19" t="n">
        <f aca="false">p_horas_productivas_dia</f>
        <v>8</v>
      </c>
      <c r="E95" s="9" t="n">
        <f aca="false">INDEX('05_RECURSOS'!$E$2:$E$18,MATCH(A95,'05_RECURSOS'!$A$2:$A$18,0))</f>
        <v>1</v>
      </c>
      <c r="F95" s="19" t="n">
        <f aca="false">C95*D95*E95</f>
        <v>184</v>
      </c>
      <c r="G95" s="4" t="s">
        <v>26</v>
      </c>
    </row>
    <row r="96" customFormat="false" ht="15" hidden="false" customHeight="false" outlineLevel="0" collapsed="false">
      <c r="A96" s="4" t="s">
        <v>892</v>
      </c>
      <c r="B96" s="3" t="n">
        <v>11</v>
      </c>
      <c r="C96" s="9" t="n">
        <f aca="false">SUMPRODUCT((MONTH('09_CALENDARIO'!$A$2:$A$397)=B96)*(YEAR('09_CALENDARIO'!$A$2:$A$397)=p_anio_base)*'09_CALENDARIO'!$E$2:$E$397)</f>
        <v>20</v>
      </c>
      <c r="D96" s="19" t="n">
        <f aca="false">p_horas_productivas_dia</f>
        <v>8</v>
      </c>
      <c r="E96" s="9" t="n">
        <f aca="false">INDEX('05_RECURSOS'!$E$2:$E$18,MATCH(A96,'05_RECURSOS'!$A$2:$A$18,0))</f>
        <v>1</v>
      </c>
      <c r="F96" s="19" t="n">
        <f aca="false">C96*D96*E96</f>
        <v>160</v>
      </c>
      <c r="G96" s="4" t="s">
        <v>26</v>
      </c>
    </row>
    <row r="97" customFormat="false" ht="15" hidden="false" customHeight="false" outlineLevel="0" collapsed="false">
      <c r="A97" s="4" t="s">
        <v>892</v>
      </c>
      <c r="B97" s="3" t="n">
        <v>12</v>
      </c>
      <c r="C97" s="9" t="n">
        <f aca="false">SUMPRODUCT((MONTH('09_CALENDARIO'!$A$2:$A$397)=B97)*(YEAR('09_CALENDARIO'!$A$2:$A$397)=p_anio_base)*'09_CALENDARIO'!$E$2:$E$397)</f>
        <v>23</v>
      </c>
      <c r="D97" s="19" t="n">
        <f aca="false">p_horas_productivas_dia</f>
        <v>8</v>
      </c>
      <c r="E97" s="9" t="n">
        <f aca="false">INDEX('05_RECURSOS'!$E$2:$E$18,MATCH(A97,'05_RECURSOS'!$A$2:$A$18,0))</f>
        <v>1</v>
      </c>
      <c r="F97" s="19" t="n">
        <f aca="false">C97*D97*E97</f>
        <v>184</v>
      </c>
      <c r="G97" s="4" t="s">
        <v>26</v>
      </c>
    </row>
    <row r="98" customFormat="false" ht="15" hidden="false" customHeight="false" outlineLevel="0" collapsed="false">
      <c r="A98" s="4" t="s">
        <v>896</v>
      </c>
      <c r="B98" s="3" t="n">
        <v>1</v>
      </c>
      <c r="C98" s="9" t="n">
        <f aca="false">SUMPRODUCT((MONTH('09_CALENDARIO'!$A$2:$A$397)=B98)*(YEAR('09_CALENDARIO'!$A$2:$A$397)=p_anio_base)*'09_CALENDARIO'!$E$2:$E$397)</f>
        <v>23</v>
      </c>
      <c r="D98" s="19" t="n">
        <f aca="false">p_horas_productivas_dia</f>
        <v>8</v>
      </c>
      <c r="E98" s="9" t="n">
        <f aca="false">INDEX('05_RECURSOS'!$E$2:$E$18,MATCH(A98,'05_RECURSOS'!$A$2:$A$18,0))</f>
        <v>1</v>
      </c>
      <c r="F98" s="19" t="n">
        <f aca="false">C98*D98*E98</f>
        <v>184</v>
      </c>
      <c r="G98" s="4" t="s">
        <v>26</v>
      </c>
    </row>
    <row r="99" customFormat="false" ht="15" hidden="false" customHeight="false" outlineLevel="0" collapsed="false">
      <c r="A99" s="4" t="s">
        <v>896</v>
      </c>
      <c r="B99" s="3" t="n">
        <v>2</v>
      </c>
      <c r="C99" s="9" t="n">
        <f aca="false">SUMPRODUCT((MONTH('09_CALENDARIO'!$A$2:$A$397)=B99)*(YEAR('09_CALENDARIO'!$A$2:$A$397)=p_anio_base)*'09_CALENDARIO'!$E$2:$E$397)</f>
        <v>20</v>
      </c>
      <c r="D99" s="19" t="n">
        <f aca="false">p_horas_productivas_dia</f>
        <v>8</v>
      </c>
      <c r="E99" s="9" t="n">
        <f aca="false">INDEX('05_RECURSOS'!$E$2:$E$18,MATCH(A99,'05_RECURSOS'!$A$2:$A$18,0))</f>
        <v>1</v>
      </c>
      <c r="F99" s="19" t="n">
        <f aca="false">C99*D99*E99</f>
        <v>160</v>
      </c>
      <c r="G99" s="4" t="s">
        <v>26</v>
      </c>
    </row>
    <row r="100" customFormat="false" ht="15" hidden="false" customHeight="false" outlineLevel="0" collapsed="false">
      <c r="A100" s="4" t="s">
        <v>896</v>
      </c>
      <c r="B100" s="3" t="n">
        <v>3</v>
      </c>
      <c r="C100" s="9" t="n">
        <f aca="false">SUMPRODUCT((MONTH('09_CALENDARIO'!$A$2:$A$397)=B100)*(YEAR('09_CALENDARIO'!$A$2:$A$397)=p_anio_base)*'09_CALENDARIO'!$E$2:$E$397)</f>
        <v>21</v>
      </c>
      <c r="D100" s="19" t="n">
        <f aca="false">p_horas_productivas_dia</f>
        <v>8</v>
      </c>
      <c r="E100" s="9" t="n">
        <f aca="false">INDEX('05_RECURSOS'!$E$2:$E$18,MATCH(A100,'05_RECURSOS'!$A$2:$A$18,0))</f>
        <v>1</v>
      </c>
      <c r="F100" s="19" t="n">
        <f aca="false">C100*D100*E100</f>
        <v>168</v>
      </c>
      <c r="G100" s="4" t="s">
        <v>26</v>
      </c>
    </row>
    <row r="101" customFormat="false" ht="15" hidden="false" customHeight="false" outlineLevel="0" collapsed="false">
      <c r="A101" s="4" t="s">
        <v>896</v>
      </c>
      <c r="B101" s="3" t="n">
        <v>4</v>
      </c>
      <c r="C101" s="9" t="n">
        <f aca="false">SUMPRODUCT((MONTH('09_CALENDARIO'!$A$2:$A$397)=B101)*(YEAR('09_CALENDARIO'!$A$2:$A$397)=p_anio_base)*'09_CALENDARIO'!$E$2:$E$397)</f>
        <v>22</v>
      </c>
      <c r="D101" s="19" t="n">
        <f aca="false">p_horas_productivas_dia</f>
        <v>8</v>
      </c>
      <c r="E101" s="9" t="n">
        <f aca="false">INDEX('05_RECURSOS'!$E$2:$E$18,MATCH(A101,'05_RECURSOS'!$A$2:$A$18,0))</f>
        <v>1</v>
      </c>
      <c r="F101" s="19" t="n">
        <f aca="false">C101*D101*E101</f>
        <v>176</v>
      </c>
      <c r="G101" s="4" t="s">
        <v>26</v>
      </c>
    </row>
    <row r="102" customFormat="false" ht="15" hidden="false" customHeight="false" outlineLevel="0" collapsed="false">
      <c r="A102" s="4" t="s">
        <v>896</v>
      </c>
      <c r="B102" s="3" t="n">
        <v>5</v>
      </c>
      <c r="C102" s="9" t="n">
        <f aca="false">SUMPRODUCT((MONTH('09_CALENDARIO'!$A$2:$A$397)=B102)*(YEAR('09_CALENDARIO'!$A$2:$A$397)=p_anio_base)*'09_CALENDARIO'!$E$2:$E$397)</f>
        <v>22</v>
      </c>
      <c r="D102" s="19" t="n">
        <f aca="false">p_horas_productivas_dia</f>
        <v>8</v>
      </c>
      <c r="E102" s="9" t="n">
        <f aca="false">INDEX('05_RECURSOS'!$E$2:$E$18,MATCH(A102,'05_RECURSOS'!$A$2:$A$18,0))</f>
        <v>1</v>
      </c>
      <c r="F102" s="19" t="n">
        <f aca="false">C102*D102*E102</f>
        <v>176</v>
      </c>
      <c r="G102" s="4" t="s">
        <v>26</v>
      </c>
    </row>
    <row r="103" customFormat="false" ht="15" hidden="false" customHeight="false" outlineLevel="0" collapsed="false">
      <c r="A103" s="4" t="s">
        <v>896</v>
      </c>
      <c r="B103" s="3" t="n">
        <v>6</v>
      </c>
      <c r="C103" s="9" t="n">
        <f aca="false">SUMPRODUCT((MONTH('09_CALENDARIO'!$A$2:$A$397)=B103)*(YEAR('09_CALENDARIO'!$A$2:$A$397)=p_anio_base)*'09_CALENDARIO'!$E$2:$E$397)</f>
        <v>21</v>
      </c>
      <c r="D103" s="19" t="n">
        <f aca="false">p_horas_productivas_dia</f>
        <v>8</v>
      </c>
      <c r="E103" s="9" t="n">
        <f aca="false">INDEX('05_RECURSOS'!$E$2:$E$18,MATCH(A103,'05_RECURSOS'!$A$2:$A$18,0))</f>
        <v>1</v>
      </c>
      <c r="F103" s="19" t="n">
        <f aca="false">C103*D103*E103</f>
        <v>168</v>
      </c>
      <c r="G103" s="4" t="s">
        <v>26</v>
      </c>
    </row>
    <row r="104" customFormat="false" ht="15" hidden="false" customHeight="false" outlineLevel="0" collapsed="false">
      <c r="A104" s="4" t="s">
        <v>896</v>
      </c>
      <c r="B104" s="3" t="n">
        <v>7</v>
      </c>
      <c r="C104" s="9" t="n">
        <f aca="false">SUMPRODUCT((MONTH('09_CALENDARIO'!$A$2:$A$397)=B104)*(YEAR('09_CALENDARIO'!$A$2:$A$397)=p_anio_base)*'09_CALENDARIO'!$E$2:$E$397)</f>
        <v>23</v>
      </c>
      <c r="D104" s="19" t="n">
        <f aca="false">p_horas_productivas_dia</f>
        <v>8</v>
      </c>
      <c r="E104" s="9" t="n">
        <f aca="false">INDEX('05_RECURSOS'!$E$2:$E$18,MATCH(A104,'05_RECURSOS'!$A$2:$A$18,0))</f>
        <v>1</v>
      </c>
      <c r="F104" s="19" t="n">
        <f aca="false">C104*D104*E104</f>
        <v>184</v>
      </c>
      <c r="G104" s="4" t="s">
        <v>26</v>
      </c>
    </row>
    <row r="105" customFormat="false" ht="15" hidden="false" customHeight="false" outlineLevel="0" collapsed="false">
      <c r="A105" s="4" t="s">
        <v>896</v>
      </c>
      <c r="B105" s="3" t="n">
        <v>8</v>
      </c>
      <c r="C105" s="9" t="n">
        <f aca="false">SUMPRODUCT((MONTH('09_CALENDARIO'!$A$2:$A$397)=B105)*(YEAR('09_CALENDARIO'!$A$2:$A$397)=p_anio_base)*'09_CALENDARIO'!$E$2:$E$397)</f>
        <v>21</v>
      </c>
      <c r="D105" s="19" t="n">
        <f aca="false">p_horas_productivas_dia</f>
        <v>8</v>
      </c>
      <c r="E105" s="9" t="n">
        <f aca="false">INDEX('05_RECURSOS'!$E$2:$E$18,MATCH(A105,'05_RECURSOS'!$A$2:$A$18,0))</f>
        <v>1</v>
      </c>
      <c r="F105" s="19" t="n">
        <f aca="false">C105*D105*E105</f>
        <v>168</v>
      </c>
      <c r="G105" s="4" t="s">
        <v>26</v>
      </c>
    </row>
    <row r="106" customFormat="false" ht="15" hidden="false" customHeight="false" outlineLevel="0" collapsed="false">
      <c r="A106" s="4" t="s">
        <v>896</v>
      </c>
      <c r="B106" s="3" t="n">
        <v>9</v>
      </c>
      <c r="C106" s="9" t="n">
        <f aca="false">SUMPRODUCT((MONTH('09_CALENDARIO'!$A$2:$A$397)=B106)*(YEAR('09_CALENDARIO'!$A$2:$A$397)=p_anio_base)*'09_CALENDARIO'!$E$2:$E$397)</f>
        <v>22</v>
      </c>
      <c r="D106" s="19" t="n">
        <f aca="false">p_horas_productivas_dia</f>
        <v>8</v>
      </c>
      <c r="E106" s="9" t="n">
        <f aca="false">INDEX('05_RECURSOS'!$E$2:$E$18,MATCH(A106,'05_RECURSOS'!$A$2:$A$18,0))</f>
        <v>1</v>
      </c>
      <c r="F106" s="19" t="n">
        <f aca="false">C106*D106*E106</f>
        <v>176</v>
      </c>
      <c r="G106" s="4" t="s">
        <v>26</v>
      </c>
    </row>
    <row r="107" customFormat="false" ht="15" hidden="false" customHeight="false" outlineLevel="0" collapsed="false">
      <c r="A107" s="4" t="s">
        <v>896</v>
      </c>
      <c r="B107" s="3" t="n">
        <v>10</v>
      </c>
      <c r="C107" s="9" t="n">
        <f aca="false">SUMPRODUCT((MONTH('09_CALENDARIO'!$A$2:$A$397)=B107)*(YEAR('09_CALENDARIO'!$A$2:$A$397)=p_anio_base)*'09_CALENDARIO'!$E$2:$E$397)</f>
        <v>23</v>
      </c>
      <c r="D107" s="19" t="n">
        <f aca="false">p_horas_productivas_dia</f>
        <v>8</v>
      </c>
      <c r="E107" s="9" t="n">
        <f aca="false">INDEX('05_RECURSOS'!$E$2:$E$18,MATCH(A107,'05_RECURSOS'!$A$2:$A$18,0))</f>
        <v>1</v>
      </c>
      <c r="F107" s="19" t="n">
        <f aca="false">C107*D107*E107</f>
        <v>184</v>
      </c>
      <c r="G107" s="4" t="s">
        <v>26</v>
      </c>
    </row>
    <row r="108" customFormat="false" ht="15" hidden="false" customHeight="false" outlineLevel="0" collapsed="false">
      <c r="A108" s="4" t="s">
        <v>896</v>
      </c>
      <c r="B108" s="3" t="n">
        <v>11</v>
      </c>
      <c r="C108" s="9" t="n">
        <f aca="false">SUMPRODUCT((MONTH('09_CALENDARIO'!$A$2:$A$397)=B108)*(YEAR('09_CALENDARIO'!$A$2:$A$397)=p_anio_base)*'09_CALENDARIO'!$E$2:$E$397)</f>
        <v>20</v>
      </c>
      <c r="D108" s="19" t="n">
        <f aca="false">p_horas_productivas_dia</f>
        <v>8</v>
      </c>
      <c r="E108" s="9" t="n">
        <f aca="false">INDEX('05_RECURSOS'!$E$2:$E$18,MATCH(A108,'05_RECURSOS'!$A$2:$A$18,0))</f>
        <v>1</v>
      </c>
      <c r="F108" s="19" t="n">
        <f aca="false">C108*D108*E108</f>
        <v>160</v>
      </c>
      <c r="G108" s="4" t="s">
        <v>26</v>
      </c>
    </row>
    <row r="109" customFormat="false" ht="15" hidden="false" customHeight="false" outlineLevel="0" collapsed="false">
      <c r="A109" s="4" t="s">
        <v>896</v>
      </c>
      <c r="B109" s="3" t="n">
        <v>12</v>
      </c>
      <c r="C109" s="9" t="n">
        <f aca="false">SUMPRODUCT((MONTH('09_CALENDARIO'!$A$2:$A$397)=B109)*(YEAR('09_CALENDARIO'!$A$2:$A$397)=p_anio_base)*'09_CALENDARIO'!$E$2:$E$397)</f>
        <v>23</v>
      </c>
      <c r="D109" s="19" t="n">
        <f aca="false">p_horas_productivas_dia</f>
        <v>8</v>
      </c>
      <c r="E109" s="9" t="n">
        <f aca="false">INDEX('05_RECURSOS'!$E$2:$E$18,MATCH(A109,'05_RECURSOS'!$A$2:$A$18,0))</f>
        <v>1</v>
      </c>
      <c r="F109" s="19" t="n">
        <f aca="false">C109*D109*E109</f>
        <v>184</v>
      </c>
      <c r="G109" s="4" t="s">
        <v>26</v>
      </c>
    </row>
    <row r="110" customFormat="false" ht="15" hidden="false" customHeight="false" outlineLevel="0" collapsed="false">
      <c r="A110" s="4" t="s">
        <v>898</v>
      </c>
      <c r="B110" s="3" t="n">
        <v>1</v>
      </c>
      <c r="C110" s="9" t="n">
        <f aca="false">SUMPRODUCT((MONTH('09_CALENDARIO'!$A$2:$A$397)=B110)*(YEAR('09_CALENDARIO'!$A$2:$A$397)=p_anio_base)*'09_CALENDARIO'!$E$2:$E$397)</f>
        <v>23</v>
      </c>
      <c r="D110" s="19" t="n">
        <f aca="false">p_horas_productivas_dia</f>
        <v>8</v>
      </c>
      <c r="E110" s="9" t="n">
        <f aca="false">INDEX('05_RECURSOS'!$E$2:$E$18,MATCH(A110,'05_RECURSOS'!$A$2:$A$18,0))</f>
        <v>1</v>
      </c>
      <c r="F110" s="19" t="n">
        <f aca="false">C110*D110*E110</f>
        <v>184</v>
      </c>
      <c r="G110" s="4" t="s">
        <v>26</v>
      </c>
    </row>
    <row r="111" customFormat="false" ht="15" hidden="false" customHeight="false" outlineLevel="0" collapsed="false">
      <c r="A111" s="4" t="s">
        <v>898</v>
      </c>
      <c r="B111" s="3" t="n">
        <v>2</v>
      </c>
      <c r="C111" s="9" t="n">
        <f aca="false">SUMPRODUCT((MONTH('09_CALENDARIO'!$A$2:$A$397)=B111)*(YEAR('09_CALENDARIO'!$A$2:$A$397)=p_anio_base)*'09_CALENDARIO'!$E$2:$E$397)</f>
        <v>20</v>
      </c>
      <c r="D111" s="19" t="n">
        <f aca="false">p_horas_productivas_dia</f>
        <v>8</v>
      </c>
      <c r="E111" s="9" t="n">
        <f aca="false">INDEX('05_RECURSOS'!$E$2:$E$18,MATCH(A111,'05_RECURSOS'!$A$2:$A$18,0))</f>
        <v>1</v>
      </c>
      <c r="F111" s="19" t="n">
        <f aca="false">C111*D111*E111</f>
        <v>160</v>
      </c>
      <c r="G111" s="4" t="s">
        <v>26</v>
      </c>
    </row>
    <row r="112" customFormat="false" ht="15" hidden="false" customHeight="false" outlineLevel="0" collapsed="false">
      <c r="A112" s="4" t="s">
        <v>898</v>
      </c>
      <c r="B112" s="3" t="n">
        <v>3</v>
      </c>
      <c r="C112" s="9" t="n">
        <f aca="false">SUMPRODUCT((MONTH('09_CALENDARIO'!$A$2:$A$397)=B112)*(YEAR('09_CALENDARIO'!$A$2:$A$397)=p_anio_base)*'09_CALENDARIO'!$E$2:$E$397)</f>
        <v>21</v>
      </c>
      <c r="D112" s="19" t="n">
        <f aca="false">p_horas_productivas_dia</f>
        <v>8</v>
      </c>
      <c r="E112" s="9" t="n">
        <f aca="false">INDEX('05_RECURSOS'!$E$2:$E$18,MATCH(A112,'05_RECURSOS'!$A$2:$A$18,0))</f>
        <v>1</v>
      </c>
      <c r="F112" s="19" t="n">
        <f aca="false">C112*D112*E112</f>
        <v>168</v>
      </c>
      <c r="G112" s="4" t="s">
        <v>26</v>
      </c>
    </row>
    <row r="113" customFormat="false" ht="15" hidden="false" customHeight="false" outlineLevel="0" collapsed="false">
      <c r="A113" s="4" t="s">
        <v>898</v>
      </c>
      <c r="B113" s="3" t="n">
        <v>4</v>
      </c>
      <c r="C113" s="9" t="n">
        <f aca="false">SUMPRODUCT((MONTH('09_CALENDARIO'!$A$2:$A$397)=B113)*(YEAR('09_CALENDARIO'!$A$2:$A$397)=p_anio_base)*'09_CALENDARIO'!$E$2:$E$397)</f>
        <v>22</v>
      </c>
      <c r="D113" s="19" t="n">
        <f aca="false">p_horas_productivas_dia</f>
        <v>8</v>
      </c>
      <c r="E113" s="9" t="n">
        <f aca="false">INDEX('05_RECURSOS'!$E$2:$E$18,MATCH(A113,'05_RECURSOS'!$A$2:$A$18,0))</f>
        <v>1</v>
      </c>
      <c r="F113" s="19" t="n">
        <f aca="false">C113*D113*E113</f>
        <v>176</v>
      </c>
      <c r="G113" s="4" t="s">
        <v>26</v>
      </c>
    </row>
    <row r="114" customFormat="false" ht="15" hidden="false" customHeight="false" outlineLevel="0" collapsed="false">
      <c r="A114" s="4" t="s">
        <v>898</v>
      </c>
      <c r="B114" s="3" t="n">
        <v>5</v>
      </c>
      <c r="C114" s="9" t="n">
        <f aca="false">SUMPRODUCT((MONTH('09_CALENDARIO'!$A$2:$A$397)=B114)*(YEAR('09_CALENDARIO'!$A$2:$A$397)=p_anio_base)*'09_CALENDARIO'!$E$2:$E$397)</f>
        <v>22</v>
      </c>
      <c r="D114" s="19" t="n">
        <f aca="false">p_horas_productivas_dia</f>
        <v>8</v>
      </c>
      <c r="E114" s="9" t="n">
        <f aca="false">INDEX('05_RECURSOS'!$E$2:$E$18,MATCH(A114,'05_RECURSOS'!$A$2:$A$18,0))</f>
        <v>1</v>
      </c>
      <c r="F114" s="19" t="n">
        <f aca="false">C114*D114*E114</f>
        <v>176</v>
      </c>
      <c r="G114" s="4" t="s">
        <v>26</v>
      </c>
    </row>
    <row r="115" customFormat="false" ht="15" hidden="false" customHeight="false" outlineLevel="0" collapsed="false">
      <c r="A115" s="4" t="s">
        <v>898</v>
      </c>
      <c r="B115" s="3" t="n">
        <v>6</v>
      </c>
      <c r="C115" s="9" t="n">
        <f aca="false">SUMPRODUCT((MONTH('09_CALENDARIO'!$A$2:$A$397)=B115)*(YEAR('09_CALENDARIO'!$A$2:$A$397)=p_anio_base)*'09_CALENDARIO'!$E$2:$E$397)</f>
        <v>21</v>
      </c>
      <c r="D115" s="19" t="n">
        <f aca="false">p_horas_productivas_dia</f>
        <v>8</v>
      </c>
      <c r="E115" s="9" t="n">
        <f aca="false">INDEX('05_RECURSOS'!$E$2:$E$18,MATCH(A115,'05_RECURSOS'!$A$2:$A$18,0))</f>
        <v>1</v>
      </c>
      <c r="F115" s="19" t="n">
        <f aca="false">C115*D115*E115</f>
        <v>168</v>
      </c>
      <c r="G115" s="4" t="s">
        <v>26</v>
      </c>
    </row>
    <row r="116" customFormat="false" ht="15" hidden="false" customHeight="false" outlineLevel="0" collapsed="false">
      <c r="A116" s="4" t="s">
        <v>898</v>
      </c>
      <c r="B116" s="3" t="n">
        <v>7</v>
      </c>
      <c r="C116" s="9" t="n">
        <f aca="false">SUMPRODUCT((MONTH('09_CALENDARIO'!$A$2:$A$397)=B116)*(YEAR('09_CALENDARIO'!$A$2:$A$397)=p_anio_base)*'09_CALENDARIO'!$E$2:$E$397)</f>
        <v>23</v>
      </c>
      <c r="D116" s="19" t="n">
        <f aca="false">p_horas_productivas_dia</f>
        <v>8</v>
      </c>
      <c r="E116" s="9" t="n">
        <f aca="false">INDEX('05_RECURSOS'!$E$2:$E$18,MATCH(A116,'05_RECURSOS'!$A$2:$A$18,0))</f>
        <v>1</v>
      </c>
      <c r="F116" s="19" t="n">
        <f aca="false">C116*D116*E116</f>
        <v>184</v>
      </c>
      <c r="G116" s="4" t="s">
        <v>26</v>
      </c>
    </row>
    <row r="117" customFormat="false" ht="15" hidden="false" customHeight="false" outlineLevel="0" collapsed="false">
      <c r="A117" s="4" t="s">
        <v>898</v>
      </c>
      <c r="B117" s="3" t="n">
        <v>8</v>
      </c>
      <c r="C117" s="9" t="n">
        <f aca="false">SUMPRODUCT((MONTH('09_CALENDARIO'!$A$2:$A$397)=B117)*(YEAR('09_CALENDARIO'!$A$2:$A$397)=p_anio_base)*'09_CALENDARIO'!$E$2:$E$397)</f>
        <v>21</v>
      </c>
      <c r="D117" s="19" t="n">
        <f aca="false">p_horas_productivas_dia</f>
        <v>8</v>
      </c>
      <c r="E117" s="9" t="n">
        <f aca="false">INDEX('05_RECURSOS'!$E$2:$E$18,MATCH(A117,'05_RECURSOS'!$A$2:$A$18,0))</f>
        <v>1</v>
      </c>
      <c r="F117" s="19" t="n">
        <f aca="false">C117*D117*E117</f>
        <v>168</v>
      </c>
      <c r="G117" s="4" t="s">
        <v>26</v>
      </c>
    </row>
    <row r="118" customFormat="false" ht="15" hidden="false" customHeight="false" outlineLevel="0" collapsed="false">
      <c r="A118" s="4" t="s">
        <v>898</v>
      </c>
      <c r="B118" s="3" t="n">
        <v>9</v>
      </c>
      <c r="C118" s="9" t="n">
        <f aca="false">SUMPRODUCT((MONTH('09_CALENDARIO'!$A$2:$A$397)=B118)*(YEAR('09_CALENDARIO'!$A$2:$A$397)=p_anio_base)*'09_CALENDARIO'!$E$2:$E$397)</f>
        <v>22</v>
      </c>
      <c r="D118" s="19" t="n">
        <f aca="false">p_horas_productivas_dia</f>
        <v>8</v>
      </c>
      <c r="E118" s="9" t="n">
        <f aca="false">INDEX('05_RECURSOS'!$E$2:$E$18,MATCH(A118,'05_RECURSOS'!$A$2:$A$18,0))</f>
        <v>1</v>
      </c>
      <c r="F118" s="19" t="n">
        <f aca="false">C118*D118*E118</f>
        <v>176</v>
      </c>
      <c r="G118" s="4" t="s">
        <v>26</v>
      </c>
    </row>
    <row r="119" customFormat="false" ht="15" hidden="false" customHeight="false" outlineLevel="0" collapsed="false">
      <c r="A119" s="4" t="s">
        <v>898</v>
      </c>
      <c r="B119" s="3" t="n">
        <v>10</v>
      </c>
      <c r="C119" s="9" t="n">
        <f aca="false">SUMPRODUCT((MONTH('09_CALENDARIO'!$A$2:$A$397)=B119)*(YEAR('09_CALENDARIO'!$A$2:$A$397)=p_anio_base)*'09_CALENDARIO'!$E$2:$E$397)</f>
        <v>23</v>
      </c>
      <c r="D119" s="19" t="n">
        <f aca="false">p_horas_productivas_dia</f>
        <v>8</v>
      </c>
      <c r="E119" s="9" t="n">
        <f aca="false">INDEX('05_RECURSOS'!$E$2:$E$18,MATCH(A119,'05_RECURSOS'!$A$2:$A$18,0))</f>
        <v>1</v>
      </c>
      <c r="F119" s="19" t="n">
        <f aca="false">C119*D119*E119</f>
        <v>184</v>
      </c>
      <c r="G119" s="4" t="s">
        <v>26</v>
      </c>
    </row>
    <row r="120" customFormat="false" ht="15" hidden="false" customHeight="false" outlineLevel="0" collapsed="false">
      <c r="A120" s="4" t="s">
        <v>898</v>
      </c>
      <c r="B120" s="3" t="n">
        <v>11</v>
      </c>
      <c r="C120" s="9" t="n">
        <f aca="false">SUMPRODUCT((MONTH('09_CALENDARIO'!$A$2:$A$397)=B120)*(YEAR('09_CALENDARIO'!$A$2:$A$397)=p_anio_base)*'09_CALENDARIO'!$E$2:$E$397)</f>
        <v>20</v>
      </c>
      <c r="D120" s="19" t="n">
        <f aca="false">p_horas_productivas_dia</f>
        <v>8</v>
      </c>
      <c r="E120" s="9" t="n">
        <f aca="false">INDEX('05_RECURSOS'!$E$2:$E$18,MATCH(A120,'05_RECURSOS'!$A$2:$A$18,0))</f>
        <v>1</v>
      </c>
      <c r="F120" s="19" t="n">
        <f aca="false">C120*D120*E120</f>
        <v>160</v>
      </c>
      <c r="G120" s="4" t="s">
        <v>26</v>
      </c>
    </row>
    <row r="121" customFormat="false" ht="15" hidden="false" customHeight="false" outlineLevel="0" collapsed="false">
      <c r="A121" s="4" t="s">
        <v>898</v>
      </c>
      <c r="B121" s="3" t="n">
        <v>12</v>
      </c>
      <c r="C121" s="9" t="n">
        <f aca="false">SUMPRODUCT((MONTH('09_CALENDARIO'!$A$2:$A$397)=B121)*(YEAR('09_CALENDARIO'!$A$2:$A$397)=p_anio_base)*'09_CALENDARIO'!$E$2:$E$397)</f>
        <v>23</v>
      </c>
      <c r="D121" s="19" t="n">
        <f aca="false">p_horas_productivas_dia</f>
        <v>8</v>
      </c>
      <c r="E121" s="9" t="n">
        <f aca="false">INDEX('05_RECURSOS'!$E$2:$E$18,MATCH(A121,'05_RECURSOS'!$A$2:$A$18,0))</f>
        <v>1</v>
      </c>
      <c r="F121" s="19" t="n">
        <f aca="false">C121*D121*E121</f>
        <v>184</v>
      </c>
      <c r="G121" s="4" t="s">
        <v>26</v>
      </c>
    </row>
    <row r="122" customFormat="false" ht="15" hidden="false" customHeight="false" outlineLevel="0" collapsed="false">
      <c r="A122" s="4" t="s">
        <v>901</v>
      </c>
      <c r="B122" s="3" t="n">
        <v>1</v>
      </c>
      <c r="C122" s="9" t="n">
        <f aca="false">SUMPRODUCT((MONTH('09_CALENDARIO'!$A$2:$A$397)=B122)*(YEAR('09_CALENDARIO'!$A$2:$A$397)=p_anio_base)*'09_CALENDARIO'!$E$2:$E$397)</f>
        <v>23</v>
      </c>
      <c r="D122" s="19" t="n">
        <f aca="false">p_horas_productivas_dia</f>
        <v>8</v>
      </c>
      <c r="E122" s="9" t="n">
        <f aca="false">INDEX('05_RECURSOS'!$E$2:$E$18,MATCH(A122,'05_RECURSOS'!$A$2:$A$18,0))</f>
        <v>1</v>
      </c>
      <c r="F122" s="19" t="n">
        <f aca="false">C122*D122*E122</f>
        <v>184</v>
      </c>
      <c r="G122" s="4" t="s">
        <v>26</v>
      </c>
    </row>
    <row r="123" customFormat="false" ht="15" hidden="false" customHeight="false" outlineLevel="0" collapsed="false">
      <c r="A123" s="4" t="s">
        <v>901</v>
      </c>
      <c r="B123" s="3" t="n">
        <v>2</v>
      </c>
      <c r="C123" s="9" t="n">
        <f aca="false">SUMPRODUCT((MONTH('09_CALENDARIO'!$A$2:$A$397)=B123)*(YEAR('09_CALENDARIO'!$A$2:$A$397)=p_anio_base)*'09_CALENDARIO'!$E$2:$E$397)</f>
        <v>20</v>
      </c>
      <c r="D123" s="19" t="n">
        <f aca="false">p_horas_productivas_dia</f>
        <v>8</v>
      </c>
      <c r="E123" s="9" t="n">
        <f aca="false">INDEX('05_RECURSOS'!$E$2:$E$18,MATCH(A123,'05_RECURSOS'!$A$2:$A$18,0))</f>
        <v>1</v>
      </c>
      <c r="F123" s="19" t="n">
        <f aca="false">C123*D123*E123</f>
        <v>160</v>
      </c>
      <c r="G123" s="4" t="s">
        <v>26</v>
      </c>
    </row>
    <row r="124" customFormat="false" ht="15" hidden="false" customHeight="false" outlineLevel="0" collapsed="false">
      <c r="A124" s="4" t="s">
        <v>901</v>
      </c>
      <c r="B124" s="3" t="n">
        <v>3</v>
      </c>
      <c r="C124" s="9" t="n">
        <f aca="false">SUMPRODUCT((MONTH('09_CALENDARIO'!$A$2:$A$397)=B124)*(YEAR('09_CALENDARIO'!$A$2:$A$397)=p_anio_base)*'09_CALENDARIO'!$E$2:$E$397)</f>
        <v>21</v>
      </c>
      <c r="D124" s="19" t="n">
        <f aca="false">p_horas_productivas_dia</f>
        <v>8</v>
      </c>
      <c r="E124" s="9" t="n">
        <f aca="false">INDEX('05_RECURSOS'!$E$2:$E$18,MATCH(A124,'05_RECURSOS'!$A$2:$A$18,0))</f>
        <v>1</v>
      </c>
      <c r="F124" s="19" t="n">
        <f aca="false">C124*D124*E124</f>
        <v>168</v>
      </c>
      <c r="G124" s="4" t="s">
        <v>26</v>
      </c>
    </row>
    <row r="125" customFormat="false" ht="15" hidden="false" customHeight="false" outlineLevel="0" collapsed="false">
      <c r="A125" s="4" t="s">
        <v>901</v>
      </c>
      <c r="B125" s="3" t="n">
        <v>4</v>
      </c>
      <c r="C125" s="9" t="n">
        <f aca="false">SUMPRODUCT((MONTH('09_CALENDARIO'!$A$2:$A$397)=B125)*(YEAR('09_CALENDARIO'!$A$2:$A$397)=p_anio_base)*'09_CALENDARIO'!$E$2:$E$397)</f>
        <v>22</v>
      </c>
      <c r="D125" s="19" t="n">
        <f aca="false">p_horas_productivas_dia</f>
        <v>8</v>
      </c>
      <c r="E125" s="9" t="n">
        <f aca="false">INDEX('05_RECURSOS'!$E$2:$E$18,MATCH(A125,'05_RECURSOS'!$A$2:$A$18,0))</f>
        <v>1</v>
      </c>
      <c r="F125" s="19" t="n">
        <f aca="false">C125*D125*E125</f>
        <v>176</v>
      </c>
      <c r="G125" s="4" t="s">
        <v>26</v>
      </c>
    </row>
    <row r="126" customFormat="false" ht="15" hidden="false" customHeight="false" outlineLevel="0" collapsed="false">
      <c r="A126" s="4" t="s">
        <v>901</v>
      </c>
      <c r="B126" s="3" t="n">
        <v>5</v>
      </c>
      <c r="C126" s="9" t="n">
        <f aca="false">SUMPRODUCT((MONTH('09_CALENDARIO'!$A$2:$A$397)=B126)*(YEAR('09_CALENDARIO'!$A$2:$A$397)=p_anio_base)*'09_CALENDARIO'!$E$2:$E$397)</f>
        <v>22</v>
      </c>
      <c r="D126" s="19" t="n">
        <f aca="false">p_horas_productivas_dia</f>
        <v>8</v>
      </c>
      <c r="E126" s="9" t="n">
        <f aca="false">INDEX('05_RECURSOS'!$E$2:$E$18,MATCH(A126,'05_RECURSOS'!$A$2:$A$18,0))</f>
        <v>1</v>
      </c>
      <c r="F126" s="19" t="n">
        <f aca="false">C126*D126*E126</f>
        <v>176</v>
      </c>
      <c r="G126" s="4" t="s">
        <v>26</v>
      </c>
    </row>
    <row r="127" customFormat="false" ht="15" hidden="false" customHeight="false" outlineLevel="0" collapsed="false">
      <c r="A127" s="4" t="s">
        <v>901</v>
      </c>
      <c r="B127" s="3" t="n">
        <v>6</v>
      </c>
      <c r="C127" s="9" t="n">
        <f aca="false">SUMPRODUCT((MONTH('09_CALENDARIO'!$A$2:$A$397)=B127)*(YEAR('09_CALENDARIO'!$A$2:$A$397)=p_anio_base)*'09_CALENDARIO'!$E$2:$E$397)</f>
        <v>21</v>
      </c>
      <c r="D127" s="19" t="n">
        <f aca="false">p_horas_productivas_dia</f>
        <v>8</v>
      </c>
      <c r="E127" s="9" t="n">
        <f aca="false">INDEX('05_RECURSOS'!$E$2:$E$18,MATCH(A127,'05_RECURSOS'!$A$2:$A$18,0))</f>
        <v>1</v>
      </c>
      <c r="F127" s="19" t="n">
        <f aca="false">C127*D127*E127</f>
        <v>168</v>
      </c>
      <c r="G127" s="4" t="s">
        <v>26</v>
      </c>
    </row>
    <row r="128" customFormat="false" ht="15" hidden="false" customHeight="false" outlineLevel="0" collapsed="false">
      <c r="A128" s="4" t="s">
        <v>901</v>
      </c>
      <c r="B128" s="3" t="n">
        <v>7</v>
      </c>
      <c r="C128" s="9" t="n">
        <f aca="false">SUMPRODUCT((MONTH('09_CALENDARIO'!$A$2:$A$397)=B128)*(YEAR('09_CALENDARIO'!$A$2:$A$397)=p_anio_base)*'09_CALENDARIO'!$E$2:$E$397)</f>
        <v>23</v>
      </c>
      <c r="D128" s="19" t="n">
        <f aca="false">p_horas_productivas_dia</f>
        <v>8</v>
      </c>
      <c r="E128" s="9" t="n">
        <f aca="false">INDEX('05_RECURSOS'!$E$2:$E$18,MATCH(A128,'05_RECURSOS'!$A$2:$A$18,0))</f>
        <v>1</v>
      </c>
      <c r="F128" s="19" t="n">
        <f aca="false">C128*D128*E128</f>
        <v>184</v>
      </c>
      <c r="G128" s="4" t="s">
        <v>26</v>
      </c>
    </row>
    <row r="129" customFormat="false" ht="15" hidden="false" customHeight="false" outlineLevel="0" collapsed="false">
      <c r="A129" s="4" t="s">
        <v>901</v>
      </c>
      <c r="B129" s="3" t="n">
        <v>8</v>
      </c>
      <c r="C129" s="9" t="n">
        <f aca="false">SUMPRODUCT((MONTH('09_CALENDARIO'!$A$2:$A$397)=B129)*(YEAR('09_CALENDARIO'!$A$2:$A$397)=p_anio_base)*'09_CALENDARIO'!$E$2:$E$397)</f>
        <v>21</v>
      </c>
      <c r="D129" s="19" t="n">
        <f aca="false">p_horas_productivas_dia</f>
        <v>8</v>
      </c>
      <c r="E129" s="9" t="n">
        <f aca="false">INDEX('05_RECURSOS'!$E$2:$E$18,MATCH(A129,'05_RECURSOS'!$A$2:$A$18,0))</f>
        <v>1</v>
      </c>
      <c r="F129" s="19" t="n">
        <f aca="false">C129*D129*E129</f>
        <v>168</v>
      </c>
      <c r="G129" s="4" t="s">
        <v>26</v>
      </c>
    </row>
    <row r="130" customFormat="false" ht="15" hidden="false" customHeight="false" outlineLevel="0" collapsed="false">
      <c r="A130" s="4" t="s">
        <v>901</v>
      </c>
      <c r="B130" s="3" t="n">
        <v>9</v>
      </c>
      <c r="C130" s="9" t="n">
        <f aca="false">SUMPRODUCT((MONTH('09_CALENDARIO'!$A$2:$A$397)=B130)*(YEAR('09_CALENDARIO'!$A$2:$A$397)=p_anio_base)*'09_CALENDARIO'!$E$2:$E$397)</f>
        <v>22</v>
      </c>
      <c r="D130" s="19" t="n">
        <f aca="false">p_horas_productivas_dia</f>
        <v>8</v>
      </c>
      <c r="E130" s="9" t="n">
        <f aca="false">INDEX('05_RECURSOS'!$E$2:$E$18,MATCH(A130,'05_RECURSOS'!$A$2:$A$18,0))</f>
        <v>1</v>
      </c>
      <c r="F130" s="19" t="n">
        <f aca="false">C130*D130*E130</f>
        <v>176</v>
      </c>
      <c r="G130" s="4" t="s">
        <v>26</v>
      </c>
    </row>
    <row r="131" customFormat="false" ht="15" hidden="false" customHeight="false" outlineLevel="0" collapsed="false">
      <c r="A131" s="4" t="s">
        <v>901</v>
      </c>
      <c r="B131" s="3" t="n">
        <v>10</v>
      </c>
      <c r="C131" s="9" t="n">
        <f aca="false">SUMPRODUCT((MONTH('09_CALENDARIO'!$A$2:$A$397)=B131)*(YEAR('09_CALENDARIO'!$A$2:$A$397)=p_anio_base)*'09_CALENDARIO'!$E$2:$E$397)</f>
        <v>23</v>
      </c>
      <c r="D131" s="19" t="n">
        <f aca="false">p_horas_productivas_dia</f>
        <v>8</v>
      </c>
      <c r="E131" s="9" t="n">
        <f aca="false">INDEX('05_RECURSOS'!$E$2:$E$18,MATCH(A131,'05_RECURSOS'!$A$2:$A$18,0))</f>
        <v>1</v>
      </c>
      <c r="F131" s="19" t="n">
        <f aca="false">C131*D131*E131</f>
        <v>184</v>
      </c>
      <c r="G131" s="4" t="s">
        <v>26</v>
      </c>
    </row>
    <row r="132" customFormat="false" ht="15" hidden="false" customHeight="false" outlineLevel="0" collapsed="false">
      <c r="A132" s="4" t="s">
        <v>901</v>
      </c>
      <c r="B132" s="3" t="n">
        <v>11</v>
      </c>
      <c r="C132" s="9" t="n">
        <f aca="false">SUMPRODUCT((MONTH('09_CALENDARIO'!$A$2:$A$397)=B132)*(YEAR('09_CALENDARIO'!$A$2:$A$397)=p_anio_base)*'09_CALENDARIO'!$E$2:$E$397)</f>
        <v>20</v>
      </c>
      <c r="D132" s="19" t="n">
        <f aca="false">p_horas_productivas_dia</f>
        <v>8</v>
      </c>
      <c r="E132" s="9" t="n">
        <f aca="false">INDEX('05_RECURSOS'!$E$2:$E$18,MATCH(A132,'05_RECURSOS'!$A$2:$A$18,0))</f>
        <v>1</v>
      </c>
      <c r="F132" s="19" t="n">
        <f aca="false">C132*D132*E132</f>
        <v>160</v>
      </c>
      <c r="G132" s="4" t="s">
        <v>26</v>
      </c>
    </row>
    <row r="133" customFormat="false" ht="15" hidden="false" customHeight="false" outlineLevel="0" collapsed="false">
      <c r="A133" s="4" t="s">
        <v>901</v>
      </c>
      <c r="B133" s="3" t="n">
        <v>12</v>
      </c>
      <c r="C133" s="9" t="n">
        <f aca="false">SUMPRODUCT((MONTH('09_CALENDARIO'!$A$2:$A$397)=B133)*(YEAR('09_CALENDARIO'!$A$2:$A$397)=p_anio_base)*'09_CALENDARIO'!$E$2:$E$397)</f>
        <v>23</v>
      </c>
      <c r="D133" s="19" t="n">
        <f aca="false">p_horas_productivas_dia</f>
        <v>8</v>
      </c>
      <c r="E133" s="9" t="n">
        <f aca="false">INDEX('05_RECURSOS'!$E$2:$E$18,MATCH(A133,'05_RECURSOS'!$A$2:$A$18,0))</f>
        <v>1</v>
      </c>
      <c r="F133" s="19" t="n">
        <f aca="false">C133*D133*E133</f>
        <v>184</v>
      </c>
      <c r="G133" s="4" t="s">
        <v>26</v>
      </c>
    </row>
    <row r="134" customFormat="false" ht="15" hidden="false" customHeight="false" outlineLevel="0" collapsed="false">
      <c r="A134" s="4" t="s">
        <v>903</v>
      </c>
      <c r="B134" s="3" t="n">
        <v>1</v>
      </c>
      <c r="C134" s="9" t="n">
        <f aca="false">SUMPRODUCT((MONTH('09_CALENDARIO'!$A$2:$A$397)=B134)*(YEAR('09_CALENDARIO'!$A$2:$A$397)=p_anio_base)*'09_CALENDARIO'!$E$2:$E$397)</f>
        <v>23</v>
      </c>
      <c r="D134" s="19" t="n">
        <f aca="false">p_horas_productivas_dia</f>
        <v>8</v>
      </c>
      <c r="E134" s="9" t="n">
        <f aca="false">INDEX('05_RECURSOS'!$E$2:$E$18,MATCH(A134,'05_RECURSOS'!$A$2:$A$18,0))</f>
        <v>1</v>
      </c>
      <c r="F134" s="19" t="n">
        <f aca="false">C134*D134*E134</f>
        <v>184</v>
      </c>
      <c r="G134" s="4" t="s">
        <v>26</v>
      </c>
    </row>
    <row r="135" customFormat="false" ht="15" hidden="false" customHeight="false" outlineLevel="0" collapsed="false">
      <c r="A135" s="4" t="s">
        <v>903</v>
      </c>
      <c r="B135" s="3" t="n">
        <v>2</v>
      </c>
      <c r="C135" s="9" t="n">
        <f aca="false">SUMPRODUCT((MONTH('09_CALENDARIO'!$A$2:$A$397)=B135)*(YEAR('09_CALENDARIO'!$A$2:$A$397)=p_anio_base)*'09_CALENDARIO'!$E$2:$E$397)</f>
        <v>20</v>
      </c>
      <c r="D135" s="19" t="n">
        <f aca="false">p_horas_productivas_dia</f>
        <v>8</v>
      </c>
      <c r="E135" s="9" t="n">
        <f aca="false">INDEX('05_RECURSOS'!$E$2:$E$18,MATCH(A135,'05_RECURSOS'!$A$2:$A$18,0))</f>
        <v>1</v>
      </c>
      <c r="F135" s="19" t="n">
        <f aca="false">C135*D135*E135</f>
        <v>160</v>
      </c>
      <c r="G135" s="4" t="s">
        <v>26</v>
      </c>
    </row>
    <row r="136" customFormat="false" ht="15" hidden="false" customHeight="false" outlineLevel="0" collapsed="false">
      <c r="A136" s="4" t="s">
        <v>903</v>
      </c>
      <c r="B136" s="3" t="n">
        <v>3</v>
      </c>
      <c r="C136" s="9" t="n">
        <f aca="false">SUMPRODUCT((MONTH('09_CALENDARIO'!$A$2:$A$397)=B136)*(YEAR('09_CALENDARIO'!$A$2:$A$397)=p_anio_base)*'09_CALENDARIO'!$E$2:$E$397)</f>
        <v>21</v>
      </c>
      <c r="D136" s="19" t="n">
        <f aca="false">p_horas_productivas_dia</f>
        <v>8</v>
      </c>
      <c r="E136" s="9" t="n">
        <f aca="false">INDEX('05_RECURSOS'!$E$2:$E$18,MATCH(A136,'05_RECURSOS'!$A$2:$A$18,0))</f>
        <v>1</v>
      </c>
      <c r="F136" s="19" t="n">
        <f aca="false">C136*D136*E136</f>
        <v>168</v>
      </c>
      <c r="G136" s="4" t="s">
        <v>26</v>
      </c>
    </row>
    <row r="137" customFormat="false" ht="15" hidden="false" customHeight="false" outlineLevel="0" collapsed="false">
      <c r="A137" s="4" t="s">
        <v>903</v>
      </c>
      <c r="B137" s="3" t="n">
        <v>4</v>
      </c>
      <c r="C137" s="9" t="n">
        <f aca="false">SUMPRODUCT((MONTH('09_CALENDARIO'!$A$2:$A$397)=B137)*(YEAR('09_CALENDARIO'!$A$2:$A$397)=p_anio_base)*'09_CALENDARIO'!$E$2:$E$397)</f>
        <v>22</v>
      </c>
      <c r="D137" s="19" t="n">
        <f aca="false">p_horas_productivas_dia</f>
        <v>8</v>
      </c>
      <c r="E137" s="9" t="n">
        <f aca="false">INDEX('05_RECURSOS'!$E$2:$E$18,MATCH(A137,'05_RECURSOS'!$A$2:$A$18,0))</f>
        <v>1</v>
      </c>
      <c r="F137" s="19" t="n">
        <f aca="false">C137*D137*E137</f>
        <v>176</v>
      </c>
      <c r="G137" s="4" t="s">
        <v>26</v>
      </c>
    </row>
    <row r="138" customFormat="false" ht="15" hidden="false" customHeight="false" outlineLevel="0" collapsed="false">
      <c r="A138" s="4" t="s">
        <v>903</v>
      </c>
      <c r="B138" s="3" t="n">
        <v>5</v>
      </c>
      <c r="C138" s="9" t="n">
        <f aca="false">SUMPRODUCT((MONTH('09_CALENDARIO'!$A$2:$A$397)=B138)*(YEAR('09_CALENDARIO'!$A$2:$A$397)=p_anio_base)*'09_CALENDARIO'!$E$2:$E$397)</f>
        <v>22</v>
      </c>
      <c r="D138" s="19" t="n">
        <f aca="false">p_horas_productivas_dia</f>
        <v>8</v>
      </c>
      <c r="E138" s="9" t="n">
        <f aca="false">INDEX('05_RECURSOS'!$E$2:$E$18,MATCH(A138,'05_RECURSOS'!$A$2:$A$18,0))</f>
        <v>1</v>
      </c>
      <c r="F138" s="19" t="n">
        <f aca="false">C138*D138*E138</f>
        <v>176</v>
      </c>
      <c r="G138" s="4" t="s">
        <v>26</v>
      </c>
    </row>
    <row r="139" customFormat="false" ht="15" hidden="false" customHeight="false" outlineLevel="0" collapsed="false">
      <c r="A139" s="4" t="s">
        <v>903</v>
      </c>
      <c r="B139" s="3" t="n">
        <v>6</v>
      </c>
      <c r="C139" s="9" t="n">
        <f aca="false">SUMPRODUCT((MONTH('09_CALENDARIO'!$A$2:$A$397)=B139)*(YEAR('09_CALENDARIO'!$A$2:$A$397)=p_anio_base)*'09_CALENDARIO'!$E$2:$E$397)</f>
        <v>21</v>
      </c>
      <c r="D139" s="19" t="n">
        <f aca="false">p_horas_productivas_dia</f>
        <v>8</v>
      </c>
      <c r="E139" s="9" t="n">
        <f aca="false">INDEX('05_RECURSOS'!$E$2:$E$18,MATCH(A139,'05_RECURSOS'!$A$2:$A$18,0))</f>
        <v>1</v>
      </c>
      <c r="F139" s="19" t="n">
        <f aca="false">C139*D139*E139</f>
        <v>168</v>
      </c>
      <c r="G139" s="4" t="s">
        <v>26</v>
      </c>
    </row>
    <row r="140" customFormat="false" ht="15" hidden="false" customHeight="false" outlineLevel="0" collapsed="false">
      <c r="A140" s="4" t="s">
        <v>903</v>
      </c>
      <c r="B140" s="3" t="n">
        <v>7</v>
      </c>
      <c r="C140" s="9" t="n">
        <f aca="false">SUMPRODUCT((MONTH('09_CALENDARIO'!$A$2:$A$397)=B140)*(YEAR('09_CALENDARIO'!$A$2:$A$397)=p_anio_base)*'09_CALENDARIO'!$E$2:$E$397)</f>
        <v>23</v>
      </c>
      <c r="D140" s="19" t="n">
        <f aca="false">p_horas_productivas_dia</f>
        <v>8</v>
      </c>
      <c r="E140" s="9" t="n">
        <f aca="false">INDEX('05_RECURSOS'!$E$2:$E$18,MATCH(A140,'05_RECURSOS'!$A$2:$A$18,0))</f>
        <v>1</v>
      </c>
      <c r="F140" s="19" t="n">
        <f aca="false">C140*D140*E140</f>
        <v>184</v>
      </c>
      <c r="G140" s="4" t="s">
        <v>26</v>
      </c>
    </row>
    <row r="141" customFormat="false" ht="15" hidden="false" customHeight="false" outlineLevel="0" collapsed="false">
      <c r="A141" s="4" t="s">
        <v>903</v>
      </c>
      <c r="B141" s="3" t="n">
        <v>8</v>
      </c>
      <c r="C141" s="9" t="n">
        <f aca="false">SUMPRODUCT((MONTH('09_CALENDARIO'!$A$2:$A$397)=B141)*(YEAR('09_CALENDARIO'!$A$2:$A$397)=p_anio_base)*'09_CALENDARIO'!$E$2:$E$397)</f>
        <v>21</v>
      </c>
      <c r="D141" s="19" t="n">
        <f aca="false">p_horas_productivas_dia</f>
        <v>8</v>
      </c>
      <c r="E141" s="9" t="n">
        <f aca="false">INDEX('05_RECURSOS'!$E$2:$E$18,MATCH(A141,'05_RECURSOS'!$A$2:$A$18,0))</f>
        <v>1</v>
      </c>
      <c r="F141" s="19" t="n">
        <f aca="false">C141*D141*E141</f>
        <v>168</v>
      </c>
      <c r="G141" s="4" t="s">
        <v>26</v>
      </c>
    </row>
    <row r="142" customFormat="false" ht="15" hidden="false" customHeight="false" outlineLevel="0" collapsed="false">
      <c r="A142" s="4" t="s">
        <v>903</v>
      </c>
      <c r="B142" s="3" t="n">
        <v>9</v>
      </c>
      <c r="C142" s="9" t="n">
        <f aca="false">SUMPRODUCT((MONTH('09_CALENDARIO'!$A$2:$A$397)=B142)*(YEAR('09_CALENDARIO'!$A$2:$A$397)=p_anio_base)*'09_CALENDARIO'!$E$2:$E$397)</f>
        <v>22</v>
      </c>
      <c r="D142" s="19" t="n">
        <f aca="false">p_horas_productivas_dia</f>
        <v>8</v>
      </c>
      <c r="E142" s="9" t="n">
        <f aca="false">INDEX('05_RECURSOS'!$E$2:$E$18,MATCH(A142,'05_RECURSOS'!$A$2:$A$18,0))</f>
        <v>1</v>
      </c>
      <c r="F142" s="19" t="n">
        <f aca="false">C142*D142*E142</f>
        <v>176</v>
      </c>
      <c r="G142" s="4" t="s">
        <v>26</v>
      </c>
    </row>
    <row r="143" customFormat="false" ht="15" hidden="false" customHeight="false" outlineLevel="0" collapsed="false">
      <c r="A143" s="4" t="s">
        <v>903</v>
      </c>
      <c r="B143" s="3" t="n">
        <v>10</v>
      </c>
      <c r="C143" s="9" t="n">
        <f aca="false">SUMPRODUCT((MONTH('09_CALENDARIO'!$A$2:$A$397)=B143)*(YEAR('09_CALENDARIO'!$A$2:$A$397)=p_anio_base)*'09_CALENDARIO'!$E$2:$E$397)</f>
        <v>23</v>
      </c>
      <c r="D143" s="19" t="n">
        <f aca="false">p_horas_productivas_dia</f>
        <v>8</v>
      </c>
      <c r="E143" s="9" t="n">
        <f aca="false">INDEX('05_RECURSOS'!$E$2:$E$18,MATCH(A143,'05_RECURSOS'!$A$2:$A$18,0))</f>
        <v>1</v>
      </c>
      <c r="F143" s="19" t="n">
        <f aca="false">C143*D143*E143</f>
        <v>184</v>
      </c>
      <c r="G143" s="4" t="s">
        <v>26</v>
      </c>
    </row>
    <row r="144" customFormat="false" ht="15" hidden="false" customHeight="false" outlineLevel="0" collapsed="false">
      <c r="A144" s="4" t="s">
        <v>903</v>
      </c>
      <c r="B144" s="3" t="n">
        <v>11</v>
      </c>
      <c r="C144" s="9" t="n">
        <f aca="false">SUMPRODUCT((MONTH('09_CALENDARIO'!$A$2:$A$397)=B144)*(YEAR('09_CALENDARIO'!$A$2:$A$397)=p_anio_base)*'09_CALENDARIO'!$E$2:$E$397)</f>
        <v>20</v>
      </c>
      <c r="D144" s="19" t="n">
        <f aca="false">p_horas_productivas_dia</f>
        <v>8</v>
      </c>
      <c r="E144" s="9" t="n">
        <f aca="false">INDEX('05_RECURSOS'!$E$2:$E$18,MATCH(A144,'05_RECURSOS'!$A$2:$A$18,0))</f>
        <v>1</v>
      </c>
      <c r="F144" s="19" t="n">
        <f aca="false">C144*D144*E144</f>
        <v>160</v>
      </c>
      <c r="G144" s="4" t="s">
        <v>26</v>
      </c>
    </row>
    <row r="145" customFormat="false" ht="15" hidden="false" customHeight="false" outlineLevel="0" collapsed="false">
      <c r="A145" s="4" t="s">
        <v>903</v>
      </c>
      <c r="B145" s="3" t="n">
        <v>12</v>
      </c>
      <c r="C145" s="9" t="n">
        <f aca="false">SUMPRODUCT((MONTH('09_CALENDARIO'!$A$2:$A$397)=B145)*(YEAR('09_CALENDARIO'!$A$2:$A$397)=p_anio_base)*'09_CALENDARIO'!$E$2:$E$397)</f>
        <v>23</v>
      </c>
      <c r="D145" s="19" t="n">
        <f aca="false">p_horas_productivas_dia</f>
        <v>8</v>
      </c>
      <c r="E145" s="9" t="n">
        <f aca="false">INDEX('05_RECURSOS'!$E$2:$E$18,MATCH(A145,'05_RECURSOS'!$A$2:$A$18,0))</f>
        <v>1</v>
      </c>
      <c r="F145" s="19" t="n">
        <f aca="false">C145*D145*E145</f>
        <v>184</v>
      </c>
      <c r="G145" s="4" t="s">
        <v>26</v>
      </c>
    </row>
    <row r="146" customFormat="false" ht="15" hidden="false" customHeight="false" outlineLevel="0" collapsed="false">
      <c r="A146" s="4" t="s">
        <v>905</v>
      </c>
      <c r="B146" s="3" t="n">
        <v>1</v>
      </c>
      <c r="C146" s="9" t="n">
        <f aca="false">SUMPRODUCT((MONTH('09_CALENDARIO'!$A$2:$A$397)=B146)*(YEAR('09_CALENDARIO'!$A$2:$A$397)=p_anio_base)*'09_CALENDARIO'!$E$2:$E$397)</f>
        <v>23</v>
      </c>
      <c r="D146" s="19" t="n">
        <f aca="false">p_horas_productivas_dia</f>
        <v>8</v>
      </c>
      <c r="E146" s="9" t="n">
        <f aca="false">INDEX('05_RECURSOS'!$E$2:$E$18,MATCH(A146,'05_RECURSOS'!$A$2:$A$18,0))</f>
        <v>1</v>
      </c>
      <c r="F146" s="19" t="n">
        <f aca="false">C146*D146*E146</f>
        <v>184</v>
      </c>
      <c r="G146" s="4" t="s">
        <v>26</v>
      </c>
    </row>
    <row r="147" customFormat="false" ht="15" hidden="false" customHeight="false" outlineLevel="0" collapsed="false">
      <c r="A147" s="4" t="s">
        <v>905</v>
      </c>
      <c r="B147" s="3" t="n">
        <v>2</v>
      </c>
      <c r="C147" s="9" t="n">
        <f aca="false">SUMPRODUCT((MONTH('09_CALENDARIO'!$A$2:$A$397)=B147)*(YEAR('09_CALENDARIO'!$A$2:$A$397)=p_anio_base)*'09_CALENDARIO'!$E$2:$E$397)</f>
        <v>20</v>
      </c>
      <c r="D147" s="19" t="n">
        <f aca="false">p_horas_productivas_dia</f>
        <v>8</v>
      </c>
      <c r="E147" s="9" t="n">
        <f aca="false">INDEX('05_RECURSOS'!$E$2:$E$18,MATCH(A147,'05_RECURSOS'!$A$2:$A$18,0))</f>
        <v>1</v>
      </c>
      <c r="F147" s="19" t="n">
        <f aca="false">C147*D147*E147</f>
        <v>160</v>
      </c>
      <c r="G147" s="4" t="s">
        <v>26</v>
      </c>
    </row>
    <row r="148" customFormat="false" ht="15" hidden="false" customHeight="false" outlineLevel="0" collapsed="false">
      <c r="A148" s="4" t="s">
        <v>905</v>
      </c>
      <c r="B148" s="3" t="n">
        <v>3</v>
      </c>
      <c r="C148" s="9" t="n">
        <f aca="false">SUMPRODUCT((MONTH('09_CALENDARIO'!$A$2:$A$397)=B148)*(YEAR('09_CALENDARIO'!$A$2:$A$397)=p_anio_base)*'09_CALENDARIO'!$E$2:$E$397)</f>
        <v>21</v>
      </c>
      <c r="D148" s="19" t="n">
        <f aca="false">p_horas_productivas_dia</f>
        <v>8</v>
      </c>
      <c r="E148" s="9" t="n">
        <f aca="false">INDEX('05_RECURSOS'!$E$2:$E$18,MATCH(A148,'05_RECURSOS'!$A$2:$A$18,0))</f>
        <v>1</v>
      </c>
      <c r="F148" s="19" t="n">
        <f aca="false">C148*D148*E148</f>
        <v>168</v>
      </c>
      <c r="G148" s="4" t="s">
        <v>26</v>
      </c>
    </row>
    <row r="149" customFormat="false" ht="15" hidden="false" customHeight="false" outlineLevel="0" collapsed="false">
      <c r="A149" s="4" t="s">
        <v>905</v>
      </c>
      <c r="B149" s="3" t="n">
        <v>4</v>
      </c>
      <c r="C149" s="9" t="n">
        <f aca="false">SUMPRODUCT((MONTH('09_CALENDARIO'!$A$2:$A$397)=B149)*(YEAR('09_CALENDARIO'!$A$2:$A$397)=p_anio_base)*'09_CALENDARIO'!$E$2:$E$397)</f>
        <v>22</v>
      </c>
      <c r="D149" s="19" t="n">
        <f aca="false">p_horas_productivas_dia</f>
        <v>8</v>
      </c>
      <c r="E149" s="9" t="n">
        <f aca="false">INDEX('05_RECURSOS'!$E$2:$E$18,MATCH(A149,'05_RECURSOS'!$A$2:$A$18,0))</f>
        <v>1</v>
      </c>
      <c r="F149" s="19" t="n">
        <f aca="false">C149*D149*E149</f>
        <v>176</v>
      </c>
      <c r="G149" s="4" t="s">
        <v>26</v>
      </c>
    </row>
    <row r="150" customFormat="false" ht="15" hidden="false" customHeight="false" outlineLevel="0" collapsed="false">
      <c r="A150" s="4" t="s">
        <v>905</v>
      </c>
      <c r="B150" s="3" t="n">
        <v>5</v>
      </c>
      <c r="C150" s="9" t="n">
        <f aca="false">SUMPRODUCT((MONTH('09_CALENDARIO'!$A$2:$A$397)=B150)*(YEAR('09_CALENDARIO'!$A$2:$A$397)=p_anio_base)*'09_CALENDARIO'!$E$2:$E$397)</f>
        <v>22</v>
      </c>
      <c r="D150" s="19" t="n">
        <f aca="false">p_horas_productivas_dia</f>
        <v>8</v>
      </c>
      <c r="E150" s="9" t="n">
        <f aca="false">INDEX('05_RECURSOS'!$E$2:$E$18,MATCH(A150,'05_RECURSOS'!$A$2:$A$18,0))</f>
        <v>1</v>
      </c>
      <c r="F150" s="19" t="n">
        <f aca="false">C150*D150*E150</f>
        <v>176</v>
      </c>
      <c r="G150" s="4" t="s">
        <v>26</v>
      </c>
    </row>
    <row r="151" customFormat="false" ht="15" hidden="false" customHeight="false" outlineLevel="0" collapsed="false">
      <c r="A151" s="4" t="s">
        <v>905</v>
      </c>
      <c r="B151" s="3" t="n">
        <v>6</v>
      </c>
      <c r="C151" s="9" t="n">
        <f aca="false">SUMPRODUCT((MONTH('09_CALENDARIO'!$A$2:$A$397)=B151)*(YEAR('09_CALENDARIO'!$A$2:$A$397)=p_anio_base)*'09_CALENDARIO'!$E$2:$E$397)</f>
        <v>21</v>
      </c>
      <c r="D151" s="19" t="n">
        <f aca="false">p_horas_productivas_dia</f>
        <v>8</v>
      </c>
      <c r="E151" s="9" t="n">
        <f aca="false">INDEX('05_RECURSOS'!$E$2:$E$18,MATCH(A151,'05_RECURSOS'!$A$2:$A$18,0))</f>
        <v>1</v>
      </c>
      <c r="F151" s="19" t="n">
        <f aca="false">C151*D151*E151</f>
        <v>168</v>
      </c>
      <c r="G151" s="4" t="s">
        <v>26</v>
      </c>
    </row>
    <row r="152" customFormat="false" ht="15" hidden="false" customHeight="false" outlineLevel="0" collapsed="false">
      <c r="A152" s="4" t="s">
        <v>905</v>
      </c>
      <c r="B152" s="3" t="n">
        <v>7</v>
      </c>
      <c r="C152" s="9" t="n">
        <f aca="false">SUMPRODUCT((MONTH('09_CALENDARIO'!$A$2:$A$397)=B152)*(YEAR('09_CALENDARIO'!$A$2:$A$397)=p_anio_base)*'09_CALENDARIO'!$E$2:$E$397)</f>
        <v>23</v>
      </c>
      <c r="D152" s="19" t="n">
        <f aca="false">p_horas_productivas_dia</f>
        <v>8</v>
      </c>
      <c r="E152" s="9" t="n">
        <f aca="false">INDEX('05_RECURSOS'!$E$2:$E$18,MATCH(A152,'05_RECURSOS'!$A$2:$A$18,0))</f>
        <v>1</v>
      </c>
      <c r="F152" s="19" t="n">
        <f aca="false">C152*D152*E152</f>
        <v>184</v>
      </c>
      <c r="G152" s="4" t="s">
        <v>26</v>
      </c>
    </row>
    <row r="153" customFormat="false" ht="15" hidden="false" customHeight="false" outlineLevel="0" collapsed="false">
      <c r="A153" s="4" t="s">
        <v>905</v>
      </c>
      <c r="B153" s="3" t="n">
        <v>8</v>
      </c>
      <c r="C153" s="9" t="n">
        <f aca="false">SUMPRODUCT((MONTH('09_CALENDARIO'!$A$2:$A$397)=B153)*(YEAR('09_CALENDARIO'!$A$2:$A$397)=p_anio_base)*'09_CALENDARIO'!$E$2:$E$397)</f>
        <v>21</v>
      </c>
      <c r="D153" s="19" t="n">
        <f aca="false">p_horas_productivas_dia</f>
        <v>8</v>
      </c>
      <c r="E153" s="9" t="n">
        <f aca="false">INDEX('05_RECURSOS'!$E$2:$E$18,MATCH(A153,'05_RECURSOS'!$A$2:$A$18,0))</f>
        <v>1</v>
      </c>
      <c r="F153" s="19" t="n">
        <f aca="false">C153*D153*E153</f>
        <v>168</v>
      </c>
      <c r="G153" s="4" t="s">
        <v>26</v>
      </c>
    </row>
    <row r="154" customFormat="false" ht="15" hidden="false" customHeight="false" outlineLevel="0" collapsed="false">
      <c r="A154" s="4" t="s">
        <v>905</v>
      </c>
      <c r="B154" s="3" t="n">
        <v>9</v>
      </c>
      <c r="C154" s="9" t="n">
        <f aca="false">SUMPRODUCT((MONTH('09_CALENDARIO'!$A$2:$A$397)=B154)*(YEAR('09_CALENDARIO'!$A$2:$A$397)=p_anio_base)*'09_CALENDARIO'!$E$2:$E$397)</f>
        <v>22</v>
      </c>
      <c r="D154" s="19" t="n">
        <f aca="false">p_horas_productivas_dia</f>
        <v>8</v>
      </c>
      <c r="E154" s="9" t="n">
        <f aca="false">INDEX('05_RECURSOS'!$E$2:$E$18,MATCH(A154,'05_RECURSOS'!$A$2:$A$18,0))</f>
        <v>1</v>
      </c>
      <c r="F154" s="19" t="n">
        <f aca="false">C154*D154*E154</f>
        <v>176</v>
      </c>
      <c r="G154" s="4" t="s">
        <v>26</v>
      </c>
    </row>
    <row r="155" customFormat="false" ht="15" hidden="false" customHeight="false" outlineLevel="0" collapsed="false">
      <c r="A155" s="4" t="s">
        <v>905</v>
      </c>
      <c r="B155" s="3" t="n">
        <v>10</v>
      </c>
      <c r="C155" s="9" t="n">
        <f aca="false">SUMPRODUCT((MONTH('09_CALENDARIO'!$A$2:$A$397)=B155)*(YEAR('09_CALENDARIO'!$A$2:$A$397)=p_anio_base)*'09_CALENDARIO'!$E$2:$E$397)</f>
        <v>23</v>
      </c>
      <c r="D155" s="19" t="n">
        <f aca="false">p_horas_productivas_dia</f>
        <v>8</v>
      </c>
      <c r="E155" s="9" t="n">
        <f aca="false">INDEX('05_RECURSOS'!$E$2:$E$18,MATCH(A155,'05_RECURSOS'!$A$2:$A$18,0))</f>
        <v>1</v>
      </c>
      <c r="F155" s="19" t="n">
        <f aca="false">C155*D155*E155</f>
        <v>184</v>
      </c>
      <c r="G155" s="4" t="s">
        <v>26</v>
      </c>
    </row>
    <row r="156" customFormat="false" ht="15" hidden="false" customHeight="false" outlineLevel="0" collapsed="false">
      <c r="A156" s="4" t="s">
        <v>905</v>
      </c>
      <c r="B156" s="3" t="n">
        <v>11</v>
      </c>
      <c r="C156" s="9" t="n">
        <f aca="false">SUMPRODUCT((MONTH('09_CALENDARIO'!$A$2:$A$397)=B156)*(YEAR('09_CALENDARIO'!$A$2:$A$397)=p_anio_base)*'09_CALENDARIO'!$E$2:$E$397)</f>
        <v>20</v>
      </c>
      <c r="D156" s="19" t="n">
        <f aca="false">p_horas_productivas_dia</f>
        <v>8</v>
      </c>
      <c r="E156" s="9" t="n">
        <f aca="false">INDEX('05_RECURSOS'!$E$2:$E$18,MATCH(A156,'05_RECURSOS'!$A$2:$A$18,0))</f>
        <v>1</v>
      </c>
      <c r="F156" s="19" t="n">
        <f aca="false">C156*D156*E156</f>
        <v>160</v>
      </c>
      <c r="G156" s="4" t="s">
        <v>26</v>
      </c>
    </row>
    <row r="157" customFormat="false" ht="15" hidden="false" customHeight="false" outlineLevel="0" collapsed="false">
      <c r="A157" s="4" t="s">
        <v>905</v>
      </c>
      <c r="B157" s="3" t="n">
        <v>12</v>
      </c>
      <c r="C157" s="9" t="n">
        <f aca="false">SUMPRODUCT((MONTH('09_CALENDARIO'!$A$2:$A$397)=B157)*(YEAR('09_CALENDARIO'!$A$2:$A$397)=p_anio_base)*'09_CALENDARIO'!$E$2:$E$397)</f>
        <v>23</v>
      </c>
      <c r="D157" s="19" t="n">
        <f aca="false">p_horas_productivas_dia</f>
        <v>8</v>
      </c>
      <c r="E157" s="9" t="n">
        <f aca="false">INDEX('05_RECURSOS'!$E$2:$E$18,MATCH(A157,'05_RECURSOS'!$A$2:$A$18,0))</f>
        <v>1</v>
      </c>
      <c r="F157" s="19" t="n">
        <f aca="false">C157*D157*E157</f>
        <v>184</v>
      </c>
      <c r="G157" s="4" t="s">
        <v>26</v>
      </c>
    </row>
    <row r="158" customFormat="false" ht="15" hidden="false" customHeight="false" outlineLevel="0" collapsed="false">
      <c r="A158" s="4" t="s">
        <v>907</v>
      </c>
      <c r="B158" s="3" t="n">
        <v>1</v>
      </c>
      <c r="C158" s="9" t="n">
        <f aca="false">SUMPRODUCT((MONTH('09_CALENDARIO'!$A$2:$A$397)=B158)*(YEAR('09_CALENDARIO'!$A$2:$A$397)=p_anio_base)*'09_CALENDARIO'!$E$2:$E$397)</f>
        <v>23</v>
      </c>
      <c r="D158" s="19" t="n">
        <f aca="false">p_horas_productivas_dia</f>
        <v>8</v>
      </c>
      <c r="E158" s="9" t="n">
        <f aca="false">INDEX('05_RECURSOS'!$E$2:$E$18,MATCH(A158,'05_RECURSOS'!$A$2:$A$18,0))</f>
        <v>0</v>
      </c>
      <c r="F158" s="19" t="n">
        <f aca="false">C158*D158*E158</f>
        <v>0</v>
      </c>
      <c r="G158" s="4" t="s">
        <v>26</v>
      </c>
    </row>
    <row r="159" customFormat="false" ht="15" hidden="false" customHeight="false" outlineLevel="0" collapsed="false">
      <c r="A159" s="4" t="s">
        <v>907</v>
      </c>
      <c r="B159" s="3" t="n">
        <v>2</v>
      </c>
      <c r="C159" s="9" t="n">
        <f aca="false">SUMPRODUCT((MONTH('09_CALENDARIO'!$A$2:$A$397)=B159)*(YEAR('09_CALENDARIO'!$A$2:$A$397)=p_anio_base)*'09_CALENDARIO'!$E$2:$E$397)</f>
        <v>20</v>
      </c>
      <c r="D159" s="19" t="n">
        <f aca="false">p_horas_productivas_dia</f>
        <v>8</v>
      </c>
      <c r="E159" s="9" t="n">
        <f aca="false">INDEX('05_RECURSOS'!$E$2:$E$18,MATCH(A159,'05_RECURSOS'!$A$2:$A$18,0))</f>
        <v>0</v>
      </c>
      <c r="F159" s="19" t="n">
        <f aca="false">C159*D159*E159</f>
        <v>0</v>
      </c>
      <c r="G159" s="4" t="s">
        <v>26</v>
      </c>
    </row>
    <row r="160" customFormat="false" ht="15" hidden="false" customHeight="false" outlineLevel="0" collapsed="false">
      <c r="A160" s="4" t="s">
        <v>907</v>
      </c>
      <c r="B160" s="3" t="n">
        <v>3</v>
      </c>
      <c r="C160" s="9" t="n">
        <f aca="false">SUMPRODUCT((MONTH('09_CALENDARIO'!$A$2:$A$397)=B160)*(YEAR('09_CALENDARIO'!$A$2:$A$397)=p_anio_base)*'09_CALENDARIO'!$E$2:$E$397)</f>
        <v>21</v>
      </c>
      <c r="D160" s="19" t="n">
        <f aca="false">p_horas_productivas_dia</f>
        <v>8</v>
      </c>
      <c r="E160" s="9" t="n">
        <f aca="false">INDEX('05_RECURSOS'!$E$2:$E$18,MATCH(A160,'05_RECURSOS'!$A$2:$A$18,0))</f>
        <v>0</v>
      </c>
      <c r="F160" s="19" t="n">
        <f aca="false">C160*D160*E160</f>
        <v>0</v>
      </c>
      <c r="G160" s="4" t="s">
        <v>26</v>
      </c>
    </row>
    <row r="161" customFormat="false" ht="15" hidden="false" customHeight="false" outlineLevel="0" collapsed="false">
      <c r="A161" s="4" t="s">
        <v>907</v>
      </c>
      <c r="B161" s="3" t="n">
        <v>4</v>
      </c>
      <c r="C161" s="9" t="n">
        <f aca="false">SUMPRODUCT((MONTH('09_CALENDARIO'!$A$2:$A$397)=B161)*(YEAR('09_CALENDARIO'!$A$2:$A$397)=p_anio_base)*'09_CALENDARIO'!$E$2:$E$397)</f>
        <v>22</v>
      </c>
      <c r="D161" s="19" t="n">
        <f aca="false">p_horas_productivas_dia</f>
        <v>8</v>
      </c>
      <c r="E161" s="9" t="n">
        <f aca="false">INDEX('05_RECURSOS'!$E$2:$E$18,MATCH(A161,'05_RECURSOS'!$A$2:$A$18,0))</f>
        <v>0</v>
      </c>
      <c r="F161" s="19" t="n">
        <f aca="false">C161*D161*E161</f>
        <v>0</v>
      </c>
      <c r="G161" s="4" t="s">
        <v>26</v>
      </c>
    </row>
    <row r="162" customFormat="false" ht="15" hidden="false" customHeight="false" outlineLevel="0" collapsed="false">
      <c r="A162" s="4" t="s">
        <v>907</v>
      </c>
      <c r="B162" s="3" t="n">
        <v>5</v>
      </c>
      <c r="C162" s="9" t="n">
        <f aca="false">SUMPRODUCT((MONTH('09_CALENDARIO'!$A$2:$A$397)=B162)*(YEAR('09_CALENDARIO'!$A$2:$A$397)=p_anio_base)*'09_CALENDARIO'!$E$2:$E$397)</f>
        <v>22</v>
      </c>
      <c r="D162" s="19" t="n">
        <f aca="false">p_horas_productivas_dia</f>
        <v>8</v>
      </c>
      <c r="E162" s="9" t="n">
        <f aca="false">INDEX('05_RECURSOS'!$E$2:$E$18,MATCH(A162,'05_RECURSOS'!$A$2:$A$18,0))</f>
        <v>0</v>
      </c>
      <c r="F162" s="19" t="n">
        <f aca="false">C162*D162*E162</f>
        <v>0</v>
      </c>
      <c r="G162" s="4" t="s">
        <v>26</v>
      </c>
    </row>
    <row r="163" customFormat="false" ht="15" hidden="false" customHeight="false" outlineLevel="0" collapsed="false">
      <c r="A163" s="4" t="s">
        <v>907</v>
      </c>
      <c r="B163" s="3" t="n">
        <v>6</v>
      </c>
      <c r="C163" s="9" t="n">
        <f aca="false">SUMPRODUCT((MONTH('09_CALENDARIO'!$A$2:$A$397)=B163)*(YEAR('09_CALENDARIO'!$A$2:$A$397)=p_anio_base)*'09_CALENDARIO'!$E$2:$E$397)</f>
        <v>21</v>
      </c>
      <c r="D163" s="19" t="n">
        <f aca="false">p_horas_productivas_dia</f>
        <v>8</v>
      </c>
      <c r="E163" s="9" t="n">
        <f aca="false">INDEX('05_RECURSOS'!$E$2:$E$18,MATCH(A163,'05_RECURSOS'!$A$2:$A$18,0))</f>
        <v>0</v>
      </c>
      <c r="F163" s="19" t="n">
        <f aca="false">C163*D163*E163</f>
        <v>0</v>
      </c>
      <c r="G163" s="4" t="s">
        <v>26</v>
      </c>
    </row>
    <row r="164" customFormat="false" ht="15" hidden="false" customHeight="false" outlineLevel="0" collapsed="false">
      <c r="A164" s="4" t="s">
        <v>907</v>
      </c>
      <c r="B164" s="3" t="n">
        <v>7</v>
      </c>
      <c r="C164" s="9" t="n">
        <f aca="false">SUMPRODUCT((MONTH('09_CALENDARIO'!$A$2:$A$397)=B164)*(YEAR('09_CALENDARIO'!$A$2:$A$397)=p_anio_base)*'09_CALENDARIO'!$E$2:$E$397)</f>
        <v>23</v>
      </c>
      <c r="D164" s="19" t="n">
        <f aca="false">p_horas_productivas_dia</f>
        <v>8</v>
      </c>
      <c r="E164" s="9" t="n">
        <f aca="false">INDEX('05_RECURSOS'!$E$2:$E$18,MATCH(A164,'05_RECURSOS'!$A$2:$A$18,0))</f>
        <v>0</v>
      </c>
      <c r="F164" s="19" t="n">
        <f aca="false">C164*D164*E164</f>
        <v>0</v>
      </c>
      <c r="G164" s="4" t="s">
        <v>26</v>
      </c>
    </row>
    <row r="165" customFormat="false" ht="15" hidden="false" customHeight="false" outlineLevel="0" collapsed="false">
      <c r="A165" s="4" t="s">
        <v>907</v>
      </c>
      <c r="B165" s="3" t="n">
        <v>8</v>
      </c>
      <c r="C165" s="9" t="n">
        <f aca="false">SUMPRODUCT((MONTH('09_CALENDARIO'!$A$2:$A$397)=B165)*(YEAR('09_CALENDARIO'!$A$2:$A$397)=p_anio_base)*'09_CALENDARIO'!$E$2:$E$397)</f>
        <v>21</v>
      </c>
      <c r="D165" s="19" t="n">
        <f aca="false">p_horas_productivas_dia</f>
        <v>8</v>
      </c>
      <c r="E165" s="9" t="n">
        <f aca="false">INDEX('05_RECURSOS'!$E$2:$E$18,MATCH(A165,'05_RECURSOS'!$A$2:$A$18,0))</f>
        <v>0</v>
      </c>
      <c r="F165" s="19" t="n">
        <f aca="false">C165*D165*E165</f>
        <v>0</v>
      </c>
      <c r="G165" s="4" t="s">
        <v>26</v>
      </c>
    </row>
    <row r="166" customFormat="false" ht="15" hidden="false" customHeight="false" outlineLevel="0" collapsed="false">
      <c r="A166" s="4" t="s">
        <v>907</v>
      </c>
      <c r="B166" s="3" t="n">
        <v>9</v>
      </c>
      <c r="C166" s="9" t="n">
        <f aca="false">SUMPRODUCT((MONTH('09_CALENDARIO'!$A$2:$A$397)=B166)*(YEAR('09_CALENDARIO'!$A$2:$A$397)=p_anio_base)*'09_CALENDARIO'!$E$2:$E$397)</f>
        <v>22</v>
      </c>
      <c r="D166" s="19" t="n">
        <f aca="false">p_horas_productivas_dia</f>
        <v>8</v>
      </c>
      <c r="E166" s="9" t="n">
        <f aca="false">INDEX('05_RECURSOS'!$E$2:$E$18,MATCH(A166,'05_RECURSOS'!$A$2:$A$18,0))</f>
        <v>0</v>
      </c>
      <c r="F166" s="19" t="n">
        <f aca="false">C166*D166*E166</f>
        <v>0</v>
      </c>
      <c r="G166" s="4" t="s">
        <v>26</v>
      </c>
    </row>
    <row r="167" customFormat="false" ht="15" hidden="false" customHeight="false" outlineLevel="0" collapsed="false">
      <c r="A167" s="4" t="s">
        <v>907</v>
      </c>
      <c r="B167" s="3" t="n">
        <v>10</v>
      </c>
      <c r="C167" s="9" t="n">
        <f aca="false">SUMPRODUCT((MONTH('09_CALENDARIO'!$A$2:$A$397)=B167)*(YEAR('09_CALENDARIO'!$A$2:$A$397)=p_anio_base)*'09_CALENDARIO'!$E$2:$E$397)</f>
        <v>23</v>
      </c>
      <c r="D167" s="19" t="n">
        <f aca="false">p_horas_productivas_dia</f>
        <v>8</v>
      </c>
      <c r="E167" s="9" t="n">
        <f aca="false">INDEX('05_RECURSOS'!$E$2:$E$18,MATCH(A167,'05_RECURSOS'!$A$2:$A$18,0))</f>
        <v>0</v>
      </c>
      <c r="F167" s="19" t="n">
        <f aca="false">C167*D167*E167</f>
        <v>0</v>
      </c>
      <c r="G167" s="4" t="s">
        <v>26</v>
      </c>
    </row>
    <row r="168" customFormat="false" ht="15" hidden="false" customHeight="false" outlineLevel="0" collapsed="false">
      <c r="A168" s="4" t="s">
        <v>907</v>
      </c>
      <c r="B168" s="3" t="n">
        <v>11</v>
      </c>
      <c r="C168" s="9" t="n">
        <f aca="false">SUMPRODUCT((MONTH('09_CALENDARIO'!$A$2:$A$397)=B168)*(YEAR('09_CALENDARIO'!$A$2:$A$397)=p_anio_base)*'09_CALENDARIO'!$E$2:$E$397)</f>
        <v>20</v>
      </c>
      <c r="D168" s="19" t="n">
        <f aca="false">p_horas_productivas_dia</f>
        <v>8</v>
      </c>
      <c r="E168" s="9" t="n">
        <f aca="false">INDEX('05_RECURSOS'!$E$2:$E$18,MATCH(A168,'05_RECURSOS'!$A$2:$A$18,0))</f>
        <v>0</v>
      </c>
      <c r="F168" s="19" t="n">
        <f aca="false">C168*D168*E168</f>
        <v>0</v>
      </c>
      <c r="G168" s="4" t="s">
        <v>26</v>
      </c>
    </row>
    <row r="169" customFormat="false" ht="15" hidden="false" customHeight="false" outlineLevel="0" collapsed="false">
      <c r="A169" s="4" t="s">
        <v>907</v>
      </c>
      <c r="B169" s="3" t="n">
        <v>12</v>
      </c>
      <c r="C169" s="9" t="n">
        <f aca="false">SUMPRODUCT((MONTH('09_CALENDARIO'!$A$2:$A$397)=B169)*(YEAR('09_CALENDARIO'!$A$2:$A$397)=p_anio_base)*'09_CALENDARIO'!$E$2:$E$397)</f>
        <v>23</v>
      </c>
      <c r="D169" s="19" t="n">
        <f aca="false">p_horas_productivas_dia</f>
        <v>8</v>
      </c>
      <c r="E169" s="9" t="n">
        <f aca="false">INDEX('05_RECURSOS'!$E$2:$E$18,MATCH(A169,'05_RECURSOS'!$A$2:$A$18,0))</f>
        <v>0</v>
      </c>
      <c r="F169" s="19" t="n">
        <f aca="false">C169*D169*E169</f>
        <v>0</v>
      </c>
      <c r="G169" s="4" t="s">
        <v>26</v>
      </c>
    </row>
    <row r="170" customFormat="false" ht="15" hidden="false" customHeight="false" outlineLevel="0" collapsed="false">
      <c r="A170" s="4" t="s">
        <v>911</v>
      </c>
      <c r="B170" s="3" t="n">
        <v>1</v>
      </c>
      <c r="C170" s="9" t="n">
        <f aca="false">SUMPRODUCT((MONTH('09_CALENDARIO'!$A$2:$A$397)=B170)*(YEAR('09_CALENDARIO'!$A$2:$A$397)=p_anio_base)*'09_CALENDARIO'!$E$2:$E$397)</f>
        <v>23</v>
      </c>
      <c r="D170" s="19" t="n">
        <f aca="false">p_horas_productivas_dia</f>
        <v>8</v>
      </c>
      <c r="E170" s="9" t="n">
        <f aca="false">INDEX('05_RECURSOS'!$E$2:$E$18,MATCH(A170,'05_RECURSOS'!$A$2:$A$18,0))</f>
        <v>1</v>
      </c>
      <c r="F170" s="19" t="n">
        <f aca="false">C170*D170*E170</f>
        <v>184</v>
      </c>
      <c r="G170" s="4" t="s">
        <v>26</v>
      </c>
    </row>
    <row r="171" customFormat="false" ht="15" hidden="false" customHeight="false" outlineLevel="0" collapsed="false">
      <c r="A171" s="4" t="s">
        <v>911</v>
      </c>
      <c r="B171" s="3" t="n">
        <v>2</v>
      </c>
      <c r="C171" s="9" t="n">
        <f aca="false">SUMPRODUCT((MONTH('09_CALENDARIO'!$A$2:$A$397)=B171)*(YEAR('09_CALENDARIO'!$A$2:$A$397)=p_anio_base)*'09_CALENDARIO'!$E$2:$E$397)</f>
        <v>20</v>
      </c>
      <c r="D171" s="19" t="n">
        <f aca="false">p_horas_productivas_dia</f>
        <v>8</v>
      </c>
      <c r="E171" s="9" t="n">
        <f aca="false">INDEX('05_RECURSOS'!$E$2:$E$18,MATCH(A171,'05_RECURSOS'!$A$2:$A$18,0))</f>
        <v>1</v>
      </c>
      <c r="F171" s="19" t="n">
        <f aca="false">C171*D171*E171</f>
        <v>160</v>
      </c>
      <c r="G171" s="4" t="s">
        <v>26</v>
      </c>
    </row>
    <row r="172" customFormat="false" ht="15" hidden="false" customHeight="false" outlineLevel="0" collapsed="false">
      <c r="A172" s="4" t="s">
        <v>911</v>
      </c>
      <c r="B172" s="3" t="n">
        <v>3</v>
      </c>
      <c r="C172" s="9" t="n">
        <f aca="false">SUMPRODUCT((MONTH('09_CALENDARIO'!$A$2:$A$397)=B172)*(YEAR('09_CALENDARIO'!$A$2:$A$397)=p_anio_base)*'09_CALENDARIO'!$E$2:$E$397)</f>
        <v>21</v>
      </c>
      <c r="D172" s="19" t="n">
        <f aca="false">p_horas_productivas_dia</f>
        <v>8</v>
      </c>
      <c r="E172" s="9" t="n">
        <f aca="false">INDEX('05_RECURSOS'!$E$2:$E$18,MATCH(A172,'05_RECURSOS'!$A$2:$A$18,0))</f>
        <v>1</v>
      </c>
      <c r="F172" s="19" t="n">
        <f aca="false">C172*D172*E172</f>
        <v>168</v>
      </c>
      <c r="G172" s="4" t="s">
        <v>26</v>
      </c>
    </row>
    <row r="173" customFormat="false" ht="15" hidden="false" customHeight="false" outlineLevel="0" collapsed="false">
      <c r="A173" s="4" t="s">
        <v>911</v>
      </c>
      <c r="B173" s="3" t="n">
        <v>4</v>
      </c>
      <c r="C173" s="9" t="n">
        <f aca="false">SUMPRODUCT((MONTH('09_CALENDARIO'!$A$2:$A$397)=B173)*(YEAR('09_CALENDARIO'!$A$2:$A$397)=p_anio_base)*'09_CALENDARIO'!$E$2:$E$397)</f>
        <v>22</v>
      </c>
      <c r="D173" s="19" t="n">
        <f aca="false">p_horas_productivas_dia</f>
        <v>8</v>
      </c>
      <c r="E173" s="9" t="n">
        <f aca="false">INDEX('05_RECURSOS'!$E$2:$E$18,MATCH(A173,'05_RECURSOS'!$A$2:$A$18,0))</f>
        <v>1</v>
      </c>
      <c r="F173" s="19" t="n">
        <f aca="false">C173*D173*E173</f>
        <v>176</v>
      </c>
      <c r="G173" s="4" t="s">
        <v>26</v>
      </c>
    </row>
    <row r="174" customFormat="false" ht="15" hidden="false" customHeight="false" outlineLevel="0" collapsed="false">
      <c r="A174" s="4" t="s">
        <v>911</v>
      </c>
      <c r="B174" s="3" t="n">
        <v>5</v>
      </c>
      <c r="C174" s="9" t="n">
        <f aca="false">SUMPRODUCT((MONTH('09_CALENDARIO'!$A$2:$A$397)=B174)*(YEAR('09_CALENDARIO'!$A$2:$A$397)=p_anio_base)*'09_CALENDARIO'!$E$2:$E$397)</f>
        <v>22</v>
      </c>
      <c r="D174" s="19" t="n">
        <f aca="false">p_horas_productivas_dia</f>
        <v>8</v>
      </c>
      <c r="E174" s="9" t="n">
        <f aca="false">INDEX('05_RECURSOS'!$E$2:$E$18,MATCH(A174,'05_RECURSOS'!$A$2:$A$18,0))</f>
        <v>1</v>
      </c>
      <c r="F174" s="19" t="n">
        <f aca="false">C174*D174*E174</f>
        <v>176</v>
      </c>
      <c r="G174" s="4" t="s">
        <v>26</v>
      </c>
    </row>
    <row r="175" customFormat="false" ht="15" hidden="false" customHeight="false" outlineLevel="0" collapsed="false">
      <c r="A175" s="4" t="s">
        <v>911</v>
      </c>
      <c r="B175" s="3" t="n">
        <v>6</v>
      </c>
      <c r="C175" s="9" t="n">
        <f aca="false">SUMPRODUCT((MONTH('09_CALENDARIO'!$A$2:$A$397)=B175)*(YEAR('09_CALENDARIO'!$A$2:$A$397)=p_anio_base)*'09_CALENDARIO'!$E$2:$E$397)</f>
        <v>21</v>
      </c>
      <c r="D175" s="19" t="n">
        <f aca="false">p_horas_productivas_dia</f>
        <v>8</v>
      </c>
      <c r="E175" s="9" t="n">
        <f aca="false">INDEX('05_RECURSOS'!$E$2:$E$18,MATCH(A175,'05_RECURSOS'!$A$2:$A$18,0))</f>
        <v>1</v>
      </c>
      <c r="F175" s="19" t="n">
        <f aca="false">C175*D175*E175</f>
        <v>168</v>
      </c>
      <c r="G175" s="4" t="s">
        <v>26</v>
      </c>
    </row>
    <row r="176" customFormat="false" ht="15" hidden="false" customHeight="false" outlineLevel="0" collapsed="false">
      <c r="A176" s="4" t="s">
        <v>911</v>
      </c>
      <c r="B176" s="3" t="n">
        <v>7</v>
      </c>
      <c r="C176" s="9" t="n">
        <f aca="false">SUMPRODUCT((MONTH('09_CALENDARIO'!$A$2:$A$397)=B176)*(YEAR('09_CALENDARIO'!$A$2:$A$397)=p_anio_base)*'09_CALENDARIO'!$E$2:$E$397)</f>
        <v>23</v>
      </c>
      <c r="D176" s="19" t="n">
        <f aca="false">p_horas_productivas_dia</f>
        <v>8</v>
      </c>
      <c r="E176" s="9" t="n">
        <f aca="false">INDEX('05_RECURSOS'!$E$2:$E$18,MATCH(A176,'05_RECURSOS'!$A$2:$A$18,0))</f>
        <v>1</v>
      </c>
      <c r="F176" s="19" t="n">
        <f aca="false">C176*D176*E176</f>
        <v>184</v>
      </c>
      <c r="G176" s="4" t="s">
        <v>26</v>
      </c>
    </row>
    <row r="177" customFormat="false" ht="15" hidden="false" customHeight="false" outlineLevel="0" collapsed="false">
      <c r="A177" s="4" t="s">
        <v>911</v>
      </c>
      <c r="B177" s="3" t="n">
        <v>8</v>
      </c>
      <c r="C177" s="9" t="n">
        <f aca="false">SUMPRODUCT((MONTH('09_CALENDARIO'!$A$2:$A$397)=B177)*(YEAR('09_CALENDARIO'!$A$2:$A$397)=p_anio_base)*'09_CALENDARIO'!$E$2:$E$397)</f>
        <v>21</v>
      </c>
      <c r="D177" s="19" t="n">
        <f aca="false">p_horas_productivas_dia</f>
        <v>8</v>
      </c>
      <c r="E177" s="9" t="n">
        <f aca="false">INDEX('05_RECURSOS'!$E$2:$E$18,MATCH(A177,'05_RECURSOS'!$A$2:$A$18,0))</f>
        <v>1</v>
      </c>
      <c r="F177" s="19" t="n">
        <f aca="false">C177*D177*E177</f>
        <v>168</v>
      </c>
      <c r="G177" s="4" t="s">
        <v>26</v>
      </c>
    </row>
    <row r="178" customFormat="false" ht="15" hidden="false" customHeight="false" outlineLevel="0" collapsed="false">
      <c r="A178" s="4" t="s">
        <v>911</v>
      </c>
      <c r="B178" s="3" t="n">
        <v>9</v>
      </c>
      <c r="C178" s="9" t="n">
        <f aca="false">SUMPRODUCT((MONTH('09_CALENDARIO'!$A$2:$A$397)=B178)*(YEAR('09_CALENDARIO'!$A$2:$A$397)=p_anio_base)*'09_CALENDARIO'!$E$2:$E$397)</f>
        <v>22</v>
      </c>
      <c r="D178" s="19" t="n">
        <f aca="false">p_horas_productivas_dia</f>
        <v>8</v>
      </c>
      <c r="E178" s="9" t="n">
        <f aca="false">INDEX('05_RECURSOS'!$E$2:$E$18,MATCH(A178,'05_RECURSOS'!$A$2:$A$18,0))</f>
        <v>1</v>
      </c>
      <c r="F178" s="19" t="n">
        <f aca="false">C178*D178*E178</f>
        <v>176</v>
      </c>
      <c r="G178" s="4" t="s">
        <v>26</v>
      </c>
    </row>
    <row r="179" customFormat="false" ht="15" hidden="false" customHeight="false" outlineLevel="0" collapsed="false">
      <c r="A179" s="4" t="s">
        <v>911</v>
      </c>
      <c r="B179" s="3" t="n">
        <v>10</v>
      </c>
      <c r="C179" s="9" t="n">
        <f aca="false">SUMPRODUCT((MONTH('09_CALENDARIO'!$A$2:$A$397)=B179)*(YEAR('09_CALENDARIO'!$A$2:$A$397)=p_anio_base)*'09_CALENDARIO'!$E$2:$E$397)</f>
        <v>23</v>
      </c>
      <c r="D179" s="19" t="n">
        <f aca="false">p_horas_productivas_dia</f>
        <v>8</v>
      </c>
      <c r="E179" s="9" t="n">
        <f aca="false">INDEX('05_RECURSOS'!$E$2:$E$18,MATCH(A179,'05_RECURSOS'!$A$2:$A$18,0))</f>
        <v>1</v>
      </c>
      <c r="F179" s="19" t="n">
        <f aca="false">C179*D179*E179</f>
        <v>184</v>
      </c>
      <c r="G179" s="4" t="s">
        <v>26</v>
      </c>
    </row>
    <row r="180" customFormat="false" ht="15" hidden="false" customHeight="false" outlineLevel="0" collapsed="false">
      <c r="A180" s="4" t="s">
        <v>911</v>
      </c>
      <c r="B180" s="3" t="n">
        <v>11</v>
      </c>
      <c r="C180" s="9" t="n">
        <f aca="false">SUMPRODUCT((MONTH('09_CALENDARIO'!$A$2:$A$397)=B180)*(YEAR('09_CALENDARIO'!$A$2:$A$397)=p_anio_base)*'09_CALENDARIO'!$E$2:$E$397)</f>
        <v>20</v>
      </c>
      <c r="D180" s="19" t="n">
        <f aca="false">p_horas_productivas_dia</f>
        <v>8</v>
      </c>
      <c r="E180" s="9" t="n">
        <f aca="false">INDEX('05_RECURSOS'!$E$2:$E$18,MATCH(A180,'05_RECURSOS'!$A$2:$A$18,0))</f>
        <v>1</v>
      </c>
      <c r="F180" s="19" t="n">
        <f aca="false">C180*D180*E180</f>
        <v>160</v>
      </c>
      <c r="G180" s="4" t="s">
        <v>26</v>
      </c>
    </row>
    <row r="181" customFormat="false" ht="15" hidden="false" customHeight="false" outlineLevel="0" collapsed="false">
      <c r="A181" s="4" t="s">
        <v>911</v>
      </c>
      <c r="B181" s="3" t="n">
        <v>12</v>
      </c>
      <c r="C181" s="9" t="n">
        <f aca="false">SUMPRODUCT((MONTH('09_CALENDARIO'!$A$2:$A$397)=B181)*(YEAR('09_CALENDARIO'!$A$2:$A$397)=p_anio_base)*'09_CALENDARIO'!$E$2:$E$397)</f>
        <v>23</v>
      </c>
      <c r="D181" s="19" t="n">
        <f aca="false">p_horas_productivas_dia</f>
        <v>8</v>
      </c>
      <c r="E181" s="9" t="n">
        <f aca="false">INDEX('05_RECURSOS'!$E$2:$E$18,MATCH(A181,'05_RECURSOS'!$A$2:$A$18,0))</f>
        <v>1</v>
      </c>
      <c r="F181" s="19" t="n">
        <f aca="false">C181*D181*E181</f>
        <v>184</v>
      </c>
      <c r="G181" s="4" t="s">
        <v>26</v>
      </c>
    </row>
    <row r="182" customFormat="false" ht="15" hidden="false" customHeight="false" outlineLevel="0" collapsed="false">
      <c r="A182" s="4" t="s">
        <v>913</v>
      </c>
      <c r="B182" s="3" t="n">
        <v>1</v>
      </c>
      <c r="C182" s="9" t="n">
        <f aca="false">SUMPRODUCT((MONTH('09_CALENDARIO'!$A$2:$A$397)=B182)*(YEAR('09_CALENDARIO'!$A$2:$A$397)=p_anio_base)*'09_CALENDARIO'!$E$2:$E$397)</f>
        <v>23</v>
      </c>
      <c r="D182" s="19" t="n">
        <f aca="false">p_horas_productivas_dia</f>
        <v>8</v>
      </c>
      <c r="E182" s="9" t="n">
        <f aca="false">INDEX('05_RECURSOS'!$E$2:$E$18,MATCH(A182,'05_RECURSOS'!$A$2:$A$18,0))</f>
        <v>1</v>
      </c>
      <c r="F182" s="19" t="n">
        <f aca="false">C182*D182*E182</f>
        <v>184</v>
      </c>
      <c r="G182" s="4" t="s">
        <v>26</v>
      </c>
    </row>
    <row r="183" customFormat="false" ht="15" hidden="false" customHeight="false" outlineLevel="0" collapsed="false">
      <c r="A183" s="4" t="s">
        <v>913</v>
      </c>
      <c r="B183" s="3" t="n">
        <v>2</v>
      </c>
      <c r="C183" s="9" t="n">
        <f aca="false">SUMPRODUCT((MONTH('09_CALENDARIO'!$A$2:$A$397)=B183)*(YEAR('09_CALENDARIO'!$A$2:$A$397)=p_anio_base)*'09_CALENDARIO'!$E$2:$E$397)</f>
        <v>20</v>
      </c>
      <c r="D183" s="19" t="n">
        <f aca="false">p_horas_productivas_dia</f>
        <v>8</v>
      </c>
      <c r="E183" s="9" t="n">
        <f aca="false">INDEX('05_RECURSOS'!$E$2:$E$18,MATCH(A183,'05_RECURSOS'!$A$2:$A$18,0))</f>
        <v>1</v>
      </c>
      <c r="F183" s="19" t="n">
        <f aca="false">C183*D183*E183</f>
        <v>160</v>
      </c>
      <c r="G183" s="4" t="s">
        <v>26</v>
      </c>
    </row>
    <row r="184" customFormat="false" ht="15" hidden="false" customHeight="false" outlineLevel="0" collapsed="false">
      <c r="A184" s="4" t="s">
        <v>913</v>
      </c>
      <c r="B184" s="3" t="n">
        <v>3</v>
      </c>
      <c r="C184" s="9" t="n">
        <f aca="false">SUMPRODUCT((MONTH('09_CALENDARIO'!$A$2:$A$397)=B184)*(YEAR('09_CALENDARIO'!$A$2:$A$397)=p_anio_base)*'09_CALENDARIO'!$E$2:$E$397)</f>
        <v>21</v>
      </c>
      <c r="D184" s="19" t="n">
        <f aca="false">p_horas_productivas_dia</f>
        <v>8</v>
      </c>
      <c r="E184" s="9" t="n">
        <f aca="false">INDEX('05_RECURSOS'!$E$2:$E$18,MATCH(A184,'05_RECURSOS'!$A$2:$A$18,0))</f>
        <v>1</v>
      </c>
      <c r="F184" s="19" t="n">
        <f aca="false">C184*D184*E184</f>
        <v>168</v>
      </c>
      <c r="G184" s="4" t="s">
        <v>26</v>
      </c>
    </row>
    <row r="185" customFormat="false" ht="15" hidden="false" customHeight="false" outlineLevel="0" collapsed="false">
      <c r="A185" s="4" t="s">
        <v>913</v>
      </c>
      <c r="B185" s="3" t="n">
        <v>4</v>
      </c>
      <c r="C185" s="9" t="n">
        <f aca="false">SUMPRODUCT((MONTH('09_CALENDARIO'!$A$2:$A$397)=B185)*(YEAR('09_CALENDARIO'!$A$2:$A$397)=p_anio_base)*'09_CALENDARIO'!$E$2:$E$397)</f>
        <v>22</v>
      </c>
      <c r="D185" s="19" t="n">
        <f aca="false">p_horas_productivas_dia</f>
        <v>8</v>
      </c>
      <c r="E185" s="9" t="n">
        <f aca="false">INDEX('05_RECURSOS'!$E$2:$E$18,MATCH(A185,'05_RECURSOS'!$A$2:$A$18,0))</f>
        <v>1</v>
      </c>
      <c r="F185" s="19" t="n">
        <f aca="false">C185*D185*E185</f>
        <v>176</v>
      </c>
      <c r="G185" s="4" t="s">
        <v>26</v>
      </c>
    </row>
    <row r="186" customFormat="false" ht="15" hidden="false" customHeight="false" outlineLevel="0" collapsed="false">
      <c r="A186" s="4" t="s">
        <v>913</v>
      </c>
      <c r="B186" s="3" t="n">
        <v>5</v>
      </c>
      <c r="C186" s="9" t="n">
        <f aca="false">SUMPRODUCT((MONTH('09_CALENDARIO'!$A$2:$A$397)=B186)*(YEAR('09_CALENDARIO'!$A$2:$A$397)=p_anio_base)*'09_CALENDARIO'!$E$2:$E$397)</f>
        <v>22</v>
      </c>
      <c r="D186" s="19" t="n">
        <f aca="false">p_horas_productivas_dia</f>
        <v>8</v>
      </c>
      <c r="E186" s="9" t="n">
        <f aca="false">INDEX('05_RECURSOS'!$E$2:$E$18,MATCH(A186,'05_RECURSOS'!$A$2:$A$18,0))</f>
        <v>1</v>
      </c>
      <c r="F186" s="19" t="n">
        <f aca="false">C186*D186*E186</f>
        <v>176</v>
      </c>
      <c r="G186" s="4" t="s">
        <v>26</v>
      </c>
    </row>
    <row r="187" customFormat="false" ht="15" hidden="false" customHeight="false" outlineLevel="0" collapsed="false">
      <c r="A187" s="4" t="s">
        <v>913</v>
      </c>
      <c r="B187" s="3" t="n">
        <v>6</v>
      </c>
      <c r="C187" s="9" t="n">
        <f aca="false">SUMPRODUCT((MONTH('09_CALENDARIO'!$A$2:$A$397)=B187)*(YEAR('09_CALENDARIO'!$A$2:$A$397)=p_anio_base)*'09_CALENDARIO'!$E$2:$E$397)</f>
        <v>21</v>
      </c>
      <c r="D187" s="19" t="n">
        <f aca="false">p_horas_productivas_dia</f>
        <v>8</v>
      </c>
      <c r="E187" s="9" t="n">
        <f aca="false">INDEX('05_RECURSOS'!$E$2:$E$18,MATCH(A187,'05_RECURSOS'!$A$2:$A$18,0))</f>
        <v>1</v>
      </c>
      <c r="F187" s="19" t="n">
        <f aca="false">C187*D187*E187</f>
        <v>168</v>
      </c>
      <c r="G187" s="4" t="s">
        <v>26</v>
      </c>
    </row>
    <row r="188" customFormat="false" ht="15" hidden="false" customHeight="false" outlineLevel="0" collapsed="false">
      <c r="A188" s="4" t="s">
        <v>913</v>
      </c>
      <c r="B188" s="3" t="n">
        <v>7</v>
      </c>
      <c r="C188" s="9" t="n">
        <f aca="false">SUMPRODUCT((MONTH('09_CALENDARIO'!$A$2:$A$397)=B188)*(YEAR('09_CALENDARIO'!$A$2:$A$397)=p_anio_base)*'09_CALENDARIO'!$E$2:$E$397)</f>
        <v>23</v>
      </c>
      <c r="D188" s="19" t="n">
        <f aca="false">p_horas_productivas_dia</f>
        <v>8</v>
      </c>
      <c r="E188" s="9" t="n">
        <f aca="false">INDEX('05_RECURSOS'!$E$2:$E$18,MATCH(A188,'05_RECURSOS'!$A$2:$A$18,0))</f>
        <v>1</v>
      </c>
      <c r="F188" s="19" t="n">
        <f aca="false">C188*D188*E188</f>
        <v>184</v>
      </c>
      <c r="G188" s="4" t="s">
        <v>26</v>
      </c>
    </row>
    <row r="189" customFormat="false" ht="15" hidden="false" customHeight="false" outlineLevel="0" collapsed="false">
      <c r="A189" s="4" t="s">
        <v>913</v>
      </c>
      <c r="B189" s="3" t="n">
        <v>8</v>
      </c>
      <c r="C189" s="9" t="n">
        <f aca="false">SUMPRODUCT((MONTH('09_CALENDARIO'!$A$2:$A$397)=B189)*(YEAR('09_CALENDARIO'!$A$2:$A$397)=p_anio_base)*'09_CALENDARIO'!$E$2:$E$397)</f>
        <v>21</v>
      </c>
      <c r="D189" s="19" t="n">
        <f aca="false">p_horas_productivas_dia</f>
        <v>8</v>
      </c>
      <c r="E189" s="9" t="n">
        <f aca="false">INDEX('05_RECURSOS'!$E$2:$E$18,MATCH(A189,'05_RECURSOS'!$A$2:$A$18,0))</f>
        <v>1</v>
      </c>
      <c r="F189" s="19" t="n">
        <f aca="false">C189*D189*E189</f>
        <v>168</v>
      </c>
      <c r="G189" s="4" t="s">
        <v>26</v>
      </c>
    </row>
    <row r="190" customFormat="false" ht="15" hidden="false" customHeight="false" outlineLevel="0" collapsed="false">
      <c r="A190" s="4" t="s">
        <v>913</v>
      </c>
      <c r="B190" s="3" t="n">
        <v>9</v>
      </c>
      <c r="C190" s="9" t="n">
        <f aca="false">SUMPRODUCT((MONTH('09_CALENDARIO'!$A$2:$A$397)=B190)*(YEAR('09_CALENDARIO'!$A$2:$A$397)=p_anio_base)*'09_CALENDARIO'!$E$2:$E$397)</f>
        <v>22</v>
      </c>
      <c r="D190" s="19" t="n">
        <f aca="false">p_horas_productivas_dia</f>
        <v>8</v>
      </c>
      <c r="E190" s="9" t="n">
        <f aca="false">INDEX('05_RECURSOS'!$E$2:$E$18,MATCH(A190,'05_RECURSOS'!$A$2:$A$18,0))</f>
        <v>1</v>
      </c>
      <c r="F190" s="19" t="n">
        <f aca="false">C190*D190*E190</f>
        <v>176</v>
      </c>
      <c r="G190" s="4" t="s">
        <v>26</v>
      </c>
    </row>
    <row r="191" customFormat="false" ht="15" hidden="false" customHeight="false" outlineLevel="0" collapsed="false">
      <c r="A191" s="4" t="s">
        <v>913</v>
      </c>
      <c r="B191" s="3" t="n">
        <v>10</v>
      </c>
      <c r="C191" s="9" t="n">
        <f aca="false">SUMPRODUCT((MONTH('09_CALENDARIO'!$A$2:$A$397)=B191)*(YEAR('09_CALENDARIO'!$A$2:$A$397)=p_anio_base)*'09_CALENDARIO'!$E$2:$E$397)</f>
        <v>23</v>
      </c>
      <c r="D191" s="19" t="n">
        <f aca="false">p_horas_productivas_dia</f>
        <v>8</v>
      </c>
      <c r="E191" s="9" t="n">
        <f aca="false">INDEX('05_RECURSOS'!$E$2:$E$18,MATCH(A191,'05_RECURSOS'!$A$2:$A$18,0))</f>
        <v>1</v>
      </c>
      <c r="F191" s="19" t="n">
        <f aca="false">C191*D191*E191</f>
        <v>184</v>
      </c>
      <c r="G191" s="4" t="s">
        <v>26</v>
      </c>
    </row>
    <row r="192" customFormat="false" ht="15" hidden="false" customHeight="false" outlineLevel="0" collapsed="false">
      <c r="A192" s="4" t="s">
        <v>913</v>
      </c>
      <c r="B192" s="3" t="n">
        <v>11</v>
      </c>
      <c r="C192" s="9" t="n">
        <f aca="false">SUMPRODUCT((MONTH('09_CALENDARIO'!$A$2:$A$397)=B192)*(YEAR('09_CALENDARIO'!$A$2:$A$397)=p_anio_base)*'09_CALENDARIO'!$E$2:$E$397)</f>
        <v>20</v>
      </c>
      <c r="D192" s="19" t="n">
        <f aca="false">p_horas_productivas_dia</f>
        <v>8</v>
      </c>
      <c r="E192" s="9" t="n">
        <f aca="false">INDEX('05_RECURSOS'!$E$2:$E$18,MATCH(A192,'05_RECURSOS'!$A$2:$A$18,0))</f>
        <v>1</v>
      </c>
      <c r="F192" s="19" t="n">
        <f aca="false">C192*D192*E192</f>
        <v>160</v>
      </c>
      <c r="G192" s="4" t="s">
        <v>26</v>
      </c>
    </row>
    <row r="193" customFormat="false" ht="15" hidden="false" customHeight="false" outlineLevel="0" collapsed="false">
      <c r="A193" s="4" t="s">
        <v>913</v>
      </c>
      <c r="B193" s="3" t="n">
        <v>12</v>
      </c>
      <c r="C193" s="9" t="n">
        <f aca="false">SUMPRODUCT((MONTH('09_CALENDARIO'!$A$2:$A$397)=B193)*(YEAR('09_CALENDARIO'!$A$2:$A$397)=p_anio_base)*'09_CALENDARIO'!$E$2:$E$397)</f>
        <v>23</v>
      </c>
      <c r="D193" s="19" t="n">
        <f aca="false">p_horas_productivas_dia</f>
        <v>8</v>
      </c>
      <c r="E193" s="9" t="n">
        <f aca="false">INDEX('05_RECURSOS'!$E$2:$E$18,MATCH(A193,'05_RECURSOS'!$A$2:$A$18,0))</f>
        <v>1</v>
      </c>
      <c r="F193" s="19" t="n">
        <f aca="false">C193*D193*E193</f>
        <v>184</v>
      </c>
      <c r="G193" s="4" t="s">
        <v>26</v>
      </c>
    </row>
    <row r="194" customFormat="false" ht="15" hidden="false" customHeight="false" outlineLevel="0" collapsed="false">
      <c r="A194" s="4" t="s">
        <v>915</v>
      </c>
      <c r="B194" s="3" t="n">
        <v>1</v>
      </c>
      <c r="C194" s="9" t="n">
        <f aca="false">SUMPRODUCT((MONTH('09_CALENDARIO'!$A$2:$A$397)=B194)*(YEAR('09_CALENDARIO'!$A$2:$A$397)=p_anio_base)*'09_CALENDARIO'!$E$2:$E$397)</f>
        <v>23</v>
      </c>
      <c r="D194" s="19" t="n">
        <f aca="false">p_horas_productivas_dia</f>
        <v>8</v>
      </c>
      <c r="E194" s="9" t="n">
        <f aca="false">INDEX('05_RECURSOS'!$E$2:$E$18,MATCH(A194,'05_RECURSOS'!$A$2:$A$18,0))</f>
        <v>1</v>
      </c>
      <c r="F194" s="19" t="n">
        <f aca="false">C194*D194*E194</f>
        <v>184</v>
      </c>
      <c r="G194" s="4" t="s">
        <v>26</v>
      </c>
    </row>
    <row r="195" customFormat="false" ht="15" hidden="false" customHeight="false" outlineLevel="0" collapsed="false">
      <c r="A195" s="4" t="s">
        <v>915</v>
      </c>
      <c r="B195" s="3" t="n">
        <v>2</v>
      </c>
      <c r="C195" s="9" t="n">
        <f aca="false">SUMPRODUCT((MONTH('09_CALENDARIO'!$A$2:$A$397)=B195)*(YEAR('09_CALENDARIO'!$A$2:$A$397)=p_anio_base)*'09_CALENDARIO'!$E$2:$E$397)</f>
        <v>20</v>
      </c>
      <c r="D195" s="19" t="n">
        <f aca="false">p_horas_productivas_dia</f>
        <v>8</v>
      </c>
      <c r="E195" s="9" t="n">
        <f aca="false">INDEX('05_RECURSOS'!$E$2:$E$18,MATCH(A195,'05_RECURSOS'!$A$2:$A$18,0))</f>
        <v>1</v>
      </c>
      <c r="F195" s="19" t="n">
        <f aca="false">C195*D195*E195</f>
        <v>160</v>
      </c>
      <c r="G195" s="4" t="s">
        <v>26</v>
      </c>
    </row>
    <row r="196" customFormat="false" ht="15" hidden="false" customHeight="false" outlineLevel="0" collapsed="false">
      <c r="A196" s="4" t="s">
        <v>915</v>
      </c>
      <c r="B196" s="3" t="n">
        <v>3</v>
      </c>
      <c r="C196" s="9" t="n">
        <f aca="false">SUMPRODUCT((MONTH('09_CALENDARIO'!$A$2:$A$397)=B196)*(YEAR('09_CALENDARIO'!$A$2:$A$397)=p_anio_base)*'09_CALENDARIO'!$E$2:$E$397)</f>
        <v>21</v>
      </c>
      <c r="D196" s="19" t="n">
        <f aca="false">p_horas_productivas_dia</f>
        <v>8</v>
      </c>
      <c r="E196" s="9" t="n">
        <f aca="false">INDEX('05_RECURSOS'!$E$2:$E$18,MATCH(A196,'05_RECURSOS'!$A$2:$A$18,0))</f>
        <v>1</v>
      </c>
      <c r="F196" s="19" t="n">
        <f aca="false">C196*D196*E196</f>
        <v>168</v>
      </c>
      <c r="G196" s="4" t="s">
        <v>26</v>
      </c>
    </row>
    <row r="197" customFormat="false" ht="15" hidden="false" customHeight="false" outlineLevel="0" collapsed="false">
      <c r="A197" s="4" t="s">
        <v>915</v>
      </c>
      <c r="B197" s="3" t="n">
        <v>4</v>
      </c>
      <c r="C197" s="9" t="n">
        <f aca="false">SUMPRODUCT((MONTH('09_CALENDARIO'!$A$2:$A$397)=B197)*(YEAR('09_CALENDARIO'!$A$2:$A$397)=p_anio_base)*'09_CALENDARIO'!$E$2:$E$397)</f>
        <v>22</v>
      </c>
      <c r="D197" s="19" t="n">
        <f aca="false">p_horas_productivas_dia</f>
        <v>8</v>
      </c>
      <c r="E197" s="9" t="n">
        <f aca="false">INDEX('05_RECURSOS'!$E$2:$E$18,MATCH(A197,'05_RECURSOS'!$A$2:$A$18,0))</f>
        <v>1</v>
      </c>
      <c r="F197" s="19" t="n">
        <f aca="false">C197*D197*E197</f>
        <v>176</v>
      </c>
      <c r="G197" s="4" t="s">
        <v>26</v>
      </c>
    </row>
    <row r="198" customFormat="false" ht="15" hidden="false" customHeight="false" outlineLevel="0" collapsed="false">
      <c r="A198" s="4" t="s">
        <v>915</v>
      </c>
      <c r="B198" s="3" t="n">
        <v>5</v>
      </c>
      <c r="C198" s="9" t="n">
        <f aca="false">SUMPRODUCT((MONTH('09_CALENDARIO'!$A$2:$A$397)=B198)*(YEAR('09_CALENDARIO'!$A$2:$A$397)=p_anio_base)*'09_CALENDARIO'!$E$2:$E$397)</f>
        <v>22</v>
      </c>
      <c r="D198" s="19" t="n">
        <f aca="false">p_horas_productivas_dia</f>
        <v>8</v>
      </c>
      <c r="E198" s="9" t="n">
        <f aca="false">INDEX('05_RECURSOS'!$E$2:$E$18,MATCH(A198,'05_RECURSOS'!$A$2:$A$18,0))</f>
        <v>1</v>
      </c>
      <c r="F198" s="19" t="n">
        <f aca="false">C198*D198*E198</f>
        <v>176</v>
      </c>
      <c r="G198" s="4" t="s">
        <v>26</v>
      </c>
    </row>
    <row r="199" customFormat="false" ht="15" hidden="false" customHeight="false" outlineLevel="0" collapsed="false">
      <c r="A199" s="4" t="s">
        <v>915</v>
      </c>
      <c r="B199" s="3" t="n">
        <v>6</v>
      </c>
      <c r="C199" s="9" t="n">
        <f aca="false">SUMPRODUCT((MONTH('09_CALENDARIO'!$A$2:$A$397)=B199)*(YEAR('09_CALENDARIO'!$A$2:$A$397)=p_anio_base)*'09_CALENDARIO'!$E$2:$E$397)</f>
        <v>21</v>
      </c>
      <c r="D199" s="19" t="n">
        <f aca="false">p_horas_productivas_dia</f>
        <v>8</v>
      </c>
      <c r="E199" s="9" t="n">
        <f aca="false">INDEX('05_RECURSOS'!$E$2:$E$18,MATCH(A199,'05_RECURSOS'!$A$2:$A$18,0))</f>
        <v>1</v>
      </c>
      <c r="F199" s="19" t="n">
        <f aca="false">C199*D199*E199</f>
        <v>168</v>
      </c>
      <c r="G199" s="4" t="s">
        <v>26</v>
      </c>
    </row>
    <row r="200" customFormat="false" ht="15" hidden="false" customHeight="false" outlineLevel="0" collapsed="false">
      <c r="A200" s="4" t="s">
        <v>915</v>
      </c>
      <c r="B200" s="3" t="n">
        <v>7</v>
      </c>
      <c r="C200" s="9" t="n">
        <f aca="false">SUMPRODUCT((MONTH('09_CALENDARIO'!$A$2:$A$397)=B200)*(YEAR('09_CALENDARIO'!$A$2:$A$397)=p_anio_base)*'09_CALENDARIO'!$E$2:$E$397)</f>
        <v>23</v>
      </c>
      <c r="D200" s="19" t="n">
        <f aca="false">p_horas_productivas_dia</f>
        <v>8</v>
      </c>
      <c r="E200" s="9" t="n">
        <f aca="false">INDEX('05_RECURSOS'!$E$2:$E$18,MATCH(A200,'05_RECURSOS'!$A$2:$A$18,0))</f>
        <v>1</v>
      </c>
      <c r="F200" s="19" t="n">
        <f aca="false">C200*D200*E200</f>
        <v>184</v>
      </c>
      <c r="G200" s="4" t="s">
        <v>26</v>
      </c>
    </row>
    <row r="201" customFormat="false" ht="15" hidden="false" customHeight="false" outlineLevel="0" collapsed="false">
      <c r="A201" s="4" t="s">
        <v>915</v>
      </c>
      <c r="B201" s="3" t="n">
        <v>8</v>
      </c>
      <c r="C201" s="9" t="n">
        <f aca="false">SUMPRODUCT((MONTH('09_CALENDARIO'!$A$2:$A$397)=B201)*(YEAR('09_CALENDARIO'!$A$2:$A$397)=p_anio_base)*'09_CALENDARIO'!$E$2:$E$397)</f>
        <v>21</v>
      </c>
      <c r="D201" s="19" t="n">
        <f aca="false">p_horas_productivas_dia</f>
        <v>8</v>
      </c>
      <c r="E201" s="9" t="n">
        <f aca="false">INDEX('05_RECURSOS'!$E$2:$E$18,MATCH(A201,'05_RECURSOS'!$A$2:$A$18,0))</f>
        <v>1</v>
      </c>
      <c r="F201" s="19" t="n">
        <f aca="false">C201*D201*E201</f>
        <v>168</v>
      </c>
      <c r="G201" s="4" t="s">
        <v>26</v>
      </c>
    </row>
    <row r="202" customFormat="false" ht="15" hidden="false" customHeight="false" outlineLevel="0" collapsed="false">
      <c r="A202" s="4" t="s">
        <v>915</v>
      </c>
      <c r="B202" s="3" t="n">
        <v>9</v>
      </c>
      <c r="C202" s="9" t="n">
        <f aca="false">SUMPRODUCT((MONTH('09_CALENDARIO'!$A$2:$A$397)=B202)*(YEAR('09_CALENDARIO'!$A$2:$A$397)=p_anio_base)*'09_CALENDARIO'!$E$2:$E$397)</f>
        <v>22</v>
      </c>
      <c r="D202" s="19" t="n">
        <f aca="false">p_horas_productivas_dia</f>
        <v>8</v>
      </c>
      <c r="E202" s="9" t="n">
        <f aca="false">INDEX('05_RECURSOS'!$E$2:$E$18,MATCH(A202,'05_RECURSOS'!$A$2:$A$18,0))</f>
        <v>1</v>
      </c>
      <c r="F202" s="19" t="n">
        <f aca="false">C202*D202*E202</f>
        <v>176</v>
      </c>
      <c r="G202" s="4" t="s">
        <v>26</v>
      </c>
    </row>
    <row r="203" customFormat="false" ht="15" hidden="false" customHeight="false" outlineLevel="0" collapsed="false">
      <c r="A203" s="4" t="s">
        <v>915</v>
      </c>
      <c r="B203" s="3" t="n">
        <v>10</v>
      </c>
      <c r="C203" s="9" t="n">
        <f aca="false">SUMPRODUCT((MONTH('09_CALENDARIO'!$A$2:$A$397)=B203)*(YEAR('09_CALENDARIO'!$A$2:$A$397)=p_anio_base)*'09_CALENDARIO'!$E$2:$E$397)</f>
        <v>23</v>
      </c>
      <c r="D203" s="19" t="n">
        <f aca="false">p_horas_productivas_dia</f>
        <v>8</v>
      </c>
      <c r="E203" s="9" t="n">
        <f aca="false">INDEX('05_RECURSOS'!$E$2:$E$18,MATCH(A203,'05_RECURSOS'!$A$2:$A$18,0))</f>
        <v>1</v>
      </c>
      <c r="F203" s="19" t="n">
        <f aca="false">C203*D203*E203</f>
        <v>184</v>
      </c>
      <c r="G203" s="4" t="s">
        <v>26</v>
      </c>
    </row>
    <row r="204" customFormat="false" ht="15" hidden="false" customHeight="false" outlineLevel="0" collapsed="false">
      <c r="A204" s="4" t="s">
        <v>915</v>
      </c>
      <c r="B204" s="3" t="n">
        <v>11</v>
      </c>
      <c r="C204" s="9" t="n">
        <f aca="false">SUMPRODUCT((MONTH('09_CALENDARIO'!$A$2:$A$397)=B204)*(YEAR('09_CALENDARIO'!$A$2:$A$397)=p_anio_base)*'09_CALENDARIO'!$E$2:$E$397)</f>
        <v>20</v>
      </c>
      <c r="D204" s="19" t="n">
        <f aca="false">p_horas_productivas_dia</f>
        <v>8</v>
      </c>
      <c r="E204" s="9" t="n">
        <f aca="false">INDEX('05_RECURSOS'!$E$2:$E$18,MATCH(A204,'05_RECURSOS'!$A$2:$A$18,0))</f>
        <v>1</v>
      </c>
      <c r="F204" s="19" t="n">
        <f aca="false">C204*D204*E204</f>
        <v>160</v>
      </c>
      <c r="G204" s="4" t="s">
        <v>26</v>
      </c>
    </row>
    <row r="205" customFormat="false" ht="15" hidden="false" customHeight="false" outlineLevel="0" collapsed="false">
      <c r="A205" s="4" t="s">
        <v>915</v>
      </c>
      <c r="B205" s="3" t="n">
        <v>12</v>
      </c>
      <c r="C205" s="9" t="n">
        <f aca="false">SUMPRODUCT((MONTH('09_CALENDARIO'!$A$2:$A$397)=B205)*(YEAR('09_CALENDARIO'!$A$2:$A$397)=p_anio_base)*'09_CALENDARIO'!$E$2:$E$397)</f>
        <v>23</v>
      </c>
      <c r="D205" s="19" t="n">
        <f aca="false">p_horas_productivas_dia</f>
        <v>8</v>
      </c>
      <c r="E205" s="9" t="n">
        <f aca="false">INDEX('05_RECURSOS'!$E$2:$E$18,MATCH(A205,'05_RECURSOS'!$A$2:$A$18,0))</f>
        <v>1</v>
      </c>
      <c r="F205" s="19" t="n">
        <f aca="false">C205*D205*E205</f>
        <v>184</v>
      </c>
      <c r="G205" s="4" t="s">
        <v>26</v>
      </c>
    </row>
  </sheetData>
  <autoFilter ref="A1:G2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70"/>
    <col collapsed="false" customWidth="true" hidden="false" outlineLevel="0" max="8" min="8" style="0" width="12"/>
  </cols>
  <sheetData>
    <row r="1" customFormat="false" ht="31.5" hidden="false" customHeight="true" outlineLevel="0" collapsed="false">
      <c r="A1" s="1" t="s">
        <v>234</v>
      </c>
      <c r="B1" s="1" t="s">
        <v>236</v>
      </c>
      <c r="C1" s="1" t="s">
        <v>238</v>
      </c>
      <c r="D1" s="1" t="s">
        <v>241</v>
      </c>
      <c r="E1" s="1" t="s">
        <v>3</v>
      </c>
      <c r="F1" s="1" t="s">
        <v>5</v>
      </c>
      <c r="G1" s="1" t="s">
        <v>245</v>
      </c>
      <c r="H1" s="1" t="s">
        <v>7</v>
      </c>
    </row>
    <row r="2" customFormat="false" ht="15" hidden="false" customHeight="false" outlineLevel="0" collapsed="false">
      <c r="A2" s="4" t="s">
        <v>976</v>
      </c>
      <c r="B2" s="4" t="s">
        <v>977</v>
      </c>
      <c r="C2" s="2" t="n">
        <v>25</v>
      </c>
      <c r="E2" s="4" t="s">
        <v>301</v>
      </c>
      <c r="F2" s="4" t="s">
        <v>11</v>
      </c>
      <c r="G2" s="4" t="s">
        <v>978</v>
      </c>
      <c r="H2" s="3" t="n">
        <v>0</v>
      </c>
    </row>
    <row r="3" customFormat="false" ht="15" hidden="false" customHeight="false" outlineLevel="0" collapsed="false">
      <c r="A3" s="4" t="s">
        <v>979</v>
      </c>
      <c r="B3" s="4" t="s">
        <v>980</v>
      </c>
      <c r="C3" s="2" t="n">
        <v>1</v>
      </c>
      <c r="E3" s="4" t="s">
        <v>981</v>
      </c>
      <c r="F3" s="4" t="s">
        <v>11</v>
      </c>
      <c r="G3" s="4" t="s">
        <v>982</v>
      </c>
      <c r="H3" s="3" t="n">
        <v>0</v>
      </c>
    </row>
    <row r="4" customFormat="false" ht="15" hidden="false" customHeight="false" outlineLevel="0" collapsed="false">
      <c r="A4" s="4" t="s">
        <v>983</v>
      </c>
      <c r="B4" s="4" t="s">
        <v>984</v>
      </c>
      <c r="C4" s="2" t="n">
        <v>8</v>
      </c>
      <c r="E4" s="4" t="s">
        <v>985</v>
      </c>
      <c r="F4" s="4" t="s">
        <v>11</v>
      </c>
      <c r="G4" s="4" t="s">
        <v>986</v>
      </c>
      <c r="H4" s="3" t="n">
        <v>0</v>
      </c>
    </row>
    <row r="5" customFormat="false" ht="15" hidden="false" customHeight="false" outlineLevel="0" collapsed="false">
      <c r="A5" s="4" t="s">
        <v>987</v>
      </c>
      <c r="B5" s="4" t="s">
        <v>988</v>
      </c>
      <c r="D5" s="4" t="s">
        <v>989</v>
      </c>
      <c r="E5" s="4" t="s">
        <v>191</v>
      </c>
      <c r="F5" s="4" t="s">
        <v>30</v>
      </c>
      <c r="G5" s="4" t="s">
        <v>990</v>
      </c>
      <c r="H5" s="3" t="n">
        <v>1</v>
      </c>
    </row>
    <row r="6" customFormat="false" ht="15" hidden="false" customHeight="false" outlineLevel="0" collapsed="false">
      <c r="A6" s="4" t="s">
        <v>991</v>
      </c>
      <c r="B6" s="4" t="s">
        <v>992</v>
      </c>
      <c r="D6" s="4" t="s">
        <v>993</v>
      </c>
      <c r="E6" s="4" t="s">
        <v>191</v>
      </c>
      <c r="F6" s="4" t="s">
        <v>30</v>
      </c>
      <c r="G6" s="4" t="s">
        <v>994</v>
      </c>
      <c r="H6" s="3" t="n">
        <v>0</v>
      </c>
    </row>
    <row r="7" customFormat="false" ht="15" hidden="false" customHeight="false" outlineLevel="0" collapsed="false">
      <c r="A7" s="4" t="s">
        <v>995</v>
      </c>
      <c r="B7" s="4" t="s">
        <v>996</v>
      </c>
      <c r="C7" s="2" t="n">
        <v>0</v>
      </c>
      <c r="E7" s="4" t="s">
        <v>997</v>
      </c>
      <c r="F7" s="4" t="s">
        <v>321</v>
      </c>
      <c r="G7" s="4" t="s">
        <v>998</v>
      </c>
      <c r="H7" s="3" t="n">
        <v>1</v>
      </c>
    </row>
    <row r="8" customFormat="false" ht="15" hidden="false" customHeight="false" outlineLevel="0" collapsed="false">
      <c r="A8" s="4" t="s">
        <v>999</v>
      </c>
      <c r="B8" s="4" t="s">
        <v>1000</v>
      </c>
      <c r="C8" s="2" t="n">
        <v>2025</v>
      </c>
      <c r="E8" s="4" t="s">
        <v>1001</v>
      </c>
      <c r="F8" s="4" t="s">
        <v>321</v>
      </c>
      <c r="H8" s="3" t="n">
        <v>0</v>
      </c>
    </row>
    <row r="9" customFormat="false" ht="15" hidden="false" customHeight="false" outlineLevel="0" collapsed="false">
      <c r="A9" s="4" t="s">
        <v>1002</v>
      </c>
      <c r="B9" s="4" t="s">
        <v>1003</v>
      </c>
      <c r="D9" s="4" t="s">
        <v>1004</v>
      </c>
      <c r="E9" s="4" t="s">
        <v>191</v>
      </c>
      <c r="F9" s="4" t="s">
        <v>30</v>
      </c>
      <c r="G9" s="4" t="s">
        <v>1005</v>
      </c>
      <c r="H9" s="3" t="n">
        <v>0</v>
      </c>
    </row>
    <row r="10" customFormat="false" ht="15" hidden="false" customHeight="false" outlineLevel="0" collapsed="false">
      <c r="A10" s="4" t="s">
        <v>1006</v>
      </c>
      <c r="B10" s="4" t="s">
        <v>1007</v>
      </c>
      <c r="D10" s="4" t="s">
        <v>1008</v>
      </c>
      <c r="E10" s="4" t="s">
        <v>191</v>
      </c>
      <c r="F10" s="4" t="s">
        <v>30</v>
      </c>
      <c r="G10" s="4" t="s">
        <v>1009</v>
      </c>
      <c r="H10" s="3" t="n">
        <v>0</v>
      </c>
    </row>
    <row r="11" customFormat="false" ht="15" hidden="false" customHeight="false" outlineLevel="0" collapsed="false">
      <c r="A11" s="4" t="s">
        <v>1010</v>
      </c>
      <c r="B11" s="4" t="s">
        <v>1011</v>
      </c>
      <c r="C11" s="2" t="n">
        <v>7850</v>
      </c>
      <c r="E11" s="4" t="s">
        <v>1012</v>
      </c>
      <c r="F11" s="4" t="s">
        <v>213</v>
      </c>
      <c r="G11" s="4" t="s">
        <v>1013</v>
      </c>
      <c r="H11" s="3" t="n">
        <v>0</v>
      </c>
    </row>
    <row r="12" customFormat="false" ht="15" hidden="false" customHeight="false" outlineLevel="0" collapsed="false">
      <c r="A12" s="4" t="s">
        <v>1014</v>
      </c>
      <c r="B12" s="4" t="s">
        <v>1015</v>
      </c>
      <c r="C12" s="2" t="n">
        <v>1.5</v>
      </c>
      <c r="E12" s="4" t="s">
        <v>1016</v>
      </c>
      <c r="F12" s="4" t="s">
        <v>30</v>
      </c>
      <c r="G12" s="4" t="s">
        <v>1017</v>
      </c>
      <c r="H12" s="3" t="n">
        <v>0</v>
      </c>
    </row>
    <row r="13" customFormat="false" ht="15" hidden="false" customHeight="false" outlineLevel="0" collapsed="false">
      <c r="A13" s="4" t="s">
        <v>1018</v>
      </c>
      <c r="B13" s="4" t="s">
        <v>1019</v>
      </c>
      <c r="C13" s="2" t="n">
        <v>0.92</v>
      </c>
      <c r="E13" s="4" t="s">
        <v>29</v>
      </c>
      <c r="F13" s="4" t="s">
        <v>30</v>
      </c>
      <c r="G13" s="4" t="s">
        <v>1020</v>
      </c>
      <c r="H13" s="3" t="n">
        <v>0</v>
      </c>
    </row>
    <row r="14" customFormat="false" ht="15" hidden="false" customHeight="false" outlineLevel="0" collapsed="false">
      <c r="A14" s="4" t="s">
        <v>1021</v>
      </c>
      <c r="B14" s="4" t="s">
        <v>1022</v>
      </c>
      <c r="C14" s="2" t="n">
        <v>0.96</v>
      </c>
      <c r="E14" s="4" t="s">
        <v>29</v>
      </c>
      <c r="F14" s="4" t="s">
        <v>30</v>
      </c>
      <c r="G14" s="4" t="s">
        <v>1023</v>
      </c>
      <c r="H14" s="3" t="n">
        <v>0</v>
      </c>
    </row>
    <row r="15" customFormat="false" ht="15" hidden="false" customHeight="false" outlineLevel="0" collapsed="false">
      <c r="A15" s="4" t="s">
        <v>1024</v>
      </c>
      <c r="B15" s="4" t="s">
        <v>1025</v>
      </c>
      <c r="C15" s="2" t="n">
        <v>2.88</v>
      </c>
      <c r="E15" s="4" t="s">
        <v>106</v>
      </c>
      <c r="F15" s="4" t="s">
        <v>30</v>
      </c>
      <c r="G15" s="4" t="s">
        <v>1026</v>
      </c>
      <c r="H15" s="3" t="n">
        <v>0</v>
      </c>
    </row>
    <row r="16" customFormat="false" ht="15" hidden="false" customHeight="false" outlineLevel="0" collapsed="false">
      <c r="A16" s="4" t="s">
        <v>1027</v>
      </c>
      <c r="B16" s="4" t="s">
        <v>1028</v>
      </c>
      <c r="C16" s="2" t="n">
        <v>13</v>
      </c>
      <c r="E16" s="4" t="s">
        <v>132</v>
      </c>
      <c r="F16" s="4" t="s">
        <v>30</v>
      </c>
      <c r="G16" s="4" t="s">
        <v>1029</v>
      </c>
      <c r="H16" s="3" t="n">
        <v>0</v>
      </c>
    </row>
    <row r="17" customFormat="false" ht="15" hidden="false" customHeight="false" outlineLevel="0" collapsed="false">
      <c r="A17" s="4" t="s">
        <v>1030</v>
      </c>
      <c r="B17" s="4" t="s">
        <v>1031</v>
      </c>
      <c r="C17" s="2" t="n">
        <v>0.65</v>
      </c>
      <c r="E17" s="4" t="s">
        <v>1032</v>
      </c>
      <c r="F17" s="4" t="s">
        <v>30</v>
      </c>
      <c r="G17" s="4" t="s">
        <v>1033</v>
      </c>
      <c r="H17" s="3" t="n">
        <v>0</v>
      </c>
    </row>
    <row r="18" customFormat="false" ht="15" hidden="false" customHeight="false" outlineLevel="0" collapsed="false">
      <c r="A18" s="4" t="s">
        <v>1034</v>
      </c>
      <c r="B18" s="4" t="s">
        <v>1035</v>
      </c>
      <c r="E18" s="4" t="s">
        <v>1036</v>
      </c>
      <c r="F18" s="4" t="s">
        <v>145</v>
      </c>
      <c r="G18" s="4" t="s">
        <v>1037</v>
      </c>
      <c r="H18" s="3" t="n">
        <v>0</v>
      </c>
    </row>
    <row r="19" customFormat="false" ht="15" hidden="false" customHeight="false" outlineLevel="0" collapsed="false">
      <c r="A19" s="4" t="s">
        <v>1038</v>
      </c>
      <c r="B19" s="4" t="s">
        <v>1039</v>
      </c>
      <c r="C19" s="2" t="n">
        <v>2000000</v>
      </c>
      <c r="E19" s="4" t="s">
        <v>22</v>
      </c>
      <c r="F19" s="4" t="s">
        <v>11</v>
      </c>
      <c r="G19" s="4" t="s">
        <v>1040</v>
      </c>
      <c r="H19" s="3" t="n">
        <v>0</v>
      </c>
    </row>
    <row r="20" customFormat="false" ht="15" hidden="false" customHeight="false" outlineLevel="0" collapsed="false">
      <c r="A20" s="4" t="s">
        <v>1041</v>
      </c>
      <c r="B20" s="4" t="s">
        <v>1042</v>
      </c>
      <c r="C20" s="2" t="n">
        <v>5350</v>
      </c>
      <c r="E20" s="4" t="s">
        <v>22</v>
      </c>
      <c r="F20" s="4" t="s">
        <v>213</v>
      </c>
      <c r="G20" s="4" t="s">
        <v>1043</v>
      </c>
      <c r="H20" s="3" t="n">
        <v>0</v>
      </c>
    </row>
    <row r="21" customFormat="false" ht="15" hidden="false" customHeight="false" outlineLevel="0" collapsed="false">
      <c r="A21" s="4" t="s">
        <v>1044</v>
      </c>
      <c r="B21" s="4" t="s">
        <v>1045</v>
      </c>
      <c r="C21" s="2" t="n">
        <v>40</v>
      </c>
      <c r="E21" s="4" t="s">
        <v>1046</v>
      </c>
      <c r="F21" s="4" t="s">
        <v>30</v>
      </c>
      <c r="G21" s="4" t="s">
        <v>1047</v>
      </c>
      <c r="H21" s="3" t="n">
        <v>0</v>
      </c>
    </row>
    <row r="22" customFormat="false" ht="15" hidden="false" customHeight="false" outlineLevel="0" collapsed="false">
      <c r="A22" s="4" t="s">
        <v>1048</v>
      </c>
      <c r="B22" s="4" t="s">
        <v>1049</v>
      </c>
      <c r="C22" s="2" t="n">
        <v>10</v>
      </c>
      <c r="E22" s="4" t="s">
        <v>1050</v>
      </c>
      <c r="F22" s="4" t="s">
        <v>30</v>
      </c>
      <c r="G22" s="4" t="s">
        <v>1051</v>
      </c>
      <c r="H22" s="3" t="n">
        <v>0</v>
      </c>
    </row>
    <row r="23" customFormat="false" ht="15" hidden="false" customHeight="false" outlineLevel="0" collapsed="false">
      <c r="A23" s="4" t="s">
        <v>1052</v>
      </c>
      <c r="B23" s="4" t="s">
        <v>1053</v>
      </c>
      <c r="D23" s="20" t="str">
        <f aca="false">IF(C19/C20&lt;=150,"Microempresa",IF(C19/C20&lt;=1700,"Pequeña empresa",IF(C19/C20&lt;=2300,"Mediana empresa","Gran empresa")))</f>
        <v>Pequeña empresa</v>
      </c>
      <c r="E23" s="4" t="s">
        <v>1054</v>
      </c>
      <c r="F23" s="4" t="s">
        <v>26</v>
      </c>
      <c r="G23" s="4" t="s">
        <v>1055</v>
      </c>
      <c r="H23" s="3" t="n">
        <v>0</v>
      </c>
    </row>
  </sheetData>
  <autoFilter ref="A1:H23"/>
  <dataValidations count="2">
    <dataValidation allowBlank="true" error="Debe ser un número entero en el rango permitido." errorStyle="stop" operator="between" showDropDown="false" showErrorMessage="true" showInputMessage="false" sqref="H2:H23" type="whole">
      <formula1>0</formula1>
      <formula2>1</formula2>
    </dataValidation>
    <dataValidation allowBlank="true" error="Elija un valor de la lista." errorStyle="stop" errorTitle="Valor no válido" operator="between" showDropDown="false" showErrorMessage="true" showInputMessage="false" sqref="F2:F23" type="list">
      <formula1>"REAL,REFERENCIA,CALCULADO,ESTIMADO,SIMULADO,CONFIGURACION,PENDIENTE"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N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8" min="5" style="0" width="12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4" min="13" style="0" width="24"/>
  </cols>
  <sheetData>
    <row r="1" customFormat="false" ht="31.5" hidden="false" customHeight="true" outlineLevel="0" collapsed="false">
      <c r="A1" s="1" t="s">
        <v>249</v>
      </c>
      <c r="B1" s="1" t="s">
        <v>39</v>
      </c>
      <c r="C1" s="1" t="s">
        <v>251</v>
      </c>
      <c r="D1" s="1" t="s">
        <v>253</v>
      </c>
      <c r="E1" s="1" t="s">
        <v>255</v>
      </c>
      <c r="F1" s="1" t="s">
        <v>257</v>
      </c>
      <c r="G1" s="1" t="s">
        <v>259</v>
      </c>
      <c r="H1" s="1" t="s">
        <v>261</v>
      </c>
      <c r="I1" s="1" t="s">
        <v>263</v>
      </c>
      <c r="J1" s="1" t="s">
        <v>264</v>
      </c>
      <c r="K1" s="1" t="s">
        <v>265</v>
      </c>
      <c r="L1" s="1" t="s">
        <v>267</v>
      </c>
      <c r="M1" s="1" t="s">
        <v>269</v>
      </c>
      <c r="N1" s="1" t="s">
        <v>270</v>
      </c>
    </row>
    <row r="2" customFormat="false" ht="15" hidden="false" customHeight="false" outlineLevel="0" collapsed="false">
      <c r="A2" s="21"/>
      <c r="B2" s="21"/>
      <c r="C2" s="21"/>
      <c r="D2" s="22"/>
      <c r="E2" s="23"/>
      <c r="F2" s="23"/>
      <c r="G2" s="23"/>
      <c r="H2" s="23"/>
      <c r="I2" s="22"/>
      <c r="J2" s="22"/>
      <c r="K2" s="24"/>
      <c r="L2" s="25"/>
      <c r="M2" s="21"/>
      <c r="N2" s="21"/>
    </row>
    <row r="3" customFormat="false" ht="15" hidden="false" customHeight="false" outlineLevel="0" collapsed="false">
      <c r="A3" s="21"/>
      <c r="B3" s="21"/>
      <c r="C3" s="21"/>
      <c r="D3" s="22"/>
      <c r="E3" s="23"/>
      <c r="F3" s="23"/>
      <c r="G3" s="23"/>
      <c r="H3" s="23"/>
      <c r="I3" s="22"/>
      <c r="J3" s="22"/>
      <c r="K3" s="24"/>
      <c r="L3" s="25"/>
      <c r="M3" s="21"/>
      <c r="N3" s="21"/>
    </row>
    <row r="4" customFormat="false" ht="15" hidden="false" customHeight="false" outlineLevel="0" collapsed="false">
      <c r="A4" s="21"/>
      <c r="B4" s="21"/>
      <c r="C4" s="21"/>
      <c r="D4" s="22"/>
      <c r="E4" s="23"/>
      <c r="F4" s="23"/>
      <c r="G4" s="23"/>
      <c r="H4" s="23"/>
      <c r="I4" s="22"/>
      <c r="J4" s="22"/>
      <c r="K4" s="24"/>
      <c r="L4" s="25"/>
      <c r="M4" s="21"/>
      <c r="N4" s="21"/>
    </row>
    <row r="5" customFormat="false" ht="15" hidden="false" customHeight="false" outlineLevel="0" collapsed="false">
      <c r="A5" s="21"/>
      <c r="B5" s="21"/>
      <c r="C5" s="21"/>
      <c r="D5" s="22"/>
      <c r="E5" s="23"/>
      <c r="F5" s="23"/>
      <c r="G5" s="23"/>
      <c r="H5" s="23"/>
      <c r="I5" s="22"/>
      <c r="J5" s="22"/>
      <c r="K5" s="24"/>
      <c r="L5" s="25"/>
      <c r="M5" s="21"/>
      <c r="N5" s="21"/>
    </row>
    <row r="6" customFormat="false" ht="15" hidden="false" customHeight="false" outlineLevel="0" collapsed="false">
      <c r="A6" s="21"/>
      <c r="B6" s="21"/>
      <c r="C6" s="21"/>
      <c r="D6" s="22"/>
      <c r="E6" s="23"/>
      <c r="F6" s="23"/>
      <c r="G6" s="23"/>
      <c r="H6" s="23"/>
      <c r="I6" s="22"/>
      <c r="J6" s="22"/>
      <c r="K6" s="24"/>
      <c r="L6" s="25"/>
      <c r="M6" s="21"/>
      <c r="N6" s="21"/>
    </row>
    <row r="7" customFormat="false" ht="15" hidden="false" customHeight="false" outlineLevel="0" collapsed="false">
      <c r="A7" s="21"/>
      <c r="B7" s="21"/>
      <c r="C7" s="21"/>
      <c r="D7" s="22"/>
      <c r="E7" s="23"/>
      <c r="F7" s="23"/>
      <c r="G7" s="23"/>
      <c r="H7" s="23"/>
      <c r="I7" s="22"/>
      <c r="J7" s="22"/>
      <c r="K7" s="24"/>
      <c r="L7" s="25"/>
      <c r="M7" s="21"/>
      <c r="N7" s="21"/>
    </row>
    <row r="8" customFormat="false" ht="15" hidden="false" customHeight="false" outlineLevel="0" collapsed="false">
      <c r="A8" s="21"/>
      <c r="B8" s="21"/>
      <c r="C8" s="21"/>
      <c r="D8" s="22"/>
      <c r="E8" s="23"/>
      <c r="F8" s="23"/>
      <c r="G8" s="23"/>
      <c r="H8" s="23"/>
      <c r="I8" s="22"/>
      <c r="J8" s="22"/>
      <c r="K8" s="24"/>
      <c r="L8" s="25"/>
      <c r="M8" s="21"/>
      <c r="N8" s="21"/>
    </row>
    <row r="9" customFormat="false" ht="15" hidden="false" customHeight="false" outlineLevel="0" collapsed="false">
      <c r="A9" s="21"/>
      <c r="B9" s="21"/>
      <c r="C9" s="21"/>
      <c r="D9" s="22"/>
      <c r="E9" s="23"/>
      <c r="F9" s="23"/>
      <c r="G9" s="23"/>
      <c r="H9" s="23"/>
      <c r="I9" s="22"/>
      <c r="J9" s="22"/>
      <c r="K9" s="24"/>
      <c r="L9" s="25"/>
      <c r="M9" s="21"/>
      <c r="N9" s="21"/>
    </row>
    <row r="10" customFormat="false" ht="15" hidden="false" customHeight="false" outlineLevel="0" collapsed="false">
      <c r="A10" s="21"/>
      <c r="B10" s="21"/>
      <c r="C10" s="21"/>
      <c r="D10" s="22"/>
      <c r="E10" s="23"/>
      <c r="F10" s="23"/>
      <c r="G10" s="23"/>
      <c r="H10" s="23"/>
      <c r="I10" s="22"/>
      <c r="J10" s="22"/>
      <c r="K10" s="24"/>
      <c r="L10" s="25"/>
      <c r="M10" s="21"/>
      <c r="N10" s="21"/>
    </row>
    <row r="11" customFormat="false" ht="15" hidden="false" customHeight="false" outlineLevel="0" collapsed="false">
      <c r="A11" s="21"/>
      <c r="B11" s="21"/>
      <c r="C11" s="21"/>
      <c r="D11" s="22"/>
      <c r="E11" s="23"/>
      <c r="F11" s="23"/>
      <c r="G11" s="23"/>
      <c r="H11" s="23"/>
      <c r="I11" s="22"/>
      <c r="J11" s="22"/>
      <c r="K11" s="24"/>
      <c r="L11" s="25"/>
      <c r="M11" s="21"/>
      <c r="N11" s="21"/>
    </row>
    <row r="12" customFormat="false" ht="15" hidden="false" customHeight="false" outlineLevel="0" collapsed="false">
      <c r="A12" s="21"/>
      <c r="B12" s="21"/>
      <c r="C12" s="21"/>
      <c r="D12" s="22"/>
      <c r="E12" s="23"/>
      <c r="F12" s="23"/>
      <c r="G12" s="23"/>
      <c r="H12" s="23"/>
      <c r="I12" s="22"/>
      <c r="J12" s="22"/>
      <c r="K12" s="24"/>
      <c r="L12" s="25"/>
      <c r="M12" s="21"/>
      <c r="N12" s="21"/>
    </row>
    <row r="13" customFormat="false" ht="15" hidden="false" customHeight="false" outlineLevel="0" collapsed="false">
      <c r="A13" s="21"/>
      <c r="B13" s="21"/>
      <c r="C13" s="21"/>
      <c r="D13" s="22"/>
      <c r="E13" s="23"/>
      <c r="F13" s="23"/>
      <c r="G13" s="23"/>
      <c r="H13" s="23"/>
      <c r="I13" s="22"/>
      <c r="J13" s="22"/>
      <c r="K13" s="24"/>
      <c r="L13" s="25"/>
      <c r="M13" s="21"/>
      <c r="N13" s="21"/>
    </row>
    <row r="14" customFormat="false" ht="15" hidden="false" customHeight="false" outlineLevel="0" collapsed="false">
      <c r="A14" s="21"/>
      <c r="B14" s="21"/>
      <c r="C14" s="21"/>
      <c r="D14" s="22"/>
      <c r="E14" s="23"/>
      <c r="F14" s="23"/>
      <c r="G14" s="23"/>
      <c r="H14" s="23"/>
      <c r="I14" s="22"/>
      <c r="J14" s="22"/>
      <c r="K14" s="24"/>
      <c r="L14" s="25"/>
      <c r="M14" s="21"/>
      <c r="N14" s="21"/>
    </row>
    <row r="15" customFormat="false" ht="15" hidden="false" customHeight="false" outlineLevel="0" collapsed="false">
      <c r="A15" s="21"/>
      <c r="B15" s="21"/>
      <c r="C15" s="21"/>
      <c r="D15" s="22"/>
      <c r="E15" s="23"/>
      <c r="F15" s="23"/>
      <c r="G15" s="23"/>
      <c r="H15" s="23"/>
      <c r="I15" s="22"/>
      <c r="J15" s="22"/>
      <c r="K15" s="24"/>
      <c r="L15" s="25"/>
      <c r="M15" s="21"/>
      <c r="N15" s="21"/>
    </row>
    <row r="16" customFormat="false" ht="15" hidden="false" customHeight="false" outlineLevel="0" collapsed="false">
      <c r="A16" s="21"/>
      <c r="B16" s="21"/>
      <c r="C16" s="21"/>
      <c r="D16" s="22"/>
      <c r="E16" s="23"/>
      <c r="F16" s="23"/>
      <c r="G16" s="23"/>
      <c r="H16" s="23"/>
      <c r="I16" s="22"/>
      <c r="J16" s="22"/>
      <c r="K16" s="24"/>
      <c r="L16" s="25"/>
      <c r="M16" s="21"/>
      <c r="N16" s="21"/>
    </row>
    <row r="17" customFormat="false" ht="15" hidden="false" customHeight="false" outlineLevel="0" collapsed="false">
      <c r="A17" s="21"/>
      <c r="B17" s="21"/>
      <c r="C17" s="21"/>
      <c r="D17" s="22"/>
      <c r="E17" s="23"/>
      <c r="F17" s="23"/>
      <c r="G17" s="23"/>
      <c r="H17" s="23"/>
      <c r="I17" s="22"/>
      <c r="J17" s="22"/>
      <c r="K17" s="24"/>
      <c r="L17" s="25"/>
      <c r="M17" s="21"/>
      <c r="N17" s="21"/>
    </row>
    <row r="18" customFormat="false" ht="15" hidden="false" customHeight="false" outlineLevel="0" collapsed="false">
      <c r="A18" s="21"/>
      <c r="B18" s="21"/>
      <c r="C18" s="21"/>
      <c r="D18" s="22"/>
      <c r="E18" s="23"/>
      <c r="F18" s="23"/>
      <c r="G18" s="23"/>
      <c r="H18" s="23"/>
      <c r="I18" s="22"/>
      <c r="J18" s="22"/>
      <c r="K18" s="24"/>
      <c r="L18" s="25"/>
      <c r="M18" s="21"/>
      <c r="N18" s="21"/>
    </row>
    <row r="19" customFormat="false" ht="15" hidden="false" customHeight="false" outlineLevel="0" collapsed="false">
      <c r="A19" s="21"/>
      <c r="B19" s="21"/>
      <c r="C19" s="21"/>
      <c r="D19" s="22"/>
      <c r="E19" s="23"/>
      <c r="F19" s="23"/>
      <c r="G19" s="23"/>
      <c r="H19" s="23"/>
      <c r="I19" s="22"/>
      <c r="J19" s="22"/>
      <c r="K19" s="24"/>
      <c r="L19" s="25"/>
      <c r="M19" s="21"/>
      <c r="N19" s="21"/>
    </row>
    <row r="20" customFormat="false" ht="15" hidden="false" customHeight="false" outlineLevel="0" collapsed="false">
      <c r="A20" s="21"/>
      <c r="B20" s="21"/>
      <c r="C20" s="21"/>
      <c r="D20" s="22"/>
      <c r="E20" s="23"/>
      <c r="F20" s="23"/>
      <c r="G20" s="23"/>
      <c r="H20" s="23"/>
      <c r="I20" s="22"/>
      <c r="J20" s="22"/>
      <c r="K20" s="24"/>
      <c r="L20" s="25"/>
      <c r="M20" s="21"/>
      <c r="N20" s="21"/>
    </row>
    <row r="21" customFormat="false" ht="15" hidden="false" customHeight="false" outlineLevel="0" collapsed="false">
      <c r="A21" s="21"/>
      <c r="B21" s="21"/>
      <c r="C21" s="21"/>
      <c r="D21" s="22"/>
      <c r="E21" s="23"/>
      <c r="F21" s="23"/>
      <c r="G21" s="23"/>
      <c r="H21" s="23"/>
      <c r="I21" s="22"/>
      <c r="J21" s="22"/>
      <c r="K21" s="24"/>
      <c r="L21" s="25"/>
      <c r="M21" s="21"/>
      <c r="N21" s="21"/>
    </row>
    <row r="22" customFormat="false" ht="15" hidden="false" customHeight="false" outlineLevel="0" collapsed="false">
      <c r="A22" s="21"/>
      <c r="B22" s="21"/>
      <c r="C22" s="21"/>
      <c r="D22" s="22"/>
      <c r="E22" s="23"/>
      <c r="F22" s="23"/>
      <c r="G22" s="23"/>
      <c r="H22" s="23"/>
      <c r="I22" s="22"/>
      <c r="J22" s="22"/>
      <c r="K22" s="24"/>
      <c r="L22" s="25"/>
      <c r="M22" s="21"/>
      <c r="N22" s="21"/>
    </row>
    <row r="23" customFormat="false" ht="15" hidden="false" customHeight="false" outlineLevel="0" collapsed="false">
      <c r="A23" s="21"/>
      <c r="B23" s="21"/>
      <c r="C23" s="21"/>
      <c r="D23" s="22"/>
      <c r="E23" s="23"/>
      <c r="F23" s="23"/>
      <c r="G23" s="23"/>
      <c r="H23" s="23"/>
      <c r="I23" s="22"/>
      <c r="J23" s="22"/>
      <c r="K23" s="24"/>
      <c r="L23" s="25"/>
      <c r="M23" s="21"/>
      <c r="N23" s="21"/>
    </row>
    <row r="24" customFormat="false" ht="15" hidden="false" customHeight="false" outlineLevel="0" collapsed="false">
      <c r="A24" s="21"/>
      <c r="B24" s="21"/>
      <c r="C24" s="21"/>
      <c r="D24" s="22"/>
      <c r="E24" s="23"/>
      <c r="F24" s="23"/>
      <c r="G24" s="23"/>
      <c r="H24" s="23"/>
      <c r="I24" s="22"/>
      <c r="J24" s="22"/>
      <c r="K24" s="24"/>
      <c r="L24" s="25"/>
      <c r="M24" s="21"/>
      <c r="N24" s="21"/>
    </row>
    <row r="25" customFormat="false" ht="15" hidden="false" customHeight="false" outlineLevel="0" collapsed="false">
      <c r="A25" s="21"/>
      <c r="B25" s="21"/>
      <c r="C25" s="21"/>
      <c r="D25" s="22"/>
      <c r="E25" s="23"/>
      <c r="F25" s="23"/>
      <c r="G25" s="23"/>
      <c r="H25" s="23"/>
      <c r="I25" s="22"/>
      <c r="J25" s="22"/>
      <c r="K25" s="24"/>
      <c r="L25" s="25"/>
      <c r="M25" s="21"/>
      <c r="N25" s="21"/>
    </row>
    <row r="26" customFormat="false" ht="15" hidden="false" customHeight="false" outlineLevel="0" collapsed="false">
      <c r="A26" s="21"/>
      <c r="B26" s="21"/>
      <c r="C26" s="21"/>
      <c r="D26" s="22"/>
      <c r="E26" s="23"/>
      <c r="F26" s="23"/>
      <c r="G26" s="23"/>
      <c r="H26" s="23"/>
      <c r="I26" s="22"/>
      <c r="J26" s="22"/>
      <c r="K26" s="24"/>
      <c r="L26" s="25"/>
      <c r="M26" s="21"/>
      <c r="N26" s="21"/>
    </row>
    <row r="27" customFormat="false" ht="15" hidden="false" customHeight="false" outlineLevel="0" collapsed="false">
      <c r="A27" s="21"/>
      <c r="B27" s="21"/>
      <c r="C27" s="21"/>
      <c r="D27" s="22"/>
      <c r="E27" s="23"/>
      <c r="F27" s="23"/>
      <c r="G27" s="23"/>
      <c r="H27" s="23"/>
      <c r="I27" s="22"/>
      <c r="J27" s="22"/>
      <c r="K27" s="24"/>
      <c r="L27" s="25"/>
      <c r="M27" s="21"/>
      <c r="N27" s="21"/>
    </row>
    <row r="28" customFormat="false" ht="15" hidden="false" customHeight="false" outlineLevel="0" collapsed="false">
      <c r="A28" s="21"/>
      <c r="B28" s="21"/>
      <c r="C28" s="21"/>
      <c r="D28" s="22"/>
      <c r="E28" s="23"/>
      <c r="F28" s="23"/>
      <c r="G28" s="23"/>
      <c r="H28" s="23"/>
      <c r="I28" s="22"/>
      <c r="J28" s="22"/>
      <c r="K28" s="24"/>
      <c r="L28" s="25"/>
      <c r="M28" s="21"/>
      <c r="N28" s="21"/>
    </row>
    <row r="29" customFormat="false" ht="15" hidden="false" customHeight="false" outlineLevel="0" collapsed="false">
      <c r="A29" s="21"/>
      <c r="B29" s="21"/>
      <c r="C29" s="21"/>
      <c r="D29" s="22"/>
      <c r="E29" s="23"/>
      <c r="F29" s="23"/>
      <c r="G29" s="23"/>
      <c r="H29" s="23"/>
      <c r="I29" s="22"/>
      <c r="J29" s="22"/>
      <c r="K29" s="24"/>
      <c r="L29" s="25"/>
      <c r="M29" s="21"/>
      <c r="N29" s="21"/>
    </row>
    <row r="30" customFormat="false" ht="15" hidden="false" customHeight="false" outlineLevel="0" collapsed="false">
      <c r="A30" s="21"/>
      <c r="B30" s="21"/>
      <c r="C30" s="21"/>
      <c r="D30" s="22"/>
      <c r="E30" s="23"/>
      <c r="F30" s="23"/>
      <c r="G30" s="23"/>
      <c r="H30" s="23"/>
      <c r="I30" s="22"/>
      <c r="J30" s="22"/>
      <c r="K30" s="24"/>
      <c r="L30" s="25"/>
      <c r="M30" s="21"/>
      <c r="N30" s="21"/>
    </row>
    <row r="31" customFormat="false" ht="15" hidden="false" customHeight="false" outlineLevel="0" collapsed="false">
      <c r="A31" s="21"/>
      <c r="B31" s="21"/>
      <c r="C31" s="21"/>
      <c r="D31" s="22"/>
      <c r="E31" s="23"/>
      <c r="F31" s="23"/>
      <c r="G31" s="23"/>
      <c r="H31" s="23"/>
      <c r="I31" s="22"/>
      <c r="J31" s="22"/>
      <c r="K31" s="24"/>
      <c r="L31" s="25"/>
      <c r="M31" s="21"/>
      <c r="N31" s="21"/>
    </row>
    <row r="32" customFormat="false" ht="15" hidden="false" customHeight="false" outlineLevel="0" collapsed="false">
      <c r="A32" s="21"/>
      <c r="B32" s="21"/>
      <c r="C32" s="21"/>
      <c r="D32" s="22"/>
      <c r="E32" s="23"/>
      <c r="F32" s="23"/>
      <c r="G32" s="23"/>
      <c r="H32" s="23"/>
      <c r="I32" s="22"/>
      <c r="J32" s="22"/>
      <c r="K32" s="24"/>
      <c r="L32" s="25"/>
      <c r="M32" s="21"/>
      <c r="N32" s="21"/>
    </row>
    <row r="33" customFormat="false" ht="15" hidden="false" customHeight="false" outlineLevel="0" collapsed="false">
      <c r="A33" s="21"/>
      <c r="B33" s="21"/>
      <c r="C33" s="21"/>
      <c r="D33" s="22"/>
      <c r="E33" s="23"/>
      <c r="F33" s="23"/>
      <c r="G33" s="23"/>
      <c r="H33" s="23"/>
      <c r="I33" s="22"/>
      <c r="J33" s="22"/>
      <c r="K33" s="24"/>
      <c r="L33" s="25"/>
      <c r="M33" s="21"/>
      <c r="N33" s="21"/>
    </row>
    <row r="34" customFormat="false" ht="15" hidden="false" customHeight="false" outlineLevel="0" collapsed="false">
      <c r="A34" s="21"/>
      <c r="B34" s="21"/>
      <c r="C34" s="21"/>
      <c r="D34" s="22"/>
      <c r="E34" s="23"/>
      <c r="F34" s="23"/>
      <c r="G34" s="23"/>
      <c r="H34" s="23"/>
      <c r="I34" s="22"/>
      <c r="J34" s="22"/>
      <c r="K34" s="24"/>
      <c r="L34" s="25"/>
      <c r="M34" s="21"/>
      <c r="N34" s="21"/>
    </row>
    <row r="35" customFormat="false" ht="15" hidden="false" customHeight="false" outlineLevel="0" collapsed="false">
      <c r="A35" s="21"/>
      <c r="B35" s="21"/>
      <c r="C35" s="21"/>
      <c r="D35" s="22"/>
      <c r="E35" s="23"/>
      <c r="F35" s="23"/>
      <c r="G35" s="23"/>
      <c r="H35" s="23"/>
      <c r="I35" s="22"/>
      <c r="J35" s="22"/>
      <c r="K35" s="24"/>
      <c r="L35" s="25"/>
      <c r="M35" s="21"/>
      <c r="N35" s="21"/>
    </row>
    <row r="36" customFormat="false" ht="15" hidden="false" customHeight="false" outlineLevel="0" collapsed="false">
      <c r="A36" s="21"/>
      <c r="B36" s="21"/>
      <c r="C36" s="21"/>
      <c r="D36" s="22"/>
      <c r="E36" s="23"/>
      <c r="F36" s="23"/>
      <c r="G36" s="23"/>
      <c r="H36" s="23"/>
      <c r="I36" s="22"/>
      <c r="J36" s="22"/>
      <c r="K36" s="24"/>
      <c r="L36" s="25"/>
      <c r="M36" s="21"/>
      <c r="N36" s="21"/>
    </row>
    <row r="37" customFormat="false" ht="15" hidden="false" customHeight="false" outlineLevel="0" collapsed="false">
      <c r="A37" s="21"/>
      <c r="B37" s="21"/>
      <c r="C37" s="21"/>
      <c r="D37" s="22"/>
      <c r="E37" s="23"/>
      <c r="F37" s="23"/>
      <c r="G37" s="23"/>
      <c r="H37" s="23"/>
      <c r="I37" s="22"/>
      <c r="J37" s="22"/>
      <c r="K37" s="24"/>
      <c r="L37" s="25"/>
      <c r="M37" s="21"/>
      <c r="N37" s="21"/>
    </row>
    <row r="38" customFormat="false" ht="15" hidden="false" customHeight="false" outlineLevel="0" collapsed="false">
      <c r="A38" s="21"/>
      <c r="B38" s="21"/>
      <c r="C38" s="21"/>
      <c r="D38" s="22"/>
      <c r="E38" s="23"/>
      <c r="F38" s="23"/>
      <c r="G38" s="23"/>
      <c r="H38" s="23"/>
      <c r="I38" s="22"/>
      <c r="J38" s="22"/>
      <c r="K38" s="24"/>
      <c r="L38" s="25"/>
      <c r="M38" s="21"/>
      <c r="N38" s="21"/>
    </row>
    <row r="39" customFormat="false" ht="15" hidden="false" customHeight="false" outlineLevel="0" collapsed="false">
      <c r="A39" s="21"/>
      <c r="B39" s="21"/>
      <c r="C39" s="21"/>
      <c r="D39" s="22"/>
      <c r="E39" s="23"/>
      <c r="F39" s="23"/>
      <c r="G39" s="23"/>
      <c r="H39" s="23"/>
      <c r="I39" s="22"/>
      <c r="J39" s="22"/>
      <c r="K39" s="24"/>
      <c r="L39" s="25"/>
      <c r="M39" s="21"/>
      <c r="N39" s="21"/>
    </row>
    <row r="40" customFormat="false" ht="15" hidden="false" customHeight="false" outlineLevel="0" collapsed="false">
      <c r="A40" s="21"/>
      <c r="B40" s="21"/>
      <c r="C40" s="21"/>
      <c r="D40" s="22"/>
      <c r="E40" s="23"/>
      <c r="F40" s="23"/>
      <c r="G40" s="23"/>
      <c r="H40" s="23"/>
      <c r="I40" s="22"/>
      <c r="J40" s="22"/>
      <c r="K40" s="24"/>
      <c r="L40" s="25"/>
      <c r="M40" s="21"/>
      <c r="N40" s="21"/>
    </row>
    <row r="41" customFormat="false" ht="15" hidden="false" customHeight="false" outlineLevel="0" collapsed="false">
      <c r="A41" s="21"/>
      <c r="B41" s="21"/>
      <c r="C41" s="21"/>
      <c r="D41" s="22"/>
      <c r="E41" s="23"/>
      <c r="F41" s="23"/>
      <c r="G41" s="23"/>
      <c r="H41" s="23"/>
      <c r="I41" s="22"/>
      <c r="J41" s="22"/>
      <c r="K41" s="24"/>
      <c r="L41" s="25"/>
      <c r="M41" s="21"/>
      <c r="N41" s="21"/>
    </row>
    <row r="42" customFormat="false" ht="15" hidden="false" customHeight="false" outlineLevel="0" collapsed="false">
      <c r="A42" s="21"/>
      <c r="B42" s="21"/>
      <c r="C42" s="21"/>
      <c r="D42" s="22"/>
      <c r="E42" s="23"/>
      <c r="F42" s="23"/>
      <c r="G42" s="23"/>
      <c r="H42" s="23"/>
      <c r="I42" s="22"/>
      <c r="J42" s="22"/>
      <c r="K42" s="24"/>
      <c r="L42" s="25"/>
      <c r="M42" s="21"/>
      <c r="N42" s="21"/>
    </row>
    <row r="43" customFormat="false" ht="15" hidden="false" customHeight="false" outlineLevel="0" collapsed="false">
      <c r="A43" s="21"/>
      <c r="B43" s="21"/>
      <c r="C43" s="21"/>
      <c r="D43" s="22"/>
      <c r="E43" s="23"/>
      <c r="F43" s="23"/>
      <c r="G43" s="23"/>
      <c r="H43" s="23"/>
      <c r="I43" s="22"/>
      <c r="J43" s="22"/>
      <c r="K43" s="24"/>
      <c r="L43" s="25"/>
      <c r="M43" s="21"/>
      <c r="N43" s="21"/>
    </row>
    <row r="44" customFormat="false" ht="15" hidden="false" customHeight="false" outlineLevel="0" collapsed="false">
      <c r="A44" s="21"/>
      <c r="B44" s="21"/>
      <c r="C44" s="21"/>
      <c r="D44" s="22"/>
      <c r="E44" s="23"/>
      <c r="F44" s="23"/>
      <c r="G44" s="23"/>
      <c r="H44" s="23"/>
      <c r="I44" s="22"/>
      <c r="J44" s="22"/>
      <c r="K44" s="24"/>
      <c r="L44" s="25"/>
      <c r="M44" s="21"/>
      <c r="N44" s="21"/>
    </row>
    <row r="45" customFormat="false" ht="15" hidden="false" customHeight="false" outlineLevel="0" collapsed="false">
      <c r="A45" s="21"/>
      <c r="B45" s="21"/>
      <c r="C45" s="21"/>
      <c r="D45" s="22"/>
      <c r="E45" s="23"/>
      <c r="F45" s="23"/>
      <c r="G45" s="23"/>
      <c r="H45" s="23"/>
      <c r="I45" s="22"/>
      <c r="J45" s="22"/>
      <c r="K45" s="24"/>
      <c r="L45" s="25"/>
      <c r="M45" s="21"/>
      <c r="N45" s="21"/>
    </row>
    <row r="46" customFormat="false" ht="15" hidden="false" customHeight="false" outlineLevel="0" collapsed="false">
      <c r="A46" s="21"/>
      <c r="B46" s="21"/>
      <c r="C46" s="21"/>
      <c r="D46" s="22"/>
      <c r="E46" s="23"/>
      <c r="F46" s="23"/>
      <c r="G46" s="23"/>
      <c r="H46" s="23"/>
      <c r="I46" s="22"/>
      <c r="J46" s="22"/>
      <c r="K46" s="24"/>
      <c r="L46" s="25"/>
      <c r="M46" s="21"/>
      <c r="N46" s="21"/>
    </row>
    <row r="47" customFormat="false" ht="15" hidden="false" customHeight="false" outlineLevel="0" collapsed="false">
      <c r="A47" s="21"/>
      <c r="B47" s="21"/>
      <c r="C47" s="21"/>
      <c r="D47" s="22"/>
      <c r="E47" s="23"/>
      <c r="F47" s="23"/>
      <c r="G47" s="23"/>
      <c r="H47" s="23"/>
      <c r="I47" s="22"/>
      <c r="J47" s="22"/>
      <c r="K47" s="24"/>
      <c r="L47" s="25"/>
      <c r="M47" s="21"/>
      <c r="N47" s="21"/>
    </row>
    <row r="48" customFormat="false" ht="15" hidden="false" customHeight="false" outlineLevel="0" collapsed="false">
      <c r="A48" s="21"/>
      <c r="B48" s="21"/>
      <c r="C48" s="21"/>
      <c r="D48" s="22"/>
      <c r="E48" s="23"/>
      <c r="F48" s="23"/>
      <c r="G48" s="23"/>
      <c r="H48" s="23"/>
      <c r="I48" s="22"/>
      <c r="J48" s="22"/>
      <c r="K48" s="24"/>
      <c r="L48" s="25"/>
      <c r="M48" s="21"/>
      <c r="N48" s="21"/>
    </row>
    <row r="49" customFormat="false" ht="15" hidden="false" customHeight="false" outlineLevel="0" collapsed="false">
      <c r="A49" s="21"/>
      <c r="B49" s="21"/>
      <c r="C49" s="21"/>
      <c r="D49" s="22"/>
      <c r="E49" s="23"/>
      <c r="F49" s="23"/>
      <c r="G49" s="23"/>
      <c r="H49" s="23"/>
      <c r="I49" s="22"/>
      <c r="J49" s="22"/>
      <c r="K49" s="24"/>
      <c r="L49" s="25"/>
      <c r="M49" s="21"/>
      <c r="N49" s="21"/>
    </row>
    <row r="50" customFormat="false" ht="15" hidden="false" customHeight="false" outlineLevel="0" collapsed="false">
      <c r="A50" s="21"/>
      <c r="B50" s="21"/>
      <c r="C50" s="21"/>
      <c r="D50" s="22"/>
      <c r="E50" s="23"/>
      <c r="F50" s="23"/>
      <c r="G50" s="23"/>
      <c r="H50" s="23"/>
      <c r="I50" s="22"/>
      <c r="J50" s="22"/>
      <c r="K50" s="24"/>
      <c r="L50" s="25"/>
      <c r="M50" s="21"/>
      <c r="N50" s="21"/>
    </row>
    <row r="51" customFormat="false" ht="15" hidden="false" customHeight="false" outlineLevel="0" collapsed="false">
      <c r="A51" s="21"/>
      <c r="B51" s="21"/>
      <c r="C51" s="21"/>
      <c r="D51" s="22"/>
      <c r="E51" s="23"/>
      <c r="F51" s="23"/>
      <c r="G51" s="23"/>
      <c r="H51" s="23"/>
      <c r="I51" s="22"/>
      <c r="J51" s="22"/>
      <c r="K51" s="24"/>
      <c r="L51" s="25"/>
      <c r="M51" s="21"/>
      <c r="N51" s="21"/>
    </row>
    <row r="52" customFormat="false" ht="15" hidden="false" customHeight="false" outlineLevel="0" collapsed="false">
      <c r="A52" s="21"/>
      <c r="B52" s="21"/>
      <c r="C52" s="21"/>
      <c r="D52" s="22"/>
      <c r="E52" s="23"/>
      <c r="F52" s="23"/>
      <c r="G52" s="23"/>
      <c r="H52" s="23"/>
      <c r="I52" s="22"/>
      <c r="J52" s="22"/>
      <c r="K52" s="24"/>
      <c r="L52" s="25"/>
      <c r="M52" s="21"/>
      <c r="N52" s="21"/>
    </row>
    <row r="53" customFormat="false" ht="15" hidden="false" customHeight="false" outlineLevel="0" collapsed="false">
      <c r="A53" s="21"/>
      <c r="B53" s="21"/>
      <c r="C53" s="21"/>
      <c r="D53" s="22"/>
      <c r="E53" s="23"/>
      <c r="F53" s="23"/>
      <c r="G53" s="23"/>
      <c r="H53" s="23"/>
      <c r="I53" s="22"/>
      <c r="J53" s="22"/>
      <c r="K53" s="24"/>
      <c r="L53" s="25"/>
      <c r="M53" s="21"/>
      <c r="N53" s="21"/>
    </row>
    <row r="54" customFormat="false" ht="15" hidden="false" customHeight="false" outlineLevel="0" collapsed="false">
      <c r="A54" s="21"/>
      <c r="B54" s="21"/>
      <c r="C54" s="21"/>
      <c r="D54" s="22"/>
      <c r="E54" s="23"/>
      <c r="F54" s="23"/>
      <c r="G54" s="23"/>
      <c r="H54" s="23"/>
      <c r="I54" s="22"/>
      <c r="J54" s="22"/>
      <c r="K54" s="24"/>
      <c r="L54" s="25"/>
      <c r="M54" s="21"/>
      <c r="N54" s="21"/>
    </row>
    <row r="55" customFormat="false" ht="15" hidden="false" customHeight="false" outlineLevel="0" collapsed="false">
      <c r="A55" s="21"/>
      <c r="B55" s="21"/>
      <c r="C55" s="21"/>
      <c r="D55" s="22"/>
      <c r="E55" s="23"/>
      <c r="F55" s="23"/>
      <c r="G55" s="23"/>
      <c r="H55" s="23"/>
      <c r="I55" s="22"/>
      <c r="J55" s="22"/>
      <c r="K55" s="24"/>
      <c r="L55" s="25"/>
      <c r="M55" s="21"/>
      <c r="N55" s="21"/>
    </row>
    <row r="56" customFormat="false" ht="15" hidden="false" customHeight="false" outlineLevel="0" collapsed="false">
      <c r="A56" s="21"/>
      <c r="B56" s="21"/>
      <c r="C56" s="21"/>
      <c r="D56" s="22"/>
      <c r="E56" s="23"/>
      <c r="F56" s="23"/>
      <c r="G56" s="23"/>
      <c r="H56" s="23"/>
      <c r="I56" s="22"/>
      <c r="J56" s="22"/>
      <c r="K56" s="24"/>
      <c r="L56" s="25"/>
      <c r="M56" s="21"/>
      <c r="N56" s="21"/>
    </row>
    <row r="57" customFormat="false" ht="15" hidden="false" customHeight="false" outlineLevel="0" collapsed="false">
      <c r="A57" s="21"/>
      <c r="B57" s="21"/>
      <c r="C57" s="21"/>
      <c r="D57" s="22"/>
      <c r="E57" s="23"/>
      <c r="F57" s="23"/>
      <c r="G57" s="23"/>
      <c r="H57" s="23"/>
      <c r="I57" s="22"/>
      <c r="J57" s="22"/>
      <c r="K57" s="24"/>
      <c r="L57" s="25"/>
      <c r="M57" s="21"/>
      <c r="N57" s="21"/>
    </row>
    <row r="58" customFormat="false" ht="15" hidden="false" customHeight="false" outlineLevel="0" collapsed="false">
      <c r="A58" s="21"/>
      <c r="B58" s="21"/>
      <c r="C58" s="21"/>
      <c r="D58" s="22"/>
      <c r="E58" s="23"/>
      <c r="F58" s="23"/>
      <c r="G58" s="23"/>
      <c r="H58" s="23"/>
      <c r="I58" s="22"/>
      <c r="J58" s="22"/>
      <c r="K58" s="24"/>
      <c r="L58" s="25"/>
      <c r="M58" s="21"/>
      <c r="N58" s="21"/>
    </row>
    <row r="59" customFormat="false" ht="15" hidden="false" customHeight="false" outlineLevel="0" collapsed="false">
      <c r="A59" s="21"/>
      <c r="B59" s="21"/>
      <c r="C59" s="21"/>
      <c r="D59" s="22"/>
      <c r="E59" s="23"/>
      <c r="F59" s="23"/>
      <c r="G59" s="23"/>
      <c r="H59" s="23"/>
      <c r="I59" s="22"/>
      <c r="J59" s="22"/>
      <c r="K59" s="24"/>
      <c r="L59" s="25"/>
      <c r="M59" s="21"/>
      <c r="N59" s="21"/>
    </row>
    <row r="60" customFormat="false" ht="15" hidden="false" customHeight="false" outlineLevel="0" collapsed="false">
      <c r="A60" s="21"/>
      <c r="B60" s="21"/>
      <c r="C60" s="21"/>
      <c r="D60" s="22"/>
      <c r="E60" s="23"/>
      <c r="F60" s="23"/>
      <c r="G60" s="23"/>
      <c r="H60" s="23"/>
      <c r="I60" s="22"/>
      <c r="J60" s="22"/>
      <c r="K60" s="24"/>
      <c r="L60" s="25"/>
      <c r="M60" s="21"/>
      <c r="N60" s="21"/>
    </row>
    <row r="61" customFormat="false" ht="15" hidden="false" customHeight="false" outlineLevel="0" collapsed="false">
      <c r="A61" s="21"/>
      <c r="B61" s="21"/>
      <c r="C61" s="21"/>
      <c r="D61" s="22"/>
      <c r="E61" s="23"/>
      <c r="F61" s="23"/>
      <c r="G61" s="23"/>
      <c r="H61" s="23"/>
      <c r="I61" s="22"/>
      <c r="J61" s="22"/>
      <c r="K61" s="24"/>
      <c r="L61" s="25"/>
      <c r="M61" s="21"/>
      <c r="N61" s="21"/>
    </row>
    <row r="62" customFormat="false" ht="15" hidden="false" customHeight="false" outlineLevel="0" collapsed="false">
      <c r="A62" s="21"/>
      <c r="B62" s="21"/>
      <c r="C62" s="21"/>
      <c r="D62" s="22"/>
      <c r="E62" s="23"/>
      <c r="F62" s="23"/>
      <c r="G62" s="23"/>
      <c r="H62" s="23"/>
      <c r="I62" s="22"/>
      <c r="J62" s="22"/>
      <c r="K62" s="24"/>
      <c r="L62" s="25"/>
      <c r="M62" s="21"/>
      <c r="N62" s="21"/>
    </row>
    <row r="63" customFormat="false" ht="15" hidden="false" customHeight="false" outlineLevel="0" collapsed="false">
      <c r="A63" s="21"/>
      <c r="B63" s="21"/>
      <c r="C63" s="21"/>
      <c r="D63" s="22"/>
      <c r="E63" s="23"/>
      <c r="F63" s="23"/>
      <c r="G63" s="23"/>
      <c r="H63" s="23"/>
      <c r="I63" s="22"/>
      <c r="J63" s="22"/>
      <c r="K63" s="24"/>
      <c r="L63" s="25"/>
      <c r="M63" s="21"/>
      <c r="N63" s="21"/>
    </row>
    <row r="64" customFormat="false" ht="15" hidden="false" customHeight="false" outlineLevel="0" collapsed="false">
      <c r="A64" s="21"/>
      <c r="B64" s="21"/>
      <c r="C64" s="21"/>
      <c r="D64" s="22"/>
      <c r="E64" s="23"/>
      <c r="F64" s="23"/>
      <c r="G64" s="23"/>
      <c r="H64" s="23"/>
      <c r="I64" s="22"/>
      <c r="J64" s="22"/>
      <c r="K64" s="24"/>
      <c r="L64" s="25"/>
      <c r="M64" s="21"/>
      <c r="N64" s="21"/>
    </row>
    <row r="65" customFormat="false" ht="15" hidden="false" customHeight="false" outlineLevel="0" collapsed="false">
      <c r="A65" s="21"/>
      <c r="B65" s="21"/>
      <c r="C65" s="21"/>
      <c r="D65" s="22"/>
      <c r="E65" s="23"/>
      <c r="F65" s="23"/>
      <c r="G65" s="23"/>
      <c r="H65" s="23"/>
      <c r="I65" s="22"/>
      <c r="J65" s="22"/>
      <c r="K65" s="24"/>
      <c r="L65" s="25"/>
      <c r="M65" s="21"/>
      <c r="N65" s="21"/>
    </row>
    <row r="66" customFormat="false" ht="15" hidden="false" customHeight="false" outlineLevel="0" collapsed="false">
      <c r="A66" s="21"/>
      <c r="B66" s="21"/>
      <c r="C66" s="21"/>
      <c r="D66" s="22"/>
      <c r="E66" s="23"/>
      <c r="F66" s="23"/>
      <c r="G66" s="23"/>
      <c r="H66" s="23"/>
      <c r="I66" s="22"/>
      <c r="J66" s="22"/>
      <c r="K66" s="24"/>
      <c r="L66" s="25"/>
      <c r="M66" s="21"/>
      <c r="N66" s="21"/>
    </row>
    <row r="67" customFormat="false" ht="15" hidden="false" customHeight="false" outlineLevel="0" collapsed="false">
      <c r="A67" s="21"/>
      <c r="B67" s="21"/>
      <c r="C67" s="21"/>
      <c r="D67" s="22"/>
      <c r="E67" s="23"/>
      <c r="F67" s="23"/>
      <c r="G67" s="23"/>
      <c r="H67" s="23"/>
      <c r="I67" s="22"/>
      <c r="J67" s="22"/>
      <c r="K67" s="24"/>
      <c r="L67" s="25"/>
      <c r="M67" s="21"/>
      <c r="N67" s="21"/>
    </row>
    <row r="68" customFormat="false" ht="15" hidden="false" customHeight="false" outlineLevel="0" collapsed="false">
      <c r="A68" s="21"/>
      <c r="B68" s="21"/>
      <c r="C68" s="21"/>
      <c r="D68" s="22"/>
      <c r="E68" s="23"/>
      <c r="F68" s="23"/>
      <c r="G68" s="23"/>
      <c r="H68" s="23"/>
      <c r="I68" s="22"/>
      <c r="J68" s="22"/>
      <c r="K68" s="24"/>
      <c r="L68" s="25"/>
      <c r="M68" s="21"/>
      <c r="N68" s="21"/>
    </row>
    <row r="69" customFormat="false" ht="15" hidden="false" customHeight="false" outlineLevel="0" collapsed="false">
      <c r="A69" s="21"/>
      <c r="B69" s="21"/>
      <c r="C69" s="21"/>
      <c r="D69" s="22"/>
      <c r="E69" s="23"/>
      <c r="F69" s="23"/>
      <c r="G69" s="23"/>
      <c r="H69" s="23"/>
      <c r="I69" s="22"/>
      <c r="J69" s="22"/>
      <c r="K69" s="24"/>
      <c r="L69" s="25"/>
      <c r="M69" s="21"/>
      <c r="N69" s="21"/>
    </row>
    <row r="70" customFormat="false" ht="15" hidden="false" customHeight="false" outlineLevel="0" collapsed="false">
      <c r="A70" s="21"/>
      <c r="B70" s="21"/>
      <c r="C70" s="21"/>
      <c r="D70" s="22"/>
      <c r="E70" s="23"/>
      <c r="F70" s="23"/>
      <c r="G70" s="23"/>
      <c r="H70" s="23"/>
      <c r="I70" s="22"/>
      <c r="J70" s="22"/>
      <c r="K70" s="24"/>
      <c r="L70" s="25"/>
      <c r="M70" s="21"/>
      <c r="N70" s="21"/>
    </row>
    <row r="71" customFormat="false" ht="15" hidden="false" customHeight="false" outlineLevel="0" collapsed="false">
      <c r="A71" s="21"/>
      <c r="B71" s="21"/>
      <c r="C71" s="21"/>
      <c r="D71" s="22"/>
      <c r="E71" s="23"/>
      <c r="F71" s="23"/>
      <c r="G71" s="23"/>
      <c r="H71" s="23"/>
      <c r="I71" s="22"/>
      <c r="J71" s="22"/>
      <c r="K71" s="24"/>
      <c r="L71" s="25"/>
      <c r="M71" s="21"/>
      <c r="N71" s="21"/>
    </row>
    <row r="72" customFormat="false" ht="15" hidden="false" customHeight="false" outlineLevel="0" collapsed="false">
      <c r="A72" s="21"/>
      <c r="B72" s="21"/>
      <c r="C72" s="21"/>
      <c r="D72" s="22"/>
      <c r="E72" s="23"/>
      <c r="F72" s="23"/>
      <c r="G72" s="23"/>
      <c r="H72" s="23"/>
      <c r="I72" s="22"/>
      <c r="J72" s="22"/>
      <c r="K72" s="24"/>
      <c r="L72" s="25"/>
      <c r="M72" s="21"/>
      <c r="N72" s="21"/>
    </row>
    <row r="73" customFormat="false" ht="15" hidden="false" customHeight="false" outlineLevel="0" collapsed="false">
      <c r="A73" s="21"/>
      <c r="B73" s="21"/>
      <c r="C73" s="21"/>
      <c r="D73" s="22"/>
      <c r="E73" s="23"/>
      <c r="F73" s="23"/>
      <c r="G73" s="23"/>
      <c r="H73" s="23"/>
      <c r="I73" s="22"/>
      <c r="J73" s="22"/>
      <c r="K73" s="24"/>
      <c r="L73" s="25"/>
      <c r="M73" s="21"/>
      <c r="N73" s="21"/>
    </row>
    <row r="74" customFormat="false" ht="15" hidden="false" customHeight="false" outlineLevel="0" collapsed="false">
      <c r="A74" s="21"/>
      <c r="B74" s="21"/>
      <c r="C74" s="21"/>
      <c r="D74" s="22"/>
      <c r="E74" s="23"/>
      <c r="F74" s="23"/>
      <c r="G74" s="23"/>
      <c r="H74" s="23"/>
      <c r="I74" s="22"/>
      <c r="J74" s="22"/>
      <c r="K74" s="24"/>
      <c r="L74" s="25"/>
      <c r="M74" s="21"/>
      <c r="N74" s="21"/>
    </row>
    <row r="75" customFormat="false" ht="15" hidden="false" customHeight="false" outlineLevel="0" collapsed="false">
      <c r="A75" s="21"/>
      <c r="B75" s="21"/>
      <c r="C75" s="21"/>
      <c r="D75" s="22"/>
      <c r="E75" s="23"/>
      <c r="F75" s="23"/>
      <c r="G75" s="23"/>
      <c r="H75" s="23"/>
      <c r="I75" s="22"/>
      <c r="J75" s="22"/>
      <c r="K75" s="24"/>
      <c r="L75" s="25"/>
      <c r="M75" s="21"/>
      <c r="N75" s="21"/>
    </row>
    <row r="76" customFormat="false" ht="15" hidden="false" customHeight="false" outlineLevel="0" collapsed="false">
      <c r="A76" s="21"/>
      <c r="B76" s="21"/>
      <c r="C76" s="21"/>
      <c r="D76" s="22"/>
      <c r="E76" s="23"/>
      <c r="F76" s="23"/>
      <c r="G76" s="23"/>
      <c r="H76" s="23"/>
      <c r="I76" s="22"/>
      <c r="J76" s="22"/>
      <c r="K76" s="24"/>
      <c r="L76" s="25"/>
      <c r="M76" s="21"/>
      <c r="N76" s="21"/>
    </row>
    <row r="77" customFormat="false" ht="15" hidden="false" customHeight="false" outlineLevel="0" collapsed="false">
      <c r="A77" s="21"/>
      <c r="B77" s="21"/>
      <c r="C77" s="21"/>
      <c r="D77" s="22"/>
      <c r="E77" s="23"/>
      <c r="F77" s="23"/>
      <c r="G77" s="23"/>
      <c r="H77" s="23"/>
      <c r="I77" s="22"/>
      <c r="J77" s="22"/>
      <c r="K77" s="24"/>
      <c r="L77" s="25"/>
      <c r="M77" s="21"/>
      <c r="N77" s="21"/>
    </row>
    <row r="78" customFormat="false" ht="15" hidden="false" customHeight="false" outlineLevel="0" collapsed="false">
      <c r="A78" s="21"/>
      <c r="B78" s="21"/>
      <c r="C78" s="21"/>
      <c r="D78" s="22"/>
      <c r="E78" s="23"/>
      <c r="F78" s="23"/>
      <c r="G78" s="23"/>
      <c r="H78" s="23"/>
      <c r="I78" s="22"/>
      <c r="J78" s="22"/>
      <c r="K78" s="24"/>
      <c r="L78" s="25"/>
      <c r="M78" s="21"/>
      <c r="N78" s="21"/>
    </row>
    <row r="79" customFormat="false" ht="15" hidden="false" customHeight="false" outlineLevel="0" collapsed="false">
      <c r="A79" s="21"/>
      <c r="B79" s="21"/>
      <c r="C79" s="21"/>
      <c r="D79" s="22"/>
      <c r="E79" s="23"/>
      <c r="F79" s="23"/>
      <c r="G79" s="23"/>
      <c r="H79" s="23"/>
      <c r="I79" s="22"/>
      <c r="J79" s="22"/>
      <c r="K79" s="24"/>
      <c r="L79" s="25"/>
      <c r="M79" s="21"/>
      <c r="N79" s="21"/>
    </row>
    <row r="80" customFormat="false" ht="15" hidden="false" customHeight="false" outlineLevel="0" collapsed="false">
      <c r="A80" s="21"/>
      <c r="B80" s="21"/>
      <c r="C80" s="21"/>
      <c r="D80" s="22"/>
      <c r="E80" s="23"/>
      <c r="F80" s="23"/>
      <c r="G80" s="23"/>
      <c r="H80" s="23"/>
      <c r="I80" s="22"/>
      <c r="J80" s="22"/>
      <c r="K80" s="24"/>
      <c r="L80" s="25"/>
      <c r="M80" s="21"/>
      <c r="N80" s="21"/>
    </row>
    <row r="81" customFormat="false" ht="15" hidden="false" customHeight="false" outlineLevel="0" collapsed="false">
      <c r="A81" s="21"/>
      <c r="B81" s="21"/>
      <c r="C81" s="21"/>
      <c r="D81" s="22"/>
      <c r="E81" s="23"/>
      <c r="F81" s="23"/>
      <c r="G81" s="23"/>
      <c r="H81" s="23"/>
      <c r="I81" s="22"/>
      <c r="J81" s="22"/>
      <c r="K81" s="24"/>
      <c r="L81" s="25"/>
      <c r="M81" s="21"/>
      <c r="N81" s="21"/>
    </row>
    <row r="82" customFormat="false" ht="15" hidden="false" customHeight="false" outlineLevel="0" collapsed="false">
      <c r="A82" s="21"/>
      <c r="B82" s="21"/>
      <c r="C82" s="21"/>
      <c r="D82" s="22"/>
      <c r="E82" s="23"/>
      <c r="F82" s="23"/>
      <c r="G82" s="23"/>
      <c r="H82" s="23"/>
      <c r="I82" s="22"/>
      <c r="J82" s="22"/>
      <c r="K82" s="24"/>
      <c r="L82" s="25"/>
      <c r="M82" s="21"/>
      <c r="N82" s="21"/>
    </row>
    <row r="83" customFormat="false" ht="15" hidden="false" customHeight="false" outlineLevel="0" collapsed="false">
      <c r="A83" s="21"/>
      <c r="B83" s="21"/>
      <c r="C83" s="21"/>
      <c r="D83" s="22"/>
      <c r="E83" s="23"/>
      <c r="F83" s="23"/>
      <c r="G83" s="23"/>
      <c r="H83" s="23"/>
      <c r="I83" s="22"/>
      <c r="J83" s="22"/>
      <c r="K83" s="24"/>
      <c r="L83" s="25"/>
      <c r="M83" s="21"/>
      <c r="N83" s="21"/>
    </row>
    <row r="84" customFormat="false" ht="15" hidden="false" customHeight="false" outlineLevel="0" collapsed="false">
      <c r="A84" s="21"/>
      <c r="B84" s="21"/>
      <c r="C84" s="21"/>
      <c r="D84" s="22"/>
      <c r="E84" s="23"/>
      <c r="F84" s="23"/>
      <c r="G84" s="23"/>
      <c r="H84" s="23"/>
      <c r="I84" s="22"/>
      <c r="J84" s="22"/>
      <c r="K84" s="24"/>
      <c r="L84" s="25"/>
      <c r="M84" s="21"/>
      <c r="N84" s="21"/>
    </row>
    <row r="85" customFormat="false" ht="15" hidden="false" customHeight="false" outlineLevel="0" collapsed="false">
      <c r="A85" s="21"/>
      <c r="B85" s="21"/>
      <c r="C85" s="21"/>
      <c r="D85" s="22"/>
      <c r="E85" s="23"/>
      <c r="F85" s="23"/>
      <c r="G85" s="23"/>
      <c r="H85" s="23"/>
      <c r="I85" s="22"/>
      <c r="J85" s="22"/>
      <c r="K85" s="24"/>
      <c r="L85" s="25"/>
      <c r="M85" s="21"/>
      <c r="N85" s="21"/>
    </row>
    <row r="86" customFormat="false" ht="15" hidden="false" customHeight="false" outlineLevel="0" collapsed="false">
      <c r="A86" s="21"/>
      <c r="B86" s="21"/>
      <c r="C86" s="21"/>
      <c r="D86" s="22"/>
      <c r="E86" s="23"/>
      <c r="F86" s="23"/>
      <c r="G86" s="23"/>
      <c r="H86" s="23"/>
      <c r="I86" s="22"/>
      <c r="J86" s="22"/>
      <c r="K86" s="24"/>
      <c r="L86" s="25"/>
      <c r="M86" s="21"/>
      <c r="N86" s="21"/>
    </row>
    <row r="87" customFormat="false" ht="15" hidden="false" customHeight="false" outlineLevel="0" collapsed="false">
      <c r="A87" s="21"/>
      <c r="B87" s="21"/>
      <c r="C87" s="21"/>
      <c r="D87" s="22"/>
      <c r="E87" s="23"/>
      <c r="F87" s="23"/>
      <c r="G87" s="23"/>
      <c r="H87" s="23"/>
      <c r="I87" s="22"/>
      <c r="J87" s="22"/>
      <c r="K87" s="24"/>
      <c r="L87" s="25"/>
      <c r="M87" s="21"/>
      <c r="N87" s="21"/>
    </row>
    <row r="88" customFormat="false" ht="15" hidden="false" customHeight="false" outlineLevel="0" collapsed="false">
      <c r="A88" s="21"/>
      <c r="B88" s="21"/>
      <c r="C88" s="21"/>
      <c r="D88" s="22"/>
      <c r="E88" s="23"/>
      <c r="F88" s="23"/>
      <c r="G88" s="23"/>
      <c r="H88" s="23"/>
      <c r="I88" s="22"/>
      <c r="J88" s="22"/>
      <c r="K88" s="24"/>
      <c r="L88" s="25"/>
      <c r="M88" s="21"/>
      <c r="N88" s="21"/>
    </row>
    <row r="89" customFormat="false" ht="15" hidden="false" customHeight="false" outlineLevel="0" collapsed="false">
      <c r="A89" s="21"/>
      <c r="B89" s="21"/>
      <c r="C89" s="21"/>
      <c r="D89" s="22"/>
      <c r="E89" s="23"/>
      <c r="F89" s="23"/>
      <c r="G89" s="23"/>
      <c r="H89" s="23"/>
      <c r="I89" s="22"/>
      <c r="J89" s="22"/>
      <c r="K89" s="24"/>
      <c r="L89" s="25"/>
      <c r="M89" s="21"/>
      <c r="N89" s="21"/>
    </row>
    <row r="90" customFormat="false" ht="15" hidden="false" customHeight="false" outlineLevel="0" collapsed="false">
      <c r="A90" s="21"/>
      <c r="B90" s="21"/>
      <c r="C90" s="21"/>
      <c r="D90" s="22"/>
      <c r="E90" s="23"/>
      <c r="F90" s="23"/>
      <c r="G90" s="23"/>
      <c r="H90" s="23"/>
      <c r="I90" s="22"/>
      <c r="J90" s="22"/>
      <c r="K90" s="24"/>
      <c r="L90" s="25"/>
      <c r="M90" s="21"/>
      <c r="N90" s="21"/>
    </row>
    <row r="91" customFormat="false" ht="15" hidden="false" customHeight="false" outlineLevel="0" collapsed="false">
      <c r="A91" s="21"/>
      <c r="B91" s="21"/>
      <c r="C91" s="21"/>
      <c r="D91" s="22"/>
      <c r="E91" s="23"/>
      <c r="F91" s="23"/>
      <c r="G91" s="23"/>
      <c r="H91" s="23"/>
      <c r="I91" s="22"/>
      <c r="J91" s="22"/>
      <c r="K91" s="24"/>
      <c r="L91" s="25"/>
      <c r="M91" s="21"/>
      <c r="N91" s="21"/>
    </row>
    <row r="92" customFormat="false" ht="15" hidden="false" customHeight="false" outlineLevel="0" collapsed="false">
      <c r="A92" s="21"/>
      <c r="B92" s="21"/>
      <c r="C92" s="21"/>
      <c r="D92" s="22"/>
      <c r="E92" s="23"/>
      <c r="F92" s="23"/>
      <c r="G92" s="23"/>
      <c r="H92" s="23"/>
      <c r="I92" s="22"/>
      <c r="J92" s="22"/>
      <c r="K92" s="24"/>
      <c r="L92" s="25"/>
      <c r="M92" s="21"/>
      <c r="N92" s="21"/>
    </row>
    <row r="93" customFormat="false" ht="15" hidden="false" customHeight="false" outlineLevel="0" collapsed="false">
      <c r="A93" s="21"/>
      <c r="B93" s="21"/>
      <c r="C93" s="21"/>
      <c r="D93" s="22"/>
      <c r="E93" s="23"/>
      <c r="F93" s="23"/>
      <c r="G93" s="23"/>
      <c r="H93" s="23"/>
      <c r="I93" s="22"/>
      <c r="J93" s="22"/>
      <c r="K93" s="24"/>
      <c r="L93" s="25"/>
      <c r="M93" s="21"/>
      <c r="N93" s="21"/>
    </row>
    <row r="94" customFormat="false" ht="15" hidden="false" customHeight="false" outlineLevel="0" collapsed="false">
      <c r="A94" s="21"/>
      <c r="B94" s="21"/>
      <c r="C94" s="21"/>
      <c r="D94" s="22"/>
      <c r="E94" s="23"/>
      <c r="F94" s="23"/>
      <c r="G94" s="23"/>
      <c r="H94" s="23"/>
      <c r="I94" s="22"/>
      <c r="J94" s="22"/>
      <c r="K94" s="24"/>
      <c r="L94" s="25"/>
      <c r="M94" s="21"/>
      <c r="N94" s="21"/>
    </row>
    <row r="95" customFormat="false" ht="15" hidden="false" customHeight="false" outlineLevel="0" collapsed="false">
      <c r="A95" s="21"/>
      <c r="B95" s="21"/>
      <c r="C95" s="21"/>
      <c r="D95" s="22"/>
      <c r="E95" s="23"/>
      <c r="F95" s="23"/>
      <c r="G95" s="23"/>
      <c r="H95" s="23"/>
      <c r="I95" s="22"/>
      <c r="J95" s="22"/>
      <c r="K95" s="24"/>
      <c r="L95" s="25"/>
      <c r="M95" s="21"/>
      <c r="N95" s="21"/>
    </row>
    <row r="96" customFormat="false" ht="15" hidden="false" customHeight="false" outlineLevel="0" collapsed="false">
      <c r="A96" s="21"/>
      <c r="B96" s="21"/>
      <c r="C96" s="21"/>
      <c r="D96" s="22"/>
      <c r="E96" s="23"/>
      <c r="F96" s="23"/>
      <c r="G96" s="23"/>
      <c r="H96" s="23"/>
      <c r="I96" s="22"/>
      <c r="J96" s="22"/>
      <c r="K96" s="24"/>
      <c r="L96" s="25"/>
      <c r="M96" s="21"/>
      <c r="N96" s="21"/>
    </row>
    <row r="97" customFormat="false" ht="15" hidden="false" customHeight="false" outlineLevel="0" collapsed="false">
      <c r="A97" s="21"/>
      <c r="B97" s="21"/>
      <c r="C97" s="21"/>
      <c r="D97" s="22"/>
      <c r="E97" s="23"/>
      <c r="F97" s="23"/>
      <c r="G97" s="23"/>
      <c r="H97" s="23"/>
      <c r="I97" s="22"/>
      <c r="J97" s="22"/>
      <c r="K97" s="24"/>
      <c r="L97" s="25"/>
      <c r="M97" s="21"/>
      <c r="N97" s="21"/>
    </row>
    <row r="98" customFormat="false" ht="15" hidden="false" customHeight="false" outlineLevel="0" collapsed="false">
      <c r="A98" s="21"/>
      <c r="B98" s="21"/>
      <c r="C98" s="21"/>
      <c r="D98" s="22"/>
      <c r="E98" s="23"/>
      <c r="F98" s="23"/>
      <c r="G98" s="23"/>
      <c r="H98" s="23"/>
      <c r="I98" s="22"/>
      <c r="J98" s="22"/>
      <c r="K98" s="24"/>
      <c r="L98" s="25"/>
      <c r="M98" s="21"/>
      <c r="N98" s="21"/>
    </row>
    <row r="99" customFormat="false" ht="15" hidden="false" customHeight="false" outlineLevel="0" collapsed="false">
      <c r="A99" s="21"/>
      <c r="B99" s="21"/>
      <c r="C99" s="21"/>
      <c r="D99" s="22"/>
      <c r="E99" s="23"/>
      <c r="F99" s="23"/>
      <c r="G99" s="23"/>
      <c r="H99" s="23"/>
      <c r="I99" s="22"/>
      <c r="J99" s="22"/>
      <c r="K99" s="24"/>
      <c r="L99" s="25"/>
      <c r="M99" s="21"/>
      <c r="N99" s="21"/>
    </row>
    <row r="100" customFormat="false" ht="15" hidden="false" customHeight="false" outlineLevel="0" collapsed="false">
      <c r="A100" s="21"/>
      <c r="B100" s="21"/>
      <c r="C100" s="21"/>
      <c r="D100" s="22"/>
      <c r="E100" s="23"/>
      <c r="F100" s="23"/>
      <c r="G100" s="23"/>
      <c r="H100" s="23"/>
      <c r="I100" s="22"/>
      <c r="J100" s="22"/>
      <c r="K100" s="24"/>
      <c r="L100" s="25"/>
      <c r="M100" s="21"/>
      <c r="N100" s="21"/>
    </row>
    <row r="101" customFormat="false" ht="15" hidden="false" customHeight="false" outlineLevel="0" collapsed="false">
      <c r="A101" s="21"/>
      <c r="B101" s="21"/>
      <c r="C101" s="21"/>
      <c r="D101" s="22"/>
      <c r="E101" s="23"/>
      <c r="F101" s="23"/>
      <c r="G101" s="23"/>
      <c r="H101" s="23"/>
      <c r="I101" s="22"/>
      <c r="J101" s="22"/>
      <c r="K101" s="24"/>
      <c r="L101" s="25"/>
      <c r="M101" s="21"/>
      <c r="N101" s="21"/>
    </row>
    <row r="102" customFormat="false" ht="15" hidden="false" customHeight="false" outlineLevel="0" collapsed="false">
      <c r="A102" s="21"/>
      <c r="B102" s="21"/>
      <c r="C102" s="21"/>
      <c r="D102" s="22"/>
      <c r="E102" s="23"/>
      <c r="F102" s="23"/>
      <c r="G102" s="23"/>
      <c r="H102" s="23"/>
      <c r="I102" s="22"/>
      <c r="J102" s="22"/>
      <c r="K102" s="24"/>
      <c r="L102" s="25"/>
      <c r="M102" s="21"/>
      <c r="N102" s="21"/>
    </row>
    <row r="103" customFormat="false" ht="15" hidden="false" customHeight="false" outlineLevel="0" collapsed="false">
      <c r="A103" s="21"/>
      <c r="B103" s="21"/>
      <c r="C103" s="21"/>
      <c r="D103" s="22"/>
      <c r="E103" s="23"/>
      <c r="F103" s="23"/>
      <c r="G103" s="23"/>
      <c r="H103" s="23"/>
      <c r="I103" s="22"/>
      <c r="J103" s="22"/>
      <c r="K103" s="24"/>
      <c r="L103" s="25"/>
      <c r="M103" s="21"/>
      <c r="N103" s="21"/>
    </row>
    <row r="104" customFormat="false" ht="15" hidden="false" customHeight="false" outlineLevel="0" collapsed="false">
      <c r="A104" s="21"/>
      <c r="B104" s="21"/>
      <c r="C104" s="21"/>
      <c r="D104" s="22"/>
      <c r="E104" s="23"/>
      <c r="F104" s="23"/>
      <c r="G104" s="23"/>
      <c r="H104" s="23"/>
      <c r="I104" s="22"/>
      <c r="J104" s="22"/>
      <c r="K104" s="24"/>
      <c r="L104" s="25"/>
      <c r="M104" s="21"/>
      <c r="N104" s="21"/>
    </row>
    <row r="105" customFormat="false" ht="15" hidden="false" customHeight="false" outlineLevel="0" collapsed="false">
      <c r="A105" s="21"/>
      <c r="B105" s="21"/>
      <c r="C105" s="21"/>
      <c r="D105" s="22"/>
      <c r="E105" s="23"/>
      <c r="F105" s="23"/>
      <c r="G105" s="23"/>
      <c r="H105" s="23"/>
      <c r="I105" s="22"/>
      <c r="J105" s="22"/>
      <c r="K105" s="24"/>
      <c r="L105" s="25"/>
      <c r="M105" s="21"/>
      <c r="N105" s="21"/>
    </row>
    <row r="106" customFormat="false" ht="15" hidden="false" customHeight="false" outlineLevel="0" collapsed="false">
      <c r="A106" s="21"/>
      <c r="B106" s="21"/>
      <c r="C106" s="21"/>
      <c r="D106" s="22"/>
      <c r="E106" s="23"/>
      <c r="F106" s="23"/>
      <c r="G106" s="23"/>
      <c r="H106" s="23"/>
      <c r="I106" s="22"/>
      <c r="J106" s="22"/>
      <c r="K106" s="24"/>
      <c r="L106" s="25"/>
      <c r="M106" s="21"/>
      <c r="N106" s="21"/>
    </row>
    <row r="107" customFormat="false" ht="15" hidden="false" customHeight="false" outlineLevel="0" collapsed="false">
      <c r="A107" s="21"/>
      <c r="B107" s="21"/>
      <c r="C107" s="21"/>
      <c r="D107" s="22"/>
      <c r="E107" s="23"/>
      <c r="F107" s="23"/>
      <c r="G107" s="23"/>
      <c r="H107" s="23"/>
      <c r="I107" s="22"/>
      <c r="J107" s="22"/>
      <c r="K107" s="24"/>
      <c r="L107" s="25"/>
      <c r="M107" s="21"/>
      <c r="N107" s="21"/>
    </row>
    <row r="108" customFormat="false" ht="15" hidden="false" customHeight="false" outlineLevel="0" collapsed="false">
      <c r="A108" s="21"/>
      <c r="B108" s="21"/>
      <c r="C108" s="21"/>
      <c r="D108" s="22"/>
      <c r="E108" s="23"/>
      <c r="F108" s="23"/>
      <c r="G108" s="23"/>
      <c r="H108" s="23"/>
      <c r="I108" s="22"/>
      <c r="J108" s="22"/>
      <c r="K108" s="24"/>
      <c r="L108" s="25"/>
      <c r="M108" s="21"/>
      <c r="N108" s="21"/>
    </row>
    <row r="109" customFormat="false" ht="15" hidden="false" customHeight="false" outlineLevel="0" collapsed="false">
      <c r="A109" s="21"/>
      <c r="B109" s="21"/>
      <c r="C109" s="21"/>
      <c r="D109" s="22"/>
      <c r="E109" s="23"/>
      <c r="F109" s="23"/>
      <c r="G109" s="23"/>
      <c r="H109" s="23"/>
      <c r="I109" s="22"/>
      <c r="J109" s="22"/>
      <c r="K109" s="24"/>
      <c r="L109" s="25"/>
      <c r="M109" s="21"/>
      <c r="N109" s="21"/>
    </row>
    <row r="110" customFormat="false" ht="15" hidden="false" customHeight="false" outlineLevel="0" collapsed="false">
      <c r="A110" s="21"/>
      <c r="B110" s="21"/>
      <c r="C110" s="21"/>
      <c r="D110" s="22"/>
      <c r="E110" s="23"/>
      <c r="F110" s="23"/>
      <c r="G110" s="23"/>
      <c r="H110" s="23"/>
      <c r="I110" s="22"/>
      <c r="J110" s="22"/>
      <c r="K110" s="24"/>
      <c r="L110" s="25"/>
      <c r="M110" s="21"/>
      <c r="N110" s="21"/>
    </row>
    <row r="111" customFormat="false" ht="15" hidden="false" customHeight="false" outlineLevel="0" collapsed="false">
      <c r="A111" s="21"/>
      <c r="B111" s="21"/>
      <c r="C111" s="21"/>
      <c r="D111" s="22"/>
      <c r="E111" s="23"/>
      <c r="F111" s="23"/>
      <c r="G111" s="23"/>
      <c r="H111" s="23"/>
      <c r="I111" s="22"/>
      <c r="J111" s="22"/>
      <c r="K111" s="24"/>
      <c r="L111" s="25"/>
      <c r="M111" s="21"/>
      <c r="N111" s="21"/>
    </row>
    <row r="112" customFormat="false" ht="15" hidden="false" customHeight="false" outlineLevel="0" collapsed="false">
      <c r="A112" s="21"/>
      <c r="B112" s="21"/>
      <c r="C112" s="21"/>
      <c r="D112" s="22"/>
      <c r="E112" s="23"/>
      <c r="F112" s="23"/>
      <c r="G112" s="23"/>
      <c r="H112" s="23"/>
      <c r="I112" s="22"/>
      <c r="J112" s="22"/>
      <c r="K112" s="24"/>
      <c r="L112" s="25"/>
      <c r="M112" s="21"/>
      <c r="N112" s="21"/>
    </row>
    <row r="113" customFormat="false" ht="15" hidden="false" customHeight="false" outlineLevel="0" collapsed="false">
      <c r="A113" s="21"/>
      <c r="B113" s="21"/>
      <c r="C113" s="21"/>
      <c r="D113" s="22"/>
      <c r="E113" s="23"/>
      <c r="F113" s="23"/>
      <c r="G113" s="23"/>
      <c r="H113" s="23"/>
      <c r="I113" s="22"/>
      <c r="J113" s="22"/>
      <c r="K113" s="24"/>
      <c r="L113" s="25"/>
      <c r="M113" s="21"/>
      <c r="N113" s="21"/>
    </row>
    <row r="114" customFormat="false" ht="15" hidden="false" customHeight="false" outlineLevel="0" collapsed="false">
      <c r="A114" s="21"/>
      <c r="B114" s="21"/>
      <c r="C114" s="21"/>
      <c r="D114" s="22"/>
      <c r="E114" s="23"/>
      <c r="F114" s="23"/>
      <c r="G114" s="23"/>
      <c r="H114" s="23"/>
      <c r="I114" s="22"/>
      <c r="J114" s="22"/>
      <c r="K114" s="24"/>
      <c r="L114" s="25"/>
      <c r="M114" s="21"/>
      <c r="N114" s="21"/>
    </row>
    <row r="115" customFormat="false" ht="15" hidden="false" customHeight="false" outlineLevel="0" collapsed="false">
      <c r="A115" s="21"/>
      <c r="B115" s="21"/>
      <c r="C115" s="21"/>
      <c r="D115" s="22"/>
      <c r="E115" s="23"/>
      <c r="F115" s="23"/>
      <c r="G115" s="23"/>
      <c r="H115" s="23"/>
      <c r="I115" s="22"/>
      <c r="J115" s="22"/>
      <c r="K115" s="24"/>
      <c r="L115" s="25"/>
      <c r="M115" s="21"/>
      <c r="N115" s="21"/>
    </row>
    <row r="116" customFormat="false" ht="15" hidden="false" customHeight="false" outlineLevel="0" collapsed="false">
      <c r="A116" s="21"/>
      <c r="B116" s="21"/>
      <c r="C116" s="21"/>
      <c r="D116" s="22"/>
      <c r="E116" s="23"/>
      <c r="F116" s="23"/>
      <c r="G116" s="23"/>
      <c r="H116" s="23"/>
      <c r="I116" s="22"/>
      <c r="J116" s="22"/>
      <c r="K116" s="24"/>
      <c r="L116" s="25"/>
      <c r="M116" s="21"/>
      <c r="N116" s="21"/>
    </row>
    <row r="117" customFormat="false" ht="15" hidden="false" customHeight="false" outlineLevel="0" collapsed="false">
      <c r="A117" s="21"/>
      <c r="B117" s="21"/>
      <c r="C117" s="21"/>
      <c r="D117" s="22"/>
      <c r="E117" s="23"/>
      <c r="F117" s="23"/>
      <c r="G117" s="23"/>
      <c r="H117" s="23"/>
      <c r="I117" s="22"/>
      <c r="J117" s="22"/>
      <c r="K117" s="24"/>
      <c r="L117" s="25"/>
      <c r="M117" s="21"/>
      <c r="N117" s="21"/>
    </row>
    <row r="118" customFormat="false" ht="15" hidden="false" customHeight="false" outlineLevel="0" collapsed="false">
      <c r="A118" s="21"/>
      <c r="B118" s="21"/>
      <c r="C118" s="21"/>
      <c r="D118" s="22"/>
      <c r="E118" s="23"/>
      <c r="F118" s="23"/>
      <c r="G118" s="23"/>
      <c r="H118" s="23"/>
      <c r="I118" s="22"/>
      <c r="J118" s="22"/>
      <c r="K118" s="24"/>
      <c r="L118" s="25"/>
      <c r="M118" s="21"/>
      <c r="N118" s="21"/>
    </row>
    <row r="119" customFormat="false" ht="15" hidden="false" customHeight="false" outlineLevel="0" collapsed="false">
      <c r="A119" s="21"/>
      <c r="B119" s="21"/>
      <c r="C119" s="21"/>
      <c r="D119" s="22"/>
      <c r="E119" s="23"/>
      <c r="F119" s="23"/>
      <c r="G119" s="23"/>
      <c r="H119" s="23"/>
      <c r="I119" s="22"/>
      <c r="J119" s="22"/>
      <c r="K119" s="24"/>
      <c r="L119" s="25"/>
      <c r="M119" s="21"/>
      <c r="N119" s="21"/>
    </row>
    <row r="120" customFormat="false" ht="15" hidden="false" customHeight="false" outlineLevel="0" collapsed="false">
      <c r="A120" s="21"/>
      <c r="B120" s="21"/>
      <c r="C120" s="21"/>
      <c r="D120" s="22"/>
      <c r="E120" s="23"/>
      <c r="F120" s="23"/>
      <c r="G120" s="23"/>
      <c r="H120" s="23"/>
      <c r="I120" s="22"/>
      <c r="J120" s="22"/>
      <c r="K120" s="24"/>
      <c r="L120" s="25"/>
      <c r="M120" s="21"/>
      <c r="N120" s="21"/>
    </row>
    <row r="121" customFormat="false" ht="15" hidden="false" customHeight="false" outlineLevel="0" collapsed="false">
      <c r="A121" s="21"/>
      <c r="B121" s="21"/>
      <c r="C121" s="21"/>
      <c r="D121" s="22"/>
      <c r="E121" s="23"/>
      <c r="F121" s="23"/>
      <c r="G121" s="23"/>
      <c r="H121" s="23"/>
      <c r="I121" s="22"/>
      <c r="J121" s="22"/>
      <c r="K121" s="24"/>
      <c r="L121" s="25"/>
      <c r="M121" s="21"/>
      <c r="N121" s="21"/>
    </row>
    <row r="122" customFormat="false" ht="15" hidden="false" customHeight="false" outlineLevel="0" collapsed="false">
      <c r="A122" s="21"/>
      <c r="B122" s="21"/>
      <c r="C122" s="21"/>
      <c r="D122" s="22"/>
      <c r="E122" s="23"/>
      <c r="F122" s="23"/>
      <c r="G122" s="23"/>
      <c r="H122" s="23"/>
      <c r="I122" s="22"/>
      <c r="J122" s="22"/>
      <c r="K122" s="24"/>
      <c r="L122" s="25"/>
      <c r="M122" s="21"/>
      <c r="N122" s="21"/>
    </row>
    <row r="123" customFormat="false" ht="15" hidden="false" customHeight="false" outlineLevel="0" collapsed="false">
      <c r="A123" s="21"/>
      <c r="B123" s="21"/>
      <c r="C123" s="21"/>
      <c r="D123" s="22"/>
      <c r="E123" s="23"/>
      <c r="F123" s="23"/>
      <c r="G123" s="23"/>
      <c r="H123" s="23"/>
      <c r="I123" s="22"/>
      <c r="J123" s="22"/>
      <c r="K123" s="24"/>
      <c r="L123" s="25"/>
      <c r="M123" s="21"/>
      <c r="N123" s="21"/>
    </row>
    <row r="124" customFormat="false" ht="15" hidden="false" customHeight="false" outlineLevel="0" collapsed="false">
      <c r="A124" s="21"/>
      <c r="B124" s="21"/>
      <c r="C124" s="21"/>
      <c r="D124" s="22"/>
      <c r="E124" s="23"/>
      <c r="F124" s="23"/>
      <c r="G124" s="23"/>
      <c r="H124" s="23"/>
      <c r="I124" s="22"/>
      <c r="J124" s="22"/>
      <c r="K124" s="24"/>
      <c r="L124" s="25"/>
      <c r="M124" s="21"/>
      <c r="N124" s="21"/>
    </row>
    <row r="125" customFormat="false" ht="15" hidden="false" customHeight="false" outlineLevel="0" collapsed="false">
      <c r="A125" s="21"/>
      <c r="B125" s="21"/>
      <c r="C125" s="21"/>
      <c r="D125" s="22"/>
      <c r="E125" s="23"/>
      <c r="F125" s="23"/>
      <c r="G125" s="23"/>
      <c r="H125" s="23"/>
      <c r="I125" s="22"/>
      <c r="J125" s="22"/>
      <c r="K125" s="24"/>
      <c r="L125" s="25"/>
      <c r="M125" s="21"/>
      <c r="N125" s="21"/>
    </row>
    <row r="126" customFormat="false" ht="15" hidden="false" customHeight="false" outlineLevel="0" collapsed="false">
      <c r="A126" s="21"/>
      <c r="B126" s="21"/>
      <c r="C126" s="21"/>
      <c r="D126" s="22"/>
      <c r="E126" s="23"/>
      <c r="F126" s="23"/>
      <c r="G126" s="23"/>
      <c r="H126" s="23"/>
      <c r="I126" s="22"/>
      <c r="J126" s="22"/>
      <c r="K126" s="24"/>
      <c r="L126" s="25"/>
      <c r="M126" s="21"/>
      <c r="N126" s="21"/>
    </row>
    <row r="127" customFormat="false" ht="15" hidden="false" customHeight="false" outlineLevel="0" collapsed="false">
      <c r="A127" s="21"/>
      <c r="B127" s="21"/>
      <c r="C127" s="21"/>
      <c r="D127" s="22"/>
      <c r="E127" s="23"/>
      <c r="F127" s="23"/>
      <c r="G127" s="23"/>
      <c r="H127" s="23"/>
      <c r="I127" s="22"/>
      <c r="J127" s="22"/>
      <c r="K127" s="24"/>
      <c r="L127" s="25"/>
      <c r="M127" s="21"/>
      <c r="N127" s="21"/>
    </row>
    <row r="128" customFormat="false" ht="15" hidden="false" customHeight="false" outlineLevel="0" collapsed="false">
      <c r="A128" s="21"/>
      <c r="B128" s="21"/>
      <c r="C128" s="21"/>
      <c r="D128" s="22"/>
      <c r="E128" s="23"/>
      <c r="F128" s="23"/>
      <c r="G128" s="23"/>
      <c r="H128" s="23"/>
      <c r="I128" s="22"/>
      <c r="J128" s="22"/>
      <c r="K128" s="24"/>
      <c r="L128" s="25"/>
      <c r="M128" s="21"/>
      <c r="N128" s="21"/>
    </row>
    <row r="129" customFormat="false" ht="15" hidden="false" customHeight="false" outlineLevel="0" collapsed="false">
      <c r="A129" s="21"/>
      <c r="B129" s="21"/>
      <c r="C129" s="21"/>
      <c r="D129" s="22"/>
      <c r="E129" s="23"/>
      <c r="F129" s="23"/>
      <c r="G129" s="23"/>
      <c r="H129" s="23"/>
      <c r="I129" s="22"/>
      <c r="J129" s="22"/>
      <c r="K129" s="24"/>
      <c r="L129" s="25"/>
      <c r="M129" s="21"/>
      <c r="N129" s="21"/>
    </row>
    <row r="130" customFormat="false" ht="15" hidden="false" customHeight="false" outlineLevel="0" collapsed="false">
      <c r="A130" s="21"/>
      <c r="B130" s="21"/>
      <c r="C130" s="21"/>
      <c r="D130" s="22"/>
      <c r="E130" s="23"/>
      <c r="F130" s="23"/>
      <c r="G130" s="23"/>
      <c r="H130" s="23"/>
      <c r="I130" s="22"/>
      <c r="J130" s="22"/>
      <c r="K130" s="24"/>
      <c r="L130" s="25"/>
      <c r="M130" s="21"/>
      <c r="N130" s="21"/>
    </row>
    <row r="131" customFormat="false" ht="15" hidden="false" customHeight="false" outlineLevel="0" collapsed="false">
      <c r="A131" s="21"/>
      <c r="B131" s="21"/>
      <c r="C131" s="21"/>
      <c r="D131" s="22"/>
      <c r="E131" s="23"/>
      <c r="F131" s="23"/>
      <c r="G131" s="23"/>
      <c r="H131" s="23"/>
      <c r="I131" s="22"/>
      <c r="J131" s="22"/>
      <c r="K131" s="24"/>
      <c r="L131" s="25"/>
      <c r="M131" s="21"/>
      <c r="N131" s="21"/>
    </row>
    <row r="132" customFormat="false" ht="15" hidden="false" customHeight="false" outlineLevel="0" collapsed="false">
      <c r="A132" s="21"/>
      <c r="B132" s="21"/>
      <c r="C132" s="21"/>
      <c r="D132" s="22"/>
      <c r="E132" s="23"/>
      <c r="F132" s="23"/>
      <c r="G132" s="23"/>
      <c r="H132" s="23"/>
      <c r="I132" s="22"/>
      <c r="J132" s="22"/>
      <c r="K132" s="24"/>
      <c r="L132" s="25"/>
      <c r="M132" s="21"/>
      <c r="N132" s="21"/>
    </row>
    <row r="133" customFormat="false" ht="15" hidden="false" customHeight="false" outlineLevel="0" collapsed="false">
      <c r="A133" s="21"/>
      <c r="B133" s="21"/>
      <c r="C133" s="21"/>
      <c r="D133" s="22"/>
      <c r="E133" s="23"/>
      <c r="F133" s="23"/>
      <c r="G133" s="23"/>
      <c r="H133" s="23"/>
      <c r="I133" s="22"/>
      <c r="J133" s="22"/>
      <c r="K133" s="24"/>
      <c r="L133" s="25"/>
      <c r="M133" s="21"/>
      <c r="N133" s="21"/>
    </row>
    <row r="134" customFormat="false" ht="15" hidden="false" customHeight="false" outlineLevel="0" collapsed="false">
      <c r="A134" s="21"/>
      <c r="B134" s="21"/>
      <c r="C134" s="21"/>
      <c r="D134" s="22"/>
      <c r="E134" s="23"/>
      <c r="F134" s="23"/>
      <c r="G134" s="23"/>
      <c r="H134" s="23"/>
      <c r="I134" s="22"/>
      <c r="J134" s="22"/>
      <c r="K134" s="24"/>
      <c r="L134" s="25"/>
      <c r="M134" s="21"/>
      <c r="N134" s="21"/>
    </row>
    <row r="135" customFormat="false" ht="15" hidden="false" customHeight="false" outlineLevel="0" collapsed="false">
      <c r="A135" s="21"/>
      <c r="B135" s="21"/>
      <c r="C135" s="21"/>
      <c r="D135" s="22"/>
      <c r="E135" s="23"/>
      <c r="F135" s="23"/>
      <c r="G135" s="23"/>
      <c r="H135" s="23"/>
      <c r="I135" s="22"/>
      <c r="J135" s="22"/>
      <c r="K135" s="24"/>
      <c r="L135" s="25"/>
      <c r="M135" s="21"/>
      <c r="N135" s="21"/>
    </row>
    <row r="136" customFormat="false" ht="15" hidden="false" customHeight="false" outlineLevel="0" collapsed="false">
      <c r="A136" s="21"/>
      <c r="B136" s="21"/>
      <c r="C136" s="21"/>
      <c r="D136" s="22"/>
      <c r="E136" s="23"/>
      <c r="F136" s="23"/>
      <c r="G136" s="23"/>
      <c r="H136" s="23"/>
      <c r="I136" s="22"/>
      <c r="J136" s="22"/>
      <c r="K136" s="24"/>
      <c r="L136" s="25"/>
      <c r="M136" s="21"/>
      <c r="N136" s="21"/>
    </row>
    <row r="137" customFormat="false" ht="15" hidden="false" customHeight="false" outlineLevel="0" collapsed="false">
      <c r="A137" s="21"/>
      <c r="B137" s="21"/>
      <c r="C137" s="21"/>
      <c r="D137" s="22"/>
      <c r="E137" s="23"/>
      <c r="F137" s="23"/>
      <c r="G137" s="23"/>
      <c r="H137" s="23"/>
      <c r="I137" s="22"/>
      <c r="J137" s="22"/>
      <c r="K137" s="24"/>
      <c r="L137" s="25"/>
      <c r="M137" s="21"/>
      <c r="N137" s="21"/>
    </row>
    <row r="138" customFormat="false" ht="15" hidden="false" customHeight="false" outlineLevel="0" collapsed="false">
      <c r="A138" s="21"/>
      <c r="B138" s="21"/>
      <c r="C138" s="21"/>
      <c r="D138" s="22"/>
      <c r="E138" s="23"/>
      <c r="F138" s="23"/>
      <c r="G138" s="23"/>
      <c r="H138" s="23"/>
      <c r="I138" s="22"/>
      <c r="J138" s="22"/>
      <c r="K138" s="24"/>
      <c r="L138" s="25"/>
      <c r="M138" s="21"/>
      <c r="N138" s="21"/>
    </row>
    <row r="139" customFormat="false" ht="15" hidden="false" customHeight="false" outlineLevel="0" collapsed="false">
      <c r="A139" s="21"/>
      <c r="B139" s="21"/>
      <c r="C139" s="21"/>
      <c r="D139" s="22"/>
      <c r="E139" s="23"/>
      <c r="F139" s="23"/>
      <c r="G139" s="23"/>
      <c r="H139" s="23"/>
      <c r="I139" s="22"/>
      <c r="J139" s="22"/>
      <c r="K139" s="24"/>
      <c r="L139" s="25"/>
      <c r="M139" s="21"/>
      <c r="N139" s="21"/>
    </row>
    <row r="140" customFormat="false" ht="15" hidden="false" customHeight="false" outlineLevel="0" collapsed="false">
      <c r="A140" s="21"/>
      <c r="B140" s="21"/>
      <c r="C140" s="21"/>
      <c r="D140" s="22"/>
      <c r="E140" s="23"/>
      <c r="F140" s="23"/>
      <c r="G140" s="23"/>
      <c r="H140" s="23"/>
      <c r="I140" s="22"/>
      <c r="J140" s="22"/>
      <c r="K140" s="24"/>
      <c r="L140" s="25"/>
      <c r="M140" s="21"/>
      <c r="N140" s="21"/>
    </row>
    <row r="141" customFormat="false" ht="15" hidden="false" customHeight="false" outlineLevel="0" collapsed="false">
      <c r="A141" s="21"/>
      <c r="B141" s="21"/>
      <c r="C141" s="21"/>
      <c r="D141" s="22"/>
      <c r="E141" s="23"/>
      <c r="F141" s="23"/>
      <c r="G141" s="23"/>
      <c r="H141" s="23"/>
      <c r="I141" s="22"/>
      <c r="J141" s="22"/>
      <c r="K141" s="24"/>
      <c r="L141" s="25"/>
      <c r="M141" s="21"/>
      <c r="N141" s="21"/>
    </row>
    <row r="142" customFormat="false" ht="15" hidden="false" customHeight="false" outlineLevel="0" collapsed="false">
      <c r="A142" s="21"/>
      <c r="B142" s="21"/>
      <c r="C142" s="21"/>
      <c r="D142" s="22"/>
      <c r="E142" s="23"/>
      <c r="F142" s="23"/>
      <c r="G142" s="23"/>
      <c r="H142" s="23"/>
      <c r="I142" s="22"/>
      <c r="J142" s="22"/>
      <c r="K142" s="24"/>
      <c r="L142" s="25"/>
      <c r="M142" s="21"/>
      <c r="N142" s="21"/>
    </row>
    <row r="143" customFormat="false" ht="15" hidden="false" customHeight="false" outlineLevel="0" collapsed="false">
      <c r="A143" s="21"/>
      <c r="B143" s="21"/>
      <c r="C143" s="21"/>
      <c r="D143" s="22"/>
      <c r="E143" s="23"/>
      <c r="F143" s="23"/>
      <c r="G143" s="23"/>
      <c r="H143" s="23"/>
      <c r="I143" s="22"/>
      <c r="J143" s="22"/>
      <c r="K143" s="24"/>
      <c r="L143" s="25"/>
      <c r="M143" s="21"/>
      <c r="N143" s="21"/>
    </row>
    <row r="144" customFormat="false" ht="15" hidden="false" customHeight="false" outlineLevel="0" collapsed="false">
      <c r="A144" s="21"/>
      <c r="B144" s="21"/>
      <c r="C144" s="21"/>
      <c r="D144" s="22"/>
      <c r="E144" s="23"/>
      <c r="F144" s="23"/>
      <c r="G144" s="23"/>
      <c r="H144" s="23"/>
      <c r="I144" s="22"/>
      <c r="J144" s="22"/>
      <c r="K144" s="24"/>
      <c r="L144" s="25"/>
      <c r="M144" s="21"/>
      <c r="N144" s="21"/>
    </row>
    <row r="145" customFormat="false" ht="15" hidden="false" customHeight="false" outlineLevel="0" collapsed="false">
      <c r="A145" s="21"/>
      <c r="B145" s="21"/>
      <c r="C145" s="21"/>
      <c r="D145" s="22"/>
      <c r="E145" s="23"/>
      <c r="F145" s="23"/>
      <c r="G145" s="23"/>
      <c r="H145" s="23"/>
      <c r="I145" s="22"/>
      <c r="J145" s="22"/>
      <c r="K145" s="24"/>
      <c r="L145" s="25"/>
      <c r="M145" s="21"/>
      <c r="N145" s="21"/>
    </row>
    <row r="146" customFormat="false" ht="15" hidden="false" customHeight="false" outlineLevel="0" collapsed="false">
      <c r="A146" s="21"/>
      <c r="B146" s="21"/>
      <c r="C146" s="21"/>
      <c r="D146" s="22"/>
      <c r="E146" s="23"/>
      <c r="F146" s="23"/>
      <c r="G146" s="23"/>
      <c r="H146" s="23"/>
      <c r="I146" s="22"/>
      <c r="J146" s="22"/>
      <c r="K146" s="24"/>
      <c r="L146" s="25"/>
      <c r="M146" s="21"/>
      <c r="N146" s="21"/>
    </row>
    <row r="147" customFormat="false" ht="15" hidden="false" customHeight="false" outlineLevel="0" collapsed="false">
      <c r="A147" s="21"/>
      <c r="B147" s="21"/>
      <c r="C147" s="21"/>
      <c r="D147" s="22"/>
      <c r="E147" s="23"/>
      <c r="F147" s="23"/>
      <c r="G147" s="23"/>
      <c r="H147" s="23"/>
      <c r="I147" s="22"/>
      <c r="J147" s="22"/>
      <c r="K147" s="24"/>
      <c r="L147" s="25"/>
      <c r="M147" s="21"/>
      <c r="N147" s="21"/>
    </row>
    <row r="148" customFormat="false" ht="15" hidden="false" customHeight="false" outlineLevel="0" collapsed="false">
      <c r="A148" s="21"/>
      <c r="B148" s="21"/>
      <c r="C148" s="21"/>
      <c r="D148" s="22"/>
      <c r="E148" s="23"/>
      <c r="F148" s="23"/>
      <c r="G148" s="23"/>
      <c r="H148" s="23"/>
      <c r="I148" s="22"/>
      <c r="J148" s="22"/>
      <c r="K148" s="24"/>
      <c r="L148" s="25"/>
      <c r="M148" s="21"/>
      <c r="N148" s="21"/>
    </row>
    <row r="149" customFormat="false" ht="15" hidden="false" customHeight="false" outlineLevel="0" collapsed="false">
      <c r="A149" s="21"/>
      <c r="B149" s="21"/>
      <c r="C149" s="21"/>
      <c r="D149" s="22"/>
      <c r="E149" s="23"/>
      <c r="F149" s="23"/>
      <c r="G149" s="23"/>
      <c r="H149" s="23"/>
      <c r="I149" s="22"/>
      <c r="J149" s="22"/>
      <c r="K149" s="24"/>
      <c r="L149" s="25"/>
      <c r="M149" s="21"/>
      <c r="N149" s="21"/>
    </row>
    <row r="150" customFormat="false" ht="15" hidden="false" customHeight="false" outlineLevel="0" collapsed="false">
      <c r="A150" s="21"/>
      <c r="B150" s="21"/>
      <c r="C150" s="21"/>
      <c r="D150" s="22"/>
      <c r="E150" s="23"/>
      <c r="F150" s="23"/>
      <c r="G150" s="23"/>
      <c r="H150" s="23"/>
      <c r="I150" s="22"/>
      <c r="J150" s="22"/>
      <c r="K150" s="24"/>
      <c r="L150" s="25"/>
      <c r="M150" s="21"/>
      <c r="N150" s="21"/>
    </row>
    <row r="151" customFormat="false" ht="15" hidden="false" customHeight="false" outlineLevel="0" collapsed="false">
      <c r="A151" s="21"/>
      <c r="B151" s="21"/>
      <c r="C151" s="21"/>
      <c r="D151" s="22"/>
      <c r="E151" s="23"/>
      <c r="F151" s="23"/>
      <c r="G151" s="23"/>
      <c r="H151" s="23"/>
      <c r="I151" s="22"/>
      <c r="J151" s="22"/>
      <c r="K151" s="24"/>
      <c r="L151" s="25"/>
      <c r="M151" s="21"/>
      <c r="N151" s="21"/>
    </row>
    <row r="152" customFormat="false" ht="15" hidden="false" customHeight="false" outlineLevel="0" collapsed="false">
      <c r="A152" s="21"/>
      <c r="B152" s="21"/>
      <c r="C152" s="21"/>
      <c r="D152" s="22"/>
      <c r="E152" s="23"/>
      <c r="F152" s="23"/>
      <c r="G152" s="23"/>
      <c r="H152" s="23"/>
      <c r="I152" s="22"/>
      <c r="J152" s="22"/>
      <c r="K152" s="24"/>
      <c r="L152" s="25"/>
      <c r="M152" s="21"/>
      <c r="N152" s="21"/>
    </row>
    <row r="153" customFormat="false" ht="15" hidden="false" customHeight="false" outlineLevel="0" collapsed="false">
      <c r="A153" s="21"/>
      <c r="B153" s="21"/>
      <c r="C153" s="21"/>
      <c r="D153" s="22"/>
      <c r="E153" s="23"/>
      <c r="F153" s="23"/>
      <c r="G153" s="23"/>
      <c r="H153" s="23"/>
      <c r="I153" s="22"/>
      <c r="J153" s="22"/>
      <c r="K153" s="24"/>
      <c r="L153" s="25"/>
      <c r="M153" s="21"/>
      <c r="N153" s="21"/>
    </row>
    <row r="154" customFormat="false" ht="15" hidden="false" customHeight="false" outlineLevel="0" collapsed="false">
      <c r="A154" s="21"/>
      <c r="B154" s="21"/>
      <c r="C154" s="21"/>
      <c r="D154" s="22"/>
      <c r="E154" s="23"/>
      <c r="F154" s="23"/>
      <c r="G154" s="23"/>
      <c r="H154" s="23"/>
      <c r="I154" s="22"/>
      <c r="J154" s="22"/>
      <c r="K154" s="24"/>
      <c r="L154" s="25"/>
      <c r="M154" s="21"/>
      <c r="N154" s="21"/>
    </row>
    <row r="155" customFormat="false" ht="15" hidden="false" customHeight="false" outlineLevel="0" collapsed="false">
      <c r="A155" s="21"/>
      <c r="B155" s="21"/>
      <c r="C155" s="21"/>
      <c r="D155" s="22"/>
      <c r="E155" s="23"/>
      <c r="F155" s="23"/>
      <c r="G155" s="23"/>
      <c r="H155" s="23"/>
      <c r="I155" s="22"/>
      <c r="J155" s="22"/>
      <c r="K155" s="24"/>
      <c r="L155" s="25"/>
      <c r="M155" s="21"/>
      <c r="N155" s="21"/>
    </row>
    <row r="156" customFormat="false" ht="15" hidden="false" customHeight="false" outlineLevel="0" collapsed="false">
      <c r="A156" s="21"/>
      <c r="B156" s="21"/>
      <c r="C156" s="21"/>
      <c r="D156" s="22"/>
      <c r="E156" s="23"/>
      <c r="F156" s="23"/>
      <c r="G156" s="23"/>
      <c r="H156" s="23"/>
      <c r="I156" s="22"/>
      <c r="J156" s="22"/>
      <c r="K156" s="24"/>
      <c r="L156" s="25"/>
      <c r="M156" s="21"/>
      <c r="N156" s="21"/>
    </row>
    <row r="157" customFormat="false" ht="15" hidden="false" customHeight="false" outlineLevel="0" collapsed="false">
      <c r="A157" s="21"/>
      <c r="B157" s="21"/>
      <c r="C157" s="21"/>
      <c r="D157" s="22"/>
      <c r="E157" s="23"/>
      <c r="F157" s="23"/>
      <c r="G157" s="23"/>
      <c r="H157" s="23"/>
      <c r="I157" s="22"/>
      <c r="J157" s="22"/>
      <c r="K157" s="24"/>
      <c r="L157" s="25"/>
      <c r="M157" s="21"/>
      <c r="N157" s="21"/>
    </row>
    <row r="158" customFormat="false" ht="15" hidden="false" customHeight="false" outlineLevel="0" collapsed="false">
      <c r="A158" s="21"/>
      <c r="B158" s="21"/>
      <c r="C158" s="21"/>
      <c r="D158" s="22"/>
      <c r="E158" s="23"/>
      <c r="F158" s="23"/>
      <c r="G158" s="23"/>
      <c r="H158" s="23"/>
      <c r="I158" s="22"/>
      <c r="J158" s="22"/>
      <c r="K158" s="24"/>
      <c r="L158" s="25"/>
      <c r="M158" s="21"/>
      <c r="N158" s="21"/>
    </row>
    <row r="159" customFormat="false" ht="15" hidden="false" customHeight="false" outlineLevel="0" collapsed="false">
      <c r="A159" s="21"/>
      <c r="B159" s="21"/>
      <c r="C159" s="21"/>
      <c r="D159" s="22"/>
      <c r="E159" s="23"/>
      <c r="F159" s="23"/>
      <c r="G159" s="23"/>
      <c r="H159" s="23"/>
      <c r="I159" s="22"/>
      <c r="J159" s="22"/>
      <c r="K159" s="24"/>
      <c r="L159" s="25"/>
      <c r="M159" s="21"/>
      <c r="N159" s="21"/>
    </row>
    <row r="160" customFormat="false" ht="15" hidden="false" customHeight="false" outlineLevel="0" collapsed="false">
      <c r="A160" s="21"/>
      <c r="B160" s="21"/>
      <c r="C160" s="21"/>
      <c r="D160" s="22"/>
      <c r="E160" s="23"/>
      <c r="F160" s="23"/>
      <c r="G160" s="23"/>
      <c r="H160" s="23"/>
      <c r="I160" s="22"/>
      <c r="J160" s="22"/>
      <c r="K160" s="24"/>
      <c r="L160" s="25"/>
      <c r="M160" s="21"/>
      <c r="N160" s="21"/>
    </row>
    <row r="161" customFormat="false" ht="15" hidden="false" customHeight="false" outlineLevel="0" collapsed="false">
      <c r="A161" s="21"/>
      <c r="B161" s="21"/>
      <c r="C161" s="21"/>
      <c r="D161" s="22"/>
      <c r="E161" s="23"/>
      <c r="F161" s="23"/>
      <c r="G161" s="23"/>
      <c r="H161" s="23"/>
      <c r="I161" s="22"/>
      <c r="J161" s="22"/>
      <c r="K161" s="24"/>
      <c r="L161" s="25"/>
      <c r="M161" s="21"/>
      <c r="N161" s="21"/>
    </row>
    <row r="162" customFormat="false" ht="15" hidden="false" customHeight="false" outlineLevel="0" collapsed="false">
      <c r="A162" s="21"/>
      <c r="B162" s="21"/>
      <c r="C162" s="21"/>
      <c r="D162" s="22"/>
      <c r="E162" s="23"/>
      <c r="F162" s="23"/>
      <c r="G162" s="23"/>
      <c r="H162" s="23"/>
      <c r="I162" s="22"/>
      <c r="J162" s="22"/>
      <c r="K162" s="24"/>
      <c r="L162" s="25"/>
      <c r="M162" s="21"/>
      <c r="N162" s="21"/>
    </row>
    <row r="163" customFormat="false" ht="15" hidden="false" customHeight="false" outlineLevel="0" collapsed="false">
      <c r="A163" s="21"/>
      <c r="B163" s="21"/>
      <c r="C163" s="21"/>
      <c r="D163" s="22"/>
      <c r="E163" s="23"/>
      <c r="F163" s="23"/>
      <c r="G163" s="23"/>
      <c r="H163" s="23"/>
      <c r="I163" s="22"/>
      <c r="J163" s="22"/>
      <c r="K163" s="24"/>
      <c r="L163" s="25"/>
      <c r="M163" s="21"/>
      <c r="N163" s="21"/>
    </row>
    <row r="164" customFormat="false" ht="15" hidden="false" customHeight="false" outlineLevel="0" collapsed="false">
      <c r="A164" s="21"/>
      <c r="B164" s="21"/>
      <c r="C164" s="21"/>
      <c r="D164" s="22"/>
      <c r="E164" s="23"/>
      <c r="F164" s="23"/>
      <c r="G164" s="23"/>
      <c r="H164" s="23"/>
      <c r="I164" s="22"/>
      <c r="J164" s="22"/>
      <c r="K164" s="24"/>
      <c r="L164" s="25"/>
      <c r="M164" s="21"/>
      <c r="N164" s="21"/>
    </row>
    <row r="165" customFormat="false" ht="15" hidden="false" customHeight="false" outlineLevel="0" collapsed="false">
      <c r="A165" s="21"/>
      <c r="B165" s="21"/>
      <c r="C165" s="21"/>
      <c r="D165" s="22"/>
      <c r="E165" s="23"/>
      <c r="F165" s="23"/>
      <c r="G165" s="23"/>
      <c r="H165" s="23"/>
      <c r="I165" s="22"/>
      <c r="J165" s="22"/>
      <c r="K165" s="24"/>
      <c r="L165" s="25"/>
      <c r="M165" s="21"/>
      <c r="N165" s="21"/>
    </row>
    <row r="166" customFormat="false" ht="15" hidden="false" customHeight="false" outlineLevel="0" collapsed="false">
      <c r="A166" s="21"/>
      <c r="B166" s="21"/>
      <c r="C166" s="21"/>
      <c r="D166" s="22"/>
      <c r="E166" s="23"/>
      <c r="F166" s="23"/>
      <c r="G166" s="23"/>
      <c r="H166" s="23"/>
      <c r="I166" s="22"/>
      <c r="J166" s="22"/>
      <c r="K166" s="24"/>
      <c r="L166" s="25"/>
      <c r="M166" s="21"/>
      <c r="N166" s="21"/>
    </row>
    <row r="167" customFormat="false" ht="15" hidden="false" customHeight="false" outlineLevel="0" collapsed="false">
      <c r="A167" s="21"/>
      <c r="B167" s="21"/>
      <c r="C167" s="21"/>
      <c r="D167" s="22"/>
      <c r="E167" s="23"/>
      <c r="F167" s="23"/>
      <c r="G167" s="23"/>
      <c r="H167" s="23"/>
      <c r="I167" s="22"/>
      <c r="J167" s="22"/>
      <c r="K167" s="24"/>
      <c r="L167" s="25"/>
      <c r="M167" s="21"/>
      <c r="N167" s="21"/>
    </row>
    <row r="168" customFormat="false" ht="15" hidden="false" customHeight="false" outlineLevel="0" collapsed="false">
      <c r="A168" s="21"/>
      <c r="B168" s="21"/>
      <c r="C168" s="21"/>
      <c r="D168" s="22"/>
      <c r="E168" s="23"/>
      <c r="F168" s="23"/>
      <c r="G168" s="23"/>
      <c r="H168" s="23"/>
      <c r="I168" s="22"/>
      <c r="J168" s="22"/>
      <c r="K168" s="24"/>
      <c r="L168" s="25"/>
      <c r="M168" s="21"/>
      <c r="N168" s="21"/>
    </row>
    <row r="169" customFormat="false" ht="15" hidden="false" customHeight="false" outlineLevel="0" collapsed="false">
      <c r="A169" s="21"/>
      <c r="B169" s="21"/>
      <c r="C169" s="21"/>
      <c r="D169" s="22"/>
      <c r="E169" s="23"/>
      <c r="F169" s="23"/>
      <c r="G169" s="23"/>
      <c r="H169" s="23"/>
      <c r="I169" s="22"/>
      <c r="J169" s="22"/>
      <c r="K169" s="24"/>
      <c r="L169" s="25"/>
      <c r="M169" s="21"/>
      <c r="N169" s="21"/>
    </row>
    <row r="170" customFormat="false" ht="15" hidden="false" customHeight="false" outlineLevel="0" collapsed="false">
      <c r="A170" s="21"/>
      <c r="B170" s="21"/>
      <c r="C170" s="21"/>
      <c r="D170" s="22"/>
      <c r="E170" s="23"/>
      <c r="F170" s="23"/>
      <c r="G170" s="23"/>
      <c r="H170" s="23"/>
      <c r="I170" s="22"/>
      <c r="J170" s="22"/>
      <c r="K170" s="24"/>
      <c r="L170" s="25"/>
      <c r="M170" s="21"/>
      <c r="N170" s="21"/>
    </row>
    <row r="171" customFormat="false" ht="15" hidden="false" customHeight="false" outlineLevel="0" collapsed="false">
      <c r="A171" s="21"/>
      <c r="B171" s="21"/>
      <c r="C171" s="21"/>
      <c r="D171" s="22"/>
      <c r="E171" s="23"/>
      <c r="F171" s="23"/>
      <c r="G171" s="23"/>
      <c r="H171" s="23"/>
      <c r="I171" s="22"/>
      <c r="J171" s="22"/>
      <c r="K171" s="24"/>
      <c r="L171" s="25"/>
      <c r="M171" s="21"/>
      <c r="N171" s="21"/>
    </row>
    <row r="172" customFormat="false" ht="15" hidden="false" customHeight="false" outlineLevel="0" collapsed="false">
      <c r="A172" s="21"/>
      <c r="B172" s="21"/>
      <c r="C172" s="21"/>
      <c r="D172" s="22"/>
      <c r="E172" s="23"/>
      <c r="F172" s="23"/>
      <c r="G172" s="23"/>
      <c r="H172" s="23"/>
      <c r="I172" s="22"/>
      <c r="J172" s="22"/>
      <c r="K172" s="24"/>
      <c r="L172" s="25"/>
      <c r="M172" s="21"/>
      <c r="N172" s="21"/>
    </row>
    <row r="173" customFormat="false" ht="15" hidden="false" customHeight="false" outlineLevel="0" collapsed="false">
      <c r="A173" s="21"/>
      <c r="B173" s="21"/>
      <c r="C173" s="21"/>
      <c r="D173" s="22"/>
      <c r="E173" s="23"/>
      <c r="F173" s="23"/>
      <c r="G173" s="23"/>
      <c r="H173" s="23"/>
      <c r="I173" s="22"/>
      <c r="J173" s="22"/>
      <c r="K173" s="24"/>
      <c r="L173" s="25"/>
      <c r="M173" s="21"/>
      <c r="N173" s="21"/>
    </row>
    <row r="174" customFormat="false" ht="15" hidden="false" customHeight="false" outlineLevel="0" collapsed="false">
      <c r="A174" s="21"/>
      <c r="B174" s="21"/>
      <c r="C174" s="21"/>
      <c r="D174" s="22"/>
      <c r="E174" s="23"/>
      <c r="F174" s="23"/>
      <c r="G174" s="23"/>
      <c r="H174" s="23"/>
      <c r="I174" s="22"/>
      <c r="J174" s="22"/>
      <c r="K174" s="24"/>
      <c r="L174" s="25"/>
      <c r="M174" s="21"/>
      <c r="N174" s="21"/>
    </row>
    <row r="175" customFormat="false" ht="15" hidden="false" customHeight="false" outlineLevel="0" collapsed="false">
      <c r="A175" s="21"/>
      <c r="B175" s="21"/>
      <c r="C175" s="21"/>
      <c r="D175" s="22"/>
      <c r="E175" s="23"/>
      <c r="F175" s="23"/>
      <c r="G175" s="23"/>
      <c r="H175" s="23"/>
      <c r="I175" s="22"/>
      <c r="J175" s="22"/>
      <c r="K175" s="24"/>
      <c r="L175" s="25"/>
      <c r="M175" s="21"/>
      <c r="N175" s="21"/>
    </row>
    <row r="176" customFormat="false" ht="15" hidden="false" customHeight="false" outlineLevel="0" collapsed="false">
      <c r="A176" s="21"/>
      <c r="B176" s="21"/>
      <c r="C176" s="21"/>
      <c r="D176" s="22"/>
      <c r="E176" s="23"/>
      <c r="F176" s="23"/>
      <c r="G176" s="23"/>
      <c r="H176" s="23"/>
      <c r="I176" s="22"/>
      <c r="J176" s="22"/>
      <c r="K176" s="24"/>
      <c r="L176" s="25"/>
      <c r="M176" s="21"/>
      <c r="N176" s="21"/>
    </row>
    <row r="177" customFormat="false" ht="15" hidden="false" customHeight="false" outlineLevel="0" collapsed="false">
      <c r="A177" s="21"/>
      <c r="B177" s="21"/>
      <c r="C177" s="21"/>
      <c r="D177" s="22"/>
      <c r="E177" s="23"/>
      <c r="F177" s="23"/>
      <c r="G177" s="23"/>
      <c r="H177" s="23"/>
      <c r="I177" s="22"/>
      <c r="J177" s="22"/>
      <c r="K177" s="24"/>
      <c r="L177" s="25"/>
      <c r="M177" s="21"/>
      <c r="N177" s="21"/>
    </row>
    <row r="178" customFormat="false" ht="15" hidden="false" customHeight="false" outlineLevel="0" collapsed="false">
      <c r="A178" s="21"/>
      <c r="B178" s="21"/>
      <c r="C178" s="21"/>
      <c r="D178" s="22"/>
      <c r="E178" s="23"/>
      <c r="F178" s="23"/>
      <c r="G178" s="23"/>
      <c r="H178" s="23"/>
      <c r="I178" s="22"/>
      <c r="J178" s="22"/>
      <c r="K178" s="24"/>
      <c r="L178" s="25"/>
      <c r="M178" s="21"/>
      <c r="N178" s="21"/>
    </row>
    <row r="179" customFormat="false" ht="15" hidden="false" customHeight="false" outlineLevel="0" collapsed="false">
      <c r="A179" s="21"/>
      <c r="B179" s="21"/>
      <c r="C179" s="21"/>
      <c r="D179" s="22"/>
      <c r="E179" s="23"/>
      <c r="F179" s="23"/>
      <c r="G179" s="23"/>
      <c r="H179" s="23"/>
      <c r="I179" s="22"/>
      <c r="J179" s="22"/>
      <c r="K179" s="24"/>
      <c r="L179" s="25"/>
      <c r="M179" s="21"/>
      <c r="N179" s="21"/>
    </row>
    <row r="180" customFormat="false" ht="15" hidden="false" customHeight="false" outlineLevel="0" collapsed="false">
      <c r="A180" s="21"/>
      <c r="B180" s="21"/>
      <c r="C180" s="21"/>
      <c r="D180" s="22"/>
      <c r="E180" s="23"/>
      <c r="F180" s="23"/>
      <c r="G180" s="23"/>
      <c r="H180" s="23"/>
      <c r="I180" s="22"/>
      <c r="J180" s="22"/>
      <c r="K180" s="24"/>
      <c r="L180" s="25"/>
      <c r="M180" s="21"/>
      <c r="N180" s="21"/>
    </row>
    <row r="181" customFormat="false" ht="15" hidden="false" customHeight="false" outlineLevel="0" collapsed="false">
      <c r="A181" s="21"/>
      <c r="B181" s="21"/>
      <c r="C181" s="21"/>
      <c r="D181" s="22"/>
      <c r="E181" s="23"/>
      <c r="F181" s="23"/>
      <c r="G181" s="23"/>
      <c r="H181" s="23"/>
      <c r="I181" s="22"/>
      <c r="J181" s="22"/>
      <c r="K181" s="24"/>
      <c r="L181" s="25"/>
      <c r="M181" s="21"/>
      <c r="N181" s="21"/>
    </row>
    <row r="182" customFormat="false" ht="15" hidden="false" customHeight="false" outlineLevel="0" collapsed="false">
      <c r="A182" s="21"/>
      <c r="B182" s="21"/>
      <c r="C182" s="21"/>
      <c r="D182" s="22"/>
      <c r="E182" s="23"/>
      <c r="F182" s="23"/>
      <c r="G182" s="23"/>
      <c r="H182" s="23"/>
      <c r="I182" s="22"/>
      <c r="J182" s="22"/>
      <c r="K182" s="24"/>
      <c r="L182" s="25"/>
      <c r="M182" s="21"/>
      <c r="N182" s="21"/>
    </row>
    <row r="183" customFormat="false" ht="15" hidden="false" customHeight="false" outlineLevel="0" collapsed="false">
      <c r="A183" s="21"/>
      <c r="B183" s="21"/>
      <c r="C183" s="21"/>
      <c r="D183" s="22"/>
      <c r="E183" s="23"/>
      <c r="F183" s="23"/>
      <c r="G183" s="23"/>
      <c r="H183" s="23"/>
      <c r="I183" s="22"/>
      <c r="J183" s="22"/>
      <c r="K183" s="24"/>
      <c r="L183" s="25"/>
      <c r="M183" s="21"/>
      <c r="N183" s="21"/>
    </row>
    <row r="184" customFormat="false" ht="15" hidden="false" customHeight="false" outlineLevel="0" collapsed="false">
      <c r="A184" s="21"/>
      <c r="B184" s="21"/>
      <c r="C184" s="21"/>
      <c r="D184" s="22"/>
      <c r="E184" s="23"/>
      <c r="F184" s="23"/>
      <c r="G184" s="23"/>
      <c r="H184" s="23"/>
      <c r="I184" s="22"/>
      <c r="J184" s="22"/>
      <c r="K184" s="24"/>
      <c r="L184" s="25"/>
      <c r="M184" s="21"/>
      <c r="N184" s="21"/>
    </row>
    <row r="185" customFormat="false" ht="15" hidden="false" customHeight="false" outlineLevel="0" collapsed="false">
      <c r="A185" s="21"/>
      <c r="B185" s="21"/>
      <c r="C185" s="21"/>
      <c r="D185" s="22"/>
      <c r="E185" s="23"/>
      <c r="F185" s="23"/>
      <c r="G185" s="23"/>
      <c r="H185" s="23"/>
      <c r="I185" s="22"/>
      <c r="J185" s="22"/>
      <c r="K185" s="24"/>
      <c r="L185" s="25"/>
      <c r="M185" s="21"/>
      <c r="N185" s="21"/>
    </row>
    <row r="186" customFormat="false" ht="15" hidden="false" customHeight="false" outlineLevel="0" collapsed="false">
      <c r="A186" s="21"/>
      <c r="B186" s="21"/>
      <c r="C186" s="21"/>
      <c r="D186" s="22"/>
      <c r="E186" s="23"/>
      <c r="F186" s="23"/>
      <c r="G186" s="23"/>
      <c r="H186" s="23"/>
      <c r="I186" s="22"/>
      <c r="J186" s="22"/>
      <c r="K186" s="24"/>
      <c r="L186" s="25"/>
      <c r="M186" s="21"/>
      <c r="N186" s="21"/>
    </row>
    <row r="187" customFormat="false" ht="15" hidden="false" customHeight="false" outlineLevel="0" collapsed="false">
      <c r="A187" s="21"/>
      <c r="B187" s="21"/>
      <c r="C187" s="21"/>
      <c r="D187" s="22"/>
      <c r="E187" s="23"/>
      <c r="F187" s="23"/>
      <c r="G187" s="23"/>
      <c r="H187" s="23"/>
      <c r="I187" s="22"/>
      <c r="J187" s="22"/>
      <c r="K187" s="24"/>
      <c r="L187" s="25"/>
      <c r="M187" s="21"/>
      <c r="N187" s="21"/>
    </row>
    <row r="188" customFormat="false" ht="15" hidden="false" customHeight="false" outlineLevel="0" collapsed="false">
      <c r="A188" s="21"/>
      <c r="B188" s="21"/>
      <c r="C188" s="21"/>
      <c r="D188" s="22"/>
      <c r="E188" s="23"/>
      <c r="F188" s="23"/>
      <c r="G188" s="23"/>
      <c r="H188" s="23"/>
      <c r="I188" s="22"/>
      <c r="J188" s="22"/>
      <c r="K188" s="24"/>
      <c r="L188" s="25"/>
      <c r="M188" s="21"/>
      <c r="N188" s="21"/>
    </row>
    <row r="189" customFormat="false" ht="15" hidden="false" customHeight="false" outlineLevel="0" collapsed="false">
      <c r="A189" s="21"/>
      <c r="B189" s="21"/>
      <c r="C189" s="21"/>
      <c r="D189" s="22"/>
      <c r="E189" s="23"/>
      <c r="F189" s="23"/>
      <c r="G189" s="23"/>
      <c r="H189" s="23"/>
      <c r="I189" s="22"/>
      <c r="J189" s="22"/>
      <c r="K189" s="24"/>
      <c r="L189" s="25"/>
      <c r="M189" s="21"/>
      <c r="N189" s="21"/>
    </row>
    <row r="190" customFormat="false" ht="15" hidden="false" customHeight="false" outlineLevel="0" collapsed="false">
      <c r="A190" s="21"/>
      <c r="B190" s="21"/>
      <c r="C190" s="21"/>
      <c r="D190" s="22"/>
      <c r="E190" s="23"/>
      <c r="F190" s="23"/>
      <c r="G190" s="23"/>
      <c r="H190" s="23"/>
      <c r="I190" s="22"/>
      <c r="J190" s="22"/>
      <c r="K190" s="24"/>
      <c r="L190" s="25"/>
      <c r="M190" s="21"/>
      <c r="N190" s="21"/>
    </row>
    <row r="191" customFormat="false" ht="15" hidden="false" customHeight="false" outlineLevel="0" collapsed="false">
      <c r="A191" s="21"/>
      <c r="B191" s="21"/>
      <c r="C191" s="21"/>
      <c r="D191" s="22"/>
      <c r="E191" s="23"/>
      <c r="F191" s="23"/>
      <c r="G191" s="23"/>
      <c r="H191" s="23"/>
      <c r="I191" s="22"/>
      <c r="J191" s="22"/>
      <c r="K191" s="24"/>
      <c r="L191" s="25"/>
      <c r="M191" s="21"/>
      <c r="N191" s="21"/>
    </row>
    <row r="192" customFormat="false" ht="15" hidden="false" customHeight="false" outlineLevel="0" collapsed="false">
      <c r="A192" s="21"/>
      <c r="B192" s="21"/>
      <c r="C192" s="21"/>
      <c r="D192" s="22"/>
      <c r="E192" s="23"/>
      <c r="F192" s="23"/>
      <c r="G192" s="23"/>
      <c r="H192" s="23"/>
      <c r="I192" s="22"/>
      <c r="J192" s="22"/>
      <c r="K192" s="24"/>
      <c r="L192" s="25"/>
      <c r="M192" s="21"/>
      <c r="N192" s="21"/>
    </row>
    <row r="193" customFormat="false" ht="15" hidden="false" customHeight="false" outlineLevel="0" collapsed="false">
      <c r="A193" s="21"/>
      <c r="B193" s="21"/>
      <c r="C193" s="21"/>
      <c r="D193" s="22"/>
      <c r="E193" s="23"/>
      <c r="F193" s="23"/>
      <c r="G193" s="23"/>
      <c r="H193" s="23"/>
      <c r="I193" s="22"/>
      <c r="J193" s="22"/>
      <c r="K193" s="24"/>
      <c r="L193" s="25"/>
      <c r="M193" s="21"/>
      <c r="N193" s="21"/>
    </row>
    <row r="194" customFormat="false" ht="15" hidden="false" customHeight="false" outlineLevel="0" collapsed="false">
      <c r="A194" s="21"/>
      <c r="B194" s="21"/>
      <c r="C194" s="21"/>
      <c r="D194" s="22"/>
      <c r="E194" s="23"/>
      <c r="F194" s="23"/>
      <c r="G194" s="23"/>
      <c r="H194" s="23"/>
      <c r="I194" s="22"/>
      <c r="J194" s="22"/>
      <c r="K194" s="24"/>
      <c r="L194" s="25"/>
      <c r="M194" s="21"/>
      <c r="N194" s="21"/>
    </row>
    <row r="195" customFormat="false" ht="15" hidden="false" customHeight="false" outlineLevel="0" collapsed="false">
      <c r="A195" s="21"/>
      <c r="B195" s="21"/>
      <c r="C195" s="21"/>
      <c r="D195" s="22"/>
      <c r="E195" s="23"/>
      <c r="F195" s="23"/>
      <c r="G195" s="23"/>
      <c r="H195" s="23"/>
      <c r="I195" s="22"/>
      <c r="J195" s="22"/>
      <c r="K195" s="24"/>
      <c r="L195" s="25"/>
      <c r="M195" s="21"/>
      <c r="N195" s="21"/>
    </row>
    <row r="196" customFormat="false" ht="15" hidden="false" customHeight="false" outlineLevel="0" collapsed="false">
      <c r="A196" s="21"/>
      <c r="B196" s="21"/>
      <c r="C196" s="21"/>
      <c r="D196" s="22"/>
      <c r="E196" s="23"/>
      <c r="F196" s="23"/>
      <c r="G196" s="23"/>
      <c r="H196" s="23"/>
      <c r="I196" s="22"/>
      <c r="J196" s="22"/>
      <c r="K196" s="24"/>
      <c r="L196" s="25"/>
      <c r="M196" s="21"/>
      <c r="N196" s="21"/>
    </row>
    <row r="197" customFormat="false" ht="15" hidden="false" customHeight="false" outlineLevel="0" collapsed="false">
      <c r="A197" s="21"/>
      <c r="B197" s="21"/>
      <c r="C197" s="21"/>
      <c r="D197" s="22"/>
      <c r="E197" s="23"/>
      <c r="F197" s="23"/>
      <c r="G197" s="23"/>
      <c r="H197" s="23"/>
      <c r="I197" s="22"/>
      <c r="J197" s="22"/>
      <c r="K197" s="24"/>
      <c r="L197" s="25"/>
      <c r="M197" s="21"/>
      <c r="N197" s="21"/>
    </row>
    <row r="198" customFormat="false" ht="15" hidden="false" customHeight="false" outlineLevel="0" collapsed="false">
      <c r="A198" s="21"/>
      <c r="B198" s="21"/>
      <c r="C198" s="21"/>
      <c r="D198" s="22"/>
      <c r="E198" s="23"/>
      <c r="F198" s="23"/>
      <c r="G198" s="23"/>
      <c r="H198" s="23"/>
      <c r="I198" s="22"/>
      <c r="J198" s="22"/>
      <c r="K198" s="24"/>
      <c r="L198" s="25"/>
      <c r="M198" s="21"/>
      <c r="N198" s="21"/>
    </row>
    <row r="199" customFormat="false" ht="15" hidden="false" customHeight="false" outlineLevel="0" collapsed="false">
      <c r="A199" s="21"/>
      <c r="B199" s="21"/>
      <c r="C199" s="21"/>
      <c r="D199" s="22"/>
      <c r="E199" s="23"/>
      <c r="F199" s="23"/>
      <c r="G199" s="23"/>
      <c r="H199" s="23"/>
      <c r="I199" s="22"/>
      <c r="J199" s="22"/>
      <c r="K199" s="24"/>
      <c r="L199" s="25"/>
      <c r="M199" s="21"/>
      <c r="N199" s="21"/>
    </row>
    <row r="200" customFormat="false" ht="15" hidden="false" customHeight="false" outlineLevel="0" collapsed="false">
      <c r="A200" s="21"/>
      <c r="B200" s="21"/>
      <c r="C200" s="21"/>
      <c r="D200" s="22"/>
      <c r="E200" s="23"/>
      <c r="F200" s="23"/>
      <c r="G200" s="23"/>
      <c r="H200" s="23"/>
      <c r="I200" s="22"/>
      <c r="J200" s="22"/>
      <c r="K200" s="24"/>
      <c r="L200" s="25"/>
      <c r="M200" s="21"/>
      <c r="N200" s="21"/>
    </row>
    <row r="201" customFormat="false" ht="15" hidden="false" customHeight="false" outlineLevel="0" collapsed="false">
      <c r="A201" s="21"/>
      <c r="B201" s="21"/>
      <c r="C201" s="21"/>
      <c r="D201" s="22"/>
      <c r="E201" s="23"/>
      <c r="F201" s="23"/>
      <c r="G201" s="23"/>
      <c r="H201" s="23"/>
      <c r="I201" s="22"/>
      <c r="J201" s="22"/>
      <c r="K201" s="24"/>
      <c r="L201" s="25"/>
      <c r="M201" s="21"/>
      <c r="N201" s="21"/>
    </row>
  </sheetData>
  <autoFilter ref="A1:N1"/>
  <dataValidations count="1">
    <dataValidation allowBlank="true" error="Elija un valor de la lista." errorStyle="stop" errorTitle="Valor no válido" operator="between" showDropDown="false" showErrorMessage="true" showInputMessage="false" sqref="B2:B1000" type="list">
      <formula1>'02_PRODUCTOS'!$A$2:$A$51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J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5" min="3" style="0" width="18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22"/>
  </cols>
  <sheetData>
    <row r="1" customFormat="false" ht="31.5" hidden="false" customHeight="true" outlineLevel="0" collapsed="false">
      <c r="A1" s="1" t="s">
        <v>273</v>
      </c>
      <c r="B1" s="1" t="s">
        <v>119</v>
      </c>
      <c r="C1" s="1" t="s">
        <v>276</v>
      </c>
      <c r="D1" s="1" t="s">
        <v>279</v>
      </c>
      <c r="E1" s="1" t="s">
        <v>280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270</v>
      </c>
    </row>
    <row r="2" customFormat="false" ht="15" hidden="false" customHeight="false" outlineLevel="0" collapsed="false">
      <c r="A2" s="21"/>
      <c r="B2" s="21"/>
      <c r="C2" s="26"/>
      <c r="D2" s="26"/>
      <c r="E2" s="21"/>
      <c r="F2" s="21"/>
      <c r="G2" s="21"/>
      <c r="H2" s="22"/>
      <c r="I2" s="21"/>
      <c r="J2" s="21"/>
    </row>
    <row r="3" customFormat="false" ht="15" hidden="false" customHeight="false" outlineLevel="0" collapsed="false">
      <c r="A3" s="21"/>
      <c r="B3" s="21"/>
      <c r="C3" s="26"/>
      <c r="D3" s="26"/>
      <c r="E3" s="21"/>
      <c r="F3" s="21"/>
      <c r="G3" s="21"/>
      <c r="H3" s="22"/>
      <c r="I3" s="21"/>
      <c r="J3" s="21"/>
    </row>
    <row r="4" customFormat="false" ht="15" hidden="false" customHeight="false" outlineLevel="0" collapsed="false">
      <c r="A4" s="21"/>
      <c r="B4" s="21"/>
      <c r="C4" s="26"/>
      <c r="D4" s="26"/>
      <c r="E4" s="21"/>
      <c r="F4" s="21"/>
      <c r="G4" s="21"/>
      <c r="H4" s="22"/>
      <c r="I4" s="21"/>
      <c r="J4" s="21"/>
    </row>
    <row r="5" customFormat="false" ht="15" hidden="false" customHeight="false" outlineLevel="0" collapsed="false">
      <c r="A5" s="21"/>
      <c r="B5" s="21"/>
      <c r="C5" s="26"/>
      <c r="D5" s="26"/>
      <c r="E5" s="21"/>
      <c r="F5" s="21"/>
      <c r="G5" s="21"/>
      <c r="H5" s="22"/>
      <c r="I5" s="21"/>
      <c r="J5" s="21"/>
    </row>
    <row r="6" customFormat="false" ht="15" hidden="false" customHeight="false" outlineLevel="0" collapsed="false">
      <c r="A6" s="21"/>
      <c r="B6" s="21"/>
      <c r="C6" s="26"/>
      <c r="D6" s="26"/>
      <c r="E6" s="21"/>
      <c r="F6" s="21"/>
      <c r="G6" s="21"/>
      <c r="H6" s="22"/>
      <c r="I6" s="21"/>
      <c r="J6" s="21"/>
    </row>
    <row r="7" customFormat="false" ht="15" hidden="false" customHeight="false" outlineLevel="0" collapsed="false">
      <c r="A7" s="21"/>
      <c r="B7" s="21"/>
      <c r="C7" s="26"/>
      <c r="D7" s="26"/>
      <c r="E7" s="21"/>
      <c r="F7" s="21"/>
      <c r="G7" s="21"/>
      <c r="H7" s="22"/>
      <c r="I7" s="21"/>
      <c r="J7" s="21"/>
    </row>
    <row r="8" customFormat="false" ht="15" hidden="false" customHeight="false" outlineLevel="0" collapsed="false">
      <c r="A8" s="21"/>
      <c r="B8" s="21"/>
      <c r="C8" s="26"/>
      <c r="D8" s="26"/>
      <c r="E8" s="21"/>
      <c r="F8" s="21"/>
      <c r="G8" s="21"/>
      <c r="H8" s="22"/>
      <c r="I8" s="21"/>
      <c r="J8" s="21"/>
    </row>
    <row r="9" customFormat="false" ht="15" hidden="false" customHeight="false" outlineLevel="0" collapsed="false">
      <c r="A9" s="21"/>
      <c r="B9" s="21"/>
      <c r="C9" s="26"/>
      <c r="D9" s="26"/>
      <c r="E9" s="21"/>
      <c r="F9" s="21"/>
      <c r="G9" s="21"/>
      <c r="H9" s="22"/>
      <c r="I9" s="21"/>
      <c r="J9" s="21"/>
    </row>
    <row r="10" customFormat="false" ht="15" hidden="false" customHeight="false" outlineLevel="0" collapsed="false">
      <c r="A10" s="21"/>
      <c r="B10" s="21"/>
      <c r="C10" s="26"/>
      <c r="D10" s="26"/>
      <c r="E10" s="21"/>
      <c r="F10" s="21"/>
      <c r="G10" s="21"/>
      <c r="H10" s="22"/>
      <c r="I10" s="21"/>
      <c r="J10" s="21"/>
    </row>
    <row r="11" customFormat="false" ht="15" hidden="false" customHeight="false" outlineLevel="0" collapsed="false">
      <c r="A11" s="21"/>
      <c r="B11" s="21"/>
      <c r="C11" s="26"/>
      <c r="D11" s="26"/>
      <c r="E11" s="21"/>
      <c r="F11" s="21"/>
      <c r="G11" s="21"/>
      <c r="H11" s="22"/>
      <c r="I11" s="21"/>
      <c r="J11" s="21"/>
    </row>
    <row r="12" customFormat="false" ht="15" hidden="false" customHeight="false" outlineLevel="0" collapsed="false">
      <c r="A12" s="21"/>
      <c r="B12" s="21"/>
      <c r="C12" s="26"/>
      <c r="D12" s="26"/>
      <c r="E12" s="21"/>
      <c r="F12" s="21"/>
      <c r="G12" s="21"/>
      <c r="H12" s="22"/>
      <c r="I12" s="21"/>
      <c r="J12" s="21"/>
    </row>
    <row r="13" customFormat="false" ht="15" hidden="false" customHeight="false" outlineLevel="0" collapsed="false">
      <c r="A13" s="21"/>
      <c r="B13" s="21"/>
      <c r="C13" s="26"/>
      <c r="D13" s="26"/>
      <c r="E13" s="21"/>
      <c r="F13" s="21"/>
      <c r="G13" s="21"/>
      <c r="H13" s="22"/>
      <c r="I13" s="21"/>
      <c r="J13" s="21"/>
    </row>
    <row r="14" customFormat="false" ht="15" hidden="false" customHeight="false" outlineLevel="0" collapsed="false">
      <c r="A14" s="21"/>
      <c r="B14" s="21"/>
      <c r="C14" s="26"/>
      <c r="D14" s="26"/>
      <c r="E14" s="21"/>
      <c r="F14" s="21"/>
      <c r="G14" s="21"/>
      <c r="H14" s="22"/>
      <c r="I14" s="21"/>
      <c r="J14" s="21"/>
    </row>
    <row r="15" customFormat="false" ht="15" hidden="false" customHeight="false" outlineLevel="0" collapsed="false">
      <c r="A15" s="21"/>
      <c r="B15" s="21"/>
      <c r="C15" s="26"/>
      <c r="D15" s="26"/>
      <c r="E15" s="21"/>
      <c r="F15" s="21"/>
      <c r="G15" s="21"/>
      <c r="H15" s="22"/>
      <c r="I15" s="21"/>
      <c r="J15" s="21"/>
    </row>
    <row r="16" customFormat="false" ht="15" hidden="false" customHeight="false" outlineLevel="0" collapsed="false">
      <c r="A16" s="21"/>
      <c r="B16" s="21"/>
      <c r="C16" s="26"/>
      <c r="D16" s="26"/>
      <c r="E16" s="21"/>
      <c r="F16" s="21"/>
      <c r="G16" s="21"/>
      <c r="H16" s="22"/>
      <c r="I16" s="21"/>
      <c r="J16" s="21"/>
    </row>
    <row r="17" customFormat="false" ht="15" hidden="false" customHeight="false" outlineLevel="0" collapsed="false">
      <c r="A17" s="21"/>
      <c r="B17" s="21"/>
      <c r="C17" s="26"/>
      <c r="D17" s="26"/>
      <c r="E17" s="21"/>
      <c r="F17" s="21"/>
      <c r="G17" s="21"/>
      <c r="H17" s="22"/>
      <c r="I17" s="21"/>
      <c r="J17" s="21"/>
    </row>
    <row r="18" customFormat="false" ht="15" hidden="false" customHeight="false" outlineLevel="0" collapsed="false">
      <c r="A18" s="21"/>
      <c r="B18" s="21"/>
      <c r="C18" s="26"/>
      <c r="D18" s="26"/>
      <c r="E18" s="21"/>
      <c r="F18" s="21"/>
      <c r="G18" s="21"/>
      <c r="H18" s="22"/>
      <c r="I18" s="21"/>
      <c r="J18" s="21"/>
    </row>
    <row r="19" customFormat="false" ht="15" hidden="false" customHeight="false" outlineLevel="0" collapsed="false">
      <c r="A19" s="21"/>
      <c r="B19" s="21"/>
      <c r="C19" s="26"/>
      <c r="D19" s="26"/>
      <c r="E19" s="21"/>
      <c r="F19" s="21"/>
      <c r="G19" s="21"/>
      <c r="H19" s="22"/>
      <c r="I19" s="21"/>
      <c r="J19" s="21"/>
    </row>
    <row r="20" customFormat="false" ht="15" hidden="false" customHeight="false" outlineLevel="0" collapsed="false">
      <c r="A20" s="21"/>
      <c r="B20" s="21"/>
      <c r="C20" s="26"/>
      <c r="D20" s="26"/>
      <c r="E20" s="21"/>
      <c r="F20" s="21"/>
      <c r="G20" s="21"/>
      <c r="H20" s="22"/>
      <c r="I20" s="21"/>
      <c r="J20" s="21"/>
    </row>
    <row r="21" customFormat="false" ht="15" hidden="false" customHeight="false" outlineLevel="0" collapsed="false">
      <c r="A21" s="21"/>
      <c r="B21" s="21"/>
      <c r="C21" s="26"/>
      <c r="D21" s="26"/>
      <c r="E21" s="21"/>
      <c r="F21" s="21"/>
      <c r="G21" s="21"/>
      <c r="H21" s="22"/>
      <c r="I21" s="21"/>
      <c r="J21" s="21"/>
    </row>
    <row r="22" customFormat="false" ht="15" hidden="false" customHeight="false" outlineLevel="0" collapsed="false">
      <c r="A22" s="21"/>
      <c r="B22" s="21"/>
      <c r="C22" s="26"/>
      <c r="D22" s="26"/>
      <c r="E22" s="21"/>
      <c r="F22" s="21"/>
      <c r="G22" s="21"/>
      <c r="H22" s="22"/>
      <c r="I22" s="21"/>
      <c r="J22" s="21"/>
    </row>
    <row r="23" customFormat="false" ht="15" hidden="false" customHeight="false" outlineLevel="0" collapsed="false">
      <c r="A23" s="21"/>
      <c r="B23" s="21"/>
      <c r="C23" s="26"/>
      <c r="D23" s="26"/>
      <c r="E23" s="21"/>
      <c r="F23" s="21"/>
      <c r="G23" s="21"/>
      <c r="H23" s="22"/>
      <c r="I23" s="21"/>
      <c r="J23" s="21"/>
    </row>
    <row r="24" customFormat="false" ht="15" hidden="false" customHeight="false" outlineLevel="0" collapsed="false">
      <c r="A24" s="21"/>
      <c r="B24" s="21"/>
      <c r="C24" s="26"/>
      <c r="D24" s="26"/>
      <c r="E24" s="21"/>
      <c r="F24" s="21"/>
      <c r="G24" s="21"/>
      <c r="H24" s="22"/>
      <c r="I24" s="21"/>
      <c r="J24" s="21"/>
    </row>
    <row r="25" customFormat="false" ht="15" hidden="false" customHeight="false" outlineLevel="0" collapsed="false">
      <c r="A25" s="21"/>
      <c r="B25" s="21"/>
      <c r="C25" s="26"/>
      <c r="D25" s="26"/>
      <c r="E25" s="21"/>
      <c r="F25" s="21"/>
      <c r="G25" s="21"/>
      <c r="H25" s="22"/>
      <c r="I25" s="21"/>
      <c r="J25" s="21"/>
    </row>
    <row r="26" customFormat="false" ht="15" hidden="false" customHeight="false" outlineLevel="0" collapsed="false">
      <c r="A26" s="21"/>
      <c r="B26" s="21"/>
      <c r="C26" s="26"/>
      <c r="D26" s="26"/>
      <c r="E26" s="21"/>
      <c r="F26" s="21"/>
      <c r="G26" s="21"/>
      <c r="H26" s="22"/>
      <c r="I26" s="21"/>
      <c r="J26" s="21"/>
    </row>
    <row r="27" customFormat="false" ht="15" hidden="false" customHeight="false" outlineLevel="0" collapsed="false">
      <c r="A27" s="21"/>
      <c r="B27" s="21"/>
      <c r="C27" s="26"/>
      <c r="D27" s="26"/>
      <c r="E27" s="21"/>
      <c r="F27" s="21"/>
      <c r="G27" s="21"/>
      <c r="H27" s="22"/>
      <c r="I27" s="21"/>
      <c r="J27" s="21"/>
    </row>
    <row r="28" customFormat="false" ht="15" hidden="false" customHeight="false" outlineLevel="0" collapsed="false">
      <c r="A28" s="21"/>
      <c r="B28" s="21"/>
      <c r="C28" s="26"/>
      <c r="D28" s="26"/>
      <c r="E28" s="21"/>
      <c r="F28" s="21"/>
      <c r="G28" s="21"/>
      <c r="H28" s="22"/>
      <c r="I28" s="21"/>
      <c r="J28" s="21"/>
    </row>
    <row r="29" customFormat="false" ht="15" hidden="false" customHeight="false" outlineLevel="0" collapsed="false">
      <c r="A29" s="21"/>
      <c r="B29" s="21"/>
      <c r="C29" s="26"/>
      <c r="D29" s="26"/>
      <c r="E29" s="21"/>
      <c r="F29" s="21"/>
      <c r="G29" s="21"/>
      <c r="H29" s="22"/>
      <c r="I29" s="21"/>
      <c r="J29" s="21"/>
    </row>
    <row r="30" customFormat="false" ht="15" hidden="false" customHeight="false" outlineLevel="0" collapsed="false">
      <c r="A30" s="21"/>
      <c r="B30" s="21"/>
      <c r="C30" s="26"/>
      <c r="D30" s="26"/>
      <c r="E30" s="21"/>
      <c r="F30" s="21"/>
      <c r="G30" s="21"/>
      <c r="H30" s="22"/>
      <c r="I30" s="21"/>
      <c r="J30" s="21"/>
    </row>
    <row r="31" customFormat="false" ht="15" hidden="false" customHeight="false" outlineLevel="0" collapsed="false">
      <c r="A31" s="21"/>
      <c r="B31" s="21"/>
      <c r="C31" s="26"/>
      <c r="D31" s="26"/>
      <c r="E31" s="21"/>
      <c r="F31" s="21"/>
      <c r="G31" s="21"/>
      <c r="H31" s="22"/>
      <c r="I31" s="21"/>
      <c r="J31" s="21"/>
    </row>
    <row r="32" customFormat="false" ht="15" hidden="false" customHeight="false" outlineLevel="0" collapsed="false">
      <c r="A32" s="21"/>
      <c r="B32" s="21"/>
      <c r="C32" s="26"/>
      <c r="D32" s="26"/>
      <c r="E32" s="21"/>
      <c r="F32" s="21"/>
      <c r="G32" s="21"/>
      <c r="H32" s="22"/>
      <c r="I32" s="21"/>
      <c r="J32" s="21"/>
    </row>
    <row r="33" customFormat="false" ht="15" hidden="false" customHeight="false" outlineLevel="0" collapsed="false">
      <c r="A33" s="21"/>
      <c r="B33" s="21"/>
      <c r="C33" s="26"/>
      <c r="D33" s="26"/>
      <c r="E33" s="21"/>
      <c r="F33" s="21"/>
      <c r="G33" s="21"/>
      <c r="H33" s="22"/>
      <c r="I33" s="21"/>
      <c r="J33" s="21"/>
    </row>
    <row r="34" customFormat="false" ht="15" hidden="false" customHeight="false" outlineLevel="0" collapsed="false">
      <c r="A34" s="21"/>
      <c r="B34" s="21"/>
      <c r="C34" s="26"/>
      <c r="D34" s="26"/>
      <c r="E34" s="21"/>
      <c r="F34" s="21"/>
      <c r="G34" s="21"/>
      <c r="H34" s="22"/>
      <c r="I34" s="21"/>
      <c r="J34" s="21"/>
    </row>
    <row r="35" customFormat="false" ht="15" hidden="false" customHeight="false" outlineLevel="0" collapsed="false">
      <c r="A35" s="21"/>
      <c r="B35" s="21"/>
      <c r="C35" s="26"/>
      <c r="D35" s="26"/>
      <c r="E35" s="21"/>
      <c r="F35" s="21"/>
      <c r="G35" s="21"/>
      <c r="H35" s="22"/>
      <c r="I35" s="21"/>
      <c r="J35" s="21"/>
    </row>
    <row r="36" customFormat="false" ht="15" hidden="false" customHeight="false" outlineLevel="0" collapsed="false">
      <c r="A36" s="21"/>
      <c r="B36" s="21"/>
      <c r="C36" s="26"/>
      <c r="D36" s="26"/>
      <c r="E36" s="21"/>
      <c r="F36" s="21"/>
      <c r="G36" s="21"/>
      <c r="H36" s="22"/>
      <c r="I36" s="21"/>
      <c r="J36" s="21"/>
    </row>
    <row r="37" customFormat="false" ht="15" hidden="false" customHeight="false" outlineLevel="0" collapsed="false">
      <c r="A37" s="21"/>
      <c r="B37" s="21"/>
      <c r="C37" s="26"/>
      <c r="D37" s="26"/>
      <c r="E37" s="21"/>
      <c r="F37" s="21"/>
      <c r="G37" s="21"/>
      <c r="H37" s="22"/>
      <c r="I37" s="21"/>
      <c r="J37" s="21"/>
    </row>
    <row r="38" customFormat="false" ht="15" hidden="false" customHeight="false" outlineLevel="0" collapsed="false">
      <c r="A38" s="21"/>
      <c r="B38" s="21"/>
      <c r="C38" s="26"/>
      <c r="D38" s="26"/>
      <c r="E38" s="21"/>
      <c r="F38" s="21"/>
      <c r="G38" s="21"/>
      <c r="H38" s="22"/>
      <c r="I38" s="21"/>
      <c r="J38" s="21"/>
    </row>
    <row r="39" customFormat="false" ht="15" hidden="false" customHeight="false" outlineLevel="0" collapsed="false">
      <c r="A39" s="21"/>
      <c r="B39" s="21"/>
      <c r="C39" s="26"/>
      <c r="D39" s="26"/>
      <c r="E39" s="21"/>
      <c r="F39" s="21"/>
      <c r="G39" s="21"/>
      <c r="H39" s="22"/>
      <c r="I39" s="21"/>
      <c r="J39" s="21"/>
    </row>
    <row r="40" customFormat="false" ht="15" hidden="false" customHeight="false" outlineLevel="0" collapsed="false">
      <c r="A40" s="21"/>
      <c r="B40" s="21"/>
      <c r="C40" s="26"/>
      <c r="D40" s="26"/>
      <c r="E40" s="21"/>
      <c r="F40" s="21"/>
      <c r="G40" s="21"/>
      <c r="H40" s="22"/>
      <c r="I40" s="21"/>
      <c r="J40" s="21"/>
    </row>
    <row r="41" customFormat="false" ht="15" hidden="false" customHeight="false" outlineLevel="0" collapsed="false">
      <c r="A41" s="21"/>
      <c r="B41" s="21"/>
      <c r="C41" s="26"/>
      <c r="D41" s="26"/>
      <c r="E41" s="21"/>
      <c r="F41" s="21"/>
      <c r="G41" s="21"/>
      <c r="H41" s="22"/>
      <c r="I41" s="21"/>
      <c r="J41" s="21"/>
    </row>
    <row r="42" customFormat="false" ht="15" hidden="false" customHeight="false" outlineLevel="0" collapsed="false">
      <c r="A42" s="21"/>
      <c r="B42" s="21"/>
      <c r="C42" s="26"/>
      <c r="D42" s="26"/>
      <c r="E42" s="21"/>
      <c r="F42" s="21"/>
      <c r="G42" s="21"/>
      <c r="H42" s="22"/>
      <c r="I42" s="21"/>
      <c r="J42" s="21"/>
    </row>
    <row r="43" customFormat="false" ht="15" hidden="false" customHeight="false" outlineLevel="0" collapsed="false">
      <c r="A43" s="21"/>
      <c r="B43" s="21"/>
      <c r="C43" s="26"/>
      <c r="D43" s="26"/>
      <c r="E43" s="21"/>
      <c r="F43" s="21"/>
      <c r="G43" s="21"/>
      <c r="H43" s="22"/>
      <c r="I43" s="21"/>
      <c r="J43" s="21"/>
    </row>
    <row r="44" customFormat="false" ht="15" hidden="false" customHeight="false" outlineLevel="0" collapsed="false">
      <c r="A44" s="21"/>
      <c r="B44" s="21"/>
      <c r="C44" s="26"/>
      <c r="D44" s="26"/>
      <c r="E44" s="21"/>
      <c r="F44" s="21"/>
      <c r="G44" s="21"/>
      <c r="H44" s="22"/>
      <c r="I44" s="21"/>
      <c r="J44" s="21"/>
    </row>
    <row r="45" customFormat="false" ht="15" hidden="false" customHeight="false" outlineLevel="0" collapsed="false">
      <c r="A45" s="21"/>
      <c r="B45" s="21"/>
      <c r="C45" s="26"/>
      <c r="D45" s="26"/>
      <c r="E45" s="21"/>
      <c r="F45" s="21"/>
      <c r="G45" s="21"/>
      <c r="H45" s="22"/>
      <c r="I45" s="21"/>
      <c r="J45" s="21"/>
    </row>
    <row r="46" customFormat="false" ht="15" hidden="false" customHeight="false" outlineLevel="0" collapsed="false">
      <c r="A46" s="21"/>
      <c r="B46" s="21"/>
      <c r="C46" s="26"/>
      <c r="D46" s="26"/>
      <c r="E46" s="21"/>
      <c r="F46" s="21"/>
      <c r="G46" s="21"/>
      <c r="H46" s="22"/>
      <c r="I46" s="21"/>
      <c r="J46" s="21"/>
    </row>
    <row r="47" customFormat="false" ht="15" hidden="false" customHeight="false" outlineLevel="0" collapsed="false">
      <c r="A47" s="21"/>
      <c r="B47" s="21"/>
      <c r="C47" s="26"/>
      <c r="D47" s="26"/>
      <c r="E47" s="21"/>
      <c r="F47" s="21"/>
      <c r="G47" s="21"/>
      <c r="H47" s="22"/>
      <c r="I47" s="21"/>
      <c r="J47" s="21"/>
    </row>
    <row r="48" customFormat="false" ht="15" hidden="false" customHeight="false" outlineLevel="0" collapsed="false">
      <c r="A48" s="21"/>
      <c r="B48" s="21"/>
      <c r="C48" s="26"/>
      <c r="D48" s="26"/>
      <c r="E48" s="21"/>
      <c r="F48" s="21"/>
      <c r="G48" s="21"/>
      <c r="H48" s="22"/>
      <c r="I48" s="21"/>
      <c r="J48" s="21"/>
    </row>
    <row r="49" customFormat="false" ht="15" hidden="false" customHeight="false" outlineLevel="0" collapsed="false">
      <c r="A49" s="21"/>
      <c r="B49" s="21"/>
      <c r="C49" s="26"/>
      <c r="D49" s="26"/>
      <c r="E49" s="21"/>
      <c r="F49" s="21"/>
      <c r="G49" s="21"/>
      <c r="H49" s="22"/>
      <c r="I49" s="21"/>
      <c r="J49" s="21"/>
    </row>
    <row r="50" customFormat="false" ht="15" hidden="false" customHeight="false" outlineLevel="0" collapsed="false">
      <c r="A50" s="21"/>
      <c r="B50" s="21"/>
      <c r="C50" s="26"/>
      <c r="D50" s="26"/>
      <c r="E50" s="21"/>
      <c r="F50" s="21"/>
      <c r="G50" s="21"/>
      <c r="H50" s="22"/>
      <c r="I50" s="21"/>
      <c r="J50" s="21"/>
    </row>
    <row r="51" customFormat="false" ht="15" hidden="false" customHeight="false" outlineLevel="0" collapsed="false">
      <c r="A51" s="21"/>
      <c r="B51" s="21"/>
      <c r="C51" s="26"/>
      <c r="D51" s="26"/>
      <c r="E51" s="21"/>
      <c r="F51" s="21"/>
      <c r="G51" s="21"/>
      <c r="H51" s="22"/>
      <c r="I51" s="21"/>
      <c r="J51" s="21"/>
    </row>
    <row r="52" customFormat="false" ht="15" hidden="false" customHeight="false" outlineLevel="0" collapsed="false">
      <c r="A52" s="21"/>
      <c r="B52" s="21"/>
      <c r="C52" s="26"/>
      <c r="D52" s="26"/>
      <c r="E52" s="21"/>
      <c r="F52" s="21"/>
      <c r="G52" s="21"/>
      <c r="H52" s="22"/>
      <c r="I52" s="21"/>
      <c r="J52" s="21"/>
    </row>
    <row r="53" customFormat="false" ht="15" hidden="false" customHeight="false" outlineLevel="0" collapsed="false">
      <c r="A53" s="21"/>
      <c r="B53" s="21"/>
      <c r="C53" s="26"/>
      <c r="D53" s="26"/>
      <c r="E53" s="21"/>
      <c r="F53" s="21"/>
      <c r="G53" s="21"/>
      <c r="H53" s="22"/>
      <c r="I53" s="21"/>
      <c r="J53" s="21"/>
    </row>
    <row r="54" customFormat="false" ht="15" hidden="false" customHeight="false" outlineLevel="0" collapsed="false">
      <c r="A54" s="21"/>
      <c r="B54" s="21"/>
      <c r="C54" s="26"/>
      <c r="D54" s="26"/>
      <c r="E54" s="21"/>
      <c r="F54" s="21"/>
      <c r="G54" s="21"/>
      <c r="H54" s="22"/>
      <c r="I54" s="21"/>
      <c r="J54" s="21"/>
    </row>
    <row r="55" customFormat="false" ht="15" hidden="false" customHeight="false" outlineLevel="0" collapsed="false">
      <c r="A55" s="21"/>
      <c r="B55" s="21"/>
      <c r="C55" s="26"/>
      <c r="D55" s="26"/>
      <c r="E55" s="21"/>
      <c r="F55" s="21"/>
      <c r="G55" s="21"/>
      <c r="H55" s="22"/>
      <c r="I55" s="21"/>
      <c r="J55" s="21"/>
    </row>
    <row r="56" customFormat="false" ht="15" hidden="false" customHeight="false" outlineLevel="0" collapsed="false">
      <c r="A56" s="21"/>
      <c r="B56" s="21"/>
      <c r="C56" s="26"/>
      <c r="D56" s="26"/>
      <c r="E56" s="21"/>
      <c r="F56" s="21"/>
      <c r="G56" s="21"/>
      <c r="H56" s="22"/>
      <c r="I56" s="21"/>
      <c r="J56" s="21"/>
    </row>
    <row r="57" customFormat="false" ht="15" hidden="false" customHeight="false" outlineLevel="0" collapsed="false">
      <c r="A57" s="21"/>
      <c r="B57" s="21"/>
      <c r="C57" s="26"/>
      <c r="D57" s="26"/>
      <c r="E57" s="21"/>
      <c r="F57" s="21"/>
      <c r="G57" s="21"/>
      <c r="H57" s="22"/>
      <c r="I57" s="21"/>
      <c r="J57" s="21"/>
    </row>
    <row r="58" customFormat="false" ht="15" hidden="false" customHeight="false" outlineLevel="0" collapsed="false">
      <c r="A58" s="21"/>
      <c r="B58" s="21"/>
      <c r="C58" s="26"/>
      <c r="D58" s="26"/>
      <c r="E58" s="21"/>
      <c r="F58" s="21"/>
      <c r="G58" s="21"/>
      <c r="H58" s="22"/>
      <c r="I58" s="21"/>
      <c r="J58" s="21"/>
    </row>
    <row r="59" customFormat="false" ht="15" hidden="false" customHeight="false" outlineLevel="0" collapsed="false">
      <c r="A59" s="21"/>
      <c r="B59" s="21"/>
      <c r="C59" s="26"/>
      <c r="D59" s="26"/>
      <c r="E59" s="21"/>
      <c r="F59" s="21"/>
      <c r="G59" s="21"/>
      <c r="H59" s="22"/>
      <c r="I59" s="21"/>
      <c r="J59" s="21"/>
    </row>
    <row r="60" customFormat="false" ht="15" hidden="false" customHeight="false" outlineLevel="0" collapsed="false">
      <c r="A60" s="21"/>
      <c r="B60" s="21"/>
      <c r="C60" s="26"/>
      <c r="D60" s="26"/>
      <c r="E60" s="21"/>
      <c r="F60" s="21"/>
      <c r="G60" s="21"/>
      <c r="H60" s="22"/>
      <c r="I60" s="21"/>
      <c r="J60" s="21"/>
    </row>
    <row r="61" customFormat="false" ht="15" hidden="false" customHeight="false" outlineLevel="0" collapsed="false">
      <c r="A61" s="21"/>
      <c r="B61" s="21"/>
      <c r="C61" s="26"/>
      <c r="D61" s="26"/>
      <c r="E61" s="21"/>
      <c r="F61" s="21"/>
      <c r="G61" s="21"/>
      <c r="H61" s="22"/>
      <c r="I61" s="21"/>
      <c r="J61" s="21"/>
    </row>
    <row r="62" customFormat="false" ht="15" hidden="false" customHeight="false" outlineLevel="0" collapsed="false">
      <c r="A62" s="21"/>
      <c r="B62" s="21"/>
      <c r="C62" s="26"/>
      <c r="D62" s="26"/>
      <c r="E62" s="21"/>
      <c r="F62" s="21"/>
      <c r="G62" s="21"/>
      <c r="H62" s="22"/>
      <c r="I62" s="21"/>
      <c r="J62" s="21"/>
    </row>
    <row r="63" customFormat="false" ht="15" hidden="false" customHeight="false" outlineLevel="0" collapsed="false">
      <c r="A63" s="21"/>
      <c r="B63" s="21"/>
      <c r="C63" s="26"/>
      <c r="D63" s="26"/>
      <c r="E63" s="21"/>
      <c r="F63" s="21"/>
      <c r="G63" s="21"/>
      <c r="H63" s="22"/>
      <c r="I63" s="21"/>
      <c r="J63" s="21"/>
    </row>
    <row r="64" customFormat="false" ht="15" hidden="false" customHeight="false" outlineLevel="0" collapsed="false">
      <c r="A64" s="21"/>
      <c r="B64" s="21"/>
      <c r="C64" s="26"/>
      <c r="D64" s="26"/>
      <c r="E64" s="21"/>
      <c r="F64" s="21"/>
      <c r="G64" s="21"/>
      <c r="H64" s="22"/>
      <c r="I64" s="21"/>
      <c r="J64" s="21"/>
    </row>
    <row r="65" customFormat="false" ht="15" hidden="false" customHeight="false" outlineLevel="0" collapsed="false">
      <c r="A65" s="21"/>
      <c r="B65" s="21"/>
      <c r="C65" s="26"/>
      <c r="D65" s="26"/>
      <c r="E65" s="21"/>
      <c r="F65" s="21"/>
      <c r="G65" s="21"/>
      <c r="H65" s="22"/>
      <c r="I65" s="21"/>
      <c r="J65" s="21"/>
    </row>
    <row r="66" customFormat="false" ht="15" hidden="false" customHeight="false" outlineLevel="0" collapsed="false">
      <c r="A66" s="21"/>
      <c r="B66" s="21"/>
      <c r="C66" s="26"/>
      <c r="D66" s="26"/>
      <c r="E66" s="21"/>
      <c r="F66" s="21"/>
      <c r="G66" s="21"/>
      <c r="H66" s="22"/>
      <c r="I66" s="21"/>
      <c r="J66" s="21"/>
    </row>
    <row r="67" customFormat="false" ht="15" hidden="false" customHeight="false" outlineLevel="0" collapsed="false">
      <c r="A67" s="21"/>
      <c r="B67" s="21"/>
      <c r="C67" s="26"/>
      <c r="D67" s="26"/>
      <c r="E67" s="21"/>
      <c r="F67" s="21"/>
      <c r="G67" s="21"/>
      <c r="H67" s="22"/>
      <c r="I67" s="21"/>
      <c r="J67" s="21"/>
    </row>
    <row r="68" customFormat="false" ht="15" hidden="false" customHeight="false" outlineLevel="0" collapsed="false">
      <c r="A68" s="21"/>
      <c r="B68" s="21"/>
      <c r="C68" s="26"/>
      <c r="D68" s="26"/>
      <c r="E68" s="21"/>
      <c r="F68" s="21"/>
      <c r="G68" s="21"/>
      <c r="H68" s="22"/>
      <c r="I68" s="21"/>
      <c r="J68" s="21"/>
    </row>
    <row r="69" customFormat="false" ht="15" hidden="false" customHeight="false" outlineLevel="0" collapsed="false">
      <c r="A69" s="21"/>
      <c r="B69" s="21"/>
      <c r="C69" s="26"/>
      <c r="D69" s="26"/>
      <c r="E69" s="21"/>
      <c r="F69" s="21"/>
      <c r="G69" s="21"/>
      <c r="H69" s="22"/>
      <c r="I69" s="21"/>
      <c r="J69" s="21"/>
    </row>
    <row r="70" customFormat="false" ht="15" hidden="false" customHeight="false" outlineLevel="0" collapsed="false">
      <c r="A70" s="21"/>
      <c r="B70" s="21"/>
      <c r="C70" s="26"/>
      <c r="D70" s="26"/>
      <c r="E70" s="21"/>
      <c r="F70" s="21"/>
      <c r="G70" s="21"/>
      <c r="H70" s="22"/>
      <c r="I70" s="21"/>
      <c r="J70" s="21"/>
    </row>
    <row r="71" customFormat="false" ht="15" hidden="false" customHeight="false" outlineLevel="0" collapsed="false">
      <c r="A71" s="21"/>
      <c r="B71" s="21"/>
      <c r="C71" s="26"/>
      <c r="D71" s="26"/>
      <c r="E71" s="21"/>
      <c r="F71" s="21"/>
      <c r="G71" s="21"/>
      <c r="H71" s="22"/>
      <c r="I71" s="21"/>
      <c r="J71" s="21"/>
    </row>
    <row r="72" customFormat="false" ht="15" hidden="false" customHeight="false" outlineLevel="0" collapsed="false">
      <c r="A72" s="21"/>
      <c r="B72" s="21"/>
      <c r="C72" s="26"/>
      <c r="D72" s="26"/>
      <c r="E72" s="21"/>
      <c r="F72" s="21"/>
      <c r="G72" s="21"/>
      <c r="H72" s="22"/>
      <c r="I72" s="21"/>
      <c r="J72" s="21"/>
    </row>
    <row r="73" customFormat="false" ht="15" hidden="false" customHeight="false" outlineLevel="0" collapsed="false">
      <c r="A73" s="21"/>
      <c r="B73" s="21"/>
      <c r="C73" s="26"/>
      <c r="D73" s="26"/>
      <c r="E73" s="21"/>
      <c r="F73" s="21"/>
      <c r="G73" s="21"/>
      <c r="H73" s="22"/>
      <c r="I73" s="21"/>
      <c r="J73" s="21"/>
    </row>
    <row r="74" customFormat="false" ht="15" hidden="false" customHeight="false" outlineLevel="0" collapsed="false">
      <c r="A74" s="21"/>
      <c r="B74" s="21"/>
      <c r="C74" s="26"/>
      <c r="D74" s="26"/>
      <c r="E74" s="21"/>
      <c r="F74" s="21"/>
      <c r="G74" s="21"/>
      <c r="H74" s="22"/>
      <c r="I74" s="21"/>
      <c r="J74" s="21"/>
    </row>
    <row r="75" customFormat="false" ht="15" hidden="false" customHeight="false" outlineLevel="0" collapsed="false">
      <c r="A75" s="21"/>
      <c r="B75" s="21"/>
      <c r="C75" s="26"/>
      <c r="D75" s="26"/>
      <c r="E75" s="21"/>
      <c r="F75" s="21"/>
      <c r="G75" s="21"/>
      <c r="H75" s="22"/>
      <c r="I75" s="21"/>
      <c r="J75" s="21"/>
    </row>
    <row r="76" customFormat="false" ht="15" hidden="false" customHeight="false" outlineLevel="0" collapsed="false">
      <c r="A76" s="21"/>
      <c r="B76" s="21"/>
      <c r="C76" s="26"/>
      <c r="D76" s="26"/>
      <c r="E76" s="21"/>
      <c r="F76" s="21"/>
      <c r="G76" s="21"/>
      <c r="H76" s="22"/>
      <c r="I76" s="21"/>
      <c r="J76" s="21"/>
    </row>
    <row r="77" customFormat="false" ht="15" hidden="false" customHeight="false" outlineLevel="0" collapsed="false">
      <c r="A77" s="21"/>
      <c r="B77" s="21"/>
      <c r="C77" s="26"/>
      <c r="D77" s="26"/>
      <c r="E77" s="21"/>
      <c r="F77" s="21"/>
      <c r="G77" s="21"/>
      <c r="H77" s="22"/>
      <c r="I77" s="21"/>
      <c r="J77" s="21"/>
    </row>
    <row r="78" customFormat="false" ht="15" hidden="false" customHeight="false" outlineLevel="0" collapsed="false">
      <c r="A78" s="21"/>
      <c r="B78" s="21"/>
      <c r="C78" s="26"/>
      <c r="D78" s="26"/>
      <c r="E78" s="21"/>
      <c r="F78" s="21"/>
      <c r="G78" s="21"/>
      <c r="H78" s="22"/>
      <c r="I78" s="21"/>
      <c r="J78" s="21"/>
    </row>
    <row r="79" customFormat="false" ht="15" hidden="false" customHeight="false" outlineLevel="0" collapsed="false">
      <c r="A79" s="21"/>
      <c r="B79" s="21"/>
      <c r="C79" s="26"/>
      <c r="D79" s="26"/>
      <c r="E79" s="21"/>
      <c r="F79" s="21"/>
      <c r="G79" s="21"/>
      <c r="H79" s="22"/>
      <c r="I79" s="21"/>
      <c r="J79" s="21"/>
    </row>
    <row r="80" customFormat="false" ht="15" hidden="false" customHeight="false" outlineLevel="0" collapsed="false">
      <c r="A80" s="21"/>
      <c r="B80" s="21"/>
      <c r="C80" s="26"/>
      <c r="D80" s="26"/>
      <c r="E80" s="21"/>
      <c r="F80" s="21"/>
      <c r="G80" s="21"/>
      <c r="H80" s="22"/>
      <c r="I80" s="21"/>
      <c r="J80" s="21"/>
    </row>
    <row r="81" customFormat="false" ht="15" hidden="false" customHeight="false" outlineLevel="0" collapsed="false">
      <c r="A81" s="21"/>
      <c r="B81" s="21"/>
      <c r="C81" s="26"/>
      <c r="D81" s="26"/>
      <c r="E81" s="21"/>
      <c r="F81" s="21"/>
      <c r="G81" s="21"/>
      <c r="H81" s="22"/>
      <c r="I81" s="21"/>
      <c r="J81" s="21"/>
    </row>
    <row r="82" customFormat="false" ht="15" hidden="false" customHeight="false" outlineLevel="0" collapsed="false">
      <c r="A82" s="21"/>
      <c r="B82" s="21"/>
      <c r="C82" s="26"/>
      <c r="D82" s="26"/>
      <c r="E82" s="21"/>
      <c r="F82" s="21"/>
      <c r="G82" s="21"/>
      <c r="H82" s="22"/>
      <c r="I82" s="21"/>
      <c r="J82" s="21"/>
    </row>
    <row r="83" customFormat="false" ht="15" hidden="false" customHeight="false" outlineLevel="0" collapsed="false">
      <c r="A83" s="21"/>
      <c r="B83" s="21"/>
      <c r="C83" s="26"/>
      <c r="D83" s="26"/>
      <c r="E83" s="21"/>
      <c r="F83" s="21"/>
      <c r="G83" s="21"/>
      <c r="H83" s="22"/>
      <c r="I83" s="21"/>
      <c r="J83" s="21"/>
    </row>
    <row r="84" customFormat="false" ht="15" hidden="false" customHeight="false" outlineLevel="0" collapsed="false">
      <c r="A84" s="21"/>
      <c r="B84" s="21"/>
      <c r="C84" s="26"/>
      <c r="D84" s="26"/>
      <c r="E84" s="21"/>
      <c r="F84" s="21"/>
      <c r="G84" s="21"/>
      <c r="H84" s="22"/>
      <c r="I84" s="21"/>
      <c r="J84" s="21"/>
    </row>
    <row r="85" customFormat="false" ht="15" hidden="false" customHeight="false" outlineLevel="0" collapsed="false">
      <c r="A85" s="21"/>
      <c r="B85" s="21"/>
      <c r="C85" s="26"/>
      <c r="D85" s="26"/>
      <c r="E85" s="21"/>
      <c r="F85" s="21"/>
      <c r="G85" s="21"/>
      <c r="H85" s="22"/>
      <c r="I85" s="21"/>
      <c r="J85" s="21"/>
    </row>
    <row r="86" customFormat="false" ht="15" hidden="false" customHeight="false" outlineLevel="0" collapsed="false">
      <c r="A86" s="21"/>
      <c r="B86" s="21"/>
      <c r="C86" s="26"/>
      <c r="D86" s="26"/>
      <c r="E86" s="21"/>
      <c r="F86" s="21"/>
      <c r="G86" s="21"/>
      <c r="H86" s="22"/>
      <c r="I86" s="21"/>
      <c r="J86" s="21"/>
    </row>
    <row r="87" customFormat="false" ht="15" hidden="false" customHeight="false" outlineLevel="0" collapsed="false">
      <c r="A87" s="21"/>
      <c r="B87" s="21"/>
      <c r="C87" s="26"/>
      <c r="D87" s="26"/>
      <c r="E87" s="21"/>
      <c r="F87" s="21"/>
      <c r="G87" s="21"/>
      <c r="H87" s="22"/>
      <c r="I87" s="21"/>
      <c r="J87" s="21"/>
    </row>
    <row r="88" customFormat="false" ht="15" hidden="false" customHeight="false" outlineLevel="0" collapsed="false">
      <c r="A88" s="21"/>
      <c r="B88" s="21"/>
      <c r="C88" s="26"/>
      <c r="D88" s="26"/>
      <c r="E88" s="21"/>
      <c r="F88" s="21"/>
      <c r="G88" s="21"/>
      <c r="H88" s="22"/>
      <c r="I88" s="21"/>
      <c r="J88" s="21"/>
    </row>
    <row r="89" customFormat="false" ht="15" hidden="false" customHeight="false" outlineLevel="0" collapsed="false">
      <c r="A89" s="21"/>
      <c r="B89" s="21"/>
      <c r="C89" s="26"/>
      <c r="D89" s="26"/>
      <c r="E89" s="21"/>
      <c r="F89" s="21"/>
      <c r="G89" s="21"/>
      <c r="H89" s="22"/>
      <c r="I89" s="21"/>
      <c r="J89" s="21"/>
    </row>
    <row r="90" customFormat="false" ht="15" hidden="false" customHeight="false" outlineLevel="0" collapsed="false">
      <c r="A90" s="21"/>
      <c r="B90" s="21"/>
      <c r="C90" s="26"/>
      <c r="D90" s="26"/>
      <c r="E90" s="21"/>
      <c r="F90" s="21"/>
      <c r="G90" s="21"/>
      <c r="H90" s="22"/>
      <c r="I90" s="21"/>
      <c r="J90" s="21"/>
    </row>
    <row r="91" customFormat="false" ht="15" hidden="false" customHeight="false" outlineLevel="0" collapsed="false">
      <c r="A91" s="21"/>
      <c r="B91" s="21"/>
      <c r="C91" s="26"/>
      <c r="D91" s="26"/>
      <c r="E91" s="21"/>
      <c r="F91" s="21"/>
      <c r="G91" s="21"/>
      <c r="H91" s="22"/>
      <c r="I91" s="21"/>
      <c r="J91" s="21"/>
    </row>
    <row r="92" customFormat="false" ht="15" hidden="false" customHeight="false" outlineLevel="0" collapsed="false">
      <c r="A92" s="21"/>
      <c r="B92" s="21"/>
      <c r="C92" s="26"/>
      <c r="D92" s="26"/>
      <c r="E92" s="21"/>
      <c r="F92" s="21"/>
      <c r="G92" s="21"/>
      <c r="H92" s="22"/>
      <c r="I92" s="21"/>
      <c r="J92" s="21"/>
    </row>
    <row r="93" customFormat="false" ht="15" hidden="false" customHeight="false" outlineLevel="0" collapsed="false">
      <c r="A93" s="21"/>
      <c r="B93" s="21"/>
      <c r="C93" s="26"/>
      <c r="D93" s="26"/>
      <c r="E93" s="21"/>
      <c r="F93" s="21"/>
      <c r="G93" s="21"/>
      <c r="H93" s="22"/>
      <c r="I93" s="21"/>
      <c r="J93" s="21"/>
    </row>
    <row r="94" customFormat="false" ht="15" hidden="false" customHeight="false" outlineLevel="0" collapsed="false">
      <c r="A94" s="21"/>
      <c r="B94" s="21"/>
      <c r="C94" s="26"/>
      <c r="D94" s="26"/>
      <c r="E94" s="21"/>
      <c r="F94" s="21"/>
      <c r="G94" s="21"/>
      <c r="H94" s="22"/>
      <c r="I94" s="21"/>
      <c r="J94" s="21"/>
    </row>
    <row r="95" customFormat="false" ht="15" hidden="false" customHeight="false" outlineLevel="0" collapsed="false">
      <c r="A95" s="21"/>
      <c r="B95" s="21"/>
      <c r="C95" s="26"/>
      <c r="D95" s="26"/>
      <c r="E95" s="21"/>
      <c r="F95" s="21"/>
      <c r="G95" s="21"/>
      <c r="H95" s="22"/>
      <c r="I95" s="21"/>
      <c r="J95" s="21"/>
    </row>
    <row r="96" customFormat="false" ht="15" hidden="false" customHeight="false" outlineLevel="0" collapsed="false">
      <c r="A96" s="21"/>
      <c r="B96" s="21"/>
      <c r="C96" s="26"/>
      <c r="D96" s="26"/>
      <c r="E96" s="21"/>
      <c r="F96" s="21"/>
      <c r="G96" s="21"/>
      <c r="H96" s="22"/>
      <c r="I96" s="21"/>
      <c r="J96" s="21"/>
    </row>
    <row r="97" customFormat="false" ht="15" hidden="false" customHeight="false" outlineLevel="0" collapsed="false">
      <c r="A97" s="21"/>
      <c r="B97" s="21"/>
      <c r="C97" s="26"/>
      <c r="D97" s="26"/>
      <c r="E97" s="21"/>
      <c r="F97" s="21"/>
      <c r="G97" s="21"/>
      <c r="H97" s="22"/>
      <c r="I97" s="21"/>
      <c r="J97" s="21"/>
    </row>
    <row r="98" customFormat="false" ht="15" hidden="false" customHeight="false" outlineLevel="0" collapsed="false">
      <c r="A98" s="21"/>
      <c r="B98" s="21"/>
      <c r="C98" s="26"/>
      <c r="D98" s="26"/>
      <c r="E98" s="21"/>
      <c r="F98" s="21"/>
      <c r="G98" s="21"/>
      <c r="H98" s="22"/>
      <c r="I98" s="21"/>
      <c r="J98" s="21"/>
    </row>
    <row r="99" customFormat="false" ht="15" hidden="false" customHeight="false" outlineLevel="0" collapsed="false">
      <c r="A99" s="21"/>
      <c r="B99" s="21"/>
      <c r="C99" s="26"/>
      <c r="D99" s="26"/>
      <c r="E99" s="21"/>
      <c r="F99" s="21"/>
      <c r="G99" s="21"/>
      <c r="H99" s="22"/>
      <c r="I99" s="21"/>
      <c r="J99" s="21"/>
    </row>
    <row r="100" customFormat="false" ht="15" hidden="false" customHeight="false" outlineLevel="0" collapsed="false">
      <c r="A100" s="21"/>
      <c r="B100" s="21"/>
      <c r="C100" s="26"/>
      <c r="D100" s="26"/>
      <c r="E100" s="21"/>
      <c r="F100" s="21"/>
      <c r="G100" s="21"/>
      <c r="H100" s="22"/>
      <c r="I100" s="21"/>
      <c r="J100" s="21"/>
    </row>
    <row r="101" customFormat="false" ht="15" hidden="false" customHeight="false" outlineLevel="0" collapsed="false">
      <c r="A101" s="21"/>
      <c r="B101" s="21"/>
      <c r="C101" s="26"/>
      <c r="D101" s="26"/>
      <c r="E101" s="21"/>
      <c r="F101" s="21"/>
      <c r="G101" s="21"/>
      <c r="H101" s="22"/>
      <c r="I101" s="21"/>
      <c r="J101" s="21"/>
    </row>
    <row r="102" customFormat="false" ht="15" hidden="false" customHeight="false" outlineLevel="0" collapsed="false">
      <c r="A102" s="21"/>
      <c r="B102" s="21"/>
      <c r="C102" s="26"/>
      <c r="D102" s="26"/>
      <c r="E102" s="21"/>
      <c r="F102" s="21"/>
      <c r="G102" s="21"/>
      <c r="H102" s="22"/>
      <c r="I102" s="21"/>
      <c r="J102" s="21"/>
    </row>
    <row r="103" customFormat="false" ht="15" hidden="false" customHeight="false" outlineLevel="0" collapsed="false">
      <c r="A103" s="21"/>
      <c r="B103" s="21"/>
      <c r="C103" s="26"/>
      <c r="D103" s="26"/>
      <c r="E103" s="21"/>
      <c r="F103" s="21"/>
      <c r="G103" s="21"/>
      <c r="H103" s="22"/>
      <c r="I103" s="21"/>
      <c r="J103" s="21"/>
    </row>
    <row r="104" customFormat="false" ht="15" hidden="false" customHeight="false" outlineLevel="0" collapsed="false">
      <c r="A104" s="21"/>
      <c r="B104" s="21"/>
      <c r="C104" s="26"/>
      <c r="D104" s="26"/>
      <c r="E104" s="21"/>
      <c r="F104" s="21"/>
      <c r="G104" s="21"/>
      <c r="H104" s="22"/>
      <c r="I104" s="21"/>
      <c r="J104" s="21"/>
    </row>
    <row r="105" customFormat="false" ht="15" hidden="false" customHeight="false" outlineLevel="0" collapsed="false">
      <c r="A105" s="21"/>
      <c r="B105" s="21"/>
      <c r="C105" s="26"/>
      <c r="D105" s="26"/>
      <c r="E105" s="21"/>
      <c r="F105" s="21"/>
      <c r="G105" s="21"/>
      <c r="H105" s="22"/>
      <c r="I105" s="21"/>
      <c r="J105" s="21"/>
    </row>
    <row r="106" customFormat="false" ht="15" hidden="false" customHeight="false" outlineLevel="0" collapsed="false">
      <c r="A106" s="21"/>
      <c r="B106" s="21"/>
      <c r="C106" s="26"/>
      <c r="D106" s="26"/>
      <c r="E106" s="21"/>
      <c r="F106" s="21"/>
      <c r="G106" s="21"/>
      <c r="H106" s="22"/>
      <c r="I106" s="21"/>
      <c r="J106" s="21"/>
    </row>
    <row r="107" customFormat="false" ht="15" hidden="false" customHeight="false" outlineLevel="0" collapsed="false">
      <c r="A107" s="21"/>
      <c r="B107" s="21"/>
      <c r="C107" s="26"/>
      <c r="D107" s="26"/>
      <c r="E107" s="21"/>
      <c r="F107" s="21"/>
      <c r="G107" s="21"/>
      <c r="H107" s="22"/>
      <c r="I107" s="21"/>
      <c r="J107" s="21"/>
    </row>
    <row r="108" customFormat="false" ht="15" hidden="false" customHeight="false" outlineLevel="0" collapsed="false">
      <c r="A108" s="21"/>
      <c r="B108" s="21"/>
      <c r="C108" s="26"/>
      <c r="D108" s="26"/>
      <c r="E108" s="21"/>
      <c r="F108" s="21"/>
      <c r="G108" s="21"/>
      <c r="H108" s="22"/>
      <c r="I108" s="21"/>
      <c r="J108" s="21"/>
    </row>
    <row r="109" customFormat="false" ht="15" hidden="false" customHeight="false" outlineLevel="0" collapsed="false">
      <c r="A109" s="21"/>
      <c r="B109" s="21"/>
      <c r="C109" s="26"/>
      <c r="D109" s="26"/>
      <c r="E109" s="21"/>
      <c r="F109" s="21"/>
      <c r="G109" s="21"/>
      <c r="H109" s="22"/>
      <c r="I109" s="21"/>
      <c r="J109" s="21"/>
    </row>
    <row r="110" customFormat="false" ht="15" hidden="false" customHeight="false" outlineLevel="0" collapsed="false">
      <c r="A110" s="21"/>
      <c r="B110" s="21"/>
      <c r="C110" s="26"/>
      <c r="D110" s="26"/>
      <c r="E110" s="21"/>
      <c r="F110" s="21"/>
      <c r="G110" s="21"/>
      <c r="H110" s="22"/>
      <c r="I110" s="21"/>
      <c r="J110" s="21"/>
    </row>
    <row r="111" customFormat="false" ht="15" hidden="false" customHeight="false" outlineLevel="0" collapsed="false">
      <c r="A111" s="21"/>
      <c r="B111" s="21"/>
      <c r="C111" s="26"/>
      <c r="D111" s="26"/>
      <c r="E111" s="21"/>
      <c r="F111" s="21"/>
      <c r="G111" s="21"/>
      <c r="H111" s="22"/>
      <c r="I111" s="21"/>
      <c r="J111" s="21"/>
    </row>
    <row r="112" customFormat="false" ht="15" hidden="false" customHeight="false" outlineLevel="0" collapsed="false">
      <c r="A112" s="21"/>
      <c r="B112" s="21"/>
      <c r="C112" s="26"/>
      <c r="D112" s="26"/>
      <c r="E112" s="21"/>
      <c r="F112" s="21"/>
      <c r="G112" s="21"/>
      <c r="H112" s="22"/>
      <c r="I112" s="21"/>
      <c r="J112" s="21"/>
    </row>
    <row r="113" customFormat="false" ht="15" hidden="false" customHeight="false" outlineLevel="0" collapsed="false">
      <c r="A113" s="21"/>
      <c r="B113" s="21"/>
      <c r="C113" s="26"/>
      <c r="D113" s="26"/>
      <c r="E113" s="21"/>
      <c r="F113" s="21"/>
      <c r="G113" s="21"/>
      <c r="H113" s="22"/>
      <c r="I113" s="21"/>
      <c r="J113" s="21"/>
    </row>
    <row r="114" customFormat="false" ht="15" hidden="false" customHeight="false" outlineLevel="0" collapsed="false">
      <c r="A114" s="21"/>
      <c r="B114" s="21"/>
      <c r="C114" s="26"/>
      <c r="D114" s="26"/>
      <c r="E114" s="21"/>
      <c r="F114" s="21"/>
      <c r="G114" s="21"/>
      <c r="H114" s="22"/>
      <c r="I114" s="21"/>
      <c r="J114" s="21"/>
    </row>
    <row r="115" customFormat="false" ht="15" hidden="false" customHeight="false" outlineLevel="0" collapsed="false">
      <c r="A115" s="21"/>
      <c r="B115" s="21"/>
      <c r="C115" s="26"/>
      <c r="D115" s="26"/>
      <c r="E115" s="21"/>
      <c r="F115" s="21"/>
      <c r="G115" s="21"/>
      <c r="H115" s="22"/>
      <c r="I115" s="21"/>
      <c r="J115" s="21"/>
    </row>
    <row r="116" customFormat="false" ht="15" hidden="false" customHeight="false" outlineLevel="0" collapsed="false">
      <c r="A116" s="21"/>
      <c r="B116" s="21"/>
      <c r="C116" s="26"/>
      <c r="D116" s="26"/>
      <c r="E116" s="21"/>
      <c r="F116" s="21"/>
      <c r="G116" s="21"/>
      <c r="H116" s="22"/>
      <c r="I116" s="21"/>
      <c r="J116" s="21"/>
    </row>
    <row r="117" customFormat="false" ht="15" hidden="false" customHeight="false" outlineLevel="0" collapsed="false">
      <c r="A117" s="21"/>
      <c r="B117" s="21"/>
      <c r="C117" s="26"/>
      <c r="D117" s="26"/>
      <c r="E117" s="21"/>
      <c r="F117" s="21"/>
      <c r="G117" s="21"/>
      <c r="H117" s="22"/>
      <c r="I117" s="21"/>
      <c r="J117" s="21"/>
    </row>
    <row r="118" customFormat="false" ht="15" hidden="false" customHeight="false" outlineLevel="0" collapsed="false">
      <c r="A118" s="21"/>
      <c r="B118" s="21"/>
      <c r="C118" s="26"/>
      <c r="D118" s="26"/>
      <c r="E118" s="21"/>
      <c r="F118" s="21"/>
      <c r="G118" s="21"/>
      <c r="H118" s="22"/>
      <c r="I118" s="21"/>
      <c r="J118" s="21"/>
    </row>
    <row r="119" customFormat="false" ht="15" hidden="false" customHeight="false" outlineLevel="0" collapsed="false">
      <c r="A119" s="21"/>
      <c r="B119" s="21"/>
      <c r="C119" s="26"/>
      <c r="D119" s="26"/>
      <c r="E119" s="21"/>
      <c r="F119" s="21"/>
      <c r="G119" s="21"/>
      <c r="H119" s="22"/>
      <c r="I119" s="21"/>
      <c r="J119" s="21"/>
    </row>
    <row r="120" customFormat="false" ht="15" hidden="false" customHeight="false" outlineLevel="0" collapsed="false">
      <c r="A120" s="21"/>
      <c r="B120" s="21"/>
      <c r="C120" s="26"/>
      <c r="D120" s="26"/>
      <c r="E120" s="21"/>
      <c r="F120" s="21"/>
      <c r="G120" s="21"/>
      <c r="H120" s="22"/>
      <c r="I120" s="21"/>
      <c r="J120" s="21"/>
    </row>
    <row r="121" customFormat="false" ht="15" hidden="false" customHeight="false" outlineLevel="0" collapsed="false">
      <c r="A121" s="21"/>
      <c r="B121" s="21"/>
      <c r="C121" s="26"/>
      <c r="D121" s="26"/>
      <c r="E121" s="21"/>
      <c r="F121" s="21"/>
      <c r="G121" s="21"/>
      <c r="H121" s="22"/>
      <c r="I121" s="21"/>
      <c r="J121" s="21"/>
    </row>
    <row r="122" customFormat="false" ht="15" hidden="false" customHeight="false" outlineLevel="0" collapsed="false">
      <c r="A122" s="21"/>
      <c r="B122" s="21"/>
      <c r="C122" s="26"/>
      <c r="D122" s="26"/>
      <c r="E122" s="21"/>
      <c r="F122" s="21"/>
      <c r="G122" s="21"/>
      <c r="H122" s="22"/>
      <c r="I122" s="21"/>
      <c r="J122" s="21"/>
    </row>
    <row r="123" customFormat="false" ht="15" hidden="false" customHeight="false" outlineLevel="0" collapsed="false">
      <c r="A123" s="21"/>
      <c r="B123" s="21"/>
      <c r="C123" s="26"/>
      <c r="D123" s="26"/>
      <c r="E123" s="21"/>
      <c r="F123" s="21"/>
      <c r="G123" s="21"/>
      <c r="H123" s="22"/>
      <c r="I123" s="21"/>
      <c r="J123" s="21"/>
    </row>
    <row r="124" customFormat="false" ht="15" hidden="false" customHeight="false" outlineLevel="0" collapsed="false">
      <c r="A124" s="21"/>
      <c r="B124" s="21"/>
      <c r="C124" s="26"/>
      <c r="D124" s="26"/>
      <c r="E124" s="21"/>
      <c r="F124" s="21"/>
      <c r="G124" s="21"/>
      <c r="H124" s="22"/>
      <c r="I124" s="21"/>
      <c r="J124" s="21"/>
    </row>
    <row r="125" customFormat="false" ht="15" hidden="false" customHeight="false" outlineLevel="0" collapsed="false">
      <c r="A125" s="21"/>
      <c r="B125" s="21"/>
      <c r="C125" s="26"/>
      <c r="D125" s="26"/>
      <c r="E125" s="21"/>
      <c r="F125" s="21"/>
      <c r="G125" s="21"/>
      <c r="H125" s="22"/>
      <c r="I125" s="21"/>
      <c r="J125" s="21"/>
    </row>
    <row r="126" customFormat="false" ht="15" hidden="false" customHeight="false" outlineLevel="0" collapsed="false">
      <c r="A126" s="21"/>
      <c r="B126" s="21"/>
      <c r="C126" s="26"/>
      <c r="D126" s="26"/>
      <c r="E126" s="21"/>
      <c r="F126" s="21"/>
      <c r="G126" s="21"/>
      <c r="H126" s="22"/>
      <c r="I126" s="21"/>
      <c r="J126" s="21"/>
    </row>
    <row r="127" customFormat="false" ht="15" hidden="false" customHeight="false" outlineLevel="0" collapsed="false">
      <c r="A127" s="21"/>
      <c r="B127" s="21"/>
      <c r="C127" s="26"/>
      <c r="D127" s="26"/>
      <c r="E127" s="21"/>
      <c r="F127" s="21"/>
      <c r="G127" s="21"/>
      <c r="H127" s="22"/>
      <c r="I127" s="21"/>
      <c r="J127" s="21"/>
    </row>
    <row r="128" customFormat="false" ht="15" hidden="false" customHeight="false" outlineLevel="0" collapsed="false">
      <c r="A128" s="21"/>
      <c r="B128" s="21"/>
      <c r="C128" s="26"/>
      <c r="D128" s="26"/>
      <c r="E128" s="21"/>
      <c r="F128" s="21"/>
      <c r="G128" s="21"/>
      <c r="H128" s="22"/>
      <c r="I128" s="21"/>
      <c r="J128" s="21"/>
    </row>
    <row r="129" customFormat="false" ht="15" hidden="false" customHeight="false" outlineLevel="0" collapsed="false">
      <c r="A129" s="21"/>
      <c r="B129" s="21"/>
      <c r="C129" s="26"/>
      <c r="D129" s="26"/>
      <c r="E129" s="21"/>
      <c r="F129" s="21"/>
      <c r="G129" s="21"/>
      <c r="H129" s="22"/>
      <c r="I129" s="21"/>
      <c r="J129" s="21"/>
    </row>
    <row r="130" customFormat="false" ht="15" hidden="false" customHeight="false" outlineLevel="0" collapsed="false">
      <c r="A130" s="21"/>
      <c r="B130" s="21"/>
      <c r="C130" s="26"/>
      <c r="D130" s="26"/>
      <c r="E130" s="21"/>
      <c r="F130" s="21"/>
      <c r="G130" s="21"/>
      <c r="H130" s="22"/>
      <c r="I130" s="21"/>
      <c r="J130" s="21"/>
    </row>
    <row r="131" customFormat="false" ht="15" hidden="false" customHeight="false" outlineLevel="0" collapsed="false">
      <c r="A131" s="21"/>
      <c r="B131" s="21"/>
      <c r="C131" s="26"/>
      <c r="D131" s="26"/>
      <c r="E131" s="21"/>
      <c r="F131" s="21"/>
      <c r="G131" s="21"/>
      <c r="H131" s="22"/>
      <c r="I131" s="21"/>
      <c r="J131" s="21"/>
    </row>
    <row r="132" customFormat="false" ht="15" hidden="false" customHeight="false" outlineLevel="0" collapsed="false">
      <c r="A132" s="21"/>
      <c r="B132" s="21"/>
      <c r="C132" s="26"/>
      <c r="D132" s="26"/>
      <c r="E132" s="21"/>
      <c r="F132" s="21"/>
      <c r="G132" s="21"/>
      <c r="H132" s="22"/>
      <c r="I132" s="21"/>
      <c r="J132" s="21"/>
    </row>
    <row r="133" customFormat="false" ht="15" hidden="false" customHeight="false" outlineLevel="0" collapsed="false">
      <c r="A133" s="21"/>
      <c r="B133" s="21"/>
      <c r="C133" s="26"/>
      <c r="D133" s="26"/>
      <c r="E133" s="21"/>
      <c r="F133" s="21"/>
      <c r="G133" s="21"/>
      <c r="H133" s="22"/>
      <c r="I133" s="21"/>
      <c r="J133" s="21"/>
    </row>
    <row r="134" customFormat="false" ht="15" hidden="false" customHeight="false" outlineLevel="0" collapsed="false">
      <c r="A134" s="21"/>
      <c r="B134" s="21"/>
      <c r="C134" s="26"/>
      <c r="D134" s="26"/>
      <c r="E134" s="21"/>
      <c r="F134" s="21"/>
      <c r="G134" s="21"/>
      <c r="H134" s="22"/>
      <c r="I134" s="21"/>
      <c r="J134" s="21"/>
    </row>
    <row r="135" customFormat="false" ht="15" hidden="false" customHeight="false" outlineLevel="0" collapsed="false">
      <c r="A135" s="21"/>
      <c r="B135" s="21"/>
      <c r="C135" s="26"/>
      <c r="D135" s="26"/>
      <c r="E135" s="21"/>
      <c r="F135" s="21"/>
      <c r="G135" s="21"/>
      <c r="H135" s="22"/>
      <c r="I135" s="21"/>
      <c r="J135" s="21"/>
    </row>
    <row r="136" customFormat="false" ht="15" hidden="false" customHeight="false" outlineLevel="0" collapsed="false">
      <c r="A136" s="21"/>
      <c r="B136" s="21"/>
      <c r="C136" s="26"/>
      <c r="D136" s="26"/>
      <c r="E136" s="21"/>
      <c r="F136" s="21"/>
      <c r="G136" s="21"/>
      <c r="H136" s="22"/>
      <c r="I136" s="21"/>
      <c r="J136" s="21"/>
    </row>
    <row r="137" customFormat="false" ht="15" hidden="false" customHeight="false" outlineLevel="0" collapsed="false">
      <c r="A137" s="21"/>
      <c r="B137" s="21"/>
      <c r="C137" s="26"/>
      <c r="D137" s="26"/>
      <c r="E137" s="21"/>
      <c r="F137" s="21"/>
      <c r="G137" s="21"/>
      <c r="H137" s="22"/>
      <c r="I137" s="21"/>
      <c r="J137" s="21"/>
    </row>
    <row r="138" customFormat="false" ht="15" hidden="false" customHeight="false" outlineLevel="0" collapsed="false">
      <c r="A138" s="21"/>
      <c r="B138" s="21"/>
      <c r="C138" s="26"/>
      <c r="D138" s="26"/>
      <c r="E138" s="21"/>
      <c r="F138" s="21"/>
      <c r="G138" s="21"/>
      <c r="H138" s="22"/>
      <c r="I138" s="21"/>
      <c r="J138" s="21"/>
    </row>
    <row r="139" customFormat="false" ht="15" hidden="false" customHeight="false" outlineLevel="0" collapsed="false">
      <c r="A139" s="21"/>
      <c r="B139" s="21"/>
      <c r="C139" s="26"/>
      <c r="D139" s="26"/>
      <c r="E139" s="21"/>
      <c r="F139" s="21"/>
      <c r="G139" s="21"/>
      <c r="H139" s="22"/>
      <c r="I139" s="21"/>
      <c r="J139" s="21"/>
    </row>
    <row r="140" customFormat="false" ht="15" hidden="false" customHeight="false" outlineLevel="0" collapsed="false">
      <c r="A140" s="21"/>
      <c r="B140" s="21"/>
      <c r="C140" s="26"/>
      <c r="D140" s="26"/>
      <c r="E140" s="21"/>
      <c r="F140" s="21"/>
      <c r="G140" s="21"/>
      <c r="H140" s="22"/>
      <c r="I140" s="21"/>
      <c r="J140" s="21"/>
    </row>
    <row r="141" customFormat="false" ht="15" hidden="false" customHeight="false" outlineLevel="0" collapsed="false">
      <c r="A141" s="21"/>
      <c r="B141" s="21"/>
      <c r="C141" s="26"/>
      <c r="D141" s="26"/>
      <c r="E141" s="21"/>
      <c r="F141" s="21"/>
      <c r="G141" s="21"/>
      <c r="H141" s="22"/>
      <c r="I141" s="21"/>
      <c r="J141" s="21"/>
    </row>
    <row r="142" customFormat="false" ht="15" hidden="false" customHeight="false" outlineLevel="0" collapsed="false">
      <c r="A142" s="21"/>
      <c r="B142" s="21"/>
      <c r="C142" s="26"/>
      <c r="D142" s="26"/>
      <c r="E142" s="21"/>
      <c r="F142" s="21"/>
      <c r="G142" s="21"/>
      <c r="H142" s="22"/>
      <c r="I142" s="21"/>
      <c r="J142" s="21"/>
    </row>
    <row r="143" customFormat="false" ht="15" hidden="false" customHeight="false" outlineLevel="0" collapsed="false">
      <c r="A143" s="21"/>
      <c r="B143" s="21"/>
      <c r="C143" s="26"/>
      <c r="D143" s="26"/>
      <c r="E143" s="21"/>
      <c r="F143" s="21"/>
      <c r="G143" s="21"/>
      <c r="H143" s="22"/>
      <c r="I143" s="21"/>
      <c r="J143" s="21"/>
    </row>
    <row r="144" customFormat="false" ht="15" hidden="false" customHeight="false" outlineLevel="0" collapsed="false">
      <c r="A144" s="21"/>
      <c r="B144" s="21"/>
      <c r="C144" s="26"/>
      <c r="D144" s="26"/>
      <c r="E144" s="21"/>
      <c r="F144" s="21"/>
      <c r="G144" s="21"/>
      <c r="H144" s="22"/>
      <c r="I144" s="21"/>
      <c r="J144" s="21"/>
    </row>
    <row r="145" customFormat="false" ht="15" hidden="false" customHeight="false" outlineLevel="0" collapsed="false">
      <c r="A145" s="21"/>
      <c r="B145" s="21"/>
      <c r="C145" s="26"/>
      <c r="D145" s="26"/>
      <c r="E145" s="21"/>
      <c r="F145" s="21"/>
      <c r="G145" s="21"/>
      <c r="H145" s="22"/>
      <c r="I145" s="21"/>
      <c r="J145" s="21"/>
    </row>
    <row r="146" customFormat="false" ht="15" hidden="false" customHeight="false" outlineLevel="0" collapsed="false">
      <c r="A146" s="21"/>
      <c r="B146" s="21"/>
      <c r="C146" s="26"/>
      <c r="D146" s="26"/>
      <c r="E146" s="21"/>
      <c r="F146" s="21"/>
      <c r="G146" s="21"/>
      <c r="H146" s="22"/>
      <c r="I146" s="21"/>
      <c r="J146" s="21"/>
    </row>
    <row r="147" customFormat="false" ht="15" hidden="false" customHeight="false" outlineLevel="0" collapsed="false">
      <c r="A147" s="21"/>
      <c r="B147" s="21"/>
      <c r="C147" s="26"/>
      <c r="D147" s="26"/>
      <c r="E147" s="21"/>
      <c r="F147" s="21"/>
      <c r="G147" s="21"/>
      <c r="H147" s="22"/>
      <c r="I147" s="21"/>
      <c r="J147" s="21"/>
    </row>
    <row r="148" customFormat="false" ht="15" hidden="false" customHeight="false" outlineLevel="0" collapsed="false">
      <c r="A148" s="21"/>
      <c r="B148" s="21"/>
      <c r="C148" s="26"/>
      <c r="D148" s="26"/>
      <c r="E148" s="21"/>
      <c r="F148" s="21"/>
      <c r="G148" s="21"/>
      <c r="H148" s="22"/>
      <c r="I148" s="21"/>
      <c r="J148" s="21"/>
    </row>
    <row r="149" customFormat="false" ht="15" hidden="false" customHeight="false" outlineLevel="0" collapsed="false">
      <c r="A149" s="21"/>
      <c r="B149" s="21"/>
      <c r="C149" s="26"/>
      <c r="D149" s="26"/>
      <c r="E149" s="21"/>
      <c r="F149" s="21"/>
      <c r="G149" s="21"/>
      <c r="H149" s="22"/>
      <c r="I149" s="21"/>
      <c r="J149" s="21"/>
    </row>
    <row r="150" customFormat="false" ht="15" hidden="false" customHeight="false" outlineLevel="0" collapsed="false">
      <c r="A150" s="21"/>
      <c r="B150" s="21"/>
      <c r="C150" s="26"/>
      <c r="D150" s="26"/>
      <c r="E150" s="21"/>
      <c r="F150" s="21"/>
      <c r="G150" s="21"/>
      <c r="H150" s="22"/>
      <c r="I150" s="21"/>
      <c r="J150" s="21"/>
    </row>
    <row r="151" customFormat="false" ht="15" hidden="false" customHeight="false" outlineLevel="0" collapsed="false">
      <c r="A151" s="21"/>
      <c r="B151" s="21"/>
      <c r="C151" s="26"/>
      <c r="D151" s="26"/>
      <c r="E151" s="21"/>
      <c r="F151" s="21"/>
      <c r="G151" s="21"/>
      <c r="H151" s="22"/>
      <c r="I151" s="21"/>
      <c r="J151" s="21"/>
    </row>
    <row r="152" customFormat="false" ht="15" hidden="false" customHeight="false" outlineLevel="0" collapsed="false">
      <c r="A152" s="21"/>
      <c r="B152" s="21"/>
      <c r="C152" s="26"/>
      <c r="D152" s="26"/>
      <c r="E152" s="21"/>
      <c r="F152" s="21"/>
      <c r="G152" s="21"/>
      <c r="H152" s="22"/>
      <c r="I152" s="21"/>
      <c r="J152" s="21"/>
    </row>
    <row r="153" customFormat="false" ht="15" hidden="false" customHeight="false" outlineLevel="0" collapsed="false">
      <c r="A153" s="21"/>
      <c r="B153" s="21"/>
      <c r="C153" s="26"/>
      <c r="D153" s="26"/>
      <c r="E153" s="21"/>
      <c r="F153" s="21"/>
      <c r="G153" s="21"/>
      <c r="H153" s="22"/>
      <c r="I153" s="21"/>
      <c r="J153" s="21"/>
    </row>
    <row r="154" customFormat="false" ht="15" hidden="false" customHeight="false" outlineLevel="0" collapsed="false">
      <c r="A154" s="21"/>
      <c r="B154" s="21"/>
      <c r="C154" s="26"/>
      <c r="D154" s="26"/>
      <c r="E154" s="21"/>
      <c r="F154" s="21"/>
      <c r="G154" s="21"/>
      <c r="H154" s="22"/>
      <c r="I154" s="21"/>
      <c r="J154" s="21"/>
    </row>
    <row r="155" customFormat="false" ht="15" hidden="false" customHeight="false" outlineLevel="0" collapsed="false">
      <c r="A155" s="21"/>
      <c r="B155" s="21"/>
      <c r="C155" s="26"/>
      <c r="D155" s="26"/>
      <c r="E155" s="21"/>
      <c r="F155" s="21"/>
      <c r="G155" s="21"/>
      <c r="H155" s="22"/>
      <c r="I155" s="21"/>
      <c r="J155" s="21"/>
    </row>
    <row r="156" customFormat="false" ht="15" hidden="false" customHeight="false" outlineLevel="0" collapsed="false">
      <c r="A156" s="21"/>
      <c r="B156" s="21"/>
      <c r="C156" s="26"/>
      <c r="D156" s="26"/>
      <c r="E156" s="21"/>
      <c r="F156" s="21"/>
      <c r="G156" s="21"/>
      <c r="H156" s="22"/>
      <c r="I156" s="21"/>
      <c r="J156" s="21"/>
    </row>
    <row r="157" customFormat="false" ht="15" hidden="false" customHeight="false" outlineLevel="0" collapsed="false">
      <c r="A157" s="21"/>
      <c r="B157" s="21"/>
      <c r="C157" s="26"/>
      <c r="D157" s="26"/>
      <c r="E157" s="21"/>
      <c r="F157" s="21"/>
      <c r="G157" s="21"/>
      <c r="H157" s="22"/>
      <c r="I157" s="21"/>
      <c r="J157" s="21"/>
    </row>
    <row r="158" customFormat="false" ht="15" hidden="false" customHeight="false" outlineLevel="0" collapsed="false">
      <c r="A158" s="21"/>
      <c r="B158" s="21"/>
      <c r="C158" s="26"/>
      <c r="D158" s="26"/>
      <c r="E158" s="21"/>
      <c r="F158" s="21"/>
      <c r="G158" s="21"/>
      <c r="H158" s="22"/>
      <c r="I158" s="21"/>
      <c r="J158" s="21"/>
    </row>
    <row r="159" customFormat="false" ht="15" hidden="false" customHeight="false" outlineLevel="0" collapsed="false">
      <c r="A159" s="21"/>
      <c r="B159" s="21"/>
      <c r="C159" s="26"/>
      <c r="D159" s="26"/>
      <c r="E159" s="21"/>
      <c r="F159" s="21"/>
      <c r="G159" s="21"/>
      <c r="H159" s="22"/>
      <c r="I159" s="21"/>
      <c r="J159" s="21"/>
    </row>
    <row r="160" customFormat="false" ht="15" hidden="false" customHeight="false" outlineLevel="0" collapsed="false">
      <c r="A160" s="21"/>
      <c r="B160" s="21"/>
      <c r="C160" s="26"/>
      <c r="D160" s="26"/>
      <c r="E160" s="21"/>
      <c r="F160" s="21"/>
      <c r="G160" s="21"/>
      <c r="H160" s="22"/>
      <c r="I160" s="21"/>
      <c r="J160" s="21"/>
    </row>
    <row r="161" customFormat="false" ht="15" hidden="false" customHeight="false" outlineLevel="0" collapsed="false">
      <c r="A161" s="21"/>
      <c r="B161" s="21"/>
      <c r="C161" s="26"/>
      <c r="D161" s="26"/>
      <c r="E161" s="21"/>
      <c r="F161" s="21"/>
      <c r="G161" s="21"/>
      <c r="H161" s="22"/>
      <c r="I161" s="21"/>
      <c r="J161" s="21"/>
    </row>
    <row r="162" customFormat="false" ht="15" hidden="false" customHeight="false" outlineLevel="0" collapsed="false">
      <c r="A162" s="21"/>
      <c r="B162" s="21"/>
      <c r="C162" s="26"/>
      <c r="D162" s="26"/>
      <c r="E162" s="21"/>
      <c r="F162" s="21"/>
      <c r="G162" s="21"/>
      <c r="H162" s="22"/>
      <c r="I162" s="21"/>
      <c r="J162" s="21"/>
    </row>
    <row r="163" customFormat="false" ht="15" hidden="false" customHeight="false" outlineLevel="0" collapsed="false">
      <c r="A163" s="21"/>
      <c r="B163" s="21"/>
      <c r="C163" s="26"/>
      <c r="D163" s="26"/>
      <c r="E163" s="21"/>
      <c r="F163" s="21"/>
      <c r="G163" s="21"/>
      <c r="H163" s="22"/>
      <c r="I163" s="21"/>
      <c r="J163" s="21"/>
    </row>
    <row r="164" customFormat="false" ht="15" hidden="false" customHeight="false" outlineLevel="0" collapsed="false">
      <c r="A164" s="21"/>
      <c r="B164" s="21"/>
      <c r="C164" s="26"/>
      <c r="D164" s="26"/>
      <c r="E164" s="21"/>
      <c r="F164" s="21"/>
      <c r="G164" s="21"/>
      <c r="H164" s="22"/>
      <c r="I164" s="21"/>
      <c r="J164" s="21"/>
    </row>
    <row r="165" customFormat="false" ht="15" hidden="false" customHeight="false" outlineLevel="0" collapsed="false">
      <c r="A165" s="21"/>
      <c r="B165" s="21"/>
      <c r="C165" s="26"/>
      <c r="D165" s="26"/>
      <c r="E165" s="21"/>
      <c r="F165" s="21"/>
      <c r="G165" s="21"/>
      <c r="H165" s="22"/>
      <c r="I165" s="21"/>
      <c r="J165" s="21"/>
    </row>
    <row r="166" customFormat="false" ht="15" hidden="false" customHeight="false" outlineLevel="0" collapsed="false">
      <c r="A166" s="21"/>
      <c r="B166" s="21"/>
      <c r="C166" s="26"/>
      <c r="D166" s="26"/>
      <c r="E166" s="21"/>
      <c r="F166" s="21"/>
      <c r="G166" s="21"/>
      <c r="H166" s="22"/>
      <c r="I166" s="21"/>
      <c r="J166" s="21"/>
    </row>
    <row r="167" customFormat="false" ht="15" hidden="false" customHeight="false" outlineLevel="0" collapsed="false">
      <c r="A167" s="21"/>
      <c r="B167" s="21"/>
      <c r="C167" s="26"/>
      <c r="D167" s="26"/>
      <c r="E167" s="21"/>
      <c r="F167" s="21"/>
      <c r="G167" s="21"/>
      <c r="H167" s="22"/>
      <c r="I167" s="21"/>
      <c r="J167" s="21"/>
    </row>
    <row r="168" customFormat="false" ht="15" hidden="false" customHeight="false" outlineLevel="0" collapsed="false">
      <c r="A168" s="21"/>
      <c r="B168" s="21"/>
      <c r="C168" s="26"/>
      <c r="D168" s="26"/>
      <c r="E168" s="21"/>
      <c r="F168" s="21"/>
      <c r="G168" s="21"/>
      <c r="H168" s="22"/>
      <c r="I168" s="21"/>
      <c r="J168" s="21"/>
    </row>
    <row r="169" customFormat="false" ht="15" hidden="false" customHeight="false" outlineLevel="0" collapsed="false">
      <c r="A169" s="21"/>
      <c r="B169" s="21"/>
      <c r="C169" s="26"/>
      <c r="D169" s="26"/>
      <c r="E169" s="21"/>
      <c r="F169" s="21"/>
      <c r="G169" s="21"/>
      <c r="H169" s="22"/>
      <c r="I169" s="21"/>
      <c r="J169" s="21"/>
    </row>
    <row r="170" customFormat="false" ht="15" hidden="false" customHeight="false" outlineLevel="0" collapsed="false">
      <c r="A170" s="21"/>
      <c r="B170" s="21"/>
      <c r="C170" s="26"/>
      <c r="D170" s="26"/>
      <c r="E170" s="21"/>
      <c r="F170" s="21"/>
      <c r="G170" s="21"/>
      <c r="H170" s="22"/>
      <c r="I170" s="21"/>
      <c r="J170" s="21"/>
    </row>
    <row r="171" customFormat="false" ht="15" hidden="false" customHeight="false" outlineLevel="0" collapsed="false">
      <c r="A171" s="21"/>
      <c r="B171" s="21"/>
      <c r="C171" s="26"/>
      <c r="D171" s="26"/>
      <c r="E171" s="21"/>
      <c r="F171" s="21"/>
      <c r="G171" s="21"/>
      <c r="H171" s="22"/>
      <c r="I171" s="21"/>
      <c r="J171" s="21"/>
    </row>
    <row r="172" customFormat="false" ht="15" hidden="false" customHeight="false" outlineLevel="0" collapsed="false">
      <c r="A172" s="21"/>
      <c r="B172" s="21"/>
      <c r="C172" s="26"/>
      <c r="D172" s="26"/>
      <c r="E172" s="21"/>
      <c r="F172" s="21"/>
      <c r="G172" s="21"/>
      <c r="H172" s="22"/>
      <c r="I172" s="21"/>
      <c r="J172" s="21"/>
    </row>
    <row r="173" customFormat="false" ht="15" hidden="false" customHeight="false" outlineLevel="0" collapsed="false">
      <c r="A173" s="21"/>
      <c r="B173" s="21"/>
      <c r="C173" s="26"/>
      <c r="D173" s="26"/>
      <c r="E173" s="21"/>
      <c r="F173" s="21"/>
      <c r="G173" s="21"/>
      <c r="H173" s="22"/>
      <c r="I173" s="21"/>
      <c r="J173" s="21"/>
    </row>
    <row r="174" customFormat="false" ht="15" hidden="false" customHeight="false" outlineLevel="0" collapsed="false">
      <c r="A174" s="21"/>
      <c r="B174" s="21"/>
      <c r="C174" s="26"/>
      <c r="D174" s="26"/>
      <c r="E174" s="21"/>
      <c r="F174" s="21"/>
      <c r="G174" s="21"/>
      <c r="H174" s="22"/>
      <c r="I174" s="21"/>
      <c r="J174" s="21"/>
    </row>
    <row r="175" customFormat="false" ht="15" hidden="false" customHeight="false" outlineLevel="0" collapsed="false">
      <c r="A175" s="21"/>
      <c r="B175" s="21"/>
      <c r="C175" s="26"/>
      <c r="D175" s="26"/>
      <c r="E175" s="21"/>
      <c r="F175" s="21"/>
      <c r="G175" s="21"/>
      <c r="H175" s="22"/>
      <c r="I175" s="21"/>
      <c r="J175" s="21"/>
    </row>
    <row r="176" customFormat="false" ht="15" hidden="false" customHeight="false" outlineLevel="0" collapsed="false">
      <c r="A176" s="21"/>
      <c r="B176" s="21"/>
      <c r="C176" s="26"/>
      <c r="D176" s="26"/>
      <c r="E176" s="21"/>
      <c r="F176" s="21"/>
      <c r="G176" s="21"/>
      <c r="H176" s="22"/>
      <c r="I176" s="21"/>
      <c r="J176" s="21"/>
    </row>
    <row r="177" customFormat="false" ht="15" hidden="false" customHeight="false" outlineLevel="0" collapsed="false">
      <c r="A177" s="21"/>
      <c r="B177" s="21"/>
      <c r="C177" s="26"/>
      <c r="D177" s="26"/>
      <c r="E177" s="21"/>
      <c r="F177" s="21"/>
      <c r="G177" s="21"/>
      <c r="H177" s="22"/>
      <c r="I177" s="21"/>
      <c r="J177" s="21"/>
    </row>
    <row r="178" customFormat="false" ht="15" hidden="false" customHeight="false" outlineLevel="0" collapsed="false">
      <c r="A178" s="21"/>
      <c r="B178" s="21"/>
      <c r="C178" s="26"/>
      <c r="D178" s="26"/>
      <c r="E178" s="21"/>
      <c r="F178" s="21"/>
      <c r="G178" s="21"/>
      <c r="H178" s="22"/>
      <c r="I178" s="21"/>
      <c r="J178" s="21"/>
    </row>
    <row r="179" customFormat="false" ht="15" hidden="false" customHeight="false" outlineLevel="0" collapsed="false">
      <c r="A179" s="21"/>
      <c r="B179" s="21"/>
      <c r="C179" s="26"/>
      <c r="D179" s="26"/>
      <c r="E179" s="21"/>
      <c r="F179" s="21"/>
      <c r="G179" s="21"/>
      <c r="H179" s="22"/>
      <c r="I179" s="21"/>
      <c r="J179" s="21"/>
    </row>
    <row r="180" customFormat="false" ht="15" hidden="false" customHeight="false" outlineLevel="0" collapsed="false">
      <c r="A180" s="21"/>
      <c r="B180" s="21"/>
      <c r="C180" s="26"/>
      <c r="D180" s="26"/>
      <c r="E180" s="21"/>
      <c r="F180" s="21"/>
      <c r="G180" s="21"/>
      <c r="H180" s="22"/>
      <c r="I180" s="21"/>
      <c r="J180" s="21"/>
    </row>
    <row r="181" customFormat="false" ht="15" hidden="false" customHeight="false" outlineLevel="0" collapsed="false">
      <c r="A181" s="21"/>
      <c r="B181" s="21"/>
      <c r="C181" s="26"/>
      <c r="D181" s="26"/>
      <c r="E181" s="21"/>
      <c r="F181" s="21"/>
      <c r="G181" s="21"/>
      <c r="H181" s="22"/>
      <c r="I181" s="21"/>
      <c r="J181" s="21"/>
    </row>
    <row r="182" customFormat="false" ht="15" hidden="false" customHeight="false" outlineLevel="0" collapsed="false">
      <c r="A182" s="21"/>
      <c r="B182" s="21"/>
      <c r="C182" s="26"/>
      <c r="D182" s="26"/>
      <c r="E182" s="21"/>
      <c r="F182" s="21"/>
      <c r="G182" s="21"/>
      <c r="H182" s="22"/>
      <c r="I182" s="21"/>
      <c r="J182" s="21"/>
    </row>
    <row r="183" customFormat="false" ht="15" hidden="false" customHeight="false" outlineLevel="0" collapsed="false">
      <c r="A183" s="21"/>
      <c r="B183" s="21"/>
      <c r="C183" s="26"/>
      <c r="D183" s="26"/>
      <c r="E183" s="21"/>
      <c r="F183" s="21"/>
      <c r="G183" s="21"/>
      <c r="H183" s="22"/>
      <c r="I183" s="21"/>
      <c r="J183" s="21"/>
    </row>
    <row r="184" customFormat="false" ht="15" hidden="false" customHeight="false" outlineLevel="0" collapsed="false">
      <c r="A184" s="21"/>
      <c r="B184" s="21"/>
      <c r="C184" s="26"/>
      <c r="D184" s="26"/>
      <c r="E184" s="21"/>
      <c r="F184" s="21"/>
      <c r="G184" s="21"/>
      <c r="H184" s="22"/>
      <c r="I184" s="21"/>
      <c r="J184" s="21"/>
    </row>
    <row r="185" customFormat="false" ht="15" hidden="false" customHeight="false" outlineLevel="0" collapsed="false">
      <c r="A185" s="21"/>
      <c r="B185" s="21"/>
      <c r="C185" s="26"/>
      <c r="D185" s="26"/>
      <c r="E185" s="21"/>
      <c r="F185" s="21"/>
      <c r="G185" s="21"/>
      <c r="H185" s="22"/>
      <c r="I185" s="21"/>
      <c r="J185" s="21"/>
    </row>
    <row r="186" customFormat="false" ht="15" hidden="false" customHeight="false" outlineLevel="0" collapsed="false">
      <c r="A186" s="21"/>
      <c r="B186" s="21"/>
      <c r="C186" s="26"/>
      <c r="D186" s="26"/>
      <c r="E186" s="21"/>
      <c r="F186" s="21"/>
      <c r="G186" s="21"/>
      <c r="H186" s="22"/>
      <c r="I186" s="21"/>
      <c r="J186" s="21"/>
    </row>
    <row r="187" customFormat="false" ht="15" hidden="false" customHeight="false" outlineLevel="0" collapsed="false">
      <c r="A187" s="21"/>
      <c r="B187" s="21"/>
      <c r="C187" s="26"/>
      <c r="D187" s="26"/>
      <c r="E187" s="21"/>
      <c r="F187" s="21"/>
      <c r="G187" s="21"/>
      <c r="H187" s="22"/>
      <c r="I187" s="21"/>
      <c r="J187" s="21"/>
    </row>
    <row r="188" customFormat="false" ht="15" hidden="false" customHeight="false" outlineLevel="0" collapsed="false">
      <c r="A188" s="21"/>
      <c r="B188" s="21"/>
      <c r="C188" s="26"/>
      <c r="D188" s="26"/>
      <c r="E188" s="21"/>
      <c r="F188" s="21"/>
      <c r="G188" s="21"/>
      <c r="H188" s="22"/>
      <c r="I188" s="21"/>
      <c r="J188" s="21"/>
    </row>
    <row r="189" customFormat="false" ht="15" hidden="false" customHeight="false" outlineLevel="0" collapsed="false">
      <c r="A189" s="21"/>
      <c r="B189" s="21"/>
      <c r="C189" s="26"/>
      <c r="D189" s="26"/>
      <c r="E189" s="21"/>
      <c r="F189" s="21"/>
      <c r="G189" s="21"/>
      <c r="H189" s="22"/>
      <c r="I189" s="21"/>
      <c r="J189" s="21"/>
    </row>
    <row r="190" customFormat="false" ht="15" hidden="false" customHeight="false" outlineLevel="0" collapsed="false">
      <c r="A190" s="21"/>
      <c r="B190" s="21"/>
      <c r="C190" s="26"/>
      <c r="D190" s="26"/>
      <c r="E190" s="21"/>
      <c r="F190" s="21"/>
      <c r="G190" s="21"/>
      <c r="H190" s="22"/>
      <c r="I190" s="21"/>
      <c r="J190" s="21"/>
    </row>
    <row r="191" customFormat="false" ht="15" hidden="false" customHeight="false" outlineLevel="0" collapsed="false">
      <c r="A191" s="21"/>
      <c r="B191" s="21"/>
      <c r="C191" s="26"/>
      <c r="D191" s="26"/>
      <c r="E191" s="21"/>
      <c r="F191" s="21"/>
      <c r="G191" s="21"/>
      <c r="H191" s="22"/>
      <c r="I191" s="21"/>
      <c r="J191" s="21"/>
    </row>
    <row r="192" customFormat="false" ht="15" hidden="false" customHeight="false" outlineLevel="0" collapsed="false">
      <c r="A192" s="21"/>
      <c r="B192" s="21"/>
      <c r="C192" s="26"/>
      <c r="D192" s="26"/>
      <c r="E192" s="21"/>
      <c r="F192" s="21"/>
      <c r="G192" s="21"/>
      <c r="H192" s="22"/>
      <c r="I192" s="21"/>
      <c r="J192" s="21"/>
    </row>
    <row r="193" customFormat="false" ht="15" hidden="false" customHeight="false" outlineLevel="0" collapsed="false">
      <c r="A193" s="21"/>
      <c r="B193" s="21"/>
      <c r="C193" s="26"/>
      <c r="D193" s="26"/>
      <c r="E193" s="21"/>
      <c r="F193" s="21"/>
      <c r="G193" s="21"/>
      <c r="H193" s="22"/>
      <c r="I193" s="21"/>
      <c r="J193" s="21"/>
    </row>
    <row r="194" customFormat="false" ht="15" hidden="false" customHeight="false" outlineLevel="0" collapsed="false">
      <c r="A194" s="21"/>
      <c r="B194" s="21"/>
      <c r="C194" s="26"/>
      <c r="D194" s="26"/>
      <c r="E194" s="21"/>
      <c r="F194" s="21"/>
      <c r="G194" s="21"/>
      <c r="H194" s="22"/>
      <c r="I194" s="21"/>
      <c r="J194" s="21"/>
    </row>
    <row r="195" customFormat="false" ht="15" hidden="false" customHeight="false" outlineLevel="0" collapsed="false">
      <c r="A195" s="21"/>
      <c r="B195" s="21"/>
      <c r="C195" s="26"/>
      <c r="D195" s="26"/>
      <c r="E195" s="21"/>
      <c r="F195" s="21"/>
      <c r="G195" s="21"/>
      <c r="H195" s="22"/>
      <c r="I195" s="21"/>
      <c r="J195" s="21"/>
    </row>
    <row r="196" customFormat="false" ht="15" hidden="false" customHeight="false" outlineLevel="0" collapsed="false">
      <c r="A196" s="21"/>
      <c r="B196" s="21"/>
      <c r="C196" s="26"/>
      <c r="D196" s="26"/>
      <c r="E196" s="21"/>
      <c r="F196" s="21"/>
      <c r="G196" s="21"/>
      <c r="H196" s="22"/>
      <c r="I196" s="21"/>
      <c r="J196" s="21"/>
    </row>
    <row r="197" customFormat="false" ht="15" hidden="false" customHeight="false" outlineLevel="0" collapsed="false">
      <c r="A197" s="21"/>
      <c r="B197" s="21"/>
      <c r="C197" s="26"/>
      <c r="D197" s="26"/>
      <c r="E197" s="21"/>
      <c r="F197" s="21"/>
      <c r="G197" s="21"/>
      <c r="H197" s="22"/>
      <c r="I197" s="21"/>
      <c r="J197" s="21"/>
    </row>
    <row r="198" customFormat="false" ht="15" hidden="false" customHeight="false" outlineLevel="0" collapsed="false">
      <c r="A198" s="21"/>
      <c r="B198" s="21"/>
      <c r="C198" s="26"/>
      <c r="D198" s="26"/>
      <c r="E198" s="21"/>
      <c r="F198" s="21"/>
      <c r="G198" s="21"/>
      <c r="H198" s="22"/>
      <c r="I198" s="21"/>
      <c r="J198" s="21"/>
    </row>
    <row r="199" customFormat="false" ht="15" hidden="false" customHeight="false" outlineLevel="0" collapsed="false">
      <c r="A199" s="21"/>
      <c r="B199" s="21"/>
      <c r="C199" s="26"/>
      <c r="D199" s="26"/>
      <c r="E199" s="21"/>
      <c r="F199" s="21"/>
      <c r="G199" s="21"/>
      <c r="H199" s="22"/>
      <c r="I199" s="21"/>
      <c r="J199" s="21"/>
    </row>
    <row r="200" customFormat="false" ht="15" hidden="false" customHeight="false" outlineLevel="0" collapsed="false">
      <c r="A200" s="21"/>
      <c r="B200" s="21"/>
      <c r="C200" s="26"/>
      <c r="D200" s="26"/>
      <c r="E200" s="21"/>
      <c r="F200" s="21"/>
      <c r="G200" s="21"/>
      <c r="H200" s="22"/>
      <c r="I200" s="21"/>
      <c r="J200" s="21"/>
    </row>
    <row r="201" customFormat="false" ht="15" hidden="false" customHeight="false" outlineLevel="0" collapsed="false">
      <c r="A201" s="21"/>
      <c r="B201" s="21"/>
      <c r="C201" s="26"/>
      <c r="D201" s="26"/>
      <c r="E201" s="21"/>
      <c r="F201" s="21"/>
      <c r="G201" s="21"/>
      <c r="H201" s="22"/>
      <c r="I201" s="21"/>
      <c r="J201" s="21"/>
    </row>
  </sheetData>
  <autoFilter ref="A1:J1"/>
  <dataValidations count="2">
    <dataValidation allowBlank="true" error="Elija un valor de la lista." errorStyle="stop" errorTitle="Valor no válido" operator="between" showDropDown="false" showErrorMessage="true" showInputMessage="false" sqref="B2:B1000" type="list">
      <formula1>'05_RECURSOS'!$A$2:$A$18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E2:E1000" type="list">
      <formula1>"FALLA,MANTENIMIENTO,FALTA_MATERIAL,FALTA_PERSONAL,OTRO"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J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7" min="6" style="0" width="9"/>
    <col collapsed="false" customWidth="true" hidden="false" outlineLevel="0" max="8" min="8" style="0" width="24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31.5" hidden="false" customHeight="true" outlineLevel="0" collapsed="false">
      <c r="A1" s="1" t="s">
        <v>288</v>
      </c>
      <c r="B1" s="1" t="s">
        <v>249</v>
      </c>
      <c r="C1" s="1" t="s">
        <v>39</v>
      </c>
      <c r="D1" s="1" t="s">
        <v>204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</row>
    <row r="2" customFormat="false" ht="15" hidden="false" customHeight="false" outlineLevel="0" collapsed="false">
      <c r="A2" s="21"/>
      <c r="B2" s="21"/>
      <c r="C2" s="21"/>
      <c r="D2" s="23"/>
      <c r="E2" s="22"/>
      <c r="F2" s="22"/>
      <c r="G2" s="22"/>
      <c r="H2" s="21"/>
      <c r="I2" s="27"/>
      <c r="J2" s="24"/>
    </row>
    <row r="3" customFormat="false" ht="15" hidden="false" customHeight="false" outlineLevel="0" collapsed="false">
      <c r="A3" s="21"/>
      <c r="B3" s="21"/>
      <c r="C3" s="21"/>
      <c r="D3" s="23"/>
      <c r="E3" s="22"/>
      <c r="F3" s="22"/>
      <c r="G3" s="22"/>
      <c r="H3" s="21"/>
      <c r="I3" s="27"/>
      <c r="J3" s="24"/>
    </row>
    <row r="4" customFormat="false" ht="15" hidden="false" customHeight="false" outlineLevel="0" collapsed="false">
      <c r="A4" s="21"/>
      <c r="B4" s="21"/>
      <c r="C4" s="21"/>
      <c r="D4" s="23"/>
      <c r="E4" s="22"/>
      <c r="F4" s="22"/>
      <c r="G4" s="22"/>
      <c r="H4" s="21"/>
      <c r="I4" s="27"/>
      <c r="J4" s="24"/>
    </row>
    <row r="5" customFormat="false" ht="15" hidden="false" customHeight="false" outlineLevel="0" collapsed="false">
      <c r="A5" s="21"/>
      <c r="B5" s="21"/>
      <c r="C5" s="21"/>
      <c r="D5" s="23"/>
      <c r="E5" s="22"/>
      <c r="F5" s="22"/>
      <c r="G5" s="22"/>
      <c r="H5" s="21"/>
      <c r="I5" s="27"/>
      <c r="J5" s="24"/>
    </row>
    <row r="6" customFormat="false" ht="15" hidden="false" customHeight="false" outlineLevel="0" collapsed="false">
      <c r="A6" s="21"/>
      <c r="B6" s="21"/>
      <c r="C6" s="21"/>
      <c r="D6" s="23"/>
      <c r="E6" s="22"/>
      <c r="F6" s="22"/>
      <c r="G6" s="22"/>
      <c r="H6" s="21"/>
      <c r="I6" s="27"/>
      <c r="J6" s="24"/>
    </row>
    <row r="7" customFormat="false" ht="15" hidden="false" customHeight="false" outlineLevel="0" collapsed="false">
      <c r="A7" s="21"/>
      <c r="B7" s="21"/>
      <c r="C7" s="21"/>
      <c r="D7" s="23"/>
      <c r="E7" s="22"/>
      <c r="F7" s="22"/>
      <c r="G7" s="22"/>
      <c r="H7" s="21"/>
      <c r="I7" s="27"/>
      <c r="J7" s="24"/>
    </row>
    <row r="8" customFormat="false" ht="15" hidden="false" customHeight="false" outlineLevel="0" collapsed="false">
      <c r="A8" s="21"/>
      <c r="B8" s="21"/>
      <c r="C8" s="21"/>
      <c r="D8" s="23"/>
      <c r="E8" s="22"/>
      <c r="F8" s="22"/>
      <c r="G8" s="22"/>
      <c r="H8" s="21"/>
      <c r="I8" s="27"/>
      <c r="J8" s="24"/>
    </row>
    <row r="9" customFormat="false" ht="15" hidden="false" customHeight="false" outlineLevel="0" collapsed="false">
      <c r="A9" s="21"/>
      <c r="B9" s="21"/>
      <c r="C9" s="21"/>
      <c r="D9" s="23"/>
      <c r="E9" s="22"/>
      <c r="F9" s="22"/>
      <c r="G9" s="22"/>
      <c r="H9" s="21"/>
      <c r="I9" s="27"/>
      <c r="J9" s="24"/>
    </row>
    <row r="10" customFormat="false" ht="15" hidden="false" customHeight="false" outlineLevel="0" collapsed="false">
      <c r="A10" s="21"/>
      <c r="B10" s="21"/>
      <c r="C10" s="21"/>
      <c r="D10" s="23"/>
      <c r="E10" s="22"/>
      <c r="F10" s="22"/>
      <c r="G10" s="22"/>
      <c r="H10" s="21"/>
      <c r="I10" s="27"/>
      <c r="J10" s="24"/>
    </row>
    <row r="11" customFormat="false" ht="15" hidden="false" customHeight="false" outlineLevel="0" collapsed="false">
      <c r="A11" s="21"/>
      <c r="B11" s="21"/>
      <c r="C11" s="21"/>
      <c r="D11" s="23"/>
      <c r="E11" s="22"/>
      <c r="F11" s="22"/>
      <c r="G11" s="22"/>
      <c r="H11" s="21"/>
      <c r="I11" s="27"/>
      <c r="J11" s="24"/>
    </row>
    <row r="12" customFormat="false" ht="15" hidden="false" customHeight="false" outlineLevel="0" collapsed="false">
      <c r="A12" s="21"/>
      <c r="B12" s="21"/>
      <c r="C12" s="21"/>
      <c r="D12" s="23"/>
      <c r="E12" s="22"/>
      <c r="F12" s="22"/>
      <c r="G12" s="22"/>
      <c r="H12" s="21"/>
      <c r="I12" s="27"/>
      <c r="J12" s="24"/>
    </row>
    <row r="13" customFormat="false" ht="15" hidden="false" customHeight="false" outlineLevel="0" collapsed="false">
      <c r="A13" s="21"/>
      <c r="B13" s="21"/>
      <c r="C13" s="21"/>
      <c r="D13" s="23"/>
      <c r="E13" s="22"/>
      <c r="F13" s="22"/>
      <c r="G13" s="22"/>
      <c r="H13" s="21"/>
      <c r="I13" s="27"/>
      <c r="J13" s="24"/>
    </row>
    <row r="14" customFormat="false" ht="15" hidden="false" customHeight="false" outlineLevel="0" collapsed="false">
      <c r="A14" s="21"/>
      <c r="B14" s="21"/>
      <c r="C14" s="21"/>
      <c r="D14" s="23"/>
      <c r="E14" s="22"/>
      <c r="F14" s="22"/>
      <c r="G14" s="22"/>
      <c r="H14" s="21"/>
      <c r="I14" s="27"/>
      <c r="J14" s="24"/>
    </row>
    <row r="15" customFormat="false" ht="15" hidden="false" customHeight="false" outlineLevel="0" collapsed="false">
      <c r="A15" s="21"/>
      <c r="B15" s="21"/>
      <c r="C15" s="21"/>
      <c r="D15" s="23"/>
      <c r="E15" s="22"/>
      <c r="F15" s="22"/>
      <c r="G15" s="22"/>
      <c r="H15" s="21"/>
      <c r="I15" s="27"/>
      <c r="J15" s="24"/>
    </row>
    <row r="16" customFormat="false" ht="15" hidden="false" customHeight="false" outlineLevel="0" collapsed="false">
      <c r="A16" s="21"/>
      <c r="B16" s="21"/>
      <c r="C16" s="21"/>
      <c r="D16" s="23"/>
      <c r="E16" s="22"/>
      <c r="F16" s="22"/>
      <c r="G16" s="22"/>
      <c r="H16" s="21"/>
      <c r="I16" s="27"/>
      <c r="J16" s="24"/>
    </row>
    <row r="17" customFormat="false" ht="15" hidden="false" customHeight="false" outlineLevel="0" collapsed="false">
      <c r="A17" s="21"/>
      <c r="B17" s="21"/>
      <c r="C17" s="21"/>
      <c r="D17" s="23"/>
      <c r="E17" s="22"/>
      <c r="F17" s="22"/>
      <c r="G17" s="22"/>
      <c r="H17" s="21"/>
      <c r="I17" s="27"/>
      <c r="J17" s="24"/>
    </row>
    <row r="18" customFormat="false" ht="15" hidden="false" customHeight="false" outlineLevel="0" collapsed="false">
      <c r="A18" s="21"/>
      <c r="B18" s="21"/>
      <c r="C18" s="21"/>
      <c r="D18" s="23"/>
      <c r="E18" s="22"/>
      <c r="F18" s="22"/>
      <c r="G18" s="22"/>
      <c r="H18" s="21"/>
      <c r="I18" s="27"/>
      <c r="J18" s="24"/>
    </row>
    <row r="19" customFormat="false" ht="15" hidden="false" customHeight="false" outlineLevel="0" collapsed="false">
      <c r="A19" s="21"/>
      <c r="B19" s="21"/>
      <c r="C19" s="21"/>
      <c r="D19" s="23"/>
      <c r="E19" s="22"/>
      <c r="F19" s="22"/>
      <c r="G19" s="22"/>
      <c r="H19" s="21"/>
      <c r="I19" s="27"/>
      <c r="J19" s="24"/>
    </row>
    <row r="20" customFormat="false" ht="15" hidden="false" customHeight="false" outlineLevel="0" collapsed="false">
      <c r="A20" s="21"/>
      <c r="B20" s="21"/>
      <c r="C20" s="21"/>
      <c r="D20" s="23"/>
      <c r="E20" s="22"/>
      <c r="F20" s="22"/>
      <c r="G20" s="22"/>
      <c r="H20" s="21"/>
      <c r="I20" s="27"/>
      <c r="J20" s="24"/>
    </row>
    <row r="21" customFormat="false" ht="15" hidden="false" customHeight="false" outlineLevel="0" collapsed="false">
      <c r="A21" s="21"/>
      <c r="B21" s="21"/>
      <c r="C21" s="21"/>
      <c r="D21" s="23"/>
      <c r="E21" s="22"/>
      <c r="F21" s="22"/>
      <c r="G21" s="22"/>
      <c r="H21" s="21"/>
      <c r="I21" s="27"/>
      <c r="J21" s="24"/>
    </row>
    <row r="22" customFormat="false" ht="15" hidden="false" customHeight="false" outlineLevel="0" collapsed="false">
      <c r="A22" s="21"/>
      <c r="B22" s="21"/>
      <c r="C22" s="21"/>
      <c r="D22" s="23"/>
      <c r="E22" s="22"/>
      <c r="F22" s="22"/>
      <c r="G22" s="22"/>
      <c r="H22" s="21"/>
      <c r="I22" s="27"/>
      <c r="J22" s="24"/>
    </row>
    <row r="23" customFormat="false" ht="15" hidden="false" customHeight="false" outlineLevel="0" collapsed="false">
      <c r="A23" s="21"/>
      <c r="B23" s="21"/>
      <c r="C23" s="21"/>
      <c r="D23" s="23"/>
      <c r="E23" s="22"/>
      <c r="F23" s="22"/>
      <c r="G23" s="22"/>
      <c r="H23" s="21"/>
      <c r="I23" s="27"/>
      <c r="J23" s="24"/>
    </row>
    <row r="24" customFormat="false" ht="15" hidden="false" customHeight="false" outlineLevel="0" collapsed="false">
      <c r="A24" s="21"/>
      <c r="B24" s="21"/>
      <c r="C24" s="21"/>
      <c r="D24" s="23"/>
      <c r="E24" s="22"/>
      <c r="F24" s="22"/>
      <c r="G24" s="22"/>
      <c r="H24" s="21"/>
      <c r="I24" s="27"/>
      <c r="J24" s="24"/>
    </row>
    <row r="25" customFormat="false" ht="15" hidden="false" customHeight="false" outlineLevel="0" collapsed="false">
      <c r="A25" s="21"/>
      <c r="B25" s="21"/>
      <c r="C25" s="21"/>
      <c r="D25" s="23"/>
      <c r="E25" s="22"/>
      <c r="F25" s="22"/>
      <c r="G25" s="22"/>
      <c r="H25" s="21"/>
      <c r="I25" s="27"/>
      <c r="J25" s="24"/>
    </row>
    <row r="26" customFormat="false" ht="15" hidden="false" customHeight="false" outlineLevel="0" collapsed="false">
      <c r="A26" s="21"/>
      <c r="B26" s="21"/>
      <c r="C26" s="21"/>
      <c r="D26" s="23"/>
      <c r="E26" s="22"/>
      <c r="F26" s="22"/>
      <c r="G26" s="22"/>
      <c r="H26" s="21"/>
      <c r="I26" s="27"/>
      <c r="J26" s="24"/>
    </row>
    <row r="27" customFormat="false" ht="15" hidden="false" customHeight="false" outlineLevel="0" collapsed="false">
      <c r="A27" s="21"/>
      <c r="B27" s="21"/>
      <c r="C27" s="21"/>
      <c r="D27" s="23"/>
      <c r="E27" s="22"/>
      <c r="F27" s="22"/>
      <c r="G27" s="22"/>
      <c r="H27" s="21"/>
      <c r="I27" s="27"/>
      <c r="J27" s="24"/>
    </row>
    <row r="28" customFormat="false" ht="15" hidden="false" customHeight="false" outlineLevel="0" collapsed="false">
      <c r="A28" s="21"/>
      <c r="B28" s="21"/>
      <c r="C28" s="21"/>
      <c r="D28" s="23"/>
      <c r="E28" s="22"/>
      <c r="F28" s="22"/>
      <c r="G28" s="22"/>
      <c r="H28" s="21"/>
      <c r="I28" s="27"/>
      <c r="J28" s="24"/>
    </row>
    <row r="29" customFormat="false" ht="15" hidden="false" customHeight="false" outlineLevel="0" collapsed="false">
      <c r="A29" s="21"/>
      <c r="B29" s="21"/>
      <c r="C29" s="21"/>
      <c r="D29" s="23"/>
      <c r="E29" s="22"/>
      <c r="F29" s="22"/>
      <c r="G29" s="22"/>
      <c r="H29" s="21"/>
      <c r="I29" s="27"/>
      <c r="J29" s="24"/>
    </row>
    <row r="30" customFormat="false" ht="15" hidden="false" customHeight="false" outlineLevel="0" collapsed="false">
      <c r="A30" s="21"/>
      <c r="B30" s="21"/>
      <c r="C30" s="21"/>
      <c r="D30" s="23"/>
      <c r="E30" s="22"/>
      <c r="F30" s="22"/>
      <c r="G30" s="22"/>
      <c r="H30" s="21"/>
      <c r="I30" s="27"/>
      <c r="J30" s="24"/>
    </row>
    <row r="31" customFormat="false" ht="15" hidden="false" customHeight="false" outlineLevel="0" collapsed="false">
      <c r="A31" s="21"/>
      <c r="B31" s="21"/>
      <c r="C31" s="21"/>
      <c r="D31" s="23"/>
      <c r="E31" s="22"/>
      <c r="F31" s="22"/>
      <c r="G31" s="22"/>
      <c r="H31" s="21"/>
      <c r="I31" s="27"/>
      <c r="J31" s="24"/>
    </row>
    <row r="32" customFormat="false" ht="15" hidden="false" customHeight="false" outlineLevel="0" collapsed="false">
      <c r="A32" s="21"/>
      <c r="B32" s="21"/>
      <c r="C32" s="21"/>
      <c r="D32" s="23"/>
      <c r="E32" s="22"/>
      <c r="F32" s="22"/>
      <c r="G32" s="22"/>
      <c r="H32" s="21"/>
      <c r="I32" s="27"/>
      <c r="J32" s="24"/>
    </row>
    <row r="33" customFormat="false" ht="15" hidden="false" customHeight="false" outlineLevel="0" collapsed="false">
      <c r="A33" s="21"/>
      <c r="B33" s="21"/>
      <c r="C33" s="21"/>
      <c r="D33" s="23"/>
      <c r="E33" s="22"/>
      <c r="F33" s="22"/>
      <c r="G33" s="22"/>
      <c r="H33" s="21"/>
      <c r="I33" s="27"/>
      <c r="J33" s="24"/>
    </row>
    <row r="34" customFormat="false" ht="15" hidden="false" customHeight="false" outlineLevel="0" collapsed="false">
      <c r="A34" s="21"/>
      <c r="B34" s="21"/>
      <c r="C34" s="21"/>
      <c r="D34" s="23"/>
      <c r="E34" s="22"/>
      <c r="F34" s="22"/>
      <c r="G34" s="22"/>
      <c r="H34" s="21"/>
      <c r="I34" s="27"/>
      <c r="J34" s="24"/>
    </row>
    <row r="35" customFormat="false" ht="15" hidden="false" customHeight="false" outlineLevel="0" collapsed="false">
      <c r="A35" s="21"/>
      <c r="B35" s="21"/>
      <c r="C35" s="21"/>
      <c r="D35" s="23"/>
      <c r="E35" s="22"/>
      <c r="F35" s="22"/>
      <c r="G35" s="22"/>
      <c r="H35" s="21"/>
      <c r="I35" s="27"/>
      <c r="J35" s="24"/>
    </row>
    <row r="36" customFormat="false" ht="15" hidden="false" customHeight="false" outlineLevel="0" collapsed="false">
      <c r="A36" s="21"/>
      <c r="B36" s="21"/>
      <c r="C36" s="21"/>
      <c r="D36" s="23"/>
      <c r="E36" s="22"/>
      <c r="F36" s="22"/>
      <c r="G36" s="22"/>
      <c r="H36" s="21"/>
      <c r="I36" s="27"/>
      <c r="J36" s="24"/>
    </row>
    <row r="37" customFormat="false" ht="15" hidden="false" customHeight="false" outlineLevel="0" collapsed="false">
      <c r="A37" s="21"/>
      <c r="B37" s="21"/>
      <c r="C37" s="21"/>
      <c r="D37" s="23"/>
      <c r="E37" s="22"/>
      <c r="F37" s="22"/>
      <c r="G37" s="22"/>
      <c r="H37" s="21"/>
      <c r="I37" s="27"/>
      <c r="J37" s="24"/>
    </row>
    <row r="38" customFormat="false" ht="15" hidden="false" customHeight="false" outlineLevel="0" collapsed="false">
      <c r="A38" s="21"/>
      <c r="B38" s="21"/>
      <c r="C38" s="21"/>
      <c r="D38" s="23"/>
      <c r="E38" s="22"/>
      <c r="F38" s="22"/>
      <c r="G38" s="22"/>
      <c r="H38" s="21"/>
      <c r="I38" s="27"/>
      <c r="J38" s="24"/>
    </row>
    <row r="39" customFormat="false" ht="15" hidden="false" customHeight="false" outlineLevel="0" collapsed="false">
      <c r="A39" s="21"/>
      <c r="B39" s="21"/>
      <c r="C39" s="21"/>
      <c r="D39" s="23"/>
      <c r="E39" s="22"/>
      <c r="F39" s="22"/>
      <c r="G39" s="22"/>
      <c r="H39" s="21"/>
      <c r="I39" s="27"/>
      <c r="J39" s="24"/>
    </row>
    <row r="40" customFormat="false" ht="15" hidden="false" customHeight="false" outlineLevel="0" collapsed="false">
      <c r="A40" s="21"/>
      <c r="B40" s="21"/>
      <c r="C40" s="21"/>
      <c r="D40" s="23"/>
      <c r="E40" s="22"/>
      <c r="F40" s="22"/>
      <c r="G40" s="22"/>
      <c r="H40" s="21"/>
      <c r="I40" s="27"/>
      <c r="J40" s="24"/>
    </row>
    <row r="41" customFormat="false" ht="15" hidden="false" customHeight="false" outlineLevel="0" collapsed="false">
      <c r="A41" s="21"/>
      <c r="B41" s="21"/>
      <c r="C41" s="21"/>
      <c r="D41" s="23"/>
      <c r="E41" s="22"/>
      <c r="F41" s="22"/>
      <c r="G41" s="22"/>
      <c r="H41" s="21"/>
      <c r="I41" s="27"/>
      <c r="J41" s="24"/>
    </row>
    <row r="42" customFormat="false" ht="15" hidden="false" customHeight="false" outlineLevel="0" collapsed="false">
      <c r="A42" s="21"/>
      <c r="B42" s="21"/>
      <c r="C42" s="21"/>
      <c r="D42" s="23"/>
      <c r="E42" s="22"/>
      <c r="F42" s="22"/>
      <c r="G42" s="22"/>
      <c r="H42" s="21"/>
      <c r="I42" s="27"/>
      <c r="J42" s="24"/>
    </row>
    <row r="43" customFormat="false" ht="15" hidden="false" customHeight="false" outlineLevel="0" collapsed="false">
      <c r="A43" s="21"/>
      <c r="B43" s="21"/>
      <c r="C43" s="21"/>
      <c r="D43" s="23"/>
      <c r="E43" s="22"/>
      <c r="F43" s="22"/>
      <c r="G43" s="22"/>
      <c r="H43" s="21"/>
      <c r="I43" s="27"/>
      <c r="J43" s="24"/>
    </row>
    <row r="44" customFormat="false" ht="15" hidden="false" customHeight="false" outlineLevel="0" collapsed="false">
      <c r="A44" s="21"/>
      <c r="B44" s="21"/>
      <c r="C44" s="21"/>
      <c r="D44" s="23"/>
      <c r="E44" s="22"/>
      <c r="F44" s="22"/>
      <c r="G44" s="22"/>
      <c r="H44" s="21"/>
      <c r="I44" s="27"/>
      <c r="J44" s="24"/>
    </row>
    <row r="45" customFormat="false" ht="15" hidden="false" customHeight="false" outlineLevel="0" collapsed="false">
      <c r="A45" s="21"/>
      <c r="B45" s="21"/>
      <c r="C45" s="21"/>
      <c r="D45" s="23"/>
      <c r="E45" s="22"/>
      <c r="F45" s="22"/>
      <c r="G45" s="22"/>
      <c r="H45" s="21"/>
      <c r="I45" s="27"/>
      <c r="J45" s="24"/>
    </row>
    <row r="46" customFormat="false" ht="15" hidden="false" customHeight="false" outlineLevel="0" collapsed="false">
      <c r="A46" s="21"/>
      <c r="B46" s="21"/>
      <c r="C46" s="21"/>
      <c r="D46" s="23"/>
      <c r="E46" s="22"/>
      <c r="F46" s="22"/>
      <c r="G46" s="22"/>
      <c r="H46" s="21"/>
      <c r="I46" s="27"/>
      <c r="J46" s="24"/>
    </row>
    <row r="47" customFormat="false" ht="15" hidden="false" customHeight="false" outlineLevel="0" collapsed="false">
      <c r="A47" s="21"/>
      <c r="B47" s="21"/>
      <c r="C47" s="21"/>
      <c r="D47" s="23"/>
      <c r="E47" s="22"/>
      <c r="F47" s="22"/>
      <c r="G47" s="22"/>
      <c r="H47" s="21"/>
      <c r="I47" s="27"/>
      <c r="J47" s="24"/>
    </row>
    <row r="48" customFormat="false" ht="15" hidden="false" customHeight="false" outlineLevel="0" collapsed="false">
      <c r="A48" s="21"/>
      <c r="B48" s="21"/>
      <c r="C48" s="21"/>
      <c r="D48" s="23"/>
      <c r="E48" s="22"/>
      <c r="F48" s="22"/>
      <c r="G48" s="22"/>
      <c r="H48" s="21"/>
      <c r="I48" s="27"/>
      <c r="J48" s="24"/>
    </row>
    <row r="49" customFormat="false" ht="15" hidden="false" customHeight="false" outlineLevel="0" collapsed="false">
      <c r="A49" s="21"/>
      <c r="B49" s="21"/>
      <c r="C49" s="21"/>
      <c r="D49" s="23"/>
      <c r="E49" s="22"/>
      <c r="F49" s="22"/>
      <c r="G49" s="22"/>
      <c r="H49" s="21"/>
      <c r="I49" s="27"/>
      <c r="J49" s="24"/>
    </row>
    <row r="50" customFormat="false" ht="15" hidden="false" customHeight="false" outlineLevel="0" collapsed="false">
      <c r="A50" s="21"/>
      <c r="B50" s="21"/>
      <c r="C50" s="21"/>
      <c r="D50" s="23"/>
      <c r="E50" s="22"/>
      <c r="F50" s="22"/>
      <c r="G50" s="22"/>
      <c r="H50" s="21"/>
      <c r="I50" s="27"/>
      <c r="J50" s="24"/>
    </row>
    <row r="51" customFormat="false" ht="15" hidden="false" customHeight="false" outlineLevel="0" collapsed="false">
      <c r="A51" s="21"/>
      <c r="B51" s="21"/>
      <c r="C51" s="21"/>
      <c r="D51" s="23"/>
      <c r="E51" s="22"/>
      <c r="F51" s="22"/>
      <c r="G51" s="22"/>
      <c r="H51" s="21"/>
      <c r="I51" s="27"/>
      <c r="J51" s="24"/>
    </row>
    <row r="52" customFormat="false" ht="15" hidden="false" customHeight="false" outlineLevel="0" collapsed="false">
      <c r="A52" s="21"/>
      <c r="B52" s="21"/>
      <c r="C52" s="21"/>
      <c r="D52" s="23"/>
      <c r="E52" s="22"/>
      <c r="F52" s="22"/>
      <c r="G52" s="22"/>
      <c r="H52" s="21"/>
      <c r="I52" s="27"/>
      <c r="J52" s="24"/>
    </row>
    <row r="53" customFormat="false" ht="15" hidden="false" customHeight="false" outlineLevel="0" collapsed="false">
      <c r="A53" s="21"/>
      <c r="B53" s="21"/>
      <c r="C53" s="21"/>
      <c r="D53" s="23"/>
      <c r="E53" s="22"/>
      <c r="F53" s="22"/>
      <c r="G53" s="22"/>
      <c r="H53" s="21"/>
      <c r="I53" s="27"/>
      <c r="J53" s="24"/>
    </row>
    <row r="54" customFormat="false" ht="15" hidden="false" customHeight="false" outlineLevel="0" collapsed="false">
      <c r="A54" s="21"/>
      <c r="B54" s="21"/>
      <c r="C54" s="21"/>
      <c r="D54" s="23"/>
      <c r="E54" s="22"/>
      <c r="F54" s="22"/>
      <c r="G54" s="22"/>
      <c r="H54" s="21"/>
      <c r="I54" s="27"/>
      <c r="J54" s="24"/>
    </row>
    <row r="55" customFormat="false" ht="15" hidden="false" customHeight="false" outlineLevel="0" collapsed="false">
      <c r="A55" s="21"/>
      <c r="B55" s="21"/>
      <c r="C55" s="21"/>
      <c r="D55" s="23"/>
      <c r="E55" s="22"/>
      <c r="F55" s="22"/>
      <c r="G55" s="22"/>
      <c r="H55" s="21"/>
      <c r="I55" s="27"/>
      <c r="J55" s="24"/>
    </row>
    <row r="56" customFormat="false" ht="15" hidden="false" customHeight="false" outlineLevel="0" collapsed="false">
      <c r="A56" s="21"/>
      <c r="B56" s="21"/>
      <c r="C56" s="21"/>
      <c r="D56" s="23"/>
      <c r="E56" s="22"/>
      <c r="F56" s="22"/>
      <c r="G56" s="22"/>
      <c r="H56" s="21"/>
      <c r="I56" s="27"/>
      <c r="J56" s="24"/>
    </row>
    <row r="57" customFormat="false" ht="15" hidden="false" customHeight="false" outlineLevel="0" collapsed="false">
      <c r="A57" s="21"/>
      <c r="B57" s="21"/>
      <c r="C57" s="21"/>
      <c r="D57" s="23"/>
      <c r="E57" s="22"/>
      <c r="F57" s="22"/>
      <c r="G57" s="22"/>
      <c r="H57" s="21"/>
      <c r="I57" s="27"/>
      <c r="J57" s="24"/>
    </row>
    <row r="58" customFormat="false" ht="15" hidden="false" customHeight="false" outlineLevel="0" collapsed="false">
      <c r="A58" s="21"/>
      <c r="B58" s="21"/>
      <c r="C58" s="21"/>
      <c r="D58" s="23"/>
      <c r="E58" s="22"/>
      <c r="F58" s="22"/>
      <c r="G58" s="22"/>
      <c r="H58" s="21"/>
      <c r="I58" s="27"/>
      <c r="J58" s="24"/>
    </row>
    <row r="59" customFormat="false" ht="15" hidden="false" customHeight="false" outlineLevel="0" collapsed="false">
      <c r="A59" s="21"/>
      <c r="B59" s="21"/>
      <c r="C59" s="21"/>
      <c r="D59" s="23"/>
      <c r="E59" s="22"/>
      <c r="F59" s="22"/>
      <c r="G59" s="22"/>
      <c r="H59" s="21"/>
      <c r="I59" s="27"/>
      <c r="J59" s="24"/>
    </row>
    <row r="60" customFormat="false" ht="15" hidden="false" customHeight="false" outlineLevel="0" collapsed="false">
      <c r="A60" s="21"/>
      <c r="B60" s="21"/>
      <c r="C60" s="21"/>
      <c r="D60" s="23"/>
      <c r="E60" s="22"/>
      <c r="F60" s="22"/>
      <c r="G60" s="22"/>
      <c r="H60" s="21"/>
      <c r="I60" s="27"/>
      <c r="J60" s="24"/>
    </row>
    <row r="61" customFormat="false" ht="15" hidden="false" customHeight="false" outlineLevel="0" collapsed="false">
      <c r="A61" s="21"/>
      <c r="B61" s="21"/>
      <c r="C61" s="21"/>
      <c r="D61" s="23"/>
      <c r="E61" s="22"/>
      <c r="F61" s="22"/>
      <c r="G61" s="22"/>
      <c r="H61" s="21"/>
      <c r="I61" s="27"/>
      <c r="J61" s="24"/>
    </row>
    <row r="62" customFormat="false" ht="15" hidden="false" customHeight="false" outlineLevel="0" collapsed="false">
      <c r="A62" s="21"/>
      <c r="B62" s="21"/>
      <c r="C62" s="21"/>
      <c r="D62" s="23"/>
      <c r="E62" s="22"/>
      <c r="F62" s="22"/>
      <c r="G62" s="22"/>
      <c r="H62" s="21"/>
      <c r="I62" s="27"/>
      <c r="J62" s="24"/>
    </row>
    <row r="63" customFormat="false" ht="15" hidden="false" customHeight="false" outlineLevel="0" collapsed="false">
      <c r="A63" s="21"/>
      <c r="B63" s="21"/>
      <c r="C63" s="21"/>
      <c r="D63" s="23"/>
      <c r="E63" s="22"/>
      <c r="F63" s="22"/>
      <c r="G63" s="22"/>
      <c r="H63" s="21"/>
      <c r="I63" s="27"/>
      <c r="J63" s="24"/>
    </row>
    <row r="64" customFormat="false" ht="15" hidden="false" customHeight="false" outlineLevel="0" collapsed="false">
      <c r="A64" s="21"/>
      <c r="B64" s="21"/>
      <c r="C64" s="21"/>
      <c r="D64" s="23"/>
      <c r="E64" s="22"/>
      <c r="F64" s="22"/>
      <c r="G64" s="22"/>
      <c r="H64" s="21"/>
      <c r="I64" s="27"/>
      <c r="J64" s="24"/>
    </row>
    <row r="65" customFormat="false" ht="15" hidden="false" customHeight="false" outlineLevel="0" collapsed="false">
      <c r="A65" s="21"/>
      <c r="B65" s="21"/>
      <c r="C65" s="21"/>
      <c r="D65" s="23"/>
      <c r="E65" s="22"/>
      <c r="F65" s="22"/>
      <c r="G65" s="22"/>
      <c r="H65" s="21"/>
      <c r="I65" s="27"/>
      <c r="J65" s="24"/>
    </row>
    <row r="66" customFormat="false" ht="15" hidden="false" customHeight="false" outlineLevel="0" collapsed="false">
      <c r="A66" s="21"/>
      <c r="B66" s="21"/>
      <c r="C66" s="21"/>
      <c r="D66" s="23"/>
      <c r="E66" s="22"/>
      <c r="F66" s="22"/>
      <c r="G66" s="22"/>
      <c r="H66" s="21"/>
      <c r="I66" s="27"/>
      <c r="J66" s="24"/>
    </row>
    <row r="67" customFormat="false" ht="15" hidden="false" customHeight="false" outlineLevel="0" collapsed="false">
      <c r="A67" s="21"/>
      <c r="B67" s="21"/>
      <c r="C67" s="21"/>
      <c r="D67" s="23"/>
      <c r="E67" s="22"/>
      <c r="F67" s="22"/>
      <c r="G67" s="22"/>
      <c r="H67" s="21"/>
      <c r="I67" s="27"/>
      <c r="J67" s="24"/>
    </row>
    <row r="68" customFormat="false" ht="15" hidden="false" customHeight="false" outlineLevel="0" collapsed="false">
      <c r="A68" s="21"/>
      <c r="B68" s="21"/>
      <c r="C68" s="21"/>
      <c r="D68" s="23"/>
      <c r="E68" s="22"/>
      <c r="F68" s="22"/>
      <c r="G68" s="22"/>
      <c r="H68" s="21"/>
      <c r="I68" s="27"/>
      <c r="J68" s="24"/>
    </row>
    <row r="69" customFormat="false" ht="15" hidden="false" customHeight="false" outlineLevel="0" collapsed="false">
      <c r="A69" s="21"/>
      <c r="B69" s="21"/>
      <c r="C69" s="21"/>
      <c r="D69" s="23"/>
      <c r="E69" s="22"/>
      <c r="F69" s="22"/>
      <c r="G69" s="22"/>
      <c r="H69" s="21"/>
      <c r="I69" s="27"/>
      <c r="J69" s="24"/>
    </row>
    <row r="70" customFormat="false" ht="15" hidden="false" customHeight="false" outlineLevel="0" collapsed="false">
      <c r="A70" s="21"/>
      <c r="B70" s="21"/>
      <c r="C70" s="21"/>
      <c r="D70" s="23"/>
      <c r="E70" s="22"/>
      <c r="F70" s="22"/>
      <c r="G70" s="22"/>
      <c r="H70" s="21"/>
      <c r="I70" s="27"/>
      <c r="J70" s="24"/>
    </row>
    <row r="71" customFormat="false" ht="15" hidden="false" customHeight="false" outlineLevel="0" collapsed="false">
      <c r="A71" s="21"/>
      <c r="B71" s="21"/>
      <c r="C71" s="21"/>
      <c r="D71" s="23"/>
      <c r="E71" s="22"/>
      <c r="F71" s="22"/>
      <c r="G71" s="22"/>
      <c r="H71" s="21"/>
      <c r="I71" s="27"/>
      <c r="J71" s="24"/>
    </row>
    <row r="72" customFormat="false" ht="15" hidden="false" customHeight="false" outlineLevel="0" collapsed="false">
      <c r="A72" s="21"/>
      <c r="B72" s="21"/>
      <c r="C72" s="21"/>
      <c r="D72" s="23"/>
      <c r="E72" s="22"/>
      <c r="F72" s="22"/>
      <c r="G72" s="22"/>
      <c r="H72" s="21"/>
      <c r="I72" s="27"/>
      <c r="J72" s="24"/>
    </row>
    <row r="73" customFormat="false" ht="15" hidden="false" customHeight="false" outlineLevel="0" collapsed="false">
      <c r="A73" s="21"/>
      <c r="B73" s="21"/>
      <c r="C73" s="21"/>
      <c r="D73" s="23"/>
      <c r="E73" s="22"/>
      <c r="F73" s="22"/>
      <c r="G73" s="22"/>
      <c r="H73" s="21"/>
      <c r="I73" s="27"/>
      <c r="J73" s="24"/>
    </row>
    <row r="74" customFormat="false" ht="15" hidden="false" customHeight="false" outlineLevel="0" collapsed="false">
      <c r="A74" s="21"/>
      <c r="B74" s="21"/>
      <c r="C74" s="21"/>
      <c r="D74" s="23"/>
      <c r="E74" s="22"/>
      <c r="F74" s="22"/>
      <c r="G74" s="22"/>
      <c r="H74" s="21"/>
      <c r="I74" s="27"/>
      <c r="J74" s="24"/>
    </row>
    <row r="75" customFormat="false" ht="15" hidden="false" customHeight="false" outlineLevel="0" collapsed="false">
      <c r="A75" s="21"/>
      <c r="B75" s="21"/>
      <c r="C75" s="21"/>
      <c r="D75" s="23"/>
      <c r="E75" s="22"/>
      <c r="F75" s="22"/>
      <c r="G75" s="22"/>
      <c r="H75" s="21"/>
      <c r="I75" s="27"/>
      <c r="J75" s="24"/>
    </row>
    <row r="76" customFormat="false" ht="15" hidden="false" customHeight="false" outlineLevel="0" collapsed="false">
      <c r="A76" s="21"/>
      <c r="B76" s="21"/>
      <c r="C76" s="21"/>
      <c r="D76" s="23"/>
      <c r="E76" s="22"/>
      <c r="F76" s="22"/>
      <c r="G76" s="22"/>
      <c r="H76" s="21"/>
      <c r="I76" s="27"/>
      <c r="J76" s="24"/>
    </row>
    <row r="77" customFormat="false" ht="15" hidden="false" customHeight="false" outlineLevel="0" collapsed="false">
      <c r="A77" s="21"/>
      <c r="B77" s="21"/>
      <c r="C77" s="21"/>
      <c r="D77" s="23"/>
      <c r="E77" s="22"/>
      <c r="F77" s="22"/>
      <c r="G77" s="22"/>
      <c r="H77" s="21"/>
      <c r="I77" s="27"/>
      <c r="J77" s="24"/>
    </row>
    <row r="78" customFormat="false" ht="15" hidden="false" customHeight="false" outlineLevel="0" collapsed="false">
      <c r="A78" s="21"/>
      <c r="B78" s="21"/>
      <c r="C78" s="21"/>
      <c r="D78" s="23"/>
      <c r="E78" s="22"/>
      <c r="F78" s="22"/>
      <c r="G78" s="22"/>
      <c r="H78" s="21"/>
      <c r="I78" s="27"/>
      <c r="J78" s="24"/>
    </row>
    <row r="79" customFormat="false" ht="15" hidden="false" customHeight="false" outlineLevel="0" collapsed="false">
      <c r="A79" s="21"/>
      <c r="B79" s="21"/>
      <c r="C79" s="21"/>
      <c r="D79" s="23"/>
      <c r="E79" s="22"/>
      <c r="F79" s="22"/>
      <c r="G79" s="22"/>
      <c r="H79" s="21"/>
      <c r="I79" s="27"/>
      <c r="J79" s="24"/>
    </row>
    <row r="80" customFormat="false" ht="15" hidden="false" customHeight="false" outlineLevel="0" collapsed="false">
      <c r="A80" s="21"/>
      <c r="B80" s="21"/>
      <c r="C80" s="21"/>
      <c r="D80" s="23"/>
      <c r="E80" s="22"/>
      <c r="F80" s="22"/>
      <c r="G80" s="22"/>
      <c r="H80" s="21"/>
      <c r="I80" s="27"/>
      <c r="J80" s="24"/>
    </row>
    <row r="81" customFormat="false" ht="15" hidden="false" customHeight="false" outlineLevel="0" collapsed="false">
      <c r="A81" s="21"/>
      <c r="B81" s="21"/>
      <c r="C81" s="21"/>
      <c r="D81" s="23"/>
      <c r="E81" s="22"/>
      <c r="F81" s="22"/>
      <c r="G81" s="22"/>
      <c r="H81" s="21"/>
      <c r="I81" s="27"/>
      <c r="J81" s="24"/>
    </row>
    <row r="82" customFormat="false" ht="15" hidden="false" customHeight="false" outlineLevel="0" collapsed="false">
      <c r="A82" s="21"/>
      <c r="B82" s="21"/>
      <c r="C82" s="21"/>
      <c r="D82" s="23"/>
      <c r="E82" s="22"/>
      <c r="F82" s="22"/>
      <c r="G82" s="22"/>
      <c r="H82" s="21"/>
      <c r="I82" s="27"/>
      <c r="J82" s="24"/>
    </row>
    <row r="83" customFormat="false" ht="15" hidden="false" customHeight="false" outlineLevel="0" collapsed="false">
      <c r="A83" s="21"/>
      <c r="B83" s="21"/>
      <c r="C83" s="21"/>
      <c r="D83" s="23"/>
      <c r="E83" s="22"/>
      <c r="F83" s="22"/>
      <c r="G83" s="22"/>
      <c r="H83" s="21"/>
      <c r="I83" s="27"/>
      <c r="J83" s="24"/>
    </row>
    <row r="84" customFormat="false" ht="15" hidden="false" customHeight="false" outlineLevel="0" collapsed="false">
      <c r="A84" s="21"/>
      <c r="B84" s="21"/>
      <c r="C84" s="21"/>
      <c r="D84" s="23"/>
      <c r="E84" s="22"/>
      <c r="F84" s="22"/>
      <c r="G84" s="22"/>
      <c r="H84" s="21"/>
      <c r="I84" s="27"/>
      <c r="J84" s="24"/>
    </row>
    <row r="85" customFormat="false" ht="15" hidden="false" customHeight="false" outlineLevel="0" collapsed="false">
      <c r="A85" s="21"/>
      <c r="B85" s="21"/>
      <c r="C85" s="21"/>
      <c r="D85" s="23"/>
      <c r="E85" s="22"/>
      <c r="F85" s="22"/>
      <c r="G85" s="22"/>
      <c r="H85" s="21"/>
      <c r="I85" s="27"/>
      <c r="J85" s="24"/>
    </row>
    <row r="86" customFormat="false" ht="15" hidden="false" customHeight="false" outlineLevel="0" collapsed="false">
      <c r="A86" s="21"/>
      <c r="B86" s="21"/>
      <c r="C86" s="21"/>
      <c r="D86" s="23"/>
      <c r="E86" s="22"/>
      <c r="F86" s="22"/>
      <c r="G86" s="22"/>
      <c r="H86" s="21"/>
      <c r="I86" s="27"/>
      <c r="J86" s="24"/>
    </row>
    <row r="87" customFormat="false" ht="15" hidden="false" customHeight="false" outlineLevel="0" collapsed="false">
      <c r="A87" s="21"/>
      <c r="B87" s="21"/>
      <c r="C87" s="21"/>
      <c r="D87" s="23"/>
      <c r="E87" s="22"/>
      <c r="F87" s="22"/>
      <c r="G87" s="22"/>
      <c r="H87" s="21"/>
      <c r="I87" s="27"/>
      <c r="J87" s="24"/>
    </row>
    <row r="88" customFormat="false" ht="15" hidden="false" customHeight="false" outlineLevel="0" collapsed="false">
      <c r="A88" s="21"/>
      <c r="B88" s="21"/>
      <c r="C88" s="21"/>
      <c r="D88" s="23"/>
      <c r="E88" s="22"/>
      <c r="F88" s="22"/>
      <c r="G88" s="22"/>
      <c r="H88" s="21"/>
      <c r="I88" s="27"/>
      <c r="J88" s="24"/>
    </row>
    <row r="89" customFormat="false" ht="15" hidden="false" customHeight="false" outlineLevel="0" collapsed="false">
      <c r="A89" s="21"/>
      <c r="B89" s="21"/>
      <c r="C89" s="21"/>
      <c r="D89" s="23"/>
      <c r="E89" s="22"/>
      <c r="F89" s="22"/>
      <c r="G89" s="22"/>
      <c r="H89" s="21"/>
      <c r="I89" s="27"/>
      <c r="J89" s="24"/>
    </row>
    <row r="90" customFormat="false" ht="15" hidden="false" customHeight="false" outlineLevel="0" collapsed="false">
      <c r="A90" s="21"/>
      <c r="B90" s="21"/>
      <c r="C90" s="21"/>
      <c r="D90" s="23"/>
      <c r="E90" s="22"/>
      <c r="F90" s="22"/>
      <c r="G90" s="22"/>
      <c r="H90" s="21"/>
      <c r="I90" s="27"/>
      <c r="J90" s="24"/>
    </row>
    <row r="91" customFormat="false" ht="15" hidden="false" customHeight="false" outlineLevel="0" collapsed="false">
      <c r="A91" s="21"/>
      <c r="B91" s="21"/>
      <c r="C91" s="21"/>
      <c r="D91" s="23"/>
      <c r="E91" s="22"/>
      <c r="F91" s="22"/>
      <c r="G91" s="22"/>
      <c r="H91" s="21"/>
      <c r="I91" s="27"/>
      <c r="J91" s="24"/>
    </row>
    <row r="92" customFormat="false" ht="15" hidden="false" customHeight="false" outlineLevel="0" collapsed="false">
      <c r="A92" s="21"/>
      <c r="B92" s="21"/>
      <c r="C92" s="21"/>
      <c r="D92" s="23"/>
      <c r="E92" s="22"/>
      <c r="F92" s="22"/>
      <c r="G92" s="22"/>
      <c r="H92" s="21"/>
      <c r="I92" s="27"/>
      <c r="J92" s="24"/>
    </row>
    <row r="93" customFormat="false" ht="15" hidden="false" customHeight="false" outlineLevel="0" collapsed="false">
      <c r="A93" s="21"/>
      <c r="B93" s="21"/>
      <c r="C93" s="21"/>
      <c r="D93" s="23"/>
      <c r="E93" s="22"/>
      <c r="F93" s="22"/>
      <c r="G93" s="22"/>
      <c r="H93" s="21"/>
      <c r="I93" s="27"/>
      <c r="J93" s="24"/>
    </row>
    <row r="94" customFormat="false" ht="15" hidden="false" customHeight="false" outlineLevel="0" collapsed="false">
      <c r="A94" s="21"/>
      <c r="B94" s="21"/>
      <c r="C94" s="21"/>
      <c r="D94" s="23"/>
      <c r="E94" s="22"/>
      <c r="F94" s="22"/>
      <c r="G94" s="22"/>
      <c r="H94" s="21"/>
      <c r="I94" s="27"/>
      <c r="J94" s="24"/>
    </row>
    <row r="95" customFormat="false" ht="15" hidden="false" customHeight="false" outlineLevel="0" collapsed="false">
      <c r="A95" s="21"/>
      <c r="B95" s="21"/>
      <c r="C95" s="21"/>
      <c r="D95" s="23"/>
      <c r="E95" s="22"/>
      <c r="F95" s="22"/>
      <c r="G95" s="22"/>
      <c r="H95" s="21"/>
      <c r="I95" s="27"/>
      <c r="J95" s="24"/>
    </row>
    <row r="96" customFormat="false" ht="15" hidden="false" customHeight="false" outlineLevel="0" collapsed="false">
      <c r="A96" s="21"/>
      <c r="B96" s="21"/>
      <c r="C96" s="21"/>
      <c r="D96" s="23"/>
      <c r="E96" s="22"/>
      <c r="F96" s="22"/>
      <c r="G96" s="22"/>
      <c r="H96" s="21"/>
      <c r="I96" s="27"/>
      <c r="J96" s="24"/>
    </row>
    <row r="97" customFormat="false" ht="15" hidden="false" customHeight="false" outlineLevel="0" collapsed="false">
      <c r="A97" s="21"/>
      <c r="B97" s="21"/>
      <c r="C97" s="21"/>
      <c r="D97" s="23"/>
      <c r="E97" s="22"/>
      <c r="F97" s="22"/>
      <c r="G97" s="22"/>
      <c r="H97" s="21"/>
      <c r="I97" s="27"/>
      <c r="J97" s="24"/>
    </row>
    <row r="98" customFormat="false" ht="15" hidden="false" customHeight="false" outlineLevel="0" collapsed="false">
      <c r="A98" s="21"/>
      <c r="B98" s="21"/>
      <c r="C98" s="21"/>
      <c r="D98" s="23"/>
      <c r="E98" s="22"/>
      <c r="F98" s="22"/>
      <c r="G98" s="22"/>
      <c r="H98" s="21"/>
      <c r="I98" s="27"/>
      <c r="J98" s="24"/>
    </row>
    <row r="99" customFormat="false" ht="15" hidden="false" customHeight="false" outlineLevel="0" collapsed="false">
      <c r="A99" s="21"/>
      <c r="B99" s="21"/>
      <c r="C99" s="21"/>
      <c r="D99" s="23"/>
      <c r="E99" s="22"/>
      <c r="F99" s="22"/>
      <c r="G99" s="22"/>
      <c r="H99" s="21"/>
      <c r="I99" s="27"/>
      <c r="J99" s="24"/>
    </row>
    <row r="100" customFormat="false" ht="15" hidden="false" customHeight="false" outlineLevel="0" collapsed="false">
      <c r="A100" s="21"/>
      <c r="B100" s="21"/>
      <c r="C100" s="21"/>
      <c r="D100" s="23"/>
      <c r="E100" s="22"/>
      <c r="F100" s="22"/>
      <c r="G100" s="22"/>
      <c r="H100" s="21"/>
      <c r="I100" s="27"/>
      <c r="J100" s="24"/>
    </row>
    <row r="101" customFormat="false" ht="15" hidden="false" customHeight="false" outlineLevel="0" collapsed="false">
      <c r="A101" s="21"/>
      <c r="B101" s="21"/>
      <c r="C101" s="21"/>
      <c r="D101" s="23"/>
      <c r="E101" s="22"/>
      <c r="F101" s="22"/>
      <c r="G101" s="22"/>
      <c r="H101" s="21"/>
      <c r="I101" s="27"/>
      <c r="J101" s="24"/>
    </row>
    <row r="102" customFormat="false" ht="15" hidden="false" customHeight="false" outlineLevel="0" collapsed="false">
      <c r="A102" s="21"/>
      <c r="B102" s="21"/>
      <c r="C102" s="21"/>
      <c r="D102" s="23"/>
      <c r="E102" s="22"/>
      <c r="F102" s="22"/>
      <c r="G102" s="22"/>
      <c r="H102" s="21"/>
      <c r="I102" s="27"/>
      <c r="J102" s="24"/>
    </row>
    <row r="103" customFormat="false" ht="15" hidden="false" customHeight="false" outlineLevel="0" collapsed="false">
      <c r="A103" s="21"/>
      <c r="B103" s="21"/>
      <c r="C103" s="21"/>
      <c r="D103" s="23"/>
      <c r="E103" s="22"/>
      <c r="F103" s="22"/>
      <c r="G103" s="22"/>
      <c r="H103" s="21"/>
      <c r="I103" s="27"/>
      <c r="J103" s="24"/>
    </row>
    <row r="104" customFormat="false" ht="15" hidden="false" customHeight="false" outlineLevel="0" collapsed="false">
      <c r="A104" s="21"/>
      <c r="B104" s="21"/>
      <c r="C104" s="21"/>
      <c r="D104" s="23"/>
      <c r="E104" s="22"/>
      <c r="F104" s="22"/>
      <c r="G104" s="22"/>
      <c r="H104" s="21"/>
      <c r="I104" s="27"/>
      <c r="J104" s="24"/>
    </row>
    <row r="105" customFormat="false" ht="15" hidden="false" customHeight="false" outlineLevel="0" collapsed="false">
      <c r="A105" s="21"/>
      <c r="B105" s="21"/>
      <c r="C105" s="21"/>
      <c r="D105" s="23"/>
      <c r="E105" s="22"/>
      <c r="F105" s="22"/>
      <c r="G105" s="22"/>
      <c r="H105" s="21"/>
      <c r="I105" s="27"/>
      <c r="J105" s="24"/>
    </row>
    <row r="106" customFormat="false" ht="15" hidden="false" customHeight="false" outlineLevel="0" collapsed="false">
      <c r="A106" s="21"/>
      <c r="B106" s="21"/>
      <c r="C106" s="21"/>
      <c r="D106" s="23"/>
      <c r="E106" s="22"/>
      <c r="F106" s="22"/>
      <c r="G106" s="22"/>
      <c r="H106" s="21"/>
      <c r="I106" s="27"/>
      <c r="J106" s="24"/>
    </row>
    <row r="107" customFormat="false" ht="15" hidden="false" customHeight="false" outlineLevel="0" collapsed="false">
      <c r="A107" s="21"/>
      <c r="B107" s="21"/>
      <c r="C107" s="21"/>
      <c r="D107" s="23"/>
      <c r="E107" s="22"/>
      <c r="F107" s="22"/>
      <c r="G107" s="22"/>
      <c r="H107" s="21"/>
      <c r="I107" s="27"/>
      <c r="J107" s="24"/>
    </row>
    <row r="108" customFormat="false" ht="15" hidden="false" customHeight="false" outlineLevel="0" collapsed="false">
      <c r="A108" s="21"/>
      <c r="B108" s="21"/>
      <c r="C108" s="21"/>
      <c r="D108" s="23"/>
      <c r="E108" s="22"/>
      <c r="F108" s="22"/>
      <c r="G108" s="22"/>
      <c r="H108" s="21"/>
      <c r="I108" s="27"/>
      <c r="J108" s="24"/>
    </row>
    <row r="109" customFormat="false" ht="15" hidden="false" customHeight="false" outlineLevel="0" collapsed="false">
      <c r="A109" s="21"/>
      <c r="B109" s="21"/>
      <c r="C109" s="21"/>
      <c r="D109" s="23"/>
      <c r="E109" s="22"/>
      <c r="F109" s="22"/>
      <c r="G109" s="22"/>
      <c r="H109" s="21"/>
      <c r="I109" s="27"/>
      <c r="J109" s="24"/>
    </row>
    <row r="110" customFormat="false" ht="15" hidden="false" customHeight="false" outlineLevel="0" collapsed="false">
      <c r="A110" s="21"/>
      <c r="B110" s="21"/>
      <c r="C110" s="21"/>
      <c r="D110" s="23"/>
      <c r="E110" s="22"/>
      <c r="F110" s="22"/>
      <c r="G110" s="22"/>
      <c r="H110" s="21"/>
      <c r="I110" s="27"/>
      <c r="J110" s="24"/>
    </row>
    <row r="111" customFormat="false" ht="15" hidden="false" customHeight="false" outlineLevel="0" collapsed="false">
      <c r="A111" s="21"/>
      <c r="B111" s="21"/>
      <c r="C111" s="21"/>
      <c r="D111" s="23"/>
      <c r="E111" s="22"/>
      <c r="F111" s="22"/>
      <c r="G111" s="22"/>
      <c r="H111" s="21"/>
      <c r="I111" s="27"/>
      <c r="J111" s="24"/>
    </row>
    <row r="112" customFormat="false" ht="15" hidden="false" customHeight="false" outlineLevel="0" collapsed="false">
      <c r="A112" s="21"/>
      <c r="B112" s="21"/>
      <c r="C112" s="21"/>
      <c r="D112" s="23"/>
      <c r="E112" s="22"/>
      <c r="F112" s="22"/>
      <c r="G112" s="22"/>
      <c r="H112" s="21"/>
      <c r="I112" s="27"/>
      <c r="J112" s="24"/>
    </row>
    <row r="113" customFormat="false" ht="15" hidden="false" customHeight="false" outlineLevel="0" collapsed="false">
      <c r="A113" s="21"/>
      <c r="B113" s="21"/>
      <c r="C113" s="21"/>
      <c r="D113" s="23"/>
      <c r="E113" s="22"/>
      <c r="F113" s="22"/>
      <c r="G113" s="22"/>
      <c r="H113" s="21"/>
      <c r="I113" s="27"/>
      <c r="J113" s="24"/>
    </row>
    <row r="114" customFormat="false" ht="15" hidden="false" customHeight="false" outlineLevel="0" collapsed="false">
      <c r="A114" s="21"/>
      <c r="B114" s="21"/>
      <c r="C114" s="21"/>
      <c r="D114" s="23"/>
      <c r="E114" s="22"/>
      <c r="F114" s="22"/>
      <c r="G114" s="22"/>
      <c r="H114" s="21"/>
      <c r="I114" s="27"/>
      <c r="J114" s="24"/>
    </row>
    <row r="115" customFormat="false" ht="15" hidden="false" customHeight="false" outlineLevel="0" collapsed="false">
      <c r="A115" s="21"/>
      <c r="B115" s="21"/>
      <c r="C115" s="21"/>
      <c r="D115" s="23"/>
      <c r="E115" s="22"/>
      <c r="F115" s="22"/>
      <c r="G115" s="22"/>
      <c r="H115" s="21"/>
      <c r="I115" s="27"/>
      <c r="J115" s="24"/>
    </row>
    <row r="116" customFormat="false" ht="15" hidden="false" customHeight="false" outlineLevel="0" collapsed="false">
      <c r="A116" s="21"/>
      <c r="B116" s="21"/>
      <c r="C116" s="21"/>
      <c r="D116" s="23"/>
      <c r="E116" s="22"/>
      <c r="F116" s="22"/>
      <c r="G116" s="22"/>
      <c r="H116" s="21"/>
      <c r="I116" s="27"/>
      <c r="J116" s="24"/>
    </row>
    <row r="117" customFormat="false" ht="15" hidden="false" customHeight="false" outlineLevel="0" collapsed="false">
      <c r="A117" s="21"/>
      <c r="B117" s="21"/>
      <c r="C117" s="21"/>
      <c r="D117" s="23"/>
      <c r="E117" s="22"/>
      <c r="F117" s="22"/>
      <c r="G117" s="22"/>
      <c r="H117" s="21"/>
      <c r="I117" s="27"/>
      <c r="J117" s="24"/>
    </row>
    <row r="118" customFormat="false" ht="15" hidden="false" customHeight="false" outlineLevel="0" collapsed="false">
      <c r="A118" s="21"/>
      <c r="B118" s="21"/>
      <c r="C118" s="21"/>
      <c r="D118" s="23"/>
      <c r="E118" s="22"/>
      <c r="F118" s="22"/>
      <c r="G118" s="22"/>
      <c r="H118" s="21"/>
      <c r="I118" s="27"/>
      <c r="J118" s="24"/>
    </row>
    <row r="119" customFormat="false" ht="15" hidden="false" customHeight="false" outlineLevel="0" collapsed="false">
      <c r="A119" s="21"/>
      <c r="B119" s="21"/>
      <c r="C119" s="21"/>
      <c r="D119" s="23"/>
      <c r="E119" s="22"/>
      <c r="F119" s="22"/>
      <c r="G119" s="22"/>
      <c r="H119" s="21"/>
      <c r="I119" s="27"/>
      <c r="J119" s="24"/>
    </row>
    <row r="120" customFormat="false" ht="15" hidden="false" customHeight="false" outlineLevel="0" collapsed="false">
      <c r="A120" s="21"/>
      <c r="B120" s="21"/>
      <c r="C120" s="21"/>
      <c r="D120" s="23"/>
      <c r="E120" s="22"/>
      <c r="F120" s="22"/>
      <c r="G120" s="22"/>
      <c r="H120" s="21"/>
      <c r="I120" s="27"/>
      <c r="J120" s="24"/>
    </row>
    <row r="121" customFormat="false" ht="15" hidden="false" customHeight="false" outlineLevel="0" collapsed="false">
      <c r="A121" s="21"/>
      <c r="B121" s="21"/>
      <c r="C121" s="21"/>
      <c r="D121" s="23"/>
      <c r="E121" s="22"/>
      <c r="F121" s="22"/>
      <c r="G121" s="22"/>
      <c r="H121" s="21"/>
      <c r="I121" s="27"/>
      <c r="J121" s="24"/>
    </row>
    <row r="122" customFormat="false" ht="15" hidden="false" customHeight="false" outlineLevel="0" collapsed="false">
      <c r="A122" s="21"/>
      <c r="B122" s="21"/>
      <c r="C122" s="21"/>
      <c r="D122" s="23"/>
      <c r="E122" s="22"/>
      <c r="F122" s="22"/>
      <c r="G122" s="22"/>
      <c r="H122" s="21"/>
      <c r="I122" s="27"/>
      <c r="J122" s="24"/>
    </row>
    <row r="123" customFormat="false" ht="15" hidden="false" customHeight="false" outlineLevel="0" collapsed="false">
      <c r="A123" s="21"/>
      <c r="B123" s="21"/>
      <c r="C123" s="21"/>
      <c r="D123" s="23"/>
      <c r="E123" s="22"/>
      <c r="F123" s="22"/>
      <c r="G123" s="22"/>
      <c r="H123" s="21"/>
      <c r="I123" s="27"/>
      <c r="J123" s="24"/>
    </row>
    <row r="124" customFormat="false" ht="15" hidden="false" customHeight="false" outlineLevel="0" collapsed="false">
      <c r="A124" s="21"/>
      <c r="B124" s="21"/>
      <c r="C124" s="21"/>
      <c r="D124" s="23"/>
      <c r="E124" s="22"/>
      <c r="F124" s="22"/>
      <c r="G124" s="22"/>
      <c r="H124" s="21"/>
      <c r="I124" s="27"/>
      <c r="J124" s="24"/>
    </row>
    <row r="125" customFormat="false" ht="15" hidden="false" customHeight="false" outlineLevel="0" collapsed="false">
      <c r="A125" s="21"/>
      <c r="B125" s="21"/>
      <c r="C125" s="21"/>
      <c r="D125" s="23"/>
      <c r="E125" s="22"/>
      <c r="F125" s="22"/>
      <c r="G125" s="22"/>
      <c r="H125" s="21"/>
      <c r="I125" s="27"/>
      <c r="J125" s="24"/>
    </row>
    <row r="126" customFormat="false" ht="15" hidden="false" customHeight="false" outlineLevel="0" collapsed="false">
      <c r="A126" s="21"/>
      <c r="B126" s="21"/>
      <c r="C126" s="21"/>
      <c r="D126" s="23"/>
      <c r="E126" s="22"/>
      <c r="F126" s="22"/>
      <c r="G126" s="22"/>
      <c r="H126" s="21"/>
      <c r="I126" s="27"/>
      <c r="J126" s="24"/>
    </row>
    <row r="127" customFormat="false" ht="15" hidden="false" customHeight="false" outlineLevel="0" collapsed="false">
      <c r="A127" s="21"/>
      <c r="B127" s="21"/>
      <c r="C127" s="21"/>
      <c r="D127" s="23"/>
      <c r="E127" s="22"/>
      <c r="F127" s="22"/>
      <c r="G127" s="22"/>
      <c r="H127" s="21"/>
      <c r="I127" s="27"/>
      <c r="J127" s="24"/>
    </row>
    <row r="128" customFormat="false" ht="15" hidden="false" customHeight="false" outlineLevel="0" collapsed="false">
      <c r="A128" s="21"/>
      <c r="B128" s="21"/>
      <c r="C128" s="21"/>
      <c r="D128" s="23"/>
      <c r="E128" s="22"/>
      <c r="F128" s="22"/>
      <c r="G128" s="22"/>
      <c r="H128" s="21"/>
      <c r="I128" s="27"/>
      <c r="J128" s="24"/>
    </row>
    <row r="129" customFormat="false" ht="15" hidden="false" customHeight="false" outlineLevel="0" collapsed="false">
      <c r="A129" s="21"/>
      <c r="B129" s="21"/>
      <c r="C129" s="21"/>
      <c r="D129" s="23"/>
      <c r="E129" s="22"/>
      <c r="F129" s="22"/>
      <c r="G129" s="22"/>
      <c r="H129" s="21"/>
      <c r="I129" s="27"/>
      <c r="J129" s="24"/>
    </row>
    <row r="130" customFormat="false" ht="15" hidden="false" customHeight="false" outlineLevel="0" collapsed="false">
      <c r="A130" s="21"/>
      <c r="B130" s="21"/>
      <c r="C130" s="21"/>
      <c r="D130" s="23"/>
      <c r="E130" s="22"/>
      <c r="F130" s="22"/>
      <c r="G130" s="22"/>
      <c r="H130" s="21"/>
      <c r="I130" s="27"/>
      <c r="J130" s="24"/>
    </row>
    <row r="131" customFormat="false" ht="15" hidden="false" customHeight="false" outlineLevel="0" collapsed="false">
      <c r="A131" s="21"/>
      <c r="B131" s="21"/>
      <c r="C131" s="21"/>
      <c r="D131" s="23"/>
      <c r="E131" s="22"/>
      <c r="F131" s="22"/>
      <c r="G131" s="22"/>
      <c r="H131" s="21"/>
      <c r="I131" s="27"/>
      <c r="J131" s="24"/>
    </row>
    <row r="132" customFormat="false" ht="15" hidden="false" customHeight="false" outlineLevel="0" collapsed="false">
      <c r="A132" s="21"/>
      <c r="B132" s="21"/>
      <c r="C132" s="21"/>
      <c r="D132" s="23"/>
      <c r="E132" s="22"/>
      <c r="F132" s="22"/>
      <c r="G132" s="22"/>
      <c r="H132" s="21"/>
      <c r="I132" s="27"/>
      <c r="J132" s="24"/>
    </row>
    <row r="133" customFormat="false" ht="15" hidden="false" customHeight="false" outlineLevel="0" collapsed="false">
      <c r="A133" s="21"/>
      <c r="B133" s="21"/>
      <c r="C133" s="21"/>
      <c r="D133" s="23"/>
      <c r="E133" s="22"/>
      <c r="F133" s="22"/>
      <c r="G133" s="22"/>
      <c r="H133" s="21"/>
      <c r="I133" s="27"/>
      <c r="J133" s="24"/>
    </row>
    <row r="134" customFormat="false" ht="15" hidden="false" customHeight="false" outlineLevel="0" collapsed="false">
      <c r="A134" s="21"/>
      <c r="B134" s="21"/>
      <c r="C134" s="21"/>
      <c r="D134" s="23"/>
      <c r="E134" s="22"/>
      <c r="F134" s="22"/>
      <c r="G134" s="22"/>
      <c r="H134" s="21"/>
      <c r="I134" s="27"/>
      <c r="J134" s="24"/>
    </row>
    <row r="135" customFormat="false" ht="15" hidden="false" customHeight="false" outlineLevel="0" collapsed="false">
      <c r="A135" s="21"/>
      <c r="B135" s="21"/>
      <c r="C135" s="21"/>
      <c r="D135" s="23"/>
      <c r="E135" s="22"/>
      <c r="F135" s="22"/>
      <c r="G135" s="22"/>
      <c r="H135" s="21"/>
      <c r="I135" s="27"/>
      <c r="J135" s="24"/>
    </row>
    <row r="136" customFormat="false" ht="15" hidden="false" customHeight="false" outlineLevel="0" collapsed="false">
      <c r="A136" s="21"/>
      <c r="B136" s="21"/>
      <c r="C136" s="21"/>
      <c r="D136" s="23"/>
      <c r="E136" s="22"/>
      <c r="F136" s="22"/>
      <c r="G136" s="22"/>
      <c r="H136" s="21"/>
      <c r="I136" s="27"/>
      <c r="J136" s="24"/>
    </row>
    <row r="137" customFormat="false" ht="15" hidden="false" customHeight="false" outlineLevel="0" collapsed="false">
      <c r="A137" s="21"/>
      <c r="B137" s="21"/>
      <c r="C137" s="21"/>
      <c r="D137" s="23"/>
      <c r="E137" s="22"/>
      <c r="F137" s="22"/>
      <c r="G137" s="22"/>
      <c r="H137" s="21"/>
      <c r="I137" s="27"/>
      <c r="J137" s="24"/>
    </row>
    <row r="138" customFormat="false" ht="15" hidden="false" customHeight="false" outlineLevel="0" collapsed="false">
      <c r="A138" s="21"/>
      <c r="B138" s="21"/>
      <c r="C138" s="21"/>
      <c r="D138" s="23"/>
      <c r="E138" s="22"/>
      <c r="F138" s="22"/>
      <c r="G138" s="22"/>
      <c r="H138" s="21"/>
      <c r="I138" s="27"/>
      <c r="J138" s="24"/>
    </row>
    <row r="139" customFormat="false" ht="15" hidden="false" customHeight="false" outlineLevel="0" collapsed="false">
      <c r="A139" s="21"/>
      <c r="B139" s="21"/>
      <c r="C139" s="21"/>
      <c r="D139" s="23"/>
      <c r="E139" s="22"/>
      <c r="F139" s="22"/>
      <c r="G139" s="22"/>
      <c r="H139" s="21"/>
      <c r="I139" s="27"/>
      <c r="J139" s="24"/>
    </row>
    <row r="140" customFormat="false" ht="15" hidden="false" customHeight="false" outlineLevel="0" collapsed="false">
      <c r="A140" s="21"/>
      <c r="B140" s="21"/>
      <c r="C140" s="21"/>
      <c r="D140" s="23"/>
      <c r="E140" s="22"/>
      <c r="F140" s="22"/>
      <c r="G140" s="22"/>
      <c r="H140" s="21"/>
      <c r="I140" s="27"/>
      <c r="J140" s="24"/>
    </row>
    <row r="141" customFormat="false" ht="15" hidden="false" customHeight="false" outlineLevel="0" collapsed="false">
      <c r="A141" s="21"/>
      <c r="B141" s="21"/>
      <c r="C141" s="21"/>
      <c r="D141" s="23"/>
      <c r="E141" s="22"/>
      <c r="F141" s="22"/>
      <c r="G141" s="22"/>
      <c r="H141" s="21"/>
      <c r="I141" s="27"/>
      <c r="J141" s="24"/>
    </row>
    <row r="142" customFormat="false" ht="15" hidden="false" customHeight="false" outlineLevel="0" collapsed="false">
      <c r="A142" s="21"/>
      <c r="B142" s="21"/>
      <c r="C142" s="21"/>
      <c r="D142" s="23"/>
      <c r="E142" s="22"/>
      <c r="F142" s="22"/>
      <c r="G142" s="22"/>
      <c r="H142" s="21"/>
      <c r="I142" s="27"/>
      <c r="J142" s="24"/>
    </row>
    <row r="143" customFormat="false" ht="15" hidden="false" customHeight="false" outlineLevel="0" collapsed="false">
      <c r="A143" s="21"/>
      <c r="B143" s="21"/>
      <c r="C143" s="21"/>
      <c r="D143" s="23"/>
      <c r="E143" s="22"/>
      <c r="F143" s="22"/>
      <c r="G143" s="22"/>
      <c r="H143" s="21"/>
      <c r="I143" s="27"/>
      <c r="J143" s="24"/>
    </row>
    <row r="144" customFormat="false" ht="15" hidden="false" customHeight="false" outlineLevel="0" collapsed="false">
      <c r="A144" s="21"/>
      <c r="B144" s="21"/>
      <c r="C144" s="21"/>
      <c r="D144" s="23"/>
      <c r="E144" s="22"/>
      <c r="F144" s="22"/>
      <c r="G144" s="22"/>
      <c r="H144" s="21"/>
      <c r="I144" s="27"/>
      <c r="J144" s="24"/>
    </row>
    <row r="145" customFormat="false" ht="15" hidden="false" customHeight="false" outlineLevel="0" collapsed="false">
      <c r="A145" s="21"/>
      <c r="B145" s="21"/>
      <c r="C145" s="21"/>
      <c r="D145" s="23"/>
      <c r="E145" s="22"/>
      <c r="F145" s="22"/>
      <c r="G145" s="22"/>
      <c r="H145" s="21"/>
      <c r="I145" s="27"/>
      <c r="J145" s="24"/>
    </row>
    <row r="146" customFormat="false" ht="15" hidden="false" customHeight="false" outlineLevel="0" collapsed="false">
      <c r="A146" s="21"/>
      <c r="B146" s="21"/>
      <c r="C146" s="21"/>
      <c r="D146" s="23"/>
      <c r="E146" s="22"/>
      <c r="F146" s="22"/>
      <c r="G146" s="22"/>
      <c r="H146" s="21"/>
      <c r="I146" s="27"/>
      <c r="J146" s="24"/>
    </row>
    <row r="147" customFormat="false" ht="15" hidden="false" customHeight="false" outlineLevel="0" collapsed="false">
      <c r="A147" s="21"/>
      <c r="B147" s="21"/>
      <c r="C147" s="21"/>
      <c r="D147" s="23"/>
      <c r="E147" s="22"/>
      <c r="F147" s="22"/>
      <c r="G147" s="22"/>
      <c r="H147" s="21"/>
      <c r="I147" s="27"/>
      <c r="J147" s="24"/>
    </row>
    <row r="148" customFormat="false" ht="15" hidden="false" customHeight="false" outlineLevel="0" collapsed="false">
      <c r="A148" s="21"/>
      <c r="B148" s="21"/>
      <c r="C148" s="21"/>
      <c r="D148" s="23"/>
      <c r="E148" s="22"/>
      <c r="F148" s="22"/>
      <c r="G148" s="22"/>
      <c r="H148" s="21"/>
      <c r="I148" s="27"/>
      <c r="J148" s="24"/>
    </row>
    <row r="149" customFormat="false" ht="15" hidden="false" customHeight="false" outlineLevel="0" collapsed="false">
      <c r="A149" s="21"/>
      <c r="B149" s="21"/>
      <c r="C149" s="21"/>
      <c r="D149" s="23"/>
      <c r="E149" s="22"/>
      <c r="F149" s="22"/>
      <c r="G149" s="22"/>
      <c r="H149" s="21"/>
      <c r="I149" s="27"/>
      <c r="J149" s="24"/>
    </row>
    <row r="150" customFormat="false" ht="15" hidden="false" customHeight="false" outlineLevel="0" collapsed="false">
      <c r="A150" s="21"/>
      <c r="B150" s="21"/>
      <c r="C150" s="21"/>
      <c r="D150" s="23"/>
      <c r="E150" s="22"/>
      <c r="F150" s="22"/>
      <c r="G150" s="22"/>
      <c r="H150" s="21"/>
      <c r="I150" s="27"/>
      <c r="J150" s="24"/>
    </row>
    <row r="151" customFormat="false" ht="15" hidden="false" customHeight="false" outlineLevel="0" collapsed="false">
      <c r="A151" s="21"/>
      <c r="B151" s="21"/>
      <c r="C151" s="21"/>
      <c r="D151" s="23"/>
      <c r="E151" s="22"/>
      <c r="F151" s="22"/>
      <c r="G151" s="22"/>
      <c r="H151" s="21"/>
      <c r="I151" s="27"/>
      <c r="J151" s="24"/>
    </row>
    <row r="152" customFormat="false" ht="15" hidden="false" customHeight="false" outlineLevel="0" collapsed="false">
      <c r="A152" s="21"/>
      <c r="B152" s="21"/>
      <c r="C152" s="21"/>
      <c r="D152" s="23"/>
      <c r="E152" s="22"/>
      <c r="F152" s="22"/>
      <c r="G152" s="22"/>
      <c r="H152" s="21"/>
      <c r="I152" s="27"/>
      <c r="J152" s="24"/>
    </row>
    <row r="153" customFormat="false" ht="15" hidden="false" customHeight="false" outlineLevel="0" collapsed="false">
      <c r="A153" s="21"/>
      <c r="B153" s="21"/>
      <c r="C153" s="21"/>
      <c r="D153" s="23"/>
      <c r="E153" s="22"/>
      <c r="F153" s="22"/>
      <c r="G153" s="22"/>
      <c r="H153" s="21"/>
      <c r="I153" s="27"/>
      <c r="J153" s="24"/>
    </row>
    <row r="154" customFormat="false" ht="15" hidden="false" customHeight="false" outlineLevel="0" collapsed="false">
      <c r="A154" s="21"/>
      <c r="B154" s="21"/>
      <c r="C154" s="21"/>
      <c r="D154" s="23"/>
      <c r="E154" s="22"/>
      <c r="F154" s="22"/>
      <c r="G154" s="22"/>
      <c r="H154" s="21"/>
      <c r="I154" s="27"/>
      <c r="J154" s="24"/>
    </row>
    <row r="155" customFormat="false" ht="15" hidden="false" customHeight="false" outlineLevel="0" collapsed="false">
      <c r="A155" s="21"/>
      <c r="B155" s="21"/>
      <c r="C155" s="21"/>
      <c r="D155" s="23"/>
      <c r="E155" s="22"/>
      <c r="F155" s="22"/>
      <c r="G155" s="22"/>
      <c r="H155" s="21"/>
      <c r="I155" s="27"/>
      <c r="J155" s="24"/>
    </row>
    <row r="156" customFormat="false" ht="15" hidden="false" customHeight="false" outlineLevel="0" collapsed="false">
      <c r="A156" s="21"/>
      <c r="B156" s="21"/>
      <c r="C156" s="21"/>
      <c r="D156" s="23"/>
      <c r="E156" s="22"/>
      <c r="F156" s="22"/>
      <c r="G156" s="22"/>
      <c r="H156" s="21"/>
      <c r="I156" s="27"/>
      <c r="J156" s="24"/>
    </row>
    <row r="157" customFormat="false" ht="15" hidden="false" customHeight="false" outlineLevel="0" collapsed="false">
      <c r="A157" s="21"/>
      <c r="B157" s="21"/>
      <c r="C157" s="21"/>
      <c r="D157" s="23"/>
      <c r="E157" s="22"/>
      <c r="F157" s="22"/>
      <c r="G157" s="22"/>
      <c r="H157" s="21"/>
      <c r="I157" s="27"/>
      <c r="J157" s="24"/>
    </row>
    <row r="158" customFormat="false" ht="15" hidden="false" customHeight="false" outlineLevel="0" collapsed="false">
      <c r="A158" s="21"/>
      <c r="B158" s="21"/>
      <c r="C158" s="21"/>
      <c r="D158" s="23"/>
      <c r="E158" s="22"/>
      <c r="F158" s="22"/>
      <c r="G158" s="22"/>
      <c r="H158" s="21"/>
      <c r="I158" s="27"/>
      <c r="J158" s="24"/>
    </row>
    <row r="159" customFormat="false" ht="15" hidden="false" customHeight="false" outlineLevel="0" collapsed="false">
      <c r="A159" s="21"/>
      <c r="B159" s="21"/>
      <c r="C159" s="21"/>
      <c r="D159" s="23"/>
      <c r="E159" s="22"/>
      <c r="F159" s="22"/>
      <c r="G159" s="22"/>
      <c r="H159" s="21"/>
      <c r="I159" s="27"/>
      <c r="J159" s="24"/>
    </row>
    <row r="160" customFormat="false" ht="15" hidden="false" customHeight="false" outlineLevel="0" collapsed="false">
      <c r="A160" s="21"/>
      <c r="B160" s="21"/>
      <c r="C160" s="21"/>
      <c r="D160" s="23"/>
      <c r="E160" s="22"/>
      <c r="F160" s="22"/>
      <c r="G160" s="22"/>
      <c r="H160" s="21"/>
      <c r="I160" s="27"/>
      <c r="J160" s="24"/>
    </row>
    <row r="161" customFormat="false" ht="15" hidden="false" customHeight="false" outlineLevel="0" collapsed="false">
      <c r="A161" s="21"/>
      <c r="B161" s="21"/>
      <c r="C161" s="21"/>
      <c r="D161" s="23"/>
      <c r="E161" s="22"/>
      <c r="F161" s="22"/>
      <c r="G161" s="22"/>
      <c r="H161" s="21"/>
      <c r="I161" s="27"/>
      <c r="J161" s="24"/>
    </row>
    <row r="162" customFormat="false" ht="15" hidden="false" customHeight="false" outlineLevel="0" collapsed="false">
      <c r="A162" s="21"/>
      <c r="B162" s="21"/>
      <c r="C162" s="21"/>
      <c r="D162" s="23"/>
      <c r="E162" s="22"/>
      <c r="F162" s="22"/>
      <c r="G162" s="22"/>
      <c r="H162" s="21"/>
      <c r="I162" s="27"/>
      <c r="J162" s="24"/>
    </row>
    <row r="163" customFormat="false" ht="15" hidden="false" customHeight="false" outlineLevel="0" collapsed="false">
      <c r="A163" s="21"/>
      <c r="B163" s="21"/>
      <c r="C163" s="21"/>
      <c r="D163" s="23"/>
      <c r="E163" s="22"/>
      <c r="F163" s="22"/>
      <c r="G163" s="22"/>
      <c r="H163" s="21"/>
      <c r="I163" s="27"/>
      <c r="J163" s="24"/>
    </row>
    <row r="164" customFormat="false" ht="15" hidden="false" customHeight="false" outlineLevel="0" collapsed="false">
      <c r="A164" s="21"/>
      <c r="B164" s="21"/>
      <c r="C164" s="21"/>
      <c r="D164" s="23"/>
      <c r="E164" s="22"/>
      <c r="F164" s="22"/>
      <c r="G164" s="22"/>
      <c r="H164" s="21"/>
      <c r="I164" s="27"/>
      <c r="J164" s="24"/>
    </row>
    <row r="165" customFormat="false" ht="15" hidden="false" customHeight="false" outlineLevel="0" collapsed="false">
      <c r="A165" s="21"/>
      <c r="B165" s="21"/>
      <c r="C165" s="21"/>
      <c r="D165" s="23"/>
      <c r="E165" s="22"/>
      <c r="F165" s="22"/>
      <c r="G165" s="22"/>
      <c r="H165" s="21"/>
      <c r="I165" s="27"/>
      <c r="J165" s="24"/>
    </row>
    <row r="166" customFormat="false" ht="15" hidden="false" customHeight="false" outlineLevel="0" collapsed="false">
      <c r="A166" s="21"/>
      <c r="B166" s="21"/>
      <c r="C166" s="21"/>
      <c r="D166" s="23"/>
      <c r="E166" s="22"/>
      <c r="F166" s="22"/>
      <c r="G166" s="22"/>
      <c r="H166" s="21"/>
      <c r="I166" s="27"/>
      <c r="J166" s="24"/>
    </row>
    <row r="167" customFormat="false" ht="15" hidden="false" customHeight="false" outlineLevel="0" collapsed="false">
      <c r="A167" s="21"/>
      <c r="B167" s="21"/>
      <c r="C167" s="21"/>
      <c r="D167" s="23"/>
      <c r="E167" s="22"/>
      <c r="F167" s="22"/>
      <c r="G167" s="22"/>
      <c r="H167" s="21"/>
      <c r="I167" s="27"/>
      <c r="J167" s="24"/>
    </row>
    <row r="168" customFormat="false" ht="15" hidden="false" customHeight="false" outlineLevel="0" collapsed="false">
      <c r="A168" s="21"/>
      <c r="B168" s="21"/>
      <c r="C168" s="21"/>
      <c r="D168" s="23"/>
      <c r="E168" s="22"/>
      <c r="F168" s="22"/>
      <c r="G168" s="22"/>
      <c r="H168" s="21"/>
      <c r="I168" s="27"/>
      <c r="J168" s="24"/>
    </row>
    <row r="169" customFormat="false" ht="15" hidden="false" customHeight="false" outlineLevel="0" collapsed="false">
      <c r="A169" s="21"/>
      <c r="B169" s="21"/>
      <c r="C169" s="21"/>
      <c r="D169" s="23"/>
      <c r="E169" s="22"/>
      <c r="F169" s="22"/>
      <c r="G169" s="22"/>
      <c r="H169" s="21"/>
      <c r="I169" s="27"/>
      <c r="J169" s="24"/>
    </row>
    <row r="170" customFormat="false" ht="15" hidden="false" customHeight="false" outlineLevel="0" collapsed="false">
      <c r="A170" s="21"/>
      <c r="B170" s="21"/>
      <c r="C170" s="21"/>
      <c r="D170" s="23"/>
      <c r="E170" s="22"/>
      <c r="F170" s="22"/>
      <c r="G170" s="22"/>
      <c r="H170" s="21"/>
      <c r="I170" s="27"/>
      <c r="J170" s="24"/>
    </row>
    <row r="171" customFormat="false" ht="15" hidden="false" customHeight="false" outlineLevel="0" collapsed="false">
      <c r="A171" s="21"/>
      <c r="B171" s="21"/>
      <c r="C171" s="21"/>
      <c r="D171" s="23"/>
      <c r="E171" s="22"/>
      <c r="F171" s="22"/>
      <c r="G171" s="22"/>
      <c r="H171" s="21"/>
      <c r="I171" s="27"/>
      <c r="J171" s="24"/>
    </row>
    <row r="172" customFormat="false" ht="15" hidden="false" customHeight="false" outlineLevel="0" collapsed="false">
      <c r="A172" s="21"/>
      <c r="B172" s="21"/>
      <c r="C172" s="21"/>
      <c r="D172" s="23"/>
      <c r="E172" s="22"/>
      <c r="F172" s="22"/>
      <c r="G172" s="22"/>
      <c r="H172" s="21"/>
      <c r="I172" s="27"/>
      <c r="J172" s="24"/>
    </row>
    <row r="173" customFormat="false" ht="15" hidden="false" customHeight="false" outlineLevel="0" collapsed="false">
      <c r="A173" s="21"/>
      <c r="B173" s="21"/>
      <c r="C173" s="21"/>
      <c r="D173" s="23"/>
      <c r="E173" s="22"/>
      <c r="F173" s="22"/>
      <c r="G173" s="22"/>
      <c r="H173" s="21"/>
      <c r="I173" s="27"/>
      <c r="J173" s="24"/>
    </row>
    <row r="174" customFormat="false" ht="15" hidden="false" customHeight="false" outlineLevel="0" collapsed="false">
      <c r="A174" s="21"/>
      <c r="B174" s="21"/>
      <c r="C174" s="21"/>
      <c r="D174" s="23"/>
      <c r="E174" s="22"/>
      <c r="F174" s="22"/>
      <c r="G174" s="22"/>
      <c r="H174" s="21"/>
      <c r="I174" s="27"/>
      <c r="J174" s="24"/>
    </row>
    <row r="175" customFormat="false" ht="15" hidden="false" customHeight="false" outlineLevel="0" collapsed="false">
      <c r="A175" s="21"/>
      <c r="B175" s="21"/>
      <c r="C175" s="21"/>
      <c r="D175" s="23"/>
      <c r="E175" s="22"/>
      <c r="F175" s="22"/>
      <c r="G175" s="22"/>
      <c r="H175" s="21"/>
      <c r="I175" s="27"/>
      <c r="J175" s="24"/>
    </row>
    <row r="176" customFormat="false" ht="15" hidden="false" customHeight="false" outlineLevel="0" collapsed="false">
      <c r="A176" s="21"/>
      <c r="B176" s="21"/>
      <c r="C176" s="21"/>
      <c r="D176" s="23"/>
      <c r="E176" s="22"/>
      <c r="F176" s="22"/>
      <c r="G176" s="22"/>
      <c r="H176" s="21"/>
      <c r="I176" s="27"/>
      <c r="J176" s="24"/>
    </row>
    <row r="177" customFormat="false" ht="15" hidden="false" customHeight="false" outlineLevel="0" collapsed="false">
      <c r="A177" s="21"/>
      <c r="B177" s="21"/>
      <c r="C177" s="21"/>
      <c r="D177" s="23"/>
      <c r="E177" s="22"/>
      <c r="F177" s="22"/>
      <c r="G177" s="22"/>
      <c r="H177" s="21"/>
      <c r="I177" s="27"/>
      <c r="J177" s="24"/>
    </row>
    <row r="178" customFormat="false" ht="15" hidden="false" customHeight="false" outlineLevel="0" collapsed="false">
      <c r="A178" s="21"/>
      <c r="B178" s="21"/>
      <c r="C178" s="21"/>
      <c r="D178" s="23"/>
      <c r="E178" s="22"/>
      <c r="F178" s="22"/>
      <c r="G178" s="22"/>
      <c r="H178" s="21"/>
      <c r="I178" s="27"/>
      <c r="J178" s="24"/>
    </row>
    <row r="179" customFormat="false" ht="15" hidden="false" customHeight="false" outlineLevel="0" collapsed="false">
      <c r="A179" s="21"/>
      <c r="B179" s="21"/>
      <c r="C179" s="21"/>
      <c r="D179" s="23"/>
      <c r="E179" s="22"/>
      <c r="F179" s="22"/>
      <c r="G179" s="22"/>
      <c r="H179" s="21"/>
      <c r="I179" s="27"/>
      <c r="J179" s="24"/>
    </row>
    <row r="180" customFormat="false" ht="15" hidden="false" customHeight="false" outlineLevel="0" collapsed="false">
      <c r="A180" s="21"/>
      <c r="B180" s="21"/>
      <c r="C180" s="21"/>
      <c r="D180" s="23"/>
      <c r="E180" s="22"/>
      <c r="F180" s="22"/>
      <c r="G180" s="22"/>
      <c r="H180" s="21"/>
      <c r="I180" s="27"/>
      <c r="J180" s="24"/>
    </row>
    <row r="181" customFormat="false" ht="15" hidden="false" customHeight="false" outlineLevel="0" collapsed="false">
      <c r="A181" s="21"/>
      <c r="B181" s="21"/>
      <c r="C181" s="21"/>
      <c r="D181" s="23"/>
      <c r="E181" s="22"/>
      <c r="F181" s="22"/>
      <c r="G181" s="22"/>
      <c r="H181" s="21"/>
      <c r="I181" s="27"/>
      <c r="J181" s="24"/>
    </row>
    <row r="182" customFormat="false" ht="15" hidden="false" customHeight="false" outlineLevel="0" collapsed="false">
      <c r="A182" s="21"/>
      <c r="B182" s="21"/>
      <c r="C182" s="21"/>
      <c r="D182" s="23"/>
      <c r="E182" s="22"/>
      <c r="F182" s="22"/>
      <c r="G182" s="22"/>
      <c r="H182" s="21"/>
      <c r="I182" s="27"/>
      <c r="J182" s="24"/>
    </row>
    <row r="183" customFormat="false" ht="15" hidden="false" customHeight="false" outlineLevel="0" collapsed="false">
      <c r="A183" s="21"/>
      <c r="B183" s="21"/>
      <c r="C183" s="21"/>
      <c r="D183" s="23"/>
      <c r="E183" s="22"/>
      <c r="F183" s="22"/>
      <c r="G183" s="22"/>
      <c r="H183" s="21"/>
      <c r="I183" s="27"/>
      <c r="J183" s="24"/>
    </row>
    <row r="184" customFormat="false" ht="15" hidden="false" customHeight="false" outlineLevel="0" collapsed="false">
      <c r="A184" s="21"/>
      <c r="B184" s="21"/>
      <c r="C184" s="21"/>
      <c r="D184" s="23"/>
      <c r="E184" s="22"/>
      <c r="F184" s="22"/>
      <c r="G184" s="22"/>
      <c r="H184" s="21"/>
      <c r="I184" s="27"/>
      <c r="J184" s="24"/>
    </row>
    <row r="185" customFormat="false" ht="15" hidden="false" customHeight="false" outlineLevel="0" collapsed="false">
      <c r="A185" s="21"/>
      <c r="B185" s="21"/>
      <c r="C185" s="21"/>
      <c r="D185" s="23"/>
      <c r="E185" s="22"/>
      <c r="F185" s="22"/>
      <c r="G185" s="22"/>
      <c r="H185" s="21"/>
      <c r="I185" s="27"/>
      <c r="J185" s="24"/>
    </row>
    <row r="186" customFormat="false" ht="15" hidden="false" customHeight="false" outlineLevel="0" collapsed="false">
      <c r="A186" s="21"/>
      <c r="B186" s="21"/>
      <c r="C186" s="21"/>
      <c r="D186" s="23"/>
      <c r="E186" s="22"/>
      <c r="F186" s="22"/>
      <c r="G186" s="22"/>
      <c r="H186" s="21"/>
      <c r="I186" s="27"/>
      <c r="J186" s="24"/>
    </row>
    <row r="187" customFormat="false" ht="15" hidden="false" customHeight="false" outlineLevel="0" collapsed="false">
      <c r="A187" s="21"/>
      <c r="B187" s="21"/>
      <c r="C187" s="21"/>
      <c r="D187" s="23"/>
      <c r="E187" s="22"/>
      <c r="F187" s="22"/>
      <c r="G187" s="22"/>
      <c r="H187" s="21"/>
      <c r="I187" s="27"/>
      <c r="J187" s="24"/>
    </row>
    <row r="188" customFormat="false" ht="15" hidden="false" customHeight="false" outlineLevel="0" collapsed="false">
      <c r="A188" s="21"/>
      <c r="B188" s="21"/>
      <c r="C188" s="21"/>
      <c r="D188" s="23"/>
      <c r="E188" s="22"/>
      <c r="F188" s="22"/>
      <c r="G188" s="22"/>
      <c r="H188" s="21"/>
      <c r="I188" s="27"/>
      <c r="J188" s="24"/>
    </row>
    <row r="189" customFormat="false" ht="15" hidden="false" customHeight="false" outlineLevel="0" collapsed="false">
      <c r="A189" s="21"/>
      <c r="B189" s="21"/>
      <c r="C189" s="21"/>
      <c r="D189" s="23"/>
      <c r="E189" s="22"/>
      <c r="F189" s="22"/>
      <c r="G189" s="22"/>
      <c r="H189" s="21"/>
      <c r="I189" s="27"/>
      <c r="J189" s="24"/>
    </row>
    <row r="190" customFormat="false" ht="15" hidden="false" customHeight="false" outlineLevel="0" collapsed="false">
      <c r="A190" s="21"/>
      <c r="B190" s="21"/>
      <c r="C190" s="21"/>
      <c r="D190" s="23"/>
      <c r="E190" s="22"/>
      <c r="F190" s="22"/>
      <c r="G190" s="22"/>
      <c r="H190" s="21"/>
      <c r="I190" s="27"/>
      <c r="J190" s="24"/>
    </row>
    <row r="191" customFormat="false" ht="15" hidden="false" customHeight="false" outlineLevel="0" collapsed="false">
      <c r="A191" s="21"/>
      <c r="B191" s="21"/>
      <c r="C191" s="21"/>
      <c r="D191" s="23"/>
      <c r="E191" s="22"/>
      <c r="F191" s="22"/>
      <c r="G191" s="22"/>
      <c r="H191" s="21"/>
      <c r="I191" s="27"/>
      <c r="J191" s="24"/>
    </row>
    <row r="192" customFormat="false" ht="15" hidden="false" customHeight="false" outlineLevel="0" collapsed="false">
      <c r="A192" s="21"/>
      <c r="B192" s="21"/>
      <c r="C192" s="21"/>
      <c r="D192" s="23"/>
      <c r="E192" s="22"/>
      <c r="F192" s="22"/>
      <c r="G192" s="22"/>
      <c r="H192" s="21"/>
      <c r="I192" s="27"/>
      <c r="J192" s="24"/>
    </row>
    <row r="193" customFormat="false" ht="15" hidden="false" customHeight="false" outlineLevel="0" collapsed="false">
      <c r="A193" s="21"/>
      <c r="B193" s="21"/>
      <c r="C193" s="21"/>
      <c r="D193" s="23"/>
      <c r="E193" s="22"/>
      <c r="F193" s="22"/>
      <c r="G193" s="22"/>
      <c r="H193" s="21"/>
      <c r="I193" s="27"/>
      <c r="J193" s="24"/>
    </row>
    <row r="194" customFormat="false" ht="15" hidden="false" customHeight="false" outlineLevel="0" collapsed="false">
      <c r="A194" s="21"/>
      <c r="B194" s="21"/>
      <c r="C194" s="21"/>
      <c r="D194" s="23"/>
      <c r="E194" s="22"/>
      <c r="F194" s="22"/>
      <c r="G194" s="22"/>
      <c r="H194" s="21"/>
      <c r="I194" s="27"/>
      <c r="J194" s="24"/>
    </row>
    <row r="195" customFormat="false" ht="15" hidden="false" customHeight="false" outlineLevel="0" collapsed="false">
      <c r="A195" s="21"/>
      <c r="B195" s="21"/>
      <c r="C195" s="21"/>
      <c r="D195" s="23"/>
      <c r="E195" s="22"/>
      <c r="F195" s="22"/>
      <c r="G195" s="22"/>
      <c r="H195" s="21"/>
      <c r="I195" s="27"/>
      <c r="J195" s="24"/>
    </row>
    <row r="196" customFormat="false" ht="15" hidden="false" customHeight="false" outlineLevel="0" collapsed="false">
      <c r="A196" s="21"/>
      <c r="B196" s="21"/>
      <c r="C196" s="21"/>
      <c r="D196" s="23"/>
      <c r="E196" s="22"/>
      <c r="F196" s="22"/>
      <c r="G196" s="22"/>
      <c r="H196" s="21"/>
      <c r="I196" s="27"/>
      <c r="J196" s="24"/>
    </row>
    <row r="197" customFormat="false" ht="15" hidden="false" customHeight="false" outlineLevel="0" collapsed="false">
      <c r="A197" s="21"/>
      <c r="B197" s="21"/>
      <c r="C197" s="21"/>
      <c r="D197" s="23"/>
      <c r="E197" s="22"/>
      <c r="F197" s="22"/>
      <c r="G197" s="22"/>
      <c r="H197" s="21"/>
      <c r="I197" s="27"/>
      <c r="J197" s="24"/>
    </row>
    <row r="198" customFormat="false" ht="15" hidden="false" customHeight="false" outlineLevel="0" collapsed="false">
      <c r="A198" s="21"/>
      <c r="B198" s="21"/>
      <c r="C198" s="21"/>
      <c r="D198" s="23"/>
      <c r="E198" s="22"/>
      <c r="F198" s="22"/>
      <c r="G198" s="22"/>
      <c r="H198" s="21"/>
      <c r="I198" s="27"/>
      <c r="J198" s="24"/>
    </row>
    <row r="199" customFormat="false" ht="15" hidden="false" customHeight="false" outlineLevel="0" collapsed="false">
      <c r="A199" s="21"/>
      <c r="B199" s="21"/>
      <c r="C199" s="21"/>
      <c r="D199" s="23"/>
      <c r="E199" s="22"/>
      <c r="F199" s="22"/>
      <c r="G199" s="22"/>
      <c r="H199" s="21"/>
      <c r="I199" s="27"/>
      <c r="J199" s="24"/>
    </row>
    <row r="200" customFormat="false" ht="15" hidden="false" customHeight="false" outlineLevel="0" collapsed="false">
      <c r="A200" s="21"/>
      <c r="B200" s="21"/>
      <c r="C200" s="21"/>
      <c r="D200" s="23"/>
      <c r="E200" s="22"/>
      <c r="F200" s="22"/>
      <c r="G200" s="22"/>
      <c r="H200" s="21"/>
      <c r="I200" s="27"/>
      <c r="J200" s="24"/>
    </row>
    <row r="201" customFormat="false" ht="15" hidden="false" customHeight="false" outlineLevel="0" collapsed="false">
      <c r="A201" s="21"/>
      <c r="B201" s="21"/>
      <c r="C201" s="21"/>
      <c r="D201" s="23"/>
      <c r="E201" s="22"/>
      <c r="F201" s="22"/>
      <c r="G201" s="22"/>
      <c r="H201" s="21"/>
      <c r="I201" s="27"/>
      <c r="J201" s="24"/>
    </row>
  </sheetData>
  <autoFilter ref="A1:J1"/>
  <dataValidations count="1">
    <dataValidation allowBlank="true" error="Elija un valor de la lista." errorStyle="stop" errorTitle="Valor no válido" operator="between" showDropDown="false" showErrorMessage="true" showInputMessage="false" sqref="C2:C1000" type="list">
      <formula1>'02_PRODUCTOS'!$A$2:$A$51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K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1" min="10" style="0" width="14"/>
  </cols>
  <sheetData>
    <row r="1" customFormat="false" ht="31.5" hidden="false" customHeight="true" outlineLevel="0" collapsed="false">
      <c r="A1" s="1" t="s">
        <v>296</v>
      </c>
      <c r="B1" s="1" t="s">
        <v>39</v>
      </c>
      <c r="C1" s="1" t="s">
        <v>148</v>
      </c>
      <c r="D1" s="1" t="s">
        <v>119</v>
      </c>
      <c r="E1" s="1" t="s">
        <v>204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302</v>
      </c>
      <c r="K1" s="1" t="s">
        <v>304</v>
      </c>
    </row>
    <row r="2" customFormat="false" ht="15" hidden="false" customHeight="false" outlineLevel="0" collapsed="false">
      <c r="A2" s="21"/>
      <c r="B2" s="21"/>
      <c r="C2" s="22"/>
      <c r="D2" s="21"/>
      <c r="E2" s="23"/>
      <c r="F2" s="22"/>
      <c r="G2" s="27"/>
      <c r="H2" s="27"/>
      <c r="I2" s="22"/>
      <c r="J2" s="21"/>
      <c r="K2" s="21"/>
    </row>
    <row r="3" customFormat="false" ht="15" hidden="false" customHeight="false" outlineLevel="0" collapsed="false">
      <c r="A3" s="21"/>
      <c r="B3" s="21"/>
      <c r="C3" s="22"/>
      <c r="D3" s="21"/>
      <c r="E3" s="23"/>
      <c r="F3" s="22"/>
      <c r="G3" s="27"/>
      <c r="H3" s="27"/>
      <c r="I3" s="22"/>
      <c r="J3" s="21"/>
      <c r="K3" s="21"/>
    </row>
    <row r="4" customFormat="false" ht="15" hidden="false" customHeight="false" outlineLevel="0" collapsed="false">
      <c r="A4" s="21"/>
      <c r="B4" s="21"/>
      <c r="C4" s="22"/>
      <c r="D4" s="21"/>
      <c r="E4" s="23"/>
      <c r="F4" s="22"/>
      <c r="G4" s="27"/>
      <c r="H4" s="27"/>
      <c r="I4" s="22"/>
      <c r="J4" s="21"/>
      <c r="K4" s="21"/>
    </row>
    <row r="5" customFormat="false" ht="15" hidden="false" customHeight="false" outlineLevel="0" collapsed="false">
      <c r="A5" s="21"/>
      <c r="B5" s="21"/>
      <c r="C5" s="22"/>
      <c r="D5" s="21"/>
      <c r="E5" s="23"/>
      <c r="F5" s="22"/>
      <c r="G5" s="27"/>
      <c r="H5" s="27"/>
      <c r="I5" s="22"/>
      <c r="J5" s="21"/>
      <c r="K5" s="21"/>
    </row>
    <row r="6" customFormat="false" ht="15" hidden="false" customHeight="false" outlineLevel="0" collapsed="false">
      <c r="A6" s="21"/>
      <c r="B6" s="21"/>
      <c r="C6" s="22"/>
      <c r="D6" s="21"/>
      <c r="E6" s="23"/>
      <c r="F6" s="22"/>
      <c r="G6" s="27"/>
      <c r="H6" s="27"/>
      <c r="I6" s="22"/>
      <c r="J6" s="21"/>
      <c r="K6" s="21"/>
    </row>
    <row r="7" customFormat="false" ht="15" hidden="false" customHeight="false" outlineLevel="0" collapsed="false">
      <c r="A7" s="21"/>
      <c r="B7" s="21"/>
      <c r="C7" s="22"/>
      <c r="D7" s="21"/>
      <c r="E7" s="23"/>
      <c r="F7" s="22"/>
      <c r="G7" s="27"/>
      <c r="H7" s="27"/>
      <c r="I7" s="22"/>
      <c r="J7" s="21"/>
      <c r="K7" s="21"/>
    </row>
    <row r="8" customFormat="false" ht="15" hidden="false" customHeight="false" outlineLevel="0" collapsed="false">
      <c r="A8" s="21"/>
      <c r="B8" s="21"/>
      <c r="C8" s="22"/>
      <c r="D8" s="21"/>
      <c r="E8" s="23"/>
      <c r="F8" s="22"/>
      <c r="G8" s="27"/>
      <c r="H8" s="27"/>
      <c r="I8" s="22"/>
      <c r="J8" s="21"/>
      <c r="K8" s="21"/>
    </row>
    <row r="9" customFormat="false" ht="15" hidden="false" customHeight="false" outlineLevel="0" collapsed="false">
      <c r="A9" s="21"/>
      <c r="B9" s="21"/>
      <c r="C9" s="22"/>
      <c r="D9" s="21"/>
      <c r="E9" s="23"/>
      <c r="F9" s="22"/>
      <c r="G9" s="27"/>
      <c r="H9" s="27"/>
      <c r="I9" s="22"/>
      <c r="J9" s="21"/>
      <c r="K9" s="21"/>
    </row>
    <row r="10" customFormat="false" ht="15" hidden="false" customHeight="false" outlineLevel="0" collapsed="false">
      <c r="A10" s="21"/>
      <c r="B10" s="21"/>
      <c r="C10" s="22"/>
      <c r="D10" s="21"/>
      <c r="E10" s="23"/>
      <c r="F10" s="22"/>
      <c r="G10" s="27"/>
      <c r="H10" s="27"/>
      <c r="I10" s="22"/>
      <c r="J10" s="21"/>
      <c r="K10" s="21"/>
    </row>
    <row r="11" customFormat="false" ht="15" hidden="false" customHeight="false" outlineLevel="0" collapsed="false">
      <c r="A11" s="21"/>
      <c r="B11" s="21"/>
      <c r="C11" s="22"/>
      <c r="D11" s="21"/>
      <c r="E11" s="23"/>
      <c r="F11" s="22"/>
      <c r="G11" s="27"/>
      <c r="H11" s="27"/>
      <c r="I11" s="22"/>
      <c r="J11" s="21"/>
      <c r="K11" s="21"/>
    </row>
    <row r="12" customFormat="false" ht="15" hidden="false" customHeight="false" outlineLevel="0" collapsed="false">
      <c r="A12" s="21"/>
      <c r="B12" s="21"/>
      <c r="C12" s="22"/>
      <c r="D12" s="21"/>
      <c r="E12" s="23"/>
      <c r="F12" s="22"/>
      <c r="G12" s="27"/>
      <c r="H12" s="27"/>
      <c r="I12" s="22"/>
      <c r="J12" s="21"/>
      <c r="K12" s="21"/>
    </row>
    <row r="13" customFormat="false" ht="15" hidden="false" customHeight="false" outlineLevel="0" collapsed="false">
      <c r="A13" s="21"/>
      <c r="B13" s="21"/>
      <c r="C13" s="22"/>
      <c r="D13" s="21"/>
      <c r="E13" s="23"/>
      <c r="F13" s="22"/>
      <c r="G13" s="27"/>
      <c r="H13" s="27"/>
      <c r="I13" s="22"/>
      <c r="J13" s="21"/>
      <c r="K13" s="21"/>
    </row>
    <row r="14" customFormat="false" ht="15" hidden="false" customHeight="false" outlineLevel="0" collapsed="false">
      <c r="A14" s="21"/>
      <c r="B14" s="21"/>
      <c r="C14" s="22"/>
      <c r="D14" s="21"/>
      <c r="E14" s="23"/>
      <c r="F14" s="22"/>
      <c r="G14" s="27"/>
      <c r="H14" s="27"/>
      <c r="I14" s="22"/>
      <c r="J14" s="21"/>
      <c r="K14" s="21"/>
    </row>
    <row r="15" customFormat="false" ht="15" hidden="false" customHeight="false" outlineLevel="0" collapsed="false">
      <c r="A15" s="21"/>
      <c r="B15" s="21"/>
      <c r="C15" s="22"/>
      <c r="D15" s="21"/>
      <c r="E15" s="23"/>
      <c r="F15" s="22"/>
      <c r="G15" s="27"/>
      <c r="H15" s="27"/>
      <c r="I15" s="22"/>
      <c r="J15" s="21"/>
      <c r="K15" s="21"/>
    </row>
    <row r="16" customFormat="false" ht="15" hidden="false" customHeight="false" outlineLevel="0" collapsed="false">
      <c r="A16" s="21"/>
      <c r="B16" s="21"/>
      <c r="C16" s="22"/>
      <c r="D16" s="21"/>
      <c r="E16" s="23"/>
      <c r="F16" s="22"/>
      <c r="G16" s="27"/>
      <c r="H16" s="27"/>
      <c r="I16" s="22"/>
      <c r="J16" s="21"/>
      <c r="K16" s="21"/>
    </row>
    <row r="17" customFormat="false" ht="15" hidden="false" customHeight="false" outlineLevel="0" collapsed="false">
      <c r="A17" s="21"/>
      <c r="B17" s="21"/>
      <c r="C17" s="22"/>
      <c r="D17" s="21"/>
      <c r="E17" s="23"/>
      <c r="F17" s="22"/>
      <c r="G17" s="27"/>
      <c r="H17" s="27"/>
      <c r="I17" s="22"/>
      <c r="J17" s="21"/>
      <c r="K17" s="21"/>
    </row>
    <row r="18" customFormat="false" ht="15" hidden="false" customHeight="false" outlineLevel="0" collapsed="false">
      <c r="A18" s="21"/>
      <c r="B18" s="21"/>
      <c r="C18" s="22"/>
      <c r="D18" s="21"/>
      <c r="E18" s="23"/>
      <c r="F18" s="22"/>
      <c r="G18" s="27"/>
      <c r="H18" s="27"/>
      <c r="I18" s="22"/>
      <c r="J18" s="21"/>
      <c r="K18" s="21"/>
    </row>
    <row r="19" customFormat="false" ht="15" hidden="false" customHeight="false" outlineLevel="0" collapsed="false">
      <c r="A19" s="21"/>
      <c r="B19" s="21"/>
      <c r="C19" s="22"/>
      <c r="D19" s="21"/>
      <c r="E19" s="23"/>
      <c r="F19" s="22"/>
      <c r="G19" s="27"/>
      <c r="H19" s="27"/>
      <c r="I19" s="22"/>
      <c r="J19" s="21"/>
      <c r="K19" s="21"/>
    </row>
    <row r="20" customFormat="false" ht="15" hidden="false" customHeight="false" outlineLevel="0" collapsed="false">
      <c r="A20" s="21"/>
      <c r="B20" s="21"/>
      <c r="C20" s="22"/>
      <c r="D20" s="21"/>
      <c r="E20" s="23"/>
      <c r="F20" s="22"/>
      <c r="G20" s="27"/>
      <c r="H20" s="27"/>
      <c r="I20" s="22"/>
      <c r="J20" s="21"/>
      <c r="K20" s="21"/>
    </row>
    <row r="21" customFormat="false" ht="15" hidden="false" customHeight="false" outlineLevel="0" collapsed="false">
      <c r="A21" s="21"/>
      <c r="B21" s="21"/>
      <c r="C21" s="22"/>
      <c r="D21" s="21"/>
      <c r="E21" s="23"/>
      <c r="F21" s="22"/>
      <c r="G21" s="27"/>
      <c r="H21" s="27"/>
      <c r="I21" s="22"/>
      <c r="J21" s="21"/>
      <c r="K21" s="21"/>
    </row>
    <row r="22" customFormat="false" ht="15" hidden="false" customHeight="false" outlineLevel="0" collapsed="false">
      <c r="A22" s="21"/>
      <c r="B22" s="21"/>
      <c r="C22" s="22"/>
      <c r="D22" s="21"/>
      <c r="E22" s="23"/>
      <c r="F22" s="22"/>
      <c r="G22" s="27"/>
      <c r="H22" s="27"/>
      <c r="I22" s="22"/>
      <c r="J22" s="21"/>
      <c r="K22" s="21"/>
    </row>
    <row r="23" customFormat="false" ht="15" hidden="false" customHeight="false" outlineLevel="0" collapsed="false">
      <c r="A23" s="21"/>
      <c r="B23" s="21"/>
      <c r="C23" s="22"/>
      <c r="D23" s="21"/>
      <c r="E23" s="23"/>
      <c r="F23" s="22"/>
      <c r="G23" s="27"/>
      <c r="H23" s="27"/>
      <c r="I23" s="22"/>
      <c r="J23" s="21"/>
      <c r="K23" s="21"/>
    </row>
    <row r="24" customFormat="false" ht="15" hidden="false" customHeight="false" outlineLevel="0" collapsed="false">
      <c r="A24" s="21"/>
      <c r="B24" s="21"/>
      <c r="C24" s="22"/>
      <c r="D24" s="21"/>
      <c r="E24" s="23"/>
      <c r="F24" s="22"/>
      <c r="G24" s="27"/>
      <c r="H24" s="27"/>
      <c r="I24" s="22"/>
      <c r="J24" s="21"/>
      <c r="K24" s="21"/>
    </row>
    <row r="25" customFormat="false" ht="15" hidden="false" customHeight="false" outlineLevel="0" collapsed="false">
      <c r="A25" s="21"/>
      <c r="B25" s="21"/>
      <c r="C25" s="22"/>
      <c r="D25" s="21"/>
      <c r="E25" s="23"/>
      <c r="F25" s="22"/>
      <c r="G25" s="27"/>
      <c r="H25" s="27"/>
      <c r="I25" s="22"/>
      <c r="J25" s="21"/>
      <c r="K25" s="21"/>
    </row>
    <row r="26" customFormat="false" ht="15" hidden="false" customHeight="false" outlineLevel="0" collapsed="false">
      <c r="A26" s="21"/>
      <c r="B26" s="21"/>
      <c r="C26" s="22"/>
      <c r="D26" s="21"/>
      <c r="E26" s="23"/>
      <c r="F26" s="22"/>
      <c r="G26" s="27"/>
      <c r="H26" s="27"/>
      <c r="I26" s="22"/>
      <c r="J26" s="21"/>
      <c r="K26" s="21"/>
    </row>
    <row r="27" customFormat="false" ht="15" hidden="false" customHeight="false" outlineLevel="0" collapsed="false">
      <c r="A27" s="21"/>
      <c r="B27" s="21"/>
      <c r="C27" s="22"/>
      <c r="D27" s="21"/>
      <c r="E27" s="23"/>
      <c r="F27" s="22"/>
      <c r="G27" s="27"/>
      <c r="H27" s="27"/>
      <c r="I27" s="22"/>
      <c r="J27" s="21"/>
      <c r="K27" s="21"/>
    </row>
    <row r="28" customFormat="false" ht="15" hidden="false" customHeight="false" outlineLevel="0" collapsed="false">
      <c r="A28" s="21"/>
      <c r="B28" s="21"/>
      <c r="C28" s="22"/>
      <c r="D28" s="21"/>
      <c r="E28" s="23"/>
      <c r="F28" s="22"/>
      <c r="G28" s="27"/>
      <c r="H28" s="27"/>
      <c r="I28" s="22"/>
      <c r="J28" s="21"/>
      <c r="K28" s="21"/>
    </row>
    <row r="29" customFormat="false" ht="15" hidden="false" customHeight="false" outlineLevel="0" collapsed="false">
      <c r="A29" s="21"/>
      <c r="B29" s="21"/>
      <c r="C29" s="22"/>
      <c r="D29" s="21"/>
      <c r="E29" s="23"/>
      <c r="F29" s="22"/>
      <c r="G29" s="27"/>
      <c r="H29" s="27"/>
      <c r="I29" s="22"/>
      <c r="J29" s="21"/>
      <c r="K29" s="21"/>
    </row>
    <row r="30" customFormat="false" ht="15" hidden="false" customHeight="false" outlineLevel="0" collapsed="false">
      <c r="A30" s="21"/>
      <c r="B30" s="21"/>
      <c r="C30" s="22"/>
      <c r="D30" s="21"/>
      <c r="E30" s="23"/>
      <c r="F30" s="22"/>
      <c r="G30" s="27"/>
      <c r="H30" s="27"/>
      <c r="I30" s="22"/>
      <c r="J30" s="21"/>
      <c r="K30" s="21"/>
    </row>
    <row r="31" customFormat="false" ht="15" hidden="false" customHeight="false" outlineLevel="0" collapsed="false">
      <c r="A31" s="21"/>
      <c r="B31" s="21"/>
      <c r="C31" s="22"/>
      <c r="D31" s="21"/>
      <c r="E31" s="23"/>
      <c r="F31" s="22"/>
      <c r="G31" s="27"/>
      <c r="H31" s="27"/>
      <c r="I31" s="22"/>
      <c r="J31" s="21"/>
      <c r="K31" s="21"/>
    </row>
    <row r="32" customFormat="false" ht="15" hidden="false" customHeight="false" outlineLevel="0" collapsed="false">
      <c r="A32" s="21"/>
      <c r="B32" s="21"/>
      <c r="C32" s="22"/>
      <c r="D32" s="21"/>
      <c r="E32" s="23"/>
      <c r="F32" s="22"/>
      <c r="G32" s="27"/>
      <c r="H32" s="27"/>
      <c r="I32" s="22"/>
      <c r="J32" s="21"/>
      <c r="K32" s="21"/>
    </row>
    <row r="33" customFormat="false" ht="15" hidden="false" customHeight="false" outlineLevel="0" collapsed="false">
      <c r="A33" s="21"/>
      <c r="B33" s="21"/>
      <c r="C33" s="22"/>
      <c r="D33" s="21"/>
      <c r="E33" s="23"/>
      <c r="F33" s="22"/>
      <c r="G33" s="27"/>
      <c r="H33" s="27"/>
      <c r="I33" s="22"/>
      <c r="J33" s="21"/>
      <c r="K33" s="21"/>
    </row>
    <row r="34" customFormat="false" ht="15" hidden="false" customHeight="false" outlineLevel="0" collapsed="false">
      <c r="A34" s="21"/>
      <c r="B34" s="21"/>
      <c r="C34" s="22"/>
      <c r="D34" s="21"/>
      <c r="E34" s="23"/>
      <c r="F34" s="22"/>
      <c r="G34" s="27"/>
      <c r="H34" s="27"/>
      <c r="I34" s="22"/>
      <c r="J34" s="21"/>
      <c r="K34" s="21"/>
    </row>
    <row r="35" customFormat="false" ht="15" hidden="false" customHeight="false" outlineLevel="0" collapsed="false">
      <c r="A35" s="21"/>
      <c r="B35" s="21"/>
      <c r="C35" s="22"/>
      <c r="D35" s="21"/>
      <c r="E35" s="23"/>
      <c r="F35" s="22"/>
      <c r="G35" s="27"/>
      <c r="H35" s="27"/>
      <c r="I35" s="22"/>
      <c r="J35" s="21"/>
      <c r="K35" s="21"/>
    </row>
    <row r="36" customFormat="false" ht="15" hidden="false" customHeight="false" outlineLevel="0" collapsed="false">
      <c r="A36" s="21"/>
      <c r="B36" s="21"/>
      <c r="C36" s="22"/>
      <c r="D36" s="21"/>
      <c r="E36" s="23"/>
      <c r="F36" s="22"/>
      <c r="G36" s="27"/>
      <c r="H36" s="27"/>
      <c r="I36" s="22"/>
      <c r="J36" s="21"/>
      <c r="K36" s="21"/>
    </row>
    <row r="37" customFormat="false" ht="15" hidden="false" customHeight="false" outlineLevel="0" collapsed="false">
      <c r="A37" s="21"/>
      <c r="B37" s="21"/>
      <c r="C37" s="22"/>
      <c r="D37" s="21"/>
      <c r="E37" s="23"/>
      <c r="F37" s="22"/>
      <c r="G37" s="27"/>
      <c r="H37" s="27"/>
      <c r="I37" s="22"/>
      <c r="J37" s="21"/>
      <c r="K37" s="21"/>
    </row>
    <row r="38" customFormat="false" ht="15" hidden="false" customHeight="false" outlineLevel="0" collapsed="false">
      <c r="A38" s="21"/>
      <c r="B38" s="21"/>
      <c r="C38" s="22"/>
      <c r="D38" s="21"/>
      <c r="E38" s="23"/>
      <c r="F38" s="22"/>
      <c r="G38" s="27"/>
      <c r="H38" s="27"/>
      <c r="I38" s="22"/>
      <c r="J38" s="21"/>
      <c r="K38" s="21"/>
    </row>
    <row r="39" customFormat="false" ht="15" hidden="false" customHeight="false" outlineLevel="0" collapsed="false">
      <c r="A39" s="21"/>
      <c r="B39" s="21"/>
      <c r="C39" s="22"/>
      <c r="D39" s="21"/>
      <c r="E39" s="23"/>
      <c r="F39" s="22"/>
      <c r="G39" s="27"/>
      <c r="H39" s="27"/>
      <c r="I39" s="22"/>
      <c r="J39" s="21"/>
      <c r="K39" s="21"/>
    </row>
    <row r="40" customFormat="false" ht="15" hidden="false" customHeight="false" outlineLevel="0" collapsed="false">
      <c r="A40" s="21"/>
      <c r="B40" s="21"/>
      <c r="C40" s="22"/>
      <c r="D40" s="21"/>
      <c r="E40" s="23"/>
      <c r="F40" s="22"/>
      <c r="G40" s="27"/>
      <c r="H40" s="27"/>
      <c r="I40" s="22"/>
      <c r="J40" s="21"/>
      <c r="K40" s="21"/>
    </row>
    <row r="41" customFormat="false" ht="15" hidden="false" customHeight="false" outlineLevel="0" collapsed="false">
      <c r="A41" s="21"/>
      <c r="B41" s="21"/>
      <c r="C41" s="22"/>
      <c r="D41" s="21"/>
      <c r="E41" s="23"/>
      <c r="F41" s="22"/>
      <c r="G41" s="27"/>
      <c r="H41" s="27"/>
      <c r="I41" s="22"/>
      <c r="J41" s="21"/>
      <c r="K41" s="21"/>
    </row>
    <row r="42" customFormat="false" ht="15" hidden="false" customHeight="false" outlineLevel="0" collapsed="false">
      <c r="A42" s="21"/>
      <c r="B42" s="21"/>
      <c r="C42" s="22"/>
      <c r="D42" s="21"/>
      <c r="E42" s="23"/>
      <c r="F42" s="22"/>
      <c r="G42" s="27"/>
      <c r="H42" s="27"/>
      <c r="I42" s="22"/>
      <c r="J42" s="21"/>
      <c r="K42" s="21"/>
    </row>
    <row r="43" customFormat="false" ht="15" hidden="false" customHeight="false" outlineLevel="0" collapsed="false">
      <c r="A43" s="21"/>
      <c r="B43" s="21"/>
      <c r="C43" s="22"/>
      <c r="D43" s="21"/>
      <c r="E43" s="23"/>
      <c r="F43" s="22"/>
      <c r="G43" s="27"/>
      <c r="H43" s="27"/>
      <c r="I43" s="22"/>
      <c r="J43" s="21"/>
      <c r="K43" s="21"/>
    </row>
    <row r="44" customFormat="false" ht="15" hidden="false" customHeight="false" outlineLevel="0" collapsed="false">
      <c r="A44" s="21"/>
      <c r="B44" s="21"/>
      <c r="C44" s="22"/>
      <c r="D44" s="21"/>
      <c r="E44" s="23"/>
      <c r="F44" s="22"/>
      <c r="G44" s="27"/>
      <c r="H44" s="27"/>
      <c r="I44" s="22"/>
      <c r="J44" s="21"/>
      <c r="K44" s="21"/>
    </row>
    <row r="45" customFormat="false" ht="15" hidden="false" customHeight="false" outlineLevel="0" collapsed="false">
      <c r="A45" s="21"/>
      <c r="B45" s="21"/>
      <c r="C45" s="22"/>
      <c r="D45" s="21"/>
      <c r="E45" s="23"/>
      <c r="F45" s="22"/>
      <c r="G45" s="27"/>
      <c r="H45" s="27"/>
      <c r="I45" s="22"/>
      <c r="J45" s="21"/>
      <c r="K45" s="21"/>
    </row>
    <row r="46" customFormat="false" ht="15" hidden="false" customHeight="false" outlineLevel="0" collapsed="false">
      <c r="A46" s="21"/>
      <c r="B46" s="21"/>
      <c r="C46" s="22"/>
      <c r="D46" s="21"/>
      <c r="E46" s="23"/>
      <c r="F46" s="22"/>
      <c r="G46" s="27"/>
      <c r="H46" s="27"/>
      <c r="I46" s="22"/>
      <c r="J46" s="21"/>
      <c r="K46" s="21"/>
    </row>
    <row r="47" customFormat="false" ht="15" hidden="false" customHeight="false" outlineLevel="0" collapsed="false">
      <c r="A47" s="21"/>
      <c r="B47" s="21"/>
      <c r="C47" s="22"/>
      <c r="D47" s="21"/>
      <c r="E47" s="23"/>
      <c r="F47" s="22"/>
      <c r="G47" s="27"/>
      <c r="H47" s="27"/>
      <c r="I47" s="22"/>
      <c r="J47" s="21"/>
      <c r="K47" s="21"/>
    </row>
    <row r="48" customFormat="false" ht="15" hidden="false" customHeight="false" outlineLevel="0" collapsed="false">
      <c r="A48" s="21"/>
      <c r="B48" s="21"/>
      <c r="C48" s="22"/>
      <c r="D48" s="21"/>
      <c r="E48" s="23"/>
      <c r="F48" s="22"/>
      <c r="G48" s="27"/>
      <c r="H48" s="27"/>
      <c r="I48" s="22"/>
      <c r="J48" s="21"/>
      <c r="K48" s="21"/>
    </row>
    <row r="49" customFormat="false" ht="15" hidden="false" customHeight="false" outlineLevel="0" collapsed="false">
      <c r="A49" s="21"/>
      <c r="B49" s="21"/>
      <c r="C49" s="22"/>
      <c r="D49" s="21"/>
      <c r="E49" s="23"/>
      <c r="F49" s="22"/>
      <c r="G49" s="27"/>
      <c r="H49" s="27"/>
      <c r="I49" s="22"/>
      <c r="J49" s="21"/>
      <c r="K49" s="21"/>
    </row>
    <row r="50" customFormat="false" ht="15" hidden="false" customHeight="false" outlineLevel="0" collapsed="false">
      <c r="A50" s="21"/>
      <c r="B50" s="21"/>
      <c r="C50" s="22"/>
      <c r="D50" s="21"/>
      <c r="E50" s="23"/>
      <c r="F50" s="22"/>
      <c r="G50" s="27"/>
      <c r="H50" s="27"/>
      <c r="I50" s="22"/>
      <c r="J50" s="21"/>
      <c r="K50" s="21"/>
    </row>
    <row r="51" customFormat="false" ht="15" hidden="false" customHeight="false" outlineLevel="0" collapsed="false">
      <c r="A51" s="21"/>
      <c r="B51" s="21"/>
      <c r="C51" s="22"/>
      <c r="D51" s="21"/>
      <c r="E51" s="23"/>
      <c r="F51" s="22"/>
      <c r="G51" s="27"/>
      <c r="H51" s="27"/>
      <c r="I51" s="22"/>
      <c r="J51" s="21"/>
      <c r="K51" s="21"/>
    </row>
    <row r="52" customFormat="false" ht="15" hidden="false" customHeight="false" outlineLevel="0" collapsed="false">
      <c r="A52" s="21"/>
      <c r="B52" s="21"/>
      <c r="C52" s="22"/>
      <c r="D52" s="21"/>
      <c r="E52" s="23"/>
      <c r="F52" s="22"/>
      <c r="G52" s="27"/>
      <c r="H52" s="27"/>
      <c r="I52" s="22"/>
      <c r="J52" s="21"/>
      <c r="K52" s="21"/>
    </row>
    <row r="53" customFormat="false" ht="15" hidden="false" customHeight="false" outlineLevel="0" collapsed="false">
      <c r="A53" s="21"/>
      <c r="B53" s="21"/>
      <c r="C53" s="22"/>
      <c r="D53" s="21"/>
      <c r="E53" s="23"/>
      <c r="F53" s="22"/>
      <c r="G53" s="27"/>
      <c r="H53" s="27"/>
      <c r="I53" s="22"/>
      <c r="J53" s="21"/>
      <c r="K53" s="21"/>
    </row>
    <row r="54" customFormat="false" ht="15" hidden="false" customHeight="false" outlineLevel="0" collapsed="false">
      <c r="A54" s="21"/>
      <c r="B54" s="21"/>
      <c r="C54" s="22"/>
      <c r="D54" s="21"/>
      <c r="E54" s="23"/>
      <c r="F54" s="22"/>
      <c r="G54" s="27"/>
      <c r="H54" s="27"/>
      <c r="I54" s="22"/>
      <c r="J54" s="21"/>
      <c r="K54" s="21"/>
    </row>
    <row r="55" customFormat="false" ht="15" hidden="false" customHeight="false" outlineLevel="0" collapsed="false">
      <c r="A55" s="21"/>
      <c r="B55" s="21"/>
      <c r="C55" s="22"/>
      <c r="D55" s="21"/>
      <c r="E55" s="23"/>
      <c r="F55" s="22"/>
      <c r="G55" s="27"/>
      <c r="H55" s="27"/>
      <c r="I55" s="22"/>
      <c r="J55" s="21"/>
      <c r="K55" s="21"/>
    </row>
    <row r="56" customFormat="false" ht="15" hidden="false" customHeight="false" outlineLevel="0" collapsed="false">
      <c r="A56" s="21"/>
      <c r="B56" s="21"/>
      <c r="C56" s="22"/>
      <c r="D56" s="21"/>
      <c r="E56" s="23"/>
      <c r="F56" s="22"/>
      <c r="G56" s="27"/>
      <c r="H56" s="27"/>
      <c r="I56" s="22"/>
      <c r="J56" s="21"/>
      <c r="K56" s="21"/>
    </row>
    <row r="57" customFormat="false" ht="15" hidden="false" customHeight="false" outlineLevel="0" collapsed="false">
      <c r="A57" s="21"/>
      <c r="B57" s="21"/>
      <c r="C57" s="22"/>
      <c r="D57" s="21"/>
      <c r="E57" s="23"/>
      <c r="F57" s="22"/>
      <c r="G57" s="27"/>
      <c r="H57" s="27"/>
      <c r="I57" s="22"/>
      <c r="J57" s="21"/>
      <c r="K57" s="21"/>
    </row>
    <row r="58" customFormat="false" ht="15" hidden="false" customHeight="false" outlineLevel="0" collapsed="false">
      <c r="A58" s="21"/>
      <c r="B58" s="21"/>
      <c r="C58" s="22"/>
      <c r="D58" s="21"/>
      <c r="E58" s="23"/>
      <c r="F58" s="22"/>
      <c r="G58" s="27"/>
      <c r="H58" s="27"/>
      <c r="I58" s="22"/>
      <c r="J58" s="21"/>
      <c r="K58" s="21"/>
    </row>
    <row r="59" customFormat="false" ht="15" hidden="false" customHeight="false" outlineLevel="0" collapsed="false">
      <c r="A59" s="21"/>
      <c r="B59" s="21"/>
      <c r="C59" s="22"/>
      <c r="D59" s="21"/>
      <c r="E59" s="23"/>
      <c r="F59" s="22"/>
      <c r="G59" s="27"/>
      <c r="H59" s="27"/>
      <c r="I59" s="22"/>
      <c r="J59" s="21"/>
      <c r="K59" s="21"/>
    </row>
    <row r="60" customFormat="false" ht="15" hidden="false" customHeight="false" outlineLevel="0" collapsed="false">
      <c r="A60" s="21"/>
      <c r="B60" s="21"/>
      <c r="C60" s="22"/>
      <c r="D60" s="21"/>
      <c r="E60" s="23"/>
      <c r="F60" s="22"/>
      <c r="G60" s="27"/>
      <c r="H60" s="27"/>
      <c r="I60" s="22"/>
      <c r="J60" s="21"/>
      <c r="K60" s="21"/>
    </row>
    <row r="61" customFormat="false" ht="15" hidden="false" customHeight="false" outlineLevel="0" collapsed="false">
      <c r="A61" s="21"/>
      <c r="B61" s="21"/>
      <c r="C61" s="22"/>
      <c r="D61" s="21"/>
      <c r="E61" s="23"/>
      <c r="F61" s="22"/>
      <c r="G61" s="27"/>
      <c r="H61" s="27"/>
      <c r="I61" s="22"/>
      <c r="J61" s="21"/>
      <c r="K61" s="21"/>
    </row>
    <row r="62" customFormat="false" ht="15" hidden="false" customHeight="false" outlineLevel="0" collapsed="false">
      <c r="A62" s="21"/>
      <c r="B62" s="21"/>
      <c r="C62" s="22"/>
      <c r="D62" s="21"/>
      <c r="E62" s="23"/>
      <c r="F62" s="22"/>
      <c r="G62" s="27"/>
      <c r="H62" s="27"/>
      <c r="I62" s="22"/>
      <c r="J62" s="21"/>
      <c r="K62" s="21"/>
    </row>
    <row r="63" customFormat="false" ht="15" hidden="false" customHeight="false" outlineLevel="0" collapsed="false">
      <c r="A63" s="21"/>
      <c r="B63" s="21"/>
      <c r="C63" s="22"/>
      <c r="D63" s="21"/>
      <c r="E63" s="23"/>
      <c r="F63" s="22"/>
      <c r="G63" s="27"/>
      <c r="H63" s="27"/>
      <c r="I63" s="22"/>
      <c r="J63" s="21"/>
      <c r="K63" s="21"/>
    </row>
    <row r="64" customFormat="false" ht="15" hidden="false" customHeight="false" outlineLevel="0" collapsed="false">
      <c r="A64" s="21"/>
      <c r="B64" s="21"/>
      <c r="C64" s="22"/>
      <c r="D64" s="21"/>
      <c r="E64" s="23"/>
      <c r="F64" s="22"/>
      <c r="G64" s="27"/>
      <c r="H64" s="27"/>
      <c r="I64" s="22"/>
      <c r="J64" s="21"/>
      <c r="K64" s="21"/>
    </row>
    <row r="65" customFormat="false" ht="15" hidden="false" customHeight="false" outlineLevel="0" collapsed="false">
      <c r="A65" s="21"/>
      <c r="B65" s="21"/>
      <c r="C65" s="22"/>
      <c r="D65" s="21"/>
      <c r="E65" s="23"/>
      <c r="F65" s="22"/>
      <c r="G65" s="27"/>
      <c r="H65" s="27"/>
      <c r="I65" s="22"/>
      <c r="J65" s="21"/>
      <c r="K65" s="21"/>
    </row>
    <row r="66" customFormat="false" ht="15" hidden="false" customHeight="false" outlineLevel="0" collapsed="false">
      <c r="A66" s="21"/>
      <c r="B66" s="21"/>
      <c r="C66" s="22"/>
      <c r="D66" s="21"/>
      <c r="E66" s="23"/>
      <c r="F66" s="22"/>
      <c r="G66" s="27"/>
      <c r="H66" s="27"/>
      <c r="I66" s="22"/>
      <c r="J66" s="21"/>
      <c r="K66" s="21"/>
    </row>
    <row r="67" customFormat="false" ht="15" hidden="false" customHeight="false" outlineLevel="0" collapsed="false">
      <c r="A67" s="21"/>
      <c r="B67" s="21"/>
      <c r="C67" s="22"/>
      <c r="D67" s="21"/>
      <c r="E67" s="23"/>
      <c r="F67" s="22"/>
      <c r="G67" s="27"/>
      <c r="H67" s="27"/>
      <c r="I67" s="22"/>
      <c r="J67" s="21"/>
      <c r="K67" s="21"/>
    </row>
    <row r="68" customFormat="false" ht="15" hidden="false" customHeight="false" outlineLevel="0" collapsed="false">
      <c r="A68" s="21"/>
      <c r="B68" s="21"/>
      <c r="C68" s="22"/>
      <c r="D68" s="21"/>
      <c r="E68" s="23"/>
      <c r="F68" s="22"/>
      <c r="G68" s="27"/>
      <c r="H68" s="27"/>
      <c r="I68" s="22"/>
      <c r="J68" s="21"/>
      <c r="K68" s="21"/>
    </row>
    <row r="69" customFormat="false" ht="15" hidden="false" customHeight="false" outlineLevel="0" collapsed="false">
      <c r="A69" s="21"/>
      <c r="B69" s="21"/>
      <c r="C69" s="22"/>
      <c r="D69" s="21"/>
      <c r="E69" s="23"/>
      <c r="F69" s="22"/>
      <c r="G69" s="27"/>
      <c r="H69" s="27"/>
      <c r="I69" s="22"/>
      <c r="J69" s="21"/>
      <c r="K69" s="21"/>
    </row>
    <row r="70" customFormat="false" ht="15" hidden="false" customHeight="false" outlineLevel="0" collapsed="false">
      <c r="A70" s="21"/>
      <c r="B70" s="21"/>
      <c r="C70" s="22"/>
      <c r="D70" s="21"/>
      <c r="E70" s="23"/>
      <c r="F70" s="22"/>
      <c r="G70" s="27"/>
      <c r="H70" s="27"/>
      <c r="I70" s="22"/>
      <c r="J70" s="21"/>
      <c r="K70" s="21"/>
    </row>
    <row r="71" customFormat="false" ht="15" hidden="false" customHeight="false" outlineLevel="0" collapsed="false">
      <c r="A71" s="21"/>
      <c r="B71" s="21"/>
      <c r="C71" s="22"/>
      <c r="D71" s="21"/>
      <c r="E71" s="23"/>
      <c r="F71" s="22"/>
      <c r="G71" s="27"/>
      <c r="H71" s="27"/>
      <c r="I71" s="22"/>
      <c r="J71" s="21"/>
      <c r="K71" s="21"/>
    </row>
    <row r="72" customFormat="false" ht="15" hidden="false" customHeight="false" outlineLevel="0" collapsed="false">
      <c r="A72" s="21"/>
      <c r="B72" s="21"/>
      <c r="C72" s="22"/>
      <c r="D72" s="21"/>
      <c r="E72" s="23"/>
      <c r="F72" s="22"/>
      <c r="G72" s="27"/>
      <c r="H72" s="27"/>
      <c r="I72" s="22"/>
      <c r="J72" s="21"/>
      <c r="K72" s="21"/>
    </row>
    <row r="73" customFormat="false" ht="15" hidden="false" customHeight="false" outlineLevel="0" collapsed="false">
      <c r="A73" s="21"/>
      <c r="B73" s="21"/>
      <c r="C73" s="22"/>
      <c r="D73" s="21"/>
      <c r="E73" s="23"/>
      <c r="F73" s="22"/>
      <c r="G73" s="27"/>
      <c r="H73" s="27"/>
      <c r="I73" s="22"/>
      <c r="J73" s="21"/>
      <c r="K73" s="21"/>
    </row>
    <row r="74" customFormat="false" ht="15" hidden="false" customHeight="false" outlineLevel="0" collapsed="false">
      <c r="A74" s="21"/>
      <c r="B74" s="21"/>
      <c r="C74" s="22"/>
      <c r="D74" s="21"/>
      <c r="E74" s="23"/>
      <c r="F74" s="22"/>
      <c r="G74" s="27"/>
      <c r="H74" s="27"/>
      <c r="I74" s="22"/>
      <c r="J74" s="21"/>
      <c r="K74" s="21"/>
    </row>
    <row r="75" customFormat="false" ht="15" hidden="false" customHeight="false" outlineLevel="0" collapsed="false">
      <c r="A75" s="21"/>
      <c r="B75" s="21"/>
      <c r="C75" s="22"/>
      <c r="D75" s="21"/>
      <c r="E75" s="23"/>
      <c r="F75" s="22"/>
      <c r="G75" s="27"/>
      <c r="H75" s="27"/>
      <c r="I75" s="22"/>
      <c r="J75" s="21"/>
      <c r="K75" s="21"/>
    </row>
    <row r="76" customFormat="false" ht="15" hidden="false" customHeight="false" outlineLevel="0" collapsed="false">
      <c r="A76" s="21"/>
      <c r="B76" s="21"/>
      <c r="C76" s="22"/>
      <c r="D76" s="21"/>
      <c r="E76" s="23"/>
      <c r="F76" s="22"/>
      <c r="G76" s="27"/>
      <c r="H76" s="27"/>
      <c r="I76" s="22"/>
      <c r="J76" s="21"/>
      <c r="K76" s="21"/>
    </row>
    <row r="77" customFormat="false" ht="15" hidden="false" customHeight="false" outlineLevel="0" collapsed="false">
      <c r="A77" s="21"/>
      <c r="B77" s="21"/>
      <c r="C77" s="22"/>
      <c r="D77" s="21"/>
      <c r="E77" s="23"/>
      <c r="F77" s="22"/>
      <c r="G77" s="27"/>
      <c r="H77" s="27"/>
      <c r="I77" s="22"/>
      <c r="J77" s="21"/>
      <c r="K77" s="21"/>
    </row>
    <row r="78" customFormat="false" ht="15" hidden="false" customHeight="false" outlineLevel="0" collapsed="false">
      <c r="A78" s="21"/>
      <c r="B78" s="21"/>
      <c r="C78" s="22"/>
      <c r="D78" s="21"/>
      <c r="E78" s="23"/>
      <c r="F78" s="22"/>
      <c r="G78" s="27"/>
      <c r="H78" s="27"/>
      <c r="I78" s="22"/>
      <c r="J78" s="21"/>
      <c r="K78" s="21"/>
    </row>
    <row r="79" customFormat="false" ht="15" hidden="false" customHeight="false" outlineLevel="0" collapsed="false">
      <c r="A79" s="21"/>
      <c r="B79" s="21"/>
      <c r="C79" s="22"/>
      <c r="D79" s="21"/>
      <c r="E79" s="23"/>
      <c r="F79" s="22"/>
      <c r="G79" s="27"/>
      <c r="H79" s="27"/>
      <c r="I79" s="22"/>
      <c r="J79" s="21"/>
      <c r="K79" s="21"/>
    </row>
    <row r="80" customFormat="false" ht="15" hidden="false" customHeight="false" outlineLevel="0" collapsed="false">
      <c r="A80" s="21"/>
      <c r="B80" s="21"/>
      <c r="C80" s="22"/>
      <c r="D80" s="21"/>
      <c r="E80" s="23"/>
      <c r="F80" s="22"/>
      <c r="G80" s="27"/>
      <c r="H80" s="27"/>
      <c r="I80" s="22"/>
      <c r="J80" s="21"/>
      <c r="K80" s="21"/>
    </row>
    <row r="81" customFormat="false" ht="15" hidden="false" customHeight="false" outlineLevel="0" collapsed="false">
      <c r="A81" s="21"/>
      <c r="B81" s="21"/>
      <c r="C81" s="22"/>
      <c r="D81" s="21"/>
      <c r="E81" s="23"/>
      <c r="F81" s="22"/>
      <c r="G81" s="27"/>
      <c r="H81" s="27"/>
      <c r="I81" s="22"/>
      <c r="J81" s="21"/>
      <c r="K81" s="21"/>
    </row>
    <row r="82" customFormat="false" ht="15" hidden="false" customHeight="false" outlineLevel="0" collapsed="false">
      <c r="A82" s="21"/>
      <c r="B82" s="21"/>
      <c r="C82" s="22"/>
      <c r="D82" s="21"/>
      <c r="E82" s="23"/>
      <c r="F82" s="22"/>
      <c r="G82" s="27"/>
      <c r="H82" s="27"/>
      <c r="I82" s="22"/>
      <c r="J82" s="21"/>
      <c r="K82" s="21"/>
    </row>
    <row r="83" customFormat="false" ht="15" hidden="false" customHeight="false" outlineLevel="0" collapsed="false">
      <c r="A83" s="21"/>
      <c r="B83" s="21"/>
      <c r="C83" s="22"/>
      <c r="D83" s="21"/>
      <c r="E83" s="23"/>
      <c r="F83" s="22"/>
      <c r="G83" s="27"/>
      <c r="H83" s="27"/>
      <c r="I83" s="22"/>
      <c r="J83" s="21"/>
      <c r="K83" s="21"/>
    </row>
    <row r="84" customFormat="false" ht="15" hidden="false" customHeight="false" outlineLevel="0" collapsed="false">
      <c r="A84" s="21"/>
      <c r="B84" s="21"/>
      <c r="C84" s="22"/>
      <c r="D84" s="21"/>
      <c r="E84" s="23"/>
      <c r="F84" s="22"/>
      <c r="G84" s="27"/>
      <c r="H84" s="27"/>
      <c r="I84" s="22"/>
      <c r="J84" s="21"/>
      <c r="K84" s="21"/>
    </row>
    <row r="85" customFormat="false" ht="15" hidden="false" customHeight="false" outlineLevel="0" collapsed="false">
      <c r="A85" s="21"/>
      <c r="B85" s="21"/>
      <c r="C85" s="22"/>
      <c r="D85" s="21"/>
      <c r="E85" s="23"/>
      <c r="F85" s="22"/>
      <c r="G85" s="27"/>
      <c r="H85" s="27"/>
      <c r="I85" s="22"/>
      <c r="J85" s="21"/>
      <c r="K85" s="21"/>
    </row>
    <row r="86" customFormat="false" ht="15" hidden="false" customHeight="false" outlineLevel="0" collapsed="false">
      <c r="A86" s="21"/>
      <c r="B86" s="21"/>
      <c r="C86" s="22"/>
      <c r="D86" s="21"/>
      <c r="E86" s="23"/>
      <c r="F86" s="22"/>
      <c r="G86" s="27"/>
      <c r="H86" s="27"/>
      <c r="I86" s="22"/>
      <c r="J86" s="21"/>
      <c r="K86" s="21"/>
    </row>
    <row r="87" customFormat="false" ht="15" hidden="false" customHeight="false" outlineLevel="0" collapsed="false">
      <c r="A87" s="21"/>
      <c r="B87" s="21"/>
      <c r="C87" s="22"/>
      <c r="D87" s="21"/>
      <c r="E87" s="23"/>
      <c r="F87" s="22"/>
      <c r="G87" s="27"/>
      <c r="H87" s="27"/>
      <c r="I87" s="22"/>
      <c r="J87" s="21"/>
      <c r="K87" s="21"/>
    </row>
    <row r="88" customFormat="false" ht="15" hidden="false" customHeight="false" outlineLevel="0" collapsed="false">
      <c r="A88" s="21"/>
      <c r="B88" s="21"/>
      <c r="C88" s="22"/>
      <c r="D88" s="21"/>
      <c r="E88" s="23"/>
      <c r="F88" s="22"/>
      <c r="G88" s="27"/>
      <c r="H88" s="27"/>
      <c r="I88" s="22"/>
      <c r="J88" s="21"/>
      <c r="K88" s="21"/>
    </row>
    <row r="89" customFormat="false" ht="15" hidden="false" customHeight="false" outlineLevel="0" collapsed="false">
      <c r="A89" s="21"/>
      <c r="B89" s="21"/>
      <c r="C89" s="22"/>
      <c r="D89" s="21"/>
      <c r="E89" s="23"/>
      <c r="F89" s="22"/>
      <c r="G89" s="27"/>
      <c r="H89" s="27"/>
      <c r="I89" s="22"/>
      <c r="J89" s="21"/>
      <c r="K89" s="21"/>
    </row>
    <row r="90" customFormat="false" ht="15" hidden="false" customHeight="false" outlineLevel="0" collapsed="false">
      <c r="A90" s="21"/>
      <c r="B90" s="21"/>
      <c r="C90" s="22"/>
      <c r="D90" s="21"/>
      <c r="E90" s="23"/>
      <c r="F90" s="22"/>
      <c r="G90" s="27"/>
      <c r="H90" s="27"/>
      <c r="I90" s="22"/>
      <c r="J90" s="21"/>
      <c r="K90" s="21"/>
    </row>
    <row r="91" customFormat="false" ht="15" hidden="false" customHeight="false" outlineLevel="0" collapsed="false">
      <c r="A91" s="21"/>
      <c r="B91" s="21"/>
      <c r="C91" s="22"/>
      <c r="D91" s="21"/>
      <c r="E91" s="23"/>
      <c r="F91" s="22"/>
      <c r="G91" s="27"/>
      <c r="H91" s="27"/>
      <c r="I91" s="22"/>
      <c r="J91" s="21"/>
      <c r="K91" s="21"/>
    </row>
    <row r="92" customFormat="false" ht="15" hidden="false" customHeight="false" outlineLevel="0" collapsed="false">
      <c r="A92" s="21"/>
      <c r="B92" s="21"/>
      <c r="C92" s="22"/>
      <c r="D92" s="21"/>
      <c r="E92" s="23"/>
      <c r="F92" s="22"/>
      <c r="G92" s="27"/>
      <c r="H92" s="27"/>
      <c r="I92" s="22"/>
      <c r="J92" s="21"/>
      <c r="K92" s="21"/>
    </row>
    <row r="93" customFormat="false" ht="15" hidden="false" customHeight="false" outlineLevel="0" collapsed="false">
      <c r="A93" s="21"/>
      <c r="B93" s="21"/>
      <c r="C93" s="22"/>
      <c r="D93" s="21"/>
      <c r="E93" s="23"/>
      <c r="F93" s="22"/>
      <c r="G93" s="27"/>
      <c r="H93" s="27"/>
      <c r="I93" s="22"/>
      <c r="J93" s="21"/>
      <c r="K93" s="21"/>
    </row>
    <row r="94" customFormat="false" ht="15" hidden="false" customHeight="false" outlineLevel="0" collapsed="false">
      <c r="A94" s="21"/>
      <c r="B94" s="21"/>
      <c r="C94" s="22"/>
      <c r="D94" s="21"/>
      <c r="E94" s="23"/>
      <c r="F94" s="22"/>
      <c r="G94" s="27"/>
      <c r="H94" s="27"/>
      <c r="I94" s="22"/>
      <c r="J94" s="21"/>
      <c r="K94" s="21"/>
    </row>
    <row r="95" customFormat="false" ht="15" hidden="false" customHeight="false" outlineLevel="0" collapsed="false">
      <c r="A95" s="21"/>
      <c r="B95" s="21"/>
      <c r="C95" s="22"/>
      <c r="D95" s="21"/>
      <c r="E95" s="23"/>
      <c r="F95" s="22"/>
      <c r="G95" s="27"/>
      <c r="H95" s="27"/>
      <c r="I95" s="22"/>
      <c r="J95" s="21"/>
      <c r="K95" s="21"/>
    </row>
    <row r="96" customFormat="false" ht="15" hidden="false" customHeight="false" outlineLevel="0" collapsed="false">
      <c r="A96" s="21"/>
      <c r="B96" s="21"/>
      <c r="C96" s="22"/>
      <c r="D96" s="21"/>
      <c r="E96" s="23"/>
      <c r="F96" s="22"/>
      <c r="G96" s="27"/>
      <c r="H96" s="27"/>
      <c r="I96" s="22"/>
      <c r="J96" s="21"/>
      <c r="K96" s="21"/>
    </row>
    <row r="97" customFormat="false" ht="15" hidden="false" customHeight="false" outlineLevel="0" collapsed="false">
      <c r="A97" s="21"/>
      <c r="B97" s="21"/>
      <c r="C97" s="22"/>
      <c r="D97" s="21"/>
      <c r="E97" s="23"/>
      <c r="F97" s="22"/>
      <c r="G97" s="27"/>
      <c r="H97" s="27"/>
      <c r="I97" s="22"/>
      <c r="J97" s="21"/>
      <c r="K97" s="21"/>
    </row>
    <row r="98" customFormat="false" ht="15" hidden="false" customHeight="false" outlineLevel="0" collapsed="false">
      <c r="A98" s="21"/>
      <c r="B98" s="21"/>
      <c r="C98" s="22"/>
      <c r="D98" s="21"/>
      <c r="E98" s="23"/>
      <c r="F98" s="22"/>
      <c r="G98" s="27"/>
      <c r="H98" s="27"/>
      <c r="I98" s="22"/>
      <c r="J98" s="21"/>
      <c r="K98" s="21"/>
    </row>
    <row r="99" customFormat="false" ht="15" hidden="false" customHeight="false" outlineLevel="0" collapsed="false">
      <c r="A99" s="21"/>
      <c r="B99" s="21"/>
      <c r="C99" s="22"/>
      <c r="D99" s="21"/>
      <c r="E99" s="23"/>
      <c r="F99" s="22"/>
      <c r="G99" s="27"/>
      <c r="H99" s="27"/>
      <c r="I99" s="22"/>
      <c r="J99" s="21"/>
      <c r="K99" s="21"/>
    </row>
    <row r="100" customFormat="false" ht="15" hidden="false" customHeight="false" outlineLevel="0" collapsed="false">
      <c r="A100" s="21"/>
      <c r="B100" s="21"/>
      <c r="C100" s="22"/>
      <c r="D100" s="21"/>
      <c r="E100" s="23"/>
      <c r="F100" s="22"/>
      <c r="G100" s="27"/>
      <c r="H100" s="27"/>
      <c r="I100" s="22"/>
      <c r="J100" s="21"/>
      <c r="K100" s="21"/>
    </row>
    <row r="101" customFormat="false" ht="15" hidden="false" customHeight="false" outlineLevel="0" collapsed="false">
      <c r="A101" s="21"/>
      <c r="B101" s="21"/>
      <c r="C101" s="22"/>
      <c r="D101" s="21"/>
      <c r="E101" s="23"/>
      <c r="F101" s="22"/>
      <c r="G101" s="27"/>
      <c r="H101" s="27"/>
      <c r="I101" s="22"/>
      <c r="J101" s="21"/>
      <c r="K101" s="21"/>
    </row>
    <row r="102" customFormat="false" ht="15" hidden="false" customHeight="false" outlineLevel="0" collapsed="false">
      <c r="A102" s="21"/>
      <c r="B102" s="21"/>
      <c r="C102" s="22"/>
      <c r="D102" s="21"/>
      <c r="E102" s="23"/>
      <c r="F102" s="22"/>
      <c r="G102" s="27"/>
      <c r="H102" s="27"/>
      <c r="I102" s="22"/>
      <c r="J102" s="21"/>
      <c r="K102" s="21"/>
    </row>
    <row r="103" customFormat="false" ht="15" hidden="false" customHeight="false" outlineLevel="0" collapsed="false">
      <c r="A103" s="21"/>
      <c r="B103" s="21"/>
      <c r="C103" s="22"/>
      <c r="D103" s="21"/>
      <c r="E103" s="23"/>
      <c r="F103" s="22"/>
      <c r="G103" s="27"/>
      <c r="H103" s="27"/>
      <c r="I103" s="22"/>
      <c r="J103" s="21"/>
      <c r="K103" s="21"/>
    </row>
    <row r="104" customFormat="false" ht="15" hidden="false" customHeight="false" outlineLevel="0" collapsed="false">
      <c r="A104" s="21"/>
      <c r="B104" s="21"/>
      <c r="C104" s="22"/>
      <c r="D104" s="21"/>
      <c r="E104" s="23"/>
      <c r="F104" s="22"/>
      <c r="G104" s="27"/>
      <c r="H104" s="27"/>
      <c r="I104" s="22"/>
      <c r="J104" s="21"/>
      <c r="K104" s="21"/>
    </row>
    <row r="105" customFormat="false" ht="15" hidden="false" customHeight="false" outlineLevel="0" collapsed="false">
      <c r="A105" s="21"/>
      <c r="B105" s="21"/>
      <c r="C105" s="22"/>
      <c r="D105" s="21"/>
      <c r="E105" s="23"/>
      <c r="F105" s="22"/>
      <c r="G105" s="27"/>
      <c r="H105" s="27"/>
      <c r="I105" s="22"/>
      <c r="J105" s="21"/>
      <c r="K105" s="21"/>
    </row>
    <row r="106" customFormat="false" ht="15" hidden="false" customHeight="false" outlineLevel="0" collapsed="false">
      <c r="A106" s="21"/>
      <c r="B106" s="21"/>
      <c r="C106" s="22"/>
      <c r="D106" s="21"/>
      <c r="E106" s="23"/>
      <c r="F106" s="22"/>
      <c r="G106" s="27"/>
      <c r="H106" s="27"/>
      <c r="I106" s="22"/>
      <c r="J106" s="21"/>
      <c r="K106" s="21"/>
    </row>
    <row r="107" customFormat="false" ht="15" hidden="false" customHeight="false" outlineLevel="0" collapsed="false">
      <c r="A107" s="21"/>
      <c r="B107" s="21"/>
      <c r="C107" s="22"/>
      <c r="D107" s="21"/>
      <c r="E107" s="23"/>
      <c r="F107" s="22"/>
      <c r="G107" s="27"/>
      <c r="H107" s="27"/>
      <c r="I107" s="22"/>
      <c r="J107" s="21"/>
      <c r="K107" s="21"/>
    </row>
    <row r="108" customFormat="false" ht="15" hidden="false" customHeight="false" outlineLevel="0" collapsed="false">
      <c r="A108" s="21"/>
      <c r="B108" s="21"/>
      <c r="C108" s="22"/>
      <c r="D108" s="21"/>
      <c r="E108" s="23"/>
      <c r="F108" s="22"/>
      <c r="G108" s="27"/>
      <c r="H108" s="27"/>
      <c r="I108" s="22"/>
      <c r="J108" s="21"/>
      <c r="K108" s="21"/>
    </row>
    <row r="109" customFormat="false" ht="15" hidden="false" customHeight="false" outlineLevel="0" collapsed="false">
      <c r="A109" s="21"/>
      <c r="B109" s="21"/>
      <c r="C109" s="22"/>
      <c r="D109" s="21"/>
      <c r="E109" s="23"/>
      <c r="F109" s="22"/>
      <c r="G109" s="27"/>
      <c r="H109" s="27"/>
      <c r="I109" s="22"/>
      <c r="J109" s="21"/>
      <c r="K109" s="21"/>
    </row>
    <row r="110" customFormat="false" ht="15" hidden="false" customHeight="false" outlineLevel="0" collapsed="false">
      <c r="A110" s="21"/>
      <c r="B110" s="21"/>
      <c r="C110" s="22"/>
      <c r="D110" s="21"/>
      <c r="E110" s="23"/>
      <c r="F110" s="22"/>
      <c r="G110" s="27"/>
      <c r="H110" s="27"/>
      <c r="I110" s="22"/>
      <c r="J110" s="21"/>
      <c r="K110" s="21"/>
    </row>
    <row r="111" customFormat="false" ht="15" hidden="false" customHeight="false" outlineLevel="0" collapsed="false">
      <c r="A111" s="21"/>
      <c r="B111" s="21"/>
      <c r="C111" s="22"/>
      <c r="D111" s="21"/>
      <c r="E111" s="23"/>
      <c r="F111" s="22"/>
      <c r="G111" s="27"/>
      <c r="H111" s="27"/>
      <c r="I111" s="22"/>
      <c r="J111" s="21"/>
      <c r="K111" s="21"/>
    </row>
    <row r="112" customFormat="false" ht="15" hidden="false" customHeight="false" outlineLevel="0" collapsed="false">
      <c r="A112" s="21"/>
      <c r="B112" s="21"/>
      <c r="C112" s="22"/>
      <c r="D112" s="21"/>
      <c r="E112" s="23"/>
      <c r="F112" s="22"/>
      <c r="G112" s="27"/>
      <c r="H112" s="27"/>
      <c r="I112" s="22"/>
      <c r="J112" s="21"/>
      <c r="K112" s="21"/>
    </row>
    <row r="113" customFormat="false" ht="15" hidden="false" customHeight="false" outlineLevel="0" collapsed="false">
      <c r="A113" s="21"/>
      <c r="B113" s="21"/>
      <c r="C113" s="22"/>
      <c r="D113" s="21"/>
      <c r="E113" s="23"/>
      <c r="F113" s="22"/>
      <c r="G113" s="27"/>
      <c r="H113" s="27"/>
      <c r="I113" s="22"/>
      <c r="J113" s="21"/>
      <c r="K113" s="21"/>
    </row>
    <row r="114" customFormat="false" ht="15" hidden="false" customHeight="false" outlineLevel="0" collapsed="false">
      <c r="A114" s="21"/>
      <c r="B114" s="21"/>
      <c r="C114" s="22"/>
      <c r="D114" s="21"/>
      <c r="E114" s="23"/>
      <c r="F114" s="22"/>
      <c r="G114" s="27"/>
      <c r="H114" s="27"/>
      <c r="I114" s="22"/>
      <c r="J114" s="21"/>
      <c r="K114" s="21"/>
    </row>
    <row r="115" customFormat="false" ht="15" hidden="false" customHeight="false" outlineLevel="0" collapsed="false">
      <c r="A115" s="21"/>
      <c r="B115" s="21"/>
      <c r="C115" s="22"/>
      <c r="D115" s="21"/>
      <c r="E115" s="23"/>
      <c r="F115" s="22"/>
      <c r="G115" s="27"/>
      <c r="H115" s="27"/>
      <c r="I115" s="22"/>
      <c r="J115" s="21"/>
      <c r="K115" s="21"/>
    </row>
    <row r="116" customFormat="false" ht="15" hidden="false" customHeight="false" outlineLevel="0" collapsed="false">
      <c r="A116" s="21"/>
      <c r="B116" s="21"/>
      <c r="C116" s="22"/>
      <c r="D116" s="21"/>
      <c r="E116" s="23"/>
      <c r="F116" s="22"/>
      <c r="G116" s="27"/>
      <c r="H116" s="27"/>
      <c r="I116" s="22"/>
      <c r="J116" s="21"/>
      <c r="K116" s="21"/>
    </row>
    <row r="117" customFormat="false" ht="15" hidden="false" customHeight="false" outlineLevel="0" collapsed="false">
      <c r="A117" s="21"/>
      <c r="B117" s="21"/>
      <c r="C117" s="22"/>
      <c r="D117" s="21"/>
      <c r="E117" s="23"/>
      <c r="F117" s="22"/>
      <c r="G117" s="27"/>
      <c r="H117" s="27"/>
      <c r="I117" s="22"/>
      <c r="J117" s="21"/>
      <c r="K117" s="21"/>
    </row>
    <row r="118" customFormat="false" ht="15" hidden="false" customHeight="false" outlineLevel="0" collapsed="false">
      <c r="A118" s="21"/>
      <c r="B118" s="21"/>
      <c r="C118" s="22"/>
      <c r="D118" s="21"/>
      <c r="E118" s="23"/>
      <c r="F118" s="22"/>
      <c r="G118" s="27"/>
      <c r="H118" s="27"/>
      <c r="I118" s="22"/>
      <c r="J118" s="21"/>
      <c r="K118" s="21"/>
    </row>
    <row r="119" customFormat="false" ht="15" hidden="false" customHeight="false" outlineLevel="0" collapsed="false">
      <c r="A119" s="21"/>
      <c r="B119" s="21"/>
      <c r="C119" s="22"/>
      <c r="D119" s="21"/>
      <c r="E119" s="23"/>
      <c r="F119" s="22"/>
      <c r="G119" s="27"/>
      <c r="H119" s="27"/>
      <c r="I119" s="22"/>
      <c r="J119" s="21"/>
      <c r="K119" s="21"/>
    </row>
    <row r="120" customFormat="false" ht="15" hidden="false" customHeight="false" outlineLevel="0" collapsed="false">
      <c r="A120" s="21"/>
      <c r="B120" s="21"/>
      <c r="C120" s="22"/>
      <c r="D120" s="21"/>
      <c r="E120" s="23"/>
      <c r="F120" s="22"/>
      <c r="G120" s="27"/>
      <c r="H120" s="27"/>
      <c r="I120" s="22"/>
      <c r="J120" s="21"/>
      <c r="K120" s="21"/>
    </row>
    <row r="121" customFormat="false" ht="15" hidden="false" customHeight="false" outlineLevel="0" collapsed="false">
      <c r="A121" s="21"/>
      <c r="B121" s="21"/>
      <c r="C121" s="22"/>
      <c r="D121" s="21"/>
      <c r="E121" s="23"/>
      <c r="F121" s="22"/>
      <c r="G121" s="27"/>
      <c r="H121" s="27"/>
      <c r="I121" s="22"/>
      <c r="J121" s="21"/>
      <c r="K121" s="21"/>
    </row>
    <row r="122" customFormat="false" ht="15" hidden="false" customHeight="false" outlineLevel="0" collapsed="false">
      <c r="A122" s="21"/>
      <c r="B122" s="21"/>
      <c r="C122" s="22"/>
      <c r="D122" s="21"/>
      <c r="E122" s="23"/>
      <c r="F122" s="22"/>
      <c r="G122" s="27"/>
      <c r="H122" s="27"/>
      <c r="I122" s="22"/>
      <c r="J122" s="21"/>
      <c r="K122" s="21"/>
    </row>
    <row r="123" customFormat="false" ht="15" hidden="false" customHeight="false" outlineLevel="0" collapsed="false">
      <c r="A123" s="21"/>
      <c r="B123" s="21"/>
      <c r="C123" s="22"/>
      <c r="D123" s="21"/>
      <c r="E123" s="23"/>
      <c r="F123" s="22"/>
      <c r="G123" s="27"/>
      <c r="H123" s="27"/>
      <c r="I123" s="22"/>
      <c r="J123" s="21"/>
      <c r="K123" s="21"/>
    </row>
    <row r="124" customFormat="false" ht="15" hidden="false" customHeight="false" outlineLevel="0" collapsed="false">
      <c r="A124" s="21"/>
      <c r="B124" s="21"/>
      <c r="C124" s="22"/>
      <c r="D124" s="21"/>
      <c r="E124" s="23"/>
      <c r="F124" s="22"/>
      <c r="G124" s="27"/>
      <c r="H124" s="27"/>
      <c r="I124" s="22"/>
      <c r="J124" s="21"/>
      <c r="K124" s="21"/>
    </row>
    <row r="125" customFormat="false" ht="15" hidden="false" customHeight="false" outlineLevel="0" collapsed="false">
      <c r="A125" s="21"/>
      <c r="B125" s="21"/>
      <c r="C125" s="22"/>
      <c r="D125" s="21"/>
      <c r="E125" s="23"/>
      <c r="F125" s="22"/>
      <c r="G125" s="27"/>
      <c r="H125" s="27"/>
      <c r="I125" s="22"/>
      <c r="J125" s="21"/>
      <c r="K125" s="21"/>
    </row>
    <row r="126" customFormat="false" ht="15" hidden="false" customHeight="false" outlineLevel="0" collapsed="false">
      <c r="A126" s="21"/>
      <c r="B126" s="21"/>
      <c r="C126" s="22"/>
      <c r="D126" s="21"/>
      <c r="E126" s="23"/>
      <c r="F126" s="22"/>
      <c r="G126" s="27"/>
      <c r="H126" s="27"/>
      <c r="I126" s="22"/>
      <c r="J126" s="21"/>
      <c r="K126" s="21"/>
    </row>
    <row r="127" customFormat="false" ht="15" hidden="false" customHeight="false" outlineLevel="0" collapsed="false">
      <c r="A127" s="21"/>
      <c r="B127" s="21"/>
      <c r="C127" s="22"/>
      <c r="D127" s="21"/>
      <c r="E127" s="23"/>
      <c r="F127" s="22"/>
      <c r="G127" s="27"/>
      <c r="H127" s="27"/>
      <c r="I127" s="22"/>
      <c r="J127" s="21"/>
      <c r="K127" s="21"/>
    </row>
    <row r="128" customFormat="false" ht="15" hidden="false" customHeight="false" outlineLevel="0" collapsed="false">
      <c r="A128" s="21"/>
      <c r="B128" s="21"/>
      <c r="C128" s="22"/>
      <c r="D128" s="21"/>
      <c r="E128" s="23"/>
      <c r="F128" s="22"/>
      <c r="G128" s="27"/>
      <c r="H128" s="27"/>
      <c r="I128" s="22"/>
      <c r="J128" s="21"/>
      <c r="K128" s="21"/>
    </row>
    <row r="129" customFormat="false" ht="15" hidden="false" customHeight="false" outlineLevel="0" collapsed="false">
      <c r="A129" s="21"/>
      <c r="B129" s="21"/>
      <c r="C129" s="22"/>
      <c r="D129" s="21"/>
      <c r="E129" s="23"/>
      <c r="F129" s="22"/>
      <c r="G129" s="27"/>
      <c r="H129" s="27"/>
      <c r="I129" s="22"/>
      <c r="J129" s="21"/>
      <c r="K129" s="21"/>
    </row>
    <row r="130" customFormat="false" ht="15" hidden="false" customHeight="false" outlineLevel="0" collapsed="false">
      <c r="A130" s="21"/>
      <c r="B130" s="21"/>
      <c r="C130" s="22"/>
      <c r="D130" s="21"/>
      <c r="E130" s="23"/>
      <c r="F130" s="22"/>
      <c r="G130" s="27"/>
      <c r="H130" s="27"/>
      <c r="I130" s="22"/>
      <c r="J130" s="21"/>
      <c r="K130" s="21"/>
    </row>
    <row r="131" customFormat="false" ht="15" hidden="false" customHeight="false" outlineLevel="0" collapsed="false">
      <c r="A131" s="21"/>
      <c r="B131" s="21"/>
      <c r="C131" s="22"/>
      <c r="D131" s="21"/>
      <c r="E131" s="23"/>
      <c r="F131" s="22"/>
      <c r="G131" s="27"/>
      <c r="H131" s="27"/>
      <c r="I131" s="22"/>
      <c r="J131" s="21"/>
      <c r="K131" s="21"/>
    </row>
    <row r="132" customFormat="false" ht="15" hidden="false" customHeight="false" outlineLevel="0" collapsed="false">
      <c r="A132" s="21"/>
      <c r="B132" s="21"/>
      <c r="C132" s="22"/>
      <c r="D132" s="21"/>
      <c r="E132" s="23"/>
      <c r="F132" s="22"/>
      <c r="G132" s="27"/>
      <c r="H132" s="27"/>
      <c r="I132" s="22"/>
      <c r="J132" s="21"/>
      <c r="K132" s="21"/>
    </row>
    <row r="133" customFormat="false" ht="15" hidden="false" customHeight="false" outlineLevel="0" collapsed="false">
      <c r="A133" s="21"/>
      <c r="B133" s="21"/>
      <c r="C133" s="22"/>
      <c r="D133" s="21"/>
      <c r="E133" s="23"/>
      <c r="F133" s="22"/>
      <c r="G133" s="27"/>
      <c r="H133" s="27"/>
      <c r="I133" s="22"/>
      <c r="J133" s="21"/>
      <c r="K133" s="21"/>
    </row>
    <row r="134" customFormat="false" ht="15" hidden="false" customHeight="false" outlineLevel="0" collapsed="false">
      <c r="A134" s="21"/>
      <c r="B134" s="21"/>
      <c r="C134" s="22"/>
      <c r="D134" s="21"/>
      <c r="E134" s="23"/>
      <c r="F134" s="22"/>
      <c r="G134" s="27"/>
      <c r="H134" s="27"/>
      <c r="I134" s="22"/>
      <c r="J134" s="21"/>
      <c r="K134" s="21"/>
    </row>
    <row r="135" customFormat="false" ht="15" hidden="false" customHeight="false" outlineLevel="0" collapsed="false">
      <c r="A135" s="21"/>
      <c r="B135" s="21"/>
      <c r="C135" s="22"/>
      <c r="D135" s="21"/>
      <c r="E135" s="23"/>
      <c r="F135" s="22"/>
      <c r="G135" s="27"/>
      <c r="H135" s="27"/>
      <c r="I135" s="22"/>
      <c r="J135" s="21"/>
      <c r="K135" s="21"/>
    </row>
    <row r="136" customFormat="false" ht="15" hidden="false" customHeight="false" outlineLevel="0" collapsed="false">
      <c r="A136" s="21"/>
      <c r="B136" s="21"/>
      <c r="C136" s="22"/>
      <c r="D136" s="21"/>
      <c r="E136" s="23"/>
      <c r="F136" s="22"/>
      <c r="G136" s="27"/>
      <c r="H136" s="27"/>
      <c r="I136" s="22"/>
      <c r="J136" s="21"/>
      <c r="K136" s="21"/>
    </row>
    <row r="137" customFormat="false" ht="15" hidden="false" customHeight="false" outlineLevel="0" collapsed="false">
      <c r="A137" s="21"/>
      <c r="B137" s="21"/>
      <c r="C137" s="22"/>
      <c r="D137" s="21"/>
      <c r="E137" s="23"/>
      <c r="F137" s="22"/>
      <c r="G137" s="27"/>
      <c r="H137" s="27"/>
      <c r="I137" s="22"/>
      <c r="J137" s="21"/>
      <c r="K137" s="21"/>
    </row>
    <row r="138" customFormat="false" ht="15" hidden="false" customHeight="false" outlineLevel="0" collapsed="false">
      <c r="A138" s="21"/>
      <c r="B138" s="21"/>
      <c r="C138" s="22"/>
      <c r="D138" s="21"/>
      <c r="E138" s="23"/>
      <c r="F138" s="22"/>
      <c r="G138" s="27"/>
      <c r="H138" s="27"/>
      <c r="I138" s="22"/>
      <c r="J138" s="21"/>
      <c r="K138" s="21"/>
    </row>
    <row r="139" customFormat="false" ht="15" hidden="false" customHeight="false" outlineLevel="0" collapsed="false">
      <c r="A139" s="21"/>
      <c r="B139" s="21"/>
      <c r="C139" s="22"/>
      <c r="D139" s="21"/>
      <c r="E139" s="23"/>
      <c r="F139" s="22"/>
      <c r="G139" s="27"/>
      <c r="H139" s="27"/>
      <c r="I139" s="22"/>
      <c r="J139" s="21"/>
      <c r="K139" s="21"/>
    </row>
    <row r="140" customFormat="false" ht="15" hidden="false" customHeight="false" outlineLevel="0" collapsed="false">
      <c r="A140" s="21"/>
      <c r="B140" s="21"/>
      <c r="C140" s="22"/>
      <c r="D140" s="21"/>
      <c r="E140" s="23"/>
      <c r="F140" s="22"/>
      <c r="G140" s="27"/>
      <c r="H140" s="27"/>
      <c r="I140" s="22"/>
      <c r="J140" s="21"/>
      <c r="K140" s="21"/>
    </row>
    <row r="141" customFormat="false" ht="15" hidden="false" customHeight="false" outlineLevel="0" collapsed="false">
      <c r="A141" s="21"/>
      <c r="B141" s="21"/>
      <c r="C141" s="22"/>
      <c r="D141" s="21"/>
      <c r="E141" s="23"/>
      <c r="F141" s="22"/>
      <c r="G141" s="27"/>
      <c r="H141" s="27"/>
      <c r="I141" s="22"/>
      <c r="J141" s="21"/>
      <c r="K141" s="21"/>
    </row>
    <row r="142" customFormat="false" ht="15" hidden="false" customHeight="false" outlineLevel="0" collapsed="false">
      <c r="A142" s="21"/>
      <c r="B142" s="21"/>
      <c r="C142" s="22"/>
      <c r="D142" s="21"/>
      <c r="E142" s="23"/>
      <c r="F142" s="22"/>
      <c r="G142" s="27"/>
      <c r="H142" s="27"/>
      <c r="I142" s="22"/>
      <c r="J142" s="21"/>
      <c r="K142" s="21"/>
    </row>
    <row r="143" customFormat="false" ht="15" hidden="false" customHeight="false" outlineLevel="0" collapsed="false">
      <c r="A143" s="21"/>
      <c r="B143" s="21"/>
      <c r="C143" s="22"/>
      <c r="D143" s="21"/>
      <c r="E143" s="23"/>
      <c r="F143" s="22"/>
      <c r="G143" s="27"/>
      <c r="H143" s="27"/>
      <c r="I143" s="22"/>
      <c r="J143" s="21"/>
      <c r="K143" s="21"/>
    </row>
    <row r="144" customFormat="false" ht="15" hidden="false" customHeight="false" outlineLevel="0" collapsed="false">
      <c r="A144" s="21"/>
      <c r="B144" s="21"/>
      <c r="C144" s="22"/>
      <c r="D144" s="21"/>
      <c r="E144" s="23"/>
      <c r="F144" s="22"/>
      <c r="G144" s="27"/>
      <c r="H144" s="27"/>
      <c r="I144" s="22"/>
      <c r="J144" s="21"/>
      <c r="K144" s="21"/>
    </row>
    <row r="145" customFormat="false" ht="15" hidden="false" customHeight="false" outlineLevel="0" collapsed="false">
      <c r="A145" s="21"/>
      <c r="B145" s="21"/>
      <c r="C145" s="22"/>
      <c r="D145" s="21"/>
      <c r="E145" s="23"/>
      <c r="F145" s="22"/>
      <c r="G145" s="27"/>
      <c r="H145" s="27"/>
      <c r="I145" s="22"/>
      <c r="J145" s="21"/>
      <c r="K145" s="21"/>
    </row>
    <row r="146" customFormat="false" ht="15" hidden="false" customHeight="false" outlineLevel="0" collapsed="false">
      <c r="A146" s="21"/>
      <c r="B146" s="21"/>
      <c r="C146" s="22"/>
      <c r="D146" s="21"/>
      <c r="E146" s="23"/>
      <c r="F146" s="22"/>
      <c r="G146" s="27"/>
      <c r="H146" s="27"/>
      <c r="I146" s="22"/>
      <c r="J146" s="21"/>
      <c r="K146" s="21"/>
    </row>
    <row r="147" customFormat="false" ht="15" hidden="false" customHeight="false" outlineLevel="0" collapsed="false">
      <c r="A147" s="21"/>
      <c r="B147" s="21"/>
      <c r="C147" s="22"/>
      <c r="D147" s="21"/>
      <c r="E147" s="23"/>
      <c r="F147" s="22"/>
      <c r="G147" s="27"/>
      <c r="H147" s="27"/>
      <c r="I147" s="22"/>
      <c r="J147" s="21"/>
      <c r="K147" s="21"/>
    </row>
    <row r="148" customFormat="false" ht="15" hidden="false" customHeight="false" outlineLevel="0" collapsed="false">
      <c r="A148" s="21"/>
      <c r="B148" s="21"/>
      <c r="C148" s="22"/>
      <c r="D148" s="21"/>
      <c r="E148" s="23"/>
      <c r="F148" s="22"/>
      <c r="G148" s="27"/>
      <c r="H148" s="27"/>
      <c r="I148" s="22"/>
      <c r="J148" s="21"/>
      <c r="K148" s="21"/>
    </row>
    <row r="149" customFormat="false" ht="15" hidden="false" customHeight="false" outlineLevel="0" collapsed="false">
      <c r="A149" s="21"/>
      <c r="B149" s="21"/>
      <c r="C149" s="22"/>
      <c r="D149" s="21"/>
      <c r="E149" s="23"/>
      <c r="F149" s="22"/>
      <c r="G149" s="27"/>
      <c r="H149" s="27"/>
      <c r="I149" s="22"/>
      <c r="J149" s="21"/>
      <c r="K149" s="21"/>
    </row>
    <row r="150" customFormat="false" ht="15" hidden="false" customHeight="false" outlineLevel="0" collapsed="false">
      <c r="A150" s="21"/>
      <c r="B150" s="21"/>
      <c r="C150" s="22"/>
      <c r="D150" s="21"/>
      <c r="E150" s="23"/>
      <c r="F150" s="22"/>
      <c r="G150" s="27"/>
      <c r="H150" s="27"/>
      <c r="I150" s="22"/>
      <c r="J150" s="21"/>
      <c r="K150" s="21"/>
    </row>
    <row r="151" customFormat="false" ht="15" hidden="false" customHeight="false" outlineLevel="0" collapsed="false">
      <c r="A151" s="21"/>
      <c r="B151" s="21"/>
      <c r="C151" s="22"/>
      <c r="D151" s="21"/>
      <c r="E151" s="23"/>
      <c r="F151" s="22"/>
      <c r="G151" s="27"/>
      <c r="H151" s="27"/>
      <c r="I151" s="22"/>
      <c r="J151" s="21"/>
      <c r="K151" s="21"/>
    </row>
    <row r="152" customFormat="false" ht="15" hidden="false" customHeight="false" outlineLevel="0" collapsed="false">
      <c r="A152" s="21"/>
      <c r="B152" s="21"/>
      <c r="C152" s="22"/>
      <c r="D152" s="21"/>
      <c r="E152" s="23"/>
      <c r="F152" s="22"/>
      <c r="G152" s="27"/>
      <c r="H152" s="27"/>
      <c r="I152" s="22"/>
      <c r="J152" s="21"/>
      <c r="K152" s="21"/>
    </row>
    <row r="153" customFormat="false" ht="15" hidden="false" customHeight="false" outlineLevel="0" collapsed="false">
      <c r="A153" s="21"/>
      <c r="B153" s="21"/>
      <c r="C153" s="22"/>
      <c r="D153" s="21"/>
      <c r="E153" s="23"/>
      <c r="F153" s="22"/>
      <c r="G153" s="27"/>
      <c r="H153" s="27"/>
      <c r="I153" s="22"/>
      <c r="J153" s="21"/>
      <c r="K153" s="21"/>
    </row>
    <row r="154" customFormat="false" ht="15" hidden="false" customHeight="false" outlineLevel="0" collapsed="false">
      <c r="A154" s="21"/>
      <c r="B154" s="21"/>
      <c r="C154" s="22"/>
      <c r="D154" s="21"/>
      <c r="E154" s="23"/>
      <c r="F154" s="22"/>
      <c r="G154" s="27"/>
      <c r="H154" s="27"/>
      <c r="I154" s="22"/>
      <c r="J154" s="21"/>
      <c r="K154" s="21"/>
    </row>
    <row r="155" customFormat="false" ht="15" hidden="false" customHeight="false" outlineLevel="0" collapsed="false">
      <c r="A155" s="21"/>
      <c r="B155" s="21"/>
      <c r="C155" s="22"/>
      <c r="D155" s="21"/>
      <c r="E155" s="23"/>
      <c r="F155" s="22"/>
      <c r="G155" s="27"/>
      <c r="H155" s="27"/>
      <c r="I155" s="22"/>
      <c r="J155" s="21"/>
      <c r="K155" s="21"/>
    </row>
    <row r="156" customFormat="false" ht="15" hidden="false" customHeight="false" outlineLevel="0" collapsed="false">
      <c r="A156" s="21"/>
      <c r="B156" s="21"/>
      <c r="C156" s="22"/>
      <c r="D156" s="21"/>
      <c r="E156" s="23"/>
      <c r="F156" s="22"/>
      <c r="G156" s="27"/>
      <c r="H156" s="27"/>
      <c r="I156" s="22"/>
      <c r="J156" s="21"/>
      <c r="K156" s="21"/>
    </row>
    <row r="157" customFormat="false" ht="15" hidden="false" customHeight="false" outlineLevel="0" collapsed="false">
      <c r="A157" s="21"/>
      <c r="B157" s="21"/>
      <c r="C157" s="22"/>
      <c r="D157" s="21"/>
      <c r="E157" s="23"/>
      <c r="F157" s="22"/>
      <c r="G157" s="27"/>
      <c r="H157" s="27"/>
      <c r="I157" s="22"/>
      <c r="J157" s="21"/>
      <c r="K157" s="21"/>
    </row>
    <row r="158" customFormat="false" ht="15" hidden="false" customHeight="false" outlineLevel="0" collapsed="false">
      <c r="A158" s="21"/>
      <c r="B158" s="21"/>
      <c r="C158" s="22"/>
      <c r="D158" s="21"/>
      <c r="E158" s="23"/>
      <c r="F158" s="22"/>
      <c r="G158" s="27"/>
      <c r="H158" s="27"/>
      <c r="I158" s="22"/>
      <c r="J158" s="21"/>
      <c r="K158" s="21"/>
    </row>
    <row r="159" customFormat="false" ht="15" hidden="false" customHeight="false" outlineLevel="0" collapsed="false">
      <c r="A159" s="21"/>
      <c r="B159" s="21"/>
      <c r="C159" s="22"/>
      <c r="D159" s="21"/>
      <c r="E159" s="23"/>
      <c r="F159" s="22"/>
      <c r="G159" s="27"/>
      <c r="H159" s="27"/>
      <c r="I159" s="22"/>
      <c r="J159" s="21"/>
      <c r="K159" s="21"/>
    </row>
    <row r="160" customFormat="false" ht="15" hidden="false" customHeight="false" outlineLevel="0" collapsed="false">
      <c r="A160" s="21"/>
      <c r="B160" s="21"/>
      <c r="C160" s="22"/>
      <c r="D160" s="21"/>
      <c r="E160" s="23"/>
      <c r="F160" s="22"/>
      <c r="G160" s="27"/>
      <c r="H160" s="27"/>
      <c r="I160" s="22"/>
      <c r="J160" s="21"/>
      <c r="K160" s="21"/>
    </row>
    <row r="161" customFormat="false" ht="15" hidden="false" customHeight="false" outlineLevel="0" collapsed="false">
      <c r="A161" s="21"/>
      <c r="B161" s="21"/>
      <c r="C161" s="22"/>
      <c r="D161" s="21"/>
      <c r="E161" s="23"/>
      <c r="F161" s="22"/>
      <c r="G161" s="27"/>
      <c r="H161" s="27"/>
      <c r="I161" s="22"/>
      <c r="J161" s="21"/>
      <c r="K161" s="21"/>
    </row>
    <row r="162" customFormat="false" ht="15" hidden="false" customHeight="false" outlineLevel="0" collapsed="false">
      <c r="A162" s="21"/>
      <c r="B162" s="21"/>
      <c r="C162" s="22"/>
      <c r="D162" s="21"/>
      <c r="E162" s="23"/>
      <c r="F162" s="22"/>
      <c r="G162" s="27"/>
      <c r="H162" s="27"/>
      <c r="I162" s="22"/>
      <c r="J162" s="21"/>
      <c r="K162" s="21"/>
    </row>
    <row r="163" customFormat="false" ht="15" hidden="false" customHeight="false" outlineLevel="0" collapsed="false">
      <c r="A163" s="21"/>
      <c r="B163" s="21"/>
      <c r="C163" s="22"/>
      <c r="D163" s="21"/>
      <c r="E163" s="23"/>
      <c r="F163" s="22"/>
      <c r="G163" s="27"/>
      <c r="H163" s="27"/>
      <c r="I163" s="22"/>
      <c r="J163" s="21"/>
      <c r="K163" s="21"/>
    </row>
    <row r="164" customFormat="false" ht="15" hidden="false" customHeight="false" outlineLevel="0" collapsed="false">
      <c r="A164" s="21"/>
      <c r="B164" s="21"/>
      <c r="C164" s="22"/>
      <c r="D164" s="21"/>
      <c r="E164" s="23"/>
      <c r="F164" s="22"/>
      <c r="G164" s="27"/>
      <c r="H164" s="27"/>
      <c r="I164" s="22"/>
      <c r="J164" s="21"/>
      <c r="K164" s="21"/>
    </row>
    <row r="165" customFormat="false" ht="15" hidden="false" customHeight="false" outlineLevel="0" collapsed="false">
      <c r="A165" s="21"/>
      <c r="B165" s="21"/>
      <c r="C165" s="22"/>
      <c r="D165" s="21"/>
      <c r="E165" s="23"/>
      <c r="F165" s="22"/>
      <c r="G165" s="27"/>
      <c r="H165" s="27"/>
      <c r="I165" s="22"/>
      <c r="J165" s="21"/>
      <c r="K165" s="21"/>
    </row>
    <row r="166" customFormat="false" ht="15" hidden="false" customHeight="false" outlineLevel="0" collapsed="false">
      <c r="A166" s="21"/>
      <c r="B166" s="21"/>
      <c r="C166" s="22"/>
      <c r="D166" s="21"/>
      <c r="E166" s="23"/>
      <c r="F166" s="22"/>
      <c r="G166" s="27"/>
      <c r="H166" s="27"/>
      <c r="I166" s="22"/>
      <c r="J166" s="21"/>
      <c r="K166" s="21"/>
    </row>
    <row r="167" customFormat="false" ht="15" hidden="false" customHeight="false" outlineLevel="0" collapsed="false">
      <c r="A167" s="21"/>
      <c r="B167" s="21"/>
      <c r="C167" s="22"/>
      <c r="D167" s="21"/>
      <c r="E167" s="23"/>
      <c r="F167" s="22"/>
      <c r="G167" s="27"/>
      <c r="H167" s="27"/>
      <c r="I167" s="22"/>
      <c r="J167" s="21"/>
      <c r="K167" s="21"/>
    </row>
    <row r="168" customFormat="false" ht="15" hidden="false" customHeight="false" outlineLevel="0" collapsed="false">
      <c r="A168" s="21"/>
      <c r="B168" s="21"/>
      <c r="C168" s="22"/>
      <c r="D168" s="21"/>
      <c r="E168" s="23"/>
      <c r="F168" s="22"/>
      <c r="G168" s="27"/>
      <c r="H168" s="27"/>
      <c r="I168" s="22"/>
      <c r="J168" s="21"/>
      <c r="K168" s="21"/>
    </row>
    <row r="169" customFormat="false" ht="15" hidden="false" customHeight="false" outlineLevel="0" collapsed="false">
      <c r="A169" s="21"/>
      <c r="B169" s="21"/>
      <c r="C169" s="22"/>
      <c r="D169" s="21"/>
      <c r="E169" s="23"/>
      <c r="F169" s="22"/>
      <c r="G169" s="27"/>
      <c r="H169" s="27"/>
      <c r="I169" s="22"/>
      <c r="J169" s="21"/>
      <c r="K169" s="21"/>
    </row>
    <row r="170" customFormat="false" ht="15" hidden="false" customHeight="false" outlineLevel="0" collapsed="false">
      <c r="A170" s="21"/>
      <c r="B170" s="21"/>
      <c r="C170" s="22"/>
      <c r="D170" s="21"/>
      <c r="E170" s="23"/>
      <c r="F170" s="22"/>
      <c r="G170" s="27"/>
      <c r="H170" s="27"/>
      <c r="I170" s="22"/>
      <c r="J170" s="21"/>
      <c r="K170" s="21"/>
    </row>
    <row r="171" customFormat="false" ht="15" hidden="false" customHeight="false" outlineLevel="0" collapsed="false">
      <c r="A171" s="21"/>
      <c r="B171" s="21"/>
      <c r="C171" s="22"/>
      <c r="D171" s="21"/>
      <c r="E171" s="23"/>
      <c r="F171" s="22"/>
      <c r="G171" s="27"/>
      <c r="H171" s="27"/>
      <c r="I171" s="22"/>
      <c r="J171" s="21"/>
      <c r="K171" s="21"/>
    </row>
    <row r="172" customFormat="false" ht="15" hidden="false" customHeight="false" outlineLevel="0" collapsed="false">
      <c r="A172" s="21"/>
      <c r="B172" s="21"/>
      <c r="C172" s="22"/>
      <c r="D172" s="21"/>
      <c r="E172" s="23"/>
      <c r="F172" s="22"/>
      <c r="G172" s="27"/>
      <c r="H172" s="27"/>
      <c r="I172" s="22"/>
      <c r="J172" s="21"/>
      <c r="K172" s="21"/>
    </row>
    <row r="173" customFormat="false" ht="15" hidden="false" customHeight="false" outlineLevel="0" collapsed="false">
      <c r="A173" s="21"/>
      <c r="B173" s="21"/>
      <c r="C173" s="22"/>
      <c r="D173" s="21"/>
      <c r="E173" s="23"/>
      <c r="F173" s="22"/>
      <c r="G173" s="27"/>
      <c r="H173" s="27"/>
      <c r="I173" s="22"/>
      <c r="J173" s="21"/>
      <c r="K173" s="21"/>
    </row>
    <row r="174" customFormat="false" ht="15" hidden="false" customHeight="false" outlineLevel="0" collapsed="false">
      <c r="A174" s="21"/>
      <c r="B174" s="21"/>
      <c r="C174" s="22"/>
      <c r="D174" s="21"/>
      <c r="E174" s="23"/>
      <c r="F174" s="22"/>
      <c r="G174" s="27"/>
      <c r="H174" s="27"/>
      <c r="I174" s="22"/>
      <c r="J174" s="21"/>
      <c r="K174" s="21"/>
    </row>
    <row r="175" customFormat="false" ht="15" hidden="false" customHeight="false" outlineLevel="0" collapsed="false">
      <c r="A175" s="21"/>
      <c r="B175" s="21"/>
      <c r="C175" s="22"/>
      <c r="D175" s="21"/>
      <c r="E175" s="23"/>
      <c r="F175" s="22"/>
      <c r="G175" s="27"/>
      <c r="H175" s="27"/>
      <c r="I175" s="22"/>
      <c r="J175" s="21"/>
      <c r="K175" s="21"/>
    </row>
    <row r="176" customFormat="false" ht="15" hidden="false" customHeight="false" outlineLevel="0" collapsed="false">
      <c r="A176" s="21"/>
      <c r="B176" s="21"/>
      <c r="C176" s="22"/>
      <c r="D176" s="21"/>
      <c r="E176" s="23"/>
      <c r="F176" s="22"/>
      <c r="G176" s="27"/>
      <c r="H176" s="27"/>
      <c r="I176" s="22"/>
      <c r="J176" s="21"/>
      <c r="K176" s="21"/>
    </row>
    <row r="177" customFormat="false" ht="15" hidden="false" customHeight="false" outlineLevel="0" collapsed="false">
      <c r="A177" s="21"/>
      <c r="B177" s="21"/>
      <c r="C177" s="22"/>
      <c r="D177" s="21"/>
      <c r="E177" s="23"/>
      <c r="F177" s="22"/>
      <c r="G177" s="27"/>
      <c r="H177" s="27"/>
      <c r="I177" s="22"/>
      <c r="J177" s="21"/>
      <c r="K177" s="21"/>
    </row>
    <row r="178" customFormat="false" ht="15" hidden="false" customHeight="false" outlineLevel="0" collapsed="false">
      <c r="A178" s="21"/>
      <c r="B178" s="21"/>
      <c r="C178" s="22"/>
      <c r="D178" s="21"/>
      <c r="E178" s="23"/>
      <c r="F178" s="22"/>
      <c r="G178" s="27"/>
      <c r="H178" s="27"/>
      <c r="I178" s="22"/>
      <c r="J178" s="21"/>
      <c r="K178" s="21"/>
    </row>
    <row r="179" customFormat="false" ht="15" hidden="false" customHeight="false" outlineLevel="0" collapsed="false">
      <c r="A179" s="21"/>
      <c r="B179" s="21"/>
      <c r="C179" s="22"/>
      <c r="D179" s="21"/>
      <c r="E179" s="23"/>
      <c r="F179" s="22"/>
      <c r="G179" s="27"/>
      <c r="H179" s="27"/>
      <c r="I179" s="22"/>
      <c r="J179" s="21"/>
      <c r="K179" s="21"/>
    </row>
    <row r="180" customFormat="false" ht="15" hidden="false" customHeight="false" outlineLevel="0" collapsed="false">
      <c r="A180" s="21"/>
      <c r="B180" s="21"/>
      <c r="C180" s="22"/>
      <c r="D180" s="21"/>
      <c r="E180" s="23"/>
      <c r="F180" s="22"/>
      <c r="G180" s="27"/>
      <c r="H180" s="27"/>
      <c r="I180" s="22"/>
      <c r="J180" s="21"/>
      <c r="K180" s="21"/>
    </row>
    <row r="181" customFormat="false" ht="15" hidden="false" customHeight="false" outlineLevel="0" collapsed="false">
      <c r="A181" s="21"/>
      <c r="B181" s="21"/>
      <c r="C181" s="22"/>
      <c r="D181" s="21"/>
      <c r="E181" s="23"/>
      <c r="F181" s="22"/>
      <c r="G181" s="27"/>
      <c r="H181" s="27"/>
      <c r="I181" s="22"/>
      <c r="J181" s="21"/>
      <c r="K181" s="21"/>
    </row>
    <row r="182" customFormat="false" ht="15" hidden="false" customHeight="false" outlineLevel="0" collapsed="false">
      <c r="A182" s="21"/>
      <c r="B182" s="21"/>
      <c r="C182" s="22"/>
      <c r="D182" s="21"/>
      <c r="E182" s="23"/>
      <c r="F182" s="22"/>
      <c r="G182" s="27"/>
      <c r="H182" s="27"/>
      <c r="I182" s="22"/>
      <c r="J182" s="21"/>
      <c r="K182" s="21"/>
    </row>
    <row r="183" customFormat="false" ht="15" hidden="false" customHeight="false" outlineLevel="0" collapsed="false">
      <c r="A183" s="21"/>
      <c r="B183" s="21"/>
      <c r="C183" s="22"/>
      <c r="D183" s="21"/>
      <c r="E183" s="23"/>
      <c r="F183" s="22"/>
      <c r="G183" s="27"/>
      <c r="H183" s="27"/>
      <c r="I183" s="22"/>
      <c r="J183" s="21"/>
      <c r="K183" s="21"/>
    </row>
    <row r="184" customFormat="false" ht="15" hidden="false" customHeight="false" outlineLevel="0" collapsed="false">
      <c r="A184" s="21"/>
      <c r="B184" s="21"/>
      <c r="C184" s="22"/>
      <c r="D184" s="21"/>
      <c r="E184" s="23"/>
      <c r="F184" s="22"/>
      <c r="G184" s="27"/>
      <c r="H184" s="27"/>
      <c r="I184" s="22"/>
      <c r="J184" s="21"/>
      <c r="K184" s="21"/>
    </row>
    <row r="185" customFormat="false" ht="15" hidden="false" customHeight="false" outlineLevel="0" collapsed="false">
      <c r="A185" s="21"/>
      <c r="B185" s="21"/>
      <c r="C185" s="22"/>
      <c r="D185" s="21"/>
      <c r="E185" s="23"/>
      <c r="F185" s="22"/>
      <c r="G185" s="27"/>
      <c r="H185" s="27"/>
      <c r="I185" s="22"/>
      <c r="J185" s="21"/>
      <c r="K185" s="21"/>
    </row>
    <row r="186" customFormat="false" ht="15" hidden="false" customHeight="false" outlineLevel="0" collapsed="false">
      <c r="A186" s="21"/>
      <c r="B186" s="21"/>
      <c r="C186" s="22"/>
      <c r="D186" s="21"/>
      <c r="E186" s="23"/>
      <c r="F186" s="22"/>
      <c r="G186" s="27"/>
      <c r="H186" s="27"/>
      <c r="I186" s="22"/>
      <c r="J186" s="21"/>
      <c r="K186" s="21"/>
    </row>
    <row r="187" customFormat="false" ht="15" hidden="false" customHeight="false" outlineLevel="0" collapsed="false">
      <c r="A187" s="21"/>
      <c r="B187" s="21"/>
      <c r="C187" s="22"/>
      <c r="D187" s="21"/>
      <c r="E187" s="23"/>
      <c r="F187" s="22"/>
      <c r="G187" s="27"/>
      <c r="H187" s="27"/>
      <c r="I187" s="22"/>
      <c r="J187" s="21"/>
      <c r="K187" s="21"/>
    </row>
    <row r="188" customFormat="false" ht="15" hidden="false" customHeight="false" outlineLevel="0" collapsed="false">
      <c r="A188" s="21"/>
      <c r="B188" s="21"/>
      <c r="C188" s="22"/>
      <c r="D188" s="21"/>
      <c r="E188" s="23"/>
      <c r="F188" s="22"/>
      <c r="G188" s="27"/>
      <c r="H188" s="27"/>
      <c r="I188" s="22"/>
      <c r="J188" s="21"/>
      <c r="K188" s="21"/>
    </row>
    <row r="189" customFormat="false" ht="15" hidden="false" customHeight="false" outlineLevel="0" collapsed="false">
      <c r="A189" s="21"/>
      <c r="B189" s="21"/>
      <c r="C189" s="22"/>
      <c r="D189" s="21"/>
      <c r="E189" s="23"/>
      <c r="F189" s="22"/>
      <c r="G189" s="27"/>
      <c r="H189" s="27"/>
      <c r="I189" s="22"/>
      <c r="J189" s="21"/>
      <c r="K189" s="21"/>
    </row>
    <row r="190" customFormat="false" ht="15" hidden="false" customHeight="false" outlineLevel="0" collapsed="false">
      <c r="A190" s="21"/>
      <c r="B190" s="21"/>
      <c r="C190" s="22"/>
      <c r="D190" s="21"/>
      <c r="E190" s="23"/>
      <c r="F190" s="22"/>
      <c r="G190" s="27"/>
      <c r="H190" s="27"/>
      <c r="I190" s="22"/>
      <c r="J190" s="21"/>
      <c r="K190" s="21"/>
    </row>
    <row r="191" customFormat="false" ht="15" hidden="false" customHeight="false" outlineLevel="0" collapsed="false">
      <c r="A191" s="21"/>
      <c r="B191" s="21"/>
      <c r="C191" s="22"/>
      <c r="D191" s="21"/>
      <c r="E191" s="23"/>
      <c r="F191" s="22"/>
      <c r="G191" s="27"/>
      <c r="H191" s="27"/>
      <c r="I191" s="22"/>
      <c r="J191" s="21"/>
      <c r="K191" s="21"/>
    </row>
    <row r="192" customFormat="false" ht="15" hidden="false" customHeight="false" outlineLevel="0" collapsed="false">
      <c r="A192" s="21"/>
      <c r="B192" s="21"/>
      <c r="C192" s="22"/>
      <c r="D192" s="21"/>
      <c r="E192" s="23"/>
      <c r="F192" s="22"/>
      <c r="G192" s="27"/>
      <c r="H192" s="27"/>
      <c r="I192" s="22"/>
      <c r="J192" s="21"/>
      <c r="K192" s="21"/>
    </row>
    <row r="193" customFormat="false" ht="15" hidden="false" customHeight="false" outlineLevel="0" collapsed="false">
      <c r="A193" s="21"/>
      <c r="B193" s="21"/>
      <c r="C193" s="22"/>
      <c r="D193" s="21"/>
      <c r="E193" s="23"/>
      <c r="F193" s="22"/>
      <c r="G193" s="27"/>
      <c r="H193" s="27"/>
      <c r="I193" s="22"/>
      <c r="J193" s="21"/>
      <c r="K193" s="21"/>
    </row>
    <row r="194" customFormat="false" ht="15" hidden="false" customHeight="false" outlineLevel="0" collapsed="false">
      <c r="A194" s="21"/>
      <c r="B194" s="21"/>
      <c r="C194" s="22"/>
      <c r="D194" s="21"/>
      <c r="E194" s="23"/>
      <c r="F194" s="22"/>
      <c r="G194" s="27"/>
      <c r="H194" s="27"/>
      <c r="I194" s="22"/>
      <c r="J194" s="21"/>
      <c r="K194" s="21"/>
    </row>
    <row r="195" customFormat="false" ht="15" hidden="false" customHeight="false" outlineLevel="0" collapsed="false">
      <c r="A195" s="21"/>
      <c r="B195" s="21"/>
      <c r="C195" s="22"/>
      <c r="D195" s="21"/>
      <c r="E195" s="23"/>
      <c r="F195" s="22"/>
      <c r="G195" s="27"/>
      <c r="H195" s="27"/>
      <c r="I195" s="22"/>
      <c r="J195" s="21"/>
      <c r="K195" s="21"/>
    </row>
    <row r="196" customFormat="false" ht="15" hidden="false" customHeight="false" outlineLevel="0" collapsed="false">
      <c r="A196" s="21"/>
      <c r="B196" s="21"/>
      <c r="C196" s="22"/>
      <c r="D196" s="21"/>
      <c r="E196" s="23"/>
      <c r="F196" s="22"/>
      <c r="G196" s="27"/>
      <c r="H196" s="27"/>
      <c r="I196" s="22"/>
      <c r="J196" s="21"/>
      <c r="K196" s="21"/>
    </row>
    <row r="197" customFormat="false" ht="15" hidden="false" customHeight="false" outlineLevel="0" collapsed="false">
      <c r="A197" s="21"/>
      <c r="B197" s="21"/>
      <c r="C197" s="22"/>
      <c r="D197" s="21"/>
      <c r="E197" s="23"/>
      <c r="F197" s="22"/>
      <c r="G197" s="27"/>
      <c r="H197" s="27"/>
      <c r="I197" s="22"/>
      <c r="J197" s="21"/>
      <c r="K197" s="21"/>
    </row>
    <row r="198" customFormat="false" ht="15" hidden="false" customHeight="false" outlineLevel="0" collapsed="false">
      <c r="A198" s="21"/>
      <c r="B198" s="21"/>
      <c r="C198" s="22"/>
      <c r="D198" s="21"/>
      <c r="E198" s="23"/>
      <c r="F198" s="22"/>
      <c r="G198" s="27"/>
      <c r="H198" s="27"/>
      <c r="I198" s="22"/>
      <c r="J198" s="21"/>
      <c r="K198" s="21"/>
    </row>
    <row r="199" customFormat="false" ht="15" hidden="false" customHeight="false" outlineLevel="0" collapsed="false">
      <c r="A199" s="21"/>
      <c r="B199" s="21"/>
      <c r="C199" s="22"/>
      <c r="D199" s="21"/>
      <c r="E199" s="23"/>
      <c r="F199" s="22"/>
      <c r="G199" s="27"/>
      <c r="H199" s="27"/>
      <c r="I199" s="22"/>
      <c r="J199" s="21"/>
      <c r="K199" s="21"/>
    </row>
    <row r="200" customFormat="false" ht="15" hidden="false" customHeight="false" outlineLevel="0" collapsed="false">
      <c r="A200" s="21"/>
      <c r="B200" s="21"/>
      <c r="C200" s="22"/>
      <c r="D200" s="21"/>
      <c r="E200" s="23"/>
      <c r="F200" s="22"/>
      <c r="G200" s="27"/>
      <c r="H200" s="27"/>
      <c r="I200" s="22"/>
      <c r="J200" s="21"/>
      <c r="K200" s="21"/>
    </row>
    <row r="201" customFormat="false" ht="15" hidden="false" customHeight="false" outlineLevel="0" collapsed="false">
      <c r="A201" s="21"/>
      <c r="B201" s="21"/>
      <c r="C201" s="22"/>
      <c r="D201" s="21"/>
      <c r="E201" s="23"/>
      <c r="F201" s="22"/>
      <c r="G201" s="27"/>
      <c r="H201" s="27"/>
      <c r="I201" s="22"/>
      <c r="J201" s="21"/>
      <c r="K201" s="21"/>
    </row>
  </sheetData>
  <autoFilter ref="A1:K1"/>
  <dataValidations count="2">
    <dataValidation allowBlank="true" error="Elija un valor de la lista." errorStyle="stop" errorTitle="Valor no válido" operator="between" showDropDown="false" showErrorMessage="true" showInputMessage="false" sqref="B2:B1000" type="list">
      <formula1>'02_PRODUCTOS'!$A$2:$A$51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D2:D1000" type="list">
      <formula1>'05_RECURSOS'!$A$2:$A$18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F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4" min="3" style="0" width="9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31.5" hidden="false" customHeight="true" outlineLevel="0" collapsed="false">
      <c r="A1" s="1" t="s">
        <v>185</v>
      </c>
      <c r="B1" s="1" t="s">
        <v>119</v>
      </c>
      <c r="C1" s="1" t="s">
        <v>308</v>
      </c>
      <c r="D1" s="1" t="s">
        <v>310</v>
      </c>
      <c r="E1" s="1" t="s">
        <v>311</v>
      </c>
      <c r="F1" s="1" t="s">
        <v>312</v>
      </c>
    </row>
    <row r="2" customFormat="false" ht="15" hidden="false" customHeight="false" outlineLevel="0" collapsed="false">
      <c r="A2" s="21"/>
      <c r="B2" s="21"/>
      <c r="C2" s="22"/>
      <c r="D2" s="22"/>
      <c r="E2" s="21"/>
      <c r="F2" s="23"/>
    </row>
    <row r="3" customFormat="false" ht="15" hidden="false" customHeight="false" outlineLevel="0" collapsed="false">
      <c r="A3" s="21"/>
      <c r="B3" s="21"/>
      <c r="C3" s="22"/>
      <c r="D3" s="22"/>
      <c r="E3" s="21"/>
      <c r="F3" s="23"/>
    </row>
    <row r="4" customFormat="false" ht="15" hidden="false" customHeight="false" outlineLevel="0" collapsed="false">
      <c r="A4" s="21"/>
      <c r="B4" s="21"/>
      <c r="C4" s="22"/>
      <c r="D4" s="22"/>
      <c r="E4" s="21"/>
      <c r="F4" s="23"/>
    </row>
    <row r="5" customFormat="false" ht="15" hidden="false" customHeight="false" outlineLevel="0" collapsed="false">
      <c r="A5" s="21"/>
      <c r="B5" s="21"/>
      <c r="C5" s="22"/>
      <c r="D5" s="22"/>
      <c r="E5" s="21"/>
      <c r="F5" s="23"/>
    </row>
    <row r="6" customFormat="false" ht="15" hidden="false" customHeight="false" outlineLevel="0" collapsed="false">
      <c r="A6" s="21"/>
      <c r="B6" s="21"/>
      <c r="C6" s="22"/>
      <c r="D6" s="22"/>
      <c r="E6" s="21"/>
      <c r="F6" s="23"/>
    </row>
    <row r="7" customFormat="false" ht="15" hidden="false" customHeight="false" outlineLevel="0" collapsed="false">
      <c r="A7" s="21"/>
      <c r="B7" s="21"/>
      <c r="C7" s="22"/>
      <c r="D7" s="22"/>
      <c r="E7" s="21"/>
      <c r="F7" s="23"/>
    </row>
    <row r="8" customFormat="false" ht="15" hidden="false" customHeight="false" outlineLevel="0" collapsed="false">
      <c r="A8" s="21"/>
      <c r="B8" s="21"/>
      <c r="C8" s="22"/>
      <c r="D8" s="22"/>
      <c r="E8" s="21"/>
      <c r="F8" s="23"/>
    </row>
    <row r="9" customFormat="false" ht="15" hidden="false" customHeight="false" outlineLevel="0" collapsed="false">
      <c r="A9" s="21"/>
      <c r="B9" s="21"/>
      <c r="C9" s="22"/>
      <c r="D9" s="22"/>
      <c r="E9" s="21"/>
      <c r="F9" s="23"/>
    </row>
    <row r="10" customFormat="false" ht="15" hidden="false" customHeight="false" outlineLevel="0" collapsed="false">
      <c r="A10" s="21"/>
      <c r="B10" s="21"/>
      <c r="C10" s="22"/>
      <c r="D10" s="22"/>
      <c r="E10" s="21"/>
      <c r="F10" s="23"/>
    </row>
    <row r="11" customFormat="false" ht="15" hidden="false" customHeight="false" outlineLevel="0" collapsed="false">
      <c r="A11" s="21"/>
      <c r="B11" s="21"/>
      <c r="C11" s="22"/>
      <c r="D11" s="22"/>
      <c r="E11" s="21"/>
      <c r="F11" s="23"/>
    </row>
    <row r="12" customFormat="false" ht="15" hidden="false" customHeight="false" outlineLevel="0" collapsed="false">
      <c r="A12" s="21"/>
      <c r="B12" s="21"/>
      <c r="C12" s="22"/>
      <c r="D12" s="22"/>
      <c r="E12" s="21"/>
      <c r="F12" s="23"/>
    </row>
    <row r="13" customFormat="false" ht="15" hidden="false" customHeight="false" outlineLevel="0" collapsed="false">
      <c r="A13" s="21"/>
      <c r="B13" s="21"/>
      <c r="C13" s="22"/>
      <c r="D13" s="22"/>
      <c r="E13" s="21"/>
      <c r="F13" s="23"/>
    </row>
    <row r="14" customFormat="false" ht="15" hidden="false" customHeight="false" outlineLevel="0" collapsed="false">
      <c r="A14" s="21"/>
      <c r="B14" s="21"/>
      <c r="C14" s="22"/>
      <c r="D14" s="22"/>
      <c r="E14" s="21"/>
      <c r="F14" s="23"/>
    </row>
    <row r="15" customFormat="false" ht="15" hidden="false" customHeight="false" outlineLevel="0" collapsed="false">
      <c r="A15" s="21"/>
      <c r="B15" s="21"/>
      <c r="C15" s="22"/>
      <c r="D15" s="22"/>
      <c r="E15" s="21"/>
      <c r="F15" s="23"/>
    </row>
    <row r="16" customFormat="false" ht="15" hidden="false" customHeight="false" outlineLevel="0" collapsed="false">
      <c r="A16" s="21"/>
      <c r="B16" s="21"/>
      <c r="C16" s="22"/>
      <c r="D16" s="22"/>
      <c r="E16" s="21"/>
      <c r="F16" s="23"/>
    </row>
    <row r="17" customFormat="false" ht="15" hidden="false" customHeight="false" outlineLevel="0" collapsed="false">
      <c r="A17" s="21"/>
      <c r="B17" s="21"/>
      <c r="C17" s="22"/>
      <c r="D17" s="22"/>
      <c r="E17" s="21"/>
      <c r="F17" s="23"/>
    </row>
    <row r="18" customFormat="false" ht="15" hidden="false" customHeight="false" outlineLevel="0" collapsed="false">
      <c r="A18" s="21"/>
      <c r="B18" s="21"/>
      <c r="C18" s="22"/>
      <c r="D18" s="22"/>
      <c r="E18" s="21"/>
      <c r="F18" s="23"/>
    </row>
    <row r="19" customFormat="false" ht="15" hidden="false" customHeight="false" outlineLevel="0" collapsed="false">
      <c r="A19" s="21"/>
      <c r="B19" s="21"/>
      <c r="C19" s="22"/>
      <c r="D19" s="22"/>
      <c r="E19" s="21"/>
      <c r="F19" s="23"/>
    </row>
    <row r="20" customFormat="false" ht="15" hidden="false" customHeight="false" outlineLevel="0" collapsed="false">
      <c r="A20" s="21"/>
      <c r="B20" s="21"/>
      <c r="C20" s="22"/>
      <c r="D20" s="22"/>
      <c r="E20" s="21"/>
      <c r="F20" s="23"/>
    </row>
    <row r="21" customFormat="false" ht="15" hidden="false" customHeight="false" outlineLevel="0" collapsed="false">
      <c r="A21" s="21"/>
      <c r="B21" s="21"/>
      <c r="C21" s="22"/>
      <c r="D21" s="22"/>
      <c r="E21" s="21"/>
      <c r="F21" s="23"/>
    </row>
    <row r="22" customFormat="false" ht="15" hidden="false" customHeight="false" outlineLevel="0" collapsed="false">
      <c r="A22" s="21"/>
      <c r="B22" s="21"/>
      <c r="C22" s="22"/>
      <c r="D22" s="22"/>
      <c r="E22" s="21"/>
      <c r="F22" s="23"/>
    </row>
    <row r="23" customFormat="false" ht="15" hidden="false" customHeight="false" outlineLevel="0" collapsed="false">
      <c r="A23" s="21"/>
      <c r="B23" s="21"/>
      <c r="C23" s="22"/>
      <c r="D23" s="22"/>
      <c r="E23" s="21"/>
      <c r="F23" s="23"/>
    </row>
    <row r="24" customFormat="false" ht="15" hidden="false" customHeight="false" outlineLevel="0" collapsed="false">
      <c r="A24" s="21"/>
      <c r="B24" s="21"/>
      <c r="C24" s="22"/>
      <c r="D24" s="22"/>
      <c r="E24" s="21"/>
      <c r="F24" s="23"/>
    </row>
    <row r="25" customFormat="false" ht="15" hidden="false" customHeight="false" outlineLevel="0" collapsed="false">
      <c r="A25" s="21"/>
      <c r="B25" s="21"/>
      <c r="C25" s="22"/>
      <c r="D25" s="22"/>
      <c r="E25" s="21"/>
      <c r="F25" s="23"/>
    </row>
    <row r="26" customFormat="false" ht="15" hidden="false" customHeight="false" outlineLevel="0" collapsed="false">
      <c r="A26" s="21"/>
      <c r="B26" s="21"/>
      <c r="C26" s="22"/>
      <c r="D26" s="22"/>
      <c r="E26" s="21"/>
      <c r="F26" s="23"/>
    </row>
    <row r="27" customFormat="false" ht="15" hidden="false" customHeight="false" outlineLevel="0" collapsed="false">
      <c r="A27" s="21"/>
      <c r="B27" s="21"/>
      <c r="C27" s="22"/>
      <c r="D27" s="22"/>
      <c r="E27" s="21"/>
      <c r="F27" s="23"/>
    </row>
    <row r="28" customFormat="false" ht="15" hidden="false" customHeight="false" outlineLevel="0" collapsed="false">
      <c r="A28" s="21"/>
      <c r="B28" s="21"/>
      <c r="C28" s="22"/>
      <c r="D28" s="22"/>
      <c r="E28" s="21"/>
      <c r="F28" s="23"/>
    </row>
    <row r="29" customFormat="false" ht="15" hidden="false" customHeight="false" outlineLevel="0" collapsed="false">
      <c r="A29" s="21"/>
      <c r="B29" s="21"/>
      <c r="C29" s="22"/>
      <c r="D29" s="22"/>
      <c r="E29" s="21"/>
      <c r="F29" s="23"/>
    </row>
    <row r="30" customFormat="false" ht="15" hidden="false" customHeight="false" outlineLevel="0" collapsed="false">
      <c r="A30" s="21"/>
      <c r="B30" s="21"/>
      <c r="C30" s="22"/>
      <c r="D30" s="22"/>
      <c r="E30" s="21"/>
      <c r="F30" s="23"/>
    </row>
    <row r="31" customFormat="false" ht="15" hidden="false" customHeight="false" outlineLevel="0" collapsed="false">
      <c r="A31" s="21"/>
      <c r="B31" s="21"/>
      <c r="C31" s="22"/>
      <c r="D31" s="22"/>
      <c r="E31" s="21"/>
      <c r="F31" s="23"/>
    </row>
    <row r="32" customFormat="false" ht="15" hidden="false" customHeight="false" outlineLevel="0" collapsed="false">
      <c r="A32" s="21"/>
      <c r="B32" s="21"/>
      <c r="C32" s="22"/>
      <c r="D32" s="22"/>
      <c r="E32" s="21"/>
      <c r="F32" s="23"/>
    </row>
    <row r="33" customFormat="false" ht="15" hidden="false" customHeight="false" outlineLevel="0" collapsed="false">
      <c r="A33" s="21"/>
      <c r="B33" s="21"/>
      <c r="C33" s="22"/>
      <c r="D33" s="22"/>
      <c r="E33" s="21"/>
      <c r="F33" s="23"/>
    </row>
    <row r="34" customFormat="false" ht="15" hidden="false" customHeight="false" outlineLevel="0" collapsed="false">
      <c r="A34" s="21"/>
      <c r="B34" s="21"/>
      <c r="C34" s="22"/>
      <c r="D34" s="22"/>
      <c r="E34" s="21"/>
      <c r="F34" s="23"/>
    </row>
    <row r="35" customFormat="false" ht="15" hidden="false" customHeight="false" outlineLevel="0" collapsed="false">
      <c r="A35" s="21"/>
      <c r="B35" s="21"/>
      <c r="C35" s="22"/>
      <c r="D35" s="22"/>
      <c r="E35" s="21"/>
      <c r="F35" s="23"/>
    </row>
    <row r="36" customFormat="false" ht="15" hidden="false" customHeight="false" outlineLevel="0" collapsed="false">
      <c r="A36" s="21"/>
      <c r="B36" s="21"/>
      <c r="C36" s="22"/>
      <c r="D36" s="22"/>
      <c r="E36" s="21"/>
      <c r="F36" s="23"/>
    </row>
    <row r="37" customFormat="false" ht="15" hidden="false" customHeight="false" outlineLevel="0" collapsed="false">
      <c r="A37" s="21"/>
      <c r="B37" s="21"/>
      <c r="C37" s="22"/>
      <c r="D37" s="22"/>
      <c r="E37" s="21"/>
      <c r="F37" s="23"/>
    </row>
    <row r="38" customFormat="false" ht="15" hidden="false" customHeight="false" outlineLevel="0" collapsed="false">
      <c r="A38" s="21"/>
      <c r="B38" s="21"/>
      <c r="C38" s="22"/>
      <c r="D38" s="22"/>
      <c r="E38" s="21"/>
      <c r="F38" s="23"/>
    </row>
    <row r="39" customFormat="false" ht="15" hidden="false" customHeight="false" outlineLevel="0" collapsed="false">
      <c r="A39" s="21"/>
      <c r="B39" s="21"/>
      <c r="C39" s="22"/>
      <c r="D39" s="22"/>
      <c r="E39" s="21"/>
      <c r="F39" s="23"/>
    </row>
    <row r="40" customFormat="false" ht="15" hidden="false" customHeight="false" outlineLevel="0" collapsed="false">
      <c r="A40" s="21"/>
      <c r="B40" s="21"/>
      <c r="C40" s="22"/>
      <c r="D40" s="22"/>
      <c r="E40" s="21"/>
      <c r="F40" s="23"/>
    </row>
    <row r="41" customFormat="false" ht="15" hidden="false" customHeight="false" outlineLevel="0" collapsed="false">
      <c r="A41" s="21"/>
      <c r="B41" s="21"/>
      <c r="C41" s="22"/>
      <c r="D41" s="22"/>
      <c r="E41" s="21"/>
      <c r="F41" s="23"/>
    </row>
    <row r="42" customFormat="false" ht="15" hidden="false" customHeight="false" outlineLevel="0" collapsed="false">
      <c r="A42" s="21"/>
      <c r="B42" s="21"/>
      <c r="C42" s="22"/>
      <c r="D42" s="22"/>
      <c r="E42" s="21"/>
      <c r="F42" s="23"/>
    </row>
    <row r="43" customFormat="false" ht="15" hidden="false" customHeight="false" outlineLevel="0" collapsed="false">
      <c r="A43" s="21"/>
      <c r="B43" s="21"/>
      <c r="C43" s="22"/>
      <c r="D43" s="22"/>
      <c r="E43" s="21"/>
      <c r="F43" s="23"/>
    </row>
    <row r="44" customFormat="false" ht="15" hidden="false" customHeight="false" outlineLevel="0" collapsed="false">
      <c r="A44" s="21"/>
      <c r="B44" s="21"/>
      <c r="C44" s="22"/>
      <c r="D44" s="22"/>
      <c r="E44" s="21"/>
      <c r="F44" s="23"/>
    </row>
    <row r="45" customFormat="false" ht="15" hidden="false" customHeight="false" outlineLevel="0" collapsed="false">
      <c r="A45" s="21"/>
      <c r="B45" s="21"/>
      <c r="C45" s="22"/>
      <c r="D45" s="22"/>
      <c r="E45" s="21"/>
      <c r="F45" s="23"/>
    </row>
    <row r="46" customFormat="false" ht="15" hidden="false" customHeight="false" outlineLevel="0" collapsed="false">
      <c r="A46" s="21"/>
      <c r="B46" s="21"/>
      <c r="C46" s="22"/>
      <c r="D46" s="22"/>
      <c r="E46" s="21"/>
      <c r="F46" s="23"/>
    </row>
    <row r="47" customFormat="false" ht="15" hidden="false" customHeight="false" outlineLevel="0" collapsed="false">
      <c r="A47" s="21"/>
      <c r="B47" s="21"/>
      <c r="C47" s="22"/>
      <c r="D47" s="22"/>
      <c r="E47" s="21"/>
      <c r="F47" s="23"/>
    </row>
    <row r="48" customFormat="false" ht="15" hidden="false" customHeight="false" outlineLevel="0" collapsed="false">
      <c r="A48" s="21"/>
      <c r="B48" s="21"/>
      <c r="C48" s="22"/>
      <c r="D48" s="22"/>
      <c r="E48" s="21"/>
      <c r="F48" s="23"/>
    </row>
    <row r="49" customFormat="false" ht="15" hidden="false" customHeight="false" outlineLevel="0" collapsed="false">
      <c r="A49" s="21"/>
      <c r="B49" s="21"/>
      <c r="C49" s="22"/>
      <c r="D49" s="22"/>
      <c r="E49" s="21"/>
      <c r="F49" s="23"/>
    </row>
    <row r="50" customFormat="false" ht="15" hidden="false" customHeight="false" outlineLevel="0" collapsed="false">
      <c r="A50" s="21"/>
      <c r="B50" s="21"/>
      <c r="C50" s="22"/>
      <c r="D50" s="22"/>
      <c r="E50" s="21"/>
      <c r="F50" s="23"/>
    </row>
    <row r="51" customFormat="false" ht="15" hidden="false" customHeight="false" outlineLevel="0" collapsed="false">
      <c r="A51" s="21"/>
      <c r="B51" s="21"/>
      <c r="C51" s="22"/>
      <c r="D51" s="22"/>
      <c r="E51" s="21"/>
      <c r="F51" s="23"/>
    </row>
    <row r="52" customFormat="false" ht="15" hidden="false" customHeight="false" outlineLevel="0" collapsed="false">
      <c r="A52" s="21"/>
      <c r="B52" s="21"/>
      <c r="C52" s="22"/>
      <c r="D52" s="22"/>
      <c r="E52" s="21"/>
      <c r="F52" s="23"/>
    </row>
    <row r="53" customFormat="false" ht="15" hidden="false" customHeight="false" outlineLevel="0" collapsed="false">
      <c r="A53" s="21"/>
      <c r="B53" s="21"/>
      <c r="C53" s="22"/>
      <c r="D53" s="22"/>
      <c r="E53" s="21"/>
      <c r="F53" s="23"/>
    </row>
    <row r="54" customFormat="false" ht="15" hidden="false" customHeight="false" outlineLevel="0" collapsed="false">
      <c r="A54" s="21"/>
      <c r="B54" s="21"/>
      <c r="C54" s="22"/>
      <c r="D54" s="22"/>
      <c r="E54" s="21"/>
      <c r="F54" s="23"/>
    </row>
    <row r="55" customFormat="false" ht="15" hidden="false" customHeight="false" outlineLevel="0" collapsed="false">
      <c r="A55" s="21"/>
      <c r="B55" s="21"/>
      <c r="C55" s="22"/>
      <c r="D55" s="22"/>
      <c r="E55" s="21"/>
      <c r="F55" s="23"/>
    </row>
    <row r="56" customFormat="false" ht="15" hidden="false" customHeight="false" outlineLevel="0" collapsed="false">
      <c r="A56" s="21"/>
      <c r="B56" s="21"/>
      <c r="C56" s="22"/>
      <c r="D56" s="22"/>
      <c r="E56" s="21"/>
      <c r="F56" s="23"/>
    </row>
    <row r="57" customFormat="false" ht="15" hidden="false" customHeight="false" outlineLevel="0" collapsed="false">
      <c r="A57" s="21"/>
      <c r="B57" s="21"/>
      <c r="C57" s="22"/>
      <c r="D57" s="22"/>
      <c r="E57" s="21"/>
      <c r="F57" s="23"/>
    </row>
    <row r="58" customFormat="false" ht="15" hidden="false" customHeight="false" outlineLevel="0" collapsed="false">
      <c r="A58" s="21"/>
      <c r="B58" s="21"/>
      <c r="C58" s="22"/>
      <c r="D58" s="22"/>
      <c r="E58" s="21"/>
      <c r="F58" s="23"/>
    </row>
    <row r="59" customFormat="false" ht="15" hidden="false" customHeight="false" outlineLevel="0" collapsed="false">
      <c r="A59" s="21"/>
      <c r="B59" s="21"/>
      <c r="C59" s="22"/>
      <c r="D59" s="22"/>
      <c r="E59" s="21"/>
      <c r="F59" s="23"/>
    </row>
    <row r="60" customFormat="false" ht="15" hidden="false" customHeight="false" outlineLevel="0" collapsed="false">
      <c r="A60" s="21"/>
      <c r="B60" s="21"/>
      <c r="C60" s="22"/>
      <c r="D60" s="22"/>
      <c r="E60" s="21"/>
      <c r="F60" s="23"/>
    </row>
    <row r="61" customFormat="false" ht="15" hidden="false" customHeight="false" outlineLevel="0" collapsed="false">
      <c r="A61" s="21"/>
      <c r="B61" s="21"/>
      <c r="C61" s="22"/>
      <c r="D61" s="22"/>
      <c r="E61" s="21"/>
      <c r="F61" s="23"/>
    </row>
    <row r="62" customFormat="false" ht="15" hidden="false" customHeight="false" outlineLevel="0" collapsed="false">
      <c r="A62" s="21"/>
      <c r="B62" s="21"/>
      <c r="C62" s="22"/>
      <c r="D62" s="22"/>
      <c r="E62" s="21"/>
      <c r="F62" s="23"/>
    </row>
    <row r="63" customFormat="false" ht="15" hidden="false" customHeight="false" outlineLevel="0" collapsed="false">
      <c r="A63" s="21"/>
      <c r="B63" s="21"/>
      <c r="C63" s="22"/>
      <c r="D63" s="22"/>
      <c r="E63" s="21"/>
      <c r="F63" s="23"/>
    </row>
    <row r="64" customFormat="false" ht="15" hidden="false" customHeight="false" outlineLevel="0" collapsed="false">
      <c r="A64" s="21"/>
      <c r="B64" s="21"/>
      <c r="C64" s="22"/>
      <c r="D64" s="22"/>
      <c r="E64" s="21"/>
      <c r="F64" s="23"/>
    </row>
    <row r="65" customFormat="false" ht="15" hidden="false" customHeight="false" outlineLevel="0" collapsed="false">
      <c r="A65" s="21"/>
      <c r="B65" s="21"/>
      <c r="C65" s="22"/>
      <c r="D65" s="22"/>
      <c r="E65" s="21"/>
      <c r="F65" s="23"/>
    </row>
    <row r="66" customFormat="false" ht="15" hidden="false" customHeight="false" outlineLevel="0" collapsed="false">
      <c r="A66" s="21"/>
      <c r="B66" s="21"/>
      <c r="C66" s="22"/>
      <c r="D66" s="22"/>
      <c r="E66" s="21"/>
      <c r="F66" s="23"/>
    </row>
    <row r="67" customFormat="false" ht="15" hidden="false" customHeight="false" outlineLevel="0" collapsed="false">
      <c r="A67" s="21"/>
      <c r="B67" s="21"/>
      <c r="C67" s="22"/>
      <c r="D67" s="22"/>
      <c r="E67" s="21"/>
      <c r="F67" s="23"/>
    </row>
    <row r="68" customFormat="false" ht="15" hidden="false" customHeight="false" outlineLevel="0" collapsed="false">
      <c r="A68" s="21"/>
      <c r="B68" s="21"/>
      <c r="C68" s="22"/>
      <c r="D68" s="22"/>
      <c r="E68" s="21"/>
      <c r="F68" s="23"/>
    </row>
    <row r="69" customFormat="false" ht="15" hidden="false" customHeight="false" outlineLevel="0" collapsed="false">
      <c r="A69" s="21"/>
      <c r="B69" s="21"/>
      <c r="C69" s="22"/>
      <c r="D69" s="22"/>
      <c r="E69" s="21"/>
      <c r="F69" s="23"/>
    </row>
    <row r="70" customFormat="false" ht="15" hidden="false" customHeight="false" outlineLevel="0" collapsed="false">
      <c r="A70" s="21"/>
      <c r="B70" s="21"/>
      <c r="C70" s="22"/>
      <c r="D70" s="22"/>
      <c r="E70" s="21"/>
      <c r="F70" s="23"/>
    </row>
    <row r="71" customFormat="false" ht="15" hidden="false" customHeight="false" outlineLevel="0" collapsed="false">
      <c r="A71" s="21"/>
      <c r="B71" s="21"/>
      <c r="C71" s="22"/>
      <c r="D71" s="22"/>
      <c r="E71" s="21"/>
      <c r="F71" s="23"/>
    </row>
    <row r="72" customFormat="false" ht="15" hidden="false" customHeight="false" outlineLevel="0" collapsed="false">
      <c r="A72" s="21"/>
      <c r="B72" s="21"/>
      <c r="C72" s="22"/>
      <c r="D72" s="22"/>
      <c r="E72" s="21"/>
      <c r="F72" s="23"/>
    </row>
    <row r="73" customFormat="false" ht="15" hidden="false" customHeight="false" outlineLevel="0" collapsed="false">
      <c r="A73" s="21"/>
      <c r="B73" s="21"/>
      <c r="C73" s="22"/>
      <c r="D73" s="22"/>
      <c r="E73" s="21"/>
      <c r="F73" s="23"/>
    </row>
    <row r="74" customFormat="false" ht="15" hidden="false" customHeight="false" outlineLevel="0" collapsed="false">
      <c r="A74" s="21"/>
      <c r="B74" s="21"/>
      <c r="C74" s="22"/>
      <c r="D74" s="22"/>
      <c r="E74" s="21"/>
      <c r="F74" s="23"/>
    </row>
    <row r="75" customFormat="false" ht="15" hidden="false" customHeight="false" outlineLevel="0" collapsed="false">
      <c r="A75" s="21"/>
      <c r="B75" s="21"/>
      <c r="C75" s="22"/>
      <c r="D75" s="22"/>
      <c r="E75" s="21"/>
      <c r="F75" s="23"/>
    </row>
    <row r="76" customFormat="false" ht="15" hidden="false" customHeight="false" outlineLevel="0" collapsed="false">
      <c r="A76" s="21"/>
      <c r="B76" s="21"/>
      <c r="C76" s="22"/>
      <c r="D76" s="22"/>
      <c r="E76" s="21"/>
      <c r="F76" s="23"/>
    </row>
    <row r="77" customFormat="false" ht="15" hidden="false" customHeight="false" outlineLevel="0" collapsed="false">
      <c r="A77" s="21"/>
      <c r="B77" s="21"/>
      <c r="C77" s="22"/>
      <c r="D77" s="22"/>
      <c r="E77" s="21"/>
      <c r="F77" s="23"/>
    </row>
    <row r="78" customFormat="false" ht="15" hidden="false" customHeight="false" outlineLevel="0" collapsed="false">
      <c r="A78" s="21"/>
      <c r="B78" s="21"/>
      <c r="C78" s="22"/>
      <c r="D78" s="22"/>
      <c r="E78" s="21"/>
      <c r="F78" s="23"/>
    </row>
    <row r="79" customFormat="false" ht="15" hidden="false" customHeight="false" outlineLevel="0" collapsed="false">
      <c r="A79" s="21"/>
      <c r="B79" s="21"/>
      <c r="C79" s="22"/>
      <c r="D79" s="22"/>
      <c r="E79" s="21"/>
      <c r="F79" s="23"/>
    </row>
    <row r="80" customFormat="false" ht="15" hidden="false" customHeight="false" outlineLevel="0" collapsed="false">
      <c r="A80" s="21"/>
      <c r="B80" s="21"/>
      <c r="C80" s="22"/>
      <c r="D80" s="22"/>
      <c r="E80" s="21"/>
      <c r="F80" s="23"/>
    </row>
    <row r="81" customFormat="false" ht="15" hidden="false" customHeight="false" outlineLevel="0" collapsed="false">
      <c r="A81" s="21"/>
      <c r="B81" s="21"/>
      <c r="C81" s="22"/>
      <c r="D81" s="22"/>
      <c r="E81" s="21"/>
      <c r="F81" s="23"/>
    </row>
    <row r="82" customFormat="false" ht="15" hidden="false" customHeight="false" outlineLevel="0" collapsed="false">
      <c r="A82" s="21"/>
      <c r="B82" s="21"/>
      <c r="C82" s="22"/>
      <c r="D82" s="22"/>
      <c r="E82" s="21"/>
      <c r="F82" s="23"/>
    </row>
    <row r="83" customFormat="false" ht="15" hidden="false" customHeight="false" outlineLevel="0" collapsed="false">
      <c r="A83" s="21"/>
      <c r="B83" s="21"/>
      <c r="C83" s="22"/>
      <c r="D83" s="22"/>
      <c r="E83" s="21"/>
      <c r="F83" s="23"/>
    </row>
    <row r="84" customFormat="false" ht="15" hidden="false" customHeight="false" outlineLevel="0" collapsed="false">
      <c r="A84" s="21"/>
      <c r="B84" s="21"/>
      <c r="C84" s="22"/>
      <c r="D84" s="22"/>
      <c r="E84" s="21"/>
      <c r="F84" s="23"/>
    </row>
    <row r="85" customFormat="false" ht="15" hidden="false" customHeight="false" outlineLevel="0" collapsed="false">
      <c r="A85" s="21"/>
      <c r="B85" s="21"/>
      <c r="C85" s="22"/>
      <c r="D85" s="22"/>
      <c r="E85" s="21"/>
      <c r="F85" s="23"/>
    </row>
    <row r="86" customFormat="false" ht="15" hidden="false" customHeight="false" outlineLevel="0" collapsed="false">
      <c r="A86" s="21"/>
      <c r="B86" s="21"/>
      <c r="C86" s="22"/>
      <c r="D86" s="22"/>
      <c r="E86" s="21"/>
      <c r="F86" s="23"/>
    </row>
    <row r="87" customFormat="false" ht="15" hidden="false" customHeight="false" outlineLevel="0" collapsed="false">
      <c r="A87" s="21"/>
      <c r="B87" s="21"/>
      <c r="C87" s="22"/>
      <c r="D87" s="22"/>
      <c r="E87" s="21"/>
      <c r="F87" s="23"/>
    </row>
    <row r="88" customFormat="false" ht="15" hidden="false" customHeight="false" outlineLevel="0" collapsed="false">
      <c r="A88" s="21"/>
      <c r="B88" s="21"/>
      <c r="C88" s="22"/>
      <c r="D88" s="22"/>
      <c r="E88" s="21"/>
      <c r="F88" s="23"/>
    </row>
    <row r="89" customFormat="false" ht="15" hidden="false" customHeight="false" outlineLevel="0" collapsed="false">
      <c r="A89" s="21"/>
      <c r="B89" s="21"/>
      <c r="C89" s="22"/>
      <c r="D89" s="22"/>
      <c r="E89" s="21"/>
      <c r="F89" s="23"/>
    </row>
    <row r="90" customFormat="false" ht="15" hidden="false" customHeight="false" outlineLevel="0" collapsed="false">
      <c r="A90" s="21"/>
      <c r="B90" s="21"/>
      <c r="C90" s="22"/>
      <c r="D90" s="22"/>
      <c r="E90" s="21"/>
      <c r="F90" s="23"/>
    </row>
    <row r="91" customFormat="false" ht="15" hidden="false" customHeight="false" outlineLevel="0" collapsed="false">
      <c r="A91" s="21"/>
      <c r="B91" s="21"/>
      <c r="C91" s="22"/>
      <c r="D91" s="22"/>
      <c r="E91" s="21"/>
      <c r="F91" s="23"/>
    </row>
    <row r="92" customFormat="false" ht="15" hidden="false" customHeight="false" outlineLevel="0" collapsed="false">
      <c r="A92" s="21"/>
      <c r="B92" s="21"/>
      <c r="C92" s="22"/>
      <c r="D92" s="22"/>
      <c r="E92" s="21"/>
      <c r="F92" s="23"/>
    </row>
    <row r="93" customFormat="false" ht="15" hidden="false" customHeight="false" outlineLevel="0" collapsed="false">
      <c r="A93" s="21"/>
      <c r="B93" s="21"/>
      <c r="C93" s="22"/>
      <c r="D93" s="22"/>
      <c r="E93" s="21"/>
      <c r="F93" s="23"/>
    </row>
    <row r="94" customFormat="false" ht="15" hidden="false" customHeight="false" outlineLevel="0" collapsed="false">
      <c r="A94" s="21"/>
      <c r="B94" s="21"/>
      <c r="C94" s="22"/>
      <c r="D94" s="22"/>
      <c r="E94" s="21"/>
      <c r="F94" s="23"/>
    </row>
    <row r="95" customFormat="false" ht="15" hidden="false" customHeight="false" outlineLevel="0" collapsed="false">
      <c r="A95" s="21"/>
      <c r="B95" s="21"/>
      <c r="C95" s="22"/>
      <c r="D95" s="22"/>
      <c r="E95" s="21"/>
      <c r="F95" s="23"/>
    </row>
    <row r="96" customFormat="false" ht="15" hidden="false" customHeight="false" outlineLevel="0" collapsed="false">
      <c r="A96" s="21"/>
      <c r="B96" s="21"/>
      <c r="C96" s="22"/>
      <c r="D96" s="22"/>
      <c r="E96" s="21"/>
      <c r="F96" s="23"/>
    </row>
    <row r="97" customFormat="false" ht="15" hidden="false" customHeight="false" outlineLevel="0" collapsed="false">
      <c r="A97" s="21"/>
      <c r="B97" s="21"/>
      <c r="C97" s="22"/>
      <c r="D97" s="22"/>
      <c r="E97" s="21"/>
      <c r="F97" s="23"/>
    </row>
    <row r="98" customFormat="false" ht="15" hidden="false" customHeight="false" outlineLevel="0" collapsed="false">
      <c r="A98" s="21"/>
      <c r="B98" s="21"/>
      <c r="C98" s="22"/>
      <c r="D98" s="22"/>
      <c r="E98" s="21"/>
      <c r="F98" s="23"/>
    </row>
    <row r="99" customFormat="false" ht="15" hidden="false" customHeight="false" outlineLevel="0" collapsed="false">
      <c r="A99" s="21"/>
      <c r="B99" s="21"/>
      <c r="C99" s="22"/>
      <c r="D99" s="22"/>
      <c r="E99" s="21"/>
      <c r="F99" s="23"/>
    </row>
    <row r="100" customFormat="false" ht="15" hidden="false" customHeight="false" outlineLevel="0" collapsed="false">
      <c r="A100" s="21"/>
      <c r="B100" s="21"/>
      <c r="C100" s="22"/>
      <c r="D100" s="22"/>
      <c r="E100" s="21"/>
      <c r="F100" s="23"/>
    </row>
    <row r="101" customFormat="false" ht="15" hidden="false" customHeight="false" outlineLevel="0" collapsed="false">
      <c r="A101" s="21"/>
      <c r="B101" s="21"/>
      <c r="C101" s="22"/>
      <c r="D101" s="22"/>
      <c r="E101" s="21"/>
      <c r="F101" s="23"/>
    </row>
    <row r="102" customFormat="false" ht="15" hidden="false" customHeight="false" outlineLevel="0" collapsed="false">
      <c r="A102" s="21"/>
      <c r="B102" s="21"/>
      <c r="C102" s="22"/>
      <c r="D102" s="22"/>
      <c r="E102" s="21"/>
      <c r="F102" s="23"/>
    </row>
    <row r="103" customFormat="false" ht="15" hidden="false" customHeight="false" outlineLevel="0" collapsed="false">
      <c r="A103" s="21"/>
      <c r="B103" s="21"/>
      <c r="C103" s="22"/>
      <c r="D103" s="22"/>
      <c r="E103" s="21"/>
      <c r="F103" s="23"/>
    </row>
    <row r="104" customFormat="false" ht="15" hidden="false" customHeight="false" outlineLevel="0" collapsed="false">
      <c r="A104" s="21"/>
      <c r="B104" s="21"/>
      <c r="C104" s="22"/>
      <c r="D104" s="22"/>
      <c r="E104" s="21"/>
      <c r="F104" s="23"/>
    </row>
    <row r="105" customFormat="false" ht="15" hidden="false" customHeight="false" outlineLevel="0" collapsed="false">
      <c r="A105" s="21"/>
      <c r="B105" s="21"/>
      <c r="C105" s="22"/>
      <c r="D105" s="22"/>
      <c r="E105" s="21"/>
      <c r="F105" s="23"/>
    </row>
    <row r="106" customFormat="false" ht="15" hidden="false" customHeight="false" outlineLevel="0" collapsed="false">
      <c r="A106" s="21"/>
      <c r="B106" s="21"/>
      <c r="C106" s="22"/>
      <c r="D106" s="22"/>
      <c r="E106" s="21"/>
      <c r="F106" s="23"/>
    </row>
    <row r="107" customFormat="false" ht="15" hidden="false" customHeight="false" outlineLevel="0" collapsed="false">
      <c r="A107" s="21"/>
      <c r="B107" s="21"/>
      <c r="C107" s="22"/>
      <c r="D107" s="22"/>
      <c r="E107" s="21"/>
      <c r="F107" s="23"/>
    </row>
    <row r="108" customFormat="false" ht="15" hidden="false" customHeight="false" outlineLevel="0" collapsed="false">
      <c r="A108" s="21"/>
      <c r="B108" s="21"/>
      <c r="C108" s="22"/>
      <c r="D108" s="22"/>
      <c r="E108" s="21"/>
      <c r="F108" s="23"/>
    </row>
    <row r="109" customFormat="false" ht="15" hidden="false" customHeight="false" outlineLevel="0" collapsed="false">
      <c r="A109" s="21"/>
      <c r="B109" s="21"/>
      <c r="C109" s="22"/>
      <c r="D109" s="22"/>
      <c r="E109" s="21"/>
      <c r="F109" s="23"/>
    </row>
    <row r="110" customFormat="false" ht="15" hidden="false" customHeight="false" outlineLevel="0" collapsed="false">
      <c r="A110" s="21"/>
      <c r="B110" s="21"/>
      <c r="C110" s="22"/>
      <c r="D110" s="22"/>
      <c r="E110" s="21"/>
      <c r="F110" s="23"/>
    </row>
    <row r="111" customFormat="false" ht="15" hidden="false" customHeight="false" outlineLevel="0" collapsed="false">
      <c r="A111" s="21"/>
      <c r="B111" s="21"/>
      <c r="C111" s="22"/>
      <c r="D111" s="22"/>
      <c r="E111" s="21"/>
      <c r="F111" s="23"/>
    </row>
    <row r="112" customFormat="false" ht="15" hidden="false" customHeight="false" outlineLevel="0" collapsed="false">
      <c r="A112" s="21"/>
      <c r="B112" s="21"/>
      <c r="C112" s="22"/>
      <c r="D112" s="22"/>
      <c r="E112" s="21"/>
      <c r="F112" s="23"/>
    </row>
    <row r="113" customFormat="false" ht="15" hidden="false" customHeight="false" outlineLevel="0" collapsed="false">
      <c r="A113" s="21"/>
      <c r="B113" s="21"/>
      <c r="C113" s="22"/>
      <c r="D113" s="22"/>
      <c r="E113" s="21"/>
      <c r="F113" s="23"/>
    </row>
    <row r="114" customFormat="false" ht="15" hidden="false" customHeight="false" outlineLevel="0" collapsed="false">
      <c r="A114" s="21"/>
      <c r="B114" s="21"/>
      <c r="C114" s="22"/>
      <c r="D114" s="22"/>
      <c r="E114" s="21"/>
      <c r="F114" s="23"/>
    </row>
    <row r="115" customFormat="false" ht="15" hidden="false" customHeight="false" outlineLevel="0" collapsed="false">
      <c r="A115" s="21"/>
      <c r="B115" s="21"/>
      <c r="C115" s="22"/>
      <c r="D115" s="22"/>
      <c r="E115" s="21"/>
      <c r="F115" s="23"/>
    </row>
    <row r="116" customFormat="false" ht="15" hidden="false" customHeight="false" outlineLevel="0" collapsed="false">
      <c r="A116" s="21"/>
      <c r="B116" s="21"/>
      <c r="C116" s="22"/>
      <c r="D116" s="22"/>
      <c r="E116" s="21"/>
      <c r="F116" s="23"/>
    </row>
    <row r="117" customFormat="false" ht="15" hidden="false" customHeight="false" outlineLevel="0" collapsed="false">
      <c r="A117" s="21"/>
      <c r="B117" s="21"/>
      <c r="C117" s="22"/>
      <c r="D117" s="22"/>
      <c r="E117" s="21"/>
      <c r="F117" s="23"/>
    </row>
    <row r="118" customFormat="false" ht="15" hidden="false" customHeight="false" outlineLevel="0" collapsed="false">
      <c r="A118" s="21"/>
      <c r="B118" s="21"/>
      <c r="C118" s="22"/>
      <c r="D118" s="22"/>
      <c r="E118" s="21"/>
      <c r="F118" s="23"/>
    </row>
    <row r="119" customFormat="false" ht="15" hidden="false" customHeight="false" outlineLevel="0" collapsed="false">
      <c r="A119" s="21"/>
      <c r="B119" s="21"/>
      <c r="C119" s="22"/>
      <c r="D119" s="22"/>
      <c r="E119" s="21"/>
      <c r="F119" s="23"/>
    </row>
    <row r="120" customFormat="false" ht="15" hidden="false" customHeight="false" outlineLevel="0" collapsed="false">
      <c r="A120" s="21"/>
      <c r="B120" s="21"/>
      <c r="C120" s="22"/>
      <c r="D120" s="22"/>
      <c r="E120" s="21"/>
      <c r="F120" s="23"/>
    </row>
    <row r="121" customFormat="false" ht="15" hidden="false" customHeight="false" outlineLevel="0" collapsed="false">
      <c r="A121" s="21"/>
      <c r="B121" s="21"/>
      <c r="C121" s="22"/>
      <c r="D121" s="22"/>
      <c r="E121" s="21"/>
      <c r="F121" s="23"/>
    </row>
    <row r="122" customFormat="false" ht="15" hidden="false" customHeight="false" outlineLevel="0" collapsed="false">
      <c r="A122" s="21"/>
      <c r="B122" s="21"/>
      <c r="C122" s="22"/>
      <c r="D122" s="22"/>
      <c r="E122" s="21"/>
      <c r="F122" s="23"/>
    </row>
    <row r="123" customFormat="false" ht="15" hidden="false" customHeight="false" outlineLevel="0" collapsed="false">
      <c r="A123" s="21"/>
      <c r="B123" s="21"/>
      <c r="C123" s="22"/>
      <c r="D123" s="22"/>
      <c r="E123" s="21"/>
      <c r="F123" s="23"/>
    </row>
    <row r="124" customFormat="false" ht="15" hidden="false" customHeight="false" outlineLevel="0" collapsed="false">
      <c r="A124" s="21"/>
      <c r="B124" s="21"/>
      <c r="C124" s="22"/>
      <c r="D124" s="22"/>
      <c r="E124" s="21"/>
      <c r="F124" s="23"/>
    </row>
    <row r="125" customFormat="false" ht="15" hidden="false" customHeight="false" outlineLevel="0" collapsed="false">
      <c r="A125" s="21"/>
      <c r="B125" s="21"/>
      <c r="C125" s="22"/>
      <c r="D125" s="22"/>
      <c r="E125" s="21"/>
      <c r="F125" s="23"/>
    </row>
    <row r="126" customFormat="false" ht="15" hidden="false" customHeight="false" outlineLevel="0" collapsed="false">
      <c r="A126" s="21"/>
      <c r="B126" s="21"/>
      <c r="C126" s="22"/>
      <c r="D126" s="22"/>
      <c r="E126" s="21"/>
      <c r="F126" s="23"/>
    </row>
    <row r="127" customFormat="false" ht="15" hidden="false" customHeight="false" outlineLevel="0" collapsed="false">
      <c r="A127" s="21"/>
      <c r="B127" s="21"/>
      <c r="C127" s="22"/>
      <c r="D127" s="22"/>
      <c r="E127" s="21"/>
      <c r="F127" s="23"/>
    </row>
    <row r="128" customFormat="false" ht="15" hidden="false" customHeight="false" outlineLevel="0" collapsed="false">
      <c r="A128" s="21"/>
      <c r="B128" s="21"/>
      <c r="C128" s="22"/>
      <c r="D128" s="22"/>
      <c r="E128" s="21"/>
      <c r="F128" s="23"/>
    </row>
    <row r="129" customFormat="false" ht="15" hidden="false" customHeight="false" outlineLevel="0" collapsed="false">
      <c r="A129" s="21"/>
      <c r="B129" s="21"/>
      <c r="C129" s="22"/>
      <c r="D129" s="22"/>
      <c r="E129" s="21"/>
      <c r="F129" s="23"/>
    </row>
    <row r="130" customFormat="false" ht="15" hidden="false" customHeight="false" outlineLevel="0" collapsed="false">
      <c r="A130" s="21"/>
      <c r="B130" s="21"/>
      <c r="C130" s="22"/>
      <c r="D130" s="22"/>
      <c r="E130" s="21"/>
      <c r="F130" s="23"/>
    </row>
    <row r="131" customFormat="false" ht="15" hidden="false" customHeight="false" outlineLevel="0" collapsed="false">
      <c r="A131" s="21"/>
      <c r="B131" s="21"/>
      <c r="C131" s="22"/>
      <c r="D131" s="22"/>
      <c r="E131" s="21"/>
      <c r="F131" s="23"/>
    </row>
    <row r="132" customFormat="false" ht="15" hidden="false" customHeight="false" outlineLevel="0" collapsed="false">
      <c r="A132" s="21"/>
      <c r="B132" s="21"/>
      <c r="C132" s="22"/>
      <c r="D132" s="22"/>
      <c r="E132" s="21"/>
      <c r="F132" s="23"/>
    </row>
    <row r="133" customFormat="false" ht="15" hidden="false" customHeight="false" outlineLevel="0" collapsed="false">
      <c r="A133" s="21"/>
      <c r="B133" s="21"/>
      <c r="C133" s="22"/>
      <c r="D133" s="22"/>
      <c r="E133" s="21"/>
      <c r="F133" s="23"/>
    </row>
    <row r="134" customFormat="false" ht="15" hidden="false" customHeight="false" outlineLevel="0" collapsed="false">
      <c r="A134" s="21"/>
      <c r="B134" s="21"/>
      <c r="C134" s="22"/>
      <c r="D134" s="22"/>
      <c r="E134" s="21"/>
      <c r="F134" s="23"/>
    </row>
    <row r="135" customFormat="false" ht="15" hidden="false" customHeight="false" outlineLevel="0" collapsed="false">
      <c r="A135" s="21"/>
      <c r="B135" s="21"/>
      <c r="C135" s="22"/>
      <c r="D135" s="22"/>
      <c r="E135" s="21"/>
      <c r="F135" s="23"/>
    </row>
    <row r="136" customFormat="false" ht="15" hidden="false" customHeight="false" outlineLevel="0" collapsed="false">
      <c r="A136" s="21"/>
      <c r="B136" s="21"/>
      <c r="C136" s="22"/>
      <c r="D136" s="22"/>
      <c r="E136" s="21"/>
      <c r="F136" s="23"/>
    </row>
    <row r="137" customFormat="false" ht="15" hidden="false" customHeight="false" outlineLevel="0" collapsed="false">
      <c r="A137" s="21"/>
      <c r="B137" s="21"/>
      <c r="C137" s="22"/>
      <c r="D137" s="22"/>
      <c r="E137" s="21"/>
      <c r="F137" s="23"/>
    </row>
    <row r="138" customFormat="false" ht="15" hidden="false" customHeight="false" outlineLevel="0" collapsed="false">
      <c r="A138" s="21"/>
      <c r="B138" s="21"/>
      <c r="C138" s="22"/>
      <c r="D138" s="22"/>
      <c r="E138" s="21"/>
      <c r="F138" s="23"/>
    </row>
    <row r="139" customFormat="false" ht="15" hidden="false" customHeight="false" outlineLevel="0" collapsed="false">
      <c r="A139" s="21"/>
      <c r="B139" s="21"/>
      <c r="C139" s="22"/>
      <c r="D139" s="22"/>
      <c r="E139" s="21"/>
      <c r="F139" s="23"/>
    </row>
    <row r="140" customFormat="false" ht="15" hidden="false" customHeight="false" outlineLevel="0" collapsed="false">
      <c r="A140" s="21"/>
      <c r="B140" s="21"/>
      <c r="C140" s="22"/>
      <c r="D140" s="22"/>
      <c r="E140" s="21"/>
      <c r="F140" s="23"/>
    </row>
    <row r="141" customFormat="false" ht="15" hidden="false" customHeight="false" outlineLevel="0" collapsed="false">
      <c r="A141" s="21"/>
      <c r="B141" s="21"/>
      <c r="C141" s="22"/>
      <c r="D141" s="22"/>
      <c r="E141" s="21"/>
      <c r="F141" s="23"/>
    </row>
    <row r="142" customFormat="false" ht="15" hidden="false" customHeight="false" outlineLevel="0" collapsed="false">
      <c r="A142" s="21"/>
      <c r="B142" s="21"/>
      <c r="C142" s="22"/>
      <c r="D142" s="22"/>
      <c r="E142" s="21"/>
      <c r="F142" s="23"/>
    </row>
    <row r="143" customFormat="false" ht="15" hidden="false" customHeight="false" outlineLevel="0" collapsed="false">
      <c r="A143" s="21"/>
      <c r="B143" s="21"/>
      <c r="C143" s="22"/>
      <c r="D143" s="22"/>
      <c r="E143" s="21"/>
      <c r="F143" s="23"/>
    </row>
    <row r="144" customFormat="false" ht="15" hidden="false" customHeight="false" outlineLevel="0" collapsed="false">
      <c r="A144" s="21"/>
      <c r="B144" s="21"/>
      <c r="C144" s="22"/>
      <c r="D144" s="22"/>
      <c r="E144" s="21"/>
      <c r="F144" s="23"/>
    </row>
    <row r="145" customFormat="false" ht="15" hidden="false" customHeight="false" outlineLevel="0" collapsed="false">
      <c r="A145" s="21"/>
      <c r="B145" s="21"/>
      <c r="C145" s="22"/>
      <c r="D145" s="22"/>
      <c r="E145" s="21"/>
      <c r="F145" s="23"/>
    </row>
    <row r="146" customFormat="false" ht="15" hidden="false" customHeight="false" outlineLevel="0" collapsed="false">
      <c r="A146" s="21"/>
      <c r="B146" s="21"/>
      <c r="C146" s="22"/>
      <c r="D146" s="22"/>
      <c r="E146" s="21"/>
      <c r="F146" s="23"/>
    </row>
    <row r="147" customFormat="false" ht="15" hidden="false" customHeight="false" outlineLevel="0" collapsed="false">
      <c r="A147" s="21"/>
      <c r="B147" s="21"/>
      <c r="C147" s="22"/>
      <c r="D147" s="22"/>
      <c r="E147" s="21"/>
      <c r="F147" s="23"/>
    </row>
    <row r="148" customFormat="false" ht="15" hidden="false" customHeight="false" outlineLevel="0" collapsed="false">
      <c r="A148" s="21"/>
      <c r="B148" s="21"/>
      <c r="C148" s="22"/>
      <c r="D148" s="22"/>
      <c r="E148" s="21"/>
      <c r="F148" s="23"/>
    </row>
    <row r="149" customFormat="false" ht="15" hidden="false" customHeight="false" outlineLevel="0" collapsed="false">
      <c r="A149" s="21"/>
      <c r="B149" s="21"/>
      <c r="C149" s="22"/>
      <c r="D149" s="22"/>
      <c r="E149" s="21"/>
      <c r="F149" s="23"/>
    </row>
    <row r="150" customFormat="false" ht="15" hidden="false" customHeight="false" outlineLevel="0" collapsed="false">
      <c r="A150" s="21"/>
      <c r="B150" s="21"/>
      <c r="C150" s="22"/>
      <c r="D150" s="22"/>
      <c r="E150" s="21"/>
      <c r="F150" s="23"/>
    </row>
    <row r="151" customFormat="false" ht="15" hidden="false" customHeight="false" outlineLevel="0" collapsed="false">
      <c r="A151" s="21"/>
      <c r="B151" s="21"/>
      <c r="C151" s="22"/>
      <c r="D151" s="22"/>
      <c r="E151" s="21"/>
      <c r="F151" s="23"/>
    </row>
    <row r="152" customFormat="false" ht="15" hidden="false" customHeight="false" outlineLevel="0" collapsed="false">
      <c r="A152" s="21"/>
      <c r="B152" s="21"/>
      <c r="C152" s="22"/>
      <c r="D152" s="22"/>
      <c r="E152" s="21"/>
      <c r="F152" s="23"/>
    </row>
    <row r="153" customFormat="false" ht="15" hidden="false" customHeight="false" outlineLevel="0" collapsed="false">
      <c r="A153" s="21"/>
      <c r="B153" s="21"/>
      <c r="C153" s="22"/>
      <c r="D153" s="22"/>
      <c r="E153" s="21"/>
      <c r="F153" s="23"/>
    </row>
    <row r="154" customFormat="false" ht="15" hidden="false" customHeight="false" outlineLevel="0" collapsed="false">
      <c r="A154" s="21"/>
      <c r="B154" s="21"/>
      <c r="C154" s="22"/>
      <c r="D154" s="22"/>
      <c r="E154" s="21"/>
      <c r="F154" s="23"/>
    </row>
    <row r="155" customFormat="false" ht="15" hidden="false" customHeight="false" outlineLevel="0" collapsed="false">
      <c r="A155" s="21"/>
      <c r="B155" s="21"/>
      <c r="C155" s="22"/>
      <c r="D155" s="22"/>
      <c r="E155" s="21"/>
      <c r="F155" s="23"/>
    </row>
    <row r="156" customFormat="false" ht="15" hidden="false" customHeight="false" outlineLevel="0" collapsed="false">
      <c r="A156" s="21"/>
      <c r="B156" s="21"/>
      <c r="C156" s="22"/>
      <c r="D156" s="22"/>
      <c r="E156" s="21"/>
      <c r="F156" s="23"/>
    </row>
    <row r="157" customFormat="false" ht="15" hidden="false" customHeight="false" outlineLevel="0" collapsed="false">
      <c r="A157" s="21"/>
      <c r="B157" s="21"/>
      <c r="C157" s="22"/>
      <c r="D157" s="22"/>
      <c r="E157" s="21"/>
      <c r="F157" s="23"/>
    </row>
    <row r="158" customFormat="false" ht="15" hidden="false" customHeight="false" outlineLevel="0" collapsed="false">
      <c r="A158" s="21"/>
      <c r="B158" s="21"/>
      <c r="C158" s="22"/>
      <c r="D158" s="22"/>
      <c r="E158" s="21"/>
      <c r="F158" s="23"/>
    </row>
    <row r="159" customFormat="false" ht="15" hidden="false" customHeight="false" outlineLevel="0" collapsed="false">
      <c r="A159" s="21"/>
      <c r="B159" s="21"/>
      <c r="C159" s="22"/>
      <c r="D159" s="22"/>
      <c r="E159" s="21"/>
      <c r="F159" s="23"/>
    </row>
    <row r="160" customFormat="false" ht="15" hidden="false" customHeight="false" outlineLevel="0" collapsed="false">
      <c r="A160" s="21"/>
      <c r="B160" s="21"/>
      <c r="C160" s="22"/>
      <c r="D160" s="22"/>
      <c r="E160" s="21"/>
      <c r="F160" s="23"/>
    </row>
    <row r="161" customFormat="false" ht="15" hidden="false" customHeight="false" outlineLevel="0" collapsed="false">
      <c r="A161" s="21"/>
      <c r="B161" s="21"/>
      <c r="C161" s="22"/>
      <c r="D161" s="22"/>
      <c r="E161" s="21"/>
      <c r="F161" s="23"/>
    </row>
    <row r="162" customFormat="false" ht="15" hidden="false" customHeight="false" outlineLevel="0" collapsed="false">
      <c r="A162" s="21"/>
      <c r="B162" s="21"/>
      <c r="C162" s="22"/>
      <c r="D162" s="22"/>
      <c r="E162" s="21"/>
      <c r="F162" s="23"/>
    </row>
    <row r="163" customFormat="false" ht="15" hidden="false" customHeight="false" outlineLevel="0" collapsed="false">
      <c r="A163" s="21"/>
      <c r="B163" s="21"/>
      <c r="C163" s="22"/>
      <c r="D163" s="22"/>
      <c r="E163" s="21"/>
      <c r="F163" s="23"/>
    </row>
    <row r="164" customFormat="false" ht="15" hidden="false" customHeight="false" outlineLevel="0" collapsed="false">
      <c r="A164" s="21"/>
      <c r="B164" s="21"/>
      <c r="C164" s="22"/>
      <c r="D164" s="22"/>
      <c r="E164" s="21"/>
      <c r="F164" s="23"/>
    </row>
    <row r="165" customFormat="false" ht="15" hidden="false" customHeight="false" outlineLevel="0" collapsed="false">
      <c r="A165" s="21"/>
      <c r="B165" s="21"/>
      <c r="C165" s="22"/>
      <c r="D165" s="22"/>
      <c r="E165" s="21"/>
      <c r="F165" s="23"/>
    </row>
    <row r="166" customFormat="false" ht="15" hidden="false" customHeight="false" outlineLevel="0" collapsed="false">
      <c r="A166" s="21"/>
      <c r="B166" s="21"/>
      <c r="C166" s="22"/>
      <c r="D166" s="22"/>
      <c r="E166" s="21"/>
      <c r="F166" s="23"/>
    </row>
    <row r="167" customFormat="false" ht="15" hidden="false" customHeight="false" outlineLevel="0" collapsed="false">
      <c r="A167" s="21"/>
      <c r="B167" s="21"/>
      <c r="C167" s="22"/>
      <c r="D167" s="22"/>
      <c r="E167" s="21"/>
      <c r="F167" s="23"/>
    </row>
    <row r="168" customFormat="false" ht="15" hidden="false" customHeight="false" outlineLevel="0" collapsed="false">
      <c r="A168" s="21"/>
      <c r="B168" s="21"/>
      <c r="C168" s="22"/>
      <c r="D168" s="22"/>
      <c r="E168" s="21"/>
      <c r="F168" s="23"/>
    </row>
    <row r="169" customFormat="false" ht="15" hidden="false" customHeight="false" outlineLevel="0" collapsed="false">
      <c r="A169" s="21"/>
      <c r="B169" s="21"/>
      <c r="C169" s="22"/>
      <c r="D169" s="22"/>
      <c r="E169" s="21"/>
      <c r="F169" s="23"/>
    </row>
    <row r="170" customFormat="false" ht="15" hidden="false" customHeight="false" outlineLevel="0" collapsed="false">
      <c r="A170" s="21"/>
      <c r="B170" s="21"/>
      <c r="C170" s="22"/>
      <c r="D170" s="22"/>
      <c r="E170" s="21"/>
      <c r="F170" s="23"/>
    </row>
    <row r="171" customFormat="false" ht="15" hidden="false" customHeight="false" outlineLevel="0" collapsed="false">
      <c r="A171" s="21"/>
      <c r="B171" s="21"/>
      <c r="C171" s="22"/>
      <c r="D171" s="22"/>
      <c r="E171" s="21"/>
      <c r="F171" s="23"/>
    </row>
    <row r="172" customFormat="false" ht="15" hidden="false" customHeight="false" outlineLevel="0" collapsed="false">
      <c r="A172" s="21"/>
      <c r="B172" s="21"/>
      <c r="C172" s="22"/>
      <c r="D172" s="22"/>
      <c r="E172" s="21"/>
      <c r="F172" s="23"/>
    </row>
    <row r="173" customFormat="false" ht="15" hidden="false" customHeight="false" outlineLevel="0" collapsed="false">
      <c r="A173" s="21"/>
      <c r="B173" s="21"/>
      <c r="C173" s="22"/>
      <c r="D173" s="22"/>
      <c r="E173" s="21"/>
      <c r="F173" s="23"/>
    </row>
    <row r="174" customFormat="false" ht="15" hidden="false" customHeight="false" outlineLevel="0" collapsed="false">
      <c r="A174" s="21"/>
      <c r="B174" s="21"/>
      <c r="C174" s="22"/>
      <c r="D174" s="22"/>
      <c r="E174" s="21"/>
      <c r="F174" s="23"/>
    </row>
    <row r="175" customFormat="false" ht="15" hidden="false" customHeight="false" outlineLevel="0" collapsed="false">
      <c r="A175" s="21"/>
      <c r="B175" s="21"/>
      <c r="C175" s="22"/>
      <c r="D175" s="22"/>
      <c r="E175" s="21"/>
      <c r="F175" s="23"/>
    </row>
    <row r="176" customFormat="false" ht="15" hidden="false" customHeight="false" outlineLevel="0" collapsed="false">
      <c r="A176" s="21"/>
      <c r="B176" s="21"/>
      <c r="C176" s="22"/>
      <c r="D176" s="22"/>
      <c r="E176" s="21"/>
      <c r="F176" s="23"/>
    </row>
    <row r="177" customFormat="false" ht="15" hidden="false" customHeight="false" outlineLevel="0" collapsed="false">
      <c r="A177" s="21"/>
      <c r="B177" s="21"/>
      <c r="C177" s="22"/>
      <c r="D177" s="22"/>
      <c r="E177" s="21"/>
      <c r="F177" s="23"/>
    </row>
    <row r="178" customFormat="false" ht="15" hidden="false" customHeight="false" outlineLevel="0" collapsed="false">
      <c r="A178" s="21"/>
      <c r="B178" s="21"/>
      <c r="C178" s="22"/>
      <c r="D178" s="22"/>
      <c r="E178" s="21"/>
      <c r="F178" s="23"/>
    </row>
    <row r="179" customFormat="false" ht="15" hidden="false" customHeight="false" outlineLevel="0" collapsed="false">
      <c r="A179" s="21"/>
      <c r="B179" s="21"/>
      <c r="C179" s="22"/>
      <c r="D179" s="22"/>
      <c r="E179" s="21"/>
      <c r="F179" s="23"/>
    </row>
    <row r="180" customFormat="false" ht="15" hidden="false" customHeight="false" outlineLevel="0" collapsed="false">
      <c r="A180" s="21"/>
      <c r="B180" s="21"/>
      <c r="C180" s="22"/>
      <c r="D180" s="22"/>
      <c r="E180" s="21"/>
      <c r="F180" s="23"/>
    </row>
    <row r="181" customFormat="false" ht="15" hidden="false" customHeight="false" outlineLevel="0" collapsed="false">
      <c r="A181" s="21"/>
      <c r="B181" s="21"/>
      <c r="C181" s="22"/>
      <c r="D181" s="22"/>
      <c r="E181" s="21"/>
      <c r="F181" s="23"/>
    </row>
    <row r="182" customFormat="false" ht="15" hidden="false" customHeight="false" outlineLevel="0" collapsed="false">
      <c r="A182" s="21"/>
      <c r="B182" s="21"/>
      <c r="C182" s="22"/>
      <c r="D182" s="22"/>
      <c r="E182" s="21"/>
      <c r="F182" s="23"/>
    </row>
    <row r="183" customFormat="false" ht="15" hidden="false" customHeight="false" outlineLevel="0" collapsed="false">
      <c r="A183" s="21"/>
      <c r="B183" s="21"/>
      <c r="C183" s="22"/>
      <c r="D183" s="22"/>
      <c r="E183" s="21"/>
      <c r="F183" s="23"/>
    </row>
    <row r="184" customFormat="false" ht="15" hidden="false" customHeight="false" outlineLevel="0" collapsed="false">
      <c r="A184" s="21"/>
      <c r="B184" s="21"/>
      <c r="C184" s="22"/>
      <c r="D184" s="22"/>
      <c r="E184" s="21"/>
      <c r="F184" s="23"/>
    </row>
    <row r="185" customFormat="false" ht="15" hidden="false" customHeight="false" outlineLevel="0" collapsed="false">
      <c r="A185" s="21"/>
      <c r="B185" s="21"/>
      <c r="C185" s="22"/>
      <c r="D185" s="22"/>
      <c r="E185" s="21"/>
      <c r="F185" s="23"/>
    </row>
    <row r="186" customFormat="false" ht="15" hidden="false" customHeight="false" outlineLevel="0" collapsed="false">
      <c r="A186" s="21"/>
      <c r="B186" s="21"/>
      <c r="C186" s="22"/>
      <c r="D186" s="22"/>
      <c r="E186" s="21"/>
      <c r="F186" s="23"/>
    </row>
    <row r="187" customFormat="false" ht="15" hidden="false" customHeight="false" outlineLevel="0" collapsed="false">
      <c r="A187" s="21"/>
      <c r="B187" s="21"/>
      <c r="C187" s="22"/>
      <c r="D187" s="22"/>
      <c r="E187" s="21"/>
      <c r="F187" s="23"/>
    </row>
    <row r="188" customFormat="false" ht="15" hidden="false" customHeight="false" outlineLevel="0" collapsed="false">
      <c r="A188" s="21"/>
      <c r="B188" s="21"/>
      <c r="C188" s="22"/>
      <c r="D188" s="22"/>
      <c r="E188" s="21"/>
      <c r="F188" s="23"/>
    </row>
    <row r="189" customFormat="false" ht="15" hidden="false" customHeight="false" outlineLevel="0" collapsed="false">
      <c r="A189" s="21"/>
      <c r="B189" s="21"/>
      <c r="C189" s="22"/>
      <c r="D189" s="22"/>
      <c r="E189" s="21"/>
      <c r="F189" s="23"/>
    </row>
    <row r="190" customFormat="false" ht="15" hidden="false" customHeight="false" outlineLevel="0" collapsed="false">
      <c r="A190" s="21"/>
      <c r="B190" s="21"/>
      <c r="C190" s="22"/>
      <c r="D190" s="22"/>
      <c r="E190" s="21"/>
      <c r="F190" s="23"/>
    </row>
    <row r="191" customFormat="false" ht="15" hidden="false" customHeight="false" outlineLevel="0" collapsed="false">
      <c r="A191" s="21"/>
      <c r="B191" s="21"/>
      <c r="C191" s="22"/>
      <c r="D191" s="22"/>
      <c r="E191" s="21"/>
      <c r="F191" s="23"/>
    </row>
    <row r="192" customFormat="false" ht="15" hidden="false" customHeight="false" outlineLevel="0" collapsed="false">
      <c r="A192" s="21"/>
      <c r="B192" s="21"/>
      <c r="C192" s="22"/>
      <c r="D192" s="22"/>
      <c r="E192" s="21"/>
      <c r="F192" s="23"/>
    </row>
    <row r="193" customFormat="false" ht="15" hidden="false" customHeight="false" outlineLevel="0" collapsed="false">
      <c r="A193" s="21"/>
      <c r="B193" s="21"/>
      <c r="C193" s="22"/>
      <c r="D193" s="22"/>
      <c r="E193" s="21"/>
      <c r="F193" s="23"/>
    </row>
    <row r="194" customFormat="false" ht="15" hidden="false" customHeight="false" outlineLevel="0" collapsed="false">
      <c r="A194" s="21"/>
      <c r="B194" s="21"/>
      <c r="C194" s="22"/>
      <c r="D194" s="22"/>
      <c r="E194" s="21"/>
      <c r="F194" s="23"/>
    </row>
    <row r="195" customFormat="false" ht="15" hidden="false" customHeight="false" outlineLevel="0" collapsed="false">
      <c r="A195" s="21"/>
      <c r="B195" s="21"/>
      <c r="C195" s="22"/>
      <c r="D195" s="22"/>
      <c r="E195" s="21"/>
      <c r="F195" s="23"/>
    </row>
    <row r="196" customFormat="false" ht="15" hidden="false" customHeight="false" outlineLevel="0" collapsed="false">
      <c r="A196" s="21"/>
      <c r="B196" s="21"/>
      <c r="C196" s="22"/>
      <c r="D196" s="22"/>
      <c r="E196" s="21"/>
      <c r="F196" s="23"/>
    </row>
    <row r="197" customFormat="false" ht="15" hidden="false" customHeight="false" outlineLevel="0" collapsed="false">
      <c r="A197" s="21"/>
      <c r="B197" s="21"/>
      <c r="C197" s="22"/>
      <c r="D197" s="22"/>
      <c r="E197" s="21"/>
      <c r="F197" s="23"/>
    </row>
    <row r="198" customFormat="false" ht="15" hidden="false" customHeight="false" outlineLevel="0" collapsed="false">
      <c r="A198" s="21"/>
      <c r="B198" s="21"/>
      <c r="C198" s="22"/>
      <c r="D198" s="22"/>
      <c r="E198" s="21"/>
      <c r="F198" s="23"/>
    </row>
    <row r="199" customFormat="false" ht="15" hidden="false" customHeight="false" outlineLevel="0" collapsed="false">
      <c r="A199" s="21"/>
      <c r="B199" s="21"/>
      <c r="C199" s="22"/>
      <c r="D199" s="22"/>
      <c r="E199" s="21"/>
      <c r="F199" s="23"/>
    </row>
    <row r="200" customFormat="false" ht="15" hidden="false" customHeight="false" outlineLevel="0" collapsed="false">
      <c r="A200" s="21"/>
      <c r="B200" s="21"/>
      <c r="C200" s="22"/>
      <c r="D200" s="22"/>
      <c r="E200" s="21"/>
      <c r="F200" s="23"/>
    </row>
    <row r="201" customFormat="false" ht="15" hidden="false" customHeight="false" outlineLevel="0" collapsed="false">
      <c r="A201" s="21"/>
      <c r="B201" s="21"/>
      <c r="C201" s="22"/>
      <c r="D201" s="22"/>
      <c r="E201" s="21"/>
      <c r="F201" s="23"/>
    </row>
  </sheetData>
  <autoFilter ref="A1:F1"/>
  <dataValidations count="3">
    <dataValidation allowBlank="true" error="Elija un valor de la lista." errorStyle="stop" errorTitle="Valor no válido" operator="between" showDropDown="false" showErrorMessage="true" showInputMessage="false" sqref="B2:B1000" type="list">
      <formula1>'05_RECURSOS'!$A$2:$A$18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A2:A1000" type="list">
      <formula1>'08_PERSONAL'!$A$2:$A$26</formula1>
      <formula2>0</formula2>
    </dataValidation>
    <dataValidation allowBlank="true" error="Debe ser un número entero en el rango permitido." errorStyle="stop" operator="between" showDropDown="false" showErrorMessage="true" showInputMessage="false" sqref="C2:C1000" type="whole">
      <formula1>0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2026-10-14T03:34:43Z</dcterms:created>
  <dc:creator>SAGAPI</dc:creator>
  <dc:description/>
  <dc:language>en-US</dc:language>
  <cp:lastModifiedBy/>
  <dcterms:modified xsi:type="dcterms:W3CDTF">2026-10-14T03:34:43Z</dcterms:modified>
  <cp:revision>0</cp:revision>
  <dc:subject/>
  <dc:title>SAGAPI BD OPERATIVA v2.0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